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10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yoshizawa/Projects/BULL/Repository/BULL_data/master_excel/"/>
    </mc:Choice>
  </mc:AlternateContent>
  <bookViews>
    <workbookView xWindow="580" yWindow="1900" windowWidth="24480" windowHeight="14880" tabRatio="721" activeTab="1"/>
  </bookViews>
  <sheets>
    <sheet name="output" sheetId="10" r:id="rId1"/>
    <sheet name="stage_hints" sheetId="3" r:id="rId2"/>
    <sheet name="Sheet1" sheetId="11" r:id="rId3"/>
  </sheets>
  <externalReferences>
    <externalReference r:id="rId4"/>
    <externalReference r:id="rId5"/>
  </externalReferences>
  <definedNames>
    <definedName name="_xlnm._FilterDatabase" localSheetId="1" hidden="1">stage_hints!$B$1:$L$1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187" i="3" l="1"/>
  <c r="K187" i="3"/>
  <c r="G187" i="3"/>
  <c r="F187" i="3"/>
  <c r="D187" i="3"/>
  <c r="C187" i="3"/>
  <c r="L186" i="3"/>
  <c r="K186" i="3"/>
  <c r="G186" i="3"/>
  <c r="F186" i="3"/>
  <c r="D186" i="3"/>
  <c r="C186" i="3"/>
  <c r="L185" i="3"/>
  <c r="K185" i="3"/>
  <c r="G185" i="3"/>
  <c r="F185" i="3"/>
  <c r="D185" i="3"/>
  <c r="C185" i="3"/>
  <c r="L184" i="3"/>
  <c r="K184" i="3"/>
  <c r="G184" i="3"/>
  <c r="F184" i="3"/>
  <c r="D184" i="3"/>
  <c r="C184" i="3"/>
  <c r="L183" i="3"/>
  <c r="K183" i="3"/>
  <c r="G183" i="3"/>
  <c r="F183" i="3"/>
  <c r="D183" i="3"/>
  <c r="C183" i="3"/>
  <c r="L182" i="3"/>
  <c r="K182" i="3"/>
  <c r="G182" i="3"/>
  <c r="F182" i="3"/>
  <c r="D182" i="3"/>
  <c r="C182" i="3"/>
  <c r="L181" i="3"/>
  <c r="K181" i="3"/>
  <c r="G181" i="3"/>
  <c r="F181" i="3"/>
  <c r="D181" i="3"/>
  <c r="C181" i="3"/>
  <c r="L180" i="3"/>
  <c r="K180" i="3"/>
  <c r="G180" i="3"/>
  <c r="F180" i="3"/>
  <c r="D180" i="3"/>
  <c r="C180" i="3"/>
  <c r="L179" i="3"/>
  <c r="K179" i="3"/>
  <c r="G179" i="3"/>
  <c r="F179" i="3"/>
  <c r="D179" i="3"/>
  <c r="C179" i="3"/>
  <c r="L178" i="3"/>
  <c r="K178" i="3"/>
  <c r="G178" i="3"/>
  <c r="F178" i="3"/>
  <c r="D178" i="3"/>
  <c r="C178" i="3"/>
  <c r="L177" i="3"/>
  <c r="K177" i="3"/>
  <c r="G177" i="3"/>
  <c r="F177" i="3"/>
  <c r="D177" i="3"/>
  <c r="C177" i="3"/>
  <c r="L176" i="3"/>
  <c r="K176" i="3"/>
  <c r="G176" i="3"/>
  <c r="F176" i="3"/>
  <c r="D176" i="3"/>
  <c r="C176" i="3"/>
  <c r="L175" i="3"/>
  <c r="K175" i="3"/>
  <c r="G175" i="3"/>
  <c r="F175" i="3"/>
  <c r="D175" i="3"/>
  <c r="C175" i="3"/>
  <c r="L174" i="3"/>
  <c r="K174" i="3"/>
  <c r="G174" i="3"/>
  <c r="F174" i="3"/>
  <c r="D174" i="3"/>
  <c r="C174" i="3"/>
  <c r="L173" i="3"/>
  <c r="K173" i="3"/>
  <c r="G173" i="3"/>
  <c r="F173" i="3"/>
  <c r="D173" i="3"/>
  <c r="C173" i="3"/>
  <c r="L172" i="3"/>
  <c r="K172" i="3"/>
  <c r="G172" i="3"/>
  <c r="F172" i="3"/>
  <c r="D172" i="3"/>
  <c r="C172" i="3"/>
  <c r="L171" i="3"/>
  <c r="K171" i="3"/>
  <c r="G171" i="3"/>
  <c r="F171" i="3"/>
  <c r="D171" i="3"/>
  <c r="C171" i="3"/>
  <c r="L170" i="3"/>
  <c r="K170" i="3"/>
  <c r="G170" i="3"/>
  <c r="F170" i="3"/>
  <c r="D170" i="3"/>
  <c r="C170" i="3"/>
  <c r="L169" i="3"/>
  <c r="K169" i="3"/>
  <c r="G169" i="3"/>
  <c r="F169" i="3"/>
  <c r="D169" i="3"/>
  <c r="C169" i="3"/>
  <c r="L168" i="3"/>
  <c r="K168" i="3"/>
  <c r="G168" i="3"/>
  <c r="F168" i="3"/>
  <c r="D168" i="3"/>
  <c r="C168" i="3"/>
  <c r="L167" i="3"/>
  <c r="K167" i="3"/>
  <c r="G167" i="3"/>
  <c r="F167" i="3"/>
  <c r="D167" i="3"/>
  <c r="C167" i="3"/>
  <c r="L166" i="3"/>
  <c r="K166" i="3"/>
  <c r="G166" i="3"/>
  <c r="F166" i="3"/>
  <c r="D166" i="3"/>
  <c r="C166" i="3"/>
  <c r="L165" i="3"/>
  <c r="K165" i="3"/>
  <c r="G165" i="3"/>
  <c r="F165" i="3"/>
  <c r="D165" i="3"/>
  <c r="C165" i="3"/>
  <c r="L164" i="3"/>
  <c r="K164" i="3"/>
  <c r="G164" i="3"/>
  <c r="F164" i="3"/>
  <c r="D164" i="3"/>
  <c r="C164" i="3"/>
  <c r="L163" i="3"/>
  <c r="K163" i="3"/>
  <c r="G163" i="3"/>
  <c r="F163" i="3"/>
  <c r="D163" i="3"/>
  <c r="C163" i="3"/>
  <c r="L162" i="3"/>
  <c r="K162" i="3"/>
  <c r="G162" i="3"/>
  <c r="F162" i="3"/>
  <c r="D162" i="3"/>
  <c r="C162" i="3"/>
  <c r="L161" i="3"/>
  <c r="K161" i="3"/>
  <c r="G161" i="3"/>
  <c r="F161" i="3"/>
  <c r="D161" i="3"/>
  <c r="C161" i="3"/>
  <c r="L160" i="3"/>
  <c r="K160" i="3"/>
  <c r="G160" i="3"/>
  <c r="F160" i="3"/>
  <c r="D160" i="3"/>
  <c r="C160" i="3"/>
  <c r="L159" i="3"/>
  <c r="K159" i="3"/>
  <c r="G159" i="3"/>
  <c r="F159" i="3"/>
  <c r="D159" i="3"/>
  <c r="C159" i="3"/>
  <c r="L158" i="3"/>
  <c r="K158" i="3"/>
  <c r="G158" i="3"/>
  <c r="F158" i="3"/>
  <c r="D158" i="3"/>
  <c r="C158" i="3"/>
  <c r="L157" i="3"/>
  <c r="K157" i="3"/>
  <c r="G157" i="3"/>
  <c r="F157" i="3"/>
  <c r="D157" i="3"/>
  <c r="C157" i="3"/>
  <c r="L156" i="3"/>
  <c r="K156" i="3"/>
  <c r="G156" i="3"/>
  <c r="F156" i="3"/>
  <c r="D156" i="3"/>
  <c r="C156" i="3"/>
  <c r="L155" i="3"/>
  <c r="K155" i="3"/>
  <c r="G155" i="3"/>
  <c r="F155" i="3"/>
  <c r="D155" i="3"/>
  <c r="C155" i="3"/>
  <c r="L154" i="3"/>
  <c r="K154" i="3"/>
  <c r="G154" i="3"/>
  <c r="F154" i="3"/>
  <c r="D154" i="3"/>
  <c r="C154" i="3"/>
  <c r="L153" i="3"/>
  <c r="K153" i="3"/>
  <c r="G153" i="3"/>
  <c r="F153" i="3"/>
  <c r="D153" i="3"/>
  <c r="C153" i="3"/>
  <c r="L152" i="3"/>
  <c r="K152" i="3"/>
  <c r="G152" i="3"/>
  <c r="F152" i="3"/>
  <c r="D152" i="3"/>
  <c r="C152" i="3"/>
  <c r="L151" i="3"/>
  <c r="K151" i="3"/>
  <c r="G151" i="3"/>
  <c r="F151" i="3"/>
  <c r="D151" i="3"/>
  <c r="C151" i="3"/>
  <c r="L150" i="3"/>
  <c r="K150" i="3"/>
  <c r="G150" i="3"/>
  <c r="F150" i="3"/>
  <c r="D150" i="3"/>
  <c r="C150" i="3"/>
  <c r="L149" i="3"/>
  <c r="K149" i="3"/>
  <c r="G149" i="3"/>
  <c r="F149" i="3"/>
  <c r="D149" i="3"/>
  <c r="C149" i="3"/>
  <c r="L148" i="3"/>
  <c r="K148" i="3"/>
  <c r="G148" i="3"/>
  <c r="F148" i="3"/>
  <c r="D148" i="3"/>
  <c r="C148" i="3"/>
  <c r="L147" i="3"/>
  <c r="K147" i="3"/>
  <c r="G147" i="3"/>
  <c r="F147" i="3"/>
  <c r="D147" i="3"/>
  <c r="C147" i="3"/>
  <c r="L146" i="3"/>
  <c r="K146" i="3"/>
  <c r="G146" i="3"/>
  <c r="F146" i="3"/>
  <c r="D146" i="3"/>
  <c r="C146" i="3"/>
  <c r="L145" i="3"/>
  <c r="K145" i="3"/>
  <c r="G145" i="3"/>
  <c r="F145" i="3"/>
  <c r="D145" i="3"/>
  <c r="C145" i="3"/>
  <c r="L144" i="3"/>
  <c r="K144" i="3"/>
  <c r="G144" i="3"/>
  <c r="F144" i="3"/>
  <c r="D144" i="3"/>
  <c r="C144" i="3"/>
  <c r="L143" i="3"/>
  <c r="K143" i="3"/>
  <c r="G143" i="3"/>
  <c r="F143" i="3"/>
  <c r="D143" i="3"/>
  <c r="C143" i="3"/>
  <c r="L142" i="3"/>
  <c r="K142" i="3"/>
  <c r="G142" i="3"/>
  <c r="F142" i="3"/>
  <c r="D142" i="3"/>
  <c r="C142" i="3"/>
  <c r="L141" i="3"/>
  <c r="K141" i="3"/>
  <c r="G141" i="3"/>
  <c r="F141" i="3"/>
  <c r="D141" i="3"/>
  <c r="C141" i="3"/>
  <c r="L140" i="3"/>
  <c r="K140" i="3"/>
  <c r="G140" i="3"/>
  <c r="F140" i="3"/>
  <c r="D140" i="3"/>
  <c r="C140" i="3"/>
  <c r="L139" i="3"/>
  <c r="K139" i="3"/>
  <c r="G139" i="3"/>
  <c r="F139" i="3"/>
  <c r="D139" i="3"/>
  <c r="C139" i="3"/>
  <c r="L138" i="3"/>
  <c r="K138" i="3"/>
  <c r="G138" i="3"/>
  <c r="F138" i="3"/>
  <c r="D138" i="3"/>
  <c r="C138" i="3"/>
  <c r="L137" i="3"/>
  <c r="K137" i="3"/>
  <c r="G137" i="3"/>
  <c r="F137" i="3"/>
  <c r="D137" i="3"/>
  <c r="C137" i="3"/>
  <c r="L136" i="3"/>
  <c r="K136" i="3"/>
  <c r="G136" i="3"/>
  <c r="F136" i="3"/>
  <c r="D136" i="3"/>
  <c r="C136" i="3"/>
  <c r="L135" i="3"/>
  <c r="K135" i="3"/>
  <c r="G135" i="3"/>
  <c r="F135" i="3"/>
  <c r="D135" i="3"/>
  <c r="C135" i="3"/>
  <c r="L134" i="3"/>
  <c r="K134" i="3"/>
  <c r="G134" i="3"/>
  <c r="F134" i="3"/>
  <c r="D134" i="3"/>
  <c r="C134" i="3"/>
  <c r="L133" i="3"/>
  <c r="K133" i="3"/>
  <c r="G133" i="3"/>
  <c r="F133" i="3"/>
  <c r="D133" i="3"/>
  <c r="C133" i="3"/>
  <c r="L132" i="3"/>
  <c r="K132" i="3"/>
  <c r="G132" i="3"/>
  <c r="F132" i="3"/>
  <c r="D132" i="3"/>
  <c r="C132" i="3"/>
  <c r="L131" i="3"/>
  <c r="K131" i="3"/>
  <c r="G131" i="3"/>
  <c r="F131" i="3"/>
  <c r="D131" i="3"/>
  <c r="C131" i="3"/>
  <c r="L130" i="3"/>
  <c r="K130" i="3"/>
  <c r="G130" i="3"/>
  <c r="F130" i="3"/>
  <c r="D130" i="3"/>
  <c r="C130" i="3"/>
  <c r="L129" i="3"/>
  <c r="K129" i="3"/>
  <c r="G129" i="3"/>
  <c r="F129" i="3"/>
  <c r="D129" i="3"/>
  <c r="C129" i="3"/>
  <c r="L128" i="3"/>
  <c r="K128" i="3"/>
  <c r="G128" i="3"/>
  <c r="F128" i="3"/>
  <c r="D128" i="3"/>
  <c r="C128" i="3"/>
  <c r="L127" i="3"/>
  <c r="K127" i="3"/>
  <c r="G127" i="3"/>
  <c r="F127" i="3"/>
  <c r="D127" i="3"/>
  <c r="C127" i="3"/>
  <c r="L126" i="3"/>
  <c r="K126" i="3"/>
  <c r="G126" i="3"/>
  <c r="F126" i="3"/>
  <c r="D126" i="3"/>
  <c r="C126" i="3"/>
  <c r="K3" i="3"/>
  <c r="L3" i="3"/>
  <c r="K4" i="3"/>
  <c r="L4" i="3"/>
  <c r="K5" i="3"/>
  <c r="L5" i="3"/>
  <c r="K6" i="3"/>
  <c r="L6" i="3"/>
  <c r="K7" i="3"/>
  <c r="L7" i="3"/>
  <c r="K8" i="3"/>
  <c r="L8" i="3"/>
  <c r="K9" i="3"/>
  <c r="L9" i="3"/>
  <c r="K10" i="3"/>
  <c r="L10" i="3"/>
  <c r="K11" i="3"/>
  <c r="L11" i="3"/>
  <c r="K12" i="3"/>
  <c r="L12" i="3"/>
  <c r="K13" i="3"/>
  <c r="L13" i="3"/>
  <c r="K14" i="3"/>
  <c r="L14" i="3"/>
  <c r="K15" i="3"/>
  <c r="L15" i="3"/>
  <c r="K16" i="3"/>
  <c r="L16" i="3"/>
  <c r="K17" i="3"/>
  <c r="L17" i="3"/>
  <c r="K18" i="3"/>
  <c r="L18" i="3"/>
  <c r="K19" i="3"/>
  <c r="L19" i="3"/>
  <c r="K20" i="3"/>
  <c r="L20" i="3"/>
  <c r="K21" i="3"/>
  <c r="L21" i="3"/>
  <c r="K22" i="3"/>
  <c r="L22" i="3"/>
  <c r="K23" i="3"/>
  <c r="L23" i="3"/>
  <c r="K24" i="3"/>
  <c r="L24" i="3"/>
  <c r="K25" i="3"/>
  <c r="L25" i="3"/>
  <c r="K26" i="3"/>
  <c r="L26" i="3"/>
  <c r="K27" i="3"/>
  <c r="L27" i="3"/>
  <c r="K28" i="3"/>
  <c r="L28" i="3"/>
  <c r="K29" i="3"/>
  <c r="L29" i="3"/>
  <c r="K30" i="3"/>
  <c r="L30" i="3"/>
  <c r="K31" i="3"/>
  <c r="L31" i="3"/>
  <c r="K32" i="3"/>
  <c r="L32" i="3"/>
  <c r="K33" i="3"/>
  <c r="L33" i="3"/>
  <c r="K34" i="3"/>
  <c r="L34" i="3"/>
  <c r="K35" i="3"/>
  <c r="L35" i="3"/>
  <c r="K36" i="3"/>
  <c r="L36" i="3"/>
  <c r="K37" i="3"/>
  <c r="L37" i="3"/>
  <c r="K38" i="3"/>
  <c r="L38" i="3"/>
  <c r="K39" i="3"/>
  <c r="L39" i="3"/>
  <c r="K40" i="3"/>
  <c r="L40" i="3"/>
  <c r="K41" i="3"/>
  <c r="L41" i="3"/>
  <c r="K42" i="3"/>
  <c r="L42" i="3"/>
  <c r="K43" i="3"/>
  <c r="L43" i="3"/>
  <c r="K44" i="3"/>
  <c r="L44" i="3"/>
  <c r="K45" i="3"/>
  <c r="L45" i="3"/>
  <c r="K46" i="3"/>
  <c r="L46" i="3"/>
  <c r="K47" i="3"/>
  <c r="L47" i="3"/>
  <c r="K48" i="3"/>
  <c r="L48" i="3"/>
  <c r="K49" i="3"/>
  <c r="L49" i="3"/>
  <c r="K50" i="3"/>
  <c r="L50" i="3"/>
  <c r="K51" i="3"/>
  <c r="L51" i="3"/>
  <c r="K52" i="3"/>
  <c r="L52" i="3"/>
  <c r="K53" i="3"/>
  <c r="L53" i="3"/>
  <c r="K54" i="3"/>
  <c r="L54" i="3"/>
  <c r="K55" i="3"/>
  <c r="L55" i="3"/>
  <c r="K56" i="3"/>
  <c r="L56" i="3"/>
  <c r="K57" i="3"/>
  <c r="L57" i="3"/>
  <c r="K58" i="3"/>
  <c r="L58" i="3"/>
  <c r="K59" i="3"/>
  <c r="L59" i="3"/>
  <c r="K60" i="3"/>
  <c r="L60" i="3"/>
  <c r="K61" i="3"/>
  <c r="L61" i="3"/>
  <c r="K62" i="3"/>
  <c r="L62" i="3"/>
  <c r="K63" i="3"/>
  <c r="L63" i="3"/>
  <c r="K64" i="3"/>
  <c r="L64" i="3"/>
  <c r="K65" i="3"/>
  <c r="L65" i="3"/>
  <c r="K66" i="3"/>
  <c r="L66" i="3"/>
  <c r="K67" i="3"/>
  <c r="L67" i="3"/>
  <c r="K68" i="3"/>
  <c r="L68" i="3"/>
  <c r="K69" i="3"/>
  <c r="L69" i="3"/>
  <c r="K70" i="3"/>
  <c r="L70" i="3"/>
  <c r="K71" i="3"/>
  <c r="L71" i="3"/>
  <c r="K72" i="3"/>
  <c r="L72" i="3"/>
  <c r="K73" i="3"/>
  <c r="L73" i="3"/>
  <c r="K74" i="3"/>
  <c r="L74" i="3"/>
  <c r="K75" i="3"/>
  <c r="L75" i="3"/>
  <c r="K76" i="3"/>
  <c r="L76" i="3"/>
  <c r="K77" i="3"/>
  <c r="L77" i="3"/>
  <c r="K78" i="3"/>
  <c r="L78" i="3"/>
  <c r="K79" i="3"/>
  <c r="L79" i="3"/>
  <c r="K80" i="3"/>
  <c r="L80" i="3"/>
  <c r="K81" i="3"/>
  <c r="L81" i="3"/>
  <c r="K82" i="3"/>
  <c r="L82" i="3"/>
  <c r="K83" i="3"/>
  <c r="L83" i="3"/>
  <c r="K84" i="3"/>
  <c r="L84" i="3"/>
  <c r="K85" i="3"/>
  <c r="L85" i="3"/>
  <c r="K86" i="3"/>
  <c r="L86" i="3"/>
  <c r="K87" i="3"/>
  <c r="L87" i="3"/>
  <c r="K88" i="3"/>
  <c r="L88" i="3"/>
  <c r="K89" i="3"/>
  <c r="L89" i="3"/>
  <c r="K90" i="3"/>
  <c r="L90" i="3"/>
  <c r="K91" i="3"/>
  <c r="L91" i="3"/>
  <c r="K92" i="3"/>
  <c r="L92" i="3"/>
  <c r="K93" i="3"/>
  <c r="L93" i="3"/>
  <c r="K94" i="3"/>
  <c r="L94" i="3"/>
  <c r="K95" i="3"/>
  <c r="L95" i="3"/>
  <c r="K96" i="3"/>
  <c r="L96" i="3"/>
  <c r="K97" i="3"/>
  <c r="L97" i="3"/>
  <c r="K98" i="3"/>
  <c r="L98" i="3"/>
  <c r="K99" i="3"/>
  <c r="L99" i="3"/>
  <c r="K100" i="3"/>
  <c r="L100" i="3"/>
  <c r="K101" i="3"/>
  <c r="L101" i="3"/>
  <c r="K102" i="3"/>
  <c r="L102" i="3"/>
  <c r="K103" i="3"/>
  <c r="L103" i="3"/>
  <c r="K104" i="3"/>
  <c r="L104" i="3"/>
  <c r="K105" i="3"/>
  <c r="L105" i="3"/>
  <c r="K106" i="3"/>
  <c r="L106" i="3"/>
  <c r="K107" i="3"/>
  <c r="L107" i="3"/>
  <c r="K108" i="3"/>
  <c r="L108" i="3"/>
  <c r="K109" i="3"/>
  <c r="L109" i="3"/>
  <c r="K110" i="3"/>
  <c r="L110" i="3"/>
  <c r="K111" i="3"/>
  <c r="L111" i="3"/>
  <c r="K112" i="3"/>
  <c r="L112" i="3"/>
  <c r="K113" i="3"/>
  <c r="L113" i="3"/>
  <c r="K114" i="3"/>
  <c r="L114" i="3"/>
  <c r="K115" i="3"/>
  <c r="L115" i="3"/>
  <c r="K116" i="3"/>
  <c r="L116" i="3"/>
  <c r="K117" i="3"/>
  <c r="L117" i="3"/>
  <c r="K118" i="3"/>
  <c r="L118" i="3"/>
  <c r="K119" i="3"/>
  <c r="L119" i="3"/>
  <c r="K120" i="3"/>
  <c r="L120" i="3"/>
  <c r="K121" i="3"/>
  <c r="L121" i="3"/>
  <c r="K122" i="3"/>
  <c r="L122" i="3"/>
  <c r="K123" i="3"/>
  <c r="L123" i="3"/>
  <c r="K124" i="3"/>
  <c r="L124" i="3"/>
  <c r="K125" i="3"/>
  <c r="L125" i="3"/>
  <c r="K188" i="3"/>
  <c r="L188" i="3"/>
  <c r="K189" i="3"/>
  <c r="L189" i="3"/>
  <c r="K190" i="3"/>
  <c r="L190" i="3"/>
  <c r="K191" i="3"/>
  <c r="L191" i="3"/>
  <c r="K192" i="3"/>
  <c r="L192" i="3"/>
  <c r="K193" i="3"/>
  <c r="L193" i="3"/>
  <c r="K194" i="3"/>
  <c r="L194" i="3"/>
  <c r="K195" i="3"/>
  <c r="L195" i="3"/>
  <c r="K196" i="3"/>
  <c r="L196" i="3"/>
  <c r="K197" i="3"/>
  <c r="L197" i="3"/>
  <c r="K198" i="3"/>
  <c r="L198" i="3"/>
  <c r="K199" i="3"/>
  <c r="L199" i="3"/>
  <c r="K200" i="3"/>
  <c r="L200" i="3"/>
  <c r="K201" i="3"/>
  <c r="L201" i="3"/>
  <c r="K202" i="3"/>
  <c r="L202" i="3"/>
  <c r="K203" i="3"/>
  <c r="L203" i="3"/>
  <c r="K204" i="3"/>
  <c r="L204" i="3"/>
  <c r="K205" i="3"/>
  <c r="L205" i="3"/>
  <c r="K206" i="3"/>
  <c r="L206" i="3"/>
  <c r="K207" i="3"/>
  <c r="L207" i="3"/>
  <c r="K208" i="3"/>
  <c r="L208" i="3"/>
  <c r="K209" i="3"/>
  <c r="L209" i="3"/>
  <c r="K210" i="3"/>
  <c r="L210" i="3"/>
  <c r="K211" i="3"/>
  <c r="L211" i="3"/>
  <c r="K212" i="3"/>
  <c r="L212" i="3"/>
  <c r="K213" i="3"/>
  <c r="L213" i="3"/>
  <c r="K214" i="3"/>
  <c r="L214" i="3"/>
  <c r="K215" i="3"/>
  <c r="L215" i="3"/>
  <c r="K216" i="3"/>
  <c r="L216" i="3"/>
  <c r="K217" i="3"/>
  <c r="L217" i="3"/>
  <c r="K218" i="3"/>
  <c r="L218" i="3"/>
  <c r="K219" i="3"/>
  <c r="L219" i="3"/>
  <c r="K220" i="3"/>
  <c r="L220" i="3"/>
  <c r="K221" i="3"/>
  <c r="L221" i="3"/>
  <c r="K222" i="3"/>
  <c r="L222" i="3"/>
  <c r="K223" i="3"/>
  <c r="L223" i="3"/>
  <c r="K224" i="3"/>
  <c r="L224" i="3"/>
  <c r="K225" i="3"/>
  <c r="L225" i="3"/>
  <c r="K226" i="3"/>
  <c r="L226" i="3"/>
  <c r="K227" i="3"/>
  <c r="L227" i="3"/>
  <c r="K228" i="3"/>
  <c r="L228" i="3"/>
  <c r="K229" i="3"/>
  <c r="L229" i="3"/>
  <c r="K230" i="3"/>
  <c r="L230" i="3"/>
  <c r="K231" i="3"/>
  <c r="L231" i="3"/>
  <c r="K232" i="3"/>
  <c r="L232" i="3"/>
  <c r="K233" i="3"/>
  <c r="L233" i="3"/>
  <c r="K234" i="3"/>
  <c r="L234" i="3"/>
  <c r="K235" i="3"/>
  <c r="L235" i="3"/>
  <c r="K236" i="3"/>
  <c r="L236" i="3"/>
  <c r="K237" i="3"/>
  <c r="L237" i="3"/>
  <c r="K238" i="3"/>
  <c r="L238" i="3"/>
  <c r="K239" i="3"/>
  <c r="L239" i="3"/>
  <c r="K240" i="3"/>
  <c r="L240" i="3"/>
  <c r="K241" i="3"/>
  <c r="L241" i="3"/>
  <c r="K242" i="3"/>
  <c r="L242" i="3"/>
  <c r="K243" i="3"/>
  <c r="L243" i="3"/>
  <c r="K244" i="3"/>
  <c r="L244" i="3"/>
  <c r="K245" i="3"/>
  <c r="L245" i="3"/>
  <c r="K246" i="3"/>
  <c r="L246" i="3"/>
  <c r="K247" i="3"/>
  <c r="L247" i="3"/>
  <c r="K248" i="3"/>
  <c r="L248" i="3"/>
  <c r="K249" i="3"/>
  <c r="L249" i="3"/>
  <c r="K250" i="3"/>
  <c r="L250" i="3"/>
  <c r="K251" i="3"/>
  <c r="L251" i="3"/>
  <c r="K252" i="3"/>
  <c r="L252" i="3"/>
  <c r="K253" i="3"/>
  <c r="L253" i="3"/>
  <c r="K254" i="3"/>
  <c r="L254" i="3"/>
  <c r="K255" i="3"/>
  <c r="L255" i="3"/>
  <c r="K256" i="3"/>
  <c r="L256" i="3"/>
  <c r="K257" i="3"/>
  <c r="L257" i="3"/>
  <c r="K258" i="3"/>
  <c r="L258" i="3"/>
  <c r="K259" i="3"/>
  <c r="L259" i="3"/>
  <c r="K260" i="3"/>
  <c r="L260" i="3"/>
  <c r="K261" i="3"/>
  <c r="L261" i="3"/>
  <c r="K262" i="3"/>
  <c r="L262" i="3"/>
  <c r="K263" i="3"/>
  <c r="L263" i="3"/>
  <c r="K264" i="3"/>
  <c r="L264" i="3"/>
  <c r="K265" i="3"/>
  <c r="L265" i="3"/>
  <c r="K266" i="3"/>
  <c r="L266" i="3"/>
  <c r="K267" i="3"/>
  <c r="L267" i="3"/>
  <c r="K268" i="3"/>
  <c r="L268" i="3"/>
  <c r="K269" i="3"/>
  <c r="L269" i="3"/>
  <c r="K270" i="3"/>
  <c r="L270" i="3"/>
  <c r="K271" i="3"/>
  <c r="L271" i="3"/>
  <c r="K272" i="3"/>
  <c r="L272" i="3"/>
  <c r="K273" i="3"/>
  <c r="L273" i="3"/>
  <c r="K274" i="3"/>
  <c r="L274" i="3"/>
  <c r="K275" i="3"/>
  <c r="L275" i="3"/>
  <c r="K276" i="3"/>
  <c r="L276" i="3"/>
  <c r="K277" i="3"/>
  <c r="L277" i="3"/>
  <c r="K278" i="3"/>
  <c r="L278" i="3"/>
  <c r="K279" i="3"/>
  <c r="L279" i="3"/>
  <c r="K280" i="3"/>
  <c r="L280" i="3"/>
  <c r="K281" i="3"/>
  <c r="L281" i="3"/>
  <c r="K282" i="3"/>
  <c r="L282" i="3"/>
  <c r="K283" i="3"/>
  <c r="L283" i="3"/>
  <c r="K284" i="3"/>
  <c r="L284" i="3"/>
  <c r="K285" i="3"/>
  <c r="L285" i="3"/>
  <c r="K286" i="3"/>
  <c r="L286" i="3"/>
  <c r="K287" i="3"/>
  <c r="L287" i="3"/>
  <c r="K288" i="3"/>
  <c r="L288" i="3"/>
  <c r="K289" i="3"/>
  <c r="L289" i="3"/>
  <c r="K290" i="3"/>
  <c r="L290" i="3"/>
  <c r="K291" i="3"/>
  <c r="L291" i="3"/>
  <c r="K292" i="3"/>
  <c r="L292" i="3"/>
  <c r="K293" i="3"/>
  <c r="L293" i="3"/>
  <c r="K294" i="3"/>
  <c r="L294" i="3"/>
  <c r="K295" i="3"/>
  <c r="L295" i="3"/>
  <c r="K296" i="3"/>
  <c r="L296" i="3"/>
  <c r="K297" i="3"/>
  <c r="L297" i="3"/>
  <c r="K298" i="3"/>
  <c r="L298" i="3"/>
  <c r="K299" i="3"/>
  <c r="L299" i="3"/>
  <c r="K300" i="3"/>
  <c r="L300" i="3"/>
  <c r="K301" i="3"/>
  <c r="L301" i="3"/>
  <c r="K302" i="3"/>
  <c r="L302" i="3"/>
  <c r="K303" i="3"/>
  <c r="L303" i="3"/>
  <c r="K304" i="3"/>
  <c r="L304" i="3"/>
  <c r="K305" i="3"/>
  <c r="L305" i="3"/>
  <c r="K306" i="3"/>
  <c r="L306" i="3"/>
  <c r="K307" i="3"/>
  <c r="L307" i="3"/>
  <c r="K308" i="3"/>
  <c r="L308" i="3"/>
  <c r="K309" i="3"/>
  <c r="L309" i="3"/>
  <c r="K310" i="3"/>
  <c r="L310" i="3"/>
  <c r="K311" i="3"/>
  <c r="L311" i="3"/>
  <c r="K312" i="3"/>
  <c r="L312" i="3"/>
  <c r="K313" i="3"/>
  <c r="L313" i="3"/>
  <c r="K314" i="3"/>
  <c r="L314" i="3"/>
  <c r="K315" i="3"/>
  <c r="L315" i="3"/>
  <c r="K316" i="3"/>
  <c r="L316" i="3"/>
  <c r="K317" i="3"/>
  <c r="L317" i="3"/>
  <c r="K318" i="3"/>
  <c r="L318" i="3"/>
  <c r="K319" i="3"/>
  <c r="L319" i="3"/>
  <c r="K320" i="3"/>
  <c r="L320" i="3"/>
  <c r="K321" i="3"/>
  <c r="L321" i="3"/>
  <c r="K322" i="3"/>
  <c r="L322" i="3"/>
  <c r="K323" i="3"/>
  <c r="L323" i="3"/>
  <c r="K324" i="3"/>
  <c r="L324" i="3"/>
  <c r="K325" i="3"/>
  <c r="L325" i="3"/>
  <c r="K326" i="3"/>
  <c r="L326" i="3"/>
  <c r="K327" i="3"/>
  <c r="L327" i="3"/>
  <c r="K328" i="3"/>
  <c r="L328" i="3"/>
  <c r="K329" i="3"/>
  <c r="L329" i="3"/>
  <c r="K330" i="3"/>
  <c r="L330" i="3"/>
  <c r="K331" i="3"/>
  <c r="L331" i="3"/>
  <c r="K332" i="3"/>
  <c r="L332" i="3"/>
  <c r="K333" i="3"/>
  <c r="L333" i="3"/>
  <c r="K334" i="3"/>
  <c r="L334" i="3"/>
  <c r="K335" i="3"/>
  <c r="L335" i="3"/>
  <c r="K336" i="3"/>
  <c r="L336" i="3"/>
  <c r="K337" i="3"/>
  <c r="L337" i="3"/>
  <c r="K338" i="3"/>
  <c r="L338" i="3"/>
  <c r="K339" i="3"/>
  <c r="L339" i="3"/>
  <c r="K340" i="3"/>
  <c r="L340" i="3"/>
  <c r="K341" i="3"/>
  <c r="L341" i="3"/>
  <c r="K342" i="3"/>
  <c r="L342" i="3"/>
  <c r="K343" i="3"/>
  <c r="L343" i="3"/>
  <c r="K344" i="3"/>
  <c r="L344" i="3"/>
  <c r="K345" i="3"/>
  <c r="L345" i="3"/>
  <c r="K346" i="3"/>
  <c r="L346" i="3"/>
  <c r="K347" i="3"/>
  <c r="L347" i="3"/>
  <c r="K348" i="3"/>
  <c r="L348" i="3"/>
  <c r="K349" i="3"/>
  <c r="L349" i="3"/>
  <c r="K350" i="3"/>
  <c r="L350" i="3"/>
  <c r="K351" i="3"/>
  <c r="L351" i="3"/>
  <c r="K352" i="3"/>
  <c r="L352" i="3"/>
  <c r="K353" i="3"/>
  <c r="L353" i="3"/>
  <c r="K354" i="3"/>
  <c r="L354" i="3"/>
  <c r="K355" i="3"/>
  <c r="L355" i="3"/>
  <c r="K356" i="3"/>
  <c r="L356" i="3"/>
  <c r="K357" i="3"/>
  <c r="L357" i="3"/>
  <c r="K358" i="3"/>
  <c r="L358" i="3"/>
  <c r="K359" i="3"/>
  <c r="L359" i="3"/>
  <c r="K360" i="3"/>
  <c r="L360" i="3"/>
  <c r="K361" i="3"/>
  <c r="L361" i="3"/>
  <c r="K362" i="3"/>
  <c r="L362" i="3"/>
  <c r="K363" i="3"/>
  <c r="L363" i="3"/>
  <c r="K364" i="3"/>
  <c r="L364" i="3"/>
  <c r="K365" i="3"/>
  <c r="L365" i="3"/>
  <c r="K366" i="3"/>
  <c r="L366" i="3"/>
  <c r="K367" i="3"/>
  <c r="L367" i="3"/>
  <c r="K368" i="3"/>
  <c r="L368" i="3"/>
  <c r="K369" i="3"/>
  <c r="L369" i="3"/>
  <c r="K370" i="3"/>
  <c r="L370" i="3"/>
  <c r="K371" i="3"/>
  <c r="L371" i="3"/>
  <c r="K372" i="3"/>
  <c r="L372" i="3"/>
  <c r="K373" i="3"/>
  <c r="L373" i="3"/>
  <c r="K374" i="3"/>
  <c r="L374" i="3"/>
  <c r="K375" i="3"/>
  <c r="L375" i="3"/>
  <c r="K376" i="3"/>
  <c r="L376" i="3"/>
  <c r="K377" i="3"/>
  <c r="L377" i="3"/>
  <c r="K378" i="3"/>
  <c r="L378" i="3"/>
  <c r="K379" i="3"/>
  <c r="L379" i="3"/>
  <c r="K380" i="3"/>
  <c r="L380" i="3"/>
  <c r="K381" i="3"/>
  <c r="L381" i="3"/>
  <c r="K382" i="3"/>
  <c r="L382" i="3"/>
  <c r="K383" i="3"/>
  <c r="L383" i="3"/>
  <c r="K384" i="3"/>
  <c r="L384" i="3"/>
  <c r="K385" i="3"/>
  <c r="L385" i="3"/>
  <c r="K386" i="3"/>
  <c r="L386" i="3"/>
  <c r="K387" i="3"/>
  <c r="L387" i="3"/>
  <c r="K388" i="3"/>
  <c r="L388" i="3"/>
  <c r="K389" i="3"/>
  <c r="L389" i="3"/>
  <c r="K390" i="3"/>
  <c r="L390" i="3"/>
  <c r="K391" i="3"/>
  <c r="L391" i="3"/>
  <c r="K392" i="3"/>
  <c r="L392" i="3"/>
  <c r="K393" i="3"/>
  <c r="L393" i="3"/>
  <c r="K394" i="3"/>
  <c r="L394" i="3"/>
  <c r="K395" i="3"/>
  <c r="L395" i="3"/>
  <c r="K396" i="3"/>
  <c r="L396" i="3"/>
  <c r="K397" i="3"/>
  <c r="L397" i="3"/>
  <c r="K398" i="3"/>
  <c r="L398" i="3"/>
  <c r="K399" i="3"/>
  <c r="L399" i="3"/>
  <c r="K400" i="3"/>
  <c r="L400" i="3"/>
  <c r="K401" i="3"/>
  <c r="L401" i="3"/>
  <c r="K402" i="3"/>
  <c r="L402" i="3"/>
  <c r="K403" i="3"/>
  <c r="L403" i="3"/>
  <c r="K404" i="3"/>
  <c r="L404" i="3"/>
  <c r="K405" i="3"/>
  <c r="L405" i="3"/>
  <c r="K406" i="3"/>
  <c r="L406" i="3"/>
  <c r="K407" i="3"/>
  <c r="L407" i="3"/>
  <c r="K408" i="3"/>
  <c r="L408" i="3"/>
  <c r="K409" i="3"/>
  <c r="L409" i="3"/>
  <c r="K410" i="3"/>
  <c r="L410" i="3"/>
  <c r="K411" i="3"/>
  <c r="L411" i="3"/>
  <c r="K412" i="3"/>
  <c r="L412" i="3"/>
  <c r="K413" i="3"/>
  <c r="L413" i="3"/>
  <c r="K414" i="3"/>
  <c r="L414" i="3"/>
  <c r="K415" i="3"/>
  <c r="L415" i="3"/>
  <c r="K416" i="3"/>
  <c r="L416" i="3"/>
  <c r="K417" i="3"/>
  <c r="L417" i="3"/>
  <c r="K418" i="3"/>
  <c r="L418" i="3"/>
  <c r="K419" i="3"/>
  <c r="L419" i="3"/>
  <c r="K420" i="3"/>
  <c r="L420" i="3"/>
  <c r="K421" i="3"/>
  <c r="L421" i="3"/>
  <c r="K422" i="3"/>
  <c r="L422" i="3"/>
  <c r="K423" i="3"/>
  <c r="L423" i="3"/>
  <c r="K424" i="3"/>
  <c r="L424" i="3"/>
  <c r="K425" i="3"/>
  <c r="L425" i="3"/>
  <c r="K426" i="3"/>
  <c r="L426" i="3"/>
  <c r="K427" i="3"/>
  <c r="L427" i="3"/>
  <c r="K428" i="3"/>
  <c r="L428" i="3"/>
  <c r="K429" i="3"/>
  <c r="L429" i="3"/>
  <c r="K430" i="3"/>
  <c r="L430" i="3"/>
  <c r="K431" i="3"/>
  <c r="L431" i="3"/>
  <c r="K432" i="3"/>
  <c r="L432" i="3"/>
  <c r="K433" i="3"/>
  <c r="L433" i="3"/>
  <c r="K434" i="3"/>
  <c r="L434" i="3"/>
  <c r="K435" i="3"/>
  <c r="L435" i="3"/>
  <c r="K436" i="3"/>
  <c r="L436" i="3"/>
  <c r="K437" i="3"/>
  <c r="L437" i="3"/>
  <c r="K438" i="3"/>
  <c r="L438" i="3"/>
  <c r="K439" i="3"/>
  <c r="L439" i="3"/>
  <c r="K440" i="3"/>
  <c r="L440" i="3"/>
  <c r="K441" i="3"/>
  <c r="L441" i="3"/>
  <c r="K442" i="3"/>
  <c r="L442" i="3"/>
  <c r="K443" i="3"/>
  <c r="L443" i="3"/>
  <c r="K444" i="3"/>
  <c r="L444" i="3"/>
  <c r="K445" i="3"/>
  <c r="L445" i="3"/>
  <c r="K446" i="3"/>
  <c r="L446" i="3"/>
  <c r="K447" i="3"/>
  <c r="L447" i="3"/>
  <c r="K448" i="3"/>
  <c r="L448" i="3"/>
  <c r="K449" i="3"/>
  <c r="L449" i="3"/>
  <c r="K450" i="3"/>
  <c r="L450" i="3"/>
  <c r="K451" i="3"/>
  <c r="L451" i="3"/>
  <c r="K452" i="3"/>
  <c r="L452" i="3"/>
  <c r="K453" i="3"/>
  <c r="L453" i="3"/>
  <c r="K454" i="3"/>
  <c r="L454" i="3"/>
  <c r="K455" i="3"/>
  <c r="L455" i="3"/>
  <c r="K456" i="3"/>
  <c r="L456" i="3"/>
  <c r="K457" i="3"/>
  <c r="L457" i="3"/>
  <c r="K458" i="3"/>
  <c r="L458" i="3"/>
  <c r="K459" i="3"/>
  <c r="L459" i="3"/>
  <c r="K460" i="3"/>
  <c r="L460" i="3"/>
  <c r="K461" i="3"/>
  <c r="L461" i="3"/>
  <c r="K462" i="3"/>
  <c r="L462" i="3"/>
  <c r="K463" i="3"/>
  <c r="L463" i="3"/>
  <c r="K464" i="3"/>
  <c r="L464" i="3"/>
  <c r="K465" i="3"/>
  <c r="L465" i="3"/>
  <c r="K466" i="3"/>
  <c r="L466" i="3"/>
  <c r="K467" i="3"/>
  <c r="L467" i="3"/>
  <c r="K468" i="3"/>
  <c r="L468" i="3"/>
  <c r="K469" i="3"/>
  <c r="L469" i="3"/>
  <c r="K470" i="3"/>
  <c r="L470" i="3"/>
  <c r="K471" i="3"/>
  <c r="L471" i="3"/>
  <c r="K472" i="3"/>
  <c r="L472" i="3"/>
  <c r="K473" i="3"/>
  <c r="L473" i="3"/>
  <c r="K474" i="3"/>
  <c r="L474" i="3"/>
  <c r="K475" i="3"/>
  <c r="L475" i="3"/>
  <c r="K476" i="3"/>
  <c r="L476" i="3"/>
  <c r="K477" i="3"/>
  <c r="L477" i="3"/>
  <c r="K478" i="3"/>
  <c r="L478" i="3"/>
  <c r="K479" i="3"/>
  <c r="L479" i="3"/>
  <c r="K480" i="3"/>
  <c r="L480" i="3"/>
  <c r="K481" i="3"/>
  <c r="L481" i="3"/>
  <c r="K482" i="3"/>
  <c r="L482" i="3"/>
  <c r="K483" i="3"/>
  <c r="L483" i="3"/>
  <c r="K484" i="3"/>
  <c r="L484" i="3"/>
  <c r="K485" i="3"/>
  <c r="L485" i="3"/>
  <c r="K486" i="3"/>
  <c r="L486" i="3"/>
  <c r="K487" i="3"/>
  <c r="L487" i="3"/>
  <c r="K488" i="3"/>
  <c r="L488" i="3"/>
  <c r="K489" i="3"/>
  <c r="L489" i="3"/>
  <c r="K490" i="3"/>
  <c r="L490" i="3"/>
  <c r="K491" i="3"/>
  <c r="L491" i="3"/>
  <c r="K492" i="3"/>
  <c r="L492" i="3"/>
  <c r="K493" i="3"/>
  <c r="L493" i="3"/>
  <c r="K494" i="3"/>
  <c r="L494" i="3"/>
  <c r="K495" i="3"/>
  <c r="L495" i="3"/>
  <c r="K496" i="3"/>
  <c r="L496" i="3"/>
  <c r="K497" i="3"/>
  <c r="L497" i="3"/>
  <c r="K498" i="3"/>
  <c r="L498" i="3"/>
  <c r="K499" i="3"/>
  <c r="L499" i="3"/>
  <c r="K500" i="3"/>
  <c r="L500" i="3"/>
  <c r="K501" i="3"/>
  <c r="L501" i="3"/>
  <c r="K502" i="3"/>
  <c r="L502" i="3"/>
  <c r="K503" i="3"/>
  <c r="L503" i="3"/>
  <c r="K504" i="3"/>
  <c r="L504" i="3"/>
  <c r="K505" i="3"/>
  <c r="L505" i="3"/>
  <c r="K506" i="3"/>
  <c r="L506" i="3"/>
  <c r="K507" i="3"/>
  <c r="L507" i="3"/>
  <c r="K508" i="3"/>
  <c r="L508" i="3"/>
  <c r="K509" i="3"/>
  <c r="L509" i="3"/>
  <c r="K510" i="3"/>
  <c r="L510" i="3"/>
  <c r="K511" i="3"/>
  <c r="L511" i="3"/>
  <c r="K512" i="3"/>
  <c r="L512" i="3"/>
  <c r="K513" i="3"/>
  <c r="L513" i="3"/>
  <c r="K514" i="3"/>
  <c r="L514" i="3"/>
  <c r="K515" i="3"/>
  <c r="L515" i="3"/>
  <c r="K516" i="3"/>
  <c r="L516" i="3"/>
  <c r="K517" i="3"/>
  <c r="L517" i="3"/>
  <c r="K518" i="3"/>
  <c r="L518" i="3"/>
  <c r="K519" i="3"/>
  <c r="L519" i="3"/>
  <c r="K520" i="3"/>
  <c r="L520" i="3"/>
  <c r="K521" i="3"/>
  <c r="L521" i="3"/>
  <c r="K522" i="3"/>
  <c r="L522" i="3"/>
  <c r="K523" i="3"/>
  <c r="L523" i="3"/>
  <c r="K524" i="3"/>
  <c r="L524" i="3"/>
  <c r="K525" i="3"/>
  <c r="L525" i="3"/>
  <c r="K526" i="3"/>
  <c r="L526" i="3"/>
  <c r="K527" i="3"/>
  <c r="L527" i="3"/>
  <c r="K528" i="3"/>
  <c r="L528" i="3"/>
  <c r="K529" i="3"/>
  <c r="L529" i="3"/>
  <c r="K530" i="3"/>
  <c r="L530" i="3"/>
  <c r="K531" i="3"/>
  <c r="L531" i="3"/>
  <c r="K532" i="3"/>
  <c r="L532" i="3"/>
  <c r="K533" i="3"/>
  <c r="L533" i="3"/>
  <c r="K534" i="3"/>
  <c r="L534" i="3"/>
  <c r="K535" i="3"/>
  <c r="L535" i="3"/>
  <c r="K536" i="3"/>
  <c r="L536" i="3"/>
  <c r="K537" i="3"/>
  <c r="L537" i="3"/>
  <c r="K538" i="3"/>
  <c r="L538" i="3"/>
  <c r="K539" i="3"/>
  <c r="L539" i="3"/>
  <c r="K540" i="3"/>
  <c r="L540" i="3"/>
  <c r="K541" i="3"/>
  <c r="L541" i="3"/>
  <c r="K542" i="3"/>
  <c r="L542" i="3"/>
  <c r="K543" i="3"/>
  <c r="L543" i="3"/>
  <c r="K544" i="3"/>
  <c r="L544" i="3"/>
  <c r="K545" i="3"/>
  <c r="L545" i="3"/>
  <c r="K546" i="3"/>
  <c r="L546" i="3"/>
  <c r="K547" i="3"/>
  <c r="L547" i="3"/>
  <c r="K548" i="3"/>
  <c r="L548" i="3"/>
  <c r="K549" i="3"/>
  <c r="L549" i="3"/>
  <c r="K550" i="3"/>
  <c r="L550" i="3"/>
  <c r="K551" i="3"/>
  <c r="L551" i="3"/>
  <c r="K552" i="3"/>
  <c r="L552" i="3"/>
  <c r="K553" i="3"/>
  <c r="L553" i="3"/>
  <c r="K554" i="3"/>
  <c r="L554" i="3"/>
  <c r="K555" i="3"/>
  <c r="L555" i="3"/>
  <c r="K556" i="3"/>
  <c r="L556" i="3"/>
  <c r="K557" i="3"/>
  <c r="L557" i="3"/>
  <c r="K558" i="3"/>
  <c r="L558" i="3"/>
  <c r="K559" i="3"/>
  <c r="L559" i="3"/>
  <c r="K560" i="3"/>
  <c r="L560" i="3"/>
  <c r="K561" i="3"/>
  <c r="L561" i="3"/>
  <c r="K562" i="3"/>
  <c r="L562" i="3"/>
  <c r="K563" i="3"/>
  <c r="L563" i="3"/>
  <c r="K564" i="3"/>
  <c r="L564" i="3"/>
  <c r="K565" i="3"/>
  <c r="L565" i="3"/>
  <c r="K566" i="3"/>
  <c r="L566" i="3"/>
  <c r="K567" i="3"/>
  <c r="L567" i="3"/>
  <c r="K568" i="3"/>
  <c r="L568" i="3"/>
  <c r="K569" i="3"/>
  <c r="L569" i="3"/>
  <c r="K570" i="3"/>
  <c r="L570" i="3"/>
  <c r="K571" i="3"/>
  <c r="L571" i="3"/>
  <c r="K572" i="3"/>
  <c r="L572" i="3"/>
  <c r="K573" i="3"/>
  <c r="L573" i="3"/>
  <c r="K574" i="3"/>
  <c r="L574" i="3"/>
  <c r="K575" i="3"/>
  <c r="L575" i="3"/>
  <c r="K576" i="3"/>
  <c r="L576" i="3"/>
  <c r="K577" i="3"/>
  <c r="L577" i="3"/>
  <c r="K578" i="3"/>
  <c r="L578" i="3"/>
  <c r="K579" i="3"/>
  <c r="L579" i="3"/>
  <c r="K580" i="3"/>
  <c r="L580" i="3"/>
  <c r="K581" i="3"/>
  <c r="L581" i="3"/>
  <c r="K582" i="3"/>
  <c r="L582" i="3"/>
  <c r="K583" i="3"/>
  <c r="L583" i="3"/>
  <c r="K584" i="3"/>
  <c r="L584" i="3"/>
  <c r="K585" i="3"/>
  <c r="L585" i="3"/>
  <c r="K586" i="3"/>
  <c r="L586" i="3"/>
  <c r="K587" i="3"/>
  <c r="L587" i="3"/>
  <c r="K588" i="3"/>
  <c r="L588" i="3"/>
  <c r="K589" i="3"/>
  <c r="L589" i="3"/>
  <c r="K590" i="3"/>
  <c r="L590" i="3"/>
  <c r="K591" i="3"/>
  <c r="L591" i="3"/>
  <c r="K592" i="3"/>
  <c r="L592" i="3"/>
  <c r="K593" i="3"/>
  <c r="L593" i="3"/>
  <c r="K594" i="3"/>
  <c r="L594" i="3"/>
  <c r="K595" i="3"/>
  <c r="L595" i="3"/>
  <c r="K596" i="3"/>
  <c r="L596" i="3"/>
  <c r="K597" i="3"/>
  <c r="L597" i="3"/>
  <c r="K598" i="3"/>
  <c r="L598" i="3"/>
  <c r="K599" i="3"/>
  <c r="L599" i="3"/>
  <c r="K600" i="3"/>
  <c r="L600" i="3"/>
  <c r="K601" i="3"/>
  <c r="L601" i="3"/>
  <c r="K602" i="3"/>
  <c r="L602" i="3"/>
  <c r="K603" i="3"/>
  <c r="L603" i="3"/>
  <c r="K604" i="3"/>
  <c r="L604" i="3"/>
  <c r="K605" i="3"/>
  <c r="L605" i="3"/>
  <c r="K606" i="3"/>
  <c r="L606" i="3"/>
  <c r="K607" i="3"/>
  <c r="L607" i="3"/>
  <c r="K608" i="3"/>
  <c r="L608" i="3"/>
  <c r="K609" i="3"/>
  <c r="L609" i="3"/>
  <c r="K610" i="3"/>
  <c r="L610" i="3"/>
  <c r="K611" i="3"/>
  <c r="L611" i="3"/>
  <c r="K612" i="3"/>
  <c r="L612" i="3"/>
  <c r="K613" i="3"/>
  <c r="L613" i="3"/>
  <c r="K614" i="3"/>
  <c r="L614" i="3"/>
  <c r="K615" i="3"/>
  <c r="L615" i="3"/>
  <c r="K616" i="3"/>
  <c r="L616" i="3"/>
  <c r="K617" i="3"/>
  <c r="L617" i="3"/>
  <c r="K618" i="3"/>
  <c r="L618" i="3"/>
  <c r="K619" i="3"/>
  <c r="L619" i="3"/>
  <c r="K620" i="3"/>
  <c r="L620" i="3"/>
  <c r="K621" i="3"/>
  <c r="L621" i="3"/>
  <c r="K622" i="3"/>
  <c r="L622" i="3"/>
  <c r="K623" i="3"/>
  <c r="L623" i="3"/>
  <c r="K624" i="3"/>
  <c r="L624" i="3"/>
  <c r="K625" i="3"/>
  <c r="L625" i="3"/>
  <c r="K626" i="3"/>
  <c r="L626" i="3"/>
  <c r="K627" i="3"/>
  <c r="L627" i="3"/>
  <c r="K628" i="3"/>
  <c r="L628" i="3"/>
  <c r="K629" i="3"/>
  <c r="L629" i="3"/>
  <c r="K630" i="3"/>
  <c r="L630" i="3"/>
  <c r="K631" i="3"/>
  <c r="L631" i="3"/>
  <c r="K632" i="3"/>
  <c r="L632" i="3"/>
  <c r="K633" i="3"/>
  <c r="L633" i="3"/>
  <c r="K634" i="3"/>
  <c r="L634" i="3"/>
  <c r="K635" i="3"/>
  <c r="L635" i="3"/>
  <c r="K636" i="3"/>
  <c r="L636" i="3"/>
  <c r="K637" i="3"/>
  <c r="L637" i="3"/>
  <c r="K638" i="3"/>
  <c r="L638" i="3"/>
  <c r="K639" i="3"/>
  <c r="L639" i="3"/>
  <c r="K640" i="3"/>
  <c r="L640" i="3"/>
  <c r="K641" i="3"/>
  <c r="L641" i="3"/>
  <c r="K642" i="3"/>
  <c r="L642" i="3"/>
  <c r="K643" i="3"/>
  <c r="L643" i="3"/>
  <c r="K644" i="3"/>
  <c r="L644" i="3"/>
  <c r="K645" i="3"/>
  <c r="L645" i="3"/>
  <c r="K646" i="3"/>
  <c r="L646" i="3"/>
  <c r="K647" i="3"/>
  <c r="L647" i="3"/>
  <c r="K648" i="3"/>
  <c r="L648" i="3"/>
  <c r="K649" i="3"/>
  <c r="L649" i="3"/>
  <c r="K650" i="3"/>
  <c r="L650" i="3"/>
  <c r="K651" i="3"/>
  <c r="L651" i="3"/>
  <c r="K652" i="3"/>
  <c r="L652" i="3"/>
  <c r="K653" i="3"/>
  <c r="L653" i="3"/>
  <c r="K654" i="3"/>
  <c r="L654" i="3"/>
  <c r="K655" i="3"/>
  <c r="L655" i="3"/>
  <c r="K656" i="3"/>
  <c r="L656" i="3"/>
  <c r="K657" i="3"/>
  <c r="L657" i="3"/>
  <c r="K658" i="3"/>
  <c r="L658" i="3"/>
  <c r="K659" i="3"/>
  <c r="L659" i="3"/>
  <c r="K660" i="3"/>
  <c r="L660" i="3"/>
  <c r="K661" i="3"/>
  <c r="L661" i="3"/>
  <c r="K662" i="3"/>
  <c r="L662" i="3"/>
  <c r="K663" i="3"/>
  <c r="L663" i="3"/>
  <c r="K664" i="3"/>
  <c r="L664" i="3"/>
  <c r="K665" i="3"/>
  <c r="L665" i="3"/>
  <c r="K666" i="3"/>
  <c r="L666" i="3"/>
  <c r="K667" i="3"/>
  <c r="L667" i="3"/>
  <c r="K668" i="3"/>
  <c r="L668" i="3"/>
  <c r="K669" i="3"/>
  <c r="L669" i="3"/>
  <c r="K670" i="3"/>
  <c r="L670" i="3"/>
  <c r="K671" i="3"/>
  <c r="L671" i="3"/>
  <c r="K672" i="3"/>
  <c r="L672" i="3"/>
  <c r="K673" i="3"/>
  <c r="L673" i="3"/>
  <c r="K674" i="3"/>
  <c r="L674" i="3"/>
  <c r="K675" i="3"/>
  <c r="L675" i="3"/>
  <c r="K676" i="3"/>
  <c r="L676" i="3"/>
  <c r="K677" i="3"/>
  <c r="L677" i="3"/>
  <c r="K678" i="3"/>
  <c r="L678" i="3"/>
  <c r="K679" i="3"/>
  <c r="L679" i="3"/>
  <c r="K680" i="3"/>
  <c r="L680" i="3"/>
  <c r="K681" i="3"/>
  <c r="L681" i="3"/>
  <c r="K682" i="3"/>
  <c r="L682" i="3"/>
  <c r="K683" i="3"/>
  <c r="L683" i="3"/>
  <c r="K684" i="3"/>
  <c r="L684" i="3"/>
  <c r="K685" i="3"/>
  <c r="L685" i="3"/>
  <c r="K686" i="3"/>
  <c r="L686" i="3"/>
  <c r="K687" i="3"/>
  <c r="L687" i="3"/>
  <c r="K688" i="3"/>
  <c r="L688" i="3"/>
  <c r="K689" i="3"/>
  <c r="L689" i="3"/>
  <c r="K690" i="3"/>
  <c r="L690" i="3"/>
  <c r="K691" i="3"/>
  <c r="L691" i="3"/>
  <c r="K692" i="3"/>
  <c r="L692" i="3"/>
  <c r="K693" i="3"/>
  <c r="L693" i="3"/>
  <c r="K694" i="3"/>
  <c r="L694" i="3"/>
  <c r="K695" i="3"/>
  <c r="L695" i="3"/>
  <c r="K696" i="3"/>
  <c r="L696" i="3"/>
  <c r="K697" i="3"/>
  <c r="L697" i="3"/>
  <c r="K698" i="3"/>
  <c r="L698" i="3"/>
  <c r="K699" i="3"/>
  <c r="L699" i="3"/>
  <c r="K700" i="3"/>
  <c r="L700" i="3"/>
  <c r="K701" i="3"/>
  <c r="L701" i="3"/>
  <c r="K702" i="3"/>
  <c r="L702" i="3"/>
  <c r="K703" i="3"/>
  <c r="L703" i="3"/>
  <c r="K704" i="3"/>
  <c r="L704" i="3"/>
  <c r="K705" i="3"/>
  <c r="L705" i="3"/>
  <c r="K706" i="3"/>
  <c r="L706" i="3"/>
  <c r="K707" i="3"/>
  <c r="L707" i="3"/>
  <c r="K708" i="3"/>
  <c r="L708" i="3"/>
  <c r="K709" i="3"/>
  <c r="L709" i="3"/>
  <c r="K710" i="3"/>
  <c r="L710" i="3"/>
  <c r="K711" i="3"/>
  <c r="L711" i="3"/>
  <c r="K712" i="3"/>
  <c r="L712" i="3"/>
  <c r="K713" i="3"/>
  <c r="L713" i="3"/>
  <c r="K714" i="3"/>
  <c r="L714" i="3"/>
  <c r="K715" i="3"/>
  <c r="L715" i="3"/>
  <c r="K716" i="3"/>
  <c r="L716" i="3"/>
  <c r="K717" i="3"/>
  <c r="L717" i="3"/>
  <c r="K718" i="3"/>
  <c r="L718" i="3"/>
  <c r="K719" i="3"/>
  <c r="L719" i="3"/>
  <c r="K720" i="3"/>
  <c r="L720" i="3"/>
  <c r="K721" i="3"/>
  <c r="L721" i="3"/>
  <c r="K722" i="3"/>
  <c r="L722" i="3"/>
  <c r="K723" i="3"/>
  <c r="L723" i="3"/>
  <c r="K724" i="3"/>
  <c r="L724" i="3"/>
  <c r="K725" i="3"/>
  <c r="L725" i="3"/>
  <c r="K726" i="3"/>
  <c r="L726" i="3"/>
  <c r="K727" i="3"/>
  <c r="L727" i="3"/>
  <c r="K728" i="3"/>
  <c r="L728" i="3"/>
  <c r="K729" i="3"/>
  <c r="L729" i="3"/>
  <c r="K730" i="3"/>
  <c r="L730" i="3"/>
  <c r="K731" i="3"/>
  <c r="L731" i="3"/>
  <c r="K732" i="3"/>
  <c r="L732" i="3"/>
  <c r="K733" i="3"/>
  <c r="L733" i="3"/>
  <c r="K734" i="3"/>
  <c r="L734" i="3"/>
  <c r="K735" i="3"/>
  <c r="L735" i="3"/>
  <c r="K736" i="3"/>
  <c r="L736" i="3"/>
  <c r="K737" i="3"/>
  <c r="L737" i="3"/>
  <c r="K738" i="3"/>
  <c r="L738" i="3"/>
  <c r="K739" i="3"/>
  <c r="L739" i="3"/>
  <c r="K740" i="3"/>
  <c r="L740" i="3"/>
  <c r="K741" i="3"/>
  <c r="L741" i="3"/>
  <c r="K742" i="3"/>
  <c r="L742" i="3"/>
  <c r="K743" i="3"/>
  <c r="L743" i="3"/>
  <c r="K744" i="3"/>
  <c r="L744" i="3"/>
  <c r="K745" i="3"/>
  <c r="L745" i="3"/>
  <c r="K746" i="3"/>
  <c r="L746" i="3"/>
  <c r="K747" i="3"/>
  <c r="L747" i="3"/>
  <c r="K748" i="3"/>
  <c r="L748" i="3"/>
  <c r="K749" i="3"/>
  <c r="L749" i="3"/>
  <c r="K750" i="3"/>
  <c r="L750" i="3"/>
  <c r="K751" i="3"/>
  <c r="L751" i="3"/>
  <c r="K752" i="3"/>
  <c r="L752" i="3"/>
  <c r="K753" i="3"/>
  <c r="L753" i="3"/>
  <c r="K754" i="3"/>
  <c r="L754" i="3"/>
  <c r="K755" i="3"/>
  <c r="L755" i="3"/>
  <c r="K756" i="3"/>
  <c r="L756" i="3"/>
  <c r="K757" i="3"/>
  <c r="L757" i="3"/>
  <c r="K758" i="3"/>
  <c r="L758" i="3"/>
  <c r="K759" i="3"/>
  <c r="L759" i="3"/>
  <c r="K760" i="3"/>
  <c r="L760" i="3"/>
  <c r="K761" i="3"/>
  <c r="L761" i="3"/>
  <c r="K762" i="3"/>
  <c r="L762" i="3"/>
  <c r="K763" i="3"/>
  <c r="L763" i="3"/>
  <c r="K764" i="3"/>
  <c r="L764" i="3"/>
  <c r="K765" i="3"/>
  <c r="L765" i="3"/>
  <c r="K766" i="3"/>
  <c r="L766" i="3"/>
  <c r="K767" i="3"/>
  <c r="L767" i="3"/>
  <c r="K768" i="3"/>
  <c r="L768" i="3"/>
  <c r="K769" i="3"/>
  <c r="L769" i="3"/>
  <c r="K770" i="3"/>
  <c r="L770" i="3"/>
  <c r="K771" i="3"/>
  <c r="L771" i="3"/>
  <c r="K772" i="3"/>
  <c r="L772" i="3"/>
  <c r="K773" i="3"/>
  <c r="L773" i="3"/>
  <c r="K774" i="3"/>
  <c r="L774" i="3"/>
  <c r="K775" i="3"/>
  <c r="L775" i="3"/>
  <c r="K776" i="3"/>
  <c r="L776" i="3"/>
  <c r="K777" i="3"/>
  <c r="L777" i="3"/>
  <c r="K778" i="3"/>
  <c r="L778" i="3"/>
  <c r="K779" i="3"/>
  <c r="L779" i="3"/>
  <c r="K780" i="3"/>
  <c r="L780" i="3"/>
  <c r="K781" i="3"/>
  <c r="L781" i="3"/>
  <c r="K782" i="3"/>
  <c r="L782" i="3"/>
  <c r="K783" i="3"/>
  <c r="L783" i="3"/>
  <c r="K784" i="3"/>
  <c r="L784" i="3"/>
  <c r="K785" i="3"/>
  <c r="L785" i="3"/>
  <c r="K786" i="3"/>
  <c r="L786" i="3"/>
  <c r="K787" i="3"/>
  <c r="L787" i="3"/>
  <c r="K788" i="3"/>
  <c r="L788" i="3"/>
  <c r="K789" i="3"/>
  <c r="L789" i="3"/>
  <c r="K790" i="3"/>
  <c r="L790" i="3"/>
  <c r="K791" i="3"/>
  <c r="L791" i="3"/>
  <c r="K792" i="3"/>
  <c r="L792" i="3"/>
  <c r="K793" i="3"/>
  <c r="L793" i="3"/>
  <c r="K794" i="3"/>
  <c r="L794" i="3"/>
  <c r="K795" i="3"/>
  <c r="L795" i="3"/>
  <c r="K796" i="3"/>
  <c r="L796" i="3"/>
  <c r="K797" i="3"/>
  <c r="L797" i="3"/>
  <c r="K798" i="3"/>
  <c r="L798" i="3"/>
  <c r="K799" i="3"/>
  <c r="L799" i="3"/>
  <c r="K800" i="3"/>
  <c r="L800" i="3"/>
  <c r="K801" i="3"/>
  <c r="L801" i="3"/>
  <c r="K802" i="3"/>
  <c r="L802" i="3"/>
  <c r="K803" i="3"/>
  <c r="L803" i="3"/>
  <c r="K804" i="3"/>
  <c r="L804" i="3"/>
  <c r="K805" i="3"/>
  <c r="L805" i="3"/>
  <c r="K806" i="3"/>
  <c r="L806" i="3"/>
  <c r="K807" i="3"/>
  <c r="L807" i="3"/>
  <c r="K808" i="3"/>
  <c r="L808" i="3"/>
  <c r="K809" i="3"/>
  <c r="L809" i="3"/>
  <c r="K810" i="3"/>
  <c r="L810" i="3"/>
  <c r="K811" i="3"/>
  <c r="L811" i="3"/>
  <c r="K812" i="3"/>
  <c r="L812" i="3"/>
  <c r="K813" i="3"/>
  <c r="L813" i="3"/>
  <c r="K814" i="3"/>
  <c r="L814" i="3"/>
  <c r="K815" i="3"/>
  <c r="L815" i="3"/>
  <c r="K816" i="3"/>
  <c r="L816" i="3"/>
  <c r="K817" i="3"/>
  <c r="L817" i="3"/>
  <c r="K818" i="3"/>
  <c r="L818" i="3"/>
  <c r="K819" i="3"/>
  <c r="L819" i="3"/>
  <c r="K820" i="3"/>
  <c r="L820" i="3"/>
  <c r="K821" i="3"/>
  <c r="L821" i="3"/>
  <c r="K822" i="3"/>
  <c r="L822" i="3"/>
  <c r="K823" i="3"/>
  <c r="L823" i="3"/>
  <c r="K824" i="3"/>
  <c r="L824" i="3"/>
  <c r="K825" i="3"/>
  <c r="L825" i="3"/>
  <c r="K826" i="3"/>
  <c r="L826" i="3"/>
  <c r="K827" i="3"/>
  <c r="L827" i="3"/>
  <c r="K828" i="3"/>
  <c r="L828" i="3"/>
  <c r="K829" i="3"/>
  <c r="L829" i="3"/>
  <c r="K830" i="3"/>
  <c r="L830" i="3"/>
  <c r="K831" i="3"/>
  <c r="L831" i="3"/>
  <c r="K832" i="3"/>
  <c r="L832" i="3"/>
  <c r="K833" i="3"/>
  <c r="L833" i="3"/>
  <c r="K834" i="3"/>
  <c r="L834" i="3"/>
  <c r="K835" i="3"/>
  <c r="L835" i="3"/>
  <c r="K836" i="3"/>
  <c r="L836" i="3"/>
  <c r="K837" i="3"/>
  <c r="L837" i="3"/>
  <c r="K838" i="3"/>
  <c r="L838" i="3"/>
  <c r="K839" i="3"/>
  <c r="L839" i="3"/>
  <c r="K840" i="3"/>
  <c r="L840" i="3"/>
  <c r="K841" i="3"/>
  <c r="L841" i="3"/>
  <c r="K842" i="3"/>
  <c r="L842" i="3"/>
  <c r="K843" i="3"/>
  <c r="L843" i="3"/>
  <c r="K844" i="3"/>
  <c r="L844" i="3"/>
  <c r="K845" i="3"/>
  <c r="L845" i="3"/>
  <c r="K846" i="3"/>
  <c r="L846" i="3"/>
  <c r="K847" i="3"/>
  <c r="L847" i="3"/>
  <c r="K848" i="3"/>
  <c r="L848" i="3"/>
  <c r="K849" i="3"/>
  <c r="L849" i="3"/>
  <c r="K850" i="3"/>
  <c r="L850" i="3"/>
  <c r="K851" i="3"/>
  <c r="L851" i="3"/>
  <c r="K852" i="3"/>
  <c r="L852" i="3"/>
  <c r="K853" i="3"/>
  <c r="L853" i="3"/>
  <c r="K854" i="3"/>
  <c r="L854" i="3"/>
  <c r="K855" i="3"/>
  <c r="L855" i="3"/>
  <c r="K856" i="3"/>
  <c r="L856" i="3"/>
  <c r="K857" i="3"/>
  <c r="L857" i="3"/>
  <c r="K858" i="3"/>
  <c r="L858" i="3"/>
  <c r="K859" i="3"/>
  <c r="L859" i="3"/>
  <c r="K860" i="3"/>
  <c r="L860" i="3"/>
  <c r="K861" i="3"/>
  <c r="L861" i="3"/>
  <c r="K862" i="3"/>
  <c r="L862" i="3"/>
  <c r="K863" i="3"/>
  <c r="L863" i="3"/>
  <c r="K864" i="3"/>
  <c r="L864" i="3"/>
  <c r="K865" i="3"/>
  <c r="L865" i="3"/>
  <c r="K866" i="3"/>
  <c r="L866" i="3"/>
  <c r="K867" i="3"/>
  <c r="L867" i="3"/>
  <c r="K868" i="3"/>
  <c r="L868" i="3"/>
  <c r="K869" i="3"/>
  <c r="L869" i="3"/>
  <c r="K870" i="3"/>
  <c r="L870" i="3"/>
  <c r="K871" i="3"/>
  <c r="L871" i="3"/>
  <c r="K872" i="3"/>
  <c r="L872" i="3"/>
  <c r="K873" i="3"/>
  <c r="L873" i="3"/>
  <c r="K874" i="3"/>
  <c r="L874" i="3"/>
  <c r="K875" i="3"/>
  <c r="L875" i="3"/>
  <c r="K876" i="3"/>
  <c r="L876" i="3"/>
  <c r="K877" i="3"/>
  <c r="L877" i="3"/>
  <c r="K878" i="3"/>
  <c r="L878" i="3"/>
  <c r="K879" i="3"/>
  <c r="L879" i="3"/>
  <c r="K880" i="3"/>
  <c r="L880" i="3"/>
  <c r="K881" i="3"/>
  <c r="L881" i="3"/>
  <c r="K882" i="3"/>
  <c r="L882" i="3"/>
  <c r="K883" i="3"/>
  <c r="L883" i="3"/>
  <c r="K884" i="3"/>
  <c r="L884" i="3"/>
  <c r="K885" i="3"/>
  <c r="L885" i="3"/>
  <c r="K886" i="3"/>
  <c r="L886" i="3"/>
  <c r="K887" i="3"/>
  <c r="L887" i="3"/>
  <c r="K888" i="3"/>
  <c r="L888" i="3"/>
  <c r="K889" i="3"/>
  <c r="L889" i="3"/>
  <c r="K890" i="3"/>
  <c r="L890" i="3"/>
  <c r="K891" i="3"/>
  <c r="L891" i="3"/>
  <c r="K892" i="3"/>
  <c r="L892" i="3"/>
  <c r="K893" i="3"/>
  <c r="L893" i="3"/>
  <c r="K894" i="3"/>
  <c r="L894" i="3"/>
  <c r="K895" i="3"/>
  <c r="L895" i="3"/>
  <c r="K896" i="3"/>
  <c r="L896" i="3"/>
  <c r="K897" i="3"/>
  <c r="L897" i="3"/>
  <c r="K898" i="3"/>
  <c r="L898" i="3"/>
  <c r="K899" i="3"/>
  <c r="L899" i="3"/>
  <c r="K900" i="3"/>
  <c r="L900" i="3"/>
  <c r="K901" i="3"/>
  <c r="L901" i="3"/>
  <c r="K902" i="3"/>
  <c r="L902" i="3"/>
  <c r="K903" i="3"/>
  <c r="L903" i="3"/>
  <c r="K904" i="3"/>
  <c r="L904" i="3"/>
  <c r="K905" i="3"/>
  <c r="L905" i="3"/>
  <c r="K906" i="3"/>
  <c r="L906" i="3"/>
  <c r="K907" i="3"/>
  <c r="L907" i="3"/>
  <c r="K908" i="3"/>
  <c r="L908" i="3"/>
  <c r="K909" i="3"/>
  <c r="L909" i="3"/>
  <c r="K910" i="3"/>
  <c r="L910" i="3"/>
  <c r="K911" i="3"/>
  <c r="L911" i="3"/>
  <c r="K912" i="3"/>
  <c r="L912" i="3"/>
  <c r="K913" i="3"/>
  <c r="L913" i="3"/>
  <c r="K914" i="3"/>
  <c r="L914" i="3"/>
  <c r="K915" i="3"/>
  <c r="L915" i="3"/>
  <c r="K916" i="3"/>
  <c r="L916" i="3"/>
  <c r="K917" i="3"/>
  <c r="L917" i="3"/>
  <c r="K918" i="3"/>
  <c r="L918" i="3"/>
  <c r="K919" i="3"/>
  <c r="L919" i="3"/>
  <c r="K920" i="3"/>
  <c r="L920" i="3"/>
  <c r="K921" i="3"/>
  <c r="L921" i="3"/>
  <c r="K922" i="3"/>
  <c r="L922" i="3"/>
  <c r="K923" i="3"/>
  <c r="L923" i="3"/>
  <c r="K924" i="3"/>
  <c r="L924" i="3"/>
  <c r="K925" i="3"/>
  <c r="L925" i="3"/>
  <c r="K926" i="3"/>
  <c r="L926" i="3"/>
  <c r="K927" i="3"/>
  <c r="L927" i="3"/>
  <c r="K928" i="3"/>
  <c r="L928" i="3"/>
  <c r="K929" i="3"/>
  <c r="L929" i="3"/>
  <c r="K930" i="3"/>
  <c r="L930" i="3"/>
  <c r="K931" i="3"/>
  <c r="L931" i="3"/>
  <c r="K932" i="3"/>
  <c r="L932" i="3"/>
  <c r="K933" i="3"/>
  <c r="L933" i="3"/>
  <c r="K934" i="3"/>
  <c r="L934" i="3"/>
  <c r="K935" i="3"/>
  <c r="L935" i="3"/>
  <c r="K936" i="3"/>
  <c r="L936" i="3"/>
  <c r="K937" i="3"/>
  <c r="L937" i="3"/>
  <c r="K938" i="3"/>
  <c r="L938" i="3"/>
  <c r="K939" i="3"/>
  <c r="L939" i="3"/>
  <c r="K940" i="3"/>
  <c r="L940" i="3"/>
  <c r="K941" i="3"/>
  <c r="L941" i="3"/>
  <c r="K942" i="3"/>
  <c r="L942" i="3"/>
  <c r="K943" i="3"/>
  <c r="L943" i="3"/>
  <c r="K944" i="3"/>
  <c r="L944" i="3"/>
  <c r="K945" i="3"/>
  <c r="L945" i="3"/>
  <c r="K946" i="3"/>
  <c r="L946" i="3"/>
  <c r="K947" i="3"/>
  <c r="L947" i="3"/>
  <c r="K948" i="3"/>
  <c r="L948" i="3"/>
  <c r="K949" i="3"/>
  <c r="L949" i="3"/>
  <c r="K950" i="3"/>
  <c r="L950" i="3"/>
  <c r="K951" i="3"/>
  <c r="L951" i="3"/>
  <c r="K952" i="3"/>
  <c r="L952" i="3"/>
  <c r="K953" i="3"/>
  <c r="L953" i="3"/>
  <c r="K954" i="3"/>
  <c r="L954" i="3"/>
  <c r="K955" i="3"/>
  <c r="L955" i="3"/>
  <c r="K956" i="3"/>
  <c r="L956" i="3"/>
  <c r="K957" i="3"/>
  <c r="L957" i="3"/>
  <c r="K958" i="3"/>
  <c r="L958" i="3"/>
  <c r="K959" i="3"/>
  <c r="L959" i="3"/>
  <c r="K960" i="3"/>
  <c r="L960" i="3"/>
  <c r="K961" i="3"/>
  <c r="L961" i="3"/>
  <c r="K962" i="3"/>
  <c r="L962" i="3"/>
  <c r="K963" i="3"/>
  <c r="L963" i="3"/>
  <c r="K964" i="3"/>
  <c r="L964" i="3"/>
  <c r="K965" i="3"/>
  <c r="L965" i="3"/>
  <c r="K966" i="3"/>
  <c r="L966" i="3"/>
  <c r="K967" i="3"/>
  <c r="L967" i="3"/>
  <c r="K968" i="3"/>
  <c r="L968" i="3"/>
  <c r="K969" i="3"/>
  <c r="L969" i="3"/>
  <c r="K970" i="3"/>
  <c r="L970" i="3"/>
  <c r="K971" i="3"/>
  <c r="L971" i="3"/>
  <c r="K972" i="3"/>
  <c r="L972" i="3"/>
  <c r="K973" i="3"/>
  <c r="L973" i="3"/>
  <c r="K974" i="3"/>
  <c r="L974" i="3"/>
  <c r="K975" i="3"/>
  <c r="L975" i="3"/>
  <c r="K976" i="3"/>
  <c r="L976" i="3"/>
  <c r="K977" i="3"/>
  <c r="L977" i="3"/>
  <c r="K978" i="3"/>
  <c r="L978" i="3"/>
  <c r="K979" i="3"/>
  <c r="L979" i="3"/>
  <c r="K980" i="3"/>
  <c r="L980" i="3"/>
  <c r="K981" i="3"/>
  <c r="L981" i="3"/>
  <c r="K982" i="3"/>
  <c r="L982" i="3"/>
  <c r="K983" i="3"/>
  <c r="L983" i="3"/>
  <c r="K984" i="3"/>
  <c r="L984" i="3"/>
  <c r="K985" i="3"/>
  <c r="L985" i="3"/>
  <c r="K986" i="3"/>
  <c r="L986" i="3"/>
  <c r="K987" i="3"/>
  <c r="L987" i="3"/>
  <c r="K988" i="3"/>
  <c r="L988" i="3"/>
  <c r="K989" i="3"/>
  <c r="L989" i="3"/>
  <c r="K990" i="3"/>
  <c r="L990" i="3"/>
  <c r="K991" i="3"/>
  <c r="L991" i="3"/>
  <c r="K992" i="3"/>
  <c r="L992" i="3"/>
  <c r="K993" i="3"/>
  <c r="L993" i="3"/>
  <c r="L2" i="3"/>
  <c r="K2" i="3"/>
  <c r="C614" i="3"/>
  <c r="D614" i="3"/>
  <c r="F614" i="3"/>
  <c r="G614" i="3"/>
  <c r="C615" i="3"/>
  <c r="D615" i="3"/>
  <c r="F615" i="3"/>
  <c r="G615" i="3"/>
  <c r="C616" i="3"/>
  <c r="D616" i="3"/>
  <c r="F616" i="3"/>
  <c r="G616" i="3"/>
  <c r="C617" i="3"/>
  <c r="D617" i="3"/>
  <c r="F617" i="3"/>
  <c r="G617" i="3"/>
  <c r="C618" i="3"/>
  <c r="D618" i="3"/>
  <c r="F618" i="3"/>
  <c r="G618" i="3"/>
  <c r="C619" i="3"/>
  <c r="D619" i="3"/>
  <c r="F619" i="3"/>
  <c r="G619" i="3"/>
  <c r="C620" i="3"/>
  <c r="D620" i="3"/>
  <c r="F620" i="3"/>
  <c r="G620" i="3"/>
  <c r="C621" i="3"/>
  <c r="D621" i="3"/>
  <c r="F621" i="3"/>
  <c r="G621" i="3"/>
  <c r="C622" i="3"/>
  <c r="D622" i="3"/>
  <c r="F622" i="3"/>
  <c r="G622" i="3"/>
  <c r="C623" i="3"/>
  <c r="D623" i="3"/>
  <c r="F623" i="3"/>
  <c r="G623" i="3"/>
  <c r="C624" i="3"/>
  <c r="D624" i="3"/>
  <c r="F624" i="3"/>
  <c r="G624" i="3"/>
  <c r="C625" i="3"/>
  <c r="D625" i="3"/>
  <c r="F625" i="3"/>
  <c r="G625" i="3"/>
  <c r="C626" i="3"/>
  <c r="D626" i="3"/>
  <c r="F626" i="3"/>
  <c r="G626" i="3"/>
  <c r="C627" i="3"/>
  <c r="D627" i="3"/>
  <c r="F627" i="3"/>
  <c r="G627" i="3"/>
  <c r="C628" i="3"/>
  <c r="D628" i="3"/>
  <c r="F628" i="3"/>
  <c r="G628" i="3"/>
  <c r="C629" i="3"/>
  <c r="D629" i="3"/>
  <c r="F629" i="3"/>
  <c r="G629" i="3"/>
  <c r="C630" i="3"/>
  <c r="D630" i="3"/>
  <c r="F630" i="3"/>
  <c r="G630" i="3"/>
  <c r="C631" i="3"/>
  <c r="D631" i="3"/>
  <c r="F631" i="3"/>
  <c r="G631" i="3"/>
  <c r="C632" i="3"/>
  <c r="D632" i="3"/>
  <c r="F632" i="3"/>
  <c r="G632" i="3"/>
  <c r="C633" i="3"/>
  <c r="D633" i="3"/>
  <c r="F633" i="3"/>
  <c r="G633" i="3"/>
  <c r="C634" i="3"/>
  <c r="D634" i="3"/>
  <c r="F634" i="3"/>
  <c r="G634" i="3"/>
  <c r="C635" i="3"/>
  <c r="D635" i="3"/>
  <c r="F635" i="3"/>
  <c r="G635" i="3"/>
  <c r="C636" i="3"/>
  <c r="D636" i="3"/>
  <c r="F636" i="3"/>
  <c r="G636" i="3"/>
  <c r="C637" i="3"/>
  <c r="D637" i="3"/>
  <c r="F637" i="3"/>
  <c r="G637" i="3"/>
  <c r="C638" i="3"/>
  <c r="D638" i="3"/>
  <c r="F638" i="3"/>
  <c r="G638" i="3"/>
  <c r="C639" i="3"/>
  <c r="D639" i="3"/>
  <c r="F639" i="3"/>
  <c r="G639" i="3"/>
  <c r="C640" i="3"/>
  <c r="D640" i="3"/>
  <c r="F640" i="3"/>
  <c r="G640" i="3"/>
  <c r="C641" i="3"/>
  <c r="D641" i="3"/>
  <c r="F641" i="3"/>
  <c r="G641" i="3"/>
  <c r="C642" i="3"/>
  <c r="D642" i="3"/>
  <c r="F642" i="3"/>
  <c r="G642" i="3"/>
  <c r="C643" i="3"/>
  <c r="D643" i="3"/>
  <c r="F643" i="3"/>
  <c r="G643" i="3"/>
  <c r="C644" i="3"/>
  <c r="D644" i="3"/>
  <c r="F644" i="3"/>
  <c r="G644" i="3"/>
  <c r="C645" i="3"/>
  <c r="D645" i="3"/>
  <c r="F645" i="3"/>
  <c r="G645" i="3"/>
  <c r="C646" i="3"/>
  <c r="D646" i="3"/>
  <c r="F646" i="3"/>
  <c r="G646" i="3"/>
  <c r="C647" i="3"/>
  <c r="D647" i="3"/>
  <c r="F647" i="3"/>
  <c r="G647" i="3"/>
  <c r="C648" i="3"/>
  <c r="D648" i="3"/>
  <c r="F648" i="3"/>
  <c r="G648" i="3"/>
  <c r="C649" i="3"/>
  <c r="D649" i="3"/>
  <c r="F649" i="3"/>
  <c r="G649" i="3"/>
  <c r="C650" i="3"/>
  <c r="D650" i="3"/>
  <c r="F650" i="3"/>
  <c r="G650" i="3"/>
  <c r="C651" i="3"/>
  <c r="D651" i="3"/>
  <c r="F651" i="3"/>
  <c r="G651" i="3"/>
  <c r="C652" i="3"/>
  <c r="D652" i="3"/>
  <c r="F652" i="3"/>
  <c r="G652" i="3"/>
  <c r="C653" i="3"/>
  <c r="D653" i="3"/>
  <c r="F653" i="3"/>
  <c r="G653" i="3"/>
  <c r="C654" i="3"/>
  <c r="D654" i="3"/>
  <c r="F654" i="3"/>
  <c r="G654" i="3"/>
  <c r="C655" i="3"/>
  <c r="D655" i="3"/>
  <c r="F655" i="3"/>
  <c r="G655" i="3"/>
  <c r="C656" i="3"/>
  <c r="D656" i="3"/>
  <c r="F656" i="3"/>
  <c r="G656" i="3"/>
  <c r="C657" i="3"/>
  <c r="D657" i="3"/>
  <c r="F657" i="3"/>
  <c r="G657" i="3"/>
  <c r="C658" i="3"/>
  <c r="D658" i="3"/>
  <c r="F658" i="3"/>
  <c r="G658" i="3"/>
  <c r="C659" i="3"/>
  <c r="D659" i="3"/>
  <c r="F659" i="3"/>
  <c r="G659" i="3"/>
  <c r="C660" i="3"/>
  <c r="D660" i="3"/>
  <c r="F660" i="3"/>
  <c r="G660" i="3"/>
  <c r="C661" i="3"/>
  <c r="D661" i="3"/>
  <c r="F661" i="3"/>
  <c r="G661" i="3"/>
  <c r="C662" i="3"/>
  <c r="D662" i="3"/>
  <c r="F662" i="3"/>
  <c r="G662" i="3"/>
  <c r="C663" i="3"/>
  <c r="D663" i="3"/>
  <c r="F663" i="3"/>
  <c r="G663" i="3"/>
  <c r="C664" i="3"/>
  <c r="D664" i="3"/>
  <c r="F664" i="3"/>
  <c r="G664" i="3"/>
  <c r="C665" i="3"/>
  <c r="D665" i="3"/>
  <c r="F665" i="3"/>
  <c r="G665" i="3"/>
  <c r="C666" i="3"/>
  <c r="D666" i="3"/>
  <c r="F666" i="3"/>
  <c r="G666" i="3"/>
  <c r="C667" i="3"/>
  <c r="D667" i="3"/>
  <c r="F667" i="3"/>
  <c r="G667" i="3"/>
  <c r="C668" i="3"/>
  <c r="D668" i="3"/>
  <c r="F668" i="3"/>
  <c r="G668" i="3"/>
  <c r="C669" i="3"/>
  <c r="D669" i="3"/>
  <c r="F669" i="3"/>
  <c r="G669" i="3"/>
  <c r="C670" i="3"/>
  <c r="D670" i="3"/>
  <c r="F670" i="3"/>
  <c r="G670" i="3"/>
  <c r="C671" i="3"/>
  <c r="D671" i="3"/>
  <c r="F671" i="3"/>
  <c r="G671" i="3"/>
  <c r="C672" i="3"/>
  <c r="D672" i="3"/>
  <c r="F672" i="3"/>
  <c r="G672" i="3"/>
  <c r="C673" i="3"/>
  <c r="D673" i="3"/>
  <c r="F673" i="3"/>
  <c r="G673" i="3"/>
  <c r="C674" i="3"/>
  <c r="D674" i="3"/>
  <c r="F674" i="3"/>
  <c r="G674" i="3"/>
  <c r="C675" i="3"/>
  <c r="D675" i="3"/>
  <c r="F675" i="3"/>
  <c r="G675" i="3"/>
  <c r="C676" i="3"/>
  <c r="D676" i="3"/>
  <c r="F676" i="3"/>
  <c r="G676" i="3"/>
  <c r="C677" i="3"/>
  <c r="D677" i="3"/>
  <c r="F677" i="3"/>
  <c r="G677" i="3"/>
  <c r="C678" i="3"/>
  <c r="D678" i="3"/>
  <c r="F678" i="3"/>
  <c r="G678" i="3"/>
  <c r="C679" i="3"/>
  <c r="D679" i="3"/>
  <c r="F679" i="3"/>
  <c r="G679" i="3"/>
  <c r="C680" i="3"/>
  <c r="D680" i="3"/>
  <c r="F680" i="3"/>
  <c r="G680" i="3"/>
  <c r="C681" i="3"/>
  <c r="D681" i="3"/>
  <c r="F681" i="3"/>
  <c r="G681" i="3"/>
  <c r="C682" i="3"/>
  <c r="D682" i="3"/>
  <c r="F682" i="3"/>
  <c r="G682" i="3"/>
  <c r="C683" i="3"/>
  <c r="D683" i="3"/>
  <c r="F683" i="3"/>
  <c r="G683" i="3"/>
  <c r="C684" i="3"/>
  <c r="D684" i="3"/>
  <c r="F684" i="3"/>
  <c r="G684" i="3"/>
  <c r="C685" i="3"/>
  <c r="D685" i="3"/>
  <c r="F685" i="3"/>
  <c r="G685" i="3"/>
  <c r="C686" i="3"/>
  <c r="D686" i="3"/>
  <c r="F686" i="3"/>
  <c r="G686" i="3"/>
  <c r="C687" i="3"/>
  <c r="D687" i="3"/>
  <c r="F687" i="3"/>
  <c r="G687" i="3"/>
  <c r="C688" i="3"/>
  <c r="D688" i="3"/>
  <c r="F688" i="3"/>
  <c r="G688" i="3"/>
  <c r="C689" i="3"/>
  <c r="D689" i="3"/>
  <c r="F689" i="3"/>
  <c r="G689" i="3"/>
  <c r="C690" i="3"/>
  <c r="D690" i="3"/>
  <c r="F690" i="3"/>
  <c r="G690" i="3"/>
  <c r="C691" i="3"/>
  <c r="D691" i="3"/>
  <c r="F691" i="3"/>
  <c r="G691" i="3"/>
  <c r="C692" i="3"/>
  <c r="D692" i="3"/>
  <c r="F692" i="3"/>
  <c r="G692" i="3"/>
  <c r="C693" i="3"/>
  <c r="D693" i="3"/>
  <c r="F693" i="3"/>
  <c r="G693" i="3"/>
  <c r="C694" i="3"/>
  <c r="D694" i="3"/>
  <c r="F694" i="3"/>
  <c r="G694" i="3"/>
  <c r="C695" i="3"/>
  <c r="D695" i="3"/>
  <c r="F695" i="3"/>
  <c r="G695" i="3"/>
  <c r="C696" i="3"/>
  <c r="D696" i="3"/>
  <c r="F696" i="3"/>
  <c r="G696" i="3"/>
  <c r="C697" i="3"/>
  <c r="D697" i="3"/>
  <c r="F697" i="3"/>
  <c r="G697" i="3"/>
  <c r="C698" i="3"/>
  <c r="D698" i="3"/>
  <c r="F698" i="3"/>
  <c r="G698" i="3"/>
  <c r="C699" i="3"/>
  <c r="D699" i="3"/>
  <c r="F699" i="3"/>
  <c r="G699" i="3"/>
  <c r="C700" i="3"/>
  <c r="D700" i="3"/>
  <c r="F700" i="3"/>
  <c r="G700" i="3"/>
  <c r="C701" i="3"/>
  <c r="D701" i="3"/>
  <c r="F701" i="3"/>
  <c r="G701" i="3"/>
  <c r="C702" i="3"/>
  <c r="D702" i="3"/>
  <c r="F702" i="3"/>
  <c r="G702" i="3"/>
  <c r="C703" i="3"/>
  <c r="D703" i="3"/>
  <c r="F703" i="3"/>
  <c r="G703" i="3"/>
  <c r="C704" i="3"/>
  <c r="D704" i="3"/>
  <c r="F704" i="3"/>
  <c r="G704" i="3"/>
  <c r="C705" i="3"/>
  <c r="D705" i="3"/>
  <c r="F705" i="3"/>
  <c r="G705" i="3"/>
  <c r="C706" i="3"/>
  <c r="D706" i="3"/>
  <c r="F706" i="3"/>
  <c r="G706" i="3"/>
  <c r="C707" i="3"/>
  <c r="D707" i="3"/>
  <c r="F707" i="3"/>
  <c r="G707" i="3"/>
  <c r="C708" i="3"/>
  <c r="D708" i="3"/>
  <c r="F708" i="3"/>
  <c r="G708" i="3"/>
  <c r="C709" i="3"/>
  <c r="D709" i="3"/>
  <c r="F709" i="3"/>
  <c r="G709" i="3"/>
  <c r="C710" i="3"/>
  <c r="D710" i="3"/>
  <c r="F710" i="3"/>
  <c r="G710" i="3"/>
  <c r="C711" i="3"/>
  <c r="D711" i="3"/>
  <c r="F711" i="3"/>
  <c r="G711" i="3"/>
  <c r="C712" i="3"/>
  <c r="D712" i="3"/>
  <c r="F712" i="3"/>
  <c r="G712" i="3"/>
  <c r="C713" i="3"/>
  <c r="D713" i="3"/>
  <c r="F713" i="3"/>
  <c r="G713" i="3"/>
  <c r="C714" i="3"/>
  <c r="D714" i="3"/>
  <c r="F714" i="3"/>
  <c r="G714" i="3"/>
  <c r="C715" i="3"/>
  <c r="D715" i="3"/>
  <c r="F715" i="3"/>
  <c r="G715" i="3"/>
  <c r="C716" i="3"/>
  <c r="D716" i="3"/>
  <c r="F716" i="3"/>
  <c r="G716" i="3"/>
  <c r="C717" i="3"/>
  <c r="D717" i="3"/>
  <c r="F717" i="3"/>
  <c r="G717" i="3"/>
  <c r="C718" i="3"/>
  <c r="D718" i="3"/>
  <c r="F718" i="3"/>
  <c r="G718" i="3"/>
  <c r="C719" i="3"/>
  <c r="D719" i="3"/>
  <c r="F719" i="3"/>
  <c r="G719" i="3"/>
  <c r="C720" i="3"/>
  <c r="D720" i="3"/>
  <c r="F720" i="3"/>
  <c r="G720" i="3"/>
  <c r="C721" i="3"/>
  <c r="D721" i="3"/>
  <c r="F721" i="3"/>
  <c r="G721" i="3"/>
  <c r="C722" i="3"/>
  <c r="D722" i="3"/>
  <c r="F722" i="3"/>
  <c r="G722" i="3"/>
  <c r="C723" i="3"/>
  <c r="D723" i="3"/>
  <c r="F723" i="3"/>
  <c r="G723" i="3"/>
  <c r="C724" i="3"/>
  <c r="D724" i="3"/>
  <c r="F724" i="3"/>
  <c r="G724" i="3"/>
  <c r="C725" i="3"/>
  <c r="D725" i="3"/>
  <c r="F725" i="3"/>
  <c r="G725" i="3"/>
  <c r="C726" i="3"/>
  <c r="D726" i="3"/>
  <c r="F726" i="3"/>
  <c r="G726" i="3"/>
  <c r="C727" i="3"/>
  <c r="D727" i="3"/>
  <c r="F727" i="3"/>
  <c r="G727" i="3"/>
  <c r="C728" i="3"/>
  <c r="D728" i="3"/>
  <c r="F728" i="3"/>
  <c r="G728" i="3"/>
  <c r="C729" i="3"/>
  <c r="D729" i="3"/>
  <c r="F729" i="3"/>
  <c r="G729" i="3"/>
  <c r="C730" i="3"/>
  <c r="D730" i="3"/>
  <c r="F730" i="3"/>
  <c r="G730" i="3"/>
  <c r="C731" i="3"/>
  <c r="D731" i="3"/>
  <c r="F731" i="3"/>
  <c r="G731" i="3"/>
  <c r="C732" i="3"/>
  <c r="D732" i="3"/>
  <c r="F732" i="3"/>
  <c r="G732" i="3"/>
  <c r="C733" i="3"/>
  <c r="D733" i="3"/>
  <c r="F733" i="3"/>
  <c r="G733" i="3"/>
  <c r="C734" i="3"/>
  <c r="D734" i="3"/>
  <c r="F734" i="3"/>
  <c r="G734" i="3"/>
  <c r="C735" i="3"/>
  <c r="D735" i="3"/>
  <c r="F735" i="3"/>
  <c r="G735" i="3"/>
  <c r="C736" i="3"/>
  <c r="D736" i="3"/>
  <c r="F736" i="3"/>
  <c r="G736" i="3"/>
  <c r="C737" i="3"/>
  <c r="D737" i="3"/>
  <c r="F737" i="3"/>
  <c r="G737" i="3"/>
  <c r="C738" i="3"/>
  <c r="D738" i="3"/>
  <c r="F738" i="3"/>
  <c r="G738" i="3"/>
  <c r="C739" i="3"/>
  <c r="D739" i="3"/>
  <c r="F739" i="3"/>
  <c r="G739" i="3"/>
  <c r="C740" i="3"/>
  <c r="D740" i="3"/>
  <c r="F740" i="3"/>
  <c r="G740" i="3"/>
  <c r="C741" i="3"/>
  <c r="D741" i="3"/>
  <c r="F741" i="3"/>
  <c r="G741" i="3"/>
  <c r="C742" i="3"/>
  <c r="D742" i="3"/>
  <c r="F742" i="3"/>
  <c r="G742" i="3"/>
  <c r="C743" i="3"/>
  <c r="D743" i="3"/>
  <c r="F743" i="3"/>
  <c r="G743" i="3"/>
  <c r="C744" i="3"/>
  <c r="D744" i="3"/>
  <c r="F744" i="3"/>
  <c r="G744" i="3"/>
  <c r="C745" i="3"/>
  <c r="D745" i="3"/>
  <c r="F745" i="3"/>
  <c r="G745" i="3"/>
  <c r="C746" i="3"/>
  <c r="D746" i="3"/>
  <c r="F746" i="3"/>
  <c r="G746" i="3"/>
  <c r="C747" i="3"/>
  <c r="D747" i="3"/>
  <c r="F747" i="3"/>
  <c r="G747" i="3"/>
  <c r="C748" i="3"/>
  <c r="D748" i="3"/>
  <c r="F748" i="3"/>
  <c r="G748" i="3"/>
  <c r="C749" i="3"/>
  <c r="D749" i="3"/>
  <c r="F749" i="3"/>
  <c r="G749" i="3"/>
  <c r="C750" i="3"/>
  <c r="D750" i="3"/>
  <c r="F750" i="3"/>
  <c r="G750" i="3"/>
  <c r="C751" i="3"/>
  <c r="D751" i="3"/>
  <c r="F751" i="3"/>
  <c r="G751" i="3"/>
  <c r="C752" i="3"/>
  <c r="D752" i="3"/>
  <c r="F752" i="3"/>
  <c r="G752" i="3"/>
  <c r="C753" i="3"/>
  <c r="D753" i="3"/>
  <c r="F753" i="3"/>
  <c r="G753" i="3"/>
  <c r="C754" i="3"/>
  <c r="D754" i="3"/>
  <c r="F754" i="3"/>
  <c r="G754" i="3"/>
  <c r="C755" i="3"/>
  <c r="D755" i="3"/>
  <c r="F755" i="3"/>
  <c r="G755" i="3"/>
  <c r="C756" i="3"/>
  <c r="D756" i="3"/>
  <c r="F756" i="3"/>
  <c r="G756" i="3"/>
  <c r="C757" i="3"/>
  <c r="D757" i="3"/>
  <c r="F757" i="3"/>
  <c r="G757" i="3"/>
  <c r="C758" i="3"/>
  <c r="D758" i="3"/>
  <c r="F758" i="3"/>
  <c r="G758" i="3"/>
  <c r="C759" i="3"/>
  <c r="D759" i="3"/>
  <c r="F759" i="3"/>
  <c r="G759" i="3"/>
  <c r="C760" i="3"/>
  <c r="D760" i="3"/>
  <c r="F760" i="3"/>
  <c r="G760" i="3"/>
  <c r="C761" i="3"/>
  <c r="D761" i="3"/>
  <c r="F761" i="3"/>
  <c r="G761" i="3"/>
  <c r="C762" i="3"/>
  <c r="D762" i="3"/>
  <c r="F762" i="3"/>
  <c r="G762" i="3"/>
  <c r="C763" i="3"/>
  <c r="D763" i="3"/>
  <c r="F763" i="3"/>
  <c r="G763" i="3"/>
  <c r="C764" i="3"/>
  <c r="D764" i="3"/>
  <c r="F764" i="3"/>
  <c r="G764" i="3"/>
  <c r="C765" i="3"/>
  <c r="D765" i="3"/>
  <c r="F765" i="3"/>
  <c r="G765" i="3"/>
  <c r="C766" i="3"/>
  <c r="D766" i="3"/>
  <c r="F766" i="3"/>
  <c r="G766" i="3"/>
  <c r="C767" i="3"/>
  <c r="D767" i="3"/>
  <c r="F767" i="3"/>
  <c r="G767" i="3"/>
  <c r="C768" i="3"/>
  <c r="D768" i="3"/>
  <c r="F768" i="3"/>
  <c r="G768" i="3"/>
  <c r="C769" i="3"/>
  <c r="D769" i="3"/>
  <c r="F769" i="3"/>
  <c r="G769" i="3"/>
  <c r="C770" i="3"/>
  <c r="D770" i="3"/>
  <c r="F770" i="3"/>
  <c r="G770" i="3"/>
  <c r="C771" i="3"/>
  <c r="D771" i="3"/>
  <c r="F771" i="3"/>
  <c r="G771" i="3"/>
  <c r="C772" i="3"/>
  <c r="D772" i="3"/>
  <c r="F772" i="3"/>
  <c r="G772" i="3"/>
  <c r="C773" i="3"/>
  <c r="D773" i="3"/>
  <c r="F773" i="3"/>
  <c r="G773" i="3"/>
  <c r="C774" i="3"/>
  <c r="D774" i="3"/>
  <c r="F774" i="3"/>
  <c r="G774" i="3"/>
  <c r="C775" i="3"/>
  <c r="D775" i="3"/>
  <c r="F775" i="3"/>
  <c r="G775" i="3"/>
  <c r="C776" i="3"/>
  <c r="D776" i="3"/>
  <c r="F776" i="3"/>
  <c r="G776" i="3"/>
  <c r="C777" i="3"/>
  <c r="D777" i="3"/>
  <c r="F777" i="3"/>
  <c r="G777" i="3"/>
  <c r="C778" i="3"/>
  <c r="D778" i="3"/>
  <c r="F778" i="3"/>
  <c r="G778" i="3"/>
  <c r="C779" i="3"/>
  <c r="D779" i="3"/>
  <c r="F779" i="3"/>
  <c r="G779" i="3"/>
  <c r="C780" i="3"/>
  <c r="D780" i="3"/>
  <c r="F780" i="3"/>
  <c r="G780" i="3"/>
  <c r="C781" i="3"/>
  <c r="D781" i="3"/>
  <c r="F781" i="3"/>
  <c r="G781" i="3"/>
  <c r="C782" i="3"/>
  <c r="D782" i="3"/>
  <c r="F782" i="3"/>
  <c r="G782" i="3"/>
  <c r="C783" i="3"/>
  <c r="D783" i="3"/>
  <c r="F783" i="3"/>
  <c r="G783" i="3"/>
  <c r="C784" i="3"/>
  <c r="D784" i="3"/>
  <c r="F784" i="3"/>
  <c r="G784" i="3"/>
  <c r="C785" i="3"/>
  <c r="D785" i="3"/>
  <c r="F785" i="3"/>
  <c r="G785" i="3"/>
  <c r="C786" i="3"/>
  <c r="D786" i="3"/>
  <c r="F786" i="3"/>
  <c r="G786" i="3"/>
  <c r="C787" i="3"/>
  <c r="D787" i="3"/>
  <c r="F787" i="3"/>
  <c r="G787" i="3"/>
  <c r="C788" i="3"/>
  <c r="D788" i="3"/>
  <c r="F788" i="3"/>
  <c r="G788" i="3"/>
  <c r="C789" i="3"/>
  <c r="D789" i="3"/>
  <c r="F789" i="3"/>
  <c r="G789" i="3"/>
  <c r="C790" i="3"/>
  <c r="D790" i="3"/>
  <c r="F790" i="3"/>
  <c r="G790" i="3"/>
  <c r="C791" i="3"/>
  <c r="D791" i="3"/>
  <c r="F791" i="3"/>
  <c r="G791" i="3"/>
  <c r="C792" i="3"/>
  <c r="D792" i="3"/>
  <c r="F792" i="3"/>
  <c r="G792" i="3"/>
  <c r="C793" i="3"/>
  <c r="D793" i="3"/>
  <c r="F793" i="3"/>
  <c r="G793" i="3"/>
  <c r="C794" i="3"/>
  <c r="D794" i="3"/>
  <c r="F794" i="3"/>
  <c r="G794" i="3"/>
  <c r="C795" i="3"/>
  <c r="D795" i="3"/>
  <c r="F795" i="3"/>
  <c r="G795" i="3"/>
  <c r="C796" i="3"/>
  <c r="D796" i="3"/>
  <c r="F796" i="3"/>
  <c r="G796" i="3"/>
  <c r="C797" i="3"/>
  <c r="D797" i="3"/>
  <c r="F797" i="3"/>
  <c r="G797" i="3"/>
  <c r="C798" i="3"/>
  <c r="D798" i="3"/>
  <c r="F798" i="3"/>
  <c r="G798" i="3"/>
  <c r="C799" i="3"/>
  <c r="D799" i="3"/>
  <c r="F799" i="3"/>
  <c r="G799" i="3"/>
  <c r="C800" i="3"/>
  <c r="D800" i="3"/>
  <c r="F800" i="3"/>
  <c r="G800" i="3"/>
  <c r="C801" i="3"/>
  <c r="D801" i="3"/>
  <c r="F801" i="3"/>
  <c r="G801" i="3"/>
  <c r="C802" i="3"/>
  <c r="D802" i="3"/>
  <c r="F802" i="3"/>
  <c r="G802" i="3"/>
  <c r="C803" i="3"/>
  <c r="D803" i="3"/>
  <c r="F803" i="3"/>
  <c r="G803" i="3"/>
  <c r="C804" i="3"/>
  <c r="D804" i="3"/>
  <c r="F804" i="3"/>
  <c r="G804" i="3"/>
  <c r="C805" i="3"/>
  <c r="D805" i="3"/>
  <c r="F805" i="3"/>
  <c r="G805" i="3"/>
  <c r="C806" i="3"/>
  <c r="D806" i="3"/>
  <c r="F806" i="3"/>
  <c r="G806" i="3"/>
  <c r="C807" i="3"/>
  <c r="D807" i="3"/>
  <c r="F807" i="3"/>
  <c r="G807" i="3"/>
  <c r="C808" i="3"/>
  <c r="D808" i="3"/>
  <c r="F808" i="3"/>
  <c r="G808" i="3"/>
  <c r="C809" i="3"/>
  <c r="D809" i="3"/>
  <c r="F809" i="3"/>
  <c r="G809" i="3"/>
  <c r="C810" i="3"/>
  <c r="D810" i="3"/>
  <c r="F810" i="3"/>
  <c r="G810" i="3"/>
  <c r="C811" i="3"/>
  <c r="D811" i="3"/>
  <c r="F811" i="3"/>
  <c r="G811" i="3"/>
  <c r="C812" i="3"/>
  <c r="D812" i="3"/>
  <c r="F812" i="3"/>
  <c r="G812" i="3"/>
  <c r="C813" i="3"/>
  <c r="D813" i="3"/>
  <c r="F813" i="3"/>
  <c r="G813" i="3"/>
  <c r="C814" i="3"/>
  <c r="D814" i="3"/>
  <c r="F814" i="3"/>
  <c r="G814" i="3"/>
  <c r="C815" i="3"/>
  <c r="D815" i="3"/>
  <c r="F815" i="3"/>
  <c r="G815" i="3"/>
  <c r="C816" i="3"/>
  <c r="D816" i="3"/>
  <c r="F816" i="3"/>
  <c r="G816" i="3"/>
  <c r="C817" i="3"/>
  <c r="D817" i="3"/>
  <c r="F817" i="3"/>
  <c r="G817" i="3"/>
  <c r="C818" i="3"/>
  <c r="D818" i="3"/>
  <c r="F818" i="3"/>
  <c r="G818" i="3"/>
  <c r="C819" i="3"/>
  <c r="D819" i="3"/>
  <c r="F819" i="3"/>
  <c r="G819" i="3"/>
  <c r="C820" i="3"/>
  <c r="D820" i="3"/>
  <c r="F820" i="3"/>
  <c r="G820" i="3"/>
  <c r="C821" i="3"/>
  <c r="D821" i="3"/>
  <c r="F821" i="3"/>
  <c r="G821" i="3"/>
  <c r="C822" i="3"/>
  <c r="D822" i="3"/>
  <c r="F822" i="3"/>
  <c r="G822" i="3"/>
  <c r="C823" i="3"/>
  <c r="D823" i="3"/>
  <c r="F823" i="3"/>
  <c r="G823" i="3"/>
  <c r="C824" i="3"/>
  <c r="D824" i="3"/>
  <c r="F824" i="3"/>
  <c r="G824" i="3"/>
  <c r="C825" i="3"/>
  <c r="D825" i="3"/>
  <c r="F825" i="3"/>
  <c r="G825" i="3"/>
  <c r="C826" i="3"/>
  <c r="D826" i="3"/>
  <c r="F826" i="3"/>
  <c r="G826" i="3"/>
  <c r="C827" i="3"/>
  <c r="D827" i="3"/>
  <c r="F827" i="3"/>
  <c r="G827" i="3"/>
  <c r="C828" i="3"/>
  <c r="D828" i="3"/>
  <c r="F828" i="3"/>
  <c r="G828" i="3"/>
  <c r="C829" i="3"/>
  <c r="D829" i="3"/>
  <c r="F829" i="3"/>
  <c r="G829" i="3"/>
  <c r="C830" i="3"/>
  <c r="D830" i="3"/>
  <c r="F830" i="3"/>
  <c r="G830" i="3"/>
  <c r="C831" i="3"/>
  <c r="D831" i="3"/>
  <c r="F831" i="3"/>
  <c r="G831" i="3"/>
  <c r="C832" i="3"/>
  <c r="D832" i="3"/>
  <c r="F832" i="3"/>
  <c r="G832" i="3"/>
  <c r="C833" i="3"/>
  <c r="D833" i="3"/>
  <c r="F833" i="3"/>
  <c r="G833" i="3"/>
  <c r="C834" i="3"/>
  <c r="D834" i="3"/>
  <c r="F834" i="3"/>
  <c r="G834" i="3"/>
  <c r="C835" i="3"/>
  <c r="D835" i="3"/>
  <c r="F835" i="3"/>
  <c r="G835" i="3"/>
  <c r="C836" i="3"/>
  <c r="D836" i="3"/>
  <c r="F836" i="3"/>
  <c r="G836" i="3"/>
  <c r="C837" i="3"/>
  <c r="D837" i="3"/>
  <c r="F837" i="3"/>
  <c r="G837" i="3"/>
  <c r="C838" i="3"/>
  <c r="D838" i="3"/>
  <c r="F838" i="3"/>
  <c r="G838" i="3"/>
  <c r="C839" i="3"/>
  <c r="D839" i="3"/>
  <c r="F839" i="3"/>
  <c r="G839" i="3"/>
  <c r="C840" i="3"/>
  <c r="D840" i="3"/>
  <c r="F840" i="3"/>
  <c r="G840" i="3"/>
  <c r="C841" i="3"/>
  <c r="D841" i="3"/>
  <c r="F841" i="3"/>
  <c r="G841" i="3"/>
  <c r="C842" i="3"/>
  <c r="D842" i="3"/>
  <c r="F842" i="3"/>
  <c r="G842" i="3"/>
  <c r="C843" i="3"/>
  <c r="D843" i="3"/>
  <c r="F843" i="3"/>
  <c r="G843" i="3"/>
  <c r="C844" i="3"/>
  <c r="D844" i="3"/>
  <c r="F844" i="3"/>
  <c r="G844" i="3"/>
  <c r="C845" i="3"/>
  <c r="D845" i="3"/>
  <c r="F845" i="3"/>
  <c r="G845" i="3"/>
  <c r="C846" i="3"/>
  <c r="D846" i="3"/>
  <c r="F846" i="3"/>
  <c r="G846" i="3"/>
  <c r="C847" i="3"/>
  <c r="D847" i="3"/>
  <c r="F847" i="3"/>
  <c r="G847" i="3"/>
  <c r="C848" i="3"/>
  <c r="D848" i="3"/>
  <c r="F848" i="3"/>
  <c r="G848" i="3"/>
  <c r="C849" i="3"/>
  <c r="D849" i="3"/>
  <c r="F849" i="3"/>
  <c r="G849" i="3"/>
  <c r="C850" i="3"/>
  <c r="D850" i="3"/>
  <c r="F850" i="3"/>
  <c r="G850" i="3"/>
  <c r="C851" i="3"/>
  <c r="D851" i="3"/>
  <c r="F851" i="3"/>
  <c r="G851" i="3"/>
  <c r="C852" i="3"/>
  <c r="D852" i="3"/>
  <c r="F852" i="3"/>
  <c r="G852" i="3"/>
  <c r="C853" i="3"/>
  <c r="D853" i="3"/>
  <c r="F853" i="3"/>
  <c r="G853" i="3"/>
  <c r="C854" i="3"/>
  <c r="D854" i="3"/>
  <c r="F854" i="3"/>
  <c r="G854" i="3"/>
  <c r="C855" i="3"/>
  <c r="D855" i="3"/>
  <c r="F855" i="3"/>
  <c r="G855" i="3"/>
  <c r="C856" i="3"/>
  <c r="D856" i="3"/>
  <c r="F856" i="3"/>
  <c r="G856" i="3"/>
  <c r="C857" i="3"/>
  <c r="D857" i="3"/>
  <c r="F857" i="3"/>
  <c r="G857" i="3"/>
  <c r="C858" i="3"/>
  <c r="D858" i="3"/>
  <c r="F858" i="3"/>
  <c r="G858" i="3"/>
  <c r="C859" i="3"/>
  <c r="D859" i="3"/>
  <c r="F859" i="3"/>
  <c r="G859" i="3"/>
  <c r="C860" i="3"/>
  <c r="D860" i="3"/>
  <c r="F860" i="3"/>
  <c r="G860" i="3"/>
  <c r="C861" i="3"/>
  <c r="D861" i="3"/>
  <c r="F861" i="3"/>
  <c r="G861" i="3"/>
  <c r="C862" i="3"/>
  <c r="D862" i="3"/>
  <c r="F862" i="3"/>
  <c r="G862" i="3"/>
  <c r="C863" i="3"/>
  <c r="D863" i="3"/>
  <c r="F863" i="3"/>
  <c r="G863" i="3"/>
  <c r="C864" i="3"/>
  <c r="D864" i="3"/>
  <c r="F864" i="3"/>
  <c r="G864" i="3"/>
  <c r="C865" i="3"/>
  <c r="D865" i="3"/>
  <c r="F865" i="3"/>
  <c r="G865" i="3"/>
  <c r="C866" i="3"/>
  <c r="D866" i="3"/>
  <c r="F866" i="3"/>
  <c r="G866" i="3"/>
  <c r="C867" i="3"/>
  <c r="D867" i="3"/>
  <c r="F867" i="3"/>
  <c r="G867" i="3"/>
  <c r="C868" i="3"/>
  <c r="D868" i="3"/>
  <c r="F868" i="3"/>
  <c r="G868" i="3"/>
  <c r="C869" i="3"/>
  <c r="D869" i="3"/>
  <c r="F869" i="3"/>
  <c r="G869" i="3"/>
  <c r="C870" i="3"/>
  <c r="D870" i="3"/>
  <c r="F870" i="3"/>
  <c r="G870" i="3"/>
  <c r="C871" i="3"/>
  <c r="D871" i="3"/>
  <c r="F871" i="3"/>
  <c r="G871" i="3"/>
  <c r="C872" i="3"/>
  <c r="D872" i="3"/>
  <c r="F872" i="3"/>
  <c r="G872" i="3"/>
  <c r="C873" i="3"/>
  <c r="D873" i="3"/>
  <c r="F873" i="3"/>
  <c r="G873" i="3"/>
  <c r="C874" i="3"/>
  <c r="D874" i="3"/>
  <c r="F874" i="3"/>
  <c r="G874" i="3"/>
  <c r="C875" i="3"/>
  <c r="D875" i="3"/>
  <c r="F875" i="3"/>
  <c r="G875" i="3"/>
  <c r="C876" i="3"/>
  <c r="D876" i="3"/>
  <c r="F876" i="3"/>
  <c r="G876" i="3"/>
  <c r="C877" i="3"/>
  <c r="D877" i="3"/>
  <c r="F877" i="3"/>
  <c r="G877" i="3"/>
  <c r="C878" i="3"/>
  <c r="D878" i="3"/>
  <c r="F878" i="3"/>
  <c r="G878" i="3"/>
  <c r="C879" i="3"/>
  <c r="D879" i="3"/>
  <c r="F879" i="3"/>
  <c r="G879" i="3"/>
  <c r="C880" i="3"/>
  <c r="D880" i="3"/>
  <c r="F880" i="3"/>
  <c r="G880" i="3"/>
  <c r="C881" i="3"/>
  <c r="D881" i="3"/>
  <c r="F881" i="3"/>
  <c r="G881" i="3"/>
  <c r="C882" i="3"/>
  <c r="D882" i="3"/>
  <c r="F882" i="3"/>
  <c r="G882" i="3"/>
  <c r="C883" i="3"/>
  <c r="D883" i="3"/>
  <c r="F883" i="3"/>
  <c r="G883" i="3"/>
  <c r="C884" i="3"/>
  <c r="D884" i="3"/>
  <c r="F884" i="3"/>
  <c r="G884" i="3"/>
  <c r="C885" i="3"/>
  <c r="D885" i="3"/>
  <c r="F885" i="3"/>
  <c r="G885" i="3"/>
  <c r="C886" i="3"/>
  <c r="D886" i="3"/>
  <c r="F886" i="3"/>
  <c r="G886" i="3"/>
  <c r="C887" i="3"/>
  <c r="D887" i="3"/>
  <c r="F887" i="3"/>
  <c r="G887" i="3"/>
  <c r="C888" i="3"/>
  <c r="D888" i="3"/>
  <c r="F888" i="3"/>
  <c r="G888" i="3"/>
  <c r="C889" i="3"/>
  <c r="D889" i="3"/>
  <c r="F889" i="3"/>
  <c r="G889" i="3"/>
  <c r="C890" i="3"/>
  <c r="D890" i="3"/>
  <c r="F890" i="3"/>
  <c r="G890" i="3"/>
  <c r="C891" i="3"/>
  <c r="D891" i="3"/>
  <c r="F891" i="3"/>
  <c r="G891" i="3"/>
  <c r="C892" i="3"/>
  <c r="D892" i="3"/>
  <c r="F892" i="3"/>
  <c r="G892" i="3"/>
  <c r="C893" i="3"/>
  <c r="D893" i="3"/>
  <c r="F893" i="3"/>
  <c r="G893" i="3"/>
  <c r="C894" i="3"/>
  <c r="D894" i="3"/>
  <c r="F894" i="3"/>
  <c r="G894" i="3"/>
  <c r="C895" i="3"/>
  <c r="D895" i="3"/>
  <c r="F895" i="3"/>
  <c r="G895" i="3"/>
  <c r="C896" i="3"/>
  <c r="D896" i="3"/>
  <c r="F896" i="3"/>
  <c r="G896" i="3"/>
  <c r="C897" i="3"/>
  <c r="D897" i="3"/>
  <c r="F897" i="3"/>
  <c r="G897" i="3"/>
  <c r="C898" i="3"/>
  <c r="D898" i="3"/>
  <c r="F898" i="3"/>
  <c r="G898" i="3"/>
  <c r="C899" i="3"/>
  <c r="D899" i="3"/>
  <c r="F899" i="3"/>
  <c r="G899" i="3"/>
  <c r="C900" i="3"/>
  <c r="D900" i="3"/>
  <c r="F900" i="3"/>
  <c r="G900" i="3"/>
  <c r="C901" i="3"/>
  <c r="D901" i="3"/>
  <c r="F901" i="3"/>
  <c r="G901" i="3"/>
  <c r="C902" i="3"/>
  <c r="D902" i="3"/>
  <c r="F902" i="3"/>
  <c r="G902" i="3"/>
  <c r="C903" i="3"/>
  <c r="D903" i="3"/>
  <c r="F903" i="3"/>
  <c r="G903" i="3"/>
  <c r="C904" i="3"/>
  <c r="D904" i="3"/>
  <c r="F904" i="3"/>
  <c r="G904" i="3"/>
  <c r="C905" i="3"/>
  <c r="D905" i="3"/>
  <c r="F905" i="3"/>
  <c r="G905" i="3"/>
  <c r="C906" i="3"/>
  <c r="D906" i="3"/>
  <c r="F906" i="3"/>
  <c r="G906" i="3"/>
  <c r="C907" i="3"/>
  <c r="D907" i="3"/>
  <c r="F907" i="3"/>
  <c r="G907" i="3"/>
  <c r="C908" i="3"/>
  <c r="D908" i="3"/>
  <c r="F908" i="3"/>
  <c r="G908" i="3"/>
  <c r="C909" i="3"/>
  <c r="D909" i="3"/>
  <c r="F909" i="3"/>
  <c r="G909" i="3"/>
  <c r="C910" i="3"/>
  <c r="D910" i="3"/>
  <c r="F910" i="3"/>
  <c r="G910" i="3"/>
  <c r="C911" i="3"/>
  <c r="D911" i="3"/>
  <c r="F911" i="3"/>
  <c r="G911" i="3"/>
  <c r="C912" i="3"/>
  <c r="D912" i="3"/>
  <c r="F912" i="3"/>
  <c r="G912" i="3"/>
  <c r="C913" i="3"/>
  <c r="D913" i="3"/>
  <c r="F913" i="3"/>
  <c r="G913" i="3"/>
  <c r="C914" i="3"/>
  <c r="D914" i="3"/>
  <c r="F914" i="3"/>
  <c r="G914" i="3"/>
  <c r="C915" i="3"/>
  <c r="D915" i="3"/>
  <c r="F915" i="3"/>
  <c r="G915" i="3"/>
  <c r="C916" i="3"/>
  <c r="D916" i="3"/>
  <c r="F916" i="3"/>
  <c r="G916" i="3"/>
  <c r="C917" i="3"/>
  <c r="D917" i="3"/>
  <c r="F917" i="3"/>
  <c r="G917" i="3"/>
  <c r="C918" i="3"/>
  <c r="D918" i="3"/>
  <c r="F918" i="3"/>
  <c r="G918" i="3"/>
  <c r="C919" i="3"/>
  <c r="D919" i="3"/>
  <c r="F919" i="3"/>
  <c r="G919" i="3"/>
  <c r="C920" i="3"/>
  <c r="D920" i="3"/>
  <c r="F920" i="3"/>
  <c r="G920" i="3"/>
  <c r="C921" i="3"/>
  <c r="D921" i="3"/>
  <c r="F921" i="3"/>
  <c r="G921" i="3"/>
  <c r="C922" i="3"/>
  <c r="D922" i="3"/>
  <c r="F922" i="3"/>
  <c r="G922" i="3"/>
  <c r="C923" i="3"/>
  <c r="D923" i="3"/>
  <c r="F923" i="3"/>
  <c r="G923" i="3"/>
  <c r="C924" i="3"/>
  <c r="D924" i="3"/>
  <c r="F924" i="3"/>
  <c r="G924" i="3"/>
  <c r="C925" i="3"/>
  <c r="D925" i="3"/>
  <c r="F925" i="3"/>
  <c r="G925" i="3"/>
  <c r="C926" i="3"/>
  <c r="D926" i="3"/>
  <c r="F926" i="3"/>
  <c r="G926" i="3"/>
  <c r="C927" i="3"/>
  <c r="D927" i="3"/>
  <c r="F927" i="3"/>
  <c r="G927" i="3"/>
  <c r="C928" i="3"/>
  <c r="D928" i="3"/>
  <c r="F928" i="3"/>
  <c r="G928" i="3"/>
  <c r="C929" i="3"/>
  <c r="D929" i="3"/>
  <c r="F929" i="3"/>
  <c r="G929" i="3"/>
  <c r="C930" i="3"/>
  <c r="D930" i="3"/>
  <c r="F930" i="3"/>
  <c r="G930" i="3"/>
  <c r="C931" i="3"/>
  <c r="D931" i="3"/>
  <c r="F931" i="3"/>
  <c r="G931" i="3"/>
  <c r="C932" i="3"/>
  <c r="D932" i="3"/>
  <c r="F932" i="3"/>
  <c r="G932" i="3"/>
  <c r="C933" i="3"/>
  <c r="D933" i="3"/>
  <c r="F933" i="3"/>
  <c r="G933" i="3"/>
  <c r="C934" i="3"/>
  <c r="D934" i="3"/>
  <c r="F934" i="3"/>
  <c r="G934" i="3"/>
  <c r="C935" i="3"/>
  <c r="D935" i="3"/>
  <c r="F935" i="3"/>
  <c r="G935" i="3"/>
  <c r="C936" i="3"/>
  <c r="D936" i="3"/>
  <c r="F936" i="3"/>
  <c r="G936" i="3"/>
  <c r="C937" i="3"/>
  <c r="D937" i="3"/>
  <c r="F937" i="3"/>
  <c r="G937" i="3"/>
  <c r="C938" i="3"/>
  <c r="D938" i="3"/>
  <c r="F938" i="3"/>
  <c r="G938" i="3"/>
  <c r="C939" i="3"/>
  <c r="D939" i="3"/>
  <c r="F939" i="3"/>
  <c r="G939" i="3"/>
  <c r="C940" i="3"/>
  <c r="D940" i="3"/>
  <c r="F940" i="3"/>
  <c r="G940" i="3"/>
  <c r="C941" i="3"/>
  <c r="D941" i="3"/>
  <c r="F941" i="3"/>
  <c r="G941" i="3"/>
  <c r="C942" i="3"/>
  <c r="D942" i="3"/>
  <c r="F942" i="3"/>
  <c r="G942" i="3"/>
  <c r="C943" i="3"/>
  <c r="D943" i="3"/>
  <c r="F943" i="3"/>
  <c r="G943" i="3"/>
  <c r="C944" i="3"/>
  <c r="D944" i="3"/>
  <c r="F944" i="3"/>
  <c r="G944" i="3"/>
  <c r="C945" i="3"/>
  <c r="D945" i="3"/>
  <c r="F945" i="3"/>
  <c r="G945" i="3"/>
  <c r="C946" i="3"/>
  <c r="D946" i="3"/>
  <c r="F946" i="3"/>
  <c r="G946" i="3"/>
  <c r="C947" i="3"/>
  <c r="D947" i="3"/>
  <c r="F947" i="3"/>
  <c r="G947" i="3"/>
  <c r="C948" i="3"/>
  <c r="D948" i="3"/>
  <c r="F948" i="3"/>
  <c r="G948" i="3"/>
  <c r="C949" i="3"/>
  <c r="D949" i="3"/>
  <c r="F949" i="3"/>
  <c r="G949" i="3"/>
  <c r="C950" i="3"/>
  <c r="D950" i="3"/>
  <c r="F950" i="3"/>
  <c r="G950" i="3"/>
  <c r="C951" i="3"/>
  <c r="D951" i="3"/>
  <c r="F951" i="3"/>
  <c r="G951" i="3"/>
  <c r="C952" i="3"/>
  <c r="D952" i="3"/>
  <c r="F952" i="3"/>
  <c r="G952" i="3"/>
  <c r="C953" i="3"/>
  <c r="D953" i="3"/>
  <c r="F953" i="3"/>
  <c r="G953" i="3"/>
  <c r="C954" i="3"/>
  <c r="D954" i="3"/>
  <c r="F954" i="3"/>
  <c r="G954" i="3"/>
  <c r="C955" i="3"/>
  <c r="D955" i="3"/>
  <c r="F955" i="3"/>
  <c r="G955" i="3"/>
  <c r="C956" i="3"/>
  <c r="D956" i="3"/>
  <c r="F956" i="3"/>
  <c r="G956" i="3"/>
  <c r="C957" i="3"/>
  <c r="D957" i="3"/>
  <c r="F957" i="3"/>
  <c r="G957" i="3"/>
  <c r="C958" i="3"/>
  <c r="D958" i="3"/>
  <c r="F958" i="3"/>
  <c r="G958" i="3"/>
  <c r="C959" i="3"/>
  <c r="D959" i="3"/>
  <c r="F959" i="3"/>
  <c r="G959" i="3"/>
  <c r="C960" i="3"/>
  <c r="D960" i="3"/>
  <c r="F960" i="3"/>
  <c r="G960" i="3"/>
  <c r="C961" i="3"/>
  <c r="D961" i="3"/>
  <c r="F961" i="3"/>
  <c r="G961" i="3"/>
  <c r="C962" i="3"/>
  <c r="D962" i="3"/>
  <c r="F962" i="3"/>
  <c r="G962" i="3"/>
  <c r="C963" i="3"/>
  <c r="D963" i="3"/>
  <c r="F963" i="3"/>
  <c r="G963" i="3"/>
  <c r="C964" i="3"/>
  <c r="D964" i="3"/>
  <c r="F964" i="3"/>
  <c r="G964" i="3"/>
  <c r="C965" i="3"/>
  <c r="D965" i="3"/>
  <c r="F965" i="3"/>
  <c r="G965" i="3"/>
  <c r="C966" i="3"/>
  <c r="D966" i="3"/>
  <c r="F966" i="3"/>
  <c r="G966" i="3"/>
  <c r="C967" i="3"/>
  <c r="D967" i="3"/>
  <c r="F967" i="3"/>
  <c r="G967" i="3"/>
  <c r="C968" i="3"/>
  <c r="D968" i="3"/>
  <c r="F968" i="3"/>
  <c r="G968" i="3"/>
  <c r="C969" i="3"/>
  <c r="D969" i="3"/>
  <c r="F969" i="3"/>
  <c r="G969" i="3"/>
  <c r="C970" i="3"/>
  <c r="D970" i="3"/>
  <c r="F970" i="3"/>
  <c r="G970" i="3"/>
  <c r="C971" i="3"/>
  <c r="D971" i="3"/>
  <c r="F971" i="3"/>
  <c r="G971" i="3"/>
  <c r="C972" i="3"/>
  <c r="D972" i="3"/>
  <c r="F972" i="3"/>
  <c r="G972" i="3"/>
  <c r="C973" i="3"/>
  <c r="D973" i="3"/>
  <c r="F973" i="3"/>
  <c r="G973" i="3"/>
  <c r="C974" i="3"/>
  <c r="D974" i="3"/>
  <c r="F974" i="3"/>
  <c r="G974" i="3"/>
  <c r="C975" i="3"/>
  <c r="D975" i="3"/>
  <c r="F975" i="3"/>
  <c r="G975" i="3"/>
  <c r="C976" i="3"/>
  <c r="D976" i="3"/>
  <c r="F976" i="3"/>
  <c r="G976" i="3"/>
  <c r="C977" i="3"/>
  <c r="D977" i="3"/>
  <c r="F977" i="3"/>
  <c r="G977" i="3"/>
  <c r="C978" i="3"/>
  <c r="D978" i="3"/>
  <c r="F978" i="3"/>
  <c r="G978" i="3"/>
  <c r="C979" i="3"/>
  <c r="D979" i="3"/>
  <c r="F979" i="3"/>
  <c r="G979" i="3"/>
  <c r="C980" i="3"/>
  <c r="D980" i="3"/>
  <c r="F980" i="3"/>
  <c r="G980" i="3"/>
  <c r="C981" i="3"/>
  <c r="D981" i="3"/>
  <c r="F981" i="3"/>
  <c r="G981" i="3"/>
  <c r="C982" i="3"/>
  <c r="D982" i="3"/>
  <c r="F982" i="3"/>
  <c r="G982" i="3"/>
  <c r="C983" i="3"/>
  <c r="D983" i="3"/>
  <c r="F983" i="3"/>
  <c r="G983" i="3"/>
  <c r="C984" i="3"/>
  <c r="D984" i="3"/>
  <c r="F984" i="3"/>
  <c r="G984" i="3"/>
  <c r="C985" i="3"/>
  <c r="D985" i="3"/>
  <c r="F985" i="3"/>
  <c r="G985" i="3"/>
  <c r="C986" i="3"/>
  <c r="D986" i="3"/>
  <c r="F986" i="3"/>
  <c r="G986" i="3"/>
  <c r="C987" i="3"/>
  <c r="D987" i="3"/>
  <c r="F987" i="3"/>
  <c r="G987" i="3"/>
  <c r="C988" i="3"/>
  <c r="D988" i="3"/>
  <c r="F988" i="3"/>
  <c r="G988" i="3"/>
  <c r="C989" i="3"/>
  <c r="D989" i="3"/>
  <c r="F989" i="3"/>
  <c r="G989" i="3"/>
  <c r="C990" i="3"/>
  <c r="D990" i="3"/>
  <c r="F990" i="3"/>
  <c r="G990" i="3"/>
  <c r="C991" i="3"/>
  <c r="D991" i="3"/>
  <c r="F991" i="3"/>
  <c r="G991" i="3"/>
  <c r="C992" i="3"/>
  <c r="D992" i="3"/>
  <c r="F992" i="3"/>
  <c r="G992" i="3"/>
  <c r="C993" i="3"/>
  <c r="D993" i="3"/>
  <c r="F993" i="3"/>
  <c r="G993" i="3"/>
  <c r="G613" i="3"/>
  <c r="F613" i="3"/>
  <c r="D613" i="3"/>
  <c r="C613" i="3"/>
  <c r="G612" i="3"/>
  <c r="F612" i="3"/>
  <c r="D612" i="3"/>
  <c r="C612" i="3"/>
  <c r="G611" i="3"/>
  <c r="F611" i="3"/>
  <c r="D611" i="3"/>
  <c r="C611" i="3"/>
  <c r="G610" i="3"/>
  <c r="F610" i="3"/>
  <c r="D610" i="3"/>
  <c r="C610" i="3"/>
  <c r="G609" i="3"/>
  <c r="F609" i="3"/>
  <c r="D609" i="3"/>
  <c r="C609" i="3"/>
  <c r="G608" i="3"/>
  <c r="F608" i="3"/>
  <c r="D608" i="3"/>
  <c r="C608" i="3"/>
  <c r="G607" i="3"/>
  <c r="F607" i="3"/>
  <c r="D607" i="3"/>
  <c r="C607" i="3"/>
  <c r="G606" i="3"/>
  <c r="F606" i="3"/>
  <c r="D606" i="3"/>
  <c r="C606" i="3"/>
  <c r="G605" i="3"/>
  <c r="F605" i="3"/>
  <c r="D605" i="3"/>
  <c r="C605" i="3"/>
  <c r="G604" i="3"/>
  <c r="F604" i="3"/>
  <c r="D604" i="3"/>
  <c r="C604" i="3"/>
  <c r="G603" i="3"/>
  <c r="F603" i="3"/>
  <c r="D603" i="3"/>
  <c r="C603" i="3"/>
  <c r="G602" i="3"/>
  <c r="F602" i="3"/>
  <c r="D602" i="3"/>
  <c r="C602" i="3"/>
  <c r="G601" i="3"/>
  <c r="F601" i="3"/>
  <c r="D601" i="3"/>
  <c r="C601" i="3"/>
  <c r="G600" i="3"/>
  <c r="F600" i="3"/>
  <c r="D600" i="3"/>
  <c r="C600" i="3"/>
  <c r="G599" i="3"/>
  <c r="F599" i="3"/>
  <c r="D599" i="3"/>
  <c r="C599" i="3"/>
  <c r="G598" i="3"/>
  <c r="F598" i="3"/>
  <c r="D598" i="3"/>
  <c r="C598" i="3"/>
  <c r="G597" i="3"/>
  <c r="F597" i="3"/>
  <c r="D597" i="3"/>
  <c r="C597" i="3"/>
  <c r="G596" i="3"/>
  <c r="F596" i="3"/>
  <c r="D596" i="3"/>
  <c r="C596" i="3"/>
  <c r="G595" i="3"/>
  <c r="F595" i="3"/>
  <c r="D595" i="3"/>
  <c r="C595" i="3"/>
  <c r="G594" i="3"/>
  <c r="F594" i="3"/>
  <c r="D594" i="3"/>
  <c r="C594" i="3"/>
  <c r="G593" i="3"/>
  <c r="F593" i="3"/>
  <c r="D593" i="3"/>
  <c r="C593" i="3"/>
  <c r="G592" i="3"/>
  <c r="F592" i="3"/>
  <c r="D592" i="3"/>
  <c r="C592" i="3"/>
  <c r="G591" i="3"/>
  <c r="F591" i="3"/>
  <c r="D591" i="3"/>
  <c r="C591" i="3"/>
  <c r="G590" i="3"/>
  <c r="F590" i="3"/>
  <c r="D590" i="3"/>
  <c r="C590" i="3"/>
  <c r="G589" i="3"/>
  <c r="F589" i="3"/>
  <c r="D589" i="3"/>
  <c r="C589" i="3"/>
  <c r="G588" i="3"/>
  <c r="F588" i="3"/>
  <c r="D588" i="3"/>
  <c r="C588" i="3"/>
  <c r="G587" i="3"/>
  <c r="F587" i="3"/>
  <c r="D587" i="3"/>
  <c r="C587" i="3"/>
  <c r="G586" i="3"/>
  <c r="F586" i="3"/>
  <c r="D586" i="3"/>
  <c r="C586" i="3"/>
  <c r="G585" i="3"/>
  <c r="F585" i="3"/>
  <c r="D585" i="3"/>
  <c r="C585" i="3"/>
  <c r="G584" i="3"/>
  <c r="F584" i="3"/>
  <c r="D584" i="3"/>
  <c r="C584" i="3"/>
  <c r="G583" i="3"/>
  <c r="F583" i="3"/>
  <c r="D583" i="3"/>
  <c r="C583" i="3"/>
  <c r="G582" i="3"/>
  <c r="F582" i="3"/>
  <c r="D582" i="3"/>
  <c r="C582" i="3"/>
  <c r="G581" i="3"/>
  <c r="F581" i="3"/>
  <c r="D581" i="3"/>
  <c r="C581" i="3"/>
  <c r="G580" i="3"/>
  <c r="F580" i="3"/>
  <c r="D580" i="3"/>
  <c r="C580" i="3"/>
  <c r="G579" i="3"/>
  <c r="F579" i="3"/>
  <c r="D579" i="3"/>
  <c r="C579" i="3"/>
  <c r="G578" i="3"/>
  <c r="F578" i="3"/>
  <c r="D578" i="3"/>
  <c r="C578" i="3"/>
  <c r="G577" i="3"/>
  <c r="F577" i="3"/>
  <c r="D577" i="3"/>
  <c r="C577" i="3"/>
  <c r="G576" i="3"/>
  <c r="F576" i="3"/>
  <c r="D576" i="3"/>
  <c r="C576" i="3"/>
  <c r="G575" i="3"/>
  <c r="F575" i="3"/>
  <c r="D575" i="3"/>
  <c r="C575" i="3"/>
  <c r="G574" i="3"/>
  <c r="F574" i="3"/>
  <c r="D574" i="3"/>
  <c r="C574" i="3"/>
  <c r="G573" i="3"/>
  <c r="F573" i="3"/>
  <c r="D573" i="3"/>
  <c r="C573" i="3"/>
  <c r="G572" i="3"/>
  <c r="F572" i="3"/>
  <c r="D572" i="3"/>
  <c r="C572" i="3"/>
  <c r="G571" i="3"/>
  <c r="F571" i="3"/>
  <c r="D571" i="3"/>
  <c r="C571" i="3"/>
  <c r="G570" i="3"/>
  <c r="F570" i="3"/>
  <c r="D570" i="3"/>
  <c r="C570" i="3"/>
  <c r="G569" i="3"/>
  <c r="F569" i="3"/>
  <c r="D569" i="3"/>
  <c r="C569" i="3"/>
  <c r="G568" i="3"/>
  <c r="F568" i="3"/>
  <c r="D568" i="3"/>
  <c r="C568" i="3"/>
  <c r="G567" i="3"/>
  <c r="F567" i="3"/>
  <c r="D567" i="3"/>
  <c r="C567" i="3"/>
  <c r="G566" i="3"/>
  <c r="F566" i="3"/>
  <c r="D566" i="3"/>
  <c r="C566" i="3"/>
  <c r="G565" i="3"/>
  <c r="F565" i="3"/>
  <c r="D565" i="3"/>
  <c r="C565" i="3"/>
  <c r="G564" i="3"/>
  <c r="F564" i="3"/>
  <c r="D564" i="3"/>
  <c r="C564" i="3"/>
  <c r="G563" i="3"/>
  <c r="F563" i="3"/>
  <c r="D563" i="3"/>
  <c r="C563" i="3"/>
  <c r="G562" i="3"/>
  <c r="F562" i="3"/>
  <c r="D562" i="3"/>
  <c r="C562" i="3"/>
  <c r="G561" i="3"/>
  <c r="F561" i="3"/>
  <c r="D561" i="3"/>
  <c r="C561" i="3"/>
  <c r="G560" i="3"/>
  <c r="F560" i="3"/>
  <c r="D560" i="3"/>
  <c r="C560" i="3"/>
  <c r="G559" i="3"/>
  <c r="F559" i="3"/>
  <c r="D559" i="3"/>
  <c r="C559" i="3"/>
  <c r="G558" i="3"/>
  <c r="F558" i="3"/>
  <c r="D558" i="3"/>
  <c r="C558" i="3"/>
  <c r="G557" i="3"/>
  <c r="F557" i="3"/>
  <c r="D557" i="3"/>
  <c r="C557" i="3"/>
  <c r="G556" i="3"/>
  <c r="F556" i="3"/>
  <c r="D556" i="3"/>
  <c r="C556" i="3"/>
  <c r="G555" i="3"/>
  <c r="F555" i="3"/>
  <c r="D555" i="3"/>
  <c r="C555" i="3"/>
  <c r="G554" i="3"/>
  <c r="F554" i="3"/>
  <c r="D554" i="3"/>
  <c r="C554" i="3"/>
  <c r="G553" i="3"/>
  <c r="F553" i="3"/>
  <c r="D553" i="3"/>
  <c r="C553" i="3"/>
  <c r="G552" i="3"/>
  <c r="F552" i="3"/>
  <c r="D552" i="3"/>
  <c r="C552" i="3"/>
  <c r="G551" i="3"/>
  <c r="F551" i="3"/>
  <c r="D551" i="3"/>
  <c r="C551" i="3"/>
  <c r="G550" i="3"/>
  <c r="F550" i="3"/>
  <c r="D550" i="3"/>
  <c r="C550" i="3"/>
  <c r="G549" i="3"/>
  <c r="F549" i="3"/>
  <c r="D549" i="3"/>
  <c r="C549" i="3"/>
  <c r="G548" i="3"/>
  <c r="F548" i="3"/>
  <c r="D548" i="3"/>
  <c r="C548" i="3"/>
  <c r="G547" i="3"/>
  <c r="F547" i="3"/>
  <c r="D547" i="3"/>
  <c r="C547" i="3"/>
  <c r="G546" i="3"/>
  <c r="F546" i="3"/>
  <c r="D546" i="3"/>
  <c r="C546" i="3"/>
  <c r="G545" i="3"/>
  <c r="F545" i="3"/>
  <c r="D545" i="3"/>
  <c r="C545" i="3"/>
  <c r="G544" i="3"/>
  <c r="F544" i="3"/>
  <c r="D544" i="3"/>
  <c r="C544" i="3"/>
  <c r="G543" i="3"/>
  <c r="F543" i="3"/>
  <c r="D543" i="3"/>
  <c r="C543" i="3"/>
  <c r="G542" i="3"/>
  <c r="F542" i="3"/>
  <c r="D542" i="3"/>
  <c r="C542" i="3"/>
  <c r="G541" i="3"/>
  <c r="F541" i="3"/>
  <c r="D541" i="3"/>
  <c r="C541" i="3"/>
  <c r="G540" i="3"/>
  <c r="F540" i="3"/>
  <c r="D540" i="3"/>
  <c r="C540" i="3"/>
  <c r="G539" i="3"/>
  <c r="F539" i="3"/>
  <c r="D539" i="3"/>
  <c r="C539" i="3"/>
  <c r="G538" i="3"/>
  <c r="F538" i="3"/>
  <c r="D538" i="3"/>
  <c r="C538" i="3"/>
  <c r="G537" i="3"/>
  <c r="F537" i="3"/>
  <c r="D537" i="3"/>
  <c r="C537" i="3"/>
  <c r="G536" i="3"/>
  <c r="F536" i="3"/>
  <c r="D536" i="3"/>
  <c r="C536" i="3"/>
  <c r="G535" i="3"/>
  <c r="F535" i="3"/>
  <c r="D535" i="3"/>
  <c r="C535" i="3"/>
  <c r="G534" i="3"/>
  <c r="F534" i="3"/>
  <c r="D534" i="3"/>
  <c r="C534" i="3"/>
  <c r="G533" i="3"/>
  <c r="F533" i="3"/>
  <c r="D533" i="3"/>
  <c r="C533" i="3"/>
  <c r="G532" i="3"/>
  <c r="F532" i="3"/>
  <c r="D532" i="3"/>
  <c r="C532" i="3"/>
  <c r="G531" i="3"/>
  <c r="F531" i="3"/>
  <c r="D531" i="3"/>
  <c r="C531" i="3"/>
  <c r="G530" i="3"/>
  <c r="F530" i="3"/>
  <c r="D530" i="3"/>
  <c r="C530" i="3"/>
  <c r="G529" i="3"/>
  <c r="F529" i="3"/>
  <c r="D529" i="3"/>
  <c r="C529" i="3"/>
  <c r="C501" i="3"/>
  <c r="D501" i="3"/>
  <c r="F501" i="3"/>
  <c r="G501" i="3"/>
  <c r="C502" i="3"/>
  <c r="D502" i="3"/>
  <c r="F502" i="3"/>
  <c r="G502" i="3"/>
  <c r="C503" i="3"/>
  <c r="D503" i="3"/>
  <c r="F503" i="3"/>
  <c r="G503" i="3"/>
  <c r="C504" i="3"/>
  <c r="D504" i="3"/>
  <c r="F504" i="3"/>
  <c r="G504" i="3"/>
  <c r="C505" i="3"/>
  <c r="D505" i="3"/>
  <c r="F505" i="3"/>
  <c r="G505" i="3"/>
  <c r="C506" i="3"/>
  <c r="D506" i="3"/>
  <c r="F506" i="3"/>
  <c r="G506" i="3"/>
  <c r="C507" i="3"/>
  <c r="D507" i="3"/>
  <c r="F507" i="3"/>
  <c r="G507" i="3"/>
  <c r="C508" i="3"/>
  <c r="D508" i="3"/>
  <c r="F508" i="3"/>
  <c r="G508" i="3"/>
  <c r="C509" i="3"/>
  <c r="D509" i="3"/>
  <c r="F509" i="3"/>
  <c r="G509" i="3"/>
  <c r="C510" i="3"/>
  <c r="D510" i="3"/>
  <c r="F510" i="3"/>
  <c r="G510" i="3"/>
  <c r="C511" i="3"/>
  <c r="D511" i="3"/>
  <c r="F511" i="3"/>
  <c r="G511" i="3"/>
  <c r="C512" i="3"/>
  <c r="D512" i="3"/>
  <c r="F512" i="3"/>
  <c r="G512" i="3"/>
  <c r="C513" i="3"/>
  <c r="D513" i="3"/>
  <c r="F513" i="3"/>
  <c r="G513" i="3"/>
  <c r="C514" i="3"/>
  <c r="D514" i="3"/>
  <c r="F514" i="3"/>
  <c r="G514" i="3"/>
  <c r="C515" i="3"/>
  <c r="D515" i="3"/>
  <c r="F515" i="3"/>
  <c r="G515" i="3"/>
  <c r="C516" i="3"/>
  <c r="D516" i="3"/>
  <c r="F516" i="3"/>
  <c r="G516" i="3"/>
  <c r="C517" i="3"/>
  <c r="D517" i="3"/>
  <c r="F517" i="3"/>
  <c r="G517" i="3"/>
  <c r="C518" i="3"/>
  <c r="D518" i="3"/>
  <c r="F518" i="3"/>
  <c r="G518" i="3"/>
  <c r="C519" i="3"/>
  <c r="D519" i="3"/>
  <c r="F519" i="3"/>
  <c r="G519" i="3"/>
  <c r="C520" i="3"/>
  <c r="D520" i="3"/>
  <c r="F520" i="3"/>
  <c r="G520" i="3"/>
  <c r="C521" i="3"/>
  <c r="D521" i="3"/>
  <c r="F521" i="3"/>
  <c r="G521" i="3"/>
  <c r="C522" i="3"/>
  <c r="D522" i="3"/>
  <c r="F522" i="3"/>
  <c r="G522" i="3"/>
  <c r="C523" i="3"/>
  <c r="D523" i="3"/>
  <c r="F523" i="3"/>
  <c r="G523" i="3"/>
  <c r="C524" i="3"/>
  <c r="D524" i="3"/>
  <c r="F524" i="3"/>
  <c r="G524" i="3"/>
  <c r="C525" i="3"/>
  <c r="D525" i="3"/>
  <c r="F525" i="3"/>
  <c r="G525" i="3"/>
  <c r="C526" i="3"/>
  <c r="D526" i="3"/>
  <c r="F526" i="3"/>
  <c r="G526" i="3"/>
  <c r="C527" i="3"/>
  <c r="D527" i="3"/>
  <c r="F527" i="3"/>
  <c r="G527" i="3"/>
  <c r="C528" i="3"/>
  <c r="D528" i="3"/>
  <c r="F528" i="3"/>
  <c r="G528" i="3"/>
  <c r="G500" i="3"/>
  <c r="F500" i="3"/>
  <c r="D500" i="3"/>
  <c r="C500" i="3"/>
  <c r="G499" i="3"/>
  <c r="F499" i="3"/>
  <c r="D499" i="3"/>
  <c r="C499" i="3"/>
  <c r="G498" i="3"/>
  <c r="F498" i="3"/>
  <c r="D498" i="3"/>
  <c r="C498" i="3"/>
  <c r="G497" i="3"/>
  <c r="F497" i="3"/>
  <c r="D497" i="3"/>
  <c r="C497" i="3"/>
  <c r="G496" i="3"/>
  <c r="F496" i="3"/>
  <c r="D496" i="3"/>
  <c r="C496" i="3"/>
  <c r="G495" i="3"/>
  <c r="F495" i="3"/>
  <c r="D495" i="3"/>
  <c r="C495" i="3"/>
  <c r="G494" i="3"/>
  <c r="F494" i="3"/>
  <c r="D494" i="3"/>
  <c r="C494" i="3"/>
  <c r="G493" i="3"/>
  <c r="F493" i="3"/>
  <c r="D493" i="3"/>
  <c r="C493" i="3"/>
  <c r="G492" i="3"/>
  <c r="F492" i="3"/>
  <c r="D492" i="3"/>
  <c r="C492" i="3"/>
  <c r="G491" i="3"/>
  <c r="F491" i="3"/>
  <c r="D491" i="3"/>
  <c r="C491" i="3"/>
  <c r="G490" i="3"/>
  <c r="F490" i="3"/>
  <c r="D490" i="3"/>
  <c r="C490" i="3"/>
  <c r="G489" i="3"/>
  <c r="F489" i="3"/>
  <c r="D489" i="3"/>
  <c r="C489" i="3"/>
  <c r="G488" i="3"/>
  <c r="F488" i="3"/>
  <c r="D488" i="3"/>
  <c r="C488" i="3"/>
  <c r="G487" i="3"/>
  <c r="F487" i="3"/>
  <c r="D487" i="3"/>
  <c r="C487" i="3"/>
  <c r="G486" i="3"/>
  <c r="F486" i="3"/>
  <c r="D486" i="3"/>
  <c r="C486" i="3"/>
  <c r="G485" i="3"/>
  <c r="F485" i="3"/>
  <c r="D485" i="3"/>
  <c r="C485" i="3"/>
  <c r="G484" i="3"/>
  <c r="F484" i="3"/>
  <c r="D484" i="3"/>
  <c r="C484" i="3"/>
  <c r="G483" i="3"/>
  <c r="F483" i="3"/>
  <c r="D483" i="3"/>
  <c r="C483" i="3"/>
  <c r="G482" i="3"/>
  <c r="F482" i="3"/>
  <c r="D482" i="3"/>
  <c r="C482" i="3"/>
  <c r="G481" i="3"/>
  <c r="F481" i="3"/>
  <c r="D481" i="3"/>
  <c r="C481" i="3"/>
  <c r="G480" i="3"/>
  <c r="F480" i="3"/>
  <c r="D480" i="3"/>
  <c r="C480" i="3"/>
  <c r="G479" i="3"/>
  <c r="F479" i="3"/>
  <c r="D479" i="3"/>
  <c r="C479" i="3"/>
  <c r="G478" i="3"/>
  <c r="F478" i="3"/>
  <c r="D478" i="3"/>
  <c r="C478" i="3"/>
  <c r="G477" i="3"/>
  <c r="F477" i="3"/>
  <c r="D477" i="3"/>
  <c r="C477" i="3"/>
  <c r="G476" i="3"/>
  <c r="F476" i="3"/>
  <c r="D476" i="3"/>
  <c r="C476" i="3"/>
  <c r="G475" i="3"/>
  <c r="F475" i="3"/>
  <c r="D475" i="3"/>
  <c r="C475" i="3"/>
  <c r="G474" i="3"/>
  <c r="F474" i="3"/>
  <c r="D474" i="3"/>
  <c r="C474" i="3"/>
  <c r="G473" i="3"/>
  <c r="F473" i="3"/>
  <c r="D473" i="3"/>
  <c r="C473" i="3"/>
  <c r="G472" i="3"/>
  <c r="F472" i="3"/>
  <c r="D472" i="3"/>
  <c r="C472" i="3"/>
  <c r="G471" i="3"/>
  <c r="F471" i="3"/>
  <c r="D471" i="3"/>
  <c r="C471" i="3"/>
  <c r="G470" i="3"/>
  <c r="F470" i="3"/>
  <c r="D470" i="3"/>
  <c r="C470" i="3"/>
  <c r="G469" i="3"/>
  <c r="F469" i="3"/>
  <c r="D469" i="3"/>
  <c r="C469" i="3"/>
  <c r="G468" i="3"/>
  <c r="F468" i="3"/>
  <c r="D468" i="3"/>
  <c r="C468" i="3"/>
  <c r="G467" i="3"/>
  <c r="F467" i="3"/>
  <c r="D467" i="3"/>
  <c r="C467" i="3"/>
  <c r="G466" i="3"/>
  <c r="F466" i="3"/>
  <c r="D466" i="3"/>
  <c r="C466" i="3"/>
  <c r="G465" i="3"/>
  <c r="F465" i="3"/>
  <c r="D465" i="3"/>
  <c r="C465" i="3"/>
  <c r="G464" i="3"/>
  <c r="F464" i="3"/>
  <c r="D464" i="3"/>
  <c r="C464" i="3"/>
  <c r="G463" i="3"/>
  <c r="F463" i="3"/>
  <c r="D463" i="3"/>
  <c r="C463" i="3"/>
  <c r="G462" i="3"/>
  <c r="F462" i="3"/>
  <c r="D462" i="3"/>
  <c r="C462" i="3"/>
  <c r="G461" i="3"/>
  <c r="F461" i="3"/>
  <c r="D461" i="3"/>
  <c r="C461" i="3"/>
  <c r="G460" i="3"/>
  <c r="F460" i="3"/>
  <c r="D460" i="3"/>
  <c r="C460" i="3"/>
  <c r="G459" i="3"/>
  <c r="F459" i="3"/>
  <c r="D459" i="3"/>
  <c r="C459" i="3"/>
  <c r="G458" i="3"/>
  <c r="F458" i="3"/>
  <c r="D458" i="3"/>
  <c r="C458" i="3"/>
  <c r="G457" i="3"/>
  <c r="F457" i="3"/>
  <c r="D457" i="3"/>
  <c r="C457" i="3"/>
  <c r="G456" i="3"/>
  <c r="F456" i="3"/>
  <c r="D456" i="3"/>
  <c r="C456" i="3"/>
  <c r="G455" i="3"/>
  <c r="F455" i="3"/>
  <c r="D455" i="3"/>
  <c r="C455" i="3"/>
  <c r="G454" i="3"/>
  <c r="F454" i="3"/>
  <c r="D454" i="3"/>
  <c r="C454" i="3"/>
  <c r="G453" i="3"/>
  <c r="F453" i="3"/>
  <c r="D453" i="3"/>
  <c r="C453" i="3"/>
  <c r="G452" i="3"/>
  <c r="F452" i="3"/>
  <c r="D452" i="3"/>
  <c r="C452" i="3"/>
  <c r="G451" i="3"/>
  <c r="F451" i="3"/>
  <c r="D451" i="3"/>
  <c r="C451" i="3"/>
  <c r="G450" i="3"/>
  <c r="F450" i="3"/>
  <c r="D450" i="3"/>
  <c r="C450" i="3"/>
  <c r="G449" i="3"/>
  <c r="F449" i="3"/>
  <c r="D449" i="3"/>
  <c r="C449" i="3"/>
  <c r="G448" i="3"/>
  <c r="F448" i="3"/>
  <c r="D448" i="3"/>
  <c r="C448" i="3"/>
  <c r="G447" i="3"/>
  <c r="F447" i="3"/>
  <c r="D447" i="3"/>
  <c r="C447" i="3"/>
  <c r="G446" i="3"/>
  <c r="F446" i="3"/>
  <c r="D446" i="3"/>
  <c r="C446" i="3"/>
  <c r="G445" i="3"/>
  <c r="F445" i="3"/>
  <c r="D445" i="3"/>
  <c r="C445" i="3"/>
  <c r="G444" i="3"/>
  <c r="F444" i="3"/>
  <c r="D444" i="3"/>
  <c r="C444" i="3"/>
  <c r="G443" i="3"/>
  <c r="F443" i="3"/>
  <c r="D443" i="3"/>
  <c r="C443" i="3"/>
  <c r="G442" i="3"/>
  <c r="F442" i="3"/>
  <c r="D442" i="3"/>
  <c r="C442" i="3"/>
  <c r="G441" i="3"/>
  <c r="F441" i="3"/>
  <c r="D441" i="3"/>
  <c r="C441" i="3"/>
  <c r="G440" i="3"/>
  <c r="F440" i="3"/>
  <c r="D440" i="3"/>
  <c r="C440" i="3"/>
  <c r="G439" i="3"/>
  <c r="F439" i="3"/>
  <c r="D439" i="3"/>
  <c r="C439" i="3"/>
  <c r="G438" i="3"/>
  <c r="F438" i="3"/>
  <c r="D438" i="3"/>
  <c r="C438" i="3"/>
  <c r="G437" i="3"/>
  <c r="F437" i="3"/>
  <c r="D437" i="3"/>
  <c r="C437" i="3"/>
  <c r="G436" i="3"/>
  <c r="F436" i="3"/>
  <c r="D436" i="3"/>
  <c r="C436" i="3"/>
  <c r="G435" i="3"/>
  <c r="F435" i="3"/>
  <c r="D435" i="3"/>
  <c r="C435" i="3"/>
  <c r="G434" i="3"/>
  <c r="F434" i="3"/>
  <c r="D434" i="3"/>
  <c r="C434" i="3"/>
  <c r="G433" i="3"/>
  <c r="F433" i="3"/>
  <c r="D433" i="3"/>
  <c r="C433" i="3"/>
  <c r="G432" i="3"/>
  <c r="F432" i="3"/>
  <c r="D432" i="3"/>
  <c r="C432" i="3"/>
  <c r="G431" i="3"/>
  <c r="F431" i="3"/>
  <c r="D431" i="3"/>
  <c r="C431" i="3"/>
  <c r="G430" i="3"/>
  <c r="F430" i="3"/>
  <c r="D430" i="3"/>
  <c r="C430" i="3"/>
  <c r="G429" i="3"/>
  <c r="F429" i="3"/>
  <c r="D429" i="3"/>
  <c r="C429" i="3"/>
  <c r="G428" i="3"/>
  <c r="F428" i="3"/>
  <c r="D428" i="3"/>
  <c r="C428" i="3"/>
  <c r="G427" i="3"/>
  <c r="F427" i="3"/>
  <c r="D427" i="3"/>
  <c r="C427" i="3"/>
  <c r="G426" i="3"/>
  <c r="F426" i="3"/>
  <c r="D426" i="3"/>
  <c r="C426" i="3"/>
  <c r="G425" i="3"/>
  <c r="F425" i="3"/>
  <c r="D425" i="3"/>
  <c r="C425" i="3"/>
  <c r="G424" i="3"/>
  <c r="F424" i="3"/>
  <c r="D424" i="3"/>
  <c r="C424" i="3"/>
  <c r="G423" i="3"/>
  <c r="F423" i="3"/>
  <c r="D423" i="3"/>
  <c r="C423" i="3"/>
  <c r="G422" i="3"/>
  <c r="F422" i="3"/>
  <c r="D422" i="3"/>
  <c r="C422" i="3"/>
  <c r="G421" i="3"/>
  <c r="F421" i="3"/>
  <c r="D421" i="3"/>
  <c r="C421" i="3"/>
  <c r="G420" i="3"/>
  <c r="F420" i="3"/>
  <c r="D420" i="3"/>
  <c r="C420" i="3"/>
  <c r="G419" i="3"/>
  <c r="F419" i="3"/>
  <c r="D419" i="3"/>
  <c r="C419" i="3"/>
  <c r="G418" i="3"/>
  <c r="F418" i="3"/>
  <c r="D418" i="3"/>
  <c r="C418" i="3"/>
  <c r="G417" i="3"/>
  <c r="F417" i="3"/>
  <c r="D417" i="3"/>
  <c r="C417" i="3"/>
  <c r="G416" i="3"/>
  <c r="F416" i="3"/>
  <c r="D416" i="3"/>
  <c r="C416" i="3"/>
  <c r="G415" i="3"/>
  <c r="F415" i="3"/>
  <c r="D415" i="3"/>
  <c r="C415" i="3"/>
  <c r="G414" i="3"/>
  <c r="F414" i="3"/>
  <c r="D414" i="3"/>
  <c r="C414" i="3"/>
  <c r="G413" i="3"/>
  <c r="F413" i="3"/>
  <c r="D413" i="3"/>
  <c r="C413" i="3"/>
  <c r="C384" i="3"/>
  <c r="D384" i="3"/>
  <c r="F384" i="3"/>
  <c r="G384" i="3"/>
  <c r="C385" i="3"/>
  <c r="D385" i="3"/>
  <c r="F385" i="3"/>
  <c r="G385" i="3"/>
  <c r="C386" i="3"/>
  <c r="D386" i="3"/>
  <c r="F386" i="3"/>
  <c r="G386" i="3"/>
  <c r="C387" i="3"/>
  <c r="D387" i="3"/>
  <c r="F387" i="3"/>
  <c r="G387" i="3"/>
  <c r="C388" i="3"/>
  <c r="D388" i="3"/>
  <c r="F388" i="3"/>
  <c r="G388" i="3"/>
  <c r="C408" i="3"/>
  <c r="D408" i="3"/>
  <c r="F408" i="3"/>
  <c r="G408" i="3"/>
  <c r="C409" i="3"/>
  <c r="D409" i="3"/>
  <c r="F409" i="3"/>
  <c r="G409" i="3"/>
  <c r="C410" i="3"/>
  <c r="D410" i="3"/>
  <c r="F410" i="3"/>
  <c r="G410" i="3"/>
  <c r="C411" i="3"/>
  <c r="D411" i="3"/>
  <c r="F411" i="3"/>
  <c r="G411" i="3"/>
  <c r="C412" i="3"/>
  <c r="D412" i="3"/>
  <c r="F412" i="3"/>
  <c r="G412" i="3"/>
  <c r="G407" i="3"/>
  <c r="F407" i="3"/>
  <c r="D407" i="3"/>
  <c r="C407" i="3"/>
  <c r="G406" i="3"/>
  <c r="F406" i="3"/>
  <c r="D406" i="3"/>
  <c r="C406" i="3"/>
  <c r="G405" i="3"/>
  <c r="F405" i="3"/>
  <c r="D405" i="3"/>
  <c r="C405" i="3"/>
  <c r="G404" i="3"/>
  <c r="F404" i="3"/>
  <c r="D404" i="3"/>
  <c r="C404" i="3"/>
  <c r="G403" i="3"/>
  <c r="F403" i="3"/>
  <c r="D403" i="3"/>
  <c r="C403" i="3"/>
  <c r="G402" i="3"/>
  <c r="F402" i="3"/>
  <c r="D402" i="3"/>
  <c r="C402" i="3"/>
  <c r="G401" i="3"/>
  <c r="F401" i="3"/>
  <c r="D401" i="3"/>
  <c r="C401" i="3"/>
  <c r="G400" i="3"/>
  <c r="F400" i="3"/>
  <c r="D400" i="3"/>
  <c r="C400" i="3"/>
  <c r="G399" i="3"/>
  <c r="F399" i="3"/>
  <c r="D399" i="3"/>
  <c r="C399" i="3"/>
  <c r="G398" i="3"/>
  <c r="F398" i="3"/>
  <c r="D398" i="3"/>
  <c r="C398" i="3"/>
  <c r="G397" i="3"/>
  <c r="F397" i="3"/>
  <c r="D397" i="3"/>
  <c r="C397" i="3"/>
  <c r="G396" i="3"/>
  <c r="F396" i="3"/>
  <c r="D396" i="3"/>
  <c r="C396" i="3"/>
  <c r="G395" i="3"/>
  <c r="F395" i="3"/>
  <c r="D395" i="3"/>
  <c r="C395" i="3"/>
  <c r="G394" i="3"/>
  <c r="F394" i="3"/>
  <c r="D394" i="3"/>
  <c r="C394" i="3"/>
  <c r="G393" i="3"/>
  <c r="F393" i="3"/>
  <c r="D393" i="3"/>
  <c r="C393" i="3"/>
  <c r="G392" i="3"/>
  <c r="F392" i="3"/>
  <c r="D392" i="3"/>
  <c r="C392" i="3"/>
  <c r="G391" i="3"/>
  <c r="F391" i="3"/>
  <c r="D391" i="3"/>
  <c r="C391" i="3"/>
  <c r="G390" i="3"/>
  <c r="F390" i="3"/>
  <c r="D390" i="3"/>
  <c r="C390" i="3"/>
  <c r="G389" i="3"/>
  <c r="F389" i="3"/>
  <c r="D389" i="3"/>
  <c r="C389" i="3"/>
  <c r="C383" i="3"/>
  <c r="D383" i="3"/>
  <c r="F383" i="3"/>
  <c r="G383" i="3"/>
  <c r="G382" i="3"/>
  <c r="F382" i="3"/>
  <c r="D382" i="3"/>
  <c r="C382" i="3"/>
  <c r="G381" i="3"/>
  <c r="F381" i="3"/>
  <c r="D381" i="3"/>
  <c r="C381" i="3"/>
  <c r="G380" i="3"/>
  <c r="F380" i="3"/>
  <c r="D380" i="3"/>
  <c r="C380" i="3"/>
  <c r="G379" i="3"/>
  <c r="F379" i="3"/>
  <c r="D379" i="3"/>
  <c r="C379" i="3"/>
  <c r="G378" i="3"/>
  <c r="F378" i="3"/>
  <c r="D378" i="3"/>
  <c r="C378" i="3"/>
  <c r="G377" i="3"/>
  <c r="F377" i="3"/>
  <c r="D377" i="3"/>
  <c r="C377" i="3"/>
  <c r="G376" i="3"/>
  <c r="F376" i="3"/>
  <c r="D376" i="3"/>
  <c r="C376" i="3"/>
  <c r="G375" i="3"/>
  <c r="F375" i="3"/>
  <c r="D375" i="3"/>
  <c r="C375" i="3"/>
  <c r="G374" i="3"/>
  <c r="F374" i="3"/>
  <c r="D374" i="3"/>
  <c r="C374" i="3"/>
  <c r="G373" i="3"/>
  <c r="F373" i="3"/>
  <c r="D373" i="3"/>
  <c r="C373" i="3"/>
  <c r="G372" i="3"/>
  <c r="F372" i="3"/>
  <c r="D372" i="3"/>
  <c r="C372" i="3"/>
  <c r="G371" i="3"/>
  <c r="F371" i="3"/>
  <c r="D371" i="3"/>
  <c r="C371" i="3"/>
  <c r="G370" i="3"/>
  <c r="F370" i="3"/>
  <c r="D370" i="3"/>
  <c r="C370" i="3"/>
  <c r="G369" i="3"/>
  <c r="F369" i="3"/>
  <c r="D369" i="3"/>
  <c r="C369" i="3"/>
  <c r="G368" i="3"/>
  <c r="F368" i="3"/>
  <c r="D368" i="3"/>
  <c r="C368" i="3"/>
  <c r="G367" i="3"/>
  <c r="F367" i="3"/>
  <c r="D367" i="3"/>
  <c r="C367" i="3"/>
  <c r="G366" i="3"/>
  <c r="F366" i="3"/>
  <c r="D366" i="3"/>
  <c r="C366" i="3"/>
  <c r="G365" i="3"/>
  <c r="F365" i="3"/>
  <c r="D365" i="3"/>
  <c r="C365" i="3"/>
  <c r="G364" i="3"/>
  <c r="F364" i="3"/>
  <c r="D364" i="3"/>
  <c r="C364" i="3"/>
  <c r="G363" i="3"/>
  <c r="F363" i="3"/>
  <c r="D363" i="3"/>
  <c r="C363" i="3"/>
  <c r="G362" i="3"/>
  <c r="F362" i="3"/>
  <c r="D362" i="3"/>
  <c r="C362" i="3"/>
  <c r="G361" i="3"/>
  <c r="F361" i="3"/>
  <c r="D361" i="3"/>
  <c r="C361" i="3"/>
  <c r="C360" i="3"/>
  <c r="D360" i="3"/>
  <c r="F360" i="3"/>
  <c r="G360" i="3"/>
  <c r="C340" i="3"/>
  <c r="D340" i="3"/>
  <c r="C341" i="3"/>
  <c r="D341" i="3"/>
  <c r="C342" i="3"/>
  <c r="D342" i="3"/>
  <c r="C343" i="3"/>
  <c r="D343" i="3"/>
  <c r="C344" i="3"/>
  <c r="D344" i="3"/>
  <c r="C345" i="3"/>
  <c r="D345" i="3"/>
  <c r="C346" i="3"/>
  <c r="D346" i="3"/>
  <c r="C347" i="3"/>
  <c r="D347" i="3"/>
  <c r="C348" i="3"/>
  <c r="D348" i="3"/>
  <c r="C349" i="3"/>
  <c r="D349" i="3"/>
  <c r="C350" i="3"/>
  <c r="D350" i="3"/>
  <c r="C351" i="3"/>
  <c r="D351" i="3"/>
  <c r="C352" i="3"/>
  <c r="D352" i="3"/>
  <c r="C353" i="3"/>
  <c r="D353" i="3"/>
  <c r="C354" i="3"/>
  <c r="D354" i="3"/>
  <c r="C355" i="3"/>
  <c r="D355" i="3"/>
  <c r="C356" i="3"/>
  <c r="D356" i="3"/>
  <c r="C357" i="3"/>
  <c r="D357" i="3"/>
  <c r="C358" i="3"/>
  <c r="D358" i="3"/>
  <c r="C359" i="3"/>
  <c r="D359" i="3"/>
  <c r="G359" i="3"/>
  <c r="F359" i="3"/>
  <c r="G358" i="3"/>
  <c r="F358" i="3"/>
  <c r="G357" i="3"/>
  <c r="F357" i="3"/>
  <c r="G356" i="3"/>
  <c r="F356" i="3"/>
  <c r="G355" i="3"/>
  <c r="F355" i="3"/>
  <c r="G354" i="3"/>
  <c r="F354" i="3"/>
  <c r="G353" i="3"/>
  <c r="F353" i="3"/>
  <c r="G352" i="3"/>
  <c r="F352" i="3"/>
  <c r="G351" i="3"/>
  <c r="F351" i="3"/>
  <c r="G350" i="3"/>
  <c r="F350" i="3"/>
  <c r="G349" i="3"/>
  <c r="F349" i="3"/>
  <c r="G348" i="3"/>
  <c r="F348" i="3"/>
  <c r="G347" i="3"/>
  <c r="F347" i="3"/>
  <c r="G346" i="3"/>
  <c r="F346" i="3"/>
  <c r="G345" i="3"/>
  <c r="F345" i="3"/>
  <c r="G344" i="3"/>
  <c r="F344" i="3"/>
  <c r="G343" i="3"/>
  <c r="F343" i="3"/>
  <c r="G342" i="3"/>
  <c r="F342" i="3"/>
  <c r="G341" i="3"/>
  <c r="F341" i="3"/>
  <c r="G340" i="3"/>
  <c r="F340" i="3"/>
  <c r="G339" i="3"/>
  <c r="F339" i="3"/>
  <c r="D339" i="3"/>
  <c r="C339" i="3"/>
  <c r="C338" i="3"/>
  <c r="D338" i="3"/>
  <c r="F338" i="3"/>
  <c r="G338" i="3"/>
  <c r="G337" i="3"/>
  <c r="F337" i="3"/>
  <c r="D337" i="3"/>
  <c r="C337" i="3"/>
  <c r="G336" i="3"/>
  <c r="F336" i="3"/>
  <c r="D336" i="3"/>
  <c r="C336" i="3"/>
  <c r="G335" i="3"/>
  <c r="F335" i="3"/>
  <c r="D335" i="3"/>
  <c r="C335" i="3"/>
  <c r="G334" i="3"/>
  <c r="F334" i="3"/>
  <c r="D334" i="3"/>
  <c r="C334" i="3"/>
  <c r="G333" i="3"/>
  <c r="F333" i="3"/>
  <c r="D333" i="3"/>
  <c r="C333" i="3"/>
  <c r="G332" i="3"/>
  <c r="F332" i="3"/>
  <c r="D332" i="3"/>
  <c r="C332" i="3"/>
  <c r="G331" i="3"/>
  <c r="F331" i="3"/>
  <c r="D331" i="3"/>
  <c r="C331" i="3"/>
  <c r="G330" i="3"/>
  <c r="F330" i="3"/>
  <c r="D330" i="3"/>
  <c r="C330" i="3"/>
  <c r="G329" i="3"/>
  <c r="F329" i="3"/>
  <c r="D329" i="3"/>
  <c r="C329" i="3"/>
  <c r="G328" i="3"/>
  <c r="F328" i="3"/>
  <c r="D328" i="3"/>
  <c r="C328" i="3"/>
  <c r="G327" i="3"/>
  <c r="F327" i="3"/>
  <c r="D327" i="3"/>
  <c r="C327" i="3"/>
  <c r="G326" i="3"/>
  <c r="F326" i="3"/>
  <c r="D326" i="3"/>
  <c r="C326" i="3"/>
  <c r="G325" i="3"/>
  <c r="F325" i="3"/>
  <c r="D325" i="3"/>
  <c r="C325" i="3"/>
  <c r="G324" i="3"/>
  <c r="F324" i="3"/>
  <c r="D324" i="3"/>
  <c r="C324" i="3"/>
  <c r="G323" i="3"/>
  <c r="F323" i="3"/>
  <c r="D323" i="3"/>
  <c r="C323" i="3"/>
  <c r="G322" i="3"/>
  <c r="F322" i="3"/>
  <c r="D322" i="3"/>
  <c r="C322" i="3"/>
  <c r="G321" i="3"/>
  <c r="F321" i="3"/>
  <c r="D321" i="3"/>
  <c r="C321" i="3"/>
  <c r="G320" i="3"/>
  <c r="F320" i="3"/>
  <c r="D320" i="3"/>
  <c r="C320" i="3"/>
  <c r="G319" i="3"/>
  <c r="F319" i="3"/>
  <c r="D319" i="3"/>
  <c r="C319" i="3"/>
  <c r="G318" i="3"/>
  <c r="F318" i="3"/>
  <c r="D318" i="3"/>
  <c r="C318" i="3"/>
  <c r="G317" i="3"/>
  <c r="F317" i="3"/>
  <c r="D317" i="3"/>
  <c r="C317" i="3"/>
  <c r="G316" i="3"/>
  <c r="F316" i="3"/>
  <c r="D316" i="3"/>
  <c r="C316" i="3"/>
  <c r="G315" i="3"/>
  <c r="F315" i="3"/>
  <c r="D315" i="3"/>
  <c r="C315" i="3"/>
  <c r="G314" i="3"/>
  <c r="F314" i="3"/>
  <c r="D314" i="3"/>
  <c r="C314" i="3"/>
  <c r="G313" i="3"/>
  <c r="F313" i="3"/>
  <c r="D313" i="3"/>
  <c r="C313" i="3"/>
  <c r="G312" i="3"/>
  <c r="F312" i="3"/>
  <c r="D312" i="3"/>
  <c r="C312" i="3"/>
  <c r="G311" i="3"/>
  <c r="F311" i="3"/>
  <c r="D311" i="3"/>
  <c r="C311" i="3"/>
  <c r="G310" i="3"/>
  <c r="F310" i="3"/>
  <c r="D310" i="3"/>
  <c r="C310" i="3"/>
  <c r="G309" i="3"/>
  <c r="F309" i="3"/>
  <c r="D309" i="3"/>
  <c r="C309" i="3"/>
  <c r="G308" i="3"/>
  <c r="F308" i="3"/>
  <c r="D308" i="3"/>
  <c r="C308" i="3"/>
  <c r="G307" i="3"/>
  <c r="F307" i="3"/>
  <c r="D307" i="3"/>
  <c r="C307" i="3"/>
  <c r="G306" i="3"/>
  <c r="F306" i="3"/>
  <c r="D306" i="3"/>
  <c r="C306" i="3"/>
  <c r="G305" i="3"/>
  <c r="F305" i="3"/>
  <c r="D305" i="3"/>
  <c r="C305" i="3"/>
  <c r="G304" i="3"/>
  <c r="F304" i="3"/>
  <c r="D304" i="3"/>
  <c r="C304" i="3"/>
  <c r="G303" i="3"/>
  <c r="F303" i="3"/>
  <c r="D303" i="3"/>
  <c r="C303" i="3"/>
  <c r="G302" i="3"/>
  <c r="F302" i="3"/>
  <c r="D302" i="3"/>
  <c r="C302" i="3"/>
  <c r="G301" i="3"/>
  <c r="F301" i="3"/>
  <c r="D301" i="3"/>
  <c r="C301" i="3"/>
  <c r="G300" i="3"/>
  <c r="F300" i="3"/>
  <c r="D300" i="3"/>
  <c r="C300" i="3"/>
  <c r="G299" i="3"/>
  <c r="F299" i="3"/>
  <c r="D299" i="3"/>
  <c r="C299" i="3"/>
  <c r="G298" i="3"/>
  <c r="F298" i="3"/>
  <c r="D298" i="3"/>
  <c r="C298" i="3"/>
  <c r="G297" i="3"/>
  <c r="F297" i="3"/>
  <c r="D297" i="3"/>
  <c r="C297" i="3"/>
  <c r="G296" i="3"/>
  <c r="F296" i="3"/>
  <c r="D296" i="3"/>
  <c r="C296" i="3"/>
  <c r="G295" i="3"/>
  <c r="F295" i="3"/>
  <c r="D295" i="3"/>
  <c r="C295" i="3"/>
  <c r="G294" i="3"/>
  <c r="F294" i="3"/>
  <c r="D294" i="3"/>
  <c r="C294" i="3"/>
  <c r="G293" i="3"/>
  <c r="F293" i="3"/>
  <c r="D293" i="3"/>
  <c r="C293" i="3"/>
  <c r="G292" i="3"/>
  <c r="F292" i="3"/>
  <c r="D292" i="3"/>
  <c r="C292" i="3"/>
  <c r="G291" i="3"/>
  <c r="F291" i="3"/>
  <c r="D291" i="3"/>
  <c r="C291" i="3"/>
  <c r="G290" i="3"/>
  <c r="F290" i="3"/>
  <c r="D290" i="3"/>
  <c r="C290" i="3"/>
  <c r="G289" i="3"/>
  <c r="F289" i="3"/>
  <c r="D289" i="3"/>
  <c r="C289" i="3"/>
  <c r="G288" i="3"/>
  <c r="F288" i="3"/>
  <c r="D288" i="3"/>
  <c r="C288" i="3"/>
  <c r="G287" i="3"/>
  <c r="F287" i="3"/>
  <c r="D287" i="3"/>
  <c r="C287" i="3"/>
  <c r="G286" i="3"/>
  <c r="F286" i="3"/>
  <c r="D286" i="3"/>
  <c r="C286" i="3"/>
  <c r="G285" i="3"/>
  <c r="F285" i="3"/>
  <c r="D285" i="3"/>
  <c r="C285" i="3"/>
  <c r="G284" i="3"/>
  <c r="F284" i="3"/>
  <c r="D284" i="3"/>
  <c r="C284" i="3"/>
  <c r="G283" i="3"/>
  <c r="F283" i="3"/>
  <c r="D283" i="3"/>
  <c r="C283" i="3"/>
  <c r="G282" i="3"/>
  <c r="F282" i="3"/>
  <c r="D282" i="3"/>
  <c r="C282" i="3"/>
  <c r="G281" i="3"/>
  <c r="F281" i="3"/>
  <c r="D281" i="3"/>
  <c r="C281" i="3"/>
  <c r="G280" i="3"/>
  <c r="F280" i="3"/>
  <c r="D280" i="3"/>
  <c r="C280" i="3"/>
  <c r="G279" i="3"/>
  <c r="F279" i="3"/>
  <c r="D279" i="3"/>
  <c r="C279" i="3"/>
  <c r="G278" i="3"/>
  <c r="F278" i="3"/>
  <c r="D278" i="3"/>
  <c r="C278" i="3"/>
  <c r="C277" i="3"/>
  <c r="D277" i="3"/>
  <c r="F277" i="3"/>
  <c r="G277" i="3"/>
  <c r="G276" i="3"/>
  <c r="F276" i="3"/>
  <c r="D276" i="3"/>
  <c r="C276" i="3"/>
  <c r="G275" i="3"/>
  <c r="F275" i="3"/>
  <c r="D275" i="3"/>
  <c r="C275" i="3"/>
  <c r="G274" i="3"/>
  <c r="F274" i="3"/>
  <c r="D274" i="3"/>
  <c r="C274" i="3"/>
  <c r="G273" i="3"/>
  <c r="F273" i="3"/>
  <c r="D273" i="3"/>
  <c r="C273" i="3"/>
  <c r="G272" i="3"/>
  <c r="F272" i="3"/>
  <c r="D272" i="3"/>
  <c r="C272" i="3"/>
  <c r="G271" i="3"/>
  <c r="F271" i="3"/>
  <c r="D271" i="3"/>
  <c r="C271" i="3"/>
  <c r="G270" i="3"/>
  <c r="F270" i="3"/>
  <c r="D270" i="3"/>
  <c r="C270" i="3"/>
  <c r="G269" i="3"/>
  <c r="F269" i="3"/>
  <c r="D269" i="3"/>
  <c r="C269" i="3"/>
  <c r="G268" i="3"/>
  <c r="F268" i="3"/>
  <c r="D268" i="3"/>
  <c r="C268" i="3"/>
  <c r="G267" i="3"/>
  <c r="F267" i="3"/>
  <c r="D267" i="3"/>
  <c r="C267" i="3"/>
  <c r="G266" i="3"/>
  <c r="F266" i="3"/>
  <c r="D266" i="3"/>
  <c r="C266" i="3"/>
  <c r="G265" i="3"/>
  <c r="F265" i="3"/>
  <c r="D265" i="3"/>
  <c r="C265" i="3"/>
  <c r="G264" i="3"/>
  <c r="F264" i="3"/>
  <c r="D264" i="3"/>
  <c r="C264" i="3"/>
  <c r="G263" i="3"/>
  <c r="F263" i="3"/>
  <c r="D263" i="3"/>
  <c r="C263" i="3"/>
  <c r="G262" i="3"/>
  <c r="F262" i="3"/>
  <c r="D262" i="3"/>
  <c r="C262" i="3"/>
  <c r="G261" i="3"/>
  <c r="F261" i="3"/>
  <c r="D261" i="3"/>
  <c r="C261" i="3"/>
  <c r="G260" i="3"/>
  <c r="F260" i="3"/>
  <c r="D260" i="3"/>
  <c r="C260" i="3"/>
  <c r="G259" i="3"/>
  <c r="F259" i="3"/>
  <c r="D259" i="3"/>
  <c r="C259" i="3"/>
  <c r="G258" i="3"/>
  <c r="F258" i="3"/>
  <c r="D258" i="3"/>
  <c r="C258" i="3"/>
  <c r="C257" i="3"/>
  <c r="D257" i="3"/>
  <c r="F257" i="3"/>
  <c r="G257" i="3"/>
  <c r="G256" i="3"/>
  <c r="F256" i="3"/>
  <c r="D256" i="3"/>
  <c r="C256" i="3"/>
  <c r="G255" i="3"/>
  <c r="F255" i="3"/>
  <c r="D255" i="3"/>
  <c r="C255" i="3"/>
  <c r="G254" i="3"/>
  <c r="F254" i="3"/>
  <c r="D254" i="3"/>
  <c r="C254" i="3"/>
  <c r="G253" i="3"/>
  <c r="F253" i="3"/>
  <c r="D253" i="3"/>
  <c r="C253" i="3"/>
  <c r="G252" i="3"/>
  <c r="F252" i="3"/>
  <c r="D252" i="3"/>
  <c r="C252" i="3"/>
  <c r="G251" i="3"/>
  <c r="F251" i="3"/>
  <c r="D251" i="3"/>
  <c r="C251" i="3"/>
  <c r="G250" i="3"/>
  <c r="F250" i="3"/>
  <c r="D250" i="3"/>
  <c r="C250" i="3"/>
  <c r="G249" i="3"/>
  <c r="F249" i="3"/>
  <c r="D249" i="3"/>
  <c r="C249" i="3"/>
  <c r="G248" i="3"/>
  <c r="F248" i="3"/>
  <c r="D248" i="3"/>
  <c r="C248" i="3"/>
  <c r="G247" i="3"/>
  <c r="F247" i="3"/>
  <c r="D247" i="3"/>
  <c r="C247" i="3"/>
  <c r="G246" i="3"/>
  <c r="F246" i="3"/>
  <c r="D246" i="3"/>
  <c r="C246" i="3"/>
  <c r="G245" i="3"/>
  <c r="F245" i="3"/>
  <c r="D245" i="3"/>
  <c r="C245" i="3"/>
  <c r="G244" i="3"/>
  <c r="F244" i="3"/>
  <c r="D244" i="3"/>
  <c r="C244" i="3"/>
  <c r="G243" i="3"/>
  <c r="F243" i="3"/>
  <c r="D243" i="3"/>
  <c r="C243" i="3"/>
  <c r="G242" i="3"/>
  <c r="F242" i="3"/>
  <c r="D242" i="3"/>
  <c r="C242" i="3"/>
  <c r="G241" i="3"/>
  <c r="F241" i="3"/>
  <c r="D241" i="3"/>
  <c r="C241" i="3"/>
  <c r="G240" i="3"/>
  <c r="F240" i="3"/>
  <c r="D240" i="3"/>
  <c r="C240" i="3"/>
  <c r="G239" i="3"/>
  <c r="F239" i="3"/>
  <c r="D239" i="3"/>
  <c r="C239" i="3"/>
  <c r="C238" i="3"/>
  <c r="D238" i="3"/>
  <c r="F238" i="3"/>
  <c r="G238" i="3"/>
  <c r="C222" i="3"/>
  <c r="D222" i="3"/>
  <c r="C223" i="3"/>
  <c r="D223" i="3"/>
  <c r="C224" i="3"/>
  <c r="D224" i="3"/>
  <c r="C225" i="3"/>
  <c r="D225" i="3"/>
  <c r="C226" i="3"/>
  <c r="D226" i="3"/>
  <c r="C227" i="3"/>
  <c r="D227" i="3"/>
  <c r="C228" i="3"/>
  <c r="D228" i="3"/>
  <c r="C229" i="3"/>
  <c r="D229" i="3"/>
  <c r="C230" i="3"/>
  <c r="D230" i="3"/>
  <c r="C231" i="3"/>
  <c r="D231" i="3"/>
  <c r="C232" i="3"/>
  <c r="D232" i="3"/>
  <c r="C233" i="3"/>
  <c r="D233" i="3"/>
  <c r="C234" i="3"/>
  <c r="D234" i="3"/>
  <c r="C235" i="3"/>
  <c r="D235" i="3"/>
  <c r="C236" i="3"/>
  <c r="D236" i="3"/>
  <c r="C237" i="3"/>
  <c r="D237" i="3"/>
  <c r="G237" i="3"/>
  <c r="F237" i="3"/>
  <c r="G236" i="3"/>
  <c r="F236" i="3"/>
  <c r="G235" i="3"/>
  <c r="F235" i="3"/>
  <c r="G234" i="3"/>
  <c r="F234" i="3"/>
  <c r="G233" i="3"/>
  <c r="F233" i="3"/>
  <c r="G232" i="3"/>
  <c r="F232" i="3"/>
  <c r="G231" i="3"/>
  <c r="F231" i="3"/>
  <c r="G230" i="3"/>
  <c r="F230" i="3"/>
  <c r="G229" i="3"/>
  <c r="F229" i="3"/>
  <c r="G228" i="3"/>
  <c r="F228" i="3"/>
  <c r="G227" i="3"/>
  <c r="F227" i="3"/>
  <c r="G226" i="3"/>
  <c r="F226" i="3"/>
  <c r="G225" i="3"/>
  <c r="F225" i="3"/>
  <c r="G224" i="3"/>
  <c r="F224" i="3"/>
  <c r="G223" i="3"/>
  <c r="F223" i="3"/>
  <c r="G222" i="3"/>
  <c r="F222" i="3"/>
  <c r="G221" i="3"/>
  <c r="F221" i="3"/>
  <c r="D221" i="3"/>
  <c r="C221" i="3"/>
  <c r="C220" i="3"/>
  <c r="D220" i="3"/>
  <c r="F220" i="3"/>
  <c r="G220" i="3"/>
  <c r="G219" i="3"/>
  <c r="F219" i="3"/>
  <c r="D219" i="3"/>
  <c r="C219" i="3"/>
  <c r="G218" i="3"/>
  <c r="F218" i="3"/>
  <c r="D218" i="3"/>
  <c r="C218" i="3"/>
  <c r="G217" i="3"/>
  <c r="F217" i="3"/>
  <c r="D217" i="3"/>
  <c r="C217" i="3"/>
  <c r="G216" i="3"/>
  <c r="F216" i="3"/>
  <c r="D216" i="3"/>
  <c r="C216" i="3"/>
  <c r="G215" i="3"/>
  <c r="F215" i="3"/>
  <c r="D215" i="3"/>
  <c r="C215" i="3"/>
  <c r="G214" i="3"/>
  <c r="F214" i="3"/>
  <c r="D214" i="3"/>
  <c r="C214" i="3"/>
  <c r="G213" i="3"/>
  <c r="F213" i="3"/>
  <c r="D213" i="3"/>
  <c r="C213" i="3"/>
  <c r="G212" i="3"/>
  <c r="F212" i="3"/>
  <c r="D212" i="3"/>
  <c r="C212" i="3"/>
  <c r="G211" i="3"/>
  <c r="F211" i="3"/>
  <c r="D211" i="3"/>
  <c r="C211" i="3"/>
  <c r="G210" i="3"/>
  <c r="F210" i="3"/>
  <c r="D210" i="3"/>
  <c r="C210" i="3"/>
  <c r="G209" i="3"/>
  <c r="F209" i="3"/>
  <c r="D209" i="3"/>
  <c r="C209" i="3"/>
  <c r="G208" i="3"/>
  <c r="F208" i="3"/>
  <c r="D208" i="3"/>
  <c r="C208" i="3"/>
  <c r="G207" i="3"/>
  <c r="F207" i="3"/>
  <c r="D207" i="3"/>
  <c r="C207" i="3"/>
  <c r="G206" i="3"/>
  <c r="F206" i="3"/>
  <c r="D206" i="3"/>
  <c r="C206" i="3"/>
  <c r="G205" i="3"/>
  <c r="F205" i="3"/>
  <c r="D205" i="3"/>
  <c r="C205" i="3"/>
  <c r="G204" i="3"/>
  <c r="F204" i="3"/>
  <c r="D204" i="3"/>
  <c r="C204" i="3"/>
  <c r="G188" i="3"/>
  <c r="F188" i="3"/>
  <c r="D188" i="3"/>
  <c r="C188" i="3"/>
  <c r="G111" i="3"/>
  <c r="F111" i="3"/>
  <c r="D111" i="3"/>
  <c r="C111" i="3"/>
  <c r="C203" i="3"/>
  <c r="D203" i="3"/>
  <c r="F203" i="3"/>
  <c r="G203" i="3"/>
  <c r="G202" i="3"/>
  <c r="F202" i="3"/>
  <c r="D202" i="3"/>
  <c r="C202" i="3"/>
  <c r="G201" i="3"/>
  <c r="F201" i="3"/>
  <c r="D201" i="3"/>
  <c r="C201" i="3"/>
  <c r="G200" i="3"/>
  <c r="F200" i="3"/>
  <c r="D200" i="3"/>
  <c r="C200" i="3"/>
  <c r="G199" i="3"/>
  <c r="F199" i="3"/>
  <c r="D199" i="3"/>
  <c r="C199" i="3"/>
  <c r="G198" i="3"/>
  <c r="F198" i="3"/>
  <c r="D198" i="3"/>
  <c r="C198" i="3"/>
  <c r="G197" i="3"/>
  <c r="F197" i="3"/>
  <c r="D197" i="3"/>
  <c r="C197" i="3"/>
  <c r="G196" i="3"/>
  <c r="F196" i="3"/>
  <c r="D196" i="3"/>
  <c r="C196" i="3"/>
  <c r="G195" i="3"/>
  <c r="F195" i="3"/>
  <c r="D195" i="3"/>
  <c r="C195" i="3"/>
  <c r="G194" i="3"/>
  <c r="F194" i="3"/>
  <c r="D194" i="3"/>
  <c r="C194" i="3"/>
  <c r="G193" i="3"/>
  <c r="F193" i="3"/>
  <c r="D193" i="3"/>
  <c r="C193" i="3"/>
  <c r="G192" i="3"/>
  <c r="F192" i="3"/>
  <c r="D192" i="3"/>
  <c r="C192" i="3"/>
  <c r="G191" i="3"/>
  <c r="F191" i="3"/>
  <c r="D191" i="3"/>
  <c r="C191" i="3"/>
  <c r="G190" i="3"/>
  <c r="F190" i="3"/>
  <c r="D190" i="3"/>
  <c r="C190" i="3"/>
  <c r="G189" i="3"/>
  <c r="F189" i="3"/>
  <c r="D189" i="3"/>
  <c r="C189" i="3"/>
  <c r="C113" i="3"/>
  <c r="D113" i="3"/>
  <c r="C114" i="3"/>
  <c r="D114" i="3"/>
  <c r="C115" i="3"/>
  <c r="D115" i="3"/>
  <c r="C116" i="3"/>
  <c r="D116" i="3"/>
  <c r="C117" i="3"/>
  <c r="D117" i="3"/>
  <c r="C118" i="3"/>
  <c r="D118" i="3"/>
  <c r="C119" i="3"/>
  <c r="D119" i="3"/>
  <c r="C120" i="3"/>
  <c r="D120" i="3"/>
  <c r="C121" i="3"/>
  <c r="D121" i="3"/>
  <c r="C122" i="3"/>
  <c r="D122" i="3"/>
  <c r="C123" i="3"/>
  <c r="D123" i="3"/>
  <c r="C124" i="3"/>
  <c r="D124" i="3"/>
  <c r="C125" i="3"/>
  <c r="D125" i="3"/>
  <c r="F125" i="3"/>
  <c r="G125" i="3"/>
  <c r="G124" i="3"/>
  <c r="F124" i="3"/>
  <c r="G123" i="3"/>
  <c r="F123" i="3"/>
  <c r="G122" i="3"/>
  <c r="F122" i="3"/>
  <c r="G121" i="3"/>
  <c r="F121" i="3"/>
  <c r="G120" i="3"/>
  <c r="F120" i="3"/>
  <c r="G119" i="3"/>
  <c r="F119" i="3"/>
  <c r="G118" i="3"/>
  <c r="F118" i="3"/>
  <c r="G117" i="3"/>
  <c r="F117" i="3"/>
  <c r="G116" i="3"/>
  <c r="F116" i="3"/>
  <c r="G115" i="3"/>
  <c r="F115" i="3"/>
  <c r="G114" i="3"/>
  <c r="F114" i="3"/>
  <c r="G113" i="3"/>
  <c r="F113" i="3"/>
  <c r="G112" i="3"/>
  <c r="F112" i="3"/>
  <c r="D112" i="3"/>
  <c r="C112" i="3"/>
  <c r="C99" i="3"/>
  <c r="D99" i="3"/>
  <c r="F99" i="3"/>
  <c r="G99" i="3"/>
  <c r="C100" i="3"/>
  <c r="D100" i="3"/>
  <c r="F100" i="3"/>
  <c r="G100" i="3"/>
  <c r="C101" i="3"/>
  <c r="D101" i="3"/>
  <c r="F101" i="3"/>
  <c r="G101" i="3"/>
  <c r="C102" i="3"/>
  <c r="D102" i="3"/>
  <c r="F102" i="3"/>
  <c r="G102" i="3"/>
  <c r="C103" i="3"/>
  <c r="D103" i="3"/>
  <c r="F103" i="3"/>
  <c r="G103" i="3"/>
  <c r="C104" i="3"/>
  <c r="D104" i="3"/>
  <c r="F104" i="3"/>
  <c r="G104" i="3"/>
  <c r="C105" i="3"/>
  <c r="D105" i="3"/>
  <c r="F105" i="3"/>
  <c r="G105" i="3"/>
  <c r="C106" i="3"/>
  <c r="D106" i="3"/>
  <c r="F106" i="3"/>
  <c r="G106" i="3"/>
  <c r="C107" i="3"/>
  <c r="D107" i="3"/>
  <c r="F107" i="3"/>
  <c r="G107" i="3"/>
  <c r="C108" i="3"/>
  <c r="D108" i="3"/>
  <c r="F108" i="3"/>
  <c r="G108" i="3"/>
  <c r="C109" i="3"/>
  <c r="D109" i="3"/>
  <c r="F109" i="3"/>
  <c r="G109" i="3"/>
  <c r="C110" i="3"/>
  <c r="D110" i="3"/>
  <c r="F110" i="3"/>
  <c r="G110" i="3"/>
  <c r="G98" i="3"/>
  <c r="F98" i="3"/>
  <c r="D98" i="3"/>
  <c r="C98" i="3"/>
  <c r="G97" i="3"/>
  <c r="F97" i="3"/>
  <c r="D97" i="3"/>
  <c r="C97" i="3"/>
  <c r="C96" i="3"/>
  <c r="D96" i="3"/>
  <c r="F96" i="3"/>
  <c r="G96" i="3"/>
  <c r="G95" i="3"/>
  <c r="F95" i="3"/>
  <c r="D95" i="3"/>
  <c r="C95" i="3"/>
  <c r="G94" i="3"/>
  <c r="F94" i="3"/>
  <c r="D94" i="3"/>
  <c r="C94" i="3"/>
  <c r="G93" i="3"/>
  <c r="F93" i="3"/>
  <c r="D93" i="3"/>
  <c r="C93" i="3"/>
  <c r="G92" i="3"/>
  <c r="F92" i="3"/>
  <c r="D92" i="3"/>
  <c r="C92" i="3"/>
  <c r="G91" i="3"/>
  <c r="F91" i="3"/>
  <c r="D91" i="3"/>
  <c r="C91" i="3"/>
  <c r="G90" i="3"/>
  <c r="F90" i="3"/>
  <c r="D90" i="3"/>
  <c r="C90" i="3"/>
  <c r="G89" i="3"/>
  <c r="F89" i="3"/>
  <c r="D89" i="3"/>
  <c r="C89" i="3"/>
  <c r="G88" i="3"/>
  <c r="F88" i="3"/>
  <c r="D88" i="3"/>
  <c r="C88" i="3"/>
  <c r="G87" i="3"/>
  <c r="F87" i="3"/>
  <c r="D87" i="3"/>
  <c r="C87" i="3"/>
  <c r="G86" i="3"/>
  <c r="F86" i="3"/>
  <c r="D86" i="3"/>
  <c r="C86" i="3"/>
  <c r="G85" i="3"/>
  <c r="F85" i="3"/>
  <c r="D85" i="3"/>
  <c r="C85" i="3"/>
  <c r="G84" i="3"/>
  <c r="F84" i="3"/>
  <c r="D84" i="3"/>
  <c r="C84" i="3"/>
  <c r="C83" i="3"/>
  <c r="D83" i="3"/>
  <c r="F83" i="3"/>
  <c r="G83" i="3"/>
  <c r="G82" i="3"/>
  <c r="F82" i="3"/>
  <c r="D82" i="3"/>
  <c r="C82" i="3"/>
  <c r="G81" i="3"/>
  <c r="F81" i="3"/>
  <c r="D81" i="3"/>
  <c r="C81" i="3"/>
  <c r="G80" i="3"/>
  <c r="F80" i="3"/>
  <c r="D80" i="3"/>
  <c r="C80" i="3"/>
  <c r="G79" i="3"/>
  <c r="F79" i="3"/>
  <c r="D79" i="3"/>
  <c r="C79" i="3"/>
  <c r="G78" i="3"/>
  <c r="F78" i="3"/>
  <c r="D78" i="3"/>
  <c r="C78" i="3"/>
  <c r="G77" i="3"/>
  <c r="F77" i="3"/>
  <c r="D77" i="3"/>
  <c r="C77" i="3"/>
  <c r="G76" i="3"/>
  <c r="F76" i="3"/>
  <c r="D76" i="3"/>
  <c r="C76" i="3"/>
  <c r="G75" i="3"/>
  <c r="F75" i="3"/>
  <c r="D75" i="3"/>
  <c r="C75" i="3"/>
  <c r="G74" i="3"/>
  <c r="F74" i="3"/>
  <c r="D74" i="3"/>
  <c r="C74" i="3"/>
  <c r="G73" i="3"/>
  <c r="F73" i="3"/>
  <c r="D73" i="3"/>
  <c r="C73" i="3"/>
  <c r="G72" i="3"/>
  <c r="F72" i="3"/>
  <c r="D72" i="3"/>
  <c r="C72" i="3"/>
  <c r="C71" i="3"/>
  <c r="D71" i="3"/>
  <c r="F71" i="3"/>
  <c r="G71" i="3"/>
  <c r="G70" i="3"/>
  <c r="F70" i="3"/>
  <c r="D70" i="3"/>
  <c r="C70" i="3"/>
  <c r="G69" i="3"/>
  <c r="F69" i="3"/>
  <c r="D69" i="3"/>
  <c r="C69" i="3"/>
  <c r="G68" i="3"/>
  <c r="F68" i="3"/>
  <c r="D68" i="3"/>
  <c r="C68" i="3"/>
  <c r="G67" i="3"/>
  <c r="F67" i="3"/>
  <c r="D67" i="3"/>
  <c r="C67" i="3"/>
  <c r="G66" i="3"/>
  <c r="F66" i="3"/>
  <c r="D66" i="3"/>
  <c r="C66" i="3"/>
  <c r="G65" i="3"/>
  <c r="F65" i="3"/>
  <c r="D65" i="3"/>
  <c r="C65" i="3"/>
  <c r="G64" i="3"/>
  <c r="F64" i="3"/>
  <c r="D64" i="3"/>
  <c r="C64" i="3"/>
  <c r="G63" i="3"/>
  <c r="F63" i="3"/>
  <c r="D63" i="3"/>
  <c r="C63" i="3"/>
  <c r="G62" i="3"/>
  <c r="F62" i="3"/>
  <c r="D62" i="3"/>
  <c r="C62" i="3"/>
  <c r="G61" i="3"/>
  <c r="F61" i="3"/>
  <c r="D61" i="3"/>
  <c r="C61" i="3"/>
  <c r="C60" i="3"/>
  <c r="D60" i="3"/>
  <c r="F60" i="3"/>
  <c r="G60" i="3"/>
  <c r="C52" i="3"/>
  <c r="D52" i="3"/>
  <c r="C53" i="3"/>
  <c r="D53" i="3"/>
  <c r="C54" i="3"/>
  <c r="D54" i="3"/>
  <c r="C55" i="3"/>
  <c r="D55" i="3"/>
  <c r="C56" i="3"/>
  <c r="D56" i="3"/>
  <c r="C57" i="3"/>
  <c r="D57" i="3"/>
  <c r="C58" i="3"/>
  <c r="D58" i="3"/>
  <c r="C59" i="3"/>
  <c r="D59" i="3"/>
  <c r="G59" i="3"/>
  <c r="F59" i="3"/>
  <c r="G58" i="3"/>
  <c r="F58" i="3"/>
  <c r="G57" i="3"/>
  <c r="F57" i="3"/>
  <c r="G56" i="3"/>
  <c r="F56" i="3"/>
  <c r="G55" i="3"/>
  <c r="F55" i="3"/>
  <c r="G54" i="3"/>
  <c r="F54" i="3"/>
  <c r="G53" i="3"/>
  <c r="F53" i="3"/>
  <c r="G52" i="3"/>
  <c r="F52" i="3"/>
  <c r="G51" i="3"/>
  <c r="F51" i="3"/>
  <c r="D51" i="3"/>
  <c r="C51" i="3"/>
  <c r="C50" i="3"/>
  <c r="D50" i="3"/>
  <c r="F50" i="3"/>
  <c r="G50" i="3"/>
  <c r="G49" i="3"/>
  <c r="F49" i="3"/>
  <c r="D49" i="3"/>
  <c r="C49" i="3"/>
  <c r="G48" i="3"/>
  <c r="F48" i="3"/>
  <c r="D48" i="3"/>
  <c r="C48" i="3"/>
  <c r="G47" i="3"/>
  <c r="F47" i="3"/>
  <c r="D47" i="3"/>
  <c r="C47" i="3"/>
  <c r="G46" i="3"/>
  <c r="F46" i="3"/>
  <c r="D46" i="3"/>
  <c r="C46" i="3"/>
  <c r="G45" i="3"/>
  <c r="F45" i="3"/>
  <c r="D45" i="3"/>
  <c r="C45" i="3"/>
  <c r="G44" i="3"/>
  <c r="F44" i="3"/>
  <c r="D44" i="3"/>
  <c r="C44" i="3"/>
  <c r="G43" i="3"/>
  <c r="F43" i="3"/>
  <c r="D43" i="3"/>
  <c r="C43" i="3"/>
  <c r="G42" i="3"/>
  <c r="F42" i="3"/>
  <c r="D42" i="3"/>
  <c r="C42" i="3"/>
  <c r="C41" i="3"/>
  <c r="D41" i="3"/>
  <c r="F41" i="3"/>
  <c r="G41" i="3"/>
  <c r="G40" i="3"/>
  <c r="F40" i="3"/>
  <c r="D40" i="3"/>
  <c r="C40" i="3"/>
  <c r="G39" i="3"/>
  <c r="F39" i="3"/>
  <c r="D39" i="3"/>
  <c r="C39" i="3"/>
  <c r="G38" i="3"/>
  <c r="F38" i="3"/>
  <c r="D38" i="3"/>
  <c r="C38" i="3"/>
  <c r="G37" i="3"/>
  <c r="F37" i="3"/>
  <c r="D37" i="3"/>
  <c r="C37" i="3"/>
  <c r="G36" i="3"/>
  <c r="F36" i="3"/>
  <c r="D36" i="3"/>
  <c r="C36" i="3"/>
  <c r="G35" i="3"/>
  <c r="F35" i="3"/>
  <c r="D35" i="3"/>
  <c r="C35" i="3"/>
  <c r="G34" i="3"/>
  <c r="F34" i="3"/>
  <c r="D34" i="3"/>
  <c r="C34" i="3"/>
  <c r="C33" i="3"/>
  <c r="D33" i="3"/>
  <c r="F33" i="3"/>
  <c r="G33" i="3"/>
  <c r="G32" i="3"/>
  <c r="F32" i="3"/>
  <c r="D32" i="3"/>
  <c r="C32" i="3"/>
  <c r="G31" i="3"/>
  <c r="F31" i="3"/>
  <c r="D31" i="3"/>
  <c r="C31" i="3"/>
  <c r="G30" i="3"/>
  <c r="F30" i="3"/>
  <c r="D30" i="3"/>
  <c r="C30" i="3"/>
  <c r="G29" i="3"/>
  <c r="F29" i="3"/>
  <c r="D29" i="3"/>
  <c r="C29" i="3"/>
  <c r="G28" i="3"/>
  <c r="F28" i="3"/>
  <c r="D28" i="3"/>
  <c r="C28" i="3"/>
  <c r="G27" i="3"/>
  <c r="F27" i="3"/>
  <c r="D27" i="3"/>
  <c r="C27" i="3"/>
  <c r="C26" i="3"/>
  <c r="D26" i="3"/>
  <c r="F26" i="3"/>
  <c r="G26" i="3"/>
  <c r="G25" i="3"/>
  <c r="F25" i="3"/>
  <c r="D25" i="3"/>
  <c r="C25" i="3"/>
  <c r="G24" i="3"/>
  <c r="F24" i="3"/>
  <c r="D24" i="3"/>
  <c r="C24" i="3"/>
  <c r="G23" i="3"/>
  <c r="F23" i="3"/>
  <c r="D23" i="3"/>
  <c r="C23" i="3"/>
  <c r="G22" i="3"/>
  <c r="F22" i="3"/>
  <c r="D22" i="3"/>
  <c r="C22" i="3"/>
  <c r="G21" i="3"/>
  <c r="F21" i="3"/>
  <c r="D21" i="3"/>
  <c r="C21" i="3"/>
  <c r="C20" i="3"/>
  <c r="D20" i="3"/>
  <c r="F20" i="3"/>
  <c r="G20" i="3"/>
  <c r="G19" i="3"/>
  <c r="F19" i="3"/>
  <c r="D19" i="3"/>
  <c r="C19" i="3"/>
  <c r="G18" i="3"/>
  <c r="F18" i="3"/>
  <c r="D18" i="3"/>
  <c r="C18" i="3"/>
  <c r="G17" i="3"/>
  <c r="F17" i="3"/>
  <c r="D17" i="3"/>
  <c r="C17" i="3"/>
  <c r="G16" i="3"/>
  <c r="F16" i="3"/>
  <c r="D16" i="3"/>
  <c r="C16" i="3"/>
  <c r="C15" i="3"/>
  <c r="D15" i="3"/>
  <c r="F15" i="3"/>
  <c r="G15" i="3"/>
  <c r="C3" i="3"/>
  <c r="D3" i="3"/>
  <c r="F3" i="3"/>
  <c r="G3" i="3"/>
  <c r="C4" i="3"/>
  <c r="D4" i="3"/>
  <c r="F4" i="3"/>
  <c r="G4" i="3"/>
  <c r="C5" i="3"/>
  <c r="D5" i="3"/>
  <c r="F5" i="3"/>
  <c r="G5" i="3"/>
  <c r="C6" i="3"/>
  <c r="D6" i="3"/>
  <c r="F6" i="3"/>
  <c r="G6" i="3"/>
  <c r="C7" i="3"/>
  <c r="D7" i="3"/>
  <c r="F7" i="3"/>
  <c r="G7" i="3"/>
  <c r="C8" i="3"/>
  <c r="D8" i="3"/>
  <c r="F8" i="3"/>
  <c r="G8" i="3"/>
  <c r="C9" i="3"/>
  <c r="D9" i="3"/>
  <c r="F9" i="3"/>
  <c r="G9" i="3"/>
  <c r="C10" i="3"/>
  <c r="D10" i="3"/>
  <c r="F10" i="3"/>
  <c r="G10" i="3"/>
  <c r="C11" i="3"/>
  <c r="D11" i="3"/>
  <c r="F11" i="3"/>
  <c r="G11" i="3"/>
  <c r="C12" i="3"/>
  <c r="D12" i="3"/>
  <c r="F12" i="3"/>
  <c r="G12" i="3"/>
  <c r="C13" i="3"/>
  <c r="D13" i="3"/>
  <c r="F13" i="3"/>
  <c r="G13" i="3"/>
  <c r="C14" i="3"/>
  <c r="D14" i="3"/>
  <c r="F14" i="3"/>
  <c r="G14" i="3"/>
  <c r="C2" i="3"/>
  <c r="D2" i="3"/>
  <c r="F2" i="3"/>
  <c r="G2" i="3"/>
  <c r="E3" i="10"/>
  <c r="E2" i="10"/>
</calcChain>
</file>

<file path=xl/sharedStrings.xml><?xml version="1.0" encoding="utf-8"?>
<sst xmlns="http://schemas.openxmlformats.org/spreadsheetml/2006/main" count="3134" uniqueCount="154">
  <si>
    <t>stage_id</t>
    <phoneticPr fontId="5"/>
  </si>
  <si>
    <t>hint</t>
    <phoneticPr fontId="5"/>
  </si>
  <si>
    <t>name</t>
    <phoneticPr fontId="5"/>
  </si>
  <si>
    <t>位置付け</t>
    <rPh sb="0" eb="3">
      <t>イチヅ</t>
    </rPh>
    <phoneticPr fontId="5"/>
  </si>
  <si>
    <t>quest_id</t>
    <phoneticPr fontId="5"/>
  </si>
  <si>
    <t>hint_id</t>
    <phoneticPr fontId="5"/>
  </si>
  <si>
    <t>language</t>
    <phoneticPr fontId="5"/>
  </si>
  <si>
    <t>hint</t>
    <phoneticPr fontId="5"/>
  </si>
  <si>
    <t>stage_hints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</si>
  <si>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</si>
  <si>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</si>
  <si>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</si>
  <si>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</si>
  <si>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</si>
  <si>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</si>
  <si>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language</t>
    <phoneticPr fontId="5"/>
  </si>
  <si>
    <t>ja</t>
    <phoneticPr fontId="5"/>
  </si>
  <si>
    <t>出力flg</t>
    <rPh sb="0" eb="2">
      <t>シュツリョク</t>
    </rPh>
    <phoneticPr fontId="5"/>
  </si>
  <si>
    <t>old</t>
    <phoneticPr fontId="38"/>
  </si>
  <si>
    <t>floor_id</t>
    <phoneticPr fontId="5"/>
  </si>
  <si>
    <t>floor_id</t>
    <phoneticPr fontId="5"/>
  </si>
  <si>
    <t>filename</t>
  </si>
  <si>
    <t>filename</t>
    <phoneticPr fontId="5"/>
  </si>
  <si>
    <t>NULL</t>
    <phoneticPr fontId="5"/>
  </si>
  <si>
    <t>title</t>
    <phoneticPr fontId="5"/>
  </si>
  <si>
    <t>title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</si>
  <si>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</si>
  <si>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_data_</t>
    </r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</si>
  <si>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</si>
  <si>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</si>
  <si>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hint_type</t>
    <phoneticPr fontId="5"/>
  </si>
  <si>
    <t>hint_type</t>
    <phoneticPr fontId="5"/>
  </si>
  <si>
    <t>complete</t>
  </si>
  <si>
    <t>お気に入り登録</t>
  </si>
  <si>
    <t>マルチプレイが熱い！　その3</t>
  </si>
  <si>
    <t>title</t>
  </si>
  <si>
    <t>hint</t>
  </si>
  <si>
    <t>長くつなげて大ダメージ</t>
  </si>
  <si>
    <t>パネルを長くつなげればつなげるほど
敵に大ダメージを与えることが出来ます！</t>
  </si>
  <si>
    <t>敵の属性に対抗しよう！</t>
  </si>
  <si>
    <t>赤には青、青には黄、黄には緑、緑には赤
効果を発揮できるパーティ編成がオススメです！</t>
  </si>
  <si>
    <t>ターゲット</t>
  </si>
  <si>
    <t>敵ユニットにタッチすると
その敵を狙い撃ちできるぞ！</t>
  </si>
  <si>
    <t>ボーナスクエスト</t>
  </si>
  <si>
    <t>ノーマルクエストを進めると
ボーナスクエストが登場する。
どんどん先に進んでボーナスをGETしよう！</t>
  </si>
  <si>
    <t>ユニット強化</t>
  </si>
  <si>
    <t>ユニットは「ユニット強化」をすることで
経験値を取得しレベルアップしていく。
「ユニット強化」をしてクエストを有利に進めよう！</t>
  </si>
  <si>
    <t>強化の属性ボーナス</t>
  </si>
  <si>
    <t>ユニット強化の際に
同じ属性のユニットを素材にすると
経験値にボーナスがつくぞ！</t>
  </si>
  <si>
    <t>メタルダックをつかって強化しよう！</t>
  </si>
  <si>
    <t>メタルピヨピヨやメタルダックなどの
「メタルなアヒル」を素材にして
ユニット強化をすると大量の経験値が入るぞ！</t>
  </si>
  <si>
    <t>ゲリラを見逃すな！</t>
  </si>
  <si>
    <t>時間限定ゲリラクエスト
「【緊急!!】アヒル捕獲作戦」ではメタルダック等
経験値素材ユニットが多く手に入る。要チェック！</t>
  </si>
  <si>
    <t>ゴールドダックを売却すると大量ビット</t>
  </si>
  <si>
    <t>ゴールドピヨピヨやゴールドダックなどの
「金アヒル」をユニット売却すると
大量のビットが手に入るぞ！</t>
  </si>
  <si>
    <t>土日クエストで大量ビットをGET！！</t>
  </si>
  <si>
    <t>売却すると大量ビットが手に入る
「ゴールドダック」は土日限定の
「ゴールドカジノ」で手に入るぞ！</t>
  </si>
  <si>
    <t>ランク解放クエスト</t>
  </si>
  <si>
    <t>一定ランクに到達すると
新たにクエストが解放される場合がある。
ランク解放クエストをクリアして報酬をGETだ！</t>
  </si>
  <si>
    <t>大事なユニットは
フォルダからお気に入り登録しよう！</t>
  </si>
  <si>
    <t>ユニットを覚醒させよう！</t>
  </si>
  <si>
    <t>ユニットを覚醒させると
これまでとは比べものにならない強さになるぞ！</t>
  </si>
  <si>
    <t>覚醒するにはレベルをMAXに！</t>
  </si>
  <si>
    <t>ユニットの更なる力を引き出すのが覚醒！
覚醒するにはユニットのレベルを
最大まで上げる必要があるぞ！</t>
  </si>
  <si>
    <t>覚醒素材をGETしよう！</t>
  </si>
  <si>
    <t>覚醒に必要な覚醒素材は
「曜日クエスト」で手に入るぞ！</t>
  </si>
  <si>
    <t>マルチプレイが熱い！　その1</t>
  </si>
  <si>
    <t>全国の友達とマルチプレイをすると
初顔合わせボーナスで100人まで
ポリゴンがもらえるぞ！</t>
  </si>
  <si>
    <t>リンクガチャを引いてみよう</t>
  </si>
  <si>
    <t>リンクガチャを回すと
メタルダックやゴールドダックが出現しやすい。
リンクガチャを回して強化素材をGETしよう！</t>
  </si>
  <si>
    <t>マルチプレイが熱い！　その2</t>
  </si>
  <si>
    <t>マルチプレイはもらえるリンクが2倍！
マルチで遊んでリンクガチャを回そう！</t>
  </si>
  <si>
    <t>チャレンジタワー</t>
  </si>
  <si>
    <t>イベントクエストの「チャレンジタワー」を
クリアすると報酬がもらえるぞ！
報酬を手に入れながら頂上を目指そう！</t>
  </si>
  <si>
    <t>マルチプレイへの参加はエナジー消費なし！
どんどん参加してどんどんユニットをGETしよう！</t>
  </si>
  <si>
    <t>スキルを有効に使おう</t>
  </si>
  <si>
    <t>ユニットはターン経過で
スキルが使えるようになる。
ユニットに「Skill OK」というアイコンが出たら
スキルを使うチャンス！</t>
  </si>
  <si>
    <t>フィーバーを使って一発逆転</t>
  </si>
  <si>
    <t>ピンチの時はフィーバーで一発逆転を狙おう！</t>
  </si>
  <si>
    <t>フィーバーは虹パネルを狙おう！</t>
  </si>
  <si>
    <t>フィーバー中にたまに落ちてくる
虹色のパネルを壊すと
全てのパネルを消すことができるぞ！</t>
  </si>
  <si>
    <t>リンゴをつかって限界突破！</t>
  </si>
  <si>
    <t>攻めの果実、生命の果実、癒しの果実は
ユニット強化に使うと
各パラメーターを上げることができる。
合計＋99まで強化できるぞ！</t>
  </si>
  <si>
    <t>クリスタルリンゴはスキルLvUP！</t>
  </si>
  <si>
    <t>秘術の果実をユニット強化に使うと
スキルLvが上げることができる。
お気に入りユニットのスキルLvを上げてみよう！</t>
  </si>
  <si>
    <t>スキルLv</t>
  </si>
  <si>
    <t>スキルLvが上がると
より短いターンでスキルを打つことができるぞ！</t>
  </si>
  <si>
    <t>ホーム画面からデッキを編成！</t>
  </si>
  <si>
    <t>ホーム画面でパーティを確認している時
ユニットの画像を長押しすると
パーティ構成画面に移動することができるぞ！</t>
  </si>
  <si>
    <t>詳細情報は長押しで！</t>
  </si>
  <si>
    <t>ユニット強化やユニット覚醒などの画面で
ユニットを長押しすれば
ユニットの詳細情報を見ることができるぞ！</t>
  </si>
  <si>
    <t>ステータスのバグって何？</t>
  </si>
  <si>
    <t>バグが高いとクエストの報酬確率がアップする！</t>
  </si>
  <si>
    <t>ステータスのバグを増やす方法</t>
  </si>
  <si>
    <t>同じユニット同士を使ってユニット強化をすると
バグを増やすことができるぞ！</t>
  </si>
  <si>
    <t>各イベントでしか入手できない
ユニットがいるので要チェックだ！</t>
  </si>
  <si>
    <t>連続攻撃をしてくる敵には</t>
  </si>
  <si>
    <t>連続攻撃する敵には「カウンター」スキルが有効
ダメージを受けた回数分カウンターを返せるぞ！</t>
  </si>
  <si>
    <t>カウンターブレイク！</t>
  </si>
  <si>
    <t>カウンターを使ってくる敵には
「カウンターブレイク」のスキルが有効だ！
カウンターを解除して大ダメージを
与えることができるぞ！</t>
  </si>
  <si>
    <t>敵のDOWNを上書きしよう！</t>
  </si>
  <si>
    <t>攻撃力DOWNの攻撃を受けたときは
攻撃力UPスキルを使うと効果を上書きできる！</t>
  </si>
  <si>
    <t>敵のUPを上書きしよう！</t>
  </si>
  <si>
    <t>敵の攻撃力がUPしたときは
攻撃力DOWNスキルを使うと
効果を上書きできる！</t>
  </si>
  <si>
    <t>チャレンジタワーのボス</t>
  </si>
  <si>
    <t>チャレンジタワーのボス
（テスラ、シャルル、ボイル）は
一定確率でドロップします！</t>
  </si>
  <si>
    <t>限界突破の引継</t>
  </si>
  <si>
    <t>限界突破（+値）の引継ぎは同じユニットか
同じ覚醒系のユニットのみ可能。
ユニット強化の際は注意しよう！</t>
  </si>
  <si>
    <t>tips_all_id</t>
    <phoneticPr fontId="5"/>
  </si>
  <si>
    <t>イベントを見逃すな！</t>
  </si>
  <si>
    <t>quest_id</t>
  </si>
  <si>
    <t>stage_id</t>
  </si>
  <si>
    <t>chukyu</t>
    <phoneticPr fontId="5"/>
  </si>
  <si>
    <t>hint_tmp_id</t>
  </si>
  <si>
    <t>パネルを長くつなげればつなげるほど
敵に大ダメージを与えることが出来ます！</t>
    <rPh sb="4" eb="5">
      <t>ナガ</t>
    </rPh>
    <rPh sb="18" eb="19">
      <t>テキ</t>
    </rPh>
    <rPh sb="20" eb="21">
      <t>ダイ</t>
    </rPh>
    <rPh sb="26" eb="27">
      <t>アタ</t>
    </rPh>
    <rPh sb="32" eb="34">
      <t>デキ</t>
    </rPh>
    <phoneticPr fontId="5"/>
  </si>
  <si>
    <t>赤には青、青には黄、黄には緑、緑には赤
効果を発揮できるパーティ編成がオススメです！</t>
    <rPh sb="0" eb="1">
      <t>アカ</t>
    </rPh>
    <rPh sb="3" eb="4">
      <t>アオ</t>
    </rPh>
    <rPh sb="5" eb="6">
      <t>アオ</t>
    </rPh>
    <rPh sb="8" eb="9">
      <t>キイロ</t>
    </rPh>
    <rPh sb="10" eb="11">
      <t>キイロ</t>
    </rPh>
    <rPh sb="13" eb="14">
      <t>ミドリ</t>
    </rPh>
    <rPh sb="15" eb="16">
      <t>ミドリ</t>
    </rPh>
    <rPh sb="18" eb="19">
      <t>アカ</t>
    </rPh>
    <rPh sb="20" eb="22">
      <t>コウカ</t>
    </rPh>
    <rPh sb="23" eb="25">
      <t>ハッキ</t>
    </rPh>
    <rPh sb="32" eb="34">
      <t>ヘンセイ</t>
    </rPh>
    <phoneticPr fontId="5"/>
  </si>
  <si>
    <t>敵ユニットにタッチすると
その敵を狙い撃ちできます！</t>
    <rPh sb="15" eb="16">
      <t>テキ</t>
    </rPh>
    <phoneticPr fontId="5"/>
  </si>
  <si>
    <t>ノーマルクエストを進めると
ボーナスクエストが登場します！
どんどん先に進んでボーナスをGETしましょう！</t>
    <rPh sb="9" eb="10">
      <t>スス</t>
    </rPh>
    <rPh sb="23" eb="25">
      <t>トウジョウ</t>
    </rPh>
    <rPh sb="34" eb="35">
      <t>サキ</t>
    </rPh>
    <rPh sb="36" eb="37">
      <t>スス</t>
    </rPh>
    <phoneticPr fontId="5"/>
  </si>
  <si>
    <t>ユニットは「ユニット強化」をすることで
経験値を取得しレベルアップしていきます。
「ユニット強化」をしてクエストを有利に進めよう！</t>
    <rPh sb="10" eb="12">
      <t>キョウカ</t>
    </rPh>
    <rPh sb="20" eb="23">
      <t>ケイケンチ</t>
    </rPh>
    <rPh sb="24" eb="26">
      <t>シュトク</t>
    </rPh>
    <rPh sb="46" eb="48">
      <t>キョウカ</t>
    </rPh>
    <rPh sb="57" eb="59">
      <t>ユウリ</t>
    </rPh>
    <rPh sb="60" eb="61">
      <t>スス</t>
    </rPh>
    <phoneticPr fontId="5"/>
  </si>
  <si>
    <t>ユニット強化の際に
同じ属性のユニットを素材にすると
経験値にボーナスがつきます！</t>
    <rPh sb="4" eb="6">
      <t>キョウカ</t>
    </rPh>
    <rPh sb="7" eb="8">
      <t>サイ</t>
    </rPh>
    <rPh sb="20" eb="22">
      <t>ソザイ</t>
    </rPh>
    <phoneticPr fontId="5"/>
  </si>
  <si>
    <t>メタルピヨピヨやメタルダックなどの
「メタルなアヒル」を素材にして
ユニット強化をすると大量の経験値が入ります！</t>
    <rPh sb="28" eb="30">
      <t>ソザイ</t>
    </rPh>
    <rPh sb="38" eb="40">
      <t>キョウカ</t>
    </rPh>
    <rPh sb="44" eb="46">
      <t>タイリョウ</t>
    </rPh>
    <rPh sb="47" eb="50">
      <t>ケイケンチ</t>
    </rPh>
    <rPh sb="51" eb="52">
      <t>ハイ</t>
    </rPh>
    <phoneticPr fontId="5"/>
  </si>
  <si>
    <t>ゴールドピヨピヨやゴールドダックなどの
「金アヒル」をユニット売却すると
大量のビットが手に入ります！</t>
    <rPh sb="21" eb="22">
      <t>キンイロ</t>
    </rPh>
    <rPh sb="31" eb="33">
      <t>バイキャク</t>
    </rPh>
    <rPh sb="37" eb="39">
      <t>タイリョウ</t>
    </rPh>
    <rPh sb="44" eb="45">
      <t>テ</t>
    </rPh>
    <rPh sb="46" eb="47">
      <t>ハイ</t>
    </rPh>
    <phoneticPr fontId="5"/>
  </si>
  <si>
    <t>売却すると大量ビットが手に入る
「ゴールドダック」は土日限定の
「ゴールドカジノ」で手に入ります！</t>
    <rPh sb="0" eb="2">
      <t>バイキャク</t>
    </rPh>
    <rPh sb="5" eb="7">
      <t>タイリョウ</t>
    </rPh>
    <rPh sb="11" eb="12">
      <t>テ</t>
    </rPh>
    <rPh sb="13" eb="14">
      <t>ハイ</t>
    </rPh>
    <rPh sb="26" eb="28">
      <t>ドニチ</t>
    </rPh>
    <rPh sb="28" eb="30">
      <t>ゲンテイ</t>
    </rPh>
    <rPh sb="42" eb="43">
      <t>テ</t>
    </rPh>
    <rPh sb="44" eb="45">
      <t>ハイ</t>
    </rPh>
    <phoneticPr fontId="5"/>
  </si>
  <si>
    <t>一定ランクに到達すると
新たにクエストが開放される場合があります。
ランク開放クエストをクリアして報酬をGETしましょう！</t>
    <rPh sb="0" eb="2">
      <t>イッテイ</t>
    </rPh>
    <rPh sb="6" eb="8">
      <t>トウタツ</t>
    </rPh>
    <rPh sb="12" eb="13">
      <t>アラ</t>
    </rPh>
    <rPh sb="25" eb="27">
      <t>バアイ</t>
    </rPh>
    <rPh sb="37" eb="39">
      <t>カイホウ</t>
    </rPh>
    <rPh sb="49" eb="51">
      <t>ホウシュウ</t>
    </rPh>
    <phoneticPr fontId="5"/>
  </si>
  <si>
    <t>大事なユニットは
フォルダからお気に入り登録しましょう！</t>
  </si>
  <si>
    <t>ユニットを覚醒させると
これまでとは比べものにならない強さを獲得できます！</t>
    <rPh sb="5" eb="7">
      <t>カクセイ</t>
    </rPh>
    <rPh sb="18" eb="19">
      <t>クラ</t>
    </rPh>
    <rPh sb="27" eb="28">
      <t>ツヨ</t>
    </rPh>
    <rPh sb="30" eb="32">
      <t>カクトク</t>
    </rPh>
    <phoneticPr fontId="5"/>
  </si>
  <si>
    <t>ユニットの更なる力を引き出すのが覚醒！
覚醒するにはユニットのレベルを
最大まで上げる必要があります！</t>
    <rPh sb="5" eb="6">
      <t>サラ</t>
    </rPh>
    <rPh sb="8" eb="9">
      <t>チカラ</t>
    </rPh>
    <rPh sb="10" eb="11">
      <t>ヒ</t>
    </rPh>
    <rPh sb="12" eb="13">
      <t>ダ</t>
    </rPh>
    <rPh sb="16" eb="18">
      <t>カクセイ</t>
    </rPh>
    <rPh sb="20" eb="22">
      <t>カクセイ</t>
    </rPh>
    <rPh sb="36" eb="38">
      <t>サイダイ</t>
    </rPh>
    <rPh sb="40" eb="41">
      <t>ア</t>
    </rPh>
    <rPh sb="43" eb="45">
      <t>ヒツヨウ</t>
    </rPh>
    <phoneticPr fontId="5"/>
  </si>
  <si>
    <t>覚醒に必要な覚醒素材は
「曜日クエスト」で手に入ります！</t>
    <rPh sb="0" eb="2">
      <t>カクセイ</t>
    </rPh>
    <rPh sb="3" eb="5">
      <t>ヒツヨウ</t>
    </rPh>
    <rPh sb="6" eb="8">
      <t>カクセイ</t>
    </rPh>
    <rPh sb="8" eb="10">
      <t>ソザイ</t>
    </rPh>
    <rPh sb="13" eb="15">
      <t>ヨウビ</t>
    </rPh>
    <rPh sb="21" eb="22">
      <t>テ</t>
    </rPh>
    <rPh sb="23" eb="24">
      <t>ハイ</t>
    </rPh>
    <phoneticPr fontId="5"/>
  </si>
  <si>
    <t>全国の友達とマルチプレイをすると
初顔合わせボーナスで100人まで
ポリゴンがもらえます！</t>
    <rPh sb="0" eb="2">
      <t>ゼンコク</t>
    </rPh>
    <rPh sb="3" eb="5">
      <t>トモダチ</t>
    </rPh>
    <rPh sb="17" eb="20">
      <t>ハツカオア</t>
    </rPh>
    <rPh sb="30" eb="31">
      <t>ニン</t>
    </rPh>
    <phoneticPr fontId="5"/>
  </si>
  <si>
    <t>リンクガチャを回すと
メタルダックやゴールドダックが出現しやすいです。
リンクガチャを回して強化素材をGETしましょう！</t>
    <rPh sb="7" eb="10">
      <t>マワs</t>
    </rPh>
    <rPh sb="26" eb="28">
      <t>シュツゲン</t>
    </rPh>
    <rPh sb="43" eb="44">
      <t>マワ</t>
    </rPh>
    <rPh sb="46" eb="50">
      <t>キョウカソザイ</t>
    </rPh>
    <phoneticPr fontId="5"/>
  </si>
  <si>
    <t>マルチプレイはもらえるリンクが2倍！
マルチで遊んでリンクガチャを回しましょう！</t>
    <rPh sb="16" eb="17">
      <t>バイ</t>
    </rPh>
    <rPh sb="23" eb="24">
      <t>アソ</t>
    </rPh>
    <rPh sb="33" eb="34">
      <t>マワ</t>
    </rPh>
    <phoneticPr fontId="5"/>
  </si>
  <si>
    <t>イベントクエストの「チャレンジタワー」を
クリアすると報酬がもらえます！
報酬を手に入れながら頂上を目指しましょう！</t>
    <rPh sb="27" eb="29">
      <t>ホウシュウ</t>
    </rPh>
    <rPh sb="37" eb="39">
      <t>ホウシュウ</t>
    </rPh>
    <rPh sb="40" eb="41">
      <t>テ</t>
    </rPh>
    <rPh sb="42" eb="43">
      <t>イ</t>
    </rPh>
    <rPh sb="47" eb="49">
      <t>チョウジョウ</t>
    </rPh>
    <rPh sb="50" eb="52">
      <t>メザ</t>
    </rPh>
    <phoneticPr fontId="5"/>
  </si>
  <si>
    <t>マルチプレイへの参加はエナジー消費がありません！
どんどん参加してどんどんユニットをGETしましょう！</t>
    <phoneticPr fontId="5"/>
  </si>
  <si>
    <t>ピンチの時はフィーバーで一発逆転を狙いましょう！</t>
    <rPh sb="4" eb="5">
      <t>トk</t>
    </rPh>
    <rPh sb="12" eb="16">
      <t>イッパツギャクテン</t>
    </rPh>
    <rPh sb="17" eb="18">
      <t>ネラ</t>
    </rPh>
    <phoneticPr fontId="5"/>
  </si>
  <si>
    <t>フィーバー中にたまに落ちてくる
虹色のパネルを壊すと
全てのパネルを壊すことができます！</t>
    <rPh sb="5" eb="6">
      <t>チュウ</t>
    </rPh>
    <rPh sb="10" eb="11">
      <t>オ</t>
    </rPh>
    <rPh sb="16" eb="18">
      <t>ニジイロ</t>
    </rPh>
    <rPh sb="23" eb="24">
      <t>コワ</t>
    </rPh>
    <rPh sb="27" eb="28">
      <t>スベ</t>
    </rPh>
    <rPh sb="34" eb="35">
      <t>コワ</t>
    </rPh>
    <phoneticPr fontId="5"/>
  </si>
  <si>
    <t>攻めの果実、生命の果実、癒しの果実は
ユニット強化に使うと
各パラメーターを上げることができます！
合計＋99まで強化できますよ！</t>
    <rPh sb="0" eb="1">
      <t>セ</t>
    </rPh>
    <rPh sb="3" eb="5">
      <t>カジツ</t>
    </rPh>
    <rPh sb="6" eb="8">
      <t>セイメイ</t>
    </rPh>
    <rPh sb="9" eb="11">
      <t>カジツ</t>
    </rPh>
    <rPh sb="12" eb="13">
      <t>イヤ</t>
    </rPh>
    <rPh sb="15" eb="17">
      <t>カジツ</t>
    </rPh>
    <rPh sb="23" eb="25">
      <t>キョウカ</t>
    </rPh>
    <rPh sb="26" eb="29">
      <t>ツカ</t>
    </rPh>
    <rPh sb="30" eb="31">
      <t>カク</t>
    </rPh>
    <rPh sb="38" eb="39">
      <t>ア</t>
    </rPh>
    <rPh sb="50" eb="52">
      <t>ゴウケ</t>
    </rPh>
    <rPh sb="57" eb="59">
      <t>キョウカ</t>
    </rPh>
    <phoneticPr fontId="5"/>
  </si>
  <si>
    <t>秘術の果実をユニット強化に使うと
スキルLvが上げることができます！
お気に入りユニットのスキルLvを上げてみましょう！</t>
    <rPh sb="0" eb="2">
      <t>ヒジュツ</t>
    </rPh>
    <rPh sb="3" eb="5">
      <t>カジツ</t>
    </rPh>
    <rPh sb="10" eb="12">
      <t>キョウカ</t>
    </rPh>
    <rPh sb="13" eb="16">
      <t>ツカ</t>
    </rPh>
    <rPh sb="23" eb="31">
      <t>アガr</t>
    </rPh>
    <rPh sb="36" eb="37">
      <t>キ</t>
    </rPh>
    <rPh sb="38" eb="39">
      <t>イ</t>
    </rPh>
    <rPh sb="51" eb="52">
      <t>ア</t>
    </rPh>
    <phoneticPr fontId="5"/>
  </si>
  <si>
    <t>スキルLvが上がると
より短いターンでスキルを打つことができます！</t>
  </si>
  <si>
    <t>ホーム画面でパーティを確認している時
ユニットの画像を長押しすると
パーティ構成画面に移動することができます！</t>
    <rPh sb="3" eb="5">
      <t>ガメン</t>
    </rPh>
    <rPh sb="11" eb="13">
      <t>カクニン</t>
    </rPh>
    <rPh sb="17" eb="18">
      <t>トキ</t>
    </rPh>
    <rPh sb="24" eb="26">
      <t>ガゾウ</t>
    </rPh>
    <rPh sb="27" eb="29">
      <t>ナガオ</t>
    </rPh>
    <rPh sb="38" eb="40">
      <t>コウセイ</t>
    </rPh>
    <rPh sb="40" eb="42">
      <t>ガメン</t>
    </rPh>
    <rPh sb="43" eb="45">
      <t>イドウ</t>
    </rPh>
    <phoneticPr fontId="5"/>
  </si>
  <si>
    <t>ユニット強化やユニット覚醒などの画面で
ユニットを長押しすれば
ユニットの詳細情報を見ることができます！</t>
    <rPh sb="4" eb="6">
      <t>キョウカ</t>
    </rPh>
    <rPh sb="11" eb="13">
      <t>カクセイ</t>
    </rPh>
    <rPh sb="16" eb="18">
      <t>ガメン</t>
    </rPh>
    <rPh sb="25" eb="27">
      <t>ナガオ</t>
    </rPh>
    <rPh sb="37" eb="39">
      <t>ショウサイ</t>
    </rPh>
    <rPh sb="39" eb="41">
      <t>ジョウホウ</t>
    </rPh>
    <rPh sb="42" eb="43">
      <t>ミ</t>
    </rPh>
    <phoneticPr fontId="5"/>
  </si>
  <si>
    <t>バグが高いとクエストの報酬確率がアップする！</t>
    <rPh sb="3" eb="4">
      <t>タカ</t>
    </rPh>
    <rPh sb="11" eb="15">
      <t>ホウシュウカクリツ</t>
    </rPh>
    <phoneticPr fontId="5"/>
  </si>
  <si>
    <t>同じユニット同士を使ってユニット強化をすると
バグを増やすことができます！</t>
    <rPh sb="0" eb="1">
      <t>オナ</t>
    </rPh>
    <rPh sb="6" eb="8">
      <t>ドウシ</t>
    </rPh>
    <rPh sb="9" eb="10">
      <t>ツカ</t>
    </rPh>
    <rPh sb="16" eb="18">
      <t>キョウカ</t>
    </rPh>
    <rPh sb="26" eb="27">
      <t>フ</t>
    </rPh>
    <phoneticPr fontId="5"/>
  </si>
  <si>
    <t>各イベントでしか入手できない
ユニットがいるので要チェックです！</t>
    <phoneticPr fontId="5"/>
  </si>
  <si>
    <t>消すことの出来ないお邪魔パネルは
フィーバーを使うと下に落とすことができますよ！</t>
    <rPh sb="0" eb="1">
      <t>ケ</t>
    </rPh>
    <rPh sb="5" eb="7">
      <t>デキ</t>
    </rPh>
    <rPh sb="10" eb="12">
      <t>ジャマ</t>
    </rPh>
    <rPh sb="23" eb="24">
      <t>ツカ</t>
    </rPh>
    <rPh sb="26" eb="27">
      <t>シタ</t>
    </rPh>
    <rPh sb="28" eb="29">
      <t>オ</t>
    </rPh>
    <phoneticPr fontId="5"/>
  </si>
  <si>
    <t>連続攻撃する敵には「カウンター」スキルが有効です！
ダメージを受けた回数分カウンターを返せますよ！</t>
    <rPh sb="0" eb="4">
      <t>レンゾクコウゲキ</t>
    </rPh>
    <rPh sb="6" eb="7">
      <t>テキ</t>
    </rPh>
    <rPh sb="20" eb="22">
      <t>ユウコウ</t>
    </rPh>
    <rPh sb="31" eb="32">
      <t>ウ</t>
    </rPh>
    <rPh sb="34" eb="37">
      <t>カイスウブン</t>
    </rPh>
    <rPh sb="43" eb="44">
      <t>カエ</t>
    </rPh>
    <phoneticPr fontId="5"/>
  </si>
  <si>
    <t>カウンターを使ってくる敵には
「カウンターブレイク」のスキルが有効です！
カウンターを解除して大ダメージを
与えることができます！</t>
    <rPh sb="6" eb="7">
      <t>ツカ</t>
    </rPh>
    <rPh sb="11" eb="12">
      <t>テキ</t>
    </rPh>
    <rPh sb="31" eb="33">
      <t>ユウコウ</t>
    </rPh>
    <rPh sb="43" eb="45">
      <t>カイジョ</t>
    </rPh>
    <rPh sb="47" eb="48">
      <t>ダイ</t>
    </rPh>
    <rPh sb="54" eb="55">
      <t>アタ</t>
    </rPh>
    <phoneticPr fontId="5"/>
  </si>
  <si>
    <t>攻撃力DOWNの攻撃を受けたときは
攻撃力UPスキルを使うと効果を上書きできます！</t>
    <rPh sb="0" eb="3">
      <t>コウゲキリョク</t>
    </rPh>
    <rPh sb="8" eb="10">
      <t>コウゲキ</t>
    </rPh>
    <rPh sb="11" eb="12">
      <t>ウ</t>
    </rPh>
    <rPh sb="18" eb="21">
      <t>コウゲキリョク</t>
    </rPh>
    <rPh sb="27" eb="28">
      <t>ツカ</t>
    </rPh>
    <rPh sb="30" eb="32">
      <t>コウカ</t>
    </rPh>
    <rPh sb="33" eb="35">
      <t>ウワガ</t>
    </rPh>
    <phoneticPr fontId="5"/>
  </si>
  <si>
    <t>敵の攻撃力がUPしたときは
攻撃力DOWNスキルを使うと
効果を上書きできます！</t>
    <rPh sb="0" eb="1">
      <t>テキ</t>
    </rPh>
    <rPh sb="2" eb="5">
      <t>コウゲキリョク</t>
    </rPh>
    <rPh sb="14" eb="17">
      <t>コウゲキリョク</t>
    </rPh>
    <rPh sb="25" eb="26">
      <t>ツカ</t>
    </rPh>
    <rPh sb="29" eb="31">
      <t>コウカ</t>
    </rPh>
    <rPh sb="32" eb="34">
      <t>ウワガ</t>
    </rPh>
    <phoneticPr fontId="5"/>
  </si>
  <si>
    <t>チャレンジタワーのボス
（テスラ、シャルル、ボイル）は
一定確率でドロップします！</t>
    <rPh sb="28" eb="32">
      <t>イッテイカクリツ</t>
    </rPh>
    <phoneticPr fontId="5"/>
  </si>
  <si>
    <t>限界突破（+値）の引継ぎは同じユニットか
同じユニットの覚醒前後のみ可能です。
ユニット強化の際は注意しましょう！</t>
    <rPh sb="0" eb="4">
      <t>ゲンカイトッパ</t>
    </rPh>
    <rPh sb="6" eb="7">
      <t>アタイ</t>
    </rPh>
    <rPh sb="9" eb="11">
      <t>ヒキツ</t>
    </rPh>
    <rPh sb="13" eb="14">
      <t>オナ</t>
    </rPh>
    <rPh sb="21" eb="22">
      <t>オナ</t>
    </rPh>
    <rPh sb="28" eb="32">
      <t>カクセイケイ</t>
    </rPh>
    <rPh sb="34" eb="36">
      <t>カノウ</t>
    </rPh>
    <rPh sb="44" eb="46">
      <t>キョウカ</t>
    </rPh>
    <rPh sb="47" eb="48">
      <t>サイ</t>
    </rPh>
    <rPh sb="49" eb="51">
      <t>チュウイ</t>
    </rPh>
    <phoneticPr fontId="5"/>
  </si>
  <si>
    <t>お邪魔はフィーバーで落とせ！</t>
    <phoneticPr fontId="5"/>
  </si>
  <si>
    <t>時間限定ゲリラクエスト
「【緊急!!】アヒル捕獲作戦」ではメタルダック等
経験値素材ユニットが多く手に入ります。要チェックです！</t>
    <rPh sb="0" eb="4">
      <t>ジカンゲンテイ</t>
    </rPh>
    <rPh sb="47" eb="49">
      <t>オオk</t>
    </rPh>
    <rPh sb="49" eb="52">
      <t xml:space="preserve"> </t>
    </rPh>
    <rPh sb="56" eb="57">
      <t>ヨウ</t>
    </rPh>
    <phoneticPr fontId="5"/>
  </si>
  <si>
    <t>ユニットはターン経過で
スキルが使えるようになります。
ユニットに「Skill OK」というアイコンが出たら
スキルを使うチャンス！</t>
    <rPh sb="8" eb="10">
      <t>ケイカ</t>
    </rPh>
    <rPh sb="16" eb="17">
      <t>ツカ</t>
    </rPh>
    <rPh sb="51" eb="52">
      <t>デ</t>
    </rPh>
    <rPh sb="59" eb="60">
      <t>ツカ</t>
    </rPh>
    <phoneticPr fontId="5"/>
  </si>
  <si>
    <t>skip</t>
    <phoneticPr fontId="3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</si>
</sst>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.6"/>
      <color rgb="FF000000"/>
      <name val="Arial"/>
      <family val="2"/>
    </font>
    <font>
      <sz val="10"/>
      <color theme="1"/>
      <name val="ＭＳ Ｐゴシック"/>
      <family val="2"/>
      <charset val="128"/>
      <scheme val="minor"/>
    </font>
    <font>
      <sz val="10"/>
      <color rgb="FF000000"/>
      <name val="Arial"/>
      <family val="2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0"/>
      <color indexed="8"/>
      <name val="Arial"/>
      <family val="2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6"/>
      <name val="ＭＳ Ｐゴシック"/>
      <family val="2"/>
      <charset val="128"/>
    </font>
    <font>
      <sz val="9.6"/>
      <color rgb="FF000000"/>
      <name val="ＭＳ Ｐゴシック"/>
      <family val="2"/>
      <charset val="128"/>
    </font>
    <font>
      <sz val="12"/>
      <name val="ＭＳ Ｐゴシック"/>
      <charset val="128"/>
      <scheme val="minor"/>
    </font>
    <font>
      <sz val="10"/>
      <color rgb="FF000000"/>
      <name val="ＭＳ Ｐゴシック"/>
      <family val="3"/>
      <charset val="128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799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4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14" fillId="6" borderId="3" applyNumberFormat="0" applyAlignment="0" applyProtection="0"/>
    <xf numFmtId="0" fontId="15" fillId="7" borderId="0" applyNumberFormat="0" applyBorder="0" applyAlignment="0" applyProtection="0"/>
    <xf numFmtId="0" fontId="16" fillId="8" borderId="4" applyNumberFormat="0" applyAlignment="0" applyProtection="0"/>
    <xf numFmtId="0" fontId="17" fillId="0" borderId="0" applyNumberFormat="0" applyFill="0" applyBorder="0" applyAlignment="0" applyProtection="0"/>
    <xf numFmtId="0" fontId="18" fillId="9" borderId="0" applyNumberFormat="0" applyBorder="0" applyAlignment="0" applyProtection="0"/>
    <xf numFmtId="0" fontId="19" fillId="10" borderId="5" applyNumberFormat="0" applyAlignment="0" applyProtection="0"/>
    <xf numFmtId="0" fontId="20" fillId="0" borderId="0" applyNumberFormat="0" applyFill="0" applyBorder="0" applyAlignment="0" applyProtection="0"/>
    <xf numFmtId="0" fontId="21" fillId="0" borderId="6" applyNumberFormat="0" applyFill="0" applyAlignment="0" applyProtection="0"/>
    <xf numFmtId="0" fontId="22" fillId="0" borderId="7" applyNumberFormat="0" applyFill="0" applyAlignment="0" applyProtection="0"/>
    <xf numFmtId="0" fontId="23" fillId="0" borderId="8" applyNumberFormat="0" applyFill="0" applyAlignment="0" applyProtection="0"/>
    <xf numFmtId="0" fontId="23" fillId="0" borderId="0" applyNumberFormat="0" applyFill="0" applyBorder="0" applyAlignment="0" applyProtection="0"/>
    <xf numFmtId="0" fontId="24" fillId="8" borderId="0" applyNumberFormat="0" applyBorder="0" applyAlignment="0" applyProtection="0"/>
    <xf numFmtId="0" fontId="24" fillId="7" borderId="0" applyNumberFormat="0" applyBorder="0" applyAlignment="0" applyProtection="0"/>
    <xf numFmtId="0" fontId="24" fillId="11" borderId="0" applyNumberFormat="0" applyBorder="0" applyAlignment="0" applyProtection="0"/>
    <xf numFmtId="0" fontId="24" fillId="8" borderId="0" applyNumberFormat="0" applyBorder="0" applyAlignment="0" applyProtection="0"/>
    <xf numFmtId="0" fontId="24" fillId="12" borderId="0" applyNumberFormat="0" applyBorder="0" applyAlignment="0" applyProtection="0"/>
    <xf numFmtId="0" fontId="24" fillId="6" borderId="0" applyNumberFormat="0" applyBorder="0" applyAlignment="0" applyProtection="0"/>
    <xf numFmtId="0" fontId="24" fillId="8" borderId="0" applyNumberFormat="0" applyBorder="0" applyAlignment="0" applyProtection="0"/>
    <xf numFmtId="0" fontId="24" fillId="13" borderId="0" applyNumberFormat="0" applyBorder="0" applyAlignment="0" applyProtection="0"/>
    <xf numFmtId="0" fontId="24" fillId="11" borderId="0" applyNumberFormat="0" applyBorder="0" applyAlignment="0" applyProtection="0"/>
    <xf numFmtId="0" fontId="24" fillId="8" borderId="0" applyNumberFormat="0" applyBorder="0" applyAlignment="0" applyProtection="0"/>
    <xf numFmtId="0" fontId="24" fillId="14" borderId="0" applyNumberFormat="0" applyBorder="0" applyAlignment="0" applyProtection="0"/>
    <xf numFmtId="0" fontId="24" fillId="7" borderId="0" applyNumberFormat="0" applyBorder="0" applyAlignment="0" applyProtection="0"/>
    <xf numFmtId="0" fontId="25" fillId="15" borderId="0" applyNumberFormat="0" applyBorder="0" applyAlignment="0" applyProtection="0"/>
    <xf numFmtId="0" fontId="25" fillId="13" borderId="0" applyNumberFormat="0" applyBorder="0" applyAlignment="0" applyProtection="0"/>
    <xf numFmtId="0" fontId="25" fillId="11" borderId="0" applyNumberFormat="0" applyBorder="0" applyAlignment="0" applyProtection="0"/>
    <xf numFmtId="0" fontId="25" fillId="8" borderId="0" applyNumberFormat="0" applyBorder="0" applyAlignment="0" applyProtection="0"/>
    <xf numFmtId="0" fontId="25" fillId="15" borderId="0" applyNumberFormat="0" applyBorder="0" applyAlignment="0" applyProtection="0"/>
    <xf numFmtId="0" fontId="25" fillId="7" borderId="0" applyNumberFormat="0" applyBorder="0" applyAlignment="0" applyProtection="0"/>
    <xf numFmtId="0" fontId="17" fillId="0" borderId="0" applyNumberFormat="0" applyFill="0" applyBorder="0" applyAlignment="0" applyProtection="0"/>
    <xf numFmtId="0" fontId="25" fillId="15" borderId="0" applyNumberFormat="0" applyBorder="0" applyAlignment="0" applyProtection="0"/>
    <xf numFmtId="0" fontId="25" fillId="16" borderId="0" applyNumberFormat="0" applyBorder="0" applyAlignment="0" applyProtection="0"/>
    <xf numFmtId="0" fontId="25" fillId="11" borderId="0" applyNumberFormat="0" applyBorder="0" applyAlignment="0" applyProtection="0"/>
    <xf numFmtId="0" fontId="25" fillId="17" borderId="0" applyNumberFormat="0" applyBorder="0" applyAlignment="0" applyProtection="0"/>
    <xf numFmtId="0" fontId="25" fillId="15" borderId="0" applyNumberFormat="0" applyBorder="0" applyAlignment="0" applyProtection="0"/>
    <xf numFmtId="0" fontId="25" fillId="13" borderId="0" applyNumberFormat="0" applyBorder="0" applyAlignment="0" applyProtection="0"/>
    <xf numFmtId="0" fontId="26" fillId="18" borderId="0" applyNumberFormat="0" applyBorder="0" applyAlignment="0" applyProtection="0"/>
    <xf numFmtId="0" fontId="15" fillId="7" borderId="0" applyNumberFormat="0" applyBorder="0" applyAlignment="0" applyProtection="0"/>
    <xf numFmtId="0" fontId="27" fillId="0" borderId="0"/>
    <xf numFmtId="0" fontId="28" fillId="0" borderId="9" applyNumberFormat="0" applyFill="0" applyAlignment="0" applyProtection="0"/>
    <xf numFmtId="0" fontId="29" fillId="8" borderId="10" applyNumberFormat="0" applyAlignment="0" applyProtection="0"/>
    <xf numFmtId="0" fontId="29" fillId="19" borderId="10" applyNumberFormat="0" applyAlignment="0" applyProtection="0"/>
    <xf numFmtId="0" fontId="16" fillId="7" borderId="4" applyNumberFormat="0" applyAlignment="0" applyProtection="0"/>
    <xf numFmtId="0" fontId="30" fillId="0" borderId="11" applyNumberFormat="0" applyFill="0" applyAlignment="0" applyProtection="0"/>
    <xf numFmtId="0" fontId="31" fillId="19" borderId="4" applyNumberFormat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12" applyNumberFormat="0" applyFill="0" applyAlignment="0" applyProtection="0"/>
    <xf numFmtId="0" fontId="34" fillId="20" borderId="0" applyNumberFormat="0" applyBorder="0" applyAlignment="0" applyProtection="0"/>
    <xf numFmtId="0" fontId="35" fillId="21" borderId="0" applyNumberFormat="0" applyBorder="0" applyAlignment="0" applyProtection="0"/>
    <xf numFmtId="0" fontId="36" fillId="0" borderId="0"/>
    <xf numFmtId="0" fontId="3" fillId="0" borderId="0"/>
    <xf numFmtId="0" fontId="3" fillId="0" borderId="0"/>
    <xf numFmtId="0" fontId="37" fillId="21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</cellStyleXfs>
  <cellXfs count="37">
    <xf numFmtId="0" fontId="0" fillId="0" borderId="0" xfId="0"/>
    <xf numFmtId="0" fontId="7" fillId="2" borderId="1" xfId="0" applyFont="1" applyFill="1" applyBorder="1" applyAlignment="1">
      <alignment horizontal="center"/>
    </xf>
    <xf numFmtId="56" fontId="7" fillId="3" borderId="1" xfId="0" applyNumberFormat="1" applyFont="1" applyFill="1" applyBorder="1" applyAlignment="1">
      <alignment horizontal="center"/>
    </xf>
    <xf numFmtId="0" fontId="13" fillId="4" borderId="2" xfId="0" applyFont="1" applyFill="1" applyBorder="1" applyAlignment="1">
      <alignment vertical="center"/>
    </xf>
    <xf numFmtId="0" fontId="8" fillId="0" borderId="1" xfId="0" applyFont="1" applyFill="1" applyBorder="1"/>
    <xf numFmtId="0" fontId="6" fillId="0" borderId="1" xfId="0" applyFont="1" applyFill="1" applyBorder="1"/>
    <xf numFmtId="0" fontId="7" fillId="4" borderId="1" xfId="0" applyFont="1" applyFill="1" applyBorder="1" applyAlignment="1">
      <alignment horizontal="center"/>
    </xf>
    <xf numFmtId="0" fontId="12" fillId="5" borderId="1" xfId="455" applyFont="1" applyFill="1" applyBorder="1"/>
    <xf numFmtId="0" fontId="3" fillId="5" borderId="1" xfId="455" applyFill="1" applyBorder="1"/>
    <xf numFmtId="0" fontId="3" fillId="0" borderId="0" xfId="455"/>
    <xf numFmtId="0" fontId="3" fillId="0" borderId="1" xfId="455" applyBorder="1"/>
    <xf numFmtId="0" fontId="7" fillId="2" borderId="1" xfId="456" applyFont="1" applyFill="1" applyBorder="1" applyAlignment="1">
      <alignment horizontal="left"/>
    </xf>
    <xf numFmtId="0" fontId="7" fillId="3" borderId="1" xfId="0" applyFont="1" applyFill="1" applyBorder="1" applyAlignment="1">
      <alignment horizontal="center"/>
    </xf>
    <xf numFmtId="0" fontId="12" fillId="5" borderId="1" xfId="0" applyFont="1" applyFill="1" applyBorder="1"/>
    <xf numFmtId="0" fontId="2" fillId="0" borderId="1" xfId="455" applyFont="1" applyBorder="1"/>
    <xf numFmtId="56" fontId="7" fillId="2" borderId="1" xfId="0" applyNumberFormat="1" applyFont="1" applyFill="1" applyBorder="1" applyAlignment="1">
      <alignment horizontal="center"/>
    </xf>
    <xf numFmtId="0" fontId="3" fillId="22" borderId="1" xfId="455" applyFill="1" applyBorder="1"/>
    <xf numFmtId="0" fontId="0" fillId="2" borderId="1" xfId="455" applyFont="1" applyFill="1" applyBorder="1"/>
    <xf numFmtId="0" fontId="13" fillId="0" borderId="2" xfId="0" applyFont="1" applyFill="1" applyBorder="1" applyAlignment="1">
      <alignment vertical="center"/>
    </xf>
    <xf numFmtId="0" fontId="3" fillId="2" borderId="0" xfId="455" applyFill="1"/>
    <xf numFmtId="0" fontId="0" fillId="3" borderId="1" xfId="0" applyFill="1" applyBorder="1"/>
    <xf numFmtId="0" fontId="0" fillId="0" borderId="1" xfId="0" applyBorder="1"/>
    <xf numFmtId="0" fontId="0" fillId="2" borderId="0" xfId="455" applyFont="1" applyFill="1"/>
    <xf numFmtId="0" fontId="0" fillId="0" borderId="1" xfId="455" applyFont="1" applyBorder="1"/>
    <xf numFmtId="0" fontId="7" fillId="23" borderId="1" xfId="0" applyFont="1" applyFill="1" applyBorder="1" applyAlignment="1">
      <alignment horizontal="center"/>
    </xf>
    <xf numFmtId="0" fontId="40" fillId="2" borderId="1" xfId="0" applyFont="1" applyFill="1" applyBorder="1" applyAlignment="1">
      <alignment horizontal="center"/>
    </xf>
    <xf numFmtId="0" fontId="40" fillId="0" borderId="1" xfId="0" applyFont="1" applyFill="1" applyBorder="1"/>
    <xf numFmtId="0" fontId="40" fillId="0" borderId="0" xfId="0" applyFont="1" applyFill="1"/>
    <xf numFmtId="0" fontId="7" fillId="0" borderId="1" xfId="0" applyFont="1" applyBorder="1" applyAlignment="1">
      <alignment wrapText="1"/>
    </xf>
    <xf numFmtId="0" fontId="0" fillId="0" borderId="0" xfId="0" applyAlignment="1">
      <alignment wrapText="1"/>
    </xf>
    <xf numFmtId="0" fontId="7" fillId="0" borderId="1" xfId="0" applyFont="1" applyFill="1" applyBorder="1" applyAlignment="1">
      <alignment wrapText="1"/>
    </xf>
    <xf numFmtId="0" fontId="41" fillId="0" borderId="13" xfId="0" applyFont="1" applyBorder="1" applyAlignment="1">
      <alignment wrapText="1"/>
    </xf>
    <xf numFmtId="0" fontId="7" fillId="0" borderId="1" xfId="0" applyFont="1" applyBorder="1"/>
    <xf numFmtId="0" fontId="7" fillId="0" borderId="14" xfId="0" applyFont="1" applyFill="1" applyBorder="1" applyAlignment="1">
      <alignment wrapText="1"/>
    </xf>
    <xf numFmtId="0" fontId="41" fillId="0" borderId="15" xfId="0" applyFont="1" applyBorder="1" applyAlignment="1">
      <alignment wrapText="1"/>
    </xf>
    <xf numFmtId="0" fontId="39" fillId="23" borderId="1" xfId="0" applyFont="1" applyFill="1" applyBorder="1"/>
    <xf numFmtId="38" fontId="7" fillId="23" borderId="1" xfId="798" applyFont="1" applyFill="1" applyBorder="1" applyAlignment="1"/>
  </cellXfs>
  <cellStyles count="799">
    <cellStyle name="20% - ANZg1" xfId="469"/>
    <cellStyle name="20% - ANZg2" xfId="470"/>
    <cellStyle name="20% - ANZg3" xfId="471"/>
    <cellStyle name="20% - ANZg4" xfId="472"/>
    <cellStyle name="20% - ANZg5" xfId="473"/>
    <cellStyle name="20% - ANZg6" xfId="474"/>
    <cellStyle name="40% - ANZg1" xfId="475"/>
    <cellStyle name="40% - ANZg2" xfId="476"/>
    <cellStyle name="40% - ANZg3" xfId="477"/>
    <cellStyle name="40% - ANZg4" xfId="478"/>
    <cellStyle name="40% - ANZg5" xfId="479"/>
    <cellStyle name="40% - ANZg6" xfId="480"/>
    <cellStyle name="60% - ANZg1" xfId="481"/>
    <cellStyle name="60% - ANZg2" xfId="482"/>
    <cellStyle name="60% - ANZg3" xfId="483"/>
    <cellStyle name="60% - ANZg4" xfId="484"/>
    <cellStyle name="60% - ANZg5" xfId="485"/>
    <cellStyle name="60% - ANZg6" xfId="486"/>
    <cellStyle name="Excel Built-in Normal" xfId="496"/>
    <cellStyle name="^Cg" xfId="464"/>
    <cellStyle name="`FbN Z" xfId="463"/>
    <cellStyle name="ANZg 1" xfId="488"/>
    <cellStyle name="ANZg 2" xfId="489"/>
    <cellStyle name="ANZg 3" xfId="490"/>
    <cellStyle name="ANZg 4" xfId="491"/>
    <cellStyle name="ANZg 5" xfId="492"/>
    <cellStyle name="ANZg 6" xfId="493"/>
    <cellStyle name="" xfId="458"/>
    <cellStyle name="N Z" xfId="497"/>
    <cellStyle name="_" xfId="459"/>
    <cellStyle name="«¢" xfId="462"/>
    <cellStyle name="vZ" xfId="502"/>
    <cellStyle name="x÷" xfId="504"/>
    <cellStyle name="x¶" xfId="503"/>
    <cellStyle name="ýo_ 1" xfId="505"/>
    <cellStyle name="©oµ 1" xfId="465"/>
    <cellStyle name="©oµ 2" xfId="466"/>
    <cellStyle name="©oµ 3" xfId="467"/>
    <cellStyle name="©oµ 4" xfId="468"/>
    <cellStyle name="v" xfId="501"/>
    <cellStyle name="o_" xfId="498"/>
    <cellStyle name="oÍ" xfId="499"/>
    <cellStyle name="__÷" xfId="461"/>
    <cellStyle name="à¾¶" xfId="487"/>
    <cellStyle name="__" xfId="460"/>
    <cellStyle name="üÍ" xfId="500"/>
    <cellStyle name="Ê" xfId="495"/>
    <cellStyle name="Ç¢" xfId="494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桁区切り 2" xfId="139"/>
    <cellStyle name="桁区切り 2 2" xfId="798"/>
    <cellStyle name="標準" xfId="0" builtinId="0"/>
    <cellStyle name="標準 2" xfId="238"/>
    <cellStyle name="標準 3" xfId="508"/>
    <cellStyle name="標準 4" xfId="456"/>
    <cellStyle name="標準 4 2" xfId="457"/>
    <cellStyle name="標準 5" xfId="509"/>
    <cellStyle name="標準 5 2" xfId="510"/>
    <cellStyle name="標準 6" xfId="455"/>
    <cellStyle name="無題1" xfId="511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赤字強調" xfId="507"/>
    <cellStyle name="青字強調" xfId="506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externalLink" Target="externalLinks/externalLink1.xml"/><Relationship Id="rId5" Type="http://schemas.openxmlformats.org/officeDocument/2006/relationships/externalLink" Target="externalLinks/externalLink2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11207</v>
          </cell>
        </row>
        <row r="66">
          <cell r="A66">
            <v>11208</v>
          </cell>
        </row>
        <row r="67">
          <cell r="A67">
            <v>11209</v>
          </cell>
        </row>
        <row r="68">
          <cell r="A68">
            <v>11210</v>
          </cell>
        </row>
        <row r="69">
          <cell r="A69">
            <v>11211</v>
          </cell>
        </row>
        <row r="70">
          <cell r="A70">
            <v>11212</v>
          </cell>
        </row>
        <row r="71">
          <cell r="A71">
            <v>11213</v>
          </cell>
        </row>
        <row r="72">
          <cell r="A72">
            <v>11214</v>
          </cell>
        </row>
        <row r="73">
          <cell r="A73">
            <v>11215</v>
          </cell>
        </row>
        <row r="74">
          <cell r="A74">
            <v>11216</v>
          </cell>
        </row>
        <row r="75">
          <cell r="A75">
            <v>11217</v>
          </cell>
        </row>
        <row r="76">
          <cell r="A76">
            <v>11218</v>
          </cell>
        </row>
        <row r="77">
          <cell r="A77">
            <v>11219</v>
          </cell>
        </row>
        <row r="78">
          <cell r="A78">
            <v>11220</v>
          </cell>
        </row>
        <row r="79">
          <cell r="A79">
            <v>11221</v>
          </cell>
        </row>
        <row r="80">
          <cell r="A80">
            <v>11224</v>
          </cell>
        </row>
        <row r="81">
          <cell r="A81">
            <v>11225</v>
          </cell>
        </row>
        <row r="82">
          <cell r="A82">
            <v>11226</v>
          </cell>
        </row>
        <row r="83">
          <cell r="A83">
            <v>12001</v>
          </cell>
        </row>
        <row r="84">
          <cell r="A84">
            <v>12002</v>
          </cell>
        </row>
        <row r="85">
          <cell r="A85">
            <v>12003</v>
          </cell>
        </row>
        <row r="86">
          <cell r="A86">
            <v>12004</v>
          </cell>
        </row>
        <row r="87">
          <cell r="A87">
            <v>13001</v>
          </cell>
        </row>
        <row r="88">
          <cell r="A88">
            <v>14001</v>
          </cell>
        </row>
        <row r="89">
          <cell r="A89">
            <v>14002</v>
          </cell>
        </row>
        <row r="90">
          <cell r="A90">
            <v>14003</v>
          </cell>
        </row>
        <row r="91">
          <cell r="A91">
            <v>14004</v>
          </cell>
        </row>
        <row r="92">
          <cell r="A92">
            <v>14005</v>
          </cell>
        </row>
        <row r="93">
          <cell r="A93">
            <v>14006</v>
          </cell>
        </row>
        <row r="94">
          <cell r="A94">
            <v>15027</v>
          </cell>
        </row>
        <row r="95">
          <cell r="A95">
            <v>15028</v>
          </cell>
        </row>
        <row r="96">
          <cell r="A96">
            <v>15029</v>
          </cell>
        </row>
        <row r="97">
          <cell r="A97">
            <v>15030</v>
          </cell>
        </row>
        <row r="98">
          <cell r="A98">
            <v>15031</v>
          </cell>
        </row>
        <row r="99">
          <cell r="A99">
            <v>20001</v>
          </cell>
        </row>
        <row r="100">
          <cell r="A100">
            <v>20002</v>
          </cell>
        </row>
        <row r="101">
          <cell r="A101">
            <v>20003</v>
          </cell>
        </row>
        <row r="102">
          <cell r="A102">
            <v>20004</v>
          </cell>
        </row>
        <row r="103">
          <cell r="A103">
            <v>20005</v>
          </cell>
        </row>
        <row r="104">
          <cell r="A104">
            <v>20006</v>
          </cell>
        </row>
        <row r="105">
          <cell r="A105">
            <v>20007</v>
          </cell>
        </row>
        <row r="106">
          <cell r="A106">
            <v>20008</v>
          </cell>
        </row>
        <row r="107">
          <cell r="A107">
            <v>20009</v>
          </cell>
        </row>
        <row r="108">
          <cell r="A108">
            <v>20010</v>
          </cell>
        </row>
        <row r="109">
          <cell r="A109">
            <v>20011</v>
          </cell>
        </row>
        <row r="110">
          <cell r="A110">
            <v>20012</v>
          </cell>
        </row>
        <row r="111">
          <cell r="A111">
            <v>20013</v>
          </cell>
        </row>
        <row r="112">
          <cell r="A112">
            <v>20014</v>
          </cell>
        </row>
        <row r="113">
          <cell r="A113">
            <v>20015</v>
          </cell>
        </row>
        <row r="114">
          <cell r="A114">
            <v>20016</v>
          </cell>
        </row>
        <row r="115">
          <cell r="A115">
            <v>20017</v>
          </cell>
        </row>
        <row r="116">
          <cell r="A116">
            <v>20018</v>
          </cell>
        </row>
        <row r="117">
          <cell r="A117">
            <v>30001</v>
          </cell>
        </row>
        <row r="118">
          <cell r="A118">
            <v>30002</v>
          </cell>
        </row>
        <row r="119">
          <cell r="A119">
            <v>30003</v>
          </cell>
        </row>
        <row r="120">
          <cell r="A120">
            <v>30004</v>
          </cell>
        </row>
        <row r="121">
          <cell r="A121">
            <v>30005</v>
          </cell>
        </row>
        <row r="122">
          <cell r="A122">
            <v>30006</v>
          </cell>
        </row>
        <row r="123">
          <cell r="A123">
            <v>30007</v>
          </cell>
        </row>
        <row r="124">
          <cell r="A124">
            <v>30008</v>
          </cell>
        </row>
        <row r="125">
          <cell r="A125">
            <v>30009</v>
          </cell>
        </row>
        <row r="126">
          <cell r="A126">
            <v>30010</v>
          </cell>
        </row>
        <row r="127">
          <cell r="A127">
            <v>30011</v>
          </cell>
        </row>
        <row r="128">
          <cell r="A128">
            <v>30012</v>
          </cell>
        </row>
        <row r="129">
          <cell r="A129">
            <v>30013</v>
          </cell>
        </row>
        <row r="130">
          <cell r="A130">
            <v>30014</v>
          </cell>
        </row>
        <row r="131">
          <cell r="A131">
            <v>30015</v>
          </cell>
        </row>
        <row r="132">
          <cell r="A132">
            <v>30016</v>
          </cell>
        </row>
        <row r="133">
          <cell r="A133">
            <v>30017</v>
          </cell>
        </row>
        <row r="134">
          <cell r="A134">
            <v>30018</v>
          </cell>
        </row>
        <row r="135">
          <cell r="A135">
            <v>30019</v>
          </cell>
        </row>
        <row r="136">
          <cell r="A136">
            <v>30020</v>
          </cell>
        </row>
        <row r="137">
          <cell r="A137">
            <v>30021</v>
          </cell>
        </row>
        <row r="138">
          <cell r="A138">
            <v>30022</v>
          </cell>
        </row>
        <row r="139">
          <cell r="A139">
            <v>30023</v>
          </cell>
        </row>
        <row r="140">
          <cell r="A140">
            <v>30024</v>
          </cell>
        </row>
        <row r="141">
          <cell r="A141">
            <v>30025</v>
          </cell>
        </row>
        <row r="142">
          <cell r="A142">
            <v>30026</v>
          </cell>
        </row>
        <row r="143">
          <cell r="A143">
            <v>30027</v>
          </cell>
        </row>
        <row r="144">
          <cell r="A144">
            <v>30028</v>
          </cell>
        </row>
        <row r="145">
          <cell r="A145">
            <v>30029</v>
          </cell>
        </row>
        <row r="146">
          <cell r="A146">
            <v>30030</v>
          </cell>
        </row>
        <row r="147">
          <cell r="A147">
            <v>30031</v>
          </cell>
        </row>
        <row r="148">
          <cell r="A148">
            <v>30032</v>
          </cell>
        </row>
        <row r="149">
          <cell r="A149">
            <v>30033</v>
          </cell>
        </row>
        <row r="150">
          <cell r="A150">
            <v>30034</v>
          </cell>
        </row>
        <row r="151">
          <cell r="A151">
            <v>30035</v>
          </cell>
        </row>
        <row r="152">
          <cell r="A152">
            <v>30036</v>
          </cell>
        </row>
        <row r="153">
          <cell r="A153">
            <v>30037</v>
          </cell>
        </row>
        <row r="154">
          <cell r="A154">
            <v>30038</v>
          </cell>
        </row>
        <row r="155">
          <cell r="A155">
            <v>39001</v>
          </cell>
        </row>
        <row r="156">
          <cell r="A156">
            <v>39002</v>
          </cell>
        </row>
        <row r="157">
          <cell r="A157">
            <v>39003</v>
          </cell>
        </row>
        <row r="158">
          <cell r="A158">
            <v>39004</v>
          </cell>
        </row>
        <row r="159">
          <cell r="A159">
            <v>39005</v>
          </cell>
        </row>
        <row r="160">
          <cell r="A160">
            <v>39006</v>
          </cell>
        </row>
        <row r="161">
          <cell r="A161">
            <v>40001</v>
          </cell>
        </row>
        <row r="162">
          <cell r="A162">
            <v>40002</v>
          </cell>
        </row>
        <row r="163">
          <cell r="A163">
            <v>40003</v>
          </cell>
        </row>
        <row r="164">
          <cell r="A164">
            <v>40004</v>
          </cell>
        </row>
        <row r="165">
          <cell r="A165">
            <v>40005</v>
          </cell>
        </row>
        <row r="166">
          <cell r="A166">
            <v>40006</v>
          </cell>
        </row>
        <row r="167">
          <cell r="A167">
            <v>40007</v>
          </cell>
        </row>
        <row r="168">
          <cell r="A168">
            <v>40008</v>
          </cell>
        </row>
        <row r="169">
          <cell r="A169">
            <v>40009</v>
          </cell>
        </row>
        <row r="170">
          <cell r="A170">
            <v>40010</v>
          </cell>
        </row>
        <row r="171">
          <cell r="A171">
            <v>40011</v>
          </cell>
        </row>
        <row r="172">
          <cell r="A172">
            <v>40012</v>
          </cell>
        </row>
        <row r="173">
          <cell r="A173">
            <v>40013</v>
          </cell>
        </row>
        <row r="174">
          <cell r="A174">
            <v>40014</v>
          </cell>
        </row>
        <row r="175">
          <cell r="A175">
            <v>40015</v>
          </cell>
        </row>
        <row r="176">
          <cell r="A176">
            <v>40016</v>
          </cell>
        </row>
        <row r="177">
          <cell r="A177">
            <v>40017</v>
          </cell>
        </row>
        <row r="178">
          <cell r="A178">
            <v>40018</v>
          </cell>
        </row>
        <row r="179">
          <cell r="A179">
            <v>40019</v>
          </cell>
        </row>
        <row r="180">
          <cell r="A180">
            <v>40021</v>
          </cell>
        </row>
        <row r="181">
          <cell r="A181">
            <v>40022</v>
          </cell>
        </row>
        <row r="182">
          <cell r="A182">
            <v>48001</v>
          </cell>
        </row>
        <row r="183">
          <cell r="A183">
            <v>48002</v>
          </cell>
        </row>
        <row r="184">
          <cell r="A184">
            <v>41001</v>
          </cell>
        </row>
        <row r="185">
          <cell r="A185">
            <v>41002</v>
          </cell>
        </row>
        <row r="186">
          <cell r="A186">
            <v>41003</v>
          </cell>
        </row>
        <row r="187">
          <cell r="A187">
            <v>41004</v>
          </cell>
        </row>
        <row r="188">
          <cell r="A188">
            <v>41005</v>
          </cell>
        </row>
        <row r="189">
          <cell r="A189">
            <v>41006</v>
          </cell>
        </row>
        <row r="190">
          <cell r="A190">
            <v>41007</v>
          </cell>
        </row>
        <row r="191">
          <cell r="A191">
            <v>41008</v>
          </cell>
        </row>
        <row r="192">
          <cell r="A192">
            <v>41009</v>
          </cell>
        </row>
        <row r="193">
          <cell r="A193">
            <v>41010</v>
          </cell>
        </row>
        <row r="194">
          <cell r="A194">
            <v>41011</v>
          </cell>
        </row>
        <row r="195">
          <cell r="A195">
            <v>41012</v>
          </cell>
        </row>
        <row r="196">
          <cell r="A196">
            <v>41013</v>
          </cell>
        </row>
        <row r="197">
          <cell r="A197">
            <v>41014</v>
          </cell>
        </row>
        <row r="198">
          <cell r="A198">
            <v>47001</v>
          </cell>
        </row>
        <row r="199">
          <cell r="A199">
            <v>47002</v>
          </cell>
        </row>
        <row r="200">
          <cell r="A200">
            <v>49001</v>
          </cell>
        </row>
        <row r="201">
          <cell r="A201">
            <v>49002</v>
          </cell>
        </row>
        <row r="202">
          <cell r="A202">
            <v>49003</v>
          </cell>
        </row>
        <row r="203">
          <cell r="A203">
            <v>49004</v>
          </cell>
        </row>
        <row r="204">
          <cell r="A204">
            <v>49005</v>
          </cell>
        </row>
        <row r="205">
          <cell r="A205">
            <v>49006</v>
          </cell>
        </row>
        <row r="206">
          <cell r="A206">
            <v>50001</v>
          </cell>
        </row>
        <row r="207">
          <cell r="A207">
            <v>50002</v>
          </cell>
        </row>
        <row r="208">
          <cell r="A208">
            <v>50003</v>
          </cell>
        </row>
        <row r="209">
          <cell r="A209">
            <v>50004</v>
          </cell>
        </row>
        <row r="210">
          <cell r="A210">
            <v>50005</v>
          </cell>
        </row>
        <row r="211">
          <cell r="A211">
            <v>50006</v>
          </cell>
        </row>
        <row r="212">
          <cell r="A212">
            <v>51001</v>
          </cell>
        </row>
        <row r="213">
          <cell r="A213">
            <v>51002</v>
          </cell>
        </row>
        <row r="214">
          <cell r="A214">
            <v>60001</v>
          </cell>
        </row>
        <row r="215">
          <cell r="A215">
            <v>60002</v>
          </cell>
        </row>
        <row r="216">
          <cell r="A216">
            <v>60003</v>
          </cell>
        </row>
        <row r="217">
          <cell r="A217">
            <v>60004</v>
          </cell>
        </row>
        <row r="218">
          <cell r="A218">
            <v>60005</v>
          </cell>
        </row>
        <row r="219">
          <cell r="A219">
            <v>60006</v>
          </cell>
        </row>
        <row r="220">
          <cell r="A220">
            <v>60007</v>
          </cell>
        </row>
        <row r="221">
          <cell r="A221">
            <v>60010</v>
          </cell>
        </row>
        <row r="222">
          <cell r="A222">
            <v>60011</v>
          </cell>
        </row>
        <row r="223">
          <cell r="A223">
            <v>61011</v>
          </cell>
        </row>
        <row r="224">
          <cell r="A224">
            <v>60012</v>
          </cell>
        </row>
        <row r="225">
          <cell r="A225">
            <v>60013</v>
          </cell>
        </row>
        <row r="226">
          <cell r="A226">
            <v>65534</v>
          </cell>
        </row>
        <row r="227">
          <cell r="A227">
            <v>65535</v>
          </cell>
        </row>
        <row r="228">
          <cell r="A228">
            <v>60021</v>
          </cell>
        </row>
        <row r="229">
          <cell r="A229">
            <v>60022</v>
          </cell>
        </row>
        <row r="230">
          <cell r="A230">
            <v>60023</v>
          </cell>
        </row>
        <row r="231">
          <cell r="A231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11101_1</v>
          </cell>
        </row>
        <row r="234">
          <cell r="A234" t="str">
            <v>11101_2</v>
          </cell>
        </row>
        <row r="235">
          <cell r="A235" t="str">
            <v>11101_3</v>
          </cell>
        </row>
        <row r="236">
          <cell r="A236" t="str">
            <v>11101_4</v>
          </cell>
        </row>
        <row r="237">
          <cell r="A237" t="str">
            <v>11101_10</v>
          </cell>
        </row>
        <row r="238">
          <cell r="A238" t="str">
            <v>11102_1</v>
          </cell>
        </row>
        <row r="239">
          <cell r="A239" t="str">
            <v>11102_2</v>
          </cell>
        </row>
        <row r="240">
          <cell r="A240" t="str">
            <v>11102_3</v>
          </cell>
        </row>
        <row r="241">
          <cell r="A241" t="str">
            <v>11102_4</v>
          </cell>
        </row>
        <row r="242">
          <cell r="A242" t="str">
            <v>11102_10</v>
          </cell>
        </row>
        <row r="243">
          <cell r="A243" t="str">
            <v>11103_1</v>
          </cell>
        </row>
        <row r="244">
          <cell r="A244" t="str">
            <v>11103_2</v>
          </cell>
        </row>
        <row r="245">
          <cell r="A245" t="str">
            <v>11103_3</v>
          </cell>
        </row>
        <row r="246">
          <cell r="A246" t="str">
            <v>11103_4</v>
          </cell>
        </row>
        <row r="247">
          <cell r="A247" t="str">
            <v>11103_10</v>
          </cell>
        </row>
        <row r="248">
          <cell r="A248" t="str">
            <v>11104_1</v>
          </cell>
        </row>
        <row r="249">
          <cell r="A249" t="str">
            <v>11104_2</v>
          </cell>
        </row>
        <row r="250">
          <cell r="A250" t="str">
            <v>11104_3</v>
          </cell>
        </row>
        <row r="251">
          <cell r="A251" t="str">
            <v>11104_4</v>
          </cell>
        </row>
        <row r="252">
          <cell r="A252" t="str">
            <v>11104_10</v>
          </cell>
        </row>
        <row r="253">
          <cell r="A253" t="str">
            <v>11105_1</v>
          </cell>
        </row>
        <row r="254">
          <cell r="A254" t="str">
            <v>11105_2</v>
          </cell>
        </row>
        <row r="255">
          <cell r="A255" t="str">
            <v>11105_3</v>
          </cell>
        </row>
        <row r="256">
          <cell r="A256" t="str">
            <v>11105_4</v>
          </cell>
        </row>
        <row r="257">
          <cell r="A257" t="str">
            <v>11106_1</v>
          </cell>
        </row>
        <row r="258">
          <cell r="A258" t="str">
            <v>11106_2</v>
          </cell>
        </row>
        <row r="259">
          <cell r="A259" t="str">
            <v>11106_3</v>
          </cell>
        </row>
        <row r="260">
          <cell r="A260" t="str">
            <v>11206_1</v>
          </cell>
        </row>
        <row r="261">
          <cell r="A261" t="str">
            <v>11206_2</v>
          </cell>
        </row>
        <row r="262">
          <cell r="A262" t="str">
            <v>11206_3</v>
          </cell>
        </row>
        <row r="263">
          <cell r="A263" t="str">
            <v>11016_1</v>
          </cell>
        </row>
        <row r="264">
          <cell r="A264" t="str">
            <v>11207_1</v>
          </cell>
        </row>
        <row r="265">
          <cell r="A265" t="str">
            <v>11207_2</v>
          </cell>
        </row>
        <row r="266">
          <cell r="A266" t="str">
            <v>11208_1</v>
          </cell>
        </row>
        <row r="267">
          <cell r="A267" t="str">
            <v>11208_2</v>
          </cell>
        </row>
        <row r="268">
          <cell r="A268" t="str">
            <v>11209_1</v>
          </cell>
        </row>
        <row r="269">
          <cell r="A269" t="str">
            <v>11209_2</v>
          </cell>
        </row>
        <row r="270">
          <cell r="A270" t="str">
            <v>11212_1</v>
          </cell>
        </row>
        <row r="271">
          <cell r="A271" t="str">
            <v>11213_1</v>
          </cell>
        </row>
        <row r="272">
          <cell r="A272" t="str">
            <v>11214_1</v>
          </cell>
        </row>
        <row r="273">
          <cell r="A273" t="str">
            <v>11214_2</v>
          </cell>
        </row>
        <row r="274">
          <cell r="A274" t="str">
            <v>11214_3</v>
          </cell>
        </row>
        <row r="275">
          <cell r="A275" t="str">
            <v>11215_1</v>
          </cell>
        </row>
        <row r="276">
          <cell r="A276" t="str">
            <v>11216_1</v>
          </cell>
        </row>
        <row r="277">
          <cell r="A277" t="str">
            <v>11217_1</v>
          </cell>
        </row>
        <row r="278">
          <cell r="A278" t="str">
            <v>11218_1</v>
          </cell>
        </row>
        <row r="279">
          <cell r="A279" t="str">
            <v>11219_1</v>
          </cell>
        </row>
        <row r="280">
          <cell r="A280" t="str">
            <v>11220_1</v>
          </cell>
        </row>
        <row r="281">
          <cell r="A281" t="str">
            <v>11221_1</v>
          </cell>
        </row>
        <row r="282">
          <cell r="A282" t="str">
            <v>11224_1</v>
          </cell>
        </row>
        <row r="283">
          <cell r="A283" t="str">
            <v>11225_1</v>
          </cell>
        </row>
        <row r="284">
          <cell r="A284" t="str">
            <v>11226_1</v>
          </cell>
        </row>
        <row r="285">
          <cell r="A285" t="str">
            <v>11226_2</v>
          </cell>
        </row>
        <row r="286">
          <cell r="A286" t="str">
            <v>11226_3</v>
          </cell>
        </row>
        <row r="287">
          <cell r="A287" t="str">
            <v>11226_4</v>
          </cell>
        </row>
        <row r="288">
          <cell r="A288" t="str">
            <v>11226_5</v>
          </cell>
        </row>
        <row r="289">
          <cell r="A289" t="str">
            <v>11226_6</v>
          </cell>
        </row>
        <row r="290">
          <cell r="A290" t="str">
            <v>11226_7</v>
          </cell>
        </row>
        <row r="291">
          <cell r="A291" t="str">
            <v>11226_8</v>
          </cell>
        </row>
        <row r="292">
          <cell r="A292" t="str">
            <v>12001_1</v>
          </cell>
        </row>
        <row r="293">
          <cell r="A293" t="str">
            <v>12001_2</v>
          </cell>
        </row>
        <row r="294">
          <cell r="A294" t="str">
            <v>12001_3</v>
          </cell>
        </row>
        <row r="295">
          <cell r="A295" t="str">
            <v>12002_1</v>
          </cell>
        </row>
        <row r="296">
          <cell r="A296" t="str">
            <v>12002_2</v>
          </cell>
        </row>
        <row r="297">
          <cell r="A297" t="str">
            <v>12003_1</v>
          </cell>
        </row>
        <row r="298">
          <cell r="A298" t="str">
            <v>12003_2</v>
          </cell>
        </row>
        <row r="299">
          <cell r="A299" t="str">
            <v>12003_3</v>
          </cell>
        </row>
        <row r="300">
          <cell r="A300" t="str">
            <v>12003_4</v>
          </cell>
        </row>
        <row r="301">
          <cell r="A301" t="str">
            <v>12004_1</v>
          </cell>
        </row>
        <row r="302">
          <cell r="A302" t="str">
            <v>13001_1</v>
          </cell>
        </row>
        <row r="303">
          <cell r="A303" t="str">
            <v>13001_2</v>
          </cell>
        </row>
        <row r="304">
          <cell r="A304" t="str">
            <v>13001_3</v>
          </cell>
        </row>
        <row r="305">
          <cell r="A305" t="str">
            <v>13001_4</v>
          </cell>
        </row>
        <row r="306">
          <cell r="A306" t="str">
            <v>13001_5</v>
          </cell>
        </row>
        <row r="307">
          <cell r="A307" t="str">
            <v>13001_6</v>
          </cell>
        </row>
        <row r="308">
          <cell r="A308" t="str">
            <v>13001_7</v>
          </cell>
        </row>
        <row r="309">
          <cell r="A309" t="str">
            <v>13001_8</v>
          </cell>
        </row>
        <row r="310">
          <cell r="A310" t="str">
            <v>13001_9</v>
          </cell>
        </row>
        <row r="311">
          <cell r="A311" t="str">
            <v>13001_10</v>
          </cell>
        </row>
        <row r="312">
          <cell r="A312" t="str">
            <v>13001_11</v>
          </cell>
        </row>
        <row r="313">
          <cell r="A313" t="str">
            <v>13001_12</v>
          </cell>
        </row>
        <row r="314">
          <cell r="A314" t="str">
            <v>13001_13</v>
          </cell>
        </row>
        <row r="315">
          <cell r="A315" t="str">
            <v>13001_14</v>
          </cell>
        </row>
        <row r="316">
          <cell r="A316" t="str">
            <v>13001_15</v>
          </cell>
        </row>
        <row r="317">
          <cell r="A317" t="str">
            <v>13001_16</v>
          </cell>
        </row>
        <row r="318">
          <cell r="A318" t="str">
            <v>13001_17</v>
          </cell>
        </row>
        <row r="319">
          <cell r="A319" t="str">
            <v>13001_18</v>
          </cell>
        </row>
        <row r="320">
          <cell r="A320" t="str">
            <v>13001_19</v>
          </cell>
        </row>
        <row r="321">
          <cell r="A321" t="str">
            <v>13001_20</v>
          </cell>
        </row>
        <row r="322">
          <cell r="A322" t="str">
            <v>13001_21</v>
          </cell>
        </row>
        <row r="323">
          <cell r="A323" t="str">
            <v>13001_22</v>
          </cell>
        </row>
        <row r="324">
          <cell r="A324" t="str">
            <v>13001_23</v>
          </cell>
        </row>
        <row r="325">
          <cell r="A325" t="str">
            <v>13001_24</v>
          </cell>
        </row>
        <row r="326">
          <cell r="A326" t="str">
            <v>13001_25</v>
          </cell>
        </row>
        <row r="327">
          <cell r="A327" t="str">
            <v>14001_1</v>
          </cell>
        </row>
        <row r="328">
          <cell r="A328" t="str">
            <v>14001_2</v>
          </cell>
        </row>
        <row r="329">
          <cell r="A329" t="str">
            <v>14001_3</v>
          </cell>
        </row>
        <row r="330">
          <cell r="A330" t="str">
            <v>14001_4</v>
          </cell>
        </row>
        <row r="331">
          <cell r="A331" t="str">
            <v>14001_5</v>
          </cell>
        </row>
        <row r="332">
          <cell r="A332" t="str">
            <v>14001_6</v>
          </cell>
        </row>
        <row r="333">
          <cell r="A333" t="str">
            <v>14001_7</v>
          </cell>
        </row>
        <row r="334">
          <cell r="A334" t="str">
            <v>14001_8</v>
          </cell>
        </row>
        <row r="335">
          <cell r="A335" t="str">
            <v>14002_1</v>
          </cell>
        </row>
        <row r="336">
          <cell r="A336" t="str">
            <v>14002_2</v>
          </cell>
        </row>
        <row r="337">
          <cell r="A337" t="str">
            <v>14003_1</v>
          </cell>
        </row>
        <row r="338">
          <cell r="A338" t="str">
            <v>14003_2</v>
          </cell>
        </row>
        <row r="339">
          <cell r="A339" t="str">
            <v>14003_3</v>
          </cell>
        </row>
        <row r="340">
          <cell r="A340" t="str">
            <v>14003_4</v>
          </cell>
        </row>
        <row r="341">
          <cell r="A341" t="str">
            <v>14004_1</v>
          </cell>
        </row>
        <row r="342">
          <cell r="A342" t="str">
            <v>14004_2</v>
          </cell>
        </row>
        <row r="343">
          <cell r="A343" t="str">
            <v>14004_3</v>
          </cell>
        </row>
        <row r="344">
          <cell r="A344" t="str">
            <v>14004_4</v>
          </cell>
        </row>
        <row r="345">
          <cell r="A345" t="str">
            <v>14005_1</v>
          </cell>
        </row>
        <row r="346">
          <cell r="A346" t="str">
            <v>14006_1</v>
          </cell>
        </row>
        <row r="347">
          <cell r="A347" t="str">
            <v>15027_1</v>
          </cell>
        </row>
        <row r="348">
          <cell r="A348" t="str">
            <v>15027_2</v>
          </cell>
        </row>
        <row r="349">
          <cell r="A349" t="str">
            <v>15027_3</v>
          </cell>
        </row>
        <row r="350">
          <cell r="A350" t="str">
            <v>15027_4</v>
          </cell>
        </row>
        <row r="351">
          <cell r="A351" t="str">
            <v>15028_1</v>
          </cell>
        </row>
        <row r="352">
          <cell r="A352" t="str">
            <v>15028_2</v>
          </cell>
        </row>
        <row r="353">
          <cell r="A353" t="str">
            <v>15028_3</v>
          </cell>
        </row>
        <row r="354">
          <cell r="A354" t="str">
            <v>15028_4</v>
          </cell>
        </row>
        <row r="355">
          <cell r="A355" t="str">
            <v>15029_1</v>
          </cell>
        </row>
        <row r="356">
          <cell r="A356" t="str">
            <v>15029_2</v>
          </cell>
        </row>
        <row r="357">
          <cell r="A357" t="str">
            <v>15029_3</v>
          </cell>
        </row>
        <row r="358">
          <cell r="A358" t="str">
            <v>15029_4</v>
          </cell>
        </row>
        <row r="359">
          <cell r="A359" t="str">
            <v>15030_1</v>
          </cell>
        </row>
        <row r="360">
          <cell r="A360" t="str">
            <v>15030_2</v>
          </cell>
        </row>
        <row r="361">
          <cell r="A361" t="str">
            <v>15030_3</v>
          </cell>
        </row>
        <row r="362">
          <cell r="A362" t="str">
            <v>15030_4</v>
          </cell>
        </row>
        <row r="363">
          <cell r="A363" t="str">
            <v>15031_1</v>
          </cell>
        </row>
        <row r="364">
          <cell r="A364" t="str">
            <v>15031_2</v>
          </cell>
        </row>
        <row r="365">
          <cell r="A365" t="str">
            <v>15031_3</v>
          </cell>
        </row>
        <row r="366">
          <cell r="A366" t="str">
            <v>15031_4</v>
          </cell>
        </row>
        <row r="367">
          <cell r="A367" t="str">
            <v>20001_1</v>
          </cell>
        </row>
        <row r="368">
          <cell r="A368" t="str">
            <v>20001_2</v>
          </cell>
        </row>
        <row r="369">
          <cell r="A369" t="str">
            <v>20001_3</v>
          </cell>
        </row>
        <row r="370">
          <cell r="A370" t="str">
            <v>20002_1</v>
          </cell>
        </row>
        <row r="371">
          <cell r="A371" t="str">
            <v>20002_2</v>
          </cell>
        </row>
        <row r="372">
          <cell r="A372" t="str">
            <v>20002_3</v>
          </cell>
        </row>
        <row r="373">
          <cell r="A373" t="str">
            <v>20003_1</v>
          </cell>
        </row>
        <row r="374">
          <cell r="A374" t="str">
            <v>20003_2</v>
          </cell>
        </row>
        <row r="375">
          <cell r="A375" t="str">
            <v>20003_3</v>
          </cell>
        </row>
        <row r="376">
          <cell r="A376" t="str">
            <v>20004_1</v>
          </cell>
        </row>
        <row r="377">
          <cell r="A377" t="str">
            <v>20004_2</v>
          </cell>
        </row>
        <row r="378">
          <cell r="A378" t="str">
            <v>20004_3</v>
          </cell>
        </row>
        <row r="379">
          <cell r="A379" t="str">
            <v>20005_1</v>
          </cell>
        </row>
        <row r="380">
          <cell r="A380" t="str">
            <v>20005_2</v>
          </cell>
        </row>
        <row r="381">
          <cell r="A381" t="str">
            <v>20005_3</v>
          </cell>
        </row>
        <row r="382">
          <cell r="A382" t="str">
            <v>20006_1</v>
          </cell>
        </row>
        <row r="383">
          <cell r="A383" t="str">
            <v>20006_2</v>
          </cell>
        </row>
        <row r="384">
          <cell r="A384" t="str">
            <v>20006_3</v>
          </cell>
        </row>
        <row r="385">
          <cell r="A385" t="str">
            <v>20007_1</v>
          </cell>
        </row>
        <row r="386">
          <cell r="A386" t="str">
            <v>20007_2</v>
          </cell>
        </row>
        <row r="387">
          <cell r="A387" t="str">
            <v>20007_3</v>
          </cell>
        </row>
        <row r="388">
          <cell r="A388" t="str">
            <v>20008_1</v>
          </cell>
        </row>
        <row r="389">
          <cell r="A389" t="str">
            <v>20008_2</v>
          </cell>
        </row>
        <row r="390">
          <cell r="A390" t="str">
            <v>20008_3</v>
          </cell>
        </row>
        <row r="391">
          <cell r="A391" t="str">
            <v>20009_1</v>
          </cell>
        </row>
        <row r="392">
          <cell r="A392" t="str">
            <v>20009_2</v>
          </cell>
        </row>
        <row r="393">
          <cell r="A393" t="str">
            <v>20009_3</v>
          </cell>
        </row>
        <row r="394">
          <cell r="A394" t="str">
            <v>20010_1</v>
          </cell>
        </row>
        <row r="395">
          <cell r="A395" t="str">
            <v>20010_2</v>
          </cell>
        </row>
        <row r="396">
          <cell r="A396" t="str">
            <v>20010_3</v>
          </cell>
        </row>
        <row r="397">
          <cell r="A397" t="str">
            <v>20011_1</v>
          </cell>
        </row>
        <row r="398">
          <cell r="A398" t="str">
            <v>20011_2</v>
          </cell>
        </row>
        <row r="399">
          <cell r="A399" t="str">
            <v>20011_3</v>
          </cell>
        </row>
        <row r="400">
          <cell r="A400" t="str">
            <v>20012_1</v>
          </cell>
        </row>
        <row r="401">
          <cell r="A401" t="str">
            <v>20012_2</v>
          </cell>
        </row>
        <row r="402">
          <cell r="A402" t="str">
            <v>20012_3</v>
          </cell>
        </row>
        <row r="403">
          <cell r="A403" t="str">
            <v>20013_1</v>
          </cell>
        </row>
        <row r="404">
          <cell r="A404" t="str">
            <v>20013_2</v>
          </cell>
        </row>
        <row r="405">
          <cell r="A405" t="str">
            <v>20013_3</v>
          </cell>
        </row>
        <row r="406">
          <cell r="A406" t="str">
            <v>20014_1</v>
          </cell>
        </row>
        <row r="407">
          <cell r="A407" t="str">
            <v>20014_2</v>
          </cell>
        </row>
        <row r="408">
          <cell r="A408" t="str">
            <v>20014_3</v>
          </cell>
        </row>
        <row r="409">
          <cell r="A409" t="str">
            <v>20015_1</v>
          </cell>
        </row>
        <row r="410">
          <cell r="A410" t="str">
            <v>20015_2</v>
          </cell>
        </row>
        <row r="411">
          <cell r="A411" t="str">
            <v>20015_3</v>
          </cell>
        </row>
        <row r="412">
          <cell r="A412" t="str">
            <v>20016_1</v>
          </cell>
        </row>
        <row r="413">
          <cell r="A413" t="str">
            <v>20016_2</v>
          </cell>
        </row>
        <row r="414">
          <cell r="A414" t="str">
            <v>20016_3</v>
          </cell>
        </row>
        <row r="415">
          <cell r="A415" t="str">
            <v>20017_1</v>
          </cell>
        </row>
        <row r="416">
          <cell r="A416" t="str">
            <v>20017_2</v>
          </cell>
        </row>
        <row r="417">
          <cell r="A417" t="str">
            <v>20017_3</v>
          </cell>
        </row>
        <row r="418">
          <cell r="A418" t="str">
            <v>20018_1</v>
          </cell>
        </row>
        <row r="419">
          <cell r="A419" t="str">
            <v>20018_2</v>
          </cell>
        </row>
        <row r="420">
          <cell r="A420" t="str">
            <v>20018_3</v>
          </cell>
        </row>
        <row r="421">
          <cell r="A421" t="str">
            <v>30001_1</v>
          </cell>
        </row>
        <row r="422">
          <cell r="A422" t="str">
            <v>30001_2</v>
          </cell>
        </row>
        <row r="423">
          <cell r="A423" t="str">
            <v>30001_3</v>
          </cell>
        </row>
        <row r="424">
          <cell r="A424" t="str">
            <v>30002_1</v>
          </cell>
        </row>
        <row r="425">
          <cell r="A425" t="str">
            <v>30002_2</v>
          </cell>
        </row>
        <row r="426">
          <cell r="A426" t="str">
            <v>30002_3</v>
          </cell>
        </row>
        <row r="427">
          <cell r="A427" t="str">
            <v>30003_1</v>
          </cell>
        </row>
        <row r="428">
          <cell r="A428" t="str">
            <v>30003_2</v>
          </cell>
        </row>
        <row r="429">
          <cell r="A429" t="str">
            <v>30003_3</v>
          </cell>
        </row>
        <row r="430">
          <cell r="A430" t="str">
            <v>30004_1</v>
          </cell>
        </row>
        <row r="431">
          <cell r="A431" t="str">
            <v>30004_2</v>
          </cell>
        </row>
        <row r="432">
          <cell r="A432" t="str">
            <v>30004_3</v>
          </cell>
        </row>
        <row r="433">
          <cell r="A433" t="str">
            <v>30005_1</v>
          </cell>
        </row>
        <row r="434">
          <cell r="A434" t="str">
            <v>30005_2</v>
          </cell>
        </row>
        <row r="435">
          <cell r="A435" t="str">
            <v>30005_3</v>
          </cell>
        </row>
        <row r="436">
          <cell r="A436" t="str">
            <v>30006_1</v>
          </cell>
        </row>
        <row r="437">
          <cell r="A437" t="str">
            <v>30006_2</v>
          </cell>
        </row>
        <row r="438">
          <cell r="A438" t="str">
            <v>30006_3</v>
          </cell>
        </row>
        <row r="439">
          <cell r="A439" t="str">
            <v>30007_1</v>
          </cell>
        </row>
        <row r="440">
          <cell r="A440" t="str">
            <v>30007_2</v>
          </cell>
        </row>
        <row r="441">
          <cell r="A441" t="str">
            <v>30007_3</v>
          </cell>
        </row>
        <row r="442">
          <cell r="A442" t="str">
            <v>30008_1</v>
          </cell>
        </row>
        <row r="443">
          <cell r="A443" t="str">
            <v>30008_2</v>
          </cell>
        </row>
        <row r="444">
          <cell r="A444" t="str">
            <v>30008_3</v>
          </cell>
        </row>
        <row r="445">
          <cell r="A445" t="str">
            <v>30009_3</v>
          </cell>
        </row>
        <row r="446">
          <cell r="A446" t="str">
            <v>30009_1</v>
          </cell>
        </row>
        <row r="447">
          <cell r="A447" t="str">
            <v>30009_2</v>
          </cell>
        </row>
        <row r="448">
          <cell r="A448" t="str">
            <v>30010_1</v>
          </cell>
        </row>
        <row r="449">
          <cell r="A449" t="str">
            <v>30010_2</v>
          </cell>
        </row>
        <row r="450">
          <cell r="A450" t="str">
            <v>30010_3</v>
          </cell>
        </row>
        <row r="451">
          <cell r="A451" t="str">
            <v>30011_1</v>
          </cell>
        </row>
        <row r="452">
          <cell r="A452" t="str">
            <v>30011_2</v>
          </cell>
        </row>
        <row r="453">
          <cell r="A453" t="str">
            <v>30011_3</v>
          </cell>
        </row>
        <row r="454">
          <cell r="A454" t="str">
            <v>30012_1</v>
          </cell>
        </row>
        <row r="455">
          <cell r="A455" t="str">
            <v>30012_2</v>
          </cell>
        </row>
        <row r="456">
          <cell r="A456" t="str">
            <v>30012_3</v>
          </cell>
        </row>
        <row r="457">
          <cell r="A457" t="str">
            <v>30013_1</v>
          </cell>
        </row>
        <row r="458">
          <cell r="A458" t="str">
            <v>30013_2</v>
          </cell>
        </row>
        <row r="459">
          <cell r="A459" t="str">
            <v>30014_1</v>
          </cell>
        </row>
        <row r="460">
          <cell r="A460" t="str">
            <v>30014_2</v>
          </cell>
        </row>
        <row r="461">
          <cell r="A461" t="str">
            <v>30015_1</v>
          </cell>
        </row>
        <row r="462">
          <cell r="A462" t="str">
            <v>30015_2</v>
          </cell>
        </row>
        <row r="463">
          <cell r="A463" t="str">
            <v>30016_1</v>
          </cell>
        </row>
        <row r="464">
          <cell r="A464" t="str">
            <v>30016_2</v>
          </cell>
        </row>
        <row r="465">
          <cell r="A465" t="str">
            <v>30017_1</v>
          </cell>
        </row>
        <row r="466">
          <cell r="A466" t="str">
            <v>30017_2</v>
          </cell>
        </row>
        <row r="467">
          <cell r="A467" t="str">
            <v>30018_1</v>
          </cell>
        </row>
        <row r="468">
          <cell r="A468" t="str">
            <v>30018_2</v>
          </cell>
        </row>
        <row r="469">
          <cell r="A469" t="str">
            <v>30019_1</v>
          </cell>
        </row>
        <row r="470">
          <cell r="A470" t="str">
            <v>30019_2</v>
          </cell>
        </row>
        <row r="471">
          <cell r="A471" t="str">
            <v>30020_1</v>
          </cell>
        </row>
        <row r="472">
          <cell r="A472" t="str">
            <v>30020_2</v>
          </cell>
        </row>
        <row r="473">
          <cell r="A473" t="str">
            <v>30021_1</v>
          </cell>
        </row>
        <row r="474">
          <cell r="A474" t="str">
            <v>30021_2</v>
          </cell>
        </row>
        <row r="475">
          <cell r="A475" t="str">
            <v>30021_3</v>
          </cell>
        </row>
        <row r="476">
          <cell r="A476" t="str">
            <v>30022_1</v>
          </cell>
        </row>
        <row r="477">
          <cell r="A477" t="str">
            <v>30022_2</v>
          </cell>
        </row>
        <row r="478">
          <cell r="A478" t="str">
            <v>30023_1</v>
          </cell>
        </row>
        <row r="479">
          <cell r="A479" t="str">
            <v>30023_2</v>
          </cell>
        </row>
        <row r="480">
          <cell r="A480" t="str">
            <v>30023_3</v>
          </cell>
        </row>
        <row r="481">
          <cell r="A481" t="str">
            <v>30024_1</v>
          </cell>
        </row>
        <row r="482">
          <cell r="A482" t="str">
            <v>30024_2</v>
          </cell>
        </row>
        <row r="483">
          <cell r="A483" t="str">
            <v>30024_3</v>
          </cell>
        </row>
        <row r="484">
          <cell r="A484" t="str">
            <v>30025_1</v>
          </cell>
        </row>
        <row r="485">
          <cell r="A485" t="str">
            <v>30025_2</v>
          </cell>
        </row>
        <row r="486">
          <cell r="A486" t="str">
            <v>30025_3</v>
          </cell>
        </row>
        <row r="487">
          <cell r="A487" t="str">
            <v>30026_1</v>
          </cell>
        </row>
        <row r="488">
          <cell r="A488" t="str">
            <v>30026_2</v>
          </cell>
        </row>
        <row r="489">
          <cell r="A489" t="str">
            <v>30026_3</v>
          </cell>
        </row>
        <row r="490">
          <cell r="A490" t="str">
            <v>30027_1</v>
          </cell>
        </row>
        <row r="491">
          <cell r="A491" t="str">
            <v>30027_2</v>
          </cell>
        </row>
        <row r="492">
          <cell r="A492" t="str">
            <v>30027_3</v>
          </cell>
        </row>
        <row r="493">
          <cell r="A493" t="str">
            <v>30028_1</v>
          </cell>
        </row>
        <row r="494">
          <cell r="A494" t="str">
            <v>30028_2</v>
          </cell>
        </row>
        <row r="495">
          <cell r="A495" t="str">
            <v>30028_3</v>
          </cell>
        </row>
        <row r="496">
          <cell r="A496" t="str">
            <v>30029_1</v>
          </cell>
        </row>
        <row r="497">
          <cell r="A497" t="str">
            <v>30029_2</v>
          </cell>
        </row>
        <row r="498">
          <cell r="A498" t="str">
            <v>30029_3</v>
          </cell>
        </row>
        <row r="499">
          <cell r="A499" t="str">
            <v>30030_1</v>
          </cell>
        </row>
        <row r="500">
          <cell r="A500" t="str">
            <v>30030_2</v>
          </cell>
        </row>
        <row r="501">
          <cell r="A501" t="str">
            <v>30030_3</v>
          </cell>
        </row>
        <row r="502">
          <cell r="A502" t="str">
            <v>30031_1</v>
          </cell>
        </row>
        <row r="503">
          <cell r="A503" t="str">
            <v>30031_2</v>
          </cell>
        </row>
        <row r="504">
          <cell r="A504" t="str">
            <v>30031_3</v>
          </cell>
        </row>
        <row r="505">
          <cell r="A505" t="str">
            <v>30032_1</v>
          </cell>
        </row>
        <row r="506">
          <cell r="A506" t="str">
            <v>30032_2</v>
          </cell>
        </row>
        <row r="507">
          <cell r="A507" t="str">
            <v>30032_3</v>
          </cell>
        </row>
        <row r="508">
          <cell r="A508" t="str">
            <v>30033_1</v>
          </cell>
        </row>
        <row r="509">
          <cell r="A509" t="str">
            <v>30033_2</v>
          </cell>
        </row>
        <row r="510">
          <cell r="A510" t="str">
            <v>30033_3</v>
          </cell>
        </row>
        <row r="511">
          <cell r="A511" t="str">
            <v>30034_1</v>
          </cell>
        </row>
        <row r="512">
          <cell r="A512" t="str">
            <v>30034_2</v>
          </cell>
        </row>
        <row r="513">
          <cell r="A513" t="str">
            <v>30034_3</v>
          </cell>
        </row>
        <row r="514">
          <cell r="A514" t="str">
            <v>30035_1</v>
          </cell>
        </row>
        <row r="515">
          <cell r="A515" t="str">
            <v>30035_2</v>
          </cell>
        </row>
        <row r="516">
          <cell r="A516" t="str">
            <v>30035_3</v>
          </cell>
        </row>
        <row r="517">
          <cell r="A517" t="str">
            <v>30036_1</v>
          </cell>
        </row>
        <row r="518">
          <cell r="A518" t="str">
            <v>30036_2</v>
          </cell>
        </row>
        <row r="519">
          <cell r="A519" t="str">
            <v>30036_3</v>
          </cell>
        </row>
        <row r="520">
          <cell r="A520" t="str">
            <v>30037_1</v>
          </cell>
        </row>
        <row r="521">
          <cell r="A521" t="str">
            <v>30037_2</v>
          </cell>
        </row>
        <row r="522">
          <cell r="A522" t="str">
            <v>30037_3</v>
          </cell>
        </row>
        <row r="523">
          <cell r="A523" t="str">
            <v>30038_1</v>
          </cell>
        </row>
        <row r="524">
          <cell r="A524" t="str">
            <v>30038_2</v>
          </cell>
        </row>
        <row r="525">
          <cell r="A525" t="str">
            <v>30038_3</v>
          </cell>
        </row>
        <row r="526">
          <cell r="A526" t="str">
            <v>39001_1</v>
          </cell>
        </row>
        <row r="527">
          <cell r="A527" t="str">
            <v>39001_2</v>
          </cell>
        </row>
        <row r="528">
          <cell r="A528" t="str">
            <v>39001_3</v>
          </cell>
        </row>
        <row r="529">
          <cell r="A529" t="str">
            <v>39001_4</v>
          </cell>
        </row>
        <row r="530">
          <cell r="A530" t="str">
            <v>39001_5</v>
          </cell>
        </row>
        <row r="531">
          <cell r="A531" t="str">
            <v>39002_1</v>
          </cell>
        </row>
        <row r="532">
          <cell r="A532" t="str">
            <v>39002_2</v>
          </cell>
        </row>
        <row r="533">
          <cell r="A533" t="str">
            <v>39002_3</v>
          </cell>
        </row>
        <row r="534">
          <cell r="A534" t="str">
            <v>39002_4</v>
          </cell>
        </row>
        <row r="535">
          <cell r="A535" t="str">
            <v>39003_1</v>
          </cell>
        </row>
        <row r="536">
          <cell r="A536" t="str">
            <v>39003_2</v>
          </cell>
        </row>
        <row r="537">
          <cell r="A537" t="str">
            <v>39003_3</v>
          </cell>
        </row>
        <row r="538">
          <cell r="A538" t="str">
            <v>39003_4</v>
          </cell>
        </row>
        <row r="539">
          <cell r="A539" t="str">
            <v>39004_1</v>
          </cell>
        </row>
        <row r="540">
          <cell r="A540" t="str">
            <v>39004_2</v>
          </cell>
        </row>
        <row r="541">
          <cell r="A541" t="str">
            <v>39004_3</v>
          </cell>
        </row>
        <row r="542">
          <cell r="A542" t="str">
            <v>39004_4</v>
          </cell>
        </row>
        <row r="543">
          <cell r="A543" t="str">
            <v>39005_1</v>
          </cell>
        </row>
        <row r="544">
          <cell r="A544" t="str">
            <v>39005_2</v>
          </cell>
        </row>
        <row r="545">
          <cell r="A545" t="str">
            <v>39005_3</v>
          </cell>
        </row>
        <row r="546">
          <cell r="A546" t="str">
            <v>39005_4</v>
          </cell>
        </row>
        <row r="547">
          <cell r="A547" t="str">
            <v>39005_5</v>
          </cell>
        </row>
        <row r="548">
          <cell r="A548" t="str">
            <v>39006_1</v>
          </cell>
        </row>
        <row r="549">
          <cell r="A549" t="str">
            <v>39006_2</v>
          </cell>
        </row>
        <row r="550">
          <cell r="A550" t="str">
            <v>39006_3</v>
          </cell>
        </row>
        <row r="551">
          <cell r="A551" t="str">
            <v>39006_4</v>
          </cell>
        </row>
        <row r="552">
          <cell r="A552" t="str">
            <v>40001_1</v>
          </cell>
        </row>
        <row r="553">
          <cell r="A553" t="str">
            <v>40002_1</v>
          </cell>
        </row>
        <row r="554">
          <cell r="A554" t="str">
            <v>40002_2</v>
          </cell>
        </row>
        <row r="555">
          <cell r="A555" t="str">
            <v>40002_3</v>
          </cell>
        </row>
        <row r="556">
          <cell r="A556" t="str">
            <v>40003_1</v>
          </cell>
        </row>
        <row r="557">
          <cell r="A557" t="str">
            <v>40004_1</v>
          </cell>
        </row>
        <row r="558">
          <cell r="A558" t="str">
            <v>40005_1</v>
          </cell>
        </row>
        <row r="559">
          <cell r="A559" t="str">
            <v>40006_1</v>
          </cell>
        </row>
        <row r="560">
          <cell r="A560" t="str">
            <v>40007_1</v>
          </cell>
        </row>
        <row r="561">
          <cell r="A561" t="str">
            <v>40008_1</v>
          </cell>
        </row>
        <row r="562">
          <cell r="A562" t="str">
            <v>40009_1</v>
          </cell>
        </row>
        <row r="563">
          <cell r="A563" t="str">
            <v>40010_1</v>
          </cell>
        </row>
        <row r="564">
          <cell r="A564" t="str">
            <v>40011_1</v>
          </cell>
        </row>
        <row r="565">
          <cell r="A565" t="str">
            <v>40012_1</v>
          </cell>
        </row>
        <row r="566">
          <cell r="A566" t="str">
            <v>40013_1</v>
          </cell>
        </row>
        <row r="567">
          <cell r="A567" t="str">
            <v>40014_1</v>
          </cell>
        </row>
        <row r="568">
          <cell r="A568" t="str">
            <v>40015_1</v>
          </cell>
        </row>
        <row r="569">
          <cell r="A569" t="str">
            <v>40016_1</v>
          </cell>
        </row>
        <row r="570">
          <cell r="A570" t="str">
            <v>40016_2</v>
          </cell>
        </row>
        <row r="571">
          <cell r="A571" t="str">
            <v>40017_1</v>
          </cell>
        </row>
        <row r="572">
          <cell r="A572" t="str">
            <v>40017_2</v>
          </cell>
        </row>
        <row r="573">
          <cell r="A573" t="str">
            <v>40017_3</v>
          </cell>
        </row>
        <row r="574">
          <cell r="A574" t="str">
            <v>40018_1</v>
          </cell>
        </row>
        <row r="575">
          <cell r="A575" t="str">
            <v>40018_2</v>
          </cell>
        </row>
        <row r="576">
          <cell r="A576" t="str">
            <v>40018_3</v>
          </cell>
        </row>
        <row r="577">
          <cell r="A577" t="str">
            <v>40019_1</v>
          </cell>
        </row>
        <row r="578">
          <cell r="A578" t="str">
            <v>40019_2</v>
          </cell>
        </row>
        <row r="579">
          <cell r="A579" t="str">
            <v>40019_3</v>
          </cell>
        </row>
        <row r="580">
          <cell r="A580" t="str">
            <v>40021_1</v>
          </cell>
        </row>
        <row r="581">
          <cell r="A581" t="str">
            <v>40021_2</v>
          </cell>
        </row>
        <row r="582">
          <cell r="A582" t="str">
            <v>40022_1</v>
          </cell>
        </row>
        <row r="583">
          <cell r="A583" t="str">
            <v>40022_2</v>
          </cell>
        </row>
        <row r="584">
          <cell r="A584" t="str">
            <v>48001_1</v>
          </cell>
        </row>
        <row r="585">
          <cell r="A585" t="str">
            <v>48002_1</v>
          </cell>
        </row>
        <row r="586">
          <cell r="A586" t="str">
            <v>48002_2</v>
          </cell>
        </row>
        <row r="587">
          <cell r="A587" t="str">
            <v>48002_3</v>
          </cell>
        </row>
        <row r="588">
          <cell r="A588" t="str">
            <v>41001_1</v>
          </cell>
        </row>
        <row r="589">
          <cell r="A589" t="str">
            <v>41001_2</v>
          </cell>
        </row>
        <row r="590">
          <cell r="A590" t="str">
            <v>41001_3</v>
          </cell>
        </row>
        <row r="591">
          <cell r="A591" t="str">
            <v>41002_1</v>
          </cell>
        </row>
        <row r="592">
          <cell r="A592" t="str">
            <v>41002_2</v>
          </cell>
        </row>
        <row r="593">
          <cell r="A593" t="str">
            <v>41002_3</v>
          </cell>
        </row>
        <row r="594">
          <cell r="A594" t="str">
            <v>41003_1</v>
          </cell>
        </row>
        <row r="595">
          <cell r="A595" t="str">
            <v>41003_2</v>
          </cell>
        </row>
        <row r="596">
          <cell r="A596" t="str">
            <v>41003_3</v>
          </cell>
        </row>
        <row r="597">
          <cell r="A597" t="str">
            <v>41004_1</v>
          </cell>
        </row>
        <row r="598">
          <cell r="A598" t="str">
            <v>41004_2</v>
          </cell>
        </row>
        <row r="599">
          <cell r="A599" t="str">
            <v>41004_3</v>
          </cell>
        </row>
        <row r="600">
          <cell r="A600" t="str">
            <v>41005_1</v>
          </cell>
        </row>
        <row r="601">
          <cell r="A601" t="str">
            <v>41005_2</v>
          </cell>
        </row>
        <row r="602">
          <cell r="A602" t="str">
            <v>41005_3</v>
          </cell>
        </row>
        <row r="603">
          <cell r="A603" t="str">
            <v>41006_1</v>
          </cell>
        </row>
        <row r="604">
          <cell r="A604" t="str">
            <v>41006_2</v>
          </cell>
        </row>
        <row r="605">
          <cell r="A605" t="str">
            <v>41006_3</v>
          </cell>
        </row>
        <row r="606">
          <cell r="A606" t="str">
            <v>41007_1</v>
          </cell>
        </row>
        <row r="607">
          <cell r="A607" t="str">
            <v>41007_2</v>
          </cell>
        </row>
        <row r="608">
          <cell r="A608" t="str">
            <v>41007_3</v>
          </cell>
        </row>
        <row r="609">
          <cell r="A609" t="str">
            <v>41008_1</v>
          </cell>
        </row>
        <row r="610">
          <cell r="A610" t="str">
            <v>41008_2</v>
          </cell>
        </row>
        <row r="611">
          <cell r="A611" t="str">
            <v>41008_3</v>
          </cell>
        </row>
        <row r="612">
          <cell r="A612" t="str">
            <v>41009_1</v>
          </cell>
        </row>
        <row r="613">
          <cell r="A613" t="str">
            <v>41009_2</v>
          </cell>
        </row>
        <row r="614">
          <cell r="A614" t="str">
            <v>41009_3</v>
          </cell>
        </row>
        <row r="615">
          <cell r="A615" t="str">
            <v>41010_1</v>
          </cell>
        </row>
        <row r="616">
          <cell r="A616" t="str">
            <v>41010_2</v>
          </cell>
        </row>
        <row r="617">
          <cell r="A617" t="str">
            <v>41010_3</v>
          </cell>
        </row>
        <row r="618">
          <cell r="A618" t="str">
            <v>41011_1</v>
          </cell>
        </row>
        <row r="619">
          <cell r="A619" t="str">
            <v>41011_2</v>
          </cell>
        </row>
        <row r="620">
          <cell r="A620" t="str">
            <v>41012_1</v>
          </cell>
        </row>
        <row r="621">
          <cell r="A621" t="str">
            <v>41012_2</v>
          </cell>
        </row>
        <row r="622">
          <cell r="A622" t="str">
            <v>41013_1</v>
          </cell>
        </row>
        <row r="623">
          <cell r="A623" t="str">
            <v>41013_2</v>
          </cell>
        </row>
        <row r="624">
          <cell r="A624" t="str">
            <v>41014_1</v>
          </cell>
        </row>
        <row r="625">
          <cell r="A625" t="str">
            <v>41014_2</v>
          </cell>
        </row>
        <row r="626">
          <cell r="A626" t="str">
            <v>47001_1</v>
          </cell>
        </row>
        <row r="627">
          <cell r="A627" t="str">
            <v>47001_2</v>
          </cell>
        </row>
        <row r="628">
          <cell r="A628" t="str">
            <v>47002_1</v>
          </cell>
        </row>
        <row r="629">
          <cell r="A629" t="str">
            <v>47002_2</v>
          </cell>
        </row>
        <row r="630">
          <cell r="A630" t="str">
            <v>49001_1</v>
          </cell>
        </row>
        <row r="631">
          <cell r="A631" t="str">
            <v>49002_1</v>
          </cell>
        </row>
        <row r="632">
          <cell r="A632" t="str">
            <v>49002_2</v>
          </cell>
        </row>
        <row r="633">
          <cell r="A633" t="str">
            <v>49003_1</v>
          </cell>
        </row>
        <row r="634">
          <cell r="A634" t="str">
            <v>49003_2</v>
          </cell>
        </row>
        <row r="635">
          <cell r="A635" t="str">
            <v>49004_1</v>
          </cell>
        </row>
        <row r="636">
          <cell r="A636" t="str">
            <v>49004_2</v>
          </cell>
        </row>
        <row r="637">
          <cell r="A637" t="str">
            <v>49004_3</v>
          </cell>
        </row>
        <row r="638">
          <cell r="A638" t="str">
            <v>49005_1</v>
          </cell>
        </row>
        <row r="639">
          <cell r="A639" t="str">
            <v>49006_1</v>
          </cell>
        </row>
        <row r="640">
          <cell r="A640" t="str">
            <v>49006_2</v>
          </cell>
        </row>
        <row r="641">
          <cell r="A641" t="str">
            <v>50001_1</v>
          </cell>
        </row>
        <row r="642">
          <cell r="A642" t="str">
            <v>50002_1</v>
          </cell>
        </row>
        <row r="643">
          <cell r="A643" t="str">
            <v>50003_1</v>
          </cell>
        </row>
        <row r="644">
          <cell r="A644" t="str">
            <v>50004_1</v>
          </cell>
        </row>
        <row r="645">
          <cell r="A645" t="str">
            <v>50005_1</v>
          </cell>
        </row>
        <row r="646">
          <cell r="A646" t="str">
            <v>50006_1</v>
          </cell>
        </row>
        <row r="647">
          <cell r="A647" t="str">
            <v>51001_1</v>
          </cell>
        </row>
        <row r="648">
          <cell r="A648" t="str">
            <v>51002_1</v>
          </cell>
        </row>
        <row r="649">
          <cell r="A649" t="str">
            <v>60001_1</v>
          </cell>
        </row>
        <row r="650">
          <cell r="A650" t="str">
            <v>60002_1</v>
          </cell>
        </row>
        <row r="651">
          <cell r="A651" t="str">
            <v>60002_2</v>
          </cell>
        </row>
        <row r="652">
          <cell r="A652" t="str">
            <v>60003_1</v>
          </cell>
        </row>
        <row r="653">
          <cell r="A653" t="str">
            <v>60003_2</v>
          </cell>
        </row>
        <row r="654">
          <cell r="A654" t="str">
            <v>60003_3</v>
          </cell>
        </row>
        <row r="655">
          <cell r="A655" t="str">
            <v>60004_1</v>
          </cell>
        </row>
        <row r="656">
          <cell r="A656" t="str">
            <v>60005_1</v>
          </cell>
        </row>
        <row r="657">
          <cell r="A657" t="str">
            <v>60006_1</v>
          </cell>
        </row>
        <row r="658">
          <cell r="A658" t="str">
            <v>60006_2</v>
          </cell>
        </row>
        <row r="659">
          <cell r="A659" t="str">
            <v>60006_3</v>
          </cell>
        </row>
        <row r="660">
          <cell r="A660" t="str">
            <v>60007_1</v>
          </cell>
        </row>
        <row r="661">
          <cell r="A661" t="str">
            <v>60007_2</v>
          </cell>
        </row>
        <row r="662">
          <cell r="A662" t="str">
            <v>60007_3</v>
          </cell>
        </row>
        <row r="663">
          <cell r="A663" t="str">
            <v>60010_1</v>
          </cell>
        </row>
        <row r="664">
          <cell r="A664" t="str">
            <v>60011_1</v>
          </cell>
        </row>
        <row r="665">
          <cell r="A665" t="str">
            <v>60011_2</v>
          </cell>
        </row>
        <row r="666">
          <cell r="A666" t="str">
            <v>61011_1</v>
          </cell>
        </row>
        <row r="667">
          <cell r="A667" t="str">
            <v>60012_1</v>
          </cell>
        </row>
        <row r="668">
          <cell r="A668" t="str">
            <v>60013_1</v>
          </cell>
        </row>
        <row r="669">
          <cell r="A669" t="str">
            <v>60013_2</v>
          </cell>
        </row>
        <row r="670">
          <cell r="A670" t="str">
            <v>60013_3</v>
          </cell>
        </row>
        <row r="671">
          <cell r="A671" t="str">
            <v>65535_1</v>
          </cell>
        </row>
        <row r="672">
          <cell r="A672" t="str">
            <v>65535_2</v>
          </cell>
        </row>
        <row r="673">
          <cell r="A673" t="str">
            <v>65535_3</v>
          </cell>
        </row>
        <row r="674">
          <cell r="A674" t="str">
            <v>65535_4</v>
          </cell>
        </row>
        <row r="675">
          <cell r="A675" t="str">
            <v>65535_5</v>
          </cell>
        </row>
        <row r="676">
          <cell r="A676" t="str">
            <v>65535_6</v>
          </cell>
        </row>
        <row r="677">
          <cell r="A677" t="str">
            <v>65535_7</v>
          </cell>
        </row>
        <row r="678">
          <cell r="A678" t="str">
            <v>65535_8</v>
          </cell>
        </row>
        <row r="679">
          <cell r="A679" t="str">
            <v>60021_3</v>
          </cell>
        </row>
        <row r="680">
          <cell r="A680" t="str">
            <v>60022_3</v>
          </cell>
        </row>
        <row r="681">
          <cell r="A681" t="str">
            <v>60023_3</v>
          </cell>
        </row>
        <row r="682">
          <cell r="A682" t="str">
            <v>60024_3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K3"/>
  <sheetViews>
    <sheetView workbookViewId="0">
      <selection activeCell="F13" sqref="F13"/>
    </sheetView>
  </sheetViews>
  <sheetFormatPr baseColWidth="12" defaultRowHeight="15" x14ac:dyDescent="0.15"/>
  <cols>
    <col min="1" max="1" width="12.83203125" style="9"/>
    <col min="2" max="2" width="17.1640625" style="9" bestFit="1" customWidth="1"/>
    <col min="3" max="4" width="12.83203125" style="9"/>
    <col min="5" max="5" width="20.5" style="9" bestFit="1" customWidth="1"/>
    <col min="6" max="6" width="16" style="9" bestFit="1" customWidth="1"/>
    <col min="7" max="16384" width="12.83203125" style="9"/>
  </cols>
  <sheetData>
    <row r="1" spans="1:11" x14ac:dyDescent="0.15">
      <c r="A1" s="13" t="s">
        <v>17</v>
      </c>
      <c r="B1" s="7" t="s">
        <v>9</v>
      </c>
      <c r="C1" s="7" t="s">
        <v>10</v>
      </c>
      <c r="D1" s="7" t="s">
        <v>11</v>
      </c>
      <c r="E1" s="7" t="s">
        <v>12</v>
      </c>
      <c r="F1" s="7" t="s">
        <v>13</v>
      </c>
      <c r="G1" s="7" t="s">
        <v>14</v>
      </c>
      <c r="H1" s="8"/>
      <c r="I1" s="8"/>
      <c r="J1" s="16"/>
      <c r="K1" s="16"/>
    </row>
    <row r="2" spans="1:11" x14ac:dyDescent="0.15">
      <c r="A2" s="14" t="s">
        <v>18</v>
      </c>
      <c r="B2" s="23" t="s">
        <v>27</v>
      </c>
      <c r="C2" s="23" t="s">
        <v>112</v>
      </c>
      <c r="D2" s="23" t="s">
        <v>26</v>
      </c>
      <c r="E2" s="8" t="str">
        <f t="shared" ref="E2:E3" si="0">B2&amp;C2&amp;D2</f>
        <v>stage_hints_data_chukyu.tmp</v>
      </c>
      <c r="F2" s="10" t="s">
        <v>8</v>
      </c>
      <c r="G2" s="1" t="s">
        <v>4</v>
      </c>
      <c r="H2" s="1" t="s">
        <v>0</v>
      </c>
      <c r="I2" s="15" t="s">
        <v>5</v>
      </c>
      <c r="J2" s="17" t="s">
        <v>19</v>
      </c>
      <c r="K2" s="22" t="s">
        <v>30</v>
      </c>
    </row>
    <row r="3" spans="1:11" x14ac:dyDescent="0.15">
      <c r="A3" s="23" t="s">
        <v>153</v>
      </c>
      <c r="B3" s="23" t="s">
        <v>28</v>
      </c>
      <c r="C3" s="23" t="s">
        <v>112</v>
      </c>
      <c r="D3" s="23" t="s">
        <v>26</v>
      </c>
      <c r="E3" s="8" t="str">
        <f t="shared" si="0"/>
        <v>stage_hints_i18n_chukyu.tmp</v>
      </c>
      <c r="F3" s="10" t="s">
        <v>8</v>
      </c>
      <c r="G3" s="15" t="s">
        <v>5</v>
      </c>
      <c r="H3" s="11" t="s">
        <v>6</v>
      </c>
      <c r="I3" s="1" t="s">
        <v>7</v>
      </c>
      <c r="J3" s="19" t="s">
        <v>21</v>
      </c>
      <c r="K3" s="22" t="s">
        <v>24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N993"/>
  <sheetViews>
    <sheetView showGridLines="0" tabSelected="1" workbookViewId="0">
      <pane ySplit="1" topLeftCell="A120" activePane="bottomLeft" state="frozen"/>
      <selection pane="bottomLeft" activeCell="H135" sqref="H135"/>
    </sheetView>
  </sheetViews>
  <sheetFormatPr baseColWidth="12" defaultColWidth="13" defaultRowHeight="15" outlineLevelCol="1" x14ac:dyDescent="0.15"/>
  <cols>
    <col min="1" max="1" width="13" style="2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35.33203125" customWidth="1"/>
  </cols>
  <sheetData>
    <row r="1" spans="1:14" x14ac:dyDescent="0.15">
      <c r="A1" s="25" t="s">
        <v>31</v>
      </c>
      <c r="B1" s="1" t="s">
        <v>110</v>
      </c>
      <c r="C1" s="6" t="s">
        <v>2</v>
      </c>
      <c r="D1" s="6" t="s">
        <v>3</v>
      </c>
      <c r="E1" s="1" t="s">
        <v>111</v>
      </c>
      <c r="F1" s="6" t="s">
        <v>2</v>
      </c>
      <c r="G1" s="6" t="s">
        <v>3</v>
      </c>
      <c r="H1" s="1" t="s">
        <v>20</v>
      </c>
      <c r="I1" s="24" t="s">
        <v>29</v>
      </c>
      <c r="J1" s="12" t="s">
        <v>15</v>
      </c>
      <c r="K1" s="12" t="s">
        <v>25</v>
      </c>
      <c r="L1" s="2" t="s">
        <v>1</v>
      </c>
      <c r="M1" s="20" t="s">
        <v>22</v>
      </c>
      <c r="N1" t="s">
        <v>113</v>
      </c>
    </row>
    <row r="2" spans="1:14" x14ac:dyDescent="0.15">
      <c r="A2" s="26" t="s">
        <v>32</v>
      </c>
      <c r="B2" s="4">
        <v>11001</v>
      </c>
      <c r="C2" s="3" t="str">
        <f ca="1">VLOOKUP($B2,OFFSET([1]quests!$A$1,0,0,COUNTA([1]quests!$A:$A),MATCH(C$1,[1]quests!$1:$1,0)-MATCH($B$1,[1]quests!$1:$1,0)+1),MATCH(C$1,[1]quests!$1:$1,0)-MATCH($B$1,[1]quests!$1:$1,0)+1,FALSE)</f>
        <v>【月曜限定】 黄の素材</v>
      </c>
      <c r="D2" s="3" t="str">
        <f ca="1">VLOOKUP($B2,OFFSET([1]quests!$A$1,0,0,COUNTA([1]quests!$A:$A),MATCH(D$1,[1]quests!$1:$1,0)-MATCH($B$1,[1]quests!$1:$1,0)+1),MATCH(D$1,[1]quests!$1:$1,0)-MATCH($B$1,[1]quests!$1:$1,0)+1,FALSE)</f>
        <v>月曜クエスト</v>
      </c>
      <c r="E2" s="5">
        <v>2</v>
      </c>
      <c r="F2" s="3" t="str">
        <f ca="1">VLOOKUP($B2&amp;"_"&amp;$E2,OFFSET([1]stages!$A$1,0,0,COUNTA([1]stages!$A:$A),MATCH(F$1,[1]stages!$2:$2,0)-MATCH("temp_stage",[1]stages!$2:$2,0)+1),MATCH(F$1,[1]stages!$2:$2,0)-MATCH("temp_stage",[1]stages!$2:$2,0)+1,FALSE)</f>
        <v>【中級】雷のウサギ</v>
      </c>
      <c r="G2" s="3" t="str">
        <f ca="1">VLOOKUP($B2&amp;"_"&amp;$E2,OFFSET([1]stages!$A$1,0,0,COUNTA([1]stages!$A:$A),MATCH(G$1,[1]stages!$2:$2,0)-MATCH("temp_stage",[1]stages!$2:$2,0)+1),MATCH(G$1,[1]stages!$2:$2,0)-MATCH("temp_stage",[1]stages!$2:$2,0)+1,FALSE)</f>
        <v>月曜クエスト</v>
      </c>
      <c r="H2" s="18">
        <v>0</v>
      </c>
      <c r="I2">
        <v>3</v>
      </c>
      <c r="J2" s="5" t="s">
        <v>16</v>
      </c>
      <c r="K2" s="35" t="str">
        <f>VLOOKUP(I2,[2]stage_hints!$A:$C,3,FALSE)</f>
        <v>ターゲット</v>
      </c>
      <c r="L2" s="36" t="str">
        <f>VLOOKUP(I2,[2]stage_hints!$A:$D,4,FALSE)</f>
        <v>敵ユニットをタップすると_x000D_その敵を狙い撃ちできます</v>
      </c>
      <c r="M2" s="21" t="s">
        <v>23</v>
      </c>
      <c r="N2">
        <v>3</v>
      </c>
    </row>
    <row r="3" spans="1:14" x14ac:dyDescent="0.15">
      <c r="A3" s="26" t="s">
        <v>32</v>
      </c>
      <c r="B3" s="4">
        <v>11001</v>
      </c>
      <c r="C3" s="3" t="str">
        <f ca="1">VLOOKUP($B3,OFFSET([1]quests!$A$1,0,0,COUNTA([1]quests!$A:$A),MATCH(C$1,[1]quests!$1:$1,0)-MATCH($B$1,[1]quests!$1:$1,0)+1),MATCH(C$1,[1]quests!$1:$1,0)-MATCH($B$1,[1]quests!$1:$1,0)+1,FALSE)</f>
        <v>【月曜限定】 黄の素材</v>
      </c>
      <c r="D3" s="3" t="str">
        <f ca="1">VLOOKUP($B3,OFFSET([1]quests!$A$1,0,0,COUNTA([1]quests!$A:$A),MATCH(D$1,[1]quests!$1:$1,0)-MATCH($B$1,[1]quests!$1:$1,0)+1),MATCH(D$1,[1]quests!$1:$1,0)-MATCH($B$1,[1]quests!$1:$1,0)+1,FALSE)</f>
        <v>月曜クエスト</v>
      </c>
      <c r="E3" s="5">
        <v>2</v>
      </c>
      <c r="F3" s="3" t="str">
        <f ca="1">VLOOKUP($B3&amp;"_"&amp;$E3,OFFSET([1]stages!$A$1,0,0,COUNTA([1]stages!$A:$A),MATCH(F$1,[1]stages!$2:$2,0)-MATCH("temp_stage",[1]stages!$2:$2,0)+1),MATCH(F$1,[1]stages!$2:$2,0)-MATCH("temp_stage",[1]stages!$2:$2,0)+1,FALSE)</f>
        <v>【中級】雷のウサギ</v>
      </c>
      <c r="G3" s="3" t="str">
        <f ca="1">VLOOKUP($B3&amp;"_"&amp;$E3,OFFSET([1]stages!$A$1,0,0,COUNTA([1]stages!$A:$A),MATCH(G$1,[1]stages!$2:$2,0)-MATCH("temp_stage",[1]stages!$2:$2,0)+1),MATCH(G$1,[1]stages!$2:$2,0)-MATCH("temp_stage",[1]stages!$2:$2,0)+1,FALSE)</f>
        <v>月曜クエスト</v>
      </c>
      <c r="H3" s="18">
        <v>0</v>
      </c>
      <c r="I3">
        <v>6</v>
      </c>
      <c r="J3" s="5" t="s">
        <v>16</v>
      </c>
      <c r="K3" s="35" t="str">
        <f>VLOOKUP(I3,[2]stage_hints!$A:$C,3,FALSE)</f>
        <v>ユニット強化の属性ボーナス</v>
      </c>
      <c r="L3" s="36" t="str">
        <f>VLOOKUP(I3,[2]stage_hints!$A:$D,4,FALSE)</f>
        <v>同属性ユニットを強化素材にすると_x000D_経験値が多くもらえます</v>
      </c>
      <c r="M3" s="21" t="s">
        <v>23</v>
      </c>
      <c r="N3">
        <v>6</v>
      </c>
    </row>
    <row r="4" spans="1:14" x14ac:dyDescent="0.15">
      <c r="A4" s="26" t="s">
        <v>32</v>
      </c>
      <c r="B4" s="4">
        <v>11001</v>
      </c>
      <c r="C4" s="3" t="str">
        <f ca="1">VLOOKUP($B4,OFFSET([1]quests!$A$1,0,0,COUNTA([1]quests!$A:$A),MATCH(C$1,[1]quests!$1:$1,0)-MATCH($B$1,[1]quests!$1:$1,0)+1),MATCH(C$1,[1]quests!$1:$1,0)-MATCH($B$1,[1]quests!$1:$1,0)+1,FALSE)</f>
        <v>【月曜限定】 黄の素材</v>
      </c>
      <c r="D4" s="3" t="str">
        <f ca="1">VLOOKUP($B4,OFFSET([1]quests!$A$1,0,0,COUNTA([1]quests!$A:$A),MATCH(D$1,[1]quests!$1:$1,0)-MATCH($B$1,[1]quests!$1:$1,0)+1),MATCH(D$1,[1]quests!$1:$1,0)-MATCH($B$1,[1]quests!$1:$1,0)+1,FALSE)</f>
        <v>月曜クエスト</v>
      </c>
      <c r="E4" s="5">
        <v>2</v>
      </c>
      <c r="F4" s="3" t="str">
        <f ca="1">VLOOKUP($B4&amp;"_"&amp;$E4,OFFSET([1]stages!$A$1,0,0,COUNTA([1]stages!$A:$A),MATCH(F$1,[1]stages!$2:$2,0)-MATCH("temp_stage",[1]stages!$2:$2,0)+1),MATCH(F$1,[1]stages!$2:$2,0)-MATCH("temp_stage",[1]stages!$2:$2,0)+1,FALSE)</f>
        <v>【中級】雷のウサギ</v>
      </c>
      <c r="G4" s="3" t="str">
        <f ca="1">VLOOKUP($B4&amp;"_"&amp;$E4,OFFSET([1]stages!$A$1,0,0,COUNTA([1]stages!$A:$A),MATCH(G$1,[1]stages!$2:$2,0)-MATCH("temp_stage",[1]stages!$2:$2,0)+1),MATCH(G$1,[1]stages!$2:$2,0)-MATCH("temp_stage",[1]stages!$2:$2,0)+1,FALSE)</f>
        <v>月曜クエスト</v>
      </c>
      <c r="H4" s="18">
        <v>0</v>
      </c>
      <c r="I4">
        <v>7</v>
      </c>
      <c r="J4" s="5" t="s">
        <v>16</v>
      </c>
      <c r="K4" s="35" t="str">
        <f>VLOOKUP(I4,[2]stage_hints!$A:$C,3,FALSE)</f>
        <v>メタルダックで経験値を獲得</v>
      </c>
      <c r="L4" s="36" t="str">
        <f>VLOOKUP(I4,[2]stage_hints!$A:$D,4,FALSE)</f>
        <v>「メタルなアヒル」を強化素材にすると_x000D_大量の経験値がもらえます</v>
      </c>
      <c r="M4" s="21" t="s">
        <v>23</v>
      </c>
      <c r="N4">
        <v>7</v>
      </c>
    </row>
    <row r="5" spans="1:14" x14ac:dyDescent="0.15">
      <c r="A5" s="26" t="s">
        <v>32</v>
      </c>
      <c r="B5" s="4">
        <v>11001</v>
      </c>
      <c r="C5" s="3" t="str">
        <f ca="1">VLOOKUP($B5,OFFSET([1]quests!$A$1,0,0,COUNTA([1]quests!$A:$A),MATCH(C$1,[1]quests!$1:$1,0)-MATCH($B$1,[1]quests!$1:$1,0)+1),MATCH(C$1,[1]quests!$1:$1,0)-MATCH($B$1,[1]quests!$1:$1,0)+1,FALSE)</f>
        <v>【月曜限定】 黄の素材</v>
      </c>
      <c r="D5" s="3" t="str">
        <f ca="1">VLOOKUP($B5,OFFSET([1]quests!$A$1,0,0,COUNTA([1]quests!$A:$A),MATCH(D$1,[1]quests!$1:$1,0)-MATCH($B$1,[1]quests!$1:$1,0)+1),MATCH(D$1,[1]quests!$1:$1,0)-MATCH($B$1,[1]quests!$1:$1,0)+1,FALSE)</f>
        <v>月曜クエスト</v>
      </c>
      <c r="E5" s="5">
        <v>2</v>
      </c>
      <c r="F5" s="3" t="str">
        <f ca="1">VLOOKUP($B5&amp;"_"&amp;$E5,OFFSET([1]stages!$A$1,0,0,COUNTA([1]stages!$A:$A),MATCH(F$1,[1]stages!$2:$2,0)-MATCH("temp_stage",[1]stages!$2:$2,0)+1),MATCH(F$1,[1]stages!$2:$2,0)-MATCH("temp_stage",[1]stages!$2:$2,0)+1,FALSE)</f>
        <v>【中級】雷のウサギ</v>
      </c>
      <c r="G5" s="3" t="str">
        <f ca="1">VLOOKUP($B5&amp;"_"&amp;$E5,OFFSET([1]stages!$A$1,0,0,COUNTA([1]stages!$A:$A),MATCH(G$1,[1]stages!$2:$2,0)-MATCH("temp_stage",[1]stages!$2:$2,0)+1),MATCH(G$1,[1]stages!$2:$2,0)-MATCH("temp_stage",[1]stages!$2:$2,0)+1,FALSE)</f>
        <v>月曜クエスト</v>
      </c>
      <c r="H5" s="18">
        <v>0</v>
      </c>
      <c r="I5">
        <v>8</v>
      </c>
      <c r="J5" s="5" t="s">
        <v>16</v>
      </c>
      <c r="K5" s="35" t="str">
        <f>VLOOKUP(I5,[2]stage_hints!$A:$C,3,FALSE)</f>
        <v>ゲリラクエストは要チェック</v>
      </c>
      <c r="L5" s="36" t="str">
        <f>VLOOKUP(I5,[2]stage_hints!$A:$D,4,FALSE)</f>
        <v>時間限定の「アヒル捕獲作戦」では_x000D_経験値素材ユニットが多く手に入ります</v>
      </c>
      <c r="M5" s="21" t="s">
        <v>23</v>
      </c>
      <c r="N5">
        <v>8</v>
      </c>
    </row>
    <row r="6" spans="1:14" x14ac:dyDescent="0.15">
      <c r="A6" s="26" t="s">
        <v>32</v>
      </c>
      <c r="B6" s="4">
        <v>11001</v>
      </c>
      <c r="C6" s="3" t="str">
        <f ca="1">VLOOKUP($B6,OFFSET([1]quests!$A$1,0,0,COUNTA([1]quests!$A:$A),MATCH(C$1,[1]quests!$1:$1,0)-MATCH($B$1,[1]quests!$1:$1,0)+1),MATCH(C$1,[1]quests!$1:$1,0)-MATCH($B$1,[1]quests!$1:$1,0)+1,FALSE)</f>
        <v>【月曜限定】 黄の素材</v>
      </c>
      <c r="D6" s="3" t="str">
        <f ca="1">VLOOKUP($B6,OFFSET([1]quests!$A$1,0,0,COUNTA([1]quests!$A:$A),MATCH(D$1,[1]quests!$1:$1,0)-MATCH($B$1,[1]quests!$1:$1,0)+1),MATCH(D$1,[1]quests!$1:$1,0)-MATCH($B$1,[1]quests!$1:$1,0)+1,FALSE)</f>
        <v>月曜クエスト</v>
      </c>
      <c r="E6" s="5">
        <v>2</v>
      </c>
      <c r="F6" s="3" t="str">
        <f ca="1">VLOOKUP($B6&amp;"_"&amp;$E6,OFFSET([1]stages!$A$1,0,0,COUNTA([1]stages!$A:$A),MATCH(F$1,[1]stages!$2:$2,0)-MATCH("temp_stage",[1]stages!$2:$2,0)+1),MATCH(F$1,[1]stages!$2:$2,0)-MATCH("temp_stage",[1]stages!$2:$2,0)+1,FALSE)</f>
        <v>【中級】雷のウサギ</v>
      </c>
      <c r="G6" s="3" t="str">
        <f ca="1">VLOOKUP($B6&amp;"_"&amp;$E6,OFFSET([1]stages!$A$1,0,0,COUNTA([1]stages!$A:$A),MATCH(G$1,[1]stages!$2:$2,0)-MATCH("temp_stage",[1]stages!$2:$2,0)+1),MATCH(G$1,[1]stages!$2:$2,0)-MATCH("temp_stage",[1]stages!$2:$2,0)+1,FALSE)</f>
        <v>月曜クエスト</v>
      </c>
      <c r="H6" s="18">
        <v>0</v>
      </c>
      <c r="I6">
        <v>9</v>
      </c>
      <c r="J6" s="5" t="s">
        <v>16</v>
      </c>
      <c r="K6" s="35" t="str">
        <f>VLOOKUP(I6,[2]stage_hints!$A:$C,3,FALSE)</f>
        <v>ゴールドダックでビットを獲得</v>
      </c>
      <c r="L6" s="36" t="str">
        <f>VLOOKUP(I6,[2]stage_hints!$A:$D,4,FALSE)</f>
        <v>「ゴールドなアヒル」を売却すると_x000D_大量のビットがもらえます</v>
      </c>
      <c r="M6" s="21" t="s">
        <v>23</v>
      </c>
      <c r="N6">
        <v>9</v>
      </c>
    </row>
    <row r="7" spans="1:14" x14ac:dyDescent="0.15">
      <c r="A7" s="26" t="s">
        <v>32</v>
      </c>
      <c r="B7" s="4">
        <v>11001</v>
      </c>
      <c r="C7" s="3" t="str">
        <f ca="1">VLOOKUP($B7,OFFSET([1]quests!$A$1,0,0,COUNTA([1]quests!$A:$A),MATCH(C$1,[1]quests!$1:$1,0)-MATCH($B$1,[1]quests!$1:$1,0)+1),MATCH(C$1,[1]quests!$1:$1,0)-MATCH($B$1,[1]quests!$1:$1,0)+1,FALSE)</f>
        <v>【月曜限定】 黄の素材</v>
      </c>
      <c r="D7" s="3" t="str">
        <f ca="1">VLOOKUP($B7,OFFSET([1]quests!$A$1,0,0,COUNTA([1]quests!$A:$A),MATCH(D$1,[1]quests!$1:$1,0)-MATCH($B$1,[1]quests!$1:$1,0)+1),MATCH(D$1,[1]quests!$1:$1,0)-MATCH($B$1,[1]quests!$1:$1,0)+1,FALSE)</f>
        <v>月曜クエスト</v>
      </c>
      <c r="E7" s="5">
        <v>2</v>
      </c>
      <c r="F7" s="3" t="str">
        <f ca="1">VLOOKUP($B7&amp;"_"&amp;$E7,OFFSET([1]stages!$A$1,0,0,COUNTA([1]stages!$A:$A),MATCH(F$1,[1]stages!$2:$2,0)-MATCH("temp_stage",[1]stages!$2:$2,0)+1),MATCH(F$1,[1]stages!$2:$2,0)-MATCH("temp_stage",[1]stages!$2:$2,0)+1,FALSE)</f>
        <v>【中級】雷のウサギ</v>
      </c>
      <c r="G7" s="3" t="str">
        <f ca="1">VLOOKUP($B7&amp;"_"&amp;$E7,OFFSET([1]stages!$A$1,0,0,COUNTA([1]stages!$A:$A),MATCH(G$1,[1]stages!$2:$2,0)-MATCH("temp_stage",[1]stages!$2:$2,0)+1),MATCH(G$1,[1]stages!$2:$2,0)-MATCH("temp_stage",[1]stages!$2:$2,0)+1,FALSE)</f>
        <v>月曜クエスト</v>
      </c>
      <c r="H7" s="18">
        <v>0</v>
      </c>
      <c r="I7">
        <v>10</v>
      </c>
      <c r="J7" s="5" t="s">
        <v>16</v>
      </c>
      <c r="K7" s="35" t="str">
        <f>VLOOKUP(I7,[2]stage_hints!$A:$C,3,FALSE)</f>
        <v>土日に大量のビットを獲得</v>
      </c>
      <c r="L7" s="36" t="str">
        <f>VLOOKUP(I7,[2]stage_hints!$A:$D,4,FALSE)</f>
        <v>土日限定の「ゴールドカジノ」では_x000D_売却素材ユニットが多く手に入ります</v>
      </c>
      <c r="M7" s="21" t="s">
        <v>23</v>
      </c>
      <c r="N7">
        <v>10</v>
      </c>
    </row>
    <row r="8" spans="1:14" x14ac:dyDescent="0.15">
      <c r="A8" s="26" t="s">
        <v>32</v>
      </c>
      <c r="B8" s="4">
        <v>11001</v>
      </c>
      <c r="C8" s="3" t="str">
        <f ca="1">VLOOKUP($B8,OFFSET([1]quests!$A$1,0,0,COUNTA([1]quests!$A:$A),MATCH(C$1,[1]quests!$1:$1,0)-MATCH($B$1,[1]quests!$1:$1,0)+1),MATCH(C$1,[1]quests!$1:$1,0)-MATCH($B$1,[1]quests!$1:$1,0)+1,FALSE)</f>
        <v>【月曜限定】 黄の素材</v>
      </c>
      <c r="D8" s="3" t="str">
        <f ca="1">VLOOKUP($B8,OFFSET([1]quests!$A$1,0,0,COUNTA([1]quests!$A:$A),MATCH(D$1,[1]quests!$1:$1,0)-MATCH($B$1,[1]quests!$1:$1,0)+1),MATCH(D$1,[1]quests!$1:$1,0)-MATCH($B$1,[1]quests!$1:$1,0)+1,FALSE)</f>
        <v>月曜クエスト</v>
      </c>
      <c r="E8" s="5">
        <v>2</v>
      </c>
      <c r="F8" s="3" t="str">
        <f ca="1">VLOOKUP($B8&amp;"_"&amp;$E8,OFFSET([1]stages!$A$1,0,0,COUNTA([1]stages!$A:$A),MATCH(F$1,[1]stages!$2:$2,0)-MATCH("temp_stage",[1]stages!$2:$2,0)+1),MATCH(F$1,[1]stages!$2:$2,0)-MATCH("temp_stage",[1]stages!$2:$2,0)+1,FALSE)</f>
        <v>【中級】雷のウサギ</v>
      </c>
      <c r="G8" s="3" t="str">
        <f ca="1">VLOOKUP($B8&amp;"_"&amp;$E8,OFFSET([1]stages!$A$1,0,0,COUNTA([1]stages!$A:$A),MATCH(G$1,[1]stages!$2:$2,0)-MATCH("temp_stage",[1]stages!$2:$2,0)+1),MATCH(G$1,[1]stages!$2:$2,0)-MATCH("temp_stage",[1]stages!$2:$2,0)+1,FALSE)</f>
        <v>月曜クエスト</v>
      </c>
      <c r="H8" s="18">
        <v>0</v>
      </c>
      <c r="I8">
        <v>11</v>
      </c>
      <c r="J8" s="5" t="s">
        <v>16</v>
      </c>
      <c r="K8" s="35" t="str">
        <f>VLOOKUP(I8,[2]stage_hints!$A:$C,3,FALSE)</f>
        <v>ランク解放クエスト</v>
      </c>
      <c r="L8" s="36" t="str">
        <f>VLOOKUP(I8,[2]stage_hints!$A:$D,4,FALSE)</f>
        <v>一定ランクに到達すると_x000D_報酬付きのランク開放クエストが現れます</v>
      </c>
      <c r="M8" s="21" t="s">
        <v>23</v>
      </c>
      <c r="N8">
        <v>11</v>
      </c>
    </row>
    <row r="9" spans="1:14" x14ac:dyDescent="0.15">
      <c r="A9" s="26" t="s">
        <v>32</v>
      </c>
      <c r="B9" s="4">
        <v>11001</v>
      </c>
      <c r="C9" s="3" t="str">
        <f ca="1">VLOOKUP($B9,OFFSET([1]quests!$A$1,0,0,COUNTA([1]quests!$A:$A),MATCH(C$1,[1]quests!$1:$1,0)-MATCH($B$1,[1]quests!$1:$1,0)+1),MATCH(C$1,[1]quests!$1:$1,0)-MATCH($B$1,[1]quests!$1:$1,0)+1,FALSE)</f>
        <v>【月曜限定】 黄の素材</v>
      </c>
      <c r="D9" s="3" t="str">
        <f ca="1">VLOOKUP($B9,OFFSET([1]quests!$A$1,0,0,COUNTA([1]quests!$A:$A),MATCH(D$1,[1]quests!$1:$1,0)-MATCH($B$1,[1]quests!$1:$1,0)+1),MATCH(D$1,[1]quests!$1:$1,0)-MATCH($B$1,[1]quests!$1:$1,0)+1,FALSE)</f>
        <v>月曜クエスト</v>
      </c>
      <c r="E9" s="5">
        <v>2</v>
      </c>
      <c r="F9" s="3" t="str">
        <f ca="1">VLOOKUP($B9&amp;"_"&amp;$E9,OFFSET([1]stages!$A$1,0,0,COUNTA([1]stages!$A:$A),MATCH(F$1,[1]stages!$2:$2,0)-MATCH("temp_stage",[1]stages!$2:$2,0)+1),MATCH(F$1,[1]stages!$2:$2,0)-MATCH("temp_stage",[1]stages!$2:$2,0)+1,FALSE)</f>
        <v>【中級】雷のウサギ</v>
      </c>
      <c r="G9" s="3" t="str">
        <f ca="1">VLOOKUP($B9&amp;"_"&amp;$E9,OFFSET([1]stages!$A$1,0,0,COUNTA([1]stages!$A:$A),MATCH(G$1,[1]stages!$2:$2,0)-MATCH("temp_stage",[1]stages!$2:$2,0)+1),MATCH(G$1,[1]stages!$2:$2,0)-MATCH("temp_stage",[1]stages!$2:$2,0)+1,FALSE)</f>
        <v>月曜クエスト</v>
      </c>
      <c r="H9" s="18">
        <v>0</v>
      </c>
      <c r="I9">
        <v>12</v>
      </c>
      <c r="J9" s="5" t="s">
        <v>16</v>
      </c>
      <c r="K9" s="35" t="str">
        <f>VLOOKUP(I9,[2]stage_hints!$A:$C,3,FALSE)</f>
        <v>ユニットのお気に入り登録</v>
      </c>
      <c r="L9" s="36" t="str">
        <f>VLOOKUP(I9,[2]stage_hints!$A:$D,4,FALSE)</f>
        <v>大事なユニットを誤って消さないように_x000D_フォルダから「お気に入り登録」しましょう</v>
      </c>
      <c r="M9" s="21" t="s">
        <v>23</v>
      </c>
      <c r="N9">
        <v>12</v>
      </c>
    </row>
    <row r="10" spans="1:14" x14ac:dyDescent="0.15">
      <c r="A10" s="26" t="s">
        <v>32</v>
      </c>
      <c r="B10" s="4">
        <v>11001</v>
      </c>
      <c r="C10" s="3" t="str">
        <f ca="1">VLOOKUP($B10,OFFSET([1]quests!$A$1,0,0,COUNTA([1]quests!$A:$A),MATCH(C$1,[1]quests!$1:$1,0)-MATCH($B$1,[1]quests!$1:$1,0)+1),MATCH(C$1,[1]quests!$1:$1,0)-MATCH($B$1,[1]quests!$1:$1,0)+1,FALSE)</f>
        <v>【月曜限定】 黄の素材</v>
      </c>
      <c r="D10" s="3" t="str">
        <f ca="1">VLOOKUP($B10,OFFSET([1]quests!$A$1,0,0,COUNTA([1]quests!$A:$A),MATCH(D$1,[1]quests!$1:$1,0)-MATCH($B$1,[1]quests!$1:$1,0)+1),MATCH(D$1,[1]quests!$1:$1,0)-MATCH($B$1,[1]quests!$1:$1,0)+1,FALSE)</f>
        <v>月曜クエスト</v>
      </c>
      <c r="E10" s="5">
        <v>2</v>
      </c>
      <c r="F10" s="3" t="str">
        <f ca="1">VLOOKUP($B10&amp;"_"&amp;$E10,OFFSET([1]stages!$A$1,0,0,COUNTA([1]stages!$A:$A),MATCH(F$1,[1]stages!$2:$2,0)-MATCH("temp_stage",[1]stages!$2:$2,0)+1),MATCH(F$1,[1]stages!$2:$2,0)-MATCH("temp_stage",[1]stages!$2:$2,0)+1,FALSE)</f>
        <v>【中級】雷のウサギ</v>
      </c>
      <c r="G10" s="3" t="str">
        <f ca="1">VLOOKUP($B10&amp;"_"&amp;$E10,OFFSET([1]stages!$A$1,0,0,COUNTA([1]stages!$A:$A),MATCH(G$1,[1]stages!$2:$2,0)-MATCH("temp_stage",[1]stages!$2:$2,0)+1),MATCH(G$1,[1]stages!$2:$2,0)-MATCH("temp_stage",[1]stages!$2:$2,0)+1,FALSE)</f>
        <v>月曜クエスト</v>
      </c>
      <c r="H10" s="18">
        <v>0</v>
      </c>
      <c r="I10">
        <v>13</v>
      </c>
      <c r="J10" s="5" t="s">
        <v>16</v>
      </c>
      <c r="K10" s="35" t="str">
        <f>VLOOKUP(I10,[2]stage_hints!$A:$C,3,FALSE)</f>
        <v>ユニットの覚醒</v>
      </c>
      <c r="L10" s="36" t="str">
        <f>VLOOKUP(I10,[2]stage_hints!$A:$D,4,FALSE)</f>
        <v>ユニットを覚醒させると_x000D_比べものにならない強さが手に入ります</v>
      </c>
      <c r="M10" s="21" t="s">
        <v>23</v>
      </c>
      <c r="N10">
        <v>13</v>
      </c>
    </row>
    <row r="11" spans="1:14" x14ac:dyDescent="0.15">
      <c r="A11" s="26" t="s">
        <v>32</v>
      </c>
      <c r="B11" s="4">
        <v>11001</v>
      </c>
      <c r="C11" s="3" t="str">
        <f ca="1">VLOOKUP($B11,OFFSET([1]quests!$A$1,0,0,COUNTA([1]quests!$A:$A),MATCH(C$1,[1]quests!$1:$1,0)-MATCH($B$1,[1]quests!$1:$1,0)+1),MATCH(C$1,[1]quests!$1:$1,0)-MATCH($B$1,[1]quests!$1:$1,0)+1,FALSE)</f>
        <v>【月曜限定】 黄の素材</v>
      </c>
      <c r="D11" s="3" t="str">
        <f ca="1">VLOOKUP($B11,OFFSET([1]quests!$A$1,0,0,COUNTA([1]quests!$A:$A),MATCH(D$1,[1]quests!$1:$1,0)-MATCH($B$1,[1]quests!$1:$1,0)+1),MATCH(D$1,[1]quests!$1:$1,0)-MATCH($B$1,[1]quests!$1:$1,0)+1,FALSE)</f>
        <v>月曜クエスト</v>
      </c>
      <c r="E11" s="5">
        <v>2</v>
      </c>
      <c r="F11" s="3" t="str">
        <f ca="1">VLOOKUP($B11&amp;"_"&amp;$E11,OFFSET([1]stages!$A$1,0,0,COUNTA([1]stages!$A:$A),MATCH(F$1,[1]stages!$2:$2,0)-MATCH("temp_stage",[1]stages!$2:$2,0)+1),MATCH(F$1,[1]stages!$2:$2,0)-MATCH("temp_stage",[1]stages!$2:$2,0)+1,FALSE)</f>
        <v>【中級】雷のウサギ</v>
      </c>
      <c r="G11" s="3" t="str">
        <f ca="1">VLOOKUP($B11&amp;"_"&amp;$E11,OFFSET([1]stages!$A$1,0,0,COUNTA([1]stages!$A:$A),MATCH(G$1,[1]stages!$2:$2,0)-MATCH("temp_stage",[1]stages!$2:$2,0)+1),MATCH(G$1,[1]stages!$2:$2,0)-MATCH("temp_stage",[1]stages!$2:$2,0)+1,FALSE)</f>
        <v>月曜クエスト</v>
      </c>
      <c r="H11" s="18">
        <v>0</v>
      </c>
      <c r="I11">
        <v>14</v>
      </c>
      <c r="J11" s="5" t="s">
        <v>16</v>
      </c>
      <c r="K11" s="35" t="str">
        <f>VLOOKUP(I11,[2]stage_hints!$A:$C,3,FALSE)</f>
        <v>覚醒するにはレベルを最大に</v>
      </c>
      <c r="L11" s="36" t="str">
        <f>VLOOKUP(I11,[2]stage_hints!$A:$D,4,FALSE)</f>
        <v>覚醒するにはユニットのレベルを_x000D_最大まで上げる必要があります</v>
      </c>
      <c r="M11" s="21" t="s">
        <v>23</v>
      </c>
      <c r="N11">
        <v>14</v>
      </c>
    </row>
    <row r="12" spans="1:14" x14ac:dyDescent="0.15">
      <c r="A12" s="26" t="s">
        <v>32</v>
      </c>
      <c r="B12" s="4">
        <v>11001</v>
      </c>
      <c r="C12" s="3" t="str">
        <f ca="1">VLOOKUP($B12,OFFSET([1]quests!$A$1,0,0,COUNTA([1]quests!$A:$A),MATCH(C$1,[1]quests!$1:$1,0)-MATCH($B$1,[1]quests!$1:$1,0)+1),MATCH(C$1,[1]quests!$1:$1,0)-MATCH($B$1,[1]quests!$1:$1,0)+1,FALSE)</f>
        <v>【月曜限定】 黄の素材</v>
      </c>
      <c r="D12" s="3" t="str">
        <f ca="1">VLOOKUP($B12,OFFSET([1]quests!$A$1,0,0,COUNTA([1]quests!$A:$A),MATCH(D$1,[1]quests!$1:$1,0)-MATCH($B$1,[1]quests!$1:$1,0)+1),MATCH(D$1,[1]quests!$1:$1,0)-MATCH($B$1,[1]quests!$1:$1,0)+1,FALSE)</f>
        <v>月曜クエスト</v>
      </c>
      <c r="E12" s="5">
        <v>2</v>
      </c>
      <c r="F12" s="3" t="str">
        <f ca="1">VLOOKUP($B12&amp;"_"&amp;$E12,OFFSET([1]stages!$A$1,0,0,COUNTA([1]stages!$A:$A),MATCH(F$1,[1]stages!$2:$2,0)-MATCH("temp_stage",[1]stages!$2:$2,0)+1),MATCH(F$1,[1]stages!$2:$2,0)-MATCH("temp_stage",[1]stages!$2:$2,0)+1,FALSE)</f>
        <v>【中級】雷のウサギ</v>
      </c>
      <c r="G12" s="3" t="str">
        <f ca="1">VLOOKUP($B12&amp;"_"&amp;$E12,OFFSET([1]stages!$A$1,0,0,COUNTA([1]stages!$A:$A),MATCH(G$1,[1]stages!$2:$2,0)-MATCH("temp_stage",[1]stages!$2:$2,0)+1),MATCH(G$1,[1]stages!$2:$2,0)-MATCH("temp_stage",[1]stages!$2:$2,0)+1,FALSE)</f>
        <v>月曜クエスト</v>
      </c>
      <c r="H12" s="18">
        <v>0</v>
      </c>
      <c r="I12">
        <v>15</v>
      </c>
      <c r="J12" s="5" t="s">
        <v>16</v>
      </c>
      <c r="K12" s="35" t="str">
        <f>VLOOKUP(I12,[2]stage_hints!$A:$C,3,FALSE)</f>
        <v>覚醒素材を獲得</v>
      </c>
      <c r="L12" s="36" t="str">
        <f>VLOOKUP(I12,[2]stage_hints!$A:$D,4,FALSE)</f>
        <v>「曜日クエスト」では_x000D_ユニットの覚醒に必要な素材が手に入ります</v>
      </c>
      <c r="M12" s="21" t="s">
        <v>23</v>
      </c>
      <c r="N12">
        <v>15</v>
      </c>
    </row>
    <row r="13" spans="1:14" x14ac:dyDescent="0.15">
      <c r="A13" s="26" t="s">
        <v>32</v>
      </c>
      <c r="B13" s="4">
        <v>11001</v>
      </c>
      <c r="C13" s="3" t="str">
        <f ca="1">VLOOKUP($B13,OFFSET([1]quests!$A$1,0,0,COUNTA([1]quests!$A:$A),MATCH(C$1,[1]quests!$1:$1,0)-MATCH($B$1,[1]quests!$1:$1,0)+1),MATCH(C$1,[1]quests!$1:$1,0)-MATCH($B$1,[1]quests!$1:$1,0)+1,FALSE)</f>
        <v>【月曜限定】 黄の素材</v>
      </c>
      <c r="D13" s="3" t="str">
        <f ca="1">VLOOKUP($B13,OFFSET([1]quests!$A$1,0,0,COUNTA([1]quests!$A:$A),MATCH(D$1,[1]quests!$1:$1,0)-MATCH($B$1,[1]quests!$1:$1,0)+1),MATCH(D$1,[1]quests!$1:$1,0)-MATCH($B$1,[1]quests!$1:$1,0)+1,FALSE)</f>
        <v>月曜クエスト</v>
      </c>
      <c r="E13" s="5">
        <v>2</v>
      </c>
      <c r="F13" s="3" t="str">
        <f ca="1">VLOOKUP($B13&amp;"_"&amp;$E13,OFFSET([1]stages!$A$1,0,0,COUNTA([1]stages!$A:$A),MATCH(F$1,[1]stages!$2:$2,0)-MATCH("temp_stage",[1]stages!$2:$2,0)+1),MATCH(F$1,[1]stages!$2:$2,0)-MATCH("temp_stage",[1]stages!$2:$2,0)+1,FALSE)</f>
        <v>【中級】雷のウサギ</v>
      </c>
      <c r="G13" s="3" t="str">
        <f ca="1">VLOOKUP($B13&amp;"_"&amp;$E13,OFFSET([1]stages!$A$1,0,0,COUNTA([1]stages!$A:$A),MATCH(G$1,[1]stages!$2:$2,0)-MATCH("temp_stage",[1]stages!$2:$2,0)+1),MATCH(G$1,[1]stages!$2:$2,0)-MATCH("temp_stage",[1]stages!$2:$2,0)+1,FALSE)</f>
        <v>月曜クエスト</v>
      </c>
      <c r="H13" s="18">
        <v>0</v>
      </c>
      <c r="I13">
        <v>16</v>
      </c>
      <c r="J13" s="5" t="s">
        <v>16</v>
      </c>
      <c r="K13" s="35" t="str">
        <f>VLOOKUP(I13,[2]stage_hints!$A:$C,3,FALSE)</f>
        <v>マルチプレイのメリット（その1）</v>
      </c>
      <c r="L13" s="36" t="str">
        <f>VLOOKUP(I13,[2]stage_hints!$A:$D,4,FALSE)</f>
        <v>他のプレイヤーとマルチプレイで遊ぶと_x000D_ポリゴンがもらえます（100人まで）</v>
      </c>
      <c r="M13" s="21" t="s">
        <v>23</v>
      </c>
      <c r="N13">
        <v>16</v>
      </c>
    </row>
    <row r="14" spans="1:14" x14ac:dyDescent="0.15">
      <c r="A14" s="26" t="s">
        <v>32</v>
      </c>
      <c r="B14" s="4">
        <v>11001</v>
      </c>
      <c r="C14" s="3" t="str">
        <f ca="1">VLOOKUP($B14,OFFSET([1]quests!$A$1,0,0,COUNTA([1]quests!$A:$A),MATCH(C$1,[1]quests!$1:$1,0)-MATCH($B$1,[1]quests!$1:$1,0)+1),MATCH(C$1,[1]quests!$1:$1,0)-MATCH($B$1,[1]quests!$1:$1,0)+1,FALSE)</f>
        <v>【月曜限定】 黄の素材</v>
      </c>
      <c r="D14" s="3" t="str">
        <f ca="1">VLOOKUP($B14,OFFSET([1]quests!$A$1,0,0,COUNTA([1]quests!$A:$A),MATCH(D$1,[1]quests!$1:$1,0)-MATCH($B$1,[1]quests!$1:$1,0)+1),MATCH(D$1,[1]quests!$1:$1,0)-MATCH($B$1,[1]quests!$1:$1,0)+1,FALSE)</f>
        <v>月曜クエスト</v>
      </c>
      <c r="E14" s="5">
        <v>2</v>
      </c>
      <c r="F14" s="3" t="str">
        <f ca="1">VLOOKUP($B14&amp;"_"&amp;$E14,OFFSET([1]stages!$A$1,0,0,COUNTA([1]stages!$A:$A),MATCH(F$1,[1]stages!$2:$2,0)-MATCH("temp_stage",[1]stages!$2:$2,0)+1),MATCH(F$1,[1]stages!$2:$2,0)-MATCH("temp_stage",[1]stages!$2:$2,0)+1,FALSE)</f>
        <v>【中級】雷のウサギ</v>
      </c>
      <c r="G14" s="3" t="str">
        <f ca="1">VLOOKUP($B14&amp;"_"&amp;$E14,OFFSET([1]stages!$A$1,0,0,COUNTA([1]stages!$A:$A),MATCH(G$1,[1]stages!$2:$2,0)-MATCH("temp_stage",[1]stages!$2:$2,0)+1),MATCH(G$1,[1]stages!$2:$2,0)-MATCH("temp_stage",[1]stages!$2:$2,0)+1,FALSE)</f>
        <v>月曜クエスト</v>
      </c>
      <c r="H14" s="18">
        <v>0</v>
      </c>
      <c r="I14">
        <v>17</v>
      </c>
      <c r="J14" s="5" t="s">
        <v>16</v>
      </c>
      <c r="K14" s="35" t="str">
        <f>VLOOKUP(I14,[2]stage_hints!$A:$C,3,FALSE)</f>
        <v>リンクガチャ</v>
      </c>
      <c r="L14" s="36" t="str">
        <f>VLOOKUP(I14,[2]stage_hints!$A:$D,4,FALSE)</f>
        <v>無料のリンクガチャを回して_x000D_経験値素材や売却素材を獲得しましょう</v>
      </c>
      <c r="M14" s="21" t="s">
        <v>23</v>
      </c>
      <c r="N14">
        <v>17</v>
      </c>
    </row>
    <row r="15" spans="1:14" x14ac:dyDescent="0.15">
      <c r="A15" s="26" t="s">
        <v>32</v>
      </c>
      <c r="B15" s="4">
        <v>11001</v>
      </c>
      <c r="C15" s="3" t="str">
        <f ca="1">VLOOKUP($B15,OFFSET([1]quests!$A$1,0,0,COUNTA([1]quests!$A:$A),MATCH(C$1,[1]quests!$1:$1,0)-MATCH($B$1,[1]quests!$1:$1,0)+1),MATCH(C$1,[1]quests!$1:$1,0)-MATCH($B$1,[1]quests!$1:$1,0)+1,FALSE)</f>
        <v>【月曜限定】 黄の素材</v>
      </c>
      <c r="D15" s="3" t="str">
        <f ca="1">VLOOKUP($B15,OFFSET([1]quests!$A$1,0,0,COUNTA([1]quests!$A:$A),MATCH(D$1,[1]quests!$1:$1,0)-MATCH($B$1,[1]quests!$1:$1,0)+1),MATCH(D$1,[1]quests!$1:$1,0)-MATCH($B$1,[1]quests!$1:$1,0)+1,FALSE)</f>
        <v>月曜クエスト</v>
      </c>
      <c r="E15" s="5">
        <v>2</v>
      </c>
      <c r="F15" s="3" t="str">
        <f ca="1">VLOOKUP($B15&amp;"_"&amp;$E15,OFFSET([1]stages!$A$1,0,0,COUNTA([1]stages!$A:$A),MATCH(F$1,[1]stages!$2:$2,0)-MATCH("temp_stage",[1]stages!$2:$2,0)+1),MATCH(F$1,[1]stages!$2:$2,0)-MATCH("temp_stage",[1]stages!$2:$2,0)+1,FALSE)</f>
        <v>【中級】雷のウサギ</v>
      </c>
      <c r="G15" s="3" t="str">
        <f ca="1">VLOOKUP($B15&amp;"_"&amp;$E15,OFFSET([1]stages!$A$1,0,0,COUNTA([1]stages!$A:$A),MATCH(G$1,[1]stages!$2:$2,0)-MATCH("temp_stage",[1]stages!$2:$2,0)+1),MATCH(G$1,[1]stages!$2:$2,0)-MATCH("temp_stage",[1]stages!$2:$2,0)+1,FALSE)</f>
        <v>月曜クエスト</v>
      </c>
      <c r="H15" s="18">
        <v>0</v>
      </c>
      <c r="I15">
        <v>18</v>
      </c>
      <c r="J15" s="5" t="s">
        <v>16</v>
      </c>
      <c r="K15" s="35" t="str">
        <f>VLOOKUP(I15,[2]stage_hints!$A:$C,3,FALSE)</f>
        <v>マルチプレイのメリット（その2）</v>
      </c>
      <c r="L15" s="36" t="str">
        <f>VLOOKUP(I15,[2]stage_hints!$A:$D,4,FALSE)</f>
        <v>マルチプレイならリンクが2倍もらえます_x000D_リンクガチャをたくさん回しましょう</v>
      </c>
      <c r="M15" s="21" t="s">
        <v>23</v>
      </c>
      <c r="N15">
        <v>18</v>
      </c>
    </row>
    <row r="16" spans="1:14" x14ac:dyDescent="0.15">
      <c r="A16" s="26" t="s">
        <v>32</v>
      </c>
      <c r="B16" s="4">
        <v>11001</v>
      </c>
      <c r="C16" s="3" t="str">
        <f ca="1">VLOOKUP($B16,OFFSET([1]quests!$A$1,0,0,COUNTA([1]quests!$A:$A),MATCH(C$1,[1]quests!$1:$1,0)-MATCH($B$1,[1]quests!$1:$1,0)+1),MATCH(C$1,[1]quests!$1:$1,0)-MATCH($B$1,[1]quests!$1:$1,0)+1,FALSE)</f>
        <v>【月曜限定】 黄の素材</v>
      </c>
      <c r="D16" s="3" t="str">
        <f ca="1">VLOOKUP($B16,OFFSET([1]quests!$A$1,0,0,COUNTA([1]quests!$A:$A),MATCH(D$1,[1]quests!$1:$1,0)-MATCH($B$1,[1]quests!$1:$1,0)+1),MATCH(D$1,[1]quests!$1:$1,0)-MATCH($B$1,[1]quests!$1:$1,0)+1,FALSE)</f>
        <v>月曜クエスト</v>
      </c>
      <c r="E16" s="5">
        <v>2</v>
      </c>
      <c r="F16" s="3" t="str">
        <f ca="1">VLOOKUP($B16&amp;"_"&amp;$E16,OFFSET([1]stages!$A$1,0,0,COUNTA([1]stages!$A:$A),MATCH(F$1,[1]stages!$2:$2,0)-MATCH("temp_stage",[1]stages!$2:$2,0)+1),MATCH(F$1,[1]stages!$2:$2,0)-MATCH("temp_stage",[1]stages!$2:$2,0)+1,FALSE)</f>
        <v>【中級】雷のウサギ</v>
      </c>
      <c r="G16" s="3" t="str">
        <f ca="1">VLOOKUP($B16&amp;"_"&amp;$E16,OFFSET([1]stages!$A$1,0,0,COUNTA([1]stages!$A:$A),MATCH(G$1,[1]stages!$2:$2,0)-MATCH("temp_stage",[1]stages!$2:$2,0)+1),MATCH(G$1,[1]stages!$2:$2,0)-MATCH("temp_stage",[1]stages!$2:$2,0)+1,FALSE)</f>
        <v>月曜クエスト</v>
      </c>
      <c r="H16" s="18">
        <v>0</v>
      </c>
      <c r="I16">
        <v>19</v>
      </c>
      <c r="J16" s="5" t="s">
        <v>16</v>
      </c>
      <c r="K16" s="35" t="str">
        <f>VLOOKUP(I16,[2]stage_hints!$A:$C,3,FALSE)</f>
        <v>ソロ専用チャレンジタワー</v>
      </c>
      <c r="L16" s="36" t="str">
        <f>VLOOKUP(I16,[2]stage_hints!$A:$D,4,FALSE)</f>
        <v>ソロ専用の「チャレンジタワー」では_x000D_各フロアごとにクリア報酬がもらえます</v>
      </c>
      <c r="M16" s="21" t="s">
        <v>23</v>
      </c>
      <c r="N16">
        <v>19</v>
      </c>
    </row>
    <row r="17" spans="1:14" x14ac:dyDescent="0.15">
      <c r="A17" s="26" t="s">
        <v>32</v>
      </c>
      <c r="B17" s="4">
        <v>11001</v>
      </c>
      <c r="C17" s="3" t="str">
        <f ca="1">VLOOKUP($B17,OFFSET([1]quests!$A$1,0,0,COUNTA([1]quests!$A:$A),MATCH(C$1,[1]quests!$1:$1,0)-MATCH($B$1,[1]quests!$1:$1,0)+1),MATCH(C$1,[1]quests!$1:$1,0)-MATCH($B$1,[1]quests!$1:$1,0)+1,FALSE)</f>
        <v>【月曜限定】 黄の素材</v>
      </c>
      <c r="D17" s="3" t="str">
        <f ca="1">VLOOKUP($B17,OFFSET([1]quests!$A$1,0,0,COUNTA([1]quests!$A:$A),MATCH(D$1,[1]quests!$1:$1,0)-MATCH($B$1,[1]quests!$1:$1,0)+1),MATCH(D$1,[1]quests!$1:$1,0)-MATCH($B$1,[1]quests!$1:$1,0)+1,FALSE)</f>
        <v>月曜クエスト</v>
      </c>
      <c r="E17" s="5">
        <v>2</v>
      </c>
      <c r="F17" s="3" t="str">
        <f ca="1">VLOOKUP($B17&amp;"_"&amp;$E17,OFFSET([1]stages!$A$1,0,0,COUNTA([1]stages!$A:$A),MATCH(F$1,[1]stages!$2:$2,0)-MATCH("temp_stage",[1]stages!$2:$2,0)+1),MATCH(F$1,[1]stages!$2:$2,0)-MATCH("temp_stage",[1]stages!$2:$2,0)+1,FALSE)</f>
        <v>【中級】雷のウサギ</v>
      </c>
      <c r="G17" s="3" t="str">
        <f ca="1">VLOOKUP($B17&amp;"_"&amp;$E17,OFFSET([1]stages!$A$1,0,0,COUNTA([1]stages!$A:$A),MATCH(G$1,[1]stages!$2:$2,0)-MATCH("temp_stage",[1]stages!$2:$2,0)+1),MATCH(G$1,[1]stages!$2:$2,0)-MATCH("temp_stage",[1]stages!$2:$2,0)+1,FALSE)</f>
        <v>月曜クエスト</v>
      </c>
      <c r="H17" s="18">
        <v>0</v>
      </c>
      <c r="I17">
        <v>20</v>
      </c>
      <c r="J17" s="5" t="s">
        <v>16</v>
      </c>
      <c r="K17" s="35" t="str">
        <f>VLOOKUP(I17,[2]stage_hints!$A:$C,3,FALSE)</f>
        <v>マルチプレイのメリット（その3）</v>
      </c>
      <c r="L17" s="36" t="str">
        <f>VLOOKUP(I17,[2]stage_hints!$A:$D,4,FALSE)</f>
        <v>マルチプレイへの参加はエナジー消費ゼロ_x000D_いつでも好きなだけ遊ぶことができます</v>
      </c>
      <c r="M17" s="21" t="s">
        <v>23</v>
      </c>
      <c r="N17">
        <v>20</v>
      </c>
    </row>
    <row r="18" spans="1:14" x14ac:dyDescent="0.15">
      <c r="A18" s="26" t="s">
        <v>32</v>
      </c>
      <c r="B18" s="4">
        <v>11001</v>
      </c>
      <c r="C18" s="3" t="str">
        <f ca="1">VLOOKUP($B18,OFFSET([1]quests!$A$1,0,0,COUNTA([1]quests!$A:$A),MATCH(C$1,[1]quests!$1:$1,0)-MATCH($B$1,[1]quests!$1:$1,0)+1),MATCH(C$1,[1]quests!$1:$1,0)-MATCH($B$1,[1]quests!$1:$1,0)+1,FALSE)</f>
        <v>【月曜限定】 黄の素材</v>
      </c>
      <c r="D18" s="3" t="str">
        <f ca="1">VLOOKUP($B18,OFFSET([1]quests!$A$1,0,0,COUNTA([1]quests!$A:$A),MATCH(D$1,[1]quests!$1:$1,0)-MATCH($B$1,[1]quests!$1:$1,0)+1),MATCH(D$1,[1]quests!$1:$1,0)-MATCH($B$1,[1]quests!$1:$1,0)+1,FALSE)</f>
        <v>月曜クエスト</v>
      </c>
      <c r="E18" s="5">
        <v>2</v>
      </c>
      <c r="F18" s="3" t="str">
        <f ca="1">VLOOKUP($B18&amp;"_"&amp;$E18,OFFSET([1]stages!$A$1,0,0,COUNTA([1]stages!$A:$A),MATCH(F$1,[1]stages!$2:$2,0)-MATCH("temp_stage",[1]stages!$2:$2,0)+1),MATCH(F$1,[1]stages!$2:$2,0)-MATCH("temp_stage",[1]stages!$2:$2,0)+1,FALSE)</f>
        <v>【中級】雷のウサギ</v>
      </c>
      <c r="G18" s="3" t="str">
        <f ca="1">VLOOKUP($B18&amp;"_"&amp;$E18,OFFSET([1]stages!$A$1,0,0,COUNTA([1]stages!$A:$A),MATCH(G$1,[1]stages!$2:$2,0)-MATCH("temp_stage",[1]stages!$2:$2,0)+1),MATCH(G$1,[1]stages!$2:$2,0)-MATCH("temp_stage",[1]stages!$2:$2,0)+1,FALSE)</f>
        <v>月曜クエスト</v>
      </c>
      <c r="H18" s="18">
        <v>0</v>
      </c>
      <c r="I18">
        <v>21</v>
      </c>
      <c r="J18" s="5" t="s">
        <v>16</v>
      </c>
      <c r="K18" s="35" t="str">
        <f>VLOOKUP(I18,[2]stage_hints!$A:$C,3,FALSE)</f>
        <v>スキルを有効に</v>
      </c>
      <c r="L18" s="36" t="str">
        <f>VLOOKUP(I18,[2]stage_hints!$A:$D,4,FALSE)</f>
        <v>ターン経過でユニットのスキルが使えます_x000D_強力スキルでバトルを有利に進めましょう</v>
      </c>
      <c r="M18" s="21" t="s">
        <v>23</v>
      </c>
      <c r="N18">
        <v>21</v>
      </c>
    </row>
    <row r="19" spans="1:14" x14ac:dyDescent="0.15">
      <c r="A19" s="26" t="s">
        <v>32</v>
      </c>
      <c r="B19" s="4">
        <v>11001</v>
      </c>
      <c r="C19" s="3" t="str">
        <f ca="1">VLOOKUP($B19,OFFSET([1]quests!$A$1,0,0,COUNTA([1]quests!$A:$A),MATCH(C$1,[1]quests!$1:$1,0)-MATCH($B$1,[1]quests!$1:$1,0)+1),MATCH(C$1,[1]quests!$1:$1,0)-MATCH($B$1,[1]quests!$1:$1,0)+1,FALSE)</f>
        <v>【月曜限定】 黄の素材</v>
      </c>
      <c r="D19" s="3" t="str">
        <f ca="1">VLOOKUP($B19,OFFSET([1]quests!$A$1,0,0,COUNTA([1]quests!$A:$A),MATCH(D$1,[1]quests!$1:$1,0)-MATCH($B$1,[1]quests!$1:$1,0)+1),MATCH(D$1,[1]quests!$1:$1,0)-MATCH($B$1,[1]quests!$1:$1,0)+1,FALSE)</f>
        <v>月曜クエスト</v>
      </c>
      <c r="E19" s="5">
        <v>2</v>
      </c>
      <c r="F19" s="3" t="str">
        <f ca="1">VLOOKUP($B19&amp;"_"&amp;$E19,OFFSET([1]stages!$A$1,0,0,COUNTA([1]stages!$A:$A),MATCH(F$1,[1]stages!$2:$2,0)-MATCH("temp_stage",[1]stages!$2:$2,0)+1),MATCH(F$1,[1]stages!$2:$2,0)-MATCH("temp_stage",[1]stages!$2:$2,0)+1,FALSE)</f>
        <v>【中級】雷のウサギ</v>
      </c>
      <c r="G19" s="3" t="str">
        <f ca="1">VLOOKUP($B19&amp;"_"&amp;$E19,OFFSET([1]stages!$A$1,0,0,COUNTA([1]stages!$A:$A),MATCH(G$1,[1]stages!$2:$2,0)-MATCH("temp_stage",[1]stages!$2:$2,0)+1),MATCH(G$1,[1]stages!$2:$2,0)-MATCH("temp_stage",[1]stages!$2:$2,0)+1,FALSE)</f>
        <v>月曜クエスト</v>
      </c>
      <c r="H19" s="18">
        <v>0</v>
      </c>
      <c r="I19">
        <v>22</v>
      </c>
      <c r="J19" s="5" t="s">
        <v>16</v>
      </c>
      <c r="K19" s="35" t="str">
        <f>VLOOKUP(I19,[2]stage_hints!$A:$C,3,FALSE)</f>
        <v>フィーバーで一発逆転（その1）</v>
      </c>
      <c r="L19" s="36" t="str">
        <f>VLOOKUP(I19,[2]stage_hints!$A:$D,4,FALSE)</f>
        <v>フィーバーは攻撃と回復を兼ね備えます_x000D_ピンチからの一発逆転を狙いましょう</v>
      </c>
      <c r="M19" s="21" t="s">
        <v>23</v>
      </c>
      <c r="N19">
        <v>22</v>
      </c>
    </row>
    <row r="20" spans="1:14" x14ac:dyDescent="0.15">
      <c r="A20" s="26" t="s">
        <v>32</v>
      </c>
      <c r="B20" s="4">
        <v>11001</v>
      </c>
      <c r="C20" s="3" t="str">
        <f ca="1">VLOOKUP($B20,OFFSET([1]quests!$A$1,0,0,COUNTA([1]quests!$A:$A),MATCH(C$1,[1]quests!$1:$1,0)-MATCH($B$1,[1]quests!$1:$1,0)+1),MATCH(C$1,[1]quests!$1:$1,0)-MATCH($B$1,[1]quests!$1:$1,0)+1,FALSE)</f>
        <v>【月曜限定】 黄の素材</v>
      </c>
      <c r="D20" s="3" t="str">
        <f ca="1">VLOOKUP($B20,OFFSET([1]quests!$A$1,0,0,COUNTA([1]quests!$A:$A),MATCH(D$1,[1]quests!$1:$1,0)-MATCH($B$1,[1]quests!$1:$1,0)+1),MATCH(D$1,[1]quests!$1:$1,0)-MATCH($B$1,[1]quests!$1:$1,0)+1,FALSE)</f>
        <v>月曜クエスト</v>
      </c>
      <c r="E20" s="5">
        <v>2</v>
      </c>
      <c r="F20" s="3" t="str">
        <f ca="1">VLOOKUP($B20&amp;"_"&amp;$E20,OFFSET([1]stages!$A$1,0,0,COUNTA([1]stages!$A:$A),MATCH(F$1,[1]stages!$2:$2,0)-MATCH("temp_stage",[1]stages!$2:$2,0)+1),MATCH(F$1,[1]stages!$2:$2,0)-MATCH("temp_stage",[1]stages!$2:$2,0)+1,FALSE)</f>
        <v>【中級】雷のウサギ</v>
      </c>
      <c r="G20" s="3" t="str">
        <f ca="1">VLOOKUP($B20&amp;"_"&amp;$E20,OFFSET([1]stages!$A$1,0,0,COUNTA([1]stages!$A:$A),MATCH(G$1,[1]stages!$2:$2,0)-MATCH("temp_stage",[1]stages!$2:$2,0)+1),MATCH(G$1,[1]stages!$2:$2,0)-MATCH("temp_stage",[1]stages!$2:$2,0)+1,FALSE)</f>
        <v>月曜クエスト</v>
      </c>
      <c r="H20" s="18">
        <v>0</v>
      </c>
      <c r="I20">
        <v>23</v>
      </c>
      <c r="J20" s="5" t="s">
        <v>16</v>
      </c>
      <c r="K20" s="35" t="str">
        <f>VLOOKUP(I20,[2]stage_hints!$A:$C,3,FALSE)</f>
        <v>フィーバーで一発逆転（その2）</v>
      </c>
      <c r="L20" s="36" t="str">
        <f>VLOOKUP(I20,[2]stage_hints!$A:$D,4,FALSE)</f>
        <v>フィーバー中は虹色のボムパネルを狙って_x000D_画面上のパネルを一気に破壊しましょう</v>
      </c>
      <c r="M20" s="21" t="s">
        <v>23</v>
      </c>
      <c r="N20">
        <v>23</v>
      </c>
    </row>
    <row r="21" spans="1:14" x14ac:dyDescent="0.15">
      <c r="A21" s="26" t="s">
        <v>32</v>
      </c>
      <c r="B21" s="4">
        <v>11001</v>
      </c>
      <c r="C21" s="3" t="str">
        <f ca="1">VLOOKUP($B21,OFFSET([1]quests!$A$1,0,0,COUNTA([1]quests!$A:$A),MATCH(C$1,[1]quests!$1:$1,0)-MATCH($B$1,[1]quests!$1:$1,0)+1),MATCH(C$1,[1]quests!$1:$1,0)-MATCH($B$1,[1]quests!$1:$1,0)+1,FALSE)</f>
        <v>【月曜限定】 黄の素材</v>
      </c>
      <c r="D21" s="3" t="str">
        <f ca="1">VLOOKUP($B21,OFFSET([1]quests!$A$1,0,0,COUNTA([1]quests!$A:$A),MATCH(D$1,[1]quests!$1:$1,0)-MATCH($B$1,[1]quests!$1:$1,0)+1),MATCH(D$1,[1]quests!$1:$1,0)-MATCH($B$1,[1]quests!$1:$1,0)+1,FALSE)</f>
        <v>月曜クエスト</v>
      </c>
      <c r="E21" s="5">
        <v>2</v>
      </c>
      <c r="F21" s="3" t="str">
        <f ca="1">VLOOKUP($B21&amp;"_"&amp;$E21,OFFSET([1]stages!$A$1,0,0,COUNTA([1]stages!$A:$A),MATCH(F$1,[1]stages!$2:$2,0)-MATCH("temp_stage",[1]stages!$2:$2,0)+1),MATCH(F$1,[1]stages!$2:$2,0)-MATCH("temp_stage",[1]stages!$2:$2,0)+1,FALSE)</f>
        <v>【中級】雷のウサギ</v>
      </c>
      <c r="G21" s="3" t="str">
        <f ca="1">VLOOKUP($B21&amp;"_"&amp;$E21,OFFSET([1]stages!$A$1,0,0,COUNTA([1]stages!$A:$A),MATCH(G$1,[1]stages!$2:$2,0)-MATCH("temp_stage",[1]stages!$2:$2,0)+1),MATCH(G$1,[1]stages!$2:$2,0)-MATCH("temp_stage",[1]stages!$2:$2,0)+1,FALSE)</f>
        <v>月曜クエスト</v>
      </c>
      <c r="H21" s="18">
        <v>0</v>
      </c>
      <c r="I21">
        <v>24</v>
      </c>
      <c r="J21" s="5" t="s">
        <v>16</v>
      </c>
      <c r="K21" s="35" t="str">
        <f>VLOOKUP(I21,[2]stage_hints!$A:$C,3,FALSE)</f>
        <v>りんごを使って限界突破</v>
      </c>
      <c r="L21" s="36" t="str">
        <f>VLOOKUP(I21,[2]stage_hints!$A:$D,4,FALSE)</f>
        <v>赤りんご(攻撃力) 青りんご(回復力)_x000D_緑りんご(体力)をユニット強化に使うと_x000D_ステータスが限界突破します（計99個迄）</v>
      </c>
      <c r="M21" s="21" t="s">
        <v>23</v>
      </c>
      <c r="N21">
        <v>24</v>
      </c>
    </row>
    <row r="22" spans="1:14" x14ac:dyDescent="0.15">
      <c r="A22" s="26" t="s">
        <v>32</v>
      </c>
      <c r="B22" s="4">
        <v>11001</v>
      </c>
      <c r="C22" s="3" t="str">
        <f ca="1">VLOOKUP($B22,OFFSET([1]quests!$A$1,0,0,COUNTA([1]quests!$A:$A),MATCH(C$1,[1]quests!$1:$1,0)-MATCH($B$1,[1]quests!$1:$1,0)+1),MATCH(C$1,[1]quests!$1:$1,0)-MATCH($B$1,[1]quests!$1:$1,0)+1,FALSE)</f>
        <v>【月曜限定】 黄の素材</v>
      </c>
      <c r="D22" s="3" t="str">
        <f ca="1">VLOOKUP($B22,OFFSET([1]quests!$A$1,0,0,COUNTA([1]quests!$A:$A),MATCH(D$1,[1]quests!$1:$1,0)-MATCH($B$1,[1]quests!$1:$1,0)+1),MATCH(D$1,[1]quests!$1:$1,0)-MATCH($B$1,[1]quests!$1:$1,0)+1,FALSE)</f>
        <v>月曜クエスト</v>
      </c>
      <c r="E22" s="5">
        <v>2</v>
      </c>
      <c r="F22" s="3" t="str">
        <f ca="1">VLOOKUP($B22&amp;"_"&amp;$E22,OFFSET([1]stages!$A$1,0,0,COUNTA([1]stages!$A:$A),MATCH(F$1,[1]stages!$2:$2,0)-MATCH("temp_stage",[1]stages!$2:$2,0)+1),MATCH(F$1,[1]stages!$2:$2,0)-MATCH("temp_stage",[1]stages!$2:$2,0)+1,FALSE)</f>
        <v>【中級】雷のウサギ</v>
      </c>
      <c r="G22" s="3" t="str">
        <f ca="1">VLOOKUP($B22&amp;"_"&amp;$E22,OFFSET([1]stages!$A$1,0,0,COUNTA([1]stages!$A:$A),MATCH(G$1,[1]stages!$2:$2,0)-MATCH("temp_stage",[1]stages!$2:$2,0)+1),MATCH(G$1,[1]stages!$2:$2,0)-MATCH("temp_stage",[1]stages!$2:$2,0)+1,FALSE)</f>
        <v>月曜クエスト</v>
      </c>
      <c r="H22" s="18">
        <v>0</v>
      </c>
      <c r="I22">
        <v>25</v>
      </c>
      <c r="J22" s="5" t="s">
        <v>16</v>
      </c>
      <c r="K22" s="35" t="str">
        <f>VLOOKUP(I22,[2]stage_hints!$A:$C,3,FALSE)</f>
        <v>スキルレベルアップ</v>
      </c>
      <c r="L22" s="36" t="str">
        <f>VLOOKUP(I22,[2]stage_hints!$A:$D,4,FALSE)</f>
        <v>「クリスタルのりんご」を強化に使うと_x000D_スキルレベルを上げることができます</v>
      </c>
      <c r="M22" s="21" t="s">
        <v>23</v>
      </c>
      <c r="N22">
        <v>25</v>
      </c>
    </row>
    <row r="23" spans="1:14" x14ac:dyDescent="0.15">
      <c r="A23" s="26" t="s">
        <v>32</v>
      </c>
      <c r="B23" s="4">
        <v>11001</v>
      </c>
      <c r="C23" s="3" t="str">
        <f ca="1">VLOOKUP($B23,OFFSET([1]quests!$A$1,0,0,COUNTA([1]quests!$A:$A),MATCH(C$1,[1]quests!$1:$1,0)-MATCH($B$1,[1]quests!$1:$1,0)+1),MATCH(C$1,[1]quests!$1:$1,0)-MATCH($B$1,[1]quests!$1:$1,0)+1,FALSE)</f>
        <v>【月曜限定】 黄の素材</v>
      </c>
      <c r="D23" s="3" t="str">
        <f ca="1">VLOOKUP($B23,OFFSET([1]quests!$A$1,0,0,COUNTA([1]quests!$A:$A),MATCH(D$1,[1]quests!$1:$1,0)-MATCH($B$1,[1]quests!$1:$1,0)+1),MATCH(D$1,[1]quests!$1:$1,0)-MATCH($B$1,[1]quests!$1:$1,0)+1,FALSE)</f>
        <v>月曜クエスト</v>
      </c>
      <c r="E23" s="5">
        <v>2</v>
      </c>
      <c r="F23" s="3" t="str">
        <f ca="1">VLOOKUP($B23&amp;"_"&amp;$E23,OFFSET([1]stages!$A$1,0,0,COUNTA([1]stages!$A:$A),MATCH(F$1,[1]stages!$2:$2,0)-MATCH("temp_stage",[1]stages!$2:$2,0)+1),MATCH(F$1,[1]stages!$2:$2,0)-MATCH("temp_stage",[1]stages!$2:$2,0)+1,FALSE)</f>
        <v>【中級】雷のウサギ</v>
      </c>
      <c r="G23" s="3" t="str">
        <f ca="1">VLOOKUP($B23&amp;"_"&amp;$E23,OFFSET([1]stages!$A$1,0,0,COUNTA([1]stages!$A:$A),MATCH(G$1,[1]stages!$2:$2,0)-MATCH("temp_stage",[1]stages!$2:$2,0)+1),MATCH(G$1,[1]stages!$2:$2,0)-MATCH("temp_stage",[1]stages!$2:$2,0)+1,FALSE)</f>
        <v>月曜クエスト</v>
      </c>
      <c r="H23" s="18">
        <v>0</v>
      </c>
      <c r="I23">
        <v>26</v>
      </c>
      <c r="J23" s="5" t="s">
        <v>16</v>
      </c>
      <c r="K23" s="35" t="str">
        <f>VLOOKUP(I23,[2]stage_hints!$A:$C,3,FALSE)</f>
        <v>スキルレベルの効果</v>
      </c>
      <c r="L23" s="36" t="str">
        <f>VLOOKUP(I23,[2]stage_hints!$A:$D,4,FALSE)</f>
        <v>スキルレベルが上がると_x000D_短いターンでスキルを使うことができます</v>
      </c>
      <c r="M23" s="21" t="s">
        <v>23</v>
      </c>
      <c r="N23">
        <v>26</v>
      </c>
    </row>
    <row r="24" spans="1:14" x14ac:dyDescent="0.15">
      <c r="A24" s="26" t="s">
        <v>32</v>
      </c>
      <c r="B24" s="4">
        <v>11001</v>
      </c>
      <c r="C24" s="3" t="str">
        <f ca="1">VLOOKUP($B24,OFFSET([1]quests!$A$1,0,0,COUNTA([1]quests!$A:$A),MATCH(C$1,[1]quests!$1:$1,0)-MATCH($B$1,[1]quests!$1:$1,0)+1),MATCH(C$1,[1]quests!$1:$1,0)-MATCH($B$1,[1]quests!$1:$1,0)+1,FALSE)</f>
        <v>【月曜限定】 黄の素材</v>
      </c>
      <c r="D24" s="3" t="str">
        <f ca="1">VLOOKUP($B24,OFFSET([1]quests!$A$1,0,0,COUNTA([1]quests!$A:$A),MATCH(D$1,[1]quests!$1:$1,0)-MATCH($B$1,[1]quests!$1:$1,0)+1),MATCH(D$1,[1]quests!$1:$1,0)-MATCH($B$1,[1]quests!$1:$1,0)+1,FALSE)</f>
        <v>月曜クエスト</v>
      </c>
      <c r="E24" s="5">
        <v>2</v>
      </c>
      <c r="F24" s="3" t="str">
        <f ca="1">VLOOKUP($B24&amp;"_"&amp;$E24,OFFSET([1]stages!$A$1,0,0,COUNTA([1]stages!$A:$A),MATCH(F$1,[1]stages!$2:$2,0)-MATCH("temp_stage",[1]stages!$2:$2,0)+1),MATCH(F$1,[1]stages!$2:$2,0)-MATCH("temp_stage",[1]stages!$2:$2,0)+1,FALSE)</f>
        <v>【中級】雷のウサギ</v>
      </c>
      <c r="G24" s="3" t="str">
        <f ca="1">VLOOKUP($B24&amp;"_"&amp;$E24,OFFSET([1]stages!$A$1,0,0,COUNTA([1]stages!$A:$A),MATCH(G$1,[1]stages!$2:$2,0)-MATCH("temp_stage",[1]stages!$2:$2,0)+1),MATCH(G$1,[1]stages!$2:$2,0)-MATCH("temp_stage",[1]stages!$2:$2,0)+1,FALSE)</f>
        <v>月曜クエスト</v>
      </c>
      <c r="H24" s="18">
        <v>0</v>
      </c>
      <c r="I24">
        <v>27</v>
      </c>
      <c r="J24" s="5" t="s">
        <v>16</v>
      </c>
      <c r="K24" s="35" t="str">
        <f>VLOOKUP(I24,[2]stage_hints!$A:$C,3,FALSE)</f>
        <v>ホーム画面からデッキを編成</v>
      </c>
      <c r="L24" s="36" t="str">
        <f>VLOOKUP(I24,[2]stage_hints!$A:$D,4,FALSE)</f>
        <v>ホーム画面でユニットを長押しすると_x000D_すぐにパーティ編成に移動できます</v>
      </c>
      <c r="M24" s="21" t="s">
        <v>23</v>
      </c>
      <c r="N24">
        <v>27</v>
      </c>
    </row>
    <row r="25" spans="1:14" x14ac:dyDescent="0.15">
      <c r="A25" s="26" t="s">
        <v>32</v>
      </c>
      <c r="B25" s="4">
        <v>11001</v>
      </c>
      <c r="C25" s="3" t="str">
        <f ca="1">VLOOKUP($B25,OFFSET([1]quests!$A$1,0,0,COUNTA([1]quests!$A:$A),MATCH(C$1,[1]quests!$1:$1,0)-MATCH($B$1,[1]quests!$1:$1,0)+1),MATCH(C$1,[1]quests!$1:$1,0)-MATCH($B$1,[1]quests!$1:$1,0)+1,FALSE)</f>
        <v>【月曜限定】 黄の素材</v>
      </c>
      <c r="D25" s="3" t="str">
        <f ca="1">VLOOKUP($B25,OFFSET([1]quests!$A$1,0,0,COUNTA([1]quests!$A:$A),MATCH(D$1,[1]quests!$1:$1,0)-MATCH($B$1,[1]quests!$1:$1,0)+1),MATCH(D$1,[1]quests!$1:$1,0)-MATCH($B$1,[1]quests!$1:$1,0)+1,FALSE)</f>
        <v>月曜クエスト</v>
      </c>
      <c r="E25" s="5">
        <v>2</v>
      </c>
      <c r="F25" s="3" t="str">
        <f ca="1">VLOOKUP($B25&amp;"_"&amp;$E25,OFFSET([1]stages!$A$1,0,0,COUNTA([1]stages!$A:$A),MATCH(F$1,[1]stages!$2:$2,0)-MATCH("temp_stage",[1]stages!$2:$2,0)+1),MATCH(F$1,[1]stages!$2:$2,0)-MATCH("temp_stage",[1]stages!$2:$2,0)+1,FALSE)</f>
        <v>【中級】雷のウサギ</v>
      </c>
      <c r="G25" s="3" t="str">
        <f ca="1">VLOOKUP($B25&amp;"_"&amp;$E25,OFFSET([1]stages!$A$1,0,0,COUNTA([1]stages!$A:$A),MATCH(G$1,[1]stages!$2:$2,0)-MATCH("temp_stage",[1]stages!$2:$2,0)+1),MATCH(G$1,[1]stages!$2:$2,0)-MATCH("temp_stage",[1]stages!$2:$2,0)+1,FALSE)</f>
        <v>月曜クエスト</v>
      </c>
      <c r="H25" s="18">
        <v>0</v>
      </c>
      <c r="I25">
        <v>28</v>
      </c>
      <c r="J25" s="5" t="s">
        <v>16</v>
      </c>
      <c r="K25" s="35" t="str">
        <f>VLOOKUP(I25,[2]stage_hints!$A:$C,3,FALSE)</f>
        <v>ステータス情報は長押しで</v>
      </c>
      <c r="L25" s="36" t="str">
        <f>VLOOKUP(I25,[2]stage_hints!$A:$D,4,FALSE)</f>
        <v>ユニットのアイコンを長押しすると_x000D_ステータス情報を確認することができます</v>
      </c>
      <c r="M25" s="21" t="s">
        <v>23</v>
      </c>
      <c r="N25">
        <v>28</v>
      </c>
    </row>
    <row r="26" spans="1:14" x14ac:dyDescent="0.15">
      <c r="A26" s="26" t="s">
        <v>32</v>
      </c>
      <c r="B26" s="4">
        <v>11001</v>
      </c>
      <c r="C26" s="3" t="str">
        <f ca="1">VLOOKUP($B26,OFFSET([1]quests!$A$1,0,0,COUNTA([1]quests!$A:$A),MATCH(C$1,[1]quests!$1:$1,0)-MATCH($B$1,[1]quests!$1:$1,0)+1),MATCH(C$1,[1]quests!$1:$1,0)-MATCH($B$1,[1]quests!$1:$1,0)+1,FALSE)</f>
        <v>【月曜限定】 黄の素材</v>
      </c>
      <c r="D26" s="3" t="str">
        <f ca="1">VLOOKUP($B26,OFFSET([1]quests!$A$1,0,0,COUNTA([1]quests!$A:$A),MATCH(D$1,[1]quests!$1:$1,0)-MATCH($B$1,[1]quests!$1:$1,0)+1),MATCH(D$1,[1]quests!$1:$1,0)-MATCH($B$1,[1]quests!$1:$1,0)+1,FALSE)</f>
        <v>月曜クエスト</v>
      </c>
      <c r="E26" s="5">
        <v>2</v>
      </c>
      <c r="F26" s="3" t="str">
        <f ca="1">VLOOKUP($B26&amp;"_"&amp;$E26,OFFSET([1]stages!$A$1,0,0,COUNTA([1]stages!$A:$A),MATCH(F$1,[1]stages!$2:$2,0)-MATCH("temp_stage",[1]stages!$2:$2,0)+1),MATCH(F$1,[1]stages!$2:$2,0)-MATCH("temp_stage",[1]stages!$2:$2,0)+1,FALSE)</f>
        <v>【中級】雷のウサギ</v>
      </c>
      <c r="G26" s="3" t="str">
        <f ca="1">VLOOKUP($B26&amp;"_"&amp;$E26,OFFSET([1]stages!$A$1,0,0,COUNTA([1]stages!$A:$A),MATCH(G$1,[1]stages!$2:$2,0)-MATCH("temp_stage",[1]stages!$2:$2,0)+1),MATCH(G$1,[1]stages!$2:$2,0)-MATCH("temp_stage",[1]stages!$2:$2,0)+1,FALSE)</f>
        <v>月曜クエスト</v>
      </c>
      <c r="H26" s="18">
        <v>0</v>
      </c>
      <c r="I26">
        <v>29</v>
      </c>
      <c r="J26" s="5" t="s">
        <v>16</v>
      </c>
      <c r="K26" s="35" t="str">
        <f>VLOOKUP(I26,[2]stage_hints!$A:$C,3,FALSE)</f>
        <v>「バグ」のメリット</v>
      </c>
      <c r="L26" s="36" t="str">
        <f>VLOOKUP(I26,[2]stage_hints!$A:$D,4,FALSE)</f>
        <v>ユニットの「バグ」を増やすと_x000D_報酬をもらえる確率がアップします</v>
      </c>
      <c r="M26" s="21" t="s">
        <v>23</v>
      </c>
      <c r="N26">
        <v>29</v>
      </c>
    </row>
    <row r="27" spans="1:14" x14ac:dyDescent="0.15">
      <c r="A27" s="26" t="s">
        <v>32</v>
      </c>
      <c r="B27" s="4">
        <v>11001</v>
      </c>
      <c r="C27" s="3" t="str">
        <f ca="1">VLOOKUP($B27,OFFSET([1]quests!$A$1,0,0,COUNTA([1]quests!$A:$A),MATCH(C$1,[1]quests!$1:$1,0)-MATCH($B$1,[1]quests!$1:$1,0)+1),MATCH(C$1,[1]quests!$1:$1,0)-MATCH($B$1,[1]quests!$1:$1,0)+1,FALSE)</f>
        <v>【月曜限定】 黄の素材</v>
      </c>
      <c r="D27" s="3" t="str">
        <f ca="1">VLOOKUP($B27,OFFSET([1]quests!$A$1,0,0,COUNTA([1]quests!$A:$A),MATCH(D$1,[1]quests!$1:$1,0)-MATCH($B$1,[1]quests!$1:$1,0)+1),MATCH(D$1,[1]quests!$1:$1,0)-MATCH($B$1,[1]quests!$1:$1,0)+1,FALSE)</f>
        <v>月曜クエスト</v>
      </c>
      <c r="E27" s="5">
        <v>2</v>
      </c>
      <c r="F27" s="3" t="str">
        <f ca="1">VLOOKUP($B27&amp;"_"&amp;$E27,OFFSET([1]stages!$A$1,0,0,COUNTA([1]stages!$A:$A),MATCH(F$1,[1]stages!$2:$2,0)-MATCH("temp_stage",[1]stages!$2:$2,0)+1),MATCH(F$1,[1]stages!$2:$2,0)-MATCH("temp_stage",[1]stages!$2:$2,0)+1,FALSE)</f>
        <v>【中級】雷のウサギ</v>
      </c>
      <c r="G27" s="3" t="str">
        <f ca="1">VLOOKUP($B27&amp;"_"&amp;$E27,OFFSET([1]stages!$A$1,0,0,COUNTA([1]stages!$A:$A),MATCH(G$1,[1]stages!$2:$2,0)-MATCH("temp_stage",[1]stages!$2:$2,0)+1),MATCH(G$1,[1]stages!$2:$2,0)-MATCH("temp_stage",[1]stages!$2:$2,0)+1,FALSE)</f>
        <v>月曜クエスト</v>
      </c>
      <c r="H27" s="18">
        <v>0</v>
      </c>
      <c r="I27">
        <v>30</v>
      </c>
      <c r="J27" s="5" t="s">
        <v>16</v>
      </c>
      <c r="K27" s="35" t="str">
        <f>VLOOKUP(I27,[2]stage_hints!$A:$C,3,FALSE)</f>
        <v>「バグ」の増やし方</v>
      </c>
      <c r="L27" s="36" t="str">
        <f>VLOOKUP(I27,[2]stage_hints!$A:$D,4,FALSE)</f>
        <v>同じユニット同士を強化で合成すると_x000D_「バグ」を増やすことができます</v>
      </c>
      <c r="M27" s="21" t="s">
        <v>23</v>
      </c>
      <c r="N27">
        <v>30</v>
      </c>
    </row>
    <row r="28" spans="1:14" x14ac:dyDescent="0.15">
      <c r="A28" s="26" t="s">
        <v>32</v>
      </c>
      <c r="B28" s="4">
        <v>11001</v>
      </c>
      <c r="C28" s="3" t="str">
        <f ca="1">VLOOKUP($B28,OFFSET([1]quests!$A$1,0,0,COUNTA([1]quests!$A:$A),MATCH(C$1,[1]quests!$1:$1,0)-MATCH($B$1,[1]quests!$1:$1,0)+1),MATCH(C$1,[1]quests!$1:$1,0)-MATCH($B$1,[1]quests!$1:$1,0)+1,FALSE)</f>
        <v>【月曜限定】 黄の素材</v>
      </c>
      <c r="D28" s="3" t="str">
        <f ca="1">VLOOKUP($B28,OFFSET([1]quests!$A$1,0,0,COUNTA([1]quests!$A:$A),MATCH(D$1,[1]quests!$1:$1,0)-MATCH($B$1,[1]quests!$1:$1,0)+1),MATCH(D$1,[1]quests!$1:$1,0)-MATCH($B$1,[1]quests!$1:$1,0)+1,FALSE)</f>
        <v>月曜クエスト</v>
      </c>
      <c r="E28" s="5">
        <v>2</v>
      </c>
      <c r="F28" s="3" t="str">
        <f ca="1">VLOOKUP($B28&amp;"_"&amp;$E28,OFFSET([1]stages!$A$1,0,0,COUNTA([1]stages!$A:$A),MATCH(F$1,[1]stages!$2:$2,0)-MATCH("temp_stage",[1]stages!$2:$2,0)+1),MATCH(F$1,[1]stages!$2:$2,0)-MATCH("temp_stage",[1]stages!$2:$2,0)+1,FALSE)</f>
        <v>【中級】雷のウサギ</v>
      </c>
      <c r="G28" s="3" t="str">
        <f ca="1">VLOOKUP($B28&amp;"_"&amp;$E28,OFFSET([1]stages!$A$1,0,0,COUNTA([1]stages!$A:$A),MATCH(G$1,[1]stages!$2:$2,0)-MATCH("temp_stage",[1]stages!$2:$2,0)+1),MATCH(G$1,[1]stages!$2:$2,0)-MATCH("temp_stage",[1]stages!$2:$2,0)+1,FALSE)</f>
        <v>月曜クエスト</v>
      </c>
      <c r="H28" s="18">
        <v>0</v>
      </c>
      <c r="I28">
        <v>31</v>
      </c>
      <c r="J28" s="5" t="s">
        <v>16</v>
      </c>
      <c r="K28" s="35" t="str">
        <f>VLOOKUP(I28,[2]stage_hints!$A:$C,3,FALSE)</f>
        <v>イベントはお知らせでチェック</v>
      </c>
      <c r="L28" s="36" t="str">
        <f>VLOOKUP(I28,[2]stage_hints!$A:$D,4,FALSE)</f>
        <v>イベント限定ユニットを取り忘れないように_x000D_お知らせをこまめにチェックしましょう</v>
      </c>
      <c r="M28" s="21" t="s">
        <v>23</v>
      </c>
      <c r="N28">
        <v>31</v>
      </c>
    </row>
    <row r="29" spans="1:14" x14ac:dyDescent="0.15">
      <c r="A29" s="26" t="s">
        <v>32</v>
      </c>
      <c r="B29" s="4">
        <v>11001</v>
      </c>
      <c r="C29" s="3" t="str">
        <f ca="1">VLOOKUP($B29,OFFSET([1]quests!$A$1,0,0,COUNTA([1]quests!$A:$A),MATCH(C$1,[1]quests!$1:$1,0)-MATCH($B$1,[1]quests!$1:$1,0)+1),MATCH(C$1,[1]quests!$1:$1,0)-MATCH($B$1,[1]quests!$1:$1,0)+1,FALSE)</f>
        <v>【月曜限定】 黄の素材</v>
      </c>
      <c r="D29" s="3" t="str">
        <f ca="1">VLOOKUP($B29,OFFSET([1]quests!$A$1,0,0,COUNTA([1]quests!$A:$A),MATCH(D$1,[1]quests!$1:$1,0)-MATCH($B$1,[1]quests!$1:$1,0)+1),MATCH(D$1,[1]quests!$1:$1,0)-MATCH($B$1,[1]quests!$1:$1,0)+1,FALSE)</f>
        <v>月曜クエスト</v>
      </c>
      <c r="E29" s="5">
        <v>2</v>
      </c>
      <c r="F29" s="3" t="str">
        <f ca="1">VLOOKUP($B29&amp;"_"&amp;$E29,OFFSET([1]stages!$A$1,0,0,COUNTA([1]stages!$A:$A),MATCH(F$1,[1]stages!$2:$2,0)-MATCH("temp_stage",[1]stages!$2:$2,0)+1),MATCH(F$1,[1]stages!$2:$2,0)-MATCH("temp_stage",[1]stages!$2:$2,0)+1,FALSE)</f>
        <v>【中級】雷のウサギ</v>
      </c>
      <c r="G29" s="3" t="str">
        <f ca="1">VLOOKUP($B29&amp;"_"&amp;$E29,OFFSET([1]stages!$A$1,0,0,COUNTA([1]stages!$A:$A),MATCH(G$1,[1]stages!$2:$2,0)-MATCH("temp_stage",[1]stages!$2:$2,0)+1),MATCH(G$1,[1]stages!$2:$2,0)-MATCH("temp_stage",[1]stages!$2:$2,0)+1,FALSE)</f>
        <v>月曜クエスト</v>
      </c>
      <c r="H29" s="18">
        <v>0</v>
      </c>
      <c r="I29">
        <v>32</v>
      </c>
      <c r="J29" s="5" t="s">
        <v>16</v>
      </c>
      <c r="K29" s="35" t="str">
        <f>VLOOKUP(I29,[2]stage_hints!$A:$C,3,FALSE)</f>
        <v>敵の連続攻撃には</v>
      </c>
      <c r="L29" s="36" t="str">
        <f>VLOOKUP(I29,[2]stage_hints!$A:$D,4,FALSE)</f>
        <v>カウンタースキルを持つユニットがいれば_x000D_ダメージ回数分の反撃ができます</v>
      </c>
      <c r="M29" s="21" t="s">
        <v>23</v>
      </c>
      <c r="N29">
        <v>32</v>
      </c>
    </row>
    <row r="30" spans="1:14" x14ac:dyDescent="0.15">
      <c r="A30" s="26" t="s">
        <v>32</v>
      </c>
      <c r="B30" s="4">
        <v>11001</v>
      </c>
      <c r="C30" s="3" t="str">
        <f ca="1">VLOOKUP($B30,OFFSET([1]quests!$A$1,0,0,COUNTA([1]quests!$A:$A),MATCH(C$1,[1]quests!$1:$1,0)-MATCH($B$1,[1]quests!$1:$1,0)+1),MATCH(C$1,[1]quests!$1:$1,0)-MATCH($B$1,[1]quests!$1:$1,0)+1,FALSE)</f>
        <v>【月曜限定】 黄の素材</v>
      </c>
      <c r="D30" s="3" t="str">
        <f ca="1">VLOOKUP($B30,OFFSET([1]quests!$A$1,0,0,COUNTA([1]quests!$A:$A),MATCH(D$1,[1]quests!$1:$1,0)-MATCH($B$1,[1]quests!$1:$1,0)+1),MATCH(D$1,[1]quests!$1:$1,0)-MATCH($B$1,[1]quests!$1:$1,0)+1,FALSE)</f>
        <v>月曜クエスト</v>
      </c>
      <c r="E30" s="5">
        <v>2</v>
      </c>
      <c r="F30" s="3" t="str">
        <f ca="1">VLOOKUP($B30&amp;"_"&amp;$E30,OFFSET([1]stages!$A$1,0,0,COUNTA([1]stages!$A:$A),MATCH(F$1,[1]stages!$2:$2,0)-MATCH("temp_stage",[1]stages!$2:$2,0)+1),MATCH(F$1,[1]stages!$2:$2,0)-MATCH("temp_stage",[1]stages!$2:$2,0)+1,FALSE)</f>
        <v>【中級】雷のウサギ</v>
      </c>
      <c r="G30" s="3" t="str">
        <f ca="1">VLOOKUP($B30&amp;"_"&amp;$E30,OFFSET([1]stages!$A$1,0,0,COUNTA([1]stages!$A:$A),MATCH(G$1,[1]stages!$2:$2,0)-MATCH("temp_stage",[1]stages!$2:$2,0)+1),MATCH(G$1,[1]stages!$2:$2,0)-MATCH("temp_stage",[1]stages!$2:$2,0)+1,FALSE)</f>
        <v>月曜クエスト</v>
      </c>
      <c r="H30" s="18">
        <v>0</v>
      </c>
      <c r="I30">
        <v>33</v>
      </c>
      <c r="J30" s="5" t="s">
        <v>16</v>
      </c>
      <c r="K30" s="35" t="str">
        <f>VLOOKUP(I30,[2]stage_hints!$A:$C,3,FALSE)</f>
        <v>敵のカウンター攻撃には</v>
      </c>
      <c r="L30" s="36" t="str">
        <f>VLOOKUP(I30,[2]stage_hints!$A:$D,4,FALSE)</f>
        <v>カウンターブレイクスキルを持っていれば_x000D_敵のカウンターを解除して攻撃ができます</v>
      </c>
      <c r="M30" s="21" t="s">
        <v>23</v>
      </c>
      <c r="N30">
        <v>33</v>
      </c>
    </row>
    <row r="31" spans="1:14" x14ac:dyDescent="0.15">
      <c r="A31" s="26" t="s">
        <v>32</v>
      </c>
      <c r="B31" s="4">
        <v>11001</v>
      </c>
      <c r="C31" s="3" t="str">
        <f ca="1">VLOOKUP($B31,OFFSET([1]quests!$A$1,0,0,COUNTA([1]quests!$A:$A),MATCH(C$1,[1]quests!$1:$1,0)-MATCH($B$1,[1]quests!$1:$1,0)+1),MATCH(C$1,[1]quests!$1:$1,0)-MATCH($B$1,[1]quests!$1:$1,0)+1,FALSE)</f>
        <v>【月曜限定】 黄の素材</v>
      </c>
      <c r="D31" s="3" t="str">
        <f ca="1">VLOOKUP($B31,OFFSET([1]quests!$A$1,0,0,COUNTA([1]quests!$A:$A),MATCH(D$1,[1]quests!$1:$1,0)-MATCH($B$1,[1]quests!$1:$1,0)+1),MATCH(D$1,[1]quests!$1:$1,0)-MATCH($B$1,[1]quests!$1:$1,0)+1,FALSE)</f>
        <v>月曜クエスト</v>
      </c>
      <c r="E31" s="5">
        <v>2</v>
      </c>
      <c r="F31" s="3" t="str">
        <f ca="1">VLOOKUP($B31&amp;"_"&amp;$E31,OFFSET([1]stages!$A$1,0,0,COUNTA([1]stages!$A:$A),MATCH(F$1,[1]stages!$2:$2,0)-MATCH("temp_stage",[1]stages!$2:$2,0)+1),MATCH(F$1,[1]stages!$2:$2,0)-MATCH("temp_stage",[1]stages!$2:$2,0)+1,FALSE)</f>
        <v>【中級】雷のウサギ</v>
      </c>
      <c r="G31" s="3" t="str">
        <f ca="1">VLOOKUP($B31&amp;"_"&amp;$E31,OFFSET([1]stages!$A$1,0,0,COUNTA([1]stages!$A:$A),MATCH(G$1,[1]stages!$2:$2,0)-MATCH("temp_stage",[1]stages!$2:$2,0)+1),MATCH(G$1,[1]stages!$2:$2,0)-MATCH("temp_stage",[1]stages!$2:$2,0)+1,FALSE)</f>
        <v>月曜クエスト</v>
      </c>
      <c r="H31" s="18">
        <v>0</v>
      </c>
      <c r="I31">
        <v>34</v>
      </c>
      <c r="J31" s="5" t="s">
        <v>16</v>
      </c>
      <c r="K31" s="35" t="str">
        <f>VLOOKUP(I31,[2]stage_hints!$A:$C,3,FALSE)</f>
        <v>ステータスをスキルで下げられたら</v>
      </c>
      <c r="L31" s="36" t="str">
        <f>VLOOKUP(I31,[2]stage_hints!$A:$D,4,FALSE)</f>
        <v>ステータスダウンのスキルを受けたら_x000D_ステータスアップスキルで上書きしましょう</v>
      </c>
      <c r="M31" s="21" t="s">
        <v>23</v>
      </c>
      <c r="N31">
        <v>34</v>
      </c>
    </row>
    <row r="32" spans="1:14" x14ac:dyDescent="0.15">
      <c r="A32" s="26" t="s">
        <v>32</v>
      </c>
      <c r="B32" s="4">
        <v>11001</v>
      </c>
      <c r="C32" s="3" t="str">
        <f ca="1">VLOOKUP($B32,OFFSET([1]quests!$A$1,0,0,COUNTA([1]quests!$A:$A),MATCH(C$1,[1]quests!$1:$1,0)-MATCH($B$1,[1]quests!$1:$1,0)+1),MATCH(C$1,[1]quests!$1:$1,0)-MATCH($B$1,[1]quests!$1:$1,0)+1,FALSE)</f>
        <v>【月曜限定】 黄の素材</v>
      </c>
      <c r="D32" s="3" t="str">
        <f ca="1">VLOOKUP($B32,OFFSET([1]quests!$A$1,0,0,COUNTA([1]quests!$A:$A),MATCH(D$1,[1]quests!$1:$1,0)-MATCH($B$1,[1]quests!$1:$1,0)+1),MATCH(D$1,[1]quests!$1:$1,0)-MATCH($B$1,[1]quests!$1:$1,0)+1,FALSE)</f>
        <v>月曜クエスト</v>
      </c>
      <c r="E32" s="5">
        <v>2</v>
      </c>
      <c r="F32" s="3" t="str">
        <f ca="1">VLOOKUP($B32&amp;"_"&amp;$E32,OFFSET([1]stages!$A$1,0,0,COUNTA([1]stages!$A:$A),MATCH(F$1,[1]stages!$2:$2,0)-MATCH("temp_stage",[1]stages!$2:$2,0)+1),MATCH(F$1,[1]stages!$2:$2,0)-MATCH("temp_stage",[1]stages!$2:$2,0)+1,FALSE)</f>
        <v>【中級】雷のウサギ</v>
      </c>
      <c r="G32" s="3" t="str">
        <f ca="1">VLOOKUP($B32&amp;"_"&amp;$E32,OFFSET([1]stages!$A$1,0,0,COUNTA([1]stages!$A:$A),MATCH(G$1,[1]stages!$2:$2,0)-MATCH("temp_stage",[1]stages!$2:$2,0)+1),MATCH(G$1,[1]stages!$2:$2,0)-MATCH("temp_stage",[1]stages!$2:$2,0)+1,FALSE)</f>
        <v>月曜クエスト</v>
      </c>
      <c r="H32" s="18">
        <v>0</v>
      </c>
      <c r="I32">
        <v>35</v>
      </c>
      <c r="J32" s="5" t="s">
        <v>16</v>
      </c>
      <c r="K32" s="35" t="str">
        <f>VLOOKUP(I32,[2]stage_hints!$A:$C,3,FALSE)</f>
        <v>敵のステータスがスキルで上がったら</v>
      </c>
      <c r="L32" s="36" t="str">
        <f>VLOOKUP(I32,[2]stage_hints!$A:$D,4,FALSE)</f>
        <v>敵のステータスがスキルでアップしたときは_x000D_ステータスダウンスキルで上書きしましょう</v>
      </c>
      <c r="M32" s="21" t="s">
        <v>23</v>
      </c>
      <c r="N32">
        <v>35</v>
      </c>
    </row>
    <row r="33" spans="1:14" x14ac:dyDescent="0.15">
      <c r="A33" s="26" t="s">
        <v>32</v>
      </c>
      <c r="B33" s="4">
        <v>11002</v>
      </c>
      <c r="C33" s="3" t="str">
        <f ca="1">VLOOKUP($B33,OFFSET([1]quests!$A$1,0,0,COUNTA([1]quests!$A:$A),MATCH(C$1,[1]quests!$1:$1,0)-MATCH($B$1,[1]quests!$1:$1,0)+1),MATCH(C$1,[1]quests!$1:$1,0)-MATCH($B$1,[1]quests!$1:$1,0)+1,FALSE)</f>
        <v>【火曜限定】 赤の素材</v>
      </c>
      <c r="D33" s="3" t="str">
        <f ca="1">VLOOKUP($B33,OFFSET([1]quests!$A$1,0,0,COUNTA([1]quests!$A:$A),MATCH(D$1,[1]quests!$1:$1,0)-MATCH($B$1,[1]quests!$1:$1,0)+1),MATCH(D$1,[1]quests!$1:$1,0)-MATCH($B$1,[1]quests!$1:$1,0)+1,FALSE)</f>
        <v>火曜クエスト</v>
      </c>
      <c r="E33" s="5">
        <v>2</v>
      </c>
      <c r="F33" s="3" t="str">
        <f ca="1">VLOOKUP($B33&amp;"_"&amp;$E33,OFFSET([1]stages!$A$1,0,0,COUNTA([1]stages!$A:$A),MATCH(F$1,[1]stages!$2:$2,0)-MATCH("temp_stage",[1]stages!$2:$2,0)+1),MATCH(F$1,[1]stages!$2:$2,0)-MATCH("temp_stage",[1]stages!$2:$2,0)+1,FALSE)</f>
        <v xml:space="preserve">【中級】火のウサギ </v>
      </c>
      <c r="G33" s="3" t="str">
        <f ca="1">VLOOKUP($B33&amp;"_"&amp;$E33,OFFSET([1]stages!$A$1,0,0,COUNTA([1]stages!$A:$A),MATCH(G$1,[1]stages!$2:$2,0)-MATCH("temp_stage",[1]stages!$2:$2,0)+1),MATCH(G$1,[1]stages!$2:$2,0)-MATCH("temp_stage",[1]stages!$2:$2,0)+1,FALSE)</f>
        <v>火曜クエスト</v>
      </c>
      <c r="H33" s="18">
        <v>0</v>
      </c>
      <c r="I33">
        <v>3</v>
      </c>
      <c r="J33" s="5" t="s">
        <v>16</v>
      </c>
      <c r="K33" s="35" t="str">
        <f>VLOOKUP(I33,[2]stage_hints!$A:$C,3,FALSE)</f>
        <v>ターゲット</v>
      </c>
      <c r="L33" s="36" t="str">
        <f>VLOOKUP(I33,[2]stage_hints!$A:$D,4,FALSE)</f>
        <v>敵ユニットをタップすると_x000D_その敵を狙い撃ちできます</v>
      </c>
      <c r="M33" s="21" t="s">
        <v>23</v>
      </c>
      <c r="N33">
        <v>3</v>
      </c>
    </row>
    <row r="34" spans="1:14" x14ac:dyDescent="0.15">
      <c r="A34" s="26" t="s">
        <v>32</v>
      </c>
      <c r="B34" s="4">
        <v>11002</v>
      </c>
      <c r="C34" s="3" t="str">
        <f ca="1">VLOOKUP($B34,OFFSET([1]quests!$A$1,0,0,COUNTA([1]quests!$A:$A),MATCH(C$1,[1]quests!$1:$1,0)-MATCH($B$1,[1]quests!$1:$1,0)+1),MATCH(C$1,[1]quests!$1:$1,0)-MATCH($B$1,[1]quests!$1:$1,0)+1,FALSE)</f>
        <v>【火曜限定】 赤の素材</v>
      </c>
      <c r="D34" s="3" t="str">
        <f ca="1">VLOOKUP($B34,OFFSET([1]quests!$A$1,0,0,COUNTA([1]quests!$A:$A),MATCH(D$1,[1]quests!$1:$1,0)-MATCH($B$1,[1]quests!$1:$1,0)+1),MATCH(D$1,[1]quests!$1:$1,0)-MATCH($B$1,[1]quests!$1:$1,0)+1,FALSE)</f>
        <v>火曜クエスト</v>
      </c>
      <c r="E34" s="5">
        <v>2</v>
      </c>
      <c r="F34" s="3" t="str">
        <f ca="1">VLOOKUP($B34&amp;"_"&amp;$E34,OFFSET([1]stages!$A$1,0,0,COUNTA([1]stages!$A:$A),MATCH(F$1,[1]stages!$2:$2,0)-MATCH("temp_stage",[1]stages!$2:$2,0)+1),MATCH(F$1,[1]stages!$2:$2,0)-MATCH("temp_stage",[1]stages!$2:$2,0)+1,FALSE)</f>
        <v xml:space="preserve">【中級】火のウサギ </v>
      </c>
      <c r="G34" s="3" t="str">
        <f ca="1">VLOOKUP($B34&amp;"_"&amp;$E34,OFFSET([1]stages!$A$1,0,0,COUNTA([1]stages!$A:$A),MATCH(G$1,[1]stages!$2:$2,0)-MATCH("temp_stage",[1]stages!$2:$2,0)+1),MATCH(G$1,[1]stages!$2:$2,0)-MATCH("temp_stage",[1]stages!$2:$2,0)+1,FALSE)</f>
        <v>火曜クエスト</v>
      </c>
      <c r="H34" s="18">
        <v>0</v>
      </c>
      <c r="I34">
        <v>6</v>
      </c>
      <c r="J34" s="5" t="s">
        <v>16</v>
      </c>
      <c r="K34" s="35" t="str">
        <f>VLOOKUP(I34,[2]stage_hints!$A:$C,3,FALSE)</f>
        <v>ユニット強化の属性ボーナス</v>
      </c>
      <c r="L34" s="36" t="str">
        <f>VLOOKUP(I34,[2]stage_hints!$A:$D,4,FALSE)</f>
        <v>同属性ユニットを強化素材にすると_x000D_経験値が多くもらえます</v>
      </c>
      <c r="M34" s="21" t="s">
        <v>23</v>
      </c>
      <c r="N34">
        <v>6</v>
      </c>
    </row>
    <row r="35" spans="1:14" x14ac:dyDescent="0.15">
      <c r="A35" s="26" t="s">
        <v>32</v>
      </c>
      <c r="B35" s="4">
        <v>11002</v>
      </c>
      <c r="C35" s="3" t="str">
        <f ca="1">VLOOKUP($B35,OFFSET([1]quests!$A$1,0,0,COUNTA([1]quests!$A:$A),MATCH(C$1,[1]quests!$1:$1,0)-MATCH($B$1,[1]quests!$1:$1,0)+1),MATCH(C$1,[1]quests!$1:$1,0)-MATCH($B$1,[1]quests!$1:$1,0)+1,FALSE)</f>
        <v>【火曜限定】 赤の素材</v>
      </c>
      <c r="D35" s="3" t="str">
        <f ca="1">VLOOKUP($B35,OFFSET([1]quests!$A$1,0,0,COUNTA([1]quests!$A:$A),MATCH(D$1,[1]quests!$1:$1,0)-MATCH($B$1,[1]quests!$1:$1,0)+1),MATCH(D$1,[1]quests!$1:$1,0)-MATCH($B$1,[1]quests!$1:$1,0)+1,FALSE)</f>
        <v>火曜クエスト</v>
      </c>
      <c r="E35" s="5">
        <v>2</v>
      </c>
      <c r="F35" s="3" t="str">
        <f ca="1">VLOOKUP($B35&amp;"_"&amp;$E35,OFFSET([1]stages!$A$1,0,0,COUNTA([1]stages!$A:$A),MATCH(F$1,[1]stages!$2:$2,0)-MATCH("temp_stage",[1]stages!$2:$2,0)+1),MATCH(F$1,[1]stages!$2:$2,0)-MATCH("temp_stage",[1]stages!$2:$2,0)+1,FALSE)</f>
        <v xml:space="preserve">【中級】火のウサギ </v>
      </c>
      <c r="G35" s="3" t="str">
        <f ca="1">VLOOKUP($B35&amp;"_"&amp;$E35,OFFSET([1]stages!$A$1,0,0,COUNTA([1]stages!$A:$A),MATCH(G$1,[1]stages!$2:$2,0)-MATCH("temp_stage",[1]stages!$2:$2,0)+1),MATCH(G$1,[1]stages!$2:$2,0)-MATCH("temp_stage",[1]stages!$2:$2,0)+1,FALSE)</f>
        <v>火曜クエスト</v>
      </c>
      <c r="H35" s="18">
        <v>0</v>
      </c>
      <c r="I35">
        <v>7</v>
      </c>
      <c r="J35" s="5" t="s">
        <v>16</v>
      </c>
      <c r="K35" s="35" t="str">
        <f>VLOOKUP(I35,[2]stage_hints!$A:$C,3,FALSE)</f>
        <v>メタルダックで経験値を獲得</v>
      </c>
      <c r="L35" s="36" t="str">
        <f>VLOOKUP(I35,[2]stage_hints!$A:$D,4,FALSE)</f>
        <v>「メタルなアヒル」を強化素材にすると_x000D_大量の経験値がもらえます</v>
      </c>
      <c r="M35" s="21" t="s">
        <v>23</v>
      </c>
      <c r="N35">
        <v>7</v>
      </c>
    </row>
    <row r="36" spans="1:14" x14ac:dyDescent="0.15">
      <c r="A36" s="26" t="s">
        <v>32</v>
      </c>
      <c r="B36" s="4">
        <v>11002</v>
      </c>
      <c r="C36" s="3" t="str">
        <f ca="1">VLOOKUP($B36,OFFSET([1]quests!$A$1,0,0,COUNTA([1]quests!$A:$A),MATCH(C$1,[1]quests!$1:$1,0)-MATCH($B$1,[1]quests!$1:$1,0)+1),MATCH(C$1,[1]quests!$1:$1,0)-MATCH($B$1,[1]quests!$1:$1,0)+1,FALSE)</f>
        <v>【火曜限定】 赤の素材</v>
      </c>
      <c r="D36" s="3" t="str">
        <f ca="1">VLOOKUP($B36,OFFSET([1]quests!$A$1,0,0,COUNTA([1]quests!$A:$A),MATCH(D$1,[1]quests!$1:$1,0)-MATCH($B$1,[1]quests!$1:$1,0)+1),MATCH(D$1,[1]quests!$1:$1,0)-MATCH($B$1,[1]quests!$1:$1,0)+1,FALSE)</f>
        <v>火曜クエスト</v>
      </c>
      <c r="E36" s="5">
        <v>2</v>
      </c>
      <c r="F36" s="3" t="str">
        <f ca="1">VLOOKUP($B36&amp;"_"&amp;$E36,OFFSET([1]stages!$A$1,0,0,COUNTA([1]stages!$A:$A),MATCH(F$1,[1]stages!$2:$2,0)-MATCH("temp_stage",[1]stages!$2:$2,0)+1),MATCH(F$1,[1]stages!$2:$2,0)-MATCH("temp_stage",[1]stages!$2:$2,0)+1,FALSE)</f>
        <v xml:space="preserve">【中級】火のウサギ </v>
      </c>
      <c r="G36" s="3" t="str">
        <f ca="1">VLOOKUP($B36&amp;"_"&amp;$E36,OFFSET([1]stages!$A$1,0,0,COUNTA([1]stages!$A:$A),MATCH(G$1,[1]stages!$2:$2,0)-MATCH("temp_stage",[1]stages!$2:$2,0)+1),MATCH(G$1,[1]stages!$2:$2,0)-MATCH("temp_stage",[1]stages!$2:$2,0)+1,FALSE)</f>
        <v>火曜クエスト</v>
      </c>
      <c r="H36" s="18">
        <v>0</v>
      </c>
      <c r="I36">
        <v>8</v>
      </c>
      <c r="J36" s="5" t="s">
        <v>16</v>
      </c>
      <c r="K36" s="35" t="str">
        <f>VLOOKUP(I36,[2]stage_hints!$A:$C,3,FALSE)</f>
        <v>ゲリラクエストは要チェック</v>
      </c>
      <c r="L36" s="36" t="str">
        <f>VLOOKUP(I36,[2]stage_hints!$A:$D,4,FALSE)</f>
        <v>時間限定の「アヒル捕獲作戦」では_x000D_経験値素材ユニットが多く手に入ります</v>
      </c>
      <c r="M36" s="21" t="s">
        <v>23</v>
      </c>
      <c r="N36">
        <v>8</v>
      </c>
    </row>
    <row r="37" spans="1:14" x14ac:dyDescent="0.15">
      <c r="A37" s="26" t="s">
        <v>32</v>
      </c>
      <c r="B37" s="4">
        <v>11002</v>
      </c>
      <c r="C37" s="3" t="str">
        <f ca="1">VLOOKUP($B37,OFFSET([1]quests!$A$1,0,0,COUNTA([1]quests!$A:$A),MATCH(C$1,[1]quests!$1:$1,0)-MATCH($B$1,[1]quests!$1:$1,0)+1),MATCH(C$1,[1]quests!$1:$1,0)-MATCH($B$1,[1]quests!$1:$1,0)+1,FALSE)</f>
        <v>【火曜限定】 赤の素材</v>
      </c>
      <c r="D37" s="3" t="str">
        <f ca="1">VLOOKUP($B37,OFFSET([1]quests!$A$1,0,0,COUNTA([1]quests!$A:$A),MATCH(D$1,[1]quests!$1:$1,0)-MATCH($B$1,[1]quests!$1:$1,0)+1),MATCH(D$1,[1]quests!$1:$1,0)-MATCH($B$1,[1]quests!$1:$1,0)+1,FALSE)</f>
        <v>火曜クエスト</v>
      </c>
      <c r="E37" s="5">
        <v>2</v>
      </c>
      <c r="F37" s="3" t="str">
        <f ca="1">VLOOKUP($B37&amp;"_"&amp;$E37,OFFSET([1]stages!$A$1,0,0,COUNTA([1]stages!$A:$A),MATCH(F$1,[1]stages!$2:$2,0)-MATCH("temp_stage",[1]stages!$2:$2,0)+1),MATCH(F$1,[1]stages!$2:$2,0)-MATCH("temp_stage",[1]stages!$2:$2,0)+1,FALSE)</f>
        <v xml:space="preserve">【中級】火のウサギ </v>
      </c>
      <c r="G37" s="3" t="str">
        <f ca="1">VLOOKUP($B37&amp;"_"&amp;$E37,OFFSET([1]stages!$A$1,0,0,COUNTA([1]stages!$A:$A),MATCH(G$1,[1]stages!$2:$2,0)-MATCH("temp_stage",[1]stages!$2:$2,0)+1),MATCH(G$1,[1]stages!$2:$2,0)-MATCH("temp_stage",[1]stages!$2:$2,0)+1,FALSE)</f>
        <v>火曜クエスト</v>
      </c>
      <c r="H37" s="18">
        <v>0</v>
      </c>
      <c r="I37">
        <v>9</v>
      </c>
      <c r="J37" s="5" t="s">
        <v>16</v>
      </c>
      <c r="K37" s="35" t="str">
        <f>VLOOKUP(I37,[2]stage_hints!$A:$C,3,FALSE)</f>
        <v>ゴールドダックでビットを獲得</v>
      </c>
      <c r="L37" s="36" t="str">
        <f>VLOOKUP(I37,[2]stage_hints!$A:$D,4,FALSE)</f>
        <v>「ゴールドなアヒル」を売却すると_x000D_大量のビットがもらえます</v>
      </c>
      <c r="M37" s="21" t="s">
        <v>23</v>
      </c>
      <c r="N37">
        <v>9</v>
      </c>
    </row>
    <row r="38" spans="1:14" x14ac:dyDescent="0.15">
      <c r="A38" s="26" t="s">
        <v>32</v>
      </c>
      <c r="B38" s="4">
        <v>11002</v>
      </c>
      <c r="C38" s="3" t="str">
        <f ca="1">VLOOKUP($B38,OFFSET([1]quests!$A$1,0,0,COUNTA([1]quests!$A:$A),MATCH(C$1,[1]quests!$1:$1,0)-MATCH($B$1,[1]quests!$1:$1,0)+1),MATCH(C$1,[1]quests!$1:$1,0)-MATCH($B$1,[1]quests!$1:$1,0)+1,FALSE)</f>
        <v>【火曜限定】 赤の素材</v>
      </c>
      <c r="D38" s="3" t="str">
        <f ca="1">VLOOKUP($B38,OFFSET([1]quests!$A$1,0,0,COUNTA([1]quests!$A:$A),MATCH(D$1,[1]quests!$1:$1,0)-MATCH($B$1,[1]quests!$1:$1,0)+1),MATCH(D$1,[1]quests!$1:$1,0)-MATCH($B$1,[1]quests!$1:$1,0)+1,FALSE)</f>
        <v>火曜クエスト</v>
      </c>
      <c r="E38" s="5">
        <v>2</v>
      </c>
      <c r="F38" s="3" t="str">
        <f ca="1">VLOOKUP($B38&amp;"_"&amp;$E38,OFFSET([1]stages!$A$1,0,0,COUNTA([1]stages!$A:$A),MATCH(F$1,[1]stages!$2:$2,0)-MATCH("temp_stage",[1]stages!$2:$2,0)+1),MATCH(F$1,[1]stages!$2:$2,0)-MATCH("temp_stage",[1]stages!$2:$2,0)+1,FALSE)</f>
        <v xml:space="preserve">【中級】火のウサギ </v>
      </c>
      <c r="G38" s="3" t="str">
        <f ca="1">VLOOKUP($B38&amp;"_"&amp;$E38,OFFSET([1]stages!$A$1,0,0,COUNTA([1]stages!$A:$A),MATCH(G$1,[1]stages!$2:$2,0)-MATCH("temp_stage",[1]stages!$2:$2,0)+1),MATCH(G$1,[1]stages!$2:$2,0)-MATCH("temp_stage",[1]stages!$2:$2,0)+1,FALSE)</f>
        <v>火曜クエスト</v>
      </c>
      <c r="H38" s="18">
        <v>0</v>
      </c>
      <c r="I38">
        <v>10</v>
      </c>
      <c r="J38" s="5" t="s">
        <v>16</v>
      </c>
      <c r="K38" s="35" t="str">
        <f>VLOOKUP(I38,[2]stage_hints!$A:$C,3,FALSE)</f>
        <v>土日に大量のビットを獲得</v>
      </c>
      <c r="L38" s="36" t="str">
        <f>VLOOKUP(I38,[2]stage_hints!$A:$D,4,FALSE)</f>
        <v>土日限定の「ゴールドカジノ」では_x000D_売却素材ユニットが多く手に入ります</v>
      </c>
      <c r="M38" s="21" t="s">
        <v>23</v>
      </c>
      <c r="N38">
        <v>10</v>
      </c>
    </row>
    <row r="39" spans="1:14" x14ac:dyDescent="0.15">
      <c r="A39" s="26" t="s">
        <v>32</v>
      </c>
      <c r="B39" s="4">
        <v>11002</v>
      </c>
      <c r="C39" s="3" t="str">
        <f ca="1">VLOOKUP($B39,OFFSET([1]quests!$A$1,0,0,COUNTA([1]quests!$A:$A),MATCH(C$1,[1]quests!$1:$1,0)-MATCH($B$1,[1]quests!$1:$1,0)+1),MATCH(C$1,[1]quests!$1:$1,0)-MATCH($B$1,[1]quests!$1:$1,0)+1,FALSE)</f>
        <v>【火曜限定】 赤の素材</v>
      </c>
      <c r="D39" s="3" t="str">
        <f ca="1">VLOOKUP($B39,OFFSET([1]quests!$A$1,0,0,COUNTA([1]quests!$A:$A),MATCH(D$1,[1]quests!$1:$1,0)-MATCH($B$1,[1]quests!$1:$1,0)+1),MATCH(D$1,[1]quests!$1:$1,0)-MATCH($B$1,[1]quests!$1:$1,0)+1,FALSE)</f>
        <v>火曜クエスト</v>
      </c>
      <c r="E39" s="5">
        <v>2</v>
      </c>
      <c r="F39" s="3" t="str">
        <f ca="1">VLOOKUP($B39&amp;"_"&amp;$E39,OFFSET([1]stages!$A$1,0,0,COUNTA([1]stages!$A:$A),MATCH(F$1,[1]stages!$2:$2,0)-MATCH("temp_stage",[1]stages!$2:$2,0)+1),MATCH(F$1,[1]stages!$2:$2,0)-MATCH("temp_stage",[1]stages!$2:$2,0)+1,FALSE)</f>
        <v xml:space="preserve">【中級】火のウサギ </v>
      </c>
      <c r="G39" s="3" t="str">
        <f ca="1">VLOOKUP($B39&amp;"_"&amp;$E39,OFFSET([1]stages!$A$1,0,0,COUNTA([1]stages!$A:$A),MATCH(G$1,[1]stages!$2:$2,0)-MATCH("temp_stage",[1]stages!$2:$2,0)+1),MATCH(G$1,[1]stages!$2:$2,0)-MATCH("temp_stage",[1]stages!$2:$2,0)+1,FALSE)</f>
        <v>火曜クエスト</v>
      </c>
      <c r="H39" s="18">
        <v>0</v>
      </c>
      <c r="I39">
        <v>11</v>
      </c>
      <c r="J39" s="5" t="s">
        <v>16</v>
      </c>
      <c r="K39" s="35" t="str">
        <f>VLOOKUP(I39,[2]stage_hints!$A:$C,3,FALSE)</f>
        <v>ランク解放クエスト</v>
      </c>
      <c r="L39" s="36" t="str">
        <f>VLOOKUP(I39,[2]stage_hints!$A:$D,4,FALSE)</f>
        <v>一定ランクに到達すると_x000D_報酬付きのランク開放クエストが現れます</v>
      </c>
      <c r="M39" s="21" t="s">
        <v>23</v>
      </c>
      <c r="N39">
        <v>11</v>
      </c>
    </row>
    <row r="40" spans="1:14" x14ac:dyDescent="0.15">
      <c r="A40" s="26" t="s">
        <v>32</v>
      </c>
      <c r="B40" s="4">
        <v>11002</v>
      </c>
      <c r="C40" s="3" t="str">
        <f ca="1">VLOOKUP($B40,OFFSET([1]quests!$A$1,0,0,COUNTA([1]quests!$A:$A),MATCH(C$1,[1]quests!$1:$1,0)-MATCH($B$1,[1]quests!$1:$1,0)+1),MATCH(C$1,[1]quests!$1:$1,0)-MATCH($B$1,[1]quests!$1:$1,0)+1,FALSE)</f>
        <v>【火曜限定】 赤の素材</v>
      </c>
      <c r="D40" s="3" t="str">
        <f ca="1">VLOOKUP($B40,OFFSET([1]quests!$A$1,0,0,COUNTA([1]quests!$A:$A),MATCH(D$1,[1]quests!$1:$1,0)-MATCH($B$1,[1]quests!$1:$1,0)+1),MATCH(D$1,[1]quests!$1:$1,0)-MATCH($B$1,[1]quests!$1:$1,0)+1,FALSE)</f>
        <v>火曜クエスト</v>
      </c>
      <c r="E40" s="5">
        <v>2</v>
      </c>
      <c r="F40" s="3" t="str">
        <f ca="1">VLOOKUP($B40&amp;"_"&amp;$E40,OFFSET([1]stages!$A$1,0,0,COUNTA([1]stages!$A:$A),MATCH(F$1,[1]stages!$2:$2,0)-MATCH("temp_stage",[1]stages!$2:$2,0)+1),MATCH(F$1,[1]stages!$2:$2,0)-MATCH("temp_stage",[1]stages!$2:$2,0)+1,FALSE)</f>
        <v xml:space="preserve">【中級】火のウサギ </v>
      </c>
      <c r="G40" s="3" t="str">
        <f ca="1">VLOOKUP($B40&amp;"_"&amp;$E40,OFFSET([1]stages!$A$1,0,0,COUNTA([1]stages!$A:$A),MATCH(G$1,[1]stages!$2:$2,0)-MATCH("temp_stage",[1]stages!$2:$2,0)+1),MATCH(G$1,[1]stages!$2:$2,0)-MATCH("temp_stage",[1]stages!$2:$2,0)+1,FALSE)</f>
        <v>火曜クエスト</v>
      </c>
      <c r="H40" s="18">
        <v>0</v>
      </c>
      <c r="I40">
        <v>12</v>
      </c>
      <c r="J40" s="5" t="s">
        <v>16</v>
      </c>
      <c r="K40" s="35" t="str">
        <f>VLOOKUP(I40,[2]stage_hints!$A:$C,3,FALSE)</f>
        <v>ユニットのお気に入り登録</v>
      </c>
      <c r="L40" s="36" t="str">
        <f>VLOOKUP(I40,[2]stage_hints!$A:$D,4,FALSE)</f>
        <v>大事なユニットを誤って消さないように_x000D_フォルダから「お気に入り登録」しましょう</v>
      </c>
      <c r="M40" s="21" t="s">
        <v>23</v>
      </c>
      <c r="N40">
        <v>12</v>
      </c>
    </row>
    <row r="41" spans="1:14" x14ac:dyDescent="0.15">
      <c r="A41" s="26" t="s">
        <v>32</v>
      </c>
      <c r="B41" s="4">
        <v>11002</v>
      </c>
      <c r="C41" s="3" t="str">
        <f ca="1">VLOOKUP($B41,OFFSET([1]quests!$A$1,0,0,COUNTA([1]quests!$A:$A),MATCH(C$1,[1]quests!$1:$1,0)-MATCH($B$1,[1]quests!$1:$1,0)+1),MATCH(C$1,[1]quests!$1:$1,0)-MATCH($B$1,[1]quests!$1:$1,0)+1,FALSE)</f>
        <v>【火曜限定】 赤の素材</v>
      </c>
      <c r="D41" s="3" t="str">
        <f ca="1">VLOOKUP($B41,OFFSET([1]quests!$A$1,0,0,COUNTA([1]quests!$A:$A),MATCH(D$1,[1]quests!$1:$1,0)-MATCH($B$1,[1]quests!$1:$1,0)+1),MATCH(D$1,[1]quests!$1:$1,0)-MATCH($B$1,[1]quests!$1:$1,0)+1,FALSE)</f>
        <v>火曜クエスト</v>
      </c>
      <c r="E41" s="5">
        <v>2</v>
      </c>
      <c r="F41" s="3" t="str">
        <f ca="1">VLOOKUP($B41&amp;"_"&amp;$E41,OFFSET([1]stages!$A$1,0,0,COUNTA([1]stages!$A:$A),MATCH(F$1,[1]stages!$2:$2,0)-MATCH("temp_stage",[1]stages!$2:$2,0)+1),MATCH(F$1,[1]stages!$2:$2,0)-MATCH("temp_stage",[1]stages!$2:$2,0)+1,FALSE)</f>
        <v xml:space="preserve">【中級】火のウサギ </v>
      </c>
      <c r="G41" s="3" t="str">
        <f ca="1">VLOOKUP($B41&amp;"_"&amp;$E41,OFFSET([1]stages!$A$1,0,0,COUNTA([1]stages!$A:$A),MATCH(G$1,[1]stages!$2:$2,0)-MATCH("temp_stage",[1]stages!$2:$2,0)+1),MATCH(G$1,[1]stages!$2:$2,0)-MATCH("temp_stage",[1]stages!$2:$2,0)+1,FALSE)</f>
        <v>火曜クエスト</v>
      </c>
      <c r="H41" s="18">
        <v>0</v>
      </c>
      <c r="I41">
        <v>13</v>
      </c>
      <c r="J41" s="5" t="s">
        <v>16</v>
      </c>
      <c r="K41" s="35" t="str">
        <f>VLOOKUP(I41,[2]stage_hints!$A:$C,3,FALSE)</f>
        <v>ユニットの覚醒</v>
      </c>
      <c r="L41" s="36" t="str">
        <f>VLOOKUP(I41,[2]stage_hints!$A:$D,4,FALSE)</f>
        <v>ユニットを覚醒させると_x000D_比べものにならない強さが手に入ります</v>
      </c>
      <c r="M41" s="21" t="s">
        <v>23</v>
      </c>
      <c r="N41">
        <v>13</v>
      </c>
    </row>
    <row r="42" spans="1:14" x14ac:dyDescent="0.15">
      <c r="A42" s="26" t="s">
        <v>32</v>
      </c>
      <c r="B42" s="4">
        <v>11002</v>
      </c>
      <c r="C42" s="3" t="str">
        <f ca="1">VLOOKUP($B42,OFFSET([1]quests!$A$1,0,0,COUNTA([1]quests!$A:$A),MATCH(C$1,[1]quests!$1:$1,0)-MATCH($B$1,[1]quests!$1:$1,0)+1),MATCH(C$1,[1]quests!$1:$1,0)-MATCH($B$1,[1]quests!$1:$1,0)+1,FALSE)</f>
        <v>【火曜限定】 赤の素材</v>
      </c>
      <c r="D42" s="3" t="str">
        <f ca="1">VLOOKUP($B42,OFFSET([1]quests!$A$1,0,0,COUNTA([1]quests!$A:$A),MATCH(D$1,[1]quests!$1:$1,0)-MATCH($B$1,[1]quests!$1:$1,0)+1),MATCH(D$1,[1]quests!$1:$1,0)-MATCH($B$1,[1]quests!$1:$1,0)+1,FALSE)</f>
        <v>火曜クエスト</v>
      </c>
      <c r="E42" s="5">
        <v>2</v>
      </c>
      <c r="F42" s="3" t="str">
        <f ca="1">VLOOKUP($B42&amp;"_"&amp;$E42,OFFSET([1]stages!$A$1,0,0,COUNTA([1]stages!$A:$A),MATCH(F$1,[1]stages!$2:$2,0)-MATCH("temp_stage",[1]stages!$2:$2,0)+1),MATCH(F$1,[1]stages!$2:$2,0)-MATCH("temp_stage",[1]stages!$2:$2,0)+1,FALSE)</f>
        <v xml:space="preserve">【中級】火のウサギ </v>
      </c>
      <c r="G42" s="3" t="str">
        <f ca="1">VLOOKUP($B42&amp;"_"&amp;$E42,OFFSET([1]stages!$A$1,0,0,COUNTA([1]stages!$A:$A),MATCH(G$1,[1]stages!$2:$2,0)-MATCH("temp_stage",[1]stages!$2:$2,0)+1),MATCH(G$1,[1]stages!$2:$2,0)-MATCH("temp_stage",[1]stages!$2:$2,0)+1,FALSE)</f>
        <v>火曜クエスト</v>
      </c>
      <c r="H42" s="18">
        <v>0</v>
      </c>
      <c r="I42">
        <v>14</v>
      </c>
      <c r="J42" s="5" t="s">
        <v>16</v>
      </c>
      <c r="K42" s="35" t="str">
        <f>VLOOKUP(I42,[2]stage_hints!$A:$C,3,FALSE)</f>
        <v>覚醒するにはレベルを最大に</v>
      </c>
      <c r="L42" s="36" t="str">
        <f>VLOOKUP(I42,[2]stage_hints!$A:$D,4,FALSE)</f>
        <v>覚醒するにはユニットのレベルを_x000D_最大まで上げる必要があります</v>
      </c>
      <c r="M42" s="21" t="s">
        <v>23</v>
      </c>
      <c r="N42">
        <v>14</v>
      </c>
    </row>
    <row r="43" spans="1:14" x14ac:dyDescent="0.15">
      <c r="A43" s="26" t="s">
        <v>32</v>
      </c>
      <c r="B43" s="4">
        <v>11002</v>
      </c>
      <c r="C43" s="3" t="str">
        <f ca="1">VLOOKUP($B43,OFFSET([1]quests!$A$1,0,0,COUNTA([1]quests!$A:$A),MATCH(C$1,[1]quests!$1:$1,0)-MATCH($B$1,[1]quests!$1:$1,0)+1),MATCH(C$1,[1]quests!$1:$1,0)-MATCH($B$1,[1]quests!$1:$1,0)+1,FALSE)</f>
        <v>【火曜限定】 赤の素材</v>
      </c>
      <c r="D43" s="3" t="str">
        <f ca="1">VLOOKUP($B43,OFFSET([1]quests!$A$1,0,0,COUNTA([1]quests!$A:$A),MATCH(D$1,[1]quests!$1:$1,0)-MATCH($B$1,[1]quests!$1:$1,0)+1),MATCH(D$1,[1]quests!$1:$1,0)-MATCH($B$1,[1]quests!$1:$1,0)+1,FALSE)</f>
        <v>火曜クエスト</v>
      </c>
      <c r="E43" s="5">
        <v>2</v>
      </c>
      <c r="F43" s="3" t="str">
        <f ca="1">VLOOKUP($B43&amp;"_"&amp;$E43,OFFSET([1]stages!$A$1,0,0,COUNTA([1]stages!$A:$A),MATCH(F$1,[1]stages!$2:$2,0)-MATCH("temp_stage",[1]stages!$2:$2,0)+1),MATCH(F$1,[1]stages!$2:$2,0)-MATCH("temp_stage",[1]stages!$2:$2,0)+1,FALSE)</f>
        <v xml:space="preserve">【中級】火のウサギ </v>
      </c>
      <c r="G43" s="3" t="str">
        <f ca="1">VLOOKUP($B43&amp;"_"&amp;$E43,OFFSET([1]stages!$A$1,0,0,COUNTA([1]stages!$A:$A),MATCH(G$1,[1]stages!$2:$2,0)-MATCH("temp_stage",[1]stages!$2:$2,0)+1),MATCH(G$1,[1]stages!$2:$2,0)-MATCH("temp_stage",[1]stages!$2:$2,0)+1,FALSE)</f>
        <v>火曜クエスト</v>
      </c>
      <c r="H43" s="18">
        <v>0</v>
      </c>
      <c r="I43">
        <v>15</v>
      </c>
      <c r="J43" s="5" t="s">
        <v>16</v>
      </c>
      <c r="K43" s="35" t="str">
        <f>VLOOKUP(I43,[2]stage_hints!$A:$C,3,FALSE)</f>
        <v>覚醒素材を獲得</v>
      </c>
      <c r="L43" s="36" t="str">
        <f>VLOOKUP(I43,[2]stage_hints!$A:$D,4,FALSE)</f>
        <v>「曜日クエスト」では_x000D_ユニットの覚醒に必要な素材が手に入ります</v>
      </c>
      <c r="M43" s="21" t="s">
        <v>23</v>
      </c>
      <c r="N43">
        <v>15</v>
      </c>
    </row>
    <row r="44" spans="1:14" x14ac:dyDescent="0.15">
      <c r="A44" s="26" t="s">
        <v>32</v>
      </c>
      <c r="B44" s="4">
        <v>11002</v>
      </c>
      <c r="C44" s="3" t="str">
        <f ca="1">VLOOKUP($B44,OFFSET([1]quests!$A$1,0,0,COUNTA([1]quests!$A:$A),MATCH(C$1,[1]quests!$1:$1,0)-MATCH($B$1,[1]quests!$1:$1,0)+1),MATCH(C$1,[1]quests!$1:$1,0)-MATCH($B$1,[1]quests!$1:$1,0)+1,FALSE)</f>
        <v>【火曜限定】 赤の素材</v>
      </c>
      <c r="D44" s="3" t="str">
        <f ca="1">VLOOKUP($B44,OFFSET([1]quests!$A$1,0,0,COUNTA([1]quests!$A:$A),MATCH(D$1,[1]quests!$1:$1,0)-MATCH($B$1,[1]quests!$1:$1,0)+1),MATCH(D$1,[1]quests!$1:$1,0)-MATCH($B$1,[1]quests!$1:$1,0)+1,FALSE)</f>
        <v>火曜クエスト</v>
      </c>
      <c r="E44" s="5">
        <v>2</v>
      </c>
      <c r="F44" s="3" t="str">
        <f ca="1">VLOOKUP($B44&amp;"_"&amp;$E44,OFFSET([1]stages!$A$1,0,0,COUNTA([1]stages!$A:$A),MATCH(F$1,[1]stages!$2:$2,0)-MATCH("temp_stage",[1]stages!$2:$2,0)+1),MATCH(F$1,[1]stages!$2:$2,0)-MATCH("temp_stage",[1]stages!$2:$2,0)+1,FALSE)</f>
        <v xml:space="preserve">【中級】火のウサギ </v>
      </c>
      <c r="G44" s="3" t="str">
        <f ca="1">VLOOKUP($B44&amp;"_"&amp;$E44,OFFSET([1]stages!$A$1,0,0,COUNTA([1]stages!$A:$A),MATCH(G$1,[1]stages!$2:$2,0)-MATCH("temp_stage",[1]stages!$2:$2,0)+1),MATCH(G$1,[1]stages!$2:$2,0)-MATCH("temp_stage",[1]stages!$2:$2,0)+1,FALSE)</f>
        <v>火曜クエスト</v>
      </c>
      <c r="H44" s="18">
        <v>0</v>
      </c>
      <c r="I44">
        <v>16</v>
      </c>
      <c r="J44" s="5" t="s">
        <v>16</v>
      </c>
      <c r="K44" s="35" t="str">
        <f>VLOOKUP(I44,[2]stage_hints!$A:$C,3,FALSE)</f>
        <v>マルチプレイのメリット（その1）</v>
      </c>
      <c r="L44" s="36" t="str">
        <f>VLOOKUP(I44,[2]stage_hints!$A:$D,4,FALSE)</f>
        <v>他のプレイヤーとマルチプレイで遊ぶと_x000D_ポリゴンがもらえます（100人まで）</v>
      </c>
      <c r="M44" s="21" t="s">
        <v>23</v>
      </c>
      <c r="N44">
        <v>16</v>
      </c>
    </row>
    <row r="45" spans="1:14" x14ac:dyDescent="0.15">
      <c r="A45" s="26" t="s">
        <v>32</v>
      </c>
      <c r="B45" s="4">
        <v>11002</v>
      </c>
      <c r="C45" s="3" t="str">
        <f ca="1">VLOOKUP($B45,OFFSET([1]quests!$A$1,0,0,COUNTA([1]quests!$A:$A),MATCH(C$1,[1]quests!$1:$1,0)-MATCH($B$1,[1]quests!$1:$1,0)+1),MATCH(C$1,[1]quests!$1:$1,0)-MATCH($B$1,[1]quests!$1:$1,0)+1,FALSE)</f>
        <v>【火曜限定】 赤の素材</v>
      </c>
      <c r="D45" s="3" t="str">
        <f ca="1">VLOOKUP($B45,OFFSET([1]quests!$A$1,0,0,COUNTA([1]quests!$A:$A),MATCH(D$1,[1]quests!$1:$1,0)-MATCH($B$1,[1]quests!$1:$1,0)+1),MATCH(D$1,[1]quests!$1:$1,0)-MATCH($B$1,[1]quests!$1:$1,0)+1,FALSE)</f>
        <v>火曜クエスト</v>
      </c>
      <c r="E45" s="5">
        <v>2</v>
      </c>
      <c r="F45" s="3" t="str">
        <f ca="1">VLOOKUP($B45&amp;"_"&amp;$E45,OFFSET([1]stages!$A$1,0,0,COUNTA([1]stages!$A:$A),MATCH(F$1,[1]stages!$2:$2,0)-MATCH("temp_stage",[1]stages!$2:$2,0)+1),MATCH(F$1,[1]stages!$2:$2,0)-MATCH("temp_stage",[1]stages!$2:$2,0)+1,FALSE)</f>
        <v xml:space="preserve">【中級】火のウサギ </v>
      </c>
      <c r="G45" s="3" t="str">
        <f ca="1">VLOOKUP($B45&amp;"_"&amp;$E45,OFFSET([1]stages!$A$1,0,0,COUNTA([1]stages!$A:$A),MATCH(G$1,[1]stages!$2:$2,0)-MATCH("temp_stage",[1]stages!$2:$2,0)+1),MATCH(G$1,[1]stages!$2:$2,0)-MATCH("temp_stage",[1]stages!$2:$2,0)+1,FALSE)</f>
        <v>火曜クエスト</v>
      </c>
      <c r="H45" s="18">
        <v>0</v>
      </c>
      <c r="I45">
        <v>17</v>
      </c>
      <c r="J45" s="5" t="s">
        <v>16</v>
      </c>
      <c r="K45" s="35" t="str">
        <f>VLOOKUP(I45,[2]stage_hints!$A:$C,3,FALSE)</f>
        <v>リンクガチャ</v>
      </c>
      <c r="L45" s="36" t="str">
        <f>VLOOKUP(I45,[2]stage_hints!$A:$D,4,FALSE)</f>
        <v>無料のリンクガチャを回して_x000D_経験値素材や売却素材を獲得しましょう</v>
      </c>
      <c r="M45" s="21" t="s">
        <v>23</v>
      </c>
      <c r="N45">
        <v>17</v>
      </c>
    </row>
    <row r="46" spans="1:14" x14ac:dyDescent="0.15">
      <c r="A46" s="26" t="s">
        <v>32</v>
      </c>
      <c r="B46" s="4">
        <v>11002</v>
      </c>
      <c r="C46" s="3" t="str">
        <f ca="1">VLOOKUP($B46,OFFSET([1]quests!$A$1,0,0,COUNTA([1]quests!$A:$A),MATCH(C$1,[1]quests!$1:$1,0)-MATCH($B$1,[1]quests!$1:$1,0)+1),MATCH(C$1,[1]quests!$1:$1,0)-MATCH($B$1,[1]quests!$1:$1,0)+1,FALSE)</f>
        <v>【火曜限定】 赤の素材</v>
      </c>
      <c r="D46" s="3" t="str">
        <f ca="1">VLOOKUP($B46,OFFSET([1]quests!$A$1,0,0,COUNTA([1]quests!$A:$A),MATCH(D$1,[1]quests!$1:$1,0)-MATCH($B$1,[1]quests!$1:$1,0)+1),MATCH(D$1,[1]quests!$1:$1,0)-MATCH($B$1,[1]quests!$1:$1,0)+1,FALSE)</f>
        <v>火曜クエスト</v>
      </c>
      <c r="E46" s="5">
        <v>2</v>
      </c>
      <c r="F46" s="3" t="str">
        <f ca="1">VLOOKUP($B46&amp;"_"&amp;$E46,OFFSET([1]stages!$A$1,0,0,COUNTA([1]stages!$A:$A),MATCH(F$1,[1]stages!$2:$2,0)-MATCH("temp_stage",[1]stages!$2:$2,0)+1),MATCH(F$1,[1]stages!$2:$2,0)-MATCH("temp_stage",[1]stages!$2:$2,0)+1,FALSE)</f>
        <v xml:space="preserve">【中級】火のウサギ </v>
      </c>
      <c r="G46" s="3" t="str">
        <f ca="1">VLOOKUP($B46&amp;"_"&amp;$E46,OFFSET([1]stages!$A$1,0,0,COUNTA([1]stages!$A:$A),MATCH(G$1,[1]stages!$2:$2,0)-MATCH("temp_stage",[1]stages!$2:$2,0)+1),MATCH(G$1,[1]stages!$2:$2,0)-MATCH("temp_stage",[1]stages!$2:$2,0)+1,FALSE)</f>
        <v>火曜クエスト</v>
      </c>
      <c r="H46" s="18">
        <v>0</v>
      </c>
      <c r="I46">
        <v>18</v>
      </c>
      <c r="J46" s="5" t="s">
        <v>16</v>
      </c>
      <c r="K46" s="35" t="str">
        <f>VLOOKUP(I46,[2]stage_hints!$A:$C,3,FALSE)</f>
        <v>マルチプレイのメリット（その2）</v>
      </c>
      <c r="L46" s="36" t="str">
        <f>VLOOKUP(I46,[2]stage_hints!$A:$D,4,FALSE)</f>
        <v>マルチプレイならリンクが2倍もらえます_x000D_リンクガチャをたくさん回しましょう</v>
      </c>
      <c r="M46" s="21" t="s">
        <v>23</v>
      </c>
      <c r="N46">
        <v>18</v>
      </c>
    </row>
    <row r="47" spans="1:14" x14ac:dyDescent="0.15">
      <c r="A47" s="26" t="s">
        <v>32</v>
      </c>
      <c r="B47" s="4">
        <v>11002</v>
      </c>
      <c r="C47" s="3" t="str">
        <f ca="1">VLOOKUP($B47,OFFSET([1]quests!$A$1,0,0,COUNTA([1]quests!$A:$A),MATCH(C$1,[1]quests!$1:$1,0)-MATCH($B$1,[1]quests!$1:$1,0)+1),MATCH(C$1,[1]quests!$1:$1,0)-MATCH($B$1,[1]quests!$1:$1,0)+1,FALSE)</f>
        <v>【火曜限定】 赤の素材</v>
      </c>
      <c r="D47" s="3" t="str">
        <f ca="1">VLOOKUP($B47,OFFSET([1]quests!$A$1,0,0,COUNTA([1]quests!$A:$A),MATCH(D$1,[1]quests!$1:$1,0)-MATCH($B$1,[1]quests!$1:$1,0)+1),MATCH(D$1,[1]quests!$1:$1,0)-MATCH($B$1,[1]quests!$1:$1,0)+1,FALSE)</f>
        <v>火曜クエスト</v>
      </c>
      <c r="E47" s="5">
        <v>2</v>
      </c>
      <c r="F47" s="3" t="str">
        <f ca="1">VLOOKUP($B47&amp;"_"&amp;$E47,OFFSET([1]stages!$A$1,0,0,COUNTA([1]stages!$A:$A),MATCH(F$1,[1]stages!$2:$2,0)-MATCH("temp_stage",[1]stages!$2:$2,0)+1),MATCH(F$1,[1]stages!$2:$2,0)-MATCH("temp_stage",[1]stages!$2:$2,0)+1,FALSE)</f>
        <v xml:space="preserve">【中級】火のウサギ </v>
      </c>
      <c r="G47" s="3" t="str">
        <f ca="1">VLOOKUP($B47&amp;"_"&amp;$E47,OFFSET([1]stages!$A$1,0,0,COUNTA([1]stages!$A:$A),MATCH(G$1,[1]stages!$2:$2,0)-MATCH("temp_stage",[1]stages!$2:$2,0)+1),MATCH(G$1,[1]stages!$2:$2,0)-MATCH("temp_stage",[1]stages!$2:$2,0)+1,FALSE)</f>
        <v>火曜クエスト</v>
      </c>
      <c r="H47" s="18">
        <v>0</v>
      </c>
      <c r="I47">
        <v>19</v>
      </c>
      <c r="J47" s="5" t="s">
        <v>16</v>
      </c>
      <c r="K47" s="35" t="str">
        <f>VLOOKUP(I47,[2]stage_hints!$A:$C,3,FALSE)</f>
        <v>ソロ専用チャレンジタワー</v>
      </c>
      <c r="L47" s="36" t="str">
        <f>VLOOKUP(I47,[2]stage_hints!$A:$D,4,FALSE)</f>
        <v>ソロ専用の「チャレンジタワー」では_x000D_各フロアごとにクリア報酬がもらえます</v>
      </c>
      <c r="M47" s="21" t="s">
        <v>23</v>
      </c>
      <c r="N47">
        <v>19</v>
      </c>
    </row>
    <row r="48" spans="1:14" x14ac:dyDescent="0.15">
      <c r="A48" s="26" t="s">
        <v>32</v>
      </c>
      <c r="B48" s="4">
        <v>11002</v>
      </c>
      <c r="C48" s="3" t="str">
        <f ca="1">VLOOKUP($B48,OFFSET([1]quests!$A$1,0,0,COUNTA([1]quests!$A:$A),MATCH(C$1,[1]quests!$1:$1,0)-MATCH($B$1,[1]quests!$1:$1,0)+1),MATCH(C$1,[1]quests!$1:$1,0)-MATCH($B$1,[1]quests!$1:$1,0)+1,FALSE)</f>
        <v>【火曜限定】 赤の素材</v>
      </c>
      <c r="D48" s="3" t="str">
        <f ca="1">VLOOKUP($B48,OFFSET([1]quests!$A$1,0,0,COUNTA([1]quests!$A:$A),MATCH(D$1,[1]quests!$1:$1,0)-MATCH($B$1,[1]quests!$1:$1,0)+1),MATCH(D$1,[1]quests!$1:$1,0)-MATCH($B$1,[1]quests!$1:$1,0)+1,FALSE)</f>
        <v>火曜クエスト</v>
      </c>
      <c r="E48" s="5">
        <v>2</v>
      </c>
      <c r="F48" s="3" t="str">
        <f ca="1">VLOOKUP($B48&amp;"_"&amp;$E48,OFFSET([1]stages!$A$1,0,0,COUNTA([1]stages!$A:$A),MATCH(F$1,[1]stages!$2:$2,0)-MATCH("temp_stage",[1]stages!$2:$2,0)+1),MATCH(F$1,[1]stages!$2:$2,0)-MATCH("temp_stage",[1]stages!$2:$2,0)+1,FALSE)</f>
        <v xml:space="preserve">【中級】火のウサギ </v>
      </c>
      <c r="G48" s="3" t="str">
        <f ca="1">VLOOKUP($B48&amp;"_"&amp;$E48,OFFSET([1]stages!$A$1,0,0,COUNTA([1]stages!$A:$A),MATCH(G$1,[1]stages!$2:$2,0)-MATCH("temp_stage",[1]stages!$2:$2,0)+1),MATCH(G$1,[1]stages!$2:$2,0)-MATCH("temp_stage",[1]stages!$2:$2,0)+1,FALSE)</f>
        <v>火曜クエスト</v>
      </c>
      <c r="H48" s="18">
        <v>0</v>
      </c>
      <c r="I48">
        <v>20</v>
      </c>
      <c r="J48" s="5" t="s">
        <v>16</v>
      </c>
      <c r="K48" s="35" t="str">
        <f>VLOOKUP(I48,[2]stage_hints!$A:$C,3,FALSE)</f>
        <v>マルチプレイのメリット（その3）</v>
      </c>
      <c r="L48" s="36" t="str">
        <f>VLOOKUP(I48,[2]stage_hints!$A:$D,4,FALSE)</f>
        <v>マルチプレイへの参加はエナジー消費ゼロ_x000D_いつでも好きなだけ遊ぶことができます</v>
      </c>
      <c r="M48" s="21" t="s">
        <v>23</v>
      </c>
      <c r="N48">
        <v>20</v>
      </c>
    </row>
    <row r="49" spans="1:14" x14ac:dyDescent="0.15">
      <c r="A49" s="26" t="s">
        <v>32</v>
      </c>
      <c r="B49" s="4">
        <v>11002</v>
      </c>
      <c r="C49" s="3" t="str">
        <f ca="1">VLOOKUP($B49,OFFSET([1]quests!$A$1,0,0,COUNTA([1]quests!$A:$A),MATCH(C$1,[1]quests!$1:$1,0)-MATCH($B$1,[1]quests!$1:$1,0)+1),MATCH(C$1,[1]quests!$1:$1,0)-MATCH($B$1,[1]quests!$1:$1,0)+1,FALSE)</f>
        <v>【火曜限定】 赤の素材</v>
      </c>
      <c r="D49" s="3" t="str">
        <f ca="1">VLOOKUP($B49,OFFSET([1]quests!$A$1,0,0,COUNTA([1]quests!$A:$A),MATCH(D$1,[1]quests!$1:$1,0)-MATCH($B$1,[1]quests!$1:$1,0)+1),MATCH(D$1,[1]quests!$1:$1,0)-MATCH($B$1,[1]quests!$1:$1,0)+1,FALSE)</f>
        <v>火曜クエスト</v>
      </c>
      <c r="E49" s="5">
        <v>2</v>
      </c>
      <c r="F49" s="3" t="str">
        <f ca="1">VLOOKUP($B49&amp;"_"&amp;$E49,OFFSET([1]stages!$A$1,0,0,COUNTA([1]stages!$A:$A),MATCH(F$1,[1]stages!$2:$2,0)-MATCH("temp_stage",[1]stages!$2:$2,0)+1),MATCH(F$1,[1]stages!$2:$2,0)-MATCH("temp_stage",[1]stages!$2:$2,0)+1,FALSE)</f>
        <v xml:space="preserve">【中級】火のウサギ </v>
      </c>
      <c r="G49" s="3" t="str">
        <f ca="1">VLOOKUP($B49&amp;"_"&amp;$E49,OFFSET([1]stages!$A$1,0,0,COUNTA([1]stages!$A:$A),MATCH(G$1,[1]stages!$2:$2,0)-MATCH("temp_stage",[1]stages!$2:$2,0)+1),MATCH(G$1,[1]stages!$2:$2,0)-MATCH("temp_stage",[1]stages!$2:$2,0)+1,FALSE)</f>
        <v>火曜クエスト</v>
      </c>
      <c r="H49" s="18">
        <v>0</v>
      </c>
      <c r="I49">
        <v>21</v>
      </c>
      <c r="J49" s="5" t="s">
        <v>16</v>
      </c>
      <c r="K49" s="35" t="str">
        <f>VLOOKUP(I49,[2]stage_hints!$A:$C,3,FALSE)</f>
        <v>スキルを有効に</v>
      </c>
      <c r="L49" s="36" t="str">
        <f>VLOOKUP(I49,[2]stage_hints!$A:$D,4,FALSE)</f>
        <v>ターン経過でユニットのスキルが使えます_x000D_強力スキルでバトルを有利に進めましょう</v>
      </c>
      <c r="M49" s="21" t="s">
        <v>23</v>
      </c>
      <c r="N49">
        <v>21</v>
      </c>
    </row>
    <row r="50" spans="1:14" x14ac:dyDescent="0.15">
      <c r="A50" s="26" t="s">
        <v>32</v>
      </c>
      <c r="B50" s="4">
        <v>11002</v>
      </c>
      <c r="C50" s="3" t="str">
        <f ca="1">VLOOKUP($B50,OFFSET([1]quests!$A$1,0,0,COUNTA([1]quests!$A:$A),MATCH(C$1,[1]quests!$1:$1,0)-MATCH($B$1,[1]quests!$1:$1,0)+1),MATCH(C$1,[1]quests!$1:$1,0)-MATCH($B$1,[1]quests!$1:$1,0)+1,FALSE)</f>
        <v>【火曜限定】 赤の素材</v>
      </c>
      <c r="D50" s="3" t="str">
        <f ca="1">VLOOKUP($B50,OFFSET([1]quests!$A$1,0,0,COUNTA([1]quests!$A:$A),MATCH(D$1,[1]quests!$1:$1,0)-MATCH($B$1,[1]quests!$1:$1,0)+1),MATCH(D$1,[1]quests!$1:$1,0)-MATCH($B$1,[1]quests!$1:$1,0)+1,FALSE)</f>
        <v>火曜クエスト</v>
      </c>
      <c r="E50" s="5">
        <v>2</v>
      </c>
      <c r="F50" s="3" t="str">
        <f ca="1">VLOOKUP($B50&amp;"_"&amp;$E50,OFFSET([1]stages!$A$1,0,0,COUNTA([1]stages!$A:$A),MATCH(F$1,[1]stages!$2:$2,0)-MATCH("temp_stage",[1]stages!$2:$2,0)+1),MATCH(F$1,[1]stages!$2:$2,0)-MATCH("temp_stage",[1]stages!$2:$2,0)+1,FALSE)</f>
        <v xml:space="preserve">【中級】火のウサギ </v>
      </c>
      <c r="G50" s="3" t="str">
        <f ca="1">VLOOKUP($B50&amp;"_"&amp;$E50,OFFSET([1]stages!$A$1,0,0,COUNTA([1]stages!$A:$A),MATCH(G$1,[1]stages!$2:$2,0)-MATCH("temp_stage",[1]stages!$2:$2,0)+1),MATCH(G$1,[1]stages!$2:$2,0)-MATCH("temp_stage",[1]stages!$2:$2,0)+1,FALSE)</f>
        <v>火曜クエスト</v>
      </c>
      <c r="H50" s="18">
        <v>0</v>
      </c>
      <c r="I50">
        <v>22</v>
      </c>
      <c r="J50" s="5" t="s">
        <v>16</v>
      </c>
      <c r="K50" s="35" t="str">
        <f>VLOOKUP(I50,[2]stage_hints!$A:$C,3,FALSE)</f>
        <v>フィーバーで一発逆転（その1）</v>
      </c>
      <c r="L50" s="36" t="str">
        <f>VLOOKUP(I50,[2]stage_hints!$A:$D,4,FALSE)</f>
        <v>フィーバーは攻撃と回復を兼ね備えます_x000D_ピンチからの一発逆転を狙いましょう</v>
      </c>
      <c r="M50" s="21" t="s">
        <v>23</v>
      </c>
      <c r="N50">
        <v>22</v>
      </c>
    </row>
    <row r="51" spans="1:14" x14ac:dyDescent="0.15">
      <c r="A51" s="26" t="s">
        <v>32</v>
      </c>
      <c r="B51" s="4">
        <v>11002</v>
      </c>
      <c r="C51" s="3" t="str">
        <f ca="1">VLOOKUP($B51,OFFSET([1]quests!$A$1,0,0,COUNTA([1]quests!$A:$A),MATCH(C$1,[1]quests!$1:$1,0)-MATCH($B$1,[1]quests!$1:$1,0)+1),MATCH(C$1,[1]quests!$1:$1,0)-MATCH($B$1,[1]quests!$1:$1,0)+1,FALSE)</f>
        <v>【火曜限定】 赤の素材</v>
      </c>
      <c r="D51" s="3" t="str">
        <f ca="1">VLOOKUP($B51,OFFSET([1]quests!$A$1,0,0,COUNTA([1]quests!$A:$A),MATCH(D$1,[1]quests!$1:$1,0)-MATCH($B$1,[1]quests!$1:$1,0)+1),MATCH(D$1,[1]quests!$1:$1,0)-MATCH($B$1,[1]quests!$1:$1,0)+1,FALSE)</f>
        <v>火曜クエスト</v>
      </c>
      <c r="E51" s="5">
        <v>2</v>
      </c>
      <c r="F51" s="3" t="str">
        <f ca="1">VLOOKUP($B51&amp;"_"&amp;$E51,OFFSET([1]stages!$A$1,0,0,COUNTA([1]stages!$A:$A),MATCH(F$1,[1]stages!$2:$2,0)-MATCH("temp_stage",[1]stages!$2:$2,0)+1),MATCH(F$1,[1]stages!$2:$2,0)-MATCH("temp_stage",[1]stages!$2:$2,0)+1,FALSE)</f>
        <v xml:space="preserve">【中級】火のウサギ </v>
      </c>
      <c r="G51" s="3" t="str">
        <f ca="1">VLOOKUP($B51&amp;"_"&amp;$E51,OFFSET([1]stages!$A$1,0,0,COUNTA([1]stages!$A:$A),MATCH(G$1,[1]stages!$2:$2,0)-MATCH("temp_stage",[1]stages!$2:$2,0)+1),MATCH(G$1,[1]stages!$2:$2,0)-MATCH("temp_stage",[1]stages!$2:$2,0)+1,FALSE)</f>
        <v>火曜クエスト</v>
      </c>
      <c r="H51" s="18">
        <v>0</v>
      </c>
      <c r="I51">
        <v>23</v>
      </c>
      <c r="J51" s="5" t="s">
        <v>16</v>
      </c>
      <c r="K51" s="35" t="str">
        <f>VLOOKUP(I51,[2]stage_hints!$A:$C,3,FALSE)</f>
        <v>フィーバーで一発逆転（その2）</v>
      </c>
      <c r="L51" s="36" t="str">
        <f>VLOOKUP(I51,[2]stage_hints!$A:$D,4,FALSE)</f>
        <v>フィーバー中は虹色のボムパネルを狙って_x000D_画面上のパネルを一気に破壊しましょう</v>
      </c>
      <c r="M51" s="21" t="s">
        <v>23</v>
      </c>
      <c r="N51">
        <v>23</v>
      </c>
    </row>
    <row r="52" spans="1:14" x14ac:dyDescent="0.15">
      <c r="A52" s="26" t="s">
        <v>32</v>
      </c>
      <c r="B52" s="4">
        <v>11002</v>
      </c>
      <c r="C52" s="3" t="str">
        <f ca="1">VLOOKUP($B52,OFFSET([1]quests!$A$1,0,0,COUNTA([1]quests!$A:$A),MATCH(C$1,[1]quests!$1:$1,0)-MATCH($B$1,[1]quests!$1:$1,0)+1),MATCH(C$1,[1]quests!$1:$1,0)-MATCH($B$1,[1]quests!$1:$1,0)+1,FALSE)</f>
        <v>【火曜限定】 赤の素材</v>
      </c>
      <c r="D52" s="3" t="str">
        <f ca="1">VLOOKUP($B52,OFFSET([1]quests!$A$1,0,0,COUNTA([1]quests!$A:$A),MATCH(D$1,[1]quests!$1:$1,0)-MATCH($B$1,[1]quests!$1:$1,0)+1),MATCH(D$1,[1]quests!$1:$1,0)-MATCH($B$1,[1]quests!$1:$1,0)+1,FALSE)</f>
        <v>火曜クエスト</v>
      </c>
      <c r="E52" s="5">
        <v>2</v>
      </c>
      <c r="F52" s="3" t="str">
        <f ca="1">VLOOKUP($B52&amp;"_"&amp;$E52,OFFSET([1]stages!$A$1,0,0,COUNTA([1]stages!$A:$A),MATCH(F$1,[1]stages!$2:$2,0)-MATCH("temp_stage",[1]stages!$2:$2,0)+1),MATCH(F$1,[1]stages!$2:$2,0)-MATCH("temp_stage",[1]stages!$2:$2,0)+1,FALSE)</f>
        <v xml:space="preserve">【中級】火のウサギ </v>
      </c>
      <c r="G52" s="3" t="str">
        <f ca="1">VLOOKUP($B52&amp;"_"&amp;$E52,OFFSET([1]stages!$A$1,0,0,COUNTA([1]stages!$A:$A),MATCH(G$1,[1]stages!$2:$2,0)-MATCH("temp_stage",[1]stages!$2:$2,0)+1),MATCH(G$1,[1]stages!$2:$2,0)-MATCH("temp_stage",[1]stages!$2:$2,0)+1,FALSE)</f>
        <v>火曜クエスト</v>
      </c>
      <c r="H52" s="18">
        <v>0</v>
      </c>
      <c r="I52">
        <v>24</v>
      </c>
      <c r="J52" s="5" t="s">
        <v>16</v>
      </c>
      <c r="K52" s="35" t="str">
        <f>VLOOKUP(I52,[2]stage_hints!$A:$C,3,FALSE)</f>
        <v>りんごを使って限界突破</v>
      </c>
      <c r="L52" s="36" t="str">
        <f>VLOOKUP(I52,[2]stage_hints!$A:$D,4,FALSE)</f>
        <v>赤りんご(攻撃力) 青りんご(回復力)_x000D_緑りんご(体力)をユニット強化に使うと_x000D_ステータスが限界突破します（計99個迄）</v>
      </c>
      <c r="M52" s="21" t="s">
        <v>23</v>
      </c>
      <c r="N52">
        <v>24</v>
      </c>
    </row>
    <row r="53" spans="1:14" x14ac:dyDescent="0.15">
      <c r="A53" s="26" t="s">
        <v>32</v>
      </c>
      <c r="B53" s="4">
        <v>11002</v>
      </c>
      <c r="C53" s="3" t="str">
        <f ca="1">VLOOKUP($B53,OFFSET([1]quests!$A$1,0,0,COUNTA([1]quests!$A:$A),MATCH(C$1,[1]quests!$1:$1,0)-MATCH($B$1,[1]quests!$1:$1,0)+1),MATCH(C$1,[1]quests!$1:$1,0)-MATCH($B$1,[1]quests!$1:$1,0)+1,FALSE)</f>
        <v>【火曜限定】 赤の素材</v>
      </c>
      <c r="D53" s="3" t="str">
        <f ca="1">VLOOKUP($B53,OFFSET([1]quests!$A$1,0,0,COUNTA([1]quests!$A:$A),MATCH(D$1,[1]quests!$1:$1,0)-MATCH($B$1,[1]quests!$1:$1,0)+1),MATCH(D$1,[1]quests!$1:$1,0)-MATCH($B$1,[1]quests!$1:$1,0)+1,FALSE)</f>
        <v>火曜クエスト</v>
      </c>
      <c r="E53" s="5">
        <v>2</v>
      </c>
      <c r="F53" s="3" t="str">
        <f ca="1">VLOOKUP($B53&amp;"_"&amp;$E53,OFFSET([1]stages!$A$1,0,0,COUNTA([1]stages!$A:$A),MATCH(F$1,[1]stages!$2:$2,0)-MATCH("temp_stage",[1]stages!$2:$2,0)+1),MATCH(F$1,[1]stages!$2:$2,0)-MATCH("temp_stage",[1]stages!$2:$2,0)+1,FALSE)</f>
        <v xml:space="preserve">【中級】火のウサギ </v>
      </c>
      <c r="G53" s="3" t="str">
        <f ca="1">VLOOKUP($B53&amp;"_"&amp;$E53,OFFSET([1]stages!$A$1,0,0,COUNTA([1]stages!$A:$A),MATCH(G$1,[1]stages!$2:$2,0)-MATCH("temp_stage",[1]stages!$2:$2,0)+1),MATCH(G$1,[1]stages!$2:$2,0)-MATCH("temp_stage",[1]stages!$2:$2,0)+1,FALSE)</f>
        <v>火曜クエスト</v>
      </c>
      <c r="H53" s="18">
        <v>0</v>
      </c>
      <c r="I53">
        <v>25</v>
      </c>
      <c r="J53" s="5" t="s">
        <v>16</v>
      </c>
      <c r="K53" s="35" t="str">
        <f>VLOOKUP(I53,[2]stage_hints!$A:$C,3,FALSE)</f>
        <v>スキルレベルアップ</v>
      </c>
      <c r="L53" s="36" t="str">
        <f>VLOOKUP(I53,[2]stage_hints!$A:$D,4,FALSE)</f>
        <v>「クリスタルのりんご」を強化に使うと_x000D_スキルレベルを上げることができます</v>
      </c>
      <c r="M53" s="21" t="s">
        <v>23</v>
      </c>
      <c r="N53">
        <v>25</v>
      </c>
    </row>
    <row r="54" spans="1:14" x14ac:dyDescent="0.15">
      <c r="A54" s="26" t="s">
        <v>32</v>
      </c>
      <c r="B54" s="4">
        <v>11002</v>
      </c>
      <c r="C54" s="3" t="str">
        <f ca="1">VLOOKUP($B54,OFFSET([1]quests!$A$1,0,0,COUNTA([1]quests!$A:$A),MATCH(C$1,[1]quests!$1:$1,0)-MATCH($B$1,[1]quests!$1:$1,0)+1),MATCH(C$1,[1]quests!$1:$1,0)-MATCH($B$1,[1]quests!$1:$1,0)+1,FALSE)</f>
        <v>【火曜限定】 赤の素材</v>
      </c>
      <c r="D54" s="3" t="str">
        <f ca="1">VLOOKUP($B54,OFFSET([1]quests!$A$1,0,0,COUNTA([1]quests!$A:$A),MATCH(D$1,[1]quests!$1:$1,0)-MATCH($B$1,[1]quests!$1:$1,0)+1),MATCH(D$1,[1]quests!$1:$1,0)-MATCH($B$1,[1]quests!$1:$1,0)+1,FALSE)</f>
        <v>火曜クエスト</v>
      </c>
      <c r="E54" s="5">
        <v>2</v>
      </c>
      <c r="F54" s="3" t="str">
        <f ca="1">VLOOKUP($B54&amp;"_"&amp;$E54,OFFSET([1]stages!$A$1,0,0,COUNTA([1]stages!$A:$A),MATCH(F$1,[1]stages!$2:$2,0)-MATCH("temp_stage",[1]stages!$2:$2,0)+1),MATCH(F$1,[1]stages!$2:$2,0)-MATCH("temp_stage",[1]stages!$2:$2,0)+1,FALSE)</f>
        <v xml:space="preserve">【中級】火のウサギ </v>
      </c>
      <c r="G54" s="3" t="str">
        <f ca="1">VLOOKUP($B54&amp;"_"&amp;$E54,OFFSET([1]stages!$A$1,0,0,COUNTA([1]stages!$A:$A),MATCH(G$1,[1]stages!$2:$2,0)-MATCH("temp_stage",[1]stages!$2:$2,0)+1),MATCH(G$1,[1]stages!$2:$2,0)-MATCH("temp_stage",[1]stages!$2:$2,0)+1,FALSE)</f>
        <v>火曜クエスト</v>
      </c>
      <c r="H54" s="18">
        <v>0</v>
      </c>
      <c r="I54">
        <v>26</v>
      </c>
      <c r="J54" s="5" t="s">
        <v>16</v>
      </c>
      <c r="K54" s="35" t="str">
        <f>VLOOKUP(I54,[2]stage_hints!$A:$C,3,FALSE)</f>
        <v>スキルレベルの効果</v>
      </c>
      <c r="L54" s="36" t="str">
        <f>VLOOKUP(I54,[2]stage_hints!$A:$D,4,FALSE)</f>
        <v>スキルレベルが上がると_x000D_短いターンでスキルを使うことができます</v>
      </c>
      <c r="M54" s="21" t="s">
        <v>23</v>
      </c>
      <c r="N54">
        <v>26</v>
      </c>
    </row>
    <row r="55" spans="1:14" x14ac:dyDescent="0.15">
      <c r="A55" s="26" t="s">
        <v>32</v>
      </c>
      <c r="B55" s="4">
        <v>11002</v>
      </c>
      <c r="C55" s="3" t="str">
        <f ca="1">VLOOKUP($B55,OFFSET([1]quests!$A$1,0,0,COUNTA([1]quests!$A:$A),MATCH(C$1,[1]quests!$1:$1,0)-MATCH($B$1,[1]quests!$1:$1,0)+1),MATCH(C$1,[1]quests!$1:$1,0)-MATCH($B$1,[1]quests!$1:$1,0)+1,FALSE)</f>
        <v>【火曜限定】 赤の素材</v>
      </c>
      <c r="D55" s="3" t="str">
        <f ca="1">VLOOKUP($B55,OFFSET([1]quests!$A$1,0,0,COUNTA([1]quests!$A:$A),MATCH(D$1,[1]quests!$1:$1,0)-MATCH($B$1,[1]quests!$1:$1,0)+1),MATCH(D$1,[1]quests!$1:$1,0)-MATCH($B$1,[1]quests!$1:$1,0)+1,FALSE)</f>
        <v>火曜クエスト</v>
      </c>
      <c r="E55" s="5">
        <v>2</v>
      </c>
      <c r="F55" s="3" t="str">
        <f ca="1">VLOOKUP($B55&amp;"_"&amp;$E55,OFFSET([1]stages!$A$1,0,0,COUNTA([1]stages!$A:$A),MATCH(F$1,[1]stages!$2:$2,0)-MATCH("temp_stage",[1]stages!$2:$2,0)+1),MATCH(F$1,[1]stages!$2:$2,0)-MATCH("temp_stage",[1]stages!$2:$2,0)+1,FALSE)</f>
        <v xml:space="preserve">【中級】火のウサギ </v>
      </c>
      <c r="G55" s="3" t="str">
        <f ca="1">VLOOKUP($B55&amp;"_"&amp;$E55,OFFSET([1]stages!$A$1,0,0,COUNTA([1]stages!$A:$A),MATCH(G$1,[1]stages!$2:$2,0)-MATCH("temp_stage",[1]stages!$2:$2,0)+1),MATCH(G$1,[1]stages!$2:$2,0)-MATCH("temp_stage",[1]stages!$2:$2,0)+1,FALSE)</f>
        <v>火曜クエスト</v>
      </c>
      <c r="H55" s="18">
        <v>0</v>
      </c>
      <c r="I55">
        <v>27</v>
      </c>
      <c r="J55" s="5" t="s">
        <v>16</v>
      </c>
      <c r="K55" s="35" t="str">
        <f>VLOOKUP(I55,[2]stage_hints!$A:$C,3,FALSE)</f>
        <v>ホーム画面からデッキを編成</v>
      </c>
      <c r="L55" s="36" t="str">
        <f>VLOOKUP(I55,[2]stage_hints!$A:$D,4,FALSE)</f>
        <v>ホーム画面でユニットを長押しすると_x000D_すぐにパーティ編成に移動できます</v>
      </c>
      <c r="M55" s="21" t="s">
        <v>23</v>
      </c>
      <c r="N55">
        <v>27</v>
      </c>
    </row>
    <row r="56" spans="1:14" x14ac:dyDescent="0.15">
      <c r="A56" s="26" t="s">
        <v>32</v>
      </c>
      <c r="B56" s="4">
        <v>11002</v>
      </c>
      <c r="C56" s="3" t="str">
        <f ca="1">VLOOKUP($B56,OFFSET([1]quests!$A$1,0,0,COUNTA([1]quests!$A:$A),MATCH(C$1,[1]quests!$1:$1,0)-MATCH($B$1,[1]quests!$1:$1,0)+1),MATCH(C$1,[1]quests!$1:$1,0)-MATCH($B$1,[1]quests!$1:$1,0)+1,FALSE)</f>
        <v>【火曜限定】 赤の素材</v>
      </c>
      <c r="D56" s="3" t="str">
        <f ca="1">VLOOKUP($B56,OFFSET([1]quests!$A$1,0,0,COUNTA([1]quests!$A:$A),MATCH(D$1,[1]quests!$1:$1,0)-MATCH($B$1,[1]quests!$1:$1,0)+1),MATCH(D$1,[1]quests!$1:$1,0)-MATCH($B$1,[1]quests!$1:$1,0)+1,FALSE)</f>
        <v>火曜クエスト</v>
      </c>
      <c r="E56" s="5">
        <v>2</v>
      </c>
      <c r="F56" s="3" t="str">
        <f ca="1">VLOOKUP($B56&amp;"_"&amp;$E56,OFFSET([1]stages!$A$1,0,0,COUNTA([1]stages!$A:$A),MATCH(F$1,[1]stages!$2:$2,0)-MATCH("temp_stage",[1]stages!$2:$2,0)+1),MATCH(F$1,[1]stages!$2:$2,0)-MATCH("temp_stage",[1]stages!$2:$2,0)+1,FALSE)</f>
        <v xml:space="preserve">【中級】火のウサギ </v>
      </c>
      <c r="G56" s="3" t="str">
        <f ca="1">VLOOKUP($B56&amp;"_"&amp;$E56,OFFSET([1]stages!$A$1,0,0,COUNTA([1]stages!$A:$A),MATCH(G$1,[1]stages!$2:$2,0)-MATCH("temp_stage",[1]stages!$2:$2,0)+1),MATCH(G$1,[1]stages!$2:$2,0)-MATCH("temp_stage",[1]stages!$2:$2,0)+1,FALSE)</f>
        <v>火曜クエスト</v>
      </c>
      <c r="H56" s="18">
        <v>0</v>
      </c>
      <c r="I56">
        <v>28</v>
      </c>
      <c r="J56" s="5" t="s">
        <v>16</v>
      </c>
      <c r="K56" s="35" t="str">
        <f>VLOOKUP(I56,[2]stage_hints!$A:$C,3,FALSE)</f>
        <v>ステータス情報は長押しで</v>
      </c>
      <c r="L56" s="36" t="str">
        <f>VLOOKUP(I56,[2]stage_hints!$A:$D,4,FALSE)</f>
        <v>ユニットのアイコンを長押しすると_x000D_ステータス情報を確認することができます</v>
      </c>
      <c r="M56" s="21" t="s">
        <v>23</v>
      </c>
      <c r="N56">
        <v>28</v>
      </c>
    </row>
    <row r="57" spans="1:14" x14ac:dyDescent="0.15">
      <c r="A57" s="26" t="s">
        <v>32</v>
      </c>
      <c r="B57" s="4">
        <v>11002</v>
      </c>
      <c r="C57" s="3" t="str">
        <f ca="1">VLOOKUP($B57,OFFSET([1]quests!$A$1,0,0,COUNTA([1]quests!$A:$A),MATCH(C$1,[1]quests!$1:$1,0)-MATCH($B$1,[1]quests!$1:$1,0)+1),MATCH(C$1,[1]quests!$1:$1,0)-MATCH($B$1,[1]quests!$1:$1,0)+1,FALSE)</f>
        <v>【火曜限定】 赤の素材</v>
      </c>
      <c r="D57" s="3" t="str">
        <f ca="1">VLOOKUP($B57,OFFSET([1]quests!$A$1,0,0,COUNTA([1]quests!$A:$A),MATCH(D$1,[1]quests!$1:$1,0)-MATCH($B$1,[1]quests!$1:$1,0)+1),MATCH(D$1,[1]quests!$1:$1,0)-MATCH($B$1,[1]quests!$1:$1,0)+1,FALSE)</f>
        <v>火曜クエスト</v>
      </c>
      <c r="E57" s="5">
        <v>2</v>
      </c>
      <c r="F57" s="3" t="str">
        <f ca="1">VLOOKUP($B57&amp;"_"&amp;$E57,OFFSET([1]stages!$A$1,0,0,COUNTA([1]stages!$A:$A),MATCH(F$1,[1]stages!$2:$2,0)-MATCH("temp_stage",[1]stages!$2:$2,0)+1),MATCH(F$1,[1]stages!$2:$2,0)-MATCH("temp_stage",[1]stages!$2:$2,0)+1,FALSE)</f>
        <v xml:space="preserve">【中級】火のウサギ </v>
      </c>
      <c r="G57" s="3" t="str">
        <f ca="1">VLOOKUP($B57&amp;"_"&amp;$E57,OFFSET([1]stages!$A$1,0,0,COUNTA([1]stages!$A:$A),MATCH(G$1,[1]stages!$2:$2,0)-MATCH("temp_stage",[1]stages!$2:$2,0)+1),MATCH(G$1,[1]stages!$2:$2,0)-MATCH("temp_stage",[1]stages!$2:$2,0)+1,FALSE)</f>
        <v>火曜クエスト</v>
      </c>
      <c r="H57" s="18">
        <v>0</v>
      </c>
      <c r="I57">
        <v>29</v>
      </c>
      <c r="J57" s="5" t="s">
        <v>16</v>
      </c>
      <c r="K57" s="35" t="str">
        <f>VLOOKUP(I57,[2]stage_hints!$A:$C,3,FALSE)</f>
        <v>「バグ」のメリット</v>
      </c>
      <c r="L57" s="36" t="str">
        <f>VLOOKUP(I57,[2]stage_hints!$A:$D,4,FALSE)</f>
        <v>ユニットの「バグ」を増やすと_x000D_報酬をもらえる確率がアップします</v>
      </c>
      <c r="M57" s="21" t="s">
        <v>23</v>
      </c>
      <c r="N57">
        <v>29</v>
      </c>
    </row>
    <row r="58" spans="1:14" x14ac:dyDescent="0.15">
      <c r="A58" s="26" t="s">
        <v>32</v>
      </c>
      <c r="B58" s="4">
        <v>11002</v>
      </c>
      <c r="C58" s="3" t="str">
        <f ca="1">VLOOKUP($B58,OFFSET([1]quests!$A$1,0,0,COUNTA([1]quests!$A:$A),MATCH(C$1,[1]quests!$1:$1,0)-MATCH($B$1,[1]quests!$1:$1,0)+1),MATCH(C$1,[1]quests!$1:$1,0)-MATCH($B$1,[1]quests!$1:$1,0)+1,FALSE)</f>
        <v>【火曜限定】 赤の素材</v>
      </c>
      <c r="D58" s="3" t="str">
        <f ca="1">VLOOKUP($B58,OFFSET([1]quests!$A$1,0,0,COUNTA([1]quests!$A:$A),MATCH(D$1,[1]quests!$1:$1,0)-MATCH($B$1,[1]quests!$1:$1,0)+1),MATCH(D$1,[1]quests!$1:$1,0)-MATCH($B$1,[1]quests!$1:$1,0)+1,FALSE)</f>
        <v>火曜クエスト</v>
      </c>
      <c r="E58" s="5">
        <v>2</v>
      </c>
      <c r="F58" s="3" t="str">
        <f ca="1">VLOOKUP($B58&amp;"_"&amp;$E58,OFFSET([1]stages!$A$1,0,0,COUNTA([1]stages!$A:$A),MATCH(F$1,[1]stages!$2:$2,0)-MATCH("temp_stage",[1]stages!$2:$2,0)+1),MATCH(F$1,[1]stages!$2:$2,0)-MATCH("temp_stage",[1]stages!$2:$2,0)+1,FALSE)</f>
        <v xml:space="preserve">【中級】火のウサギ </v>
      </c>
      <c r="G58" s="3" t="str">
        <f ca="1">VLOOKUP($B58&amp;"_"&amp;$E58,OFFSET([1]stages!$A$1,0,0,COUNTA([1]stages!$A:$A),MATCH(G$1,[1]stages!$2:$2,0)-MATCH("temp_stage",[1]stages!$2:$2,0)+1),MATCH(G$1,[1]stages!$2:$2,0)-MATCH("temp_stage",[1]stages!$2:$2,0)+1,FALSE)</f>
        <v>火曜クエスト</v>
      </c>
      <c r="H58" s="18">
        <v>0</v>
      </c>
      <c r="I58">
        <v>30</v>
      </c>
      <c r="J58" s="5" t="s">
        <v>16</v>
      </c>
      <c r="K58" s="35" t="str">
        <f>VLOOKUP(I58,[2]stage_hints!$A:$C,3,FALSE)</f>
        <v>「バグ」の増やし方</v>
      </c>
      <c r="L58" s="36" t="str">
        <f>VLOOKUP(I58,[2]stage_hints!$A:$D,4,FALSE)</f>
        <v>同じユニット同士を強化で合成すると_x000D_「バグ」を増やすことができます</v>
      </c>
      <c r="M58" s="21" t="s">
        <v>23</v>
      </c>
      <c r="N58">
        <v>30</v>
      </c>
    </row>
    <row r="59" spans="1:14" x14ac:dyDescent="0.15">
      <c r="A59" s="26" t="s">
        <v>32</v>
      </c>
      <c r="B59" s="4">
        <v>11002</v>
      </c>
      <c r="C59" s="3" t="str">
        <f ca="1">VLOOKUP($B59,OFFSET([1]quests!$A$1,0,0,COUNTA([1]quests!$A:$A),MATCH(C$1,[1]quests!$1:$1,0)-MATCH($B$1,[1]quests!$1:$1,0)+1),MATCH(C$1,[1]quests!$1:$1,0)-MATCH($B$1,[1]quests!$1:$1,0)+1,FALSE)</f>
        <v>【火曜限定】 赤の素材</v>
      </c>
      <c r="D59" s="3" t="str">
        <f ca="1">VLOOKUP($B59,OFFSET([1]quests!$A$1,0,0,COUNTA([1]quests!$A:$A),MATCH(D$1,[1]quests!$1:$1,0)-MATCH($B$1,[1]quests!$1:$1,0)+1),MATCH(D$1,[1]quests!$1:$1,0)-MATCH($B$1,[1]quests!$1:$1,0)+1,FALSE)</f>
        <v>火曜クエスト</v>
      </c>
      <c r="E59" s="5">
        <v>2</v>
      </c>
      <c r="F59" s="3" t="str">
        <f ca="1">VLOOKUP($B59&amp;"_"&amp;$E59,OFFSET([1]stages!$A$1,0,0,COUNTA([1]stages!$A:$A),MATCH(F$1,[1]stages!$2:$2,0)-MATCH("temp_stage",[1]stages!$2:$2,0)+1),MATCH(F$1,[1]stages!$2:$2,0)-MATCH("temp_stage",[1]stages!$2:$2,0)+1,FALSE)</f>
        <v xml:space="preserve">【中級】火のウサギ </v>
      </c>
      <c r="G59" s="3" t="str">
        <f ca="1">VLOOKUP($B59&amp;"_"&amp;$E59,OFFSET([1]stages!$A$1,0,0,COUNTA([1]stages!$A:$A),MATCH(G$1,[1]stages!$2:$2,0)-MATCH("temp_stage",[1]stages!$2:$2,0)+1),MATCH(G$1,[1]stages!$2:$2,0)-MATCH("temp_stage",[1]stages!$2:$2,0)+1,FALSE)</f>
        <v>火曜クエスト</v>
      </c>
      <c r="H59" s="18">
        <v>0</v>
      </c>
      <c r="I59">
        <v>31</v>
      </c>
      <c r="J59" s="5" t="s">
        <v>16</v>
      </c>
      <c r="K59" s="35" t="str">
        <f>VLOOKUP(I59,[2]stage_hints!$A:$C,3,FALSE)</f>
        <v>イベントはお知らせでチェック</v>
      </c>
      <c r="L59" s="36" t="str">
        <f>VLOOKUP(I59,[2]stage_hints!$A:$D,4,FALSE)</f>
        <v>イベント限定ユニットを取り忘れないように_x000D_お知らせをこまめにチェックしましょう</v>
      </c>
      <c r="M59" s="21" t="s">
        <v>23</v>
      </c>
      <c r="N59">
        <v>31</v>
      </c>
    </row>
    <row r="60" spans="1:14" x14ac:dyDescent="0.15">
      <c r="A60" s="26" t="s">
        <v>32</v>
      </c>
      <c r="B60" s="4">
        <v>11002</v>
      </c>
      <c r="C60" s="3" t="str">
        <f ca="1">VLOOKUP($B60,OFFSET([1]quests!$A$1,0,0,COUNTA([1]quests!$A:$A),MATCH(C$1,[1]quests!$1:$1,0)-MATCH($B$1,[1]quests!$1:$1,0)+1),MATCH(C$1,[1]quests!$1:$1,0)-MATCH($B$1,[1]quests!$1:$1,0)+1,FALSE)</f>
        <v>【火曜限定】 赤の素材</v>
      </c>
      <c r="D60" s="3" t="str">
        <f ca="1">VLOOKUP($B60,OFFSET([1]quests!$A$1,0,0,COUNTA([1]quests!$A:$A),MATCH(D$1,[1]quests!$1:$1,0)-MATCH($B$1,[1]quests!$1:$1,0)+1),MATCH(D$1,[1]quests!$1:$1,0)-MATCH($B$1,[1]quests!$1:$1,0)+1,FALSE)</f>
        <v>火曜クエスト</v>
      </c>
      <c r="E60" s="5">
        <v>2</v>
      </c>
      <c r="F60" s="3" t="str">
        <f ca="1">VLOOKUP($B60&amp;"_"&amp;$E60,OFFSET([1]stages!$A$1,0,0,COUNTA([1]stages!$A:$A),MATCH(F$1,[1]stages!$2:$2,0)-MATCH("temp_stage",[1]stages!$2:$2,0)+1),MATCH(F$1,[1]stages!$2:$2,0)-MATCH("temp_stage",[1]stages!$2:$2,0)+1,FALSE)</f>
        <v xml:space="preserve">【中級】火のウサギ </v>
      </c>
      <c r="G60" s="3" t="str">
        <f ca="1">VLOOKUP($B60&amp;"_"&amp;$E60,OFFSET([1]stages!$A$1,0,0,COUNTA([1]stages!$A:$A),MATCH(G$1,[1]stages!$2:$2,0)-MATCH("temp_stage",[1]stages!$2:$2,0)+1),MATCH(G$1,[1]stages!$2:$2,0)-MATCH("temp_stage",[1]stages!$2:$2,0)+1,FALSE)</f>
        <v>火曜クエスト</v>
      </c>
      <c r="H60" s="18">
        <v>0</v>
      </c>
      <c r="I60">
        <v>32</v>
      </c>
      <c r="J60" s="5" t="s">
        <v>16</v>
      </c>
      <c r="K60" s="35" t="str">
        <f>VLOOKUP(I60,[2]stage_hints!$A:$C,3,FALSE)</f>
        <v>敵の連続攻撃には</v>
      </c>
      <c r="L60" s="36" t="str">
        <f>VLOOKUP(I60,[2]stage_hints!$A:$D,4,FALSE)</f>
        <v>カウンタースキルを持つユニットがいれば_x000D_ダメージ回数分の反撃ができます</v>
      </c>
      <c r="M60" s="21" t="s">
        <v>23</v>
      </c>
      <c r="N60">
        <v>32</v>
      </c>
    </row>
    <row r="61" spans="1:14" x14ac:dyDescent="0.15">
      <c r="A61" s="26" t="s">
        <v>32</v>
      </c>
      <c r="B61" s="4">
        <v>11002</v>
      </c>
      <c r="C61" s="3" t="str">
        <f ca="1">VLOOKUP($B61,OFFSET([1]quests!$A$1,0,0,COUNTA([1]quests!$A:$A),MATCH(C$1,[1]quests!$1:$1,0)-MATCH($B$1,[1]quests!$1:$1,0)+1),MATCH(C$1,[1]quests!$1:$1,0)-MATCH($B$1,[1]quests!$1:$1,0)+1,FALSE)</f>
        <v>【火曜限定】 赤の素材</v>
      </c>
      <c r="D61" s="3" t="str">
        <f ca="1">VLOOKUP($B61,OFFSET([1]quests!$A$1,0,0,COUNTA([1]quests!$A:$A),MATCH(D$1,[1]quests!$1:$1,0)-MATCH($B$1,[1]quests!$1:$1,0)+1),MATCH(D$1,[1]quests!$1:$1,0)-MATCH($B$1,[1]quests!$1:$1,0)+1,FALSE)</f>
        <v>火曜クエスト</v>
      </c>
      <c r="E61" s="5">
        <v>2</v>
      </c>
      <c r="F61" s="3" t="str">
        <f ca="1">VLOOKUP($B61&amp;"_"&amp;$E61,OFFSET([1]stages!$A$1,0,0,COUNTA([1]stages!$A:$A),MATCH(F$1,[1]stages!$2:$2,0)-MATCH("temp_stage",[1]stages!$2:$2,0)+1),MATCH(F$1,[1]stages!$2:$2,0)-MATCH("temp_stage",[1]stages!$2:$2,0)+1,FALSE)</f>
        <v xml:space="preserve">【中級】火のウサギ </v>
      </c>
      <c r="G61" s="3" t="str">
        <f ca="1">VLOOKUP($B61&amp;"_"&amp;$E61,OFFSET([1]stages!$A$1,0,0,COUNTA([1]stages!$A:$A),MATCH(G$1,[1]stages!$2:$2,0)-MATCH("temp_stage",[1]stages!$2:$2,0)+1),MATCH(G$1,[1]stages!$2:$2,0)-MATCH("temp_stage",[1]stages!$2:$2,0)+1,FALSE)</f>
        <v>火曜クエスト</v>
      </c>
      <c r="H61" s="18">
        <v>0</v>
      </c>
      <c r="I61">
        <v>33</v>
      </c>
      <c r="J61" s="5" t="s">
        <v>16</v>
      </c>
      <c r="K61" s="35" t="str">
        <f>VLOOKUP(I61,[2]stage_hints!$A:$C,3,FALSE)</f>
        <v>敵のカウンター攻撃には</v>
      </c>
      <c r="L61" s="36" t="str">
        <f>VLOOKUP(I61,[2]stage_hints!$A:$D,4,FALSE)</f>
        <v>カウンターブレイクスキルを持っていれば_x000D_敵のカウンターを解除して攻撃ができます</v>
      </c>
      <c r="M61" s="21" t="s">
        <v>23</v>
      </c>
      <c r="N61">
        <v>33</v>
      </c>
    </row>
    <row r="62" spans="1:14" x14ac:dyDescent="0.15">
      <c r="A62" s="26" t="s">
        <v>32</v>
      </c>
      <c r="B62" s="4">
        <v>11002</v>
      </c>
      <c r="C62" s="3" t="str">
        <f ca="1">VLOOKUP($B62,OFFSET([1]quests!$A$1,0,0,COUNTA([1]quests!$A:$A),MATCH(C$1,[1]quests!$1:$1,0)-MATCH($B$1,[1]quests!$1:$1,0)+1),MATCH(C$1,[1]quests!$1:$1,0)-MATCH($B$1,[1]quests!$1:$1,0)+1,FALSE)</f>
        <v>【火曜限定】 赤の素材</v>
      </c>
      <c r="D62" s="3" t="str">
        <f ca="1">VLOOKUP($B62,OFFSET([1]quests!$A$1,0,0,COUNTA([1]quests!$A:$A),MATCH(D$1,[1]quests!$1:$1,0)-MATCH($B$1,[1]quests!$1:$1,0)+1),MATCH(D$1,[1]quests!$1:$1,0)-MATCH($B$1,[1]quests!$1:$1,0)+1,FALSE)</f>
        <v>火曜クエスト</v>
      </c>
      <c r="E62" s="5">
        <v>2</v>
      </c>
      <c r="F62" s="3" t="str">
        <f ca="1">VLOOKUP($B62&amp;"_"&amp;$E62,OFFSET([1]stages!$A$1,0,0,COUNTA([1]stages!$A:$A),MATCH(F$1,[1]stages!$2:$2,0)-MATCH("temp_stage",[1]stages!$2:$2,0)+1),MATCH(F$1,[1]stages!$2:$2,0)-MATCH("temp_stage",[1]stages!$2:$2,0)+1,FALSE)</f>
        <v xml:space="preserve">【中級】火のウサギ </v>
      </c>
      <c r="G62" s="3" t="str">
        <f ca="1">VLOOKUP($B62&amp;"_"&amp;$E62,OFFSET([1]stages!$A$1,0,0,COUNTA([1]stages!$A:$A),MATCH(G$1,[1]stages!$2:$2,0)-MATCH("temp_stage",[1]stages!$2:$2,0)+1),MATCH(G$1,[1]stages!$2:$2,0)-MATCH("temp_stage",[1]stages!$2:$2,0)+1,FALSE)</f>
        <v>火曜クエスト</v>
      </c>
      <c r="H62" s="18">
        <v>0</v>
      </c>
      <c r="I62">
        <v>34</v>
      </c>
      <c r="J62" s="5" t="s">
        <v>16</v>
      </c>
      <c r="K62" s="35" t="str">
        <f>VLOOKUP(I62,[2]stage_hints!$A:$C,3,FALSE)</f>
        <v>ステータスをスキルで下げられたら</v>
      </c>
      <c r="L62" s="36" t="str">
        <f>VLOOKUP(I62,[2]stage_hints!$A:$D,4,FALSE)</f>
        <v>ステータスダウンのスキルを受けたら_x000D_ステータスアップスキルで上書きしましょう</v>
      </c>
      <c r="M62" s="21" t="s">
        <v>23</v>
      </c>
      <c r="N62">
        <v>34</v>
      </c>
    </row>
    <row r="63" spans="1:14" x14ac:dyDescent="0.15">
      <c r="A63" s="26" t="s">
        <v>32</v>
      </c>
      <c r="B63" s="4">
        <v>11002</v>
      </c>
      <c r="C63" s="3" t="str">
        <f ca="1">VLOOKUP($B63,OFFSET([1]quests!$A$1,0,0,COUNTA([1]quests!$A:$A),MATCH(C$1,[1]quests!$1:$1,0)-MATCH($B$1,[1]quests!$1:$1,0)+1),MATCH(C$1,[1]quests!$1:$1,0)-MATCH($B$1,[1]quests!$1:$1,0)+1,FALSE)</f>
        <v>【火曜限定】 赤の素材</v>
      </c>
      <c r="D63" s="3" t="str">
        <f ca="1">VLOOKUP($B63,OFFSET([1]quests!$A$1,0,0,COUNTA([1]quests!$A:$A),MATCH(D$1,[1]quests!$1:$1,0)-MATCH($B$1,[1]quests!$1:$1,0)+1),MATCH(D$1,[1]quests!$1:$1,0)-MATCH($B$1,[1]quests!$1:$1,0)+1,FALSE)</f>
        <v>火曜クエスト</v>
      </c>
      <c r="E63" s="5">
        <v>2</v>
      </c>
      <c r="F63" s="3" t="str">
        <f ca="1">VLOOKUP($B63&amp;"_"&amp;$E63,OFFSET([1]stages!$A$1,0,0,COUNTA([1]stages!$A:$A),MATCH(F$1,[1]stages!$2:$2,0)-MATCH("temp_stage",[1]stages!$2:$2,0)+1),MATCH(F$1,[1]stages!$2:$2,0)-MATCH("temp_stage",[1]stages!$2:$2,0)+1,FALSE)</f>
        <v xml:space="preserve">【中級】火のウサギ </v>
      </c>
      <c r="G63" s="3" t="str">
        <f ca="1">VLOOKUP($B63&amp;"_"&amp;$E63,OFFSET([1]stages!$A$1,0,0,COUNTA([1]stages!$A:$A),MATCH(G$1,[1]stages!$2:$2,0)-MATCH("temp_stage",[1]stages!$2:$2,0)+1),MATCH(G$1,[1]stages!$2:$2,0)-MATCH("temp_stage",[1]stages!$2:$2,0)+1,FALSE)</f>
        <v>火曜クエスト</v>
      </c>
      <c r="H63" s="18">
        <v>0</v>
      </c>
      <c r="I63">
        <v>35</v>
      </c>
      <c r="J63" s="5" t="s">
        <v>16</v>
      </c>
      <c r="K63" s="35" t="str">
        <f>VLOOKUP(I63,[2]stage_hints!$A:$C,3,FALSE)</f>
        <v>敵のステータスがスキルで上がったら</v>
      </c>
      <c r="L63" s="36" t="str">
        <f>VLOOKUP(I63,[2]stage_hints!$A:$D,4,FALSE)</f>
        <v>敵のステータスがスキルでアップしたときは_x000D_ステータスダウンスキルで上書きしましょう</v>
      </c>
      <c r="M63" s="21" t="s">
        <v>23</v>
      </c>
      <c r="N63">
        <v>35</v>
      </c>
    </row>
    <row r="64" spans="1:14" x14ac:dyDescent="0.15">
      <c r="A64" s="26" t="s">
        <v>32</v>
      </c>
      <c r="B64" s="4">
        <v>11003</v>
      </c>
      <c r="C64" s="3" t="str">
        <f ca="1">VLOOKUP($B64,OFFSET([1]quests!$A$1,0,0,COUNTA([1]quests!$A:$A),MATCH(C$1,[1]quests!$1:$1,0)-MATCH($B$1,[1]quests!$1:$1,0)+1),MATCH(C$1,[1]quests!$1:$1,0)-MATCH($B$1,[1]quests!$1:$1,0)+1,FALSE)</f>
        <v>【水曜限定】 青の素材</v>
      </c>
      <c r="D64" s="3" t="str">
        <f ca="1">VLOOKUP($B64,OFFSET([1]quests!$A$1,0,0,COUNTA([1]quests!$A:$A),MATCH(D$1,[1]quests!$1:$1,0)-MATCH($B$1,[1]quests!$1:$1,0)+1),MATCH(D$1,[1]quests!$1:$1,0)-MATCH($B$1,[1]quests!$1:$1,0)+1,FALSE)</f>
        <v>水曜クエスト</v>
      </c>
      <c r="E64" s="5">
        <v>2</v>
      </c>
      <c r="F64" s="3" t="str">
        <f ca="1">VLOOKUP($B64&amp;"_"&amp;$E64,OFFSET([1]stages!$A$1,0,0,COUNTA([1]stages!$A:$A),MATCH(F$1,[1]stages!$2:$2,0)-MATCH("temp_stage",[1]stages!$2:$2,0)+1),MATCH(F$1,[1]stages!$2:$2,0)-MATCH("temp_stage",[1]stages!$2:$2,0)+1,FALSE)</f>
        <v xml:space="preserve">【中級】水のウサギ </v>
      </c>
      <c r="G64" s="3" t="str">
        <f ca="1">VLOOKUP($B64&amp;"_"&amp;$E64,OFFSET([1]stages!$A$1,0,0,COUNTA([1]stages!$A:$A),MATCH(G$1,[1]stages!$2:$2,0)-MATCH("temp_stage",[1]stages!$2:$2,0)+1),MATCH(G$1,[1]stages!$2:$2,0)-MATCH("temp_stage",[1]stages!$2:$2,0)+1,FALSE)</f>
        <v>水曜クエスト</v>
      </c>
      <c r="H64" s="18">
        <v>0</v>
      </c>
      <c r="I64">
        <v>3</v>
      </c>
      <c r="J64" s="5" t="s">
        <v>16</v>
      </c>
      <c r="K64" s="35" t="str">
        <f>VLOOKUP(I64,[2]stage_hints!$A:$C,3,FALSE)</f>
        <v>ターゲット</v>
      </c>
      <c r="L64" s="36" t="str">
        <f>VLOOKUP(I64,[2]stage_hints!$A:$D,4,FALSE)</f>
        <v>敵ユニットをタップすると_x000D_その敵を狙い撃ちできます</v>
      </c>
      <c r="M64" s="21" t="s">
        <v>23</v>
      </c>
      <c r="N64">
        <v>3</v>
      </c>
    </row>
    <row r="65" spans="1:14" x14ac:dyDescent="0.15">
      <c r="A65" s="26" t="s">
        <v>32</v>
      </c>
      <c r="B65" s="4">
        <v>11003</v>
      </c>
      <c r="C65" s="3" t="str">
        <f ca="1">VLOOKUP($B65,OFFSET([1]quests!$A$1,0,0,COUNTA([1]quests!$A:$A),MATCH(C$1,[1]quests!$1:$1,0)-MATCH($B$1,[1]quests!$1:$1,0)+1),MATCH(C$1,[1]quests!$1:$1,0)-MATCH($B$1,[1]quests!$1:$1,0)+1,FALSE)</f>
        <v>【水曜限定】 青の素材</v>
      </c>
      <c r="D65" s="3" t="str">
        <f ca="1">VLOOKUP($B65,OFFSET([1]quests!$A$1,0,0,COUNTA([1]quests!$A:$A),MATCH(D$1,[1]quests!$1:$1,0)-MATCH($B$1,[1]quests!$1:$1,0)+1),MATCH(D$1,[1]quests!$1:$1,0)-MATCH($B$1,[1]quests!$1:$1,0)+1,FALSE)</f>
        <v>水曜クエスト</v>
      </c>
      <c r="E65" s="5">
        <v>2</v>
      </c>
      <c r="F65" s="3" t="str">
        <f ca="1">VLOOKUP($B65&amp;"_"&amp;$E65,OFFSET([1]stages!$A$1,0,0,COUNTA([1]stages!$A:$A),MATCH(F$1,[1]stages!$2:$2,0)-MATCH("temp_stage",[1]stages!$2:$2,0)+1),MATCH(F$1,[1]stages!$2:$2,0)-MATCH("temp_stage",[1]stages!$2:$2,0)+1,FALSE)</f>
        <v xml:space="preserve">【中級】水のウサギ </v>
      </c>
      <c r="G65" s="3" t="str">
        <f ca="1">VLOOKUP($B65&amp;"_"&amp;$E65,OFFSET([1]stages!$A$1,0,0,COUNTA([1]stages!$A:$A),MATCH(G$1,[1]stages!$2:$2,0)-MATCH("temp_stage",[1]stages!$2:$2,0)+1),MATCH(G$1,[1]stages!$2:$2,0)-MATCH("temp_stage",[1]stages!$2:$2,0)+1,FALSE)</f>
        <v>水曜クエスト</v>
      </c>
      <c r="H65" s="18">
        <v>0</v>
      </c>
      <c r="I65">
        <v>6</v>
      </c>
      <c r="J65" s="5" t="s">
        <v>16</v>
      </c>
      <c r="K65" s="35" t="str">
        <f>VLOOKUP(I65,[2]stage_hints!$A:$C,3,FALSE)</f>
        <v>ユニット強化の属性ボーナス</v>
      </c>
      <c r="L65" s="36" t="str">
        <f>VLOOKUP(I65,[2]stage_hints!$A:$D,4,FALSE)</f>
        <v>同属性ユニットを強化素材にすると_x000D_経験値が多くもらえます</v>
      </c>
      <c r="M65" s="21" t="s">
        <v>23</v>
      </c>
      <c r="N65">
        <v>6</v>
      </c>
    </row>
    <row r="66" spans="1:14" x14ac:dyDescent="0.15">
      <c r="A66" s="26" t="s">
        <v>32</v>
      </c>
      <c r="B66" s="4">
        <v>11003</v>
      </c>
      <c r="C66" s="3" t="str">
        <f ca="1">VLOOKUP($B66,OFFSET([1]quests!$A$1,0,0,COUNTA([1]quests!$A:$A),MATCH(C$1,[1]quests!$1:$1,0)-MATCH($B$1,[1]quests!$1:$1,0)+1),MATCH(C$1,[1]quests!$1:$1,0)-MATCH($B$1,[1]quests!$1:$1,0)+1,FALSE)</f>
        <v>【水曜限定】 青の素材</v>
      </c>
      <c r="D66" s="3" t="str">
        <f ca="1">VLOOKUP($B66,OFFSET([1]quests!$A$1,0,0,COUNTA([1]quests!$A:$A),MATCH(D$1,[1]quests!$1:$1,0)-MATCH($B$1,[1]quests!$1:$1,0)+1),MATCH(D$1,[1]quests!$1:$1,0)-MATCH($B$1,[1]quests!$1:$1,0)+1,FALSE)</f>
        <v>水曜クエスト</v>
      </c>
      <c r="E66" s="5">
        <v>2</v>
      </c>
      <c r="F66" s="3" t="str">
        <f ca="1">VLOOKUP($B66&amp;"_"&amp;$E66,OFFSET([1]stages!$A$1,0,0,COUNTA([1]stages!$A:$A),MATCH(F$1,[1]stages!$2:$2,0)-MATCH("temp_stage",[1]stages!$2:$2,0)+1),MATCH(F$1,[1]stages!$2:$2,0)-MATCH("temp_stage",[1]stages!$2:$2,0)+1,FALSE)</f>
        <v xml:space="preserve">【中級】水のウサギ </v>
      </c>
      <c r="G66" s="3" t="str">
        <f ca="1">VLOOKUP($B66&amp;"_"&amp;$E66,OFFSET([1]stages!$A$1,0,0,COUNTA([1]stages!$A:$A),MATCH(G$1,[1]stages!$2:$2,0)-MATCH("temp_stage",[1]stages!$2:$2,0)+1),MATCH(G$1,[1]stages!$2:$2,0)-MATCH("temp_stage",[1]stages!$2:$2,0)+1,FALSE)</f>
        <v>水曜クエスト</v>
      </c>
      <c r="H66" s="18">
        <v>0</v>
      </c>
      <c r="I66">
        <v>7</v>
      </c>
      <c r="J66" s="5" t="s">
        <v>16</v>
      </c>
      <c r="K66" s="35" t="str">
        <f>VLOOKUP(I66,[2]stage_hints!$A:$C,3,FALSE)</f>
        <v>メタルダックで経験値を獲得</v>
      </c>
      <c r="L66" s="36" t="str">
        <f>VLOOKUP(I66,[2]stage_hints!$A:$D,4,FALSE)</f>
        <v>「メタルなアヒル」を強化素材にすると_x000D_大量の経験値がもらえます</v>
      </c>
      <c r="M66" s="21" t="s">
        <v>23</v>
      </c>
      <c r="N66">
        <v>7</v>
      </c>
    </row>
    <row r="67" spans="1:14" x14ac:dyDescent="0.15">
      <c r="A67" s="26" t="s">
        <v>32</v>
      </c>
      <c r="B67" s="4">
        <v>11003</v>
      </c>
      <c r="C67" s="3" t="str">
        <f ca="1">VLOOKUP($B67,OFFSET([1]quests!$A$1,0,0,COUNTA([1]quests!$A:$A),MATCH(C$1,[1]quests!$1:$1,0)-MATCH($B$1,[1]quests!$1:$1,0)+1),MATCH(C$1,[1]quests!$1:$1,0)-MATCH($B$1,[1]quests!$1:$1,0)+1,FALSE)</f>
        <v>【水曜限定】 青の素材</v>
      </c>
      <c r="D67" s="3" t="str">
        <f ca="1">VLOOKUP($B67,OFFSET([1]quests!$A$1,0,0,COUNTA([1]quests!$A:$A),MATCH(D$1,[1]quests!$1:$1,0)-MATCH($B$1,[1]quests!$1:$1,0)+1),MATCH(D$1,[1]quests!$1:$1,0)-MATCH($B$1,[1]quests!$1:$1,0)+1,FALSE)</f>
        <v>水曜クエスト</v>
      </c>
      <c r="E67" s="5">
        <v>2</v>
      </c>
      <c r="F67" s="3" t="str">
        <f ca="1">VLOOKUP($B67&amp;"_"&amp;$E67,OFFSET([1]stages!$A$1,0,0,COUNTA([1]stages!$A:$A),MATCH(F$1,[1]stages!$2:$2,0)-MATCH("temp_stage",[1]stages!$2:$2,0)+1),MATCH(F$1,[1]stages!$2:$2,0)-MATCH("temp_stage",[1]stages!$2:$2,0)+1,FALSE)</f>
        <v xml:space="preserve">【中級】水のウサギ </v>
      </c>
      <c r="G67" s="3" t="str">
        <f ca="1">VLOOKUP($B67&amp;"_"&amp;$E67,OFFSET([1]stages!$A$1,0,0,COUNTA([1]stages!$A:$A),MATCH(G$1,[1]stages!$2:$2,0)-MATCH("temp_stage",[1]stages!$2:$2,0)+1),MATCH(G$1,[1]stages!$2:$2,0)-MATCH("temp_stage",[1]stages!$2:$2,0)+1,FALSE)</f>
        <v>水曜クエスト</v>
      </c>
      <c r="H67" s="18">
        <v>0</v>
      </c>
      <c r="I67">
        <v>8</v>
      </c>
      <c r="J67" s="5" t="s">
        <v>16</v>
      </c>
      <c r="K67" s="35" t="str">
        <f>VLOOKUP(I67,[2]stage_hints!$A:$C,3,FALSE)</f>
        <v>ゲリラクエストは要チェック</v>
      </c>
      <c r="L67" s="36" t="str">
        <f>VLOOKUP(I67,[2]stage_hints!$A:$D,4,FALSE)</f>
        <v>時間限定の「アヒル捕獲作戦」では_x000D_経験値素材ユニットが多く手に入ります</v>
      </c>
      <c r="M67" s="21" t="s">
        <v>23</v>
      </c>
      <c r="N67">
        <v>8</v>
      </c>
    </row>
    <row r="68" spans="1:14" x14ac:dyDescent="0.15">
      <c r="A68" s="26" t="s">
        <v>32</v>
      </c>
      <c r="B68" s="4">
        <v>11003</v>
      </c>
      <c r="C68" s="3" t="str">
        <f ca="1">VLOOKUP($B68,OFFSET([1]quests!$A$1,0,0,COUNTA([1]quests!$A:$A),MATCH(C$1,[1]quests!$1:$1,0)-MATCH($B$1,[1]quests!$1:$1,0)+1),MATCH(C$1,[1]quests!$1:$1,0)-MATCH($B$1,[1]quests!$1:$1,0)+1,FALSE)</f>
        <v>【水曜限定】 青の素材</v>
      </c>
      <c r="D68" s="3" t="str">
        <f ca="1">VLOOKUP($B68,OFFSET([1]quests!$A$1,0,0,COUNTA([1]quests!$A:$A),MATCH(D$1,[1]quests!$1:$1,0)-MATCH($B$1,[1]quests!$1:$1,0)+1),MATCH(D$1,[1]quests!$1:$1,0)-MATCH($B$1,[1]quests!$1:$1,0)+1,FALSE)</f>
        <v>水曜クエスト</v>
      </c>
      <c r="E68" s="5">
        <v>2</v>
      </c>
      <c r="F68" s="3" t="str">
        <f ca="1">VLOOKUP($B68&amp;"_"&amp;$E68,OFFSET([1]stages!$A$1,0,0,COUNTA([1]stages!$A:$A),MATCH(F$1,[1]stages!$2:$2,0)-MATCH("temp_stage",[1]stages!$2:$2,0)+1),MATCH(F$1,[1]stages!$2:$2,0)-MATCH("temp_stage",[1]stages!$2:$2,0)+1,FALSE)</f>
        <v xml:space="preserve">【中級】水のウサギ </v>
      </c>
      <c r="G68" s="3" t="str">
        <f ca="1">VLOOKUP($B68&amp;"_"&amp;$E68,OFFSET([1]stages!$A$1,0,0,COUNTA([1]stages!$A:$A),MATCH(G$1,[1]stages!$2:$2,0)-MATCH("temp_stage",[1]stages!$2:$2,0)+1),MATCH(G$1,[1]stages!$2:$2,0)-MATCH("temp_stage",[1]stages!$2:$2,0)+1,FALSE)</f>
        <v>水曜クエスト</v>
      </c>
      <c r="H68" s="18">
        <v>0</v>
      </c>
      <c r="I68">
        <v>9</v>
      </c>
      <c r="J68" s="5" t="s">
        <v>16</v>
      </c>
      <c r="K68" s="35" t="str">
        <f>VLOOKUP(I68,[2]stage_hints!$A:$C,3,FALSE)</f>
        <v>ゴールドダックでビットを獲得</v>
      </c>
      <c r="L68" s="36" t="str">
        <f>VLOOKUP(I68,[2]stage_hints!$A:$D,4,FALSE)</f>
        <v>「ゴールドなアヒル」を売却すると_x000D_大量のビットがもらえます</v>
      </c>
      <c r="M68" s="21" t="s">
        <v>23</v>
      </c>
      <c r="N68">
        <v>9</v>
      </c>
    </row>
    <row r="69" spans="1:14" x14ac:dyDescent="0.15">
      <c r="A69" s="26" t="s">
        <v>32</v>
      </c>
      <c r="B69" s="4">
        <v>11003</v>
      </c>
      <c r="C69" s="3" t="str">
        <f ca="1">VLOOKUP($B69,OFFSET([1]quests!$A$1,0,0,COUNTA([1]quests!$A:$A),MATCH(C$1,[1]quests!$1:$1,0)-MATCH($B$1,[1]quests!$1:$1,0)+1),MATCH(C$1,[1]quests!$1:$1,0)-MATCH($B$1,[1]quests!$1:$1,0)+1,FALSE)</f>
        <v>【水曜限定】 青の素材</v>
      </c>
      <c r="D69" s="3" t="str">
        <f ca="1">VLOOKUP($B69,OFFSET([1]quests!$A$1,0,0,COUNTA([1]quests!$A:$A),MATCH(D$1,[1]quests!$1:$1,0)-MATCH($B$1,[1]quests!$1:$1,0)+1),MATCH(D$1,[1]quests!$1:$1,0)-MATCH($B$1,[1]quests!$1:$1,0)+1,FALSE)</f>
        <v>水曜クエスト</v>
      </c>
      <c r="E69" s="5">
        <v>2</v>
      </c>
      <c r="F69" s="3" t="str">
        <f ca="1">VLOOKUP($B69&amp;"_"&amp;$E69,OFFSET([1]stages!$A$1,0,0,COUNTA([1]stages!$A:$A),MATCH(F$1,[1]stages!$2:$2,0)-MATCH("temp_stage",[1]stages!$2:$2,0)+1),MATCH(F$1,[1]stages!$2:$2,0)-MATCH("temp_stage",[1]stages!$2:$2,0)+1,FALSE)</f>
        <v xml:space="preserve">【中級】水のウサギ </v>
      </c>
      <c r="G69" s="3" t="str">
        <f ca="1">VLOOKUP($B69&amp;"_"&amp;$E69,OFFSET([1]stages!$A$1,0,0,COUNTA([1]stages!$A:$A),MATCH(G$1,[1]stages!$2:$2,0)-MATCH("temp_stage",[1]stages!$2:$2,0)+1),MATCH(G$1,[1]stages!$2:$2,0)-MATCH("temp_stage",[1]stages!$2:$2,0)+1,FALSE)</f>
        <v>水曜クエスト</v>
      </c>
      <c r="H69" s="18">
        <v>0</v>
      </c>
      <c r="I69">
        <v>10</v>
      </c>
      <c r="J69" s="5" t="s">
        <v>16</v>
      </c>
      <c r="K69" s="35" t="str">
        <f>VLOOKUP(I69,[2]stage_hints!$A:$C,3,FALSE)</f>
        <v>土日に大量のビットを獲得</v>
      </c>
      <c r="L69" s="36" t="str">
        <f>VLOOKUP(I69,[2]stage_hints!$A:$D,4,FALSE)</f>
        <v>土日限定の「ゴールドカジノ」では_x000D_売却素材ユニットが多く手に入ります</v>
      </c>
      <c r="M69" s="21" t="s">
        <v>23</v>
      </c>
      <c r="N69">
        <v>10</v>
      </c>
    </row>
    <row r="70" spans="1:14" x14ac:dyDescent="0.15">
      <c r="A70" s="26" t="s">
        <v>32</v>
      </c>
      <c r="B70" s="4">
        <v>11003</v>
      </c>
      <c r="C70" s="3" t="str">
        <f ca="1">VLOOKUP($B70,OFFSET([1]quests!$A$1,0,0,COUNTA([1]quests!$A:$A),MATCH(C$1,[1]quests!$1:$1,0)-MATCH($B$1,[1]quests!$1:$1,0)+1),MATCH(C$1,[1]quests!$1:$1,0)-MATCH($B$1,[1]quests!$1:$1,0)+1,FALSE)</f>
        <v>【水曜限定】 青の素材</v>
      </c>
      <c r="D70" s="3" t="str">
        <f ca="1">VLOOKUP($B70,OFFSET([1]quests!$A$1,0,0,COUNTA([1]quests!$A:$A),MATCH(D$1,[1]quests!$1:$1,0)-MATCH($B$1,[1]quests!$1:$1,0)+1),MATCH(D$1,[1]quests!$1:$1,0)-MATCH($B$1,[1]quests!$1:$1,0)+1,FALSE)</f>
        <v>水曜クエスト</v>
      </c>
      <c r="E70" s="5">
        <v>2</v>
      </c>
      <c r="F70" s="3" t="str">
        <f ca="1">VLOOKUP($B70&amp;"_"&amp;$E70,OFFSET([1]stages!$A$1,0,0,COUNTA([1]stages!$A:$A),MATCH(F$1,[1]stages!$2:$2,0)-MATCH("temp_stage",[1]stages!$2:$2,0)+1),MATCH(F$1,[1]stages!$2:$2,0)-MATCH("temp_stage",[1]stages!$2:$2,0)+1,FALSE)</f>
        <v xml:space="preserve">【中級】水のウサギ </v>
      </c>
      <c r="G70" s="3" t="str">
        <f ca="1">VLOOKUP($B70&amp;"_"&amp;$E70,OFFSET([1]stages!$A$1,0,0,COUNTA([1]stages!$A:$A),MATCH(G$1,[1]stages!$2:$2,0)-MATCH("temp_stage",[1]stages!$2:$2,0)+1),MATCH(G$1,[1]stages!$2:$2,0)-MATCH("temp_stage",[1]stages!$2:$2,0)+1,FALSE)</f>
        <v>水曜クエスト</v>
      </c>
      <c r="H70" s="18">
        <v>0</v>
      </c>
      <c r="I70">
        <v>11</v>
      </c>
      <c r="J70" s="5" t="s">
        <v>16</v>
      </c>
      <c r="K70" s="35" t="str">
        <f>VLOOKUP(I70,[2]stage_hints!$A:$C,3,FALSE)</f>
        <v>ランク解放クエスト</v>
      </c>
      <c r="L70" s="36" t="str">
        <f>VLOOKUP(I70,[2]stage_hints!$A:$D,4,FALSE)</f>
        <v>一定ランクに到達すると_x000D_報酬付きのランク開放クエストが現れます</v>
      </c>
      <c r="M70" s="21" t="s">
        <v>23</v>
      </c>
      <c r="N70">
        <v>11</v>
      </c>
    </row>
    <row r="71" spans="1:14" x14ac:dyDescent="0.15">
      <c r="A71" s="26" t="s">
        <v>32</v>
      </c>
      <c r="B71" s="4">
        <v>11003</v>
      </c>
      <c r="C71" s="3" t="str">
        <f ca="1">VLOOKUP($B71,OFFSET([1]quests!$A$1,0,0,COUNTA([1]quests!$A:$A),MATCH(C$1,[1]quests!$1:$1,0)-MATCH($B$1,[1]quests!$1:$1,0)+1),MATCH(C$1,[1]quests!$1:$1,0)-MATCH($B$1,[1]quests!$1:$1,0)+1,FALSE)</f>
        <v>【水曜限定】 青の素材</v>
      </c>
      <c r="D71" s="3" t="str">
        <f ca="1">VLOOKUP($B71,OFFSET([1]quests!$A$1,0,0,COUNTA([1]quests!$A:$A),MATCH(D$1,[1]quests!$1:$1,0)-MATCH($B$1,[1]quests!$1:$1,0)+1),MATCH(D$1,[1]quests!$1:$1,0)-MATCH($B$1,[1]quests!$1:$1,0)+1,FALSE)</f>
        <v>水曜クエスト</v>
      </c>
      <c r="E71" s="5">
        <v>2</v>
      </c>
      <c r="F71" s="3" t="str">
        <f ca="1">VLOOKUP($B71&amp;"_"&amp;$E71,OFFSET([1]stages!$A$1,0,0,COUNTA([1]stages!$A:$A),MATCH(F$1,[1]stages!$2:$2,0)-MATCH("temp_stage",[1]stages!$2:$2,0)+1),MATCH(F$1,[1]stages!$2:$2,0)-MATCH("temp_stage",[1]stages!$2:$2,0)+1,FALSE)</f>
        <v xml:space="preserve">【中級】水のウサギ </v>
      </c>
      <c r="G71" s="3" t="str">
        <f ca="1">VLOOKUP($B71&amp;"_"&amp;$E71,OFFSET([1]stages!$A$1,0,0,COUNTA([1]stages!$A:$A),MATCH(G$1,[1]stages!$2:$2,0)-MATCH("temp_stage",[1]stages!$2:$2,0)+1),MATCH(G$1,[1]stages!$2:$2,0)-MATCH("temp_stage",[1]stages!$2:$2,0)+1,FALSE)</f>
        <v>水曜クエスト</v>
      </c>
      <c r="H71" s="18">
        <v>0</v>
      </c>
      <c r="I71">
        <v>12</v>
      </c>
      <c r="J71" s="5" t="s">
        <v>16</v>
      </c>
      <c r="K71" s="35" t="str">
        <f>VLOOKUP(I71,[2]stage_hints!$A:$C,3,FALSE)</f>
        <v>ユニットのお気に入り登録</v>
      </c>
      <c r="L71" s="36" t="str">
        <f>VLOOKUP(I71,[2]stage_hints!$A:$D,4,FALSE)</f>
        <v>大事なユニットを誤って消さないように_x000D_フォルダから「お気に入り登録」しましょう</v>
      </c>
      <c r="M71" s="21" t="s">
        <v>23</v>
      </c>
      <c r="N71">
        <v>12</v>
      </c>
    </row>
    <row r="72" spans="1:14" x14ac:dyDescent="0.15">
      <c r="A72" s="26" t="s">
        <v>32</v>
      </c>
      <c r="B72" s="4">
        <v>11003</v>
      </c>
      <c r="C72" s="3" t="str">
        <f ca="1">VLOOKUP($B72,OFFSET([1]quests!$A$1,0,0,COUNTA([1]quests!$A:$A),MATCH(C$1,[1]quests!$1:$1,0)-MATCH($B$1,[1]quests!$1:$1,0)+1),MATCH(C$1,[1]quests!$1:$1,0)-MATCH($B$1,[1]quests!$1:$1,0)+1,FALSE)</f>
        <v>【水曜限定】 青の素材</v>
      </c>
      <c r="D72" s="3" t="str">
        <f ca="1">VLOOKUP($B72,OFFSET([1]quests!$A$1,0,0,COUNTA([1]quests!$A:$A),MATCH(D$1,[1]quests!$1:$1,0)-MATCH($B$1,[1]quests!$1:$1,0)+1),MATCH(D$1,[1]quests!$1:$1,0)-MATCH($B$1,[1]quests!$1:$1,0)+1,FALSE)</f>
        <v>水曜クエスト</v>
      </c>
      <c r="E72" s="5">
        <v>2</v>
      </c>
      <c r="F72" s="3" t="str">
        <f ca="1">VLOOKUP($B72&amp;"_"&amp;$E72,OFFSET([1]stages!$A$1,0,0,COUNTA([1]stages!$A:$A),MATCH(F$1,[1]stages!$2:$2,0)-MATCH("temp_stage",[1]stages!$2:$2,0)+1),MATCH(F$1,[1]stages!$2:$2,0)-MATCH("temp_stage",[1]stages!$2:$2,0)+1,FALSE)</f>
        <v xml:space="preserve">【中級】水のウサギ </v>
      </c>
      <c r="G72" s="3" t="str">
        <f ca="1">VLOOKUP($B72&amp;"_"&amp;$E72,OFFSET([1]stages!$A$1,0,0,COUNTA([1]stages!$A:$A),MATCH(G$1,[1]stages!$2:$2,0)-MATCH("temp_stage",[1]stages!$2:$2,0)+1),MATCH(G$1,[1]stages!$2:$2,0)-MATCH("temp_stage",[1]stages!$2:$2,0)+1,FALSE)</f>
        <v>水曜クエスト</v>
      </c>
      <c r="H72" s="18">
        <v>0</v>
      </c>
      <c r="I72">
        <v>13</v>
      </c>
      <c r="J72" s="5" t="s">
        <v>16</v>
      </c>
      <c r="K72" s="35" t="str">
        <f>VLOOKUP(I72,[2]stage_hints!$A:$C,3,FALSE)</f>
        <v>ユニットの覚醒</v>
      </c>
      <c r="L72" s="36" t="str">
        <f>VLOOKUP(I72,[2]stage_hints!$A:$D,4,FALSE)</f>
        <v>ユニットを覚醒させると_x000D_比べものにならない強さが手に入ります</v>
      </c>
      <c r="M72" s="21" t="s">
        <v>23</v>
      </c>
      <c r="N72">
        <v>13</v>
      </c>
    </row>
    <row r="73" spans="1:14" x14ac:dyDescent="0.15">
      <c r="A73" s="26" t="s">
        <v>32</v>
      </c>
      <c r="B73" s="4">
        <v>11003</v>
      </c>
      <c r="C73" s="3" t="str">
        <f ca="1">VLOOKUP($B73,OFFSET([1]quests!$A$1,0,0,COUNTA([1]quests!$A:$A),MATCH(C$1,[1]quests!$1:$1,0)-MATCH($B$1,[1]quests!$1:$1,0)+1),MATCH(C$1,[1]quests!$1:$1,0)-MATCH($B$1,[1]quests!$1:$1,0)+1,FALSE)</f>
        <v>【水曜限定】 青の素材</v>
      </c>
      <c r="D73" s="3" t="str">
        <f ca="1">VLOOKUP($B73,OFFSET([1]quests!$A$1,0,0,COUNTA([1]quests!$A:$A),MATCH(D$1,[1]quests!$1:$1,0)-MATCH($B$1,[1]quests!$1:$1,0)+1),MATCH(D$1,[1]quests!$1:$1,0)-MATCH($B$1,[1]quests!$1:$1,0)+1,FALSE)</f>
        <v>水曜クエスト</v>
      </c>
      <c r="E73" s="5">
        <v>2</v>
      </c>
      <c r="F73" s="3" t="str">
        <f ca="1">VLOOKUP($B73&amp;"_"&amp;$E73,OFFSET([1]stages!$A$1,0,0,COUNTA([1]stages!$A:$A),MATCH(F$1,[1]stages!$2:$2,0)-MATCH("temp_stage",[1]stages!$2:$2,0)+1),MATCH(F$1,[1]stages!$2:$2,0)-MATCH("temp_stage",[1]stages!$2:$2,0)+1,FALSE)</f>
        <v xml:space="preserve">【中級】水のウサギ </v>
      </c>
      <c r="G73" s="3" t="str">
        <f ca="1">VLOOKUP($B73&amp;"_"&amp;$E73,OFFSET([1]stages!$A$1,0,0,COUNTA([1]stages!$A:$A),MATCH(G$1,[1]stages!$2:$2,0)-MATCH("temp_stage",[1]stages!$2:$2,0)+1),MATCH(G$1,[1]stages!$2:$2,0)-MATCH("temp_stage",[1]stages!$2:$2,0)+1,FALSE)</f>
        <v>水曜クエスト</v>
      </c>
      <c r="H73" s="18">
        <v>0</v>
      </c>
      <c r="I73">
        <v>14</v>
      </c>
      <c r="J73" s="5" t="s">
        <v>16</v>
      </c>
      <c r="K73" s="35" t="str">
        <f>VLOOKUP(I73,[2]stage_hints!$A:$C,3,FALSE)</f>
        <v>覚醒するにはレベルを最大に</v>
      </c>
      <c r="L73" s="36" t="str">
        <f>VLOOKUP(I73,[2]stage_hints!$A:$D,4,FALSE)</f>
        <v>覚醒するにはユニットのレベルを_x000D_最大まで上げる必要があります</v>
      </c>
      <c r="M73" s="21" t="s">
        <v>23</v>
      </c>
      <c r="N73">
        <v>14</v>
      </c>
    </row>
    <row r="74" spans="1:14" x14ac:dyDescent="0.15">
      <c r="A74" s="26" t="s">
        <v>32</v>
      </c>
      <c r="B74" s="4">
        <v>11003</v>
      </c>
      <c r="C74" s="3" t="str">
        <f ca="1">VLOOKUP($B74,OFFSET([1]quests!$A$1,0,0,COUNTA([1]quests!$A:$A),MATCH(C$1,[1]quests!$1:$1,0)-MATCH($B$1,[1]quests!$1:$1,0)+1),MATCH(C$1,[1]quests!$1:$1,0)-MATCH($B$1,[1]quests!$1:$1,0)+1,FALSE)</f>
        <v>【水曜限定】 青の素材</v>
      </c>
      <c r="D74" s="3" t="str">
        <f ca="1">VLOOKUP($B74,OFFSET([1]quests!$A$1,0,0,COUNTA([1]quests!$A:$A),MATCH(D$1,[1]quests!$1:$1,0)-MATCH($B$1,[1]quests!$1:$1,0)+1),MATCH(D$1,[1]quests!$1:$1,0)-MATCH($B$1,[1]quests!$1:$1,0)+1,FALSE)</f>
        <v>水曜クエスト</v>
      </c>
      <c r="E74" s="5">
        <v>2</v>
      </c>
      <c r="F74" s="3" t="str">
        <f ca="1">VLOOKUP($B74&amp;"_"&amp;$E74,OFFSET([1]stages!$A$1,0,0,COUNTA([1]stages!$A:$A),MATCH(F$1,[1]stages!$2:$2,0)-MATCH("temp_stage",[1]stages!$2:$2,0)+1),MATCH(F$1,[1]stages!$2:$2,0)-MATCH("temp_stage",[1]stages!$2:$2,0)+1,FALSE)</f>
        <v xml:space="preserve">【中級】水のウサギ </v>
      </c>
      <c r="G74" s="3" t="str">
        <f ca="1">VLOOKUP($B74&amp;"_"&amp;$E74,OFFSET([1]stages!$A$1,0,0,COUNTA([1]stages!$A:$A),MATCH(G$1,[1]stages!$2:$2,0)-MATCH("temp_stage",[1]stages!$2:$2,0)+1),MATCH(G$1,[1]stages!$2:$2,0)-MATCH("temp_stage",[1]stages!$2:$2,0)+1,FALSE)</f>
        <v>水曜クエスト</v>
      </c>
      <c r="H74" s="18">
        <v>0</v>
      </c>
      <c r="I74">
        <v>15</v>
      </c>
      <c r="J74" s="5" t="s">
        <v>16</v>
      </c>
      <c r="K74" s="35" t="str">
        <f>VLOOKUP(I74,[2]stage_hints!$A:$C,3,FALSE)</f>
        <v>覚醒素材を獲得</v>
      </c>
      <c r="L74" s="36" t="str">
        <f>VLOOKUP(I74,[2]stage_hints!$A:$D,4,FALSE)</f>
        <v>「曜日クエスト」では_x000D_ユニットの覚醒に必要な素材が手に入ります</v>
      </c>
      <c r="M74" s="21" t="s">
        <v>23</v>
      </c>
      <c r="N74">
        <v>15</v>
      </c>
    </row>
    <row r="75" spans="1:14" x14ac:dyDescent="0.15">
      <c r="A75" s="26" t="s">
        <v>32</v>
      </c>
      <c r="B75" s="4">
        <v>11003</v>
      </c>
      <c r="C75" s="3" t="str">
        <f ca="1">VLOOKUP($B75,OFFSET([1]quests!$A$1,0,0,COUNTA([1]quests!$A:$A),MATCH(C$1,[1]quests!$1:$1,0)-MATCH($B$1,[1]quests!$1:$1,0)+1),MATCH(C$1,[1]quests!$1:$1,0)-MATCH($B$1,[1]quests!$1:$1,0)+1,FALSE)</f>
        <v>【水曜限定】 青の素材</v>
      </c>
      <c r="D75" s="3" t="str">
        <f ca="1">VLOOKUP($B75,OFFSET([1]quests!$A$1,0,0,COUNTA([1]quests!$A:$A),MATCH(D$1,[1]quests!$1:$1,0)-MATCH($B$1,[1]quests!$1:$1,0)+1),MATCH(D$1,[1]quests!$1:$1,0)-MATCH($B$1,[1]quests!$1:$1,0)+1,FALSE)</f>
        <v>水曜クエスト</v>
      </c>
      <c r="E75" s="5">
        <v>2</v>
      </c>
      <c r="F75" s="3" t="str">
        <f ca="1">VLOOKUP($B75&amp;"_"&amp;$E75,OFFSET([1]stages!$A$1,0,0,COUNTA([1]stages!$A:$A),MATCH(F$1,[1]stages!$2:$2,0)-MATCH("temp_stage",[1]stages!$2:$2,0)+1),MATCH(F$1,[1]stages!$2:$2,0)-MATCH("temp_stage",[1]stages!$2:$2,0)+1,FALSE)</f>
        <v xml:space="preserve">【中級】水のウサギ </v>
      </c>
      <c r="G75" s="3" t="str">
        <f ca="1">VLOOKUP($B75&amp;"_"&amp;$E75,OFFSET([1]stages!$A$1,0,0,COUNTA([1]stages!$A:$A),MATCH(G$1,[1]stages!$2:$2,0)-MATCH("temp_stage",[1]stages!$2:$2,0)+1),MATCH(G$1,[1]stages!$2:$2,0)-MATCH("temp_stage",[1]stages!$2:$2,0)+1,FALSE)</f>
        <v>水曜クエスト</v>
      </c>
      <c r="H75" s="18">
        <v>0</v>
      </c>
      <c r="I75">
        <v>16</v>
      </c>
      <c r="J75" s="5" t="s">
        <v>16</v>
      </c>
      <c r="K75" s="35" t="str">
        <f>VLOOKUP(I75,[2]stage_hints!$A:$C,3,FALSE)</f>
        <v>マルチプレイのメリット（その1）</v>
      </c>
      <c r="L75" s="36" t="str">
        <f>VLOOKUP(I75,[2]stage_hints!$A:$D,4,FALSE)</f>
        <v>他のプレイヤーとマルチプレイで遊ぶと_x000D_ポリゴンがもらえます（100人まで）</v>
      </c>
      <c r="M75" s="21" t="s">
        <v>23</v>
      </c>
      <c r="N75">
        <v>16</v>
      </c>
    </row>
    <row r="76" spans="1:14" x14ac:dyDescent="0.15">
      <c r="A76" s="26" t="s">
        <v>32</v>
      </c>
      <c r="B76" s="4">
        <v>11003</v>
      </c>
      <c r="C76" s="3" t="str">
        <f ca="1">VLOOKUP($B76,OFFSET([1]quests!$A$1,0,0,COUNTA([1]quests!$A:$A),MATCH(C$1,[1]quests!$1:$1,0)-MATCH($B$1,[1]quests!$1:$1,0)+1),MATCH(C$1,[1]quests!$1:$1,0)-MATCH($B$1,[1]quests!$1:$1,0)+1,FALSE)</f>
        <v>【水曜限定】 青の素材</v>
      </c>
      <c r="D76" s="3" t="str">
        <f ca="1">VLOOKUP($B76,OFFSET([1]quests!$A$1,0,0,COUNTA([1]quests!$A:$A),MATCH(D$1,[1]quests!$1:$1,0)-MATCH($B$1,[1]quests!$1:$1,0)+1),MATCH(D$1,[1]quests!$1:$1,0)-MATCH($B$1,[1]quests!$1:$1,0)+1,FALSE)</f>
        <v>水曜クエスト</v>
      </c>
      <c r="E76" s="5">
        <v>2</v>
      </c>
      <c r="F76" s="3" t="str">
        <f ca="1">VLOOKUP($B76&amp;"_"&amp;$E76,OFFSET([1]stages!$A$1,0,0,COUNTA([1]stages!$A:$A),MATCH(F$1,[1]stages!$2:$2,0)-MATCH("temp_stage",[1]stages!$2:$2,0)+1),MATCH(F$1,[1]stages!$2:$2,0)-MATCH("temp_stage",[1]stages!$2:$2,0)+1,FALSE)</f>
        <v xml:space="preserve">【中級】水のウサギ </v>
      </c>
      <c r="G76" s="3" t="str">
        <f ca="1">VLOOKUP($B76&amp;"_"&amp;$E76,OFFSET([1]stages!$A$1,0,0,COUNTA([1]stages!$A:$A),MATCH(G$1,[1]stages!$2:$2,0)-MATCH("temp_stage",[1]stages!$2:$2,0)+1),MATCH(G$1,[1]stages!$2:$2,0)-MATCH("temp_stage",[1]stages!$2:$2,0)+1,FALSE)</f>
        <v>水曜クエスト</v>
      </c>
      <c r="H76" s="18">
        <v>0</v>
      </c>
      <c r="I76">
        <v>17</v>
      </c>
      <c r="J76" s="5" t="s">
        <v>16</v>
      </c>
      <c r="K76" s="35" t="str">
        <f>VLOOKUP(I76,[2]stage_hints!$A:$C,3,FALSE)</f>
        <v>リンクガチャ</v>
      </c>
      <c r="L76" s="36" t="str">
        <f>VLOOKUP(I76,[2]stage_hints!$A:$D,4,FALSE)</f>
        <v>無料のリンクガチャを回して_x000D_経験値素材や売却素材を獲得しましょう</v>
      </c>
      <c r="M76" s="21" t="s">
        <v>23</v>
      </c>
      <c r="N76">
        <v>17</v>
      </c>
    </row>
    <row r="77" spans="1:14" x14ac:dyDescent="0.15">
      <c r="A77" s="26" t="s">
        <v>32</v>
      </c>
      <c r="B77" s="4">
        <v>11003</v>
      </c>
      <c r="C77" s="3" t="str">
        <f ca="1">VLOOKUP($B77,OFFSET([1]quests!$A$1,0,0,COUNTA([1]quests!$A:$A),MATCH(C$1,[1]quests!$1:$1,0)-MATCH($B$1,[1]quests!$1:$1,0)+1),MATCH(C$1,[1]quests!$1:$1,0)-MATCH($B$1,[1]quests!$1:$1,0)+1,FALSE)</f>
        <v>【水曜限定】 青の素材</v>
      </c>
      <c r="D77" s="3" t="str">
        <f ca="1">VLOOKUP($B77,OFFSET([1]quests!$A$1,0,0,COUNTA([1]quests!$A:$A),MATCH(D$1,[1]quests!$1:$1,0)-MATCH($B$1,[1]quests!$1:$1,0)+1),MATCH(D$1,[1]quests!$1:$1,0)-MATCH($B$1,[1]quests!$1:$1,0)+1,FALSE)</f>
        <v>水曜クエスト</v>
      </c>
      <c r="E77" s="5">
        <v>2</v>
      </c>
      <c r="F77" s="3" t="str">
        <f ca="1">VLOOKUP($B77&amp;"_"&amp;$E77,OFFSET([1]stages!$A$1,0,0,COUNTA([1]stages!$A:$A),MATCH(F$1,[1]stages!$2:$2,0)-MATCH("temp_stage",[1]stages!$2:$2,0)+1),MATCH(F$1,[1]stages!$2:$2,0)-MATCH("temp_stage",[1]stages!$2:$2,0)+1,FALSE)</f>
        <v xml:space="preserve">【中級】水のウサギ </v>
      </c>
      <c r="G77" s="3" t="str">
        <f ca="1">VLOOKUP($B77&amp;"_"&amp;$E77,OFFSET([1]stages!$A$1,0,0,COUNTA([1]stages!$A:$A),MATCH(G$1,[1]stages!$2:$2,0)-MATCH("temp_stage",[1]stages!$2:$2,0)+1),MATCH(G$1,[1]stages!$2:$2,0)-MATCH("temp_stage",[1]stages!$2:$2,0)+1,FALSE)</f>
        <v>水曜クエスト</v>
      </c>
      <c r="H77" s="18">
        <v>0</v>
      </c>
      <c r="I77">
        <v>18</v>
      </c>
      <c r="J77" s="5" t="s">
        <v>16</v>
      </c>
      <c r="K77" s="35" t="str">
        <f>VLOOKUP(I77,[2]stage_hints!$A:$C,3,FALSE)</f>
        <v>マルチプレイのメリット（その2）</v>
      </c>
      <c r="L77" s="36" t="str">
        <f>VLOOKUP(I77,[2]stage_hints!$A:$D,4,FALSE)</f>
        <v>マルチプレイならリンクが2倍もらえます_x000D_リンクガチャをたくさん回しましょう</v>
      </c>
      <c r="M77" s="21" t="s">
        <v>23</v>
      </c>
      <c r="N77">
        <v>18</v>
      </c>
    </row>
    <row r="78" spans="1:14" x14ac:dyDescent="0.15">
      <c r="A78" s="26" t="s">
        <v>32</v>
      </c>
      <c r="B78" s="4">
        <v>11003</v>
      </c>
      <c r="C78" s="3" t="str">
        <f ca="1">VLOOKUP($B78,OFFSET([1]quests!$A$1,0,0,COUNTA([1]quests!$A:$A),MATCH(C$1,[1]quests!$1:$1,0)-MATCH($B$1,[1]quests!$1:$1,0)+1),MATCH(C$1,[1]quests!$1:$1,0)-MATCH($B$1,[1]quests!$1:$1,0)+1,FALSE)</f>
        <v>【水曜限定】 青の素材</v>
      </c>
      <c r="D78" s="3" t="str">
        <f ca="1">VLOOKUP($B78,OFFSET([1]quests!$A$1,0,0,COUNTA([1]quests!$A:$A),MATCH(D$1,[1]quests!$1:$1,0)-MATCH($B$1,[1]quests!$1:$1,0)+1),MATCH(D$1,[1]quests!$1:$1,0)-MATCH($B$1,[1]quests!$1:$1,0)+1,FALSE)</f>
        <v>水曜クエスト</v>
      </c>
      <c r="E78" s="5">
        <v>2</v>
      </c>
      <c r="F78" s="3" t="str">
        <f ca="1">VLOOKUP($B78&amp;"_"&amp;$E78,OFFSET([1]stages!$A$1,0,0,COUNTA([1]stages!$A:$A),MATCH(F$1,[1]stages!$2:$2,0)-MATCH("temp_stage",[1]stages!$2:$2,0)+1),MATCH(F$1,[1]stages!$2:$2,0)-MATCH("temp_stage",[1]stages!$2:$2,0)+1,FALSE)</f>
        <v xml:space="preserve">【中級】水のウサギ </v>
      </c>
      <c r="G78" s="3" t="str">
        <f ca="1">VLOOKUP($B78&amp;"_"&amp;$E78,OFFSET([1]stages!$A$1,0,0,COUNTA([1]stages!$A:$A),MATCH(G$1,[1]stages!$2:$2,0)-MATCH("temp_stage",[1]stages!$2:$2,0)+1),MATCH(G$1,[1]stages!$2:$2,0)-MATCH("temp_stage",[1]stages!$2:$2,0)+1,FALSE)</f>
        <v>水曜クエスト</v>
      </c>
      <c r="H78" s="18">
        <v>0</v>
      </c>
      <c r="I78">
        <v>19</v>
      </c>
      <c r="J78" s="5" t="s">
        <v>16</v>
      </c>
      <c r="K78" s="35" t="str">
        <f>VLOOKUP(I78,[2]stage_hints!$A:$C,3,FALSE)</f>
        <v>ソロ専用チャレンジタワー</v>
      </c>
      <c r="L78" s="36" t="str">
        <f>VLOOKUP(I78,[2]stage_hints!$A:$D,4,FALSE)</f>
        <v>ソロ専用の「チャレンジタワー」では_x000D_各フロアごとにクリア報酬がもらえます</v>
      </c>
      <c r="M78" s="21" t="s">
        <v>23</v>
      </c>
      <c r="N78">
        <v>19</v>
      </c>
    </row>
    <row r="79" spans="1:14" x14ac:dyDescent="0.15">
      <c r="A79" s="26" t="s">
        <v>32</v>
      </c>
      <c r="B79" s="4">
        <v>11003</v>
      </c>
      <c r="C79" s="3" t="str">
        <f ca="1">VLOOKUP($B79,OFFSET([1]quests!$A$1,0,0,COUNTA([1]quests!$A:$A),MATCH(C$1,[1]quests!$1:$1,0)-MATCH($B$1,[1]quests!$1:$1,0)+1),MATCH(C$1,[1]quests!$1:$1,0)-MATCH($B$1,[1]quests!$1:$1,0)+1,FALSE)</f>
        <v>【水曜限定】 青の素材</v>
      </c>
      <c r="D79" s="3" t="str">
        <f ca="1">VLOOKUP($B79,OFFSET([1]quests!$A$1,0,0,COUNTA([1]quests!$A:$A),MATCH(D$1,[1]quests!$1:$1,0)-MATCH($B$1,[1]quests!$1:$1,0)+1),MATCH(D$1,[1]quests!$1:$1,0)-MATCH($B$1,[1]quests!$1:$1,0)+1,FALSE)</f>
        <v>水曜クエスト</v>
      </c>
      <c r="E79" s="5">
        <v>2</v>
      </c>
      <c r="F79" s="3" t="str">
        <f ca="1">VLOOKUP($B79&amp;"_"&amp;$E79,OFFSET([1]stages!$A$1,0,0,COUNTA([1]stages!$A:$A),MATCH(F$1,[1]stages!$2:$2,0)-MATCH("temp_stage",[1]stages!$2:$2,0)+1),MATCH(F$1,[1]stages!$2:$2,0)-MATCH("temp_stage",[1]stages!$2:$2,0)+1,FALSE)</f>
        <v xml:space="preserve">【中級】水のウサギ </v>
      </c>
      <c r="G79" s="3" t="str">
        <f ca="1">VLOOKUP($B79&amp;"_"&amp;$E79,OFFSET([1]stages!$A$1,0,0,COUNTA([1]stages!$A:$A),MATCH(G$1,[1]stages!$2:$2,0)-MATCH("temp_stage",[1]stages!$2:$2,0)+1),MATCH(G$1,[1]stages!$2:$2,0)-MATCH("temp_stage",[1]stages!$2:$2,0)+1,FALSE)</f>
        <v>水曜クエスト</v>
      </c>
      <c r="H79" s="18">
        <v>0</v>
      </c>
      <c r="I79">
        <v>20</v>
      </c>
      <c r="J79" s="5" t="s">
        <v>16</v>
      </c>
      <c r="K79" s="35" t="str">
        <f>VLOOKUP(I79,[2]stage_hints!$A:$C,3,FALSE)</f>
        <v>マルチプレイのメリット（その3）</v>
      </c>
      <c r="L79" s="36" t="str">
        <f>VLOOKUP(I79,[2]stage_hints!$A:$D,4,FALSE)</f>
        <v>マルチプレイへの参加はエナジー消費ゼロ_x000D_いつでも好きなだけ遊ぶことができます</v>
      </c>
      <c r="M79" s="21" t="s">
        <v>23</v>
      </c>
      <c r="N79">
        <v>20</v>
      </c>
    </row>
    <row r="80" spans="1:14" x14ac:dyDescent="0.15">
      <c r="A80" s="26" t="s">
        <v>32</v>
      </c>
      <c r="B80" s="4">
        <v>11003</v>
      </c>
      <c r="C80" s="3" t="str">
        <f ca="1">VLOOKUP($B80,OFFSET([1]quests!$A$1,0,0,COUNTA([1]quests!$A:$A),MATCH(C$1,[1]quests!$1:$1,0)-MATCH($B$1,[1]quests!$1:$1,0)+1),MATCH(C$1,[1]quests!$1:$1,0)-MATCH($B$1,[1]quests!$1:$1,0)+1,FALSE)</f>
        <v>【水曜限定】 青の素材</v>
      </c>
      <c r="D80" s="3" t="str">
        <f ca="1">VLOOKUP($B80,OFFSET([1]quests!$A$1,0,0,COUNTA([1]quests!$A:$A),MATCH(D$1,[1]quests!$1:$1,0)-MATCH($B$1,[1]quests!$1:$1,0)+1),MATCH(D$1,[1]quests!$1:$1,0)-MATCH($B$1,[1]quests!$1:$1,0)+1,FALSE)</f>
        <v>水曜クエスト</v>
      </c>
      <c r="E80" s="5">
        <v>2</v>
      </c>
      <c r="F80" s="3" t="str">
        <f ca="1">VLOOKUP($B80&amp;"_"&amp;$E80,OFFSET([1]stages!$A$1,0,0,COUNTA([1]stages!$A:$A),MATCH(F$1,[1]stages!$2:$2,0)-MATCH("temp_stage",[1]stages!$2:$2,0)+1),MATCH(F$1,[1]stages!$2:$2,0)-MATCH("temp_stage",[1]stages!$2:$2,0)+1,FALSE)</f>
        <v xml:space="preserve">【中級】水のウサギ </v>
      </c>
      <c r="G80" s="3" t="str">
        <f ca="1">VLOOKUP($B80&amp;"_"&amp;$E80,OFFSET([1]stages!$A$1,0,0,COUNTA([1]stages!$A:$A),MATCH(G$1,[1]stages!$2:$2,0)-MATCH("temp_stage",[1]stages!$2:$2,0)+1),MATCH(G$1,[1]stages!$2:$2,0)-MATCH("temp_stage",[1]stages!$2:$2,0)+1,FALSE)</f>
        <v>水曜クエスト</v>
      </c>
      <c r="H80" s="18">
        <v>0</v>
      </c>
      <c r="I80">
        <v>21</v>
      </c>
      <c r="J80" s="5" t="s">
        <v>16</v>
      </c>
      <c r="K80" s="35" t="str">
        <f>VLOOKUP(I80,[2]stage_hints!$A:$C,3,FALSE)</f>
        <v>スキルを有効に</v>
      </c>
      <c r="L80" s="36" t="str">
        <f>VLOOKUP(I80,[2]stage_hints!$A:$D,4,FALSE)</f>
        <v>ターン経過でユニットのスキルが使えます_x000D_強力スキルでバトルを有利に進めましょう</v>
      </c>
      <c r="M80" s="21" t="s">
        <v>23</v>
      </c>
      <c r="N80">
        <v>21</v>
      </c>
    </row>
    <row r="81" spans="1:14" x14ac:dyDescent="0.15">
      <c r="A81" s="26" t="s">
        <v>32</v>
      </c>
      <c r="B81" s="4">
        <v>11003</v>
      </c>
      <c r="C81" s="3" t="str">
        <f ca="1">VLOOKUP($B81,OFFSET([1]quests!$A$1,0,0,COUNTA([1]quests!$A:$A),MATCH(C$1,[1]quests!$1:$1,0)-MATCH($B$1,[1]quests!$1:$1,0)+1),MATCH(C$1,[1]quests!$1:$1,0)-MATCH($B$1,[1]quests!$1:$1,0)+1,FALSE)</f>
        <v>【水曜限定】 青の素材</v>
      </c>
      <c r="D81" s="3" t="str">
        <f ca="1">VLOOKUP($B81,OFFSET([1]quests!$A$1,0,0,COUNTA([1]quests!$A:$A),MATCH(D$1,[1]quests!$1:$1,0)-MATCH($B$1,[1]quests!$1:$1,0)+1),MATCH(D$1,[1]quests!$1:$1,0)-MATCH($B$1,[1]quests!$1:$1,0)+1,FALSE)</f>
        <v>水曜クエスト</v>
      </c>
      <c r="E81" s="5">
        <v>2</v>
      </c>
      <c r="F81" s="3" t="str">
        <f ca="1">VLOOKUP($B81&amp;"_"&amp;$E81,OFFSET([1]stages!$A$1,0,0,COUNTA([1]stages!$A:$A),MATCH(F$1,[1]stages!$2:$2,0)-MATCH("temp_stage",[1]stages!$2:$2,0)+1),MATCH(F$1,[1]stages!$2:$2,0)-MATCH("temp_stage",[1]stages!$2:$2,0)+1,FALSE)</f>
        <v xml:space="preserve">【中級】水のウサギ </v>
      </c>
      <c r="G81" s="3" t="str">
        <f ca="1">VLOOKUP($B81&amp;"_"&amp;$E81,OFFSET([1]stages!$A$1,0,0,COUNTA([1]stages!$A:$A),MATCH(G$1,[1]stages!$2:$2,0)-MATCH("temp_stage",[1]stages!$2:$2,0)+1),MATCH(G$1,[1]stages!$2:$2,0)-MATCH("temp_stage",[1]stages!$2:$2,0)+1,FALSE)</f>
        <v>水曜クエスト</v>
      </c>
      <c r="H81" s="18">
        <v>0</v>
      </c>
      <c r="I81">
        <v>22</v>
      </c>
      <c r="J81" s="5" t="s">
        <v>16</v>
      </c>
      <c r="K81" s="35" t="str">
        <f>VLOOKUP(I81,[2]stage_hints!$A:$C,3,FALSE)</f>
        <v>フィーバーで一発逆転（その1）</v>
      </c>
      <c r="L81" s="36" t="str">
        <f>VLOOKUP(I81,[2]stage_hints!$A:$D,4,FALSE)</f>
        <v>フィーバーは攻撃と回復を兼ね備えます_x000D_ピンチからの一発逆転を狙いましょう</v>
      </c>
      <c r="M81" s="21" t="s">
        <v>23</v>
      </c>
      <c r="N81">
        <v>22</v>
      </c>
    </row>
    <row r="82" spans="1:14" x14ac:dyDescent="0.15">
      <c r="A82" s="26" t="s">
        <v>32</v>
      </c>
      <c r="B82" s="4">
        <v>11003</v>
      </c>
      <c r="C82" s="3" t="str">
        <f ca="1">VLOOKUP($B82,OFFSET([1]quests!$A$1,0,0,COUNTA([1]quests!$A:$A),MATCH(C$1,[1]quests!$1:$1,0)-MATCH($B$1,[1]quests!$1:$1,0)+1),MATCH(C$1,[1]quests!$1:$1,0)-MATCH($B$1,[1]quests!$1:$1,0)+1,FALSE)</f>
        <v>【水曜限定】 青の素材</v>
      </c>
      <c r="D82" s="3" t="str">
        <f ca="1">VLOOKUP($B82,OFFSET([1]quests!$A$1,0,0,COUNTA([1]quests!$A:$A),MATCH(D$1,[1]quests!$1:$1,0)-MATCH($B$1,[1]quests!$1:$1,0)+1),MATCH(D$1,[1]quests!$1:$1,0)-MATCH($B$1,[1]quests!$1:$1,0)+1,FALSE)</f>
        <v>水曜クエスト</v>
      </c>
      <c r="E82" s="5">
        <v>2</v>
      </c>
      <c r="F82" s="3" t="str">
        <f ca="1">VLOOKUP($B82&amp;"_"&amp;$E82,OFFSET([1]stages!$A$1,0,0,COUNTA([1]stages!$A:$A),MATCH(F$1,[1]stages!$2:$2,0)-MATCH("temp_stage",[1]stages!$2:$2,0)+1),MATCH(F$1,[1]stages!$2:$2,0)-MATCH("temp_stage",[1]stages!$2:$2,0)+1,FALSE)</f>
        <v xml:space="preserve">【中級】水のウサギ </v>
      </c>
      <c r="G82" s="3" t="str">
        <f ca="1">VLOOKUP($B82&amp;"_"&amp;$E82,OFFSET([1]stages!$A$1,0,0,COUNTA([1]stages!$A:$A),MATCH(G$1,[1]stages!$2:$2,0)-MATCH("temp_stage",[1]stages!$2:$2,0)+1),MATCH(G$1,[1]stages!$2:$2,0)-MATCH("temp_stage",[1]stages!$2:$2,0)+1,FALSE)</f>
        <v>水曜クエスト</v>
      </c>
      <c r="H82" s="18">
        <v>0</v>
      </c>
      <c r="I82">
        <v>23</v>
      </c>
      <c r="J82" s="5" t="s">
        <v>16</v>
      </c>
      <c r="K82" s="35" t="str">
        <f>VLOOKUP(I82,[2]stage_hints!$A:$C,3,FALSE)</f>
        <v>フィーバーで一発逆転（その2）</v>
      </c>
      <c r="L82" s="36" t="str">
        <f>VLOOKUP(I82,[2]stage_hints!$A:$D,4,FALSE)</f>
        <v>フィーバー中は虹色のボムパネルを狙って_x000D_画面上のパネルを一気に破壊しましょう</v>
      </c>
      <c r="M82" s="21" t="s">
        <v>23</v>
      </c>
      <c r="N82">
        <v>23</v>
      </c>
    </row>
    <row r="83" spans="1:14" x14ac:dyDescent="0.15">
      <c r="A83" s="26" t="s">
        <v>32</v>
      </c>
      <c r="B83" s="4">
        <v>11003</v>
      </c>
      <c r="C83" s="3" t="str">
        <f ca="1">VLOOKUP($B83,OFFSET([1]quests!$A$1,0,0,COUNTA([1]quests!$A:$A),MATCH(C$1,[1]quests!$1:$1,0)-MATCH($B$1,[1]quests!$1:$1,0)+1),MATCH(C$1,[1]quests!$1:$1,0)-MATCH($B$1,[1]quests!$1:$1,0)+1,FALSE)</f>
        <v>【水曜限定】 青の素材</v>
      </c>
      <c r="D83" s="3" t="str">
        <f ca="1">VLOOKUP($B83,OFFSET([1]quests!$A$1,0,0,COUNTA([1]quests!$A:$A),MATCH(D$1,[1]quests!$1:$1,0)-MATCH($B$1,[1]quests!$1:$1,0)+1),MATCH(D$1,[1]quests!$1:$1,0)-MATCH($B$1,[1]quests!$1:$1,0)+1,FALSE)</f>
        <v>水曜クエスト</v>
      </c>
      <c r="E83" s="5">
        <v>2</v>
      </c>
      <c r="F83" s="3" t="str">
        <f ca="1">VLOOKUP($B83&amp;"_"&amp;$E83,OFFSET([1]stages!$A$1,0,0,COUNTA([1]stages!$A:$A),MATCH(F$1,[1]stages!$2:$2,0)-MATCH("temp_stage",[1]stages!$2:$2,0)+1),MATCH(F$1,[1]stages!$2:$2,0)-MATCH("temp_stage",[1]stages!$2:$2,0)+1,FALSE)</f>
        <v xml:space="preserve">【中級】水のウサギ </v>
      </c>
      <c r="G83" s="3" t="str">
        <f ca="1">VLOOKUP($B83&amp;"_"&amp;$E83,OFFSET([1]stages!$A$1,0,0,COUNTA([1]stages!$A:$A),MATCH(G$1,[1]stages!$2:$2,0)-MATCH("temp_stage",[1]stages!$2:$2,0)+1),MATCH(G$1,[1]stages!$2:$2,0)-MATCH("temp_stage",[1]stages!$2:$2,0)+1,FALSE)</f>
        <v>水曜クエスト</v>
      </c>
      <c r="H83" s="18">
        <v>0</v>
      </c>
      <c r="I83">
        <v>24</v>
      </c>
      <c r="J83" s="5" t="s">
        <v>16</v>
      </c>
      <c r="K83" s="35" t="str">
        <f>VLOOKUP(I83,[2]stage_hints!$A:$C,3,FALSE)</f>
        <v>りんごを使って限界突破</v>
      </c>
      <c r="L83" s="36" t="str">
        <f>VLOOKUP(I83,[2]stage_hints!$A:$D,4,FALSE)</f>
        <v>赤りんご(攻撃力) 青りんご(回復力)_x000D_緑りんご(体力)をユニット強化に使うと_x000D_ステータスが限界突破します（計99個迄）</v>
      </c>
      <c r="M83" s="21" t="s">
        <v>23</v>
      </c>
      <c r="N83">
        <v>24</v>
      </c>
    </row>
    <row r="84" spans="1:14" x14ac:dyDescent="0.15">
      <c r="A84" s="26" t="s">
        <v>32</v>
      </c>
      <c r="B84" s="4">
        <v>11003</v>
      </c>
      <c r="C84" s="3" t="str">
        <f ca="1">VLOOKUP($B84,OFFSET([1]quests!$A$1,0,0,COUNTA([1]quests!$A:$A),MATCH(C$1,[1]quests!$1:$1,0)-MATCH($B$1,[1]quests!$1:$1,0)+1),MATCH(C$1,[1]quests!$1:$1,0)-MATCH($B$1,[1]quests!$1:$1,0)+1,FALSE)</f>
        <v>【水曜限定】 青の素材</v>
      </c>
      <c r="D84" s="3" t="str">
        <f ca="1">VLOOKUP($B84,OFFSET([1]quests!$A$1,0,0,COUNTA([1]quests!$A:$A),MATCH(D$1,[1]quests!$1:$1,0)-MATCH($B$1,[1]quests!$1:$1,0)+1),MATCH(D$1,[1]quests!$1:$1,0)-MATCH($B$1,[1]quests!$1:$1,0)+1,FALSE)</f>
        <v>水曜クエスト</v>
      </c>
      <c r="E84" s="5">
        <v>2</v>
      </c>
      <c r="F84" s="3" t="str">
        <f ca="1">VLOOKUP($B84&amp;"_"&amp;$E84,OFFSET([1]stages!$A$1,0,0,COUNTA([1]stages!$A:$A),MATCH(F$1,[1]stages!$2:$2,0)-MATCH("temp_stage",[1]stages!$2:$2,0)+1),MATCH(F$1,[1]stages!$2:$2,0)-MATCH("temp_stage",[1]stages!$2:$2,0)+1,FALSE)</f>
        <v xml:space="preserve">【中級】水のウサギ </v>
      </c>
      <c r="G84" s="3" t="str">
        <f ca="1">VLOOKUP($B84&amp;"_"&amp;$E84,OFFSET([1]stages!$A$1,0,0,COUNTA([1]stages!$A:$A),MATCH(G$1,[1]stages!$2:$2,0)-MATCH("temp_stage",[1]stages!$2:$2,0)+1),MATCH(G$1,[1]stages!$2:$2,0)-MATCH("temp_stage",[1]stages!$2:$2,0)+1,FALSE)</f>
        <v>水曜クエスト</v>
      </c>
      <c r="H84" s="18">
        <v>0</v>
      </c>
      <c r="I84">
        <v>25</v>
      </c>
      <c r="J84" s="5" t="s">
        <v>16</v>
      </c>
      <c r="K84" s="35" t="str">
        <f>VLOOKUP(I84,[2]stage_hints!$A:$C,3,FALSE)</f>
        <v>スキルレベルアップ</v>
      </c>
      <c r="L84" s="36" t="str">
        <f>VLOOKUP(I84,[2]stage_hints!$A:$D,4,FALSE)</f>
        <v>「クリスタルのりんご」を強化に使うと_x000D_スキルレベルを上げることができます</v>
      </c>
      <c r="M84" s="21" t="s">
        <v>23</v>
      </c>
      <c r="N84">
        <v>25</v>
      </c>
    </row>
    <row r="85" spans="1:14" x14ac:dyDescent="0.15">
      <c r="A85" s="26" t="s">
        <v>32</v>
      </c>
      <c r="B85" s="4">
        <v>11003</v>
      </c>
      <c r="C85" s="3" t="str">
        <f ca="1">VLOOKUP($B85,OFFSET([1]quests!$A$1,0,0,COUNTA([1]quests!$A:$A),MATCH(C$1,[1]quests!$1:$1,0)-MATCH($B$1,[1]quests!$1:$1,0)+1),MATCH(C$1,[1]quests!$1:$1,0)-MATCH($B$1,[1]quests!$1:$1,0)+1,FALSE)</f>
        <v>【水曜限定】 青の素材</v>
      </c>
      <c r="D85" s="3" t="str">
        <f ca="1">VLOOKUP($B85,OFFSET([1]quests!$A$1,0,0,COUNTA([1]quests!$A:$A),MATCH(D$1,[1]quests!$1:$1,0)-MATCH($B$1,[1]quests!$1:$1,0)+1),MATCH(D$1,[1]quests!$1:$1,0)-MATCH($B$1,[1]quests!$1:$1,0)+1,FALSE)</f>
        <v>水曜クエスト</v>
      </c>
      <c r="E85" s="5">
        <v>2</v>
      </c>
      <c r="F85" s="3" t="str">
        <f ca="1">VLOOKUP($B85&amp;"_"&amp;$E85,OFFSET([1]stages!$A$1,0,0,COUNTA([1]stages!$A:$A),MATCH(F$1,[1]stages!$2:$2,0)-MATCH("temp_stage",[1]stages!$2:$2,0)+1),MATCH(F$1,[1]stages!$2:$2,0)-MATCH("temp_stage",[1]stages!$2:$2,0)+1,FALSE)</f>
        <v xml:space="preserve">【中級】水のウサギ </v>
      </c>
      <c r="G85" s="3" t="str">
        <f ca="1">VLOOKUP($B85&amp;"_"&amp;$E85,OFFSET([1]stages!$A$1,0,0,COUNTA([1]stages!$A:$A),MATCH(G$1,[1]stages!$2:$2,0)-MATCH("temp_stage",[1]stages!$2:$2,0)+1),MATCH(G$1,[1]stages!$2:$2,0)-MATCH("temp_stage",[1]stages!$2:$2,0)+1,FALSE)</f>
        <v>水曜クエスト</v>
      </c>
      <c r="H85" s="18">
        <v>0</v>
      </c>
      <c r="I85">
        <v>26</v>
      </c>
      <c r="J85" s="5" t="s">
        <v>16</v>
      </c>
      <c r="K85" s="35" t="str">
        <f>VLOOKUP(I85,[2]stage_hints!$A:$C,3,FALSE)</f>
        <v>スキルレベルの効果</v>
      </c>
      <c r="L85" s="36" t="str">
        <f>VLOOKUP(I85,[2]stage_hints!$A:$D,4,FALSE)</f>
        <v>スキルレベルが上がると_x000D_短いターンでスキルを使うことができます</v>
      </c>
      <c r="M85" s="21" t="s">
        <v>23</v>
      </c>
      <c r="N85">
        <v>26</v>
      </c>
    </row>
    <row r="86" spans="1:14" x14ac:dyDescent="0.15">
      <c r="A86" s="26" t="s">
        <v>32</v>
      </c>
      <c r="B86" s="4">
        <v>11003</v>
      </c>
      <c r="C86" s="3" t="str">
        <f ca="1">VLOOKUP($B86,OFFSET([1]quests!$A$1,0,0,COUNTA([1]quests!$A:$A),MATCH(C$1,[1]quests!$1:$1,0)-MATCH($B$1,[1]quests!$1:$1,0)+1),MATCH(C$1,[1]quests!$1:$1,0)-MATCH($B$1,[1]quests!$1:$1,0)+1,FALSE)</f>
        <v>【水曜限定】 青の素材</v>
      </c>
      <c r="D86" s="3" t="str">
        <f ca="1">VLOOKUP($B86,OFFSET([1]quests!$A$1,0,0,COUNTA([1]quests!$A:$A),MATCH(D$1,[1]quests!$1:$1,0)-MATCH($B$1,[1]quests!$1:$1,0)+1),MATCH(D$1,[1]quests!$1:$1,0)-MATCH($B$1,[1]quests!$1:$1,0)+1,FALSE)</f>
        <v>水曜クエスト</v>
      </c>
      <c r="E86" s="5">
        <v>2</v>
      </c>
      <c r="F86" s="3" t="str">
        <f ca="1">VLOOKUP($B86&amp;"_"&amp;$E86,OFFSET([1]stages!$A$1,0,0,COUNTA([1]stages!$A:$A),MATCH(F$1,[1]stages!$2:$2,0)-MATCH("temp_stage",[1]stages!$2:$2,0)+1),MATCH(F$1,[1]stages!$2:$2,0)-MATCH("temp_stage",[1]stages!$2:$2,0)+1,FALSE)</f>
        <v xml:space="preserve">【中級】水のウサギ </v>
      </c>
      <c r="G86" s="3" t="str">
        <f ca="1">VLOOKUP($B86&amp;"_"&amp;$E86,OFFSET([1]stages!$A$1,0,0,COUNTA([1]stages!$A:$A),MATCH(G$1,[1]stages!$2:$2,0)-MATCH("temp_stage",[1]stages!$2:$2,0)+1),MATCH(G$1,[1]stages!$2:$2,0)-MATCH("temp_stage",[1]stages!$2:$2,0)+1,FALSE)</f>
        <v>水曜クエスト</v>
      </c>
      <c r="H86" s="18">
        <v>0</v>
      </c>
      <c r="I86">
        <v>27</v>
      </c>
      <c r="J86" s="5" t="s">
        <v>16</v>
      </c>
      <c r="K86" s="35" t="str">
        <f>VLOOKUP(I86,[2]stage_hints!$A:$C,3,FALSE)</f>
        <v>ホーム画面からデッキを編成</v>
      </c>
      <c r="L86" s="36" t="str">
        <f>VLOOKUP(I86,[2]stage_hints!$A:$D,4,FALSE)</f>
        <v>ホーム画面でユニットを長押しすると_x000D_すぐにパーティ編成に移動できます</v>
      </c>
      <c r="M86" s="21" t="s">
        <v>23</v>
      </c>
      <c r="N86">
        <v>27</v>
      </c>
    </row>
    <row r="87" spans="1:14" x14ac:dyDescent="0.15">
      <c r="A87" s="26" t="s">
        <v>32</v>
      </c>
      <c r="B87" s="4">
        <v>11003</v>
      </c>
      <c r="C87" s="3" t="str">
        <f ca="1">VLOOKUP($B87,OFFSET([1]quests!$A$1,0,0,COUNTA([1]quests!$A:$A),MATCH(C$1,[1]quests!$1:$1,0)-MATCH($B$1,[1]quests!$1:$1,0)+1),MATCH(C$1,[1]quests!$1:$1,0)-MATCH($B$1,[1]quests!$1:$1,0)+1,FALSE)</f>
        <v>【水曜限定】 青の素材</v>
      </c>
      <c r="D87" s="3" t="str">
        <f ca="1">VLOOKUP($B87,OFFSET([1]quests!$A$1,0,0,COUNTA([1]quests!$A:$A),MATCH(D$1,[1]quests!$1:$1,0)-MATCH($B$1,[1]quests!$1:$1,0)+1),MATCH(D$1,[1]quests!$1:$1,0)-MATCH($B$1,[1]quests!$1:$1,0)+1,FALSE)</f>
        <v>水曜クエスト</v>
      </c>
      <c r="E87" s="5">
        <v>2</v>
      </c>
      <c r="F87" s="3" t="str">
        <f ca="1">VLOOKUP($B87&amp;"_"&amp;$E87,OFFSET([1]stages!$A$1,0,0,COUNTA([1]stages!$A:$A),MATCH(F$1,[1]stages!$2:$2,0)-MATCH("temp_stage",[1]stages!$2:$2,0)+1),MATCH(F$1,[1]stages!$2:$2,0)-MATCH("temp_stage",[1]stages!$2:$2,0)+1,FALSE)</f>
        <v xml:space="preserve">【中級】水のウサギ </v>
      </c>
      <c r="G87" s="3" t="str">
        <f ca="1">VLOOKUP($B87&amp;"_"&amp;$E87,OFFSET([1]stages!$A$1,0,0,COUNTA([1]stages!$A:$A),MATCH(G$1,[1]stages!$2:$2,0)-MATCH("temp_stage",[1]stages!$2:$2,0)+1),MATCH(G$1,[1]stages!$2:$2,0)-MATCH("temp_stage",[1]stages!$2:$2,0)+1,FALSE)</f>
        <v>水曜クエスト</v>
      </c>
      <c r="H87" s="18">
        <v>0</v>
      </c>
      <c r="I87">
        <v>28</v>
      </c>
      <c r="J87" s="5" t="s">
        <v>16</v>
      </c>
      <c r="K87" s="35" t="str">
        <f>VLOOKUP(I87,[2]stage_hints!$A:$C,3,FALSE)</f>
        <v>ステータス情報は長押しで</v>
      </c>
      <c r="L87" s="36" t="str">
        <f>VLOOKUP(I87,[2]stage_hints!$A:$D,4,FALSE)</f>
        <v>ユニットのアイコンを長押しすると_x000D_ステータス情報を確認することができます</v>
      </c>
      <c r="M87" s="21" t="s">
        <v>23</v>
      </c>
      <c r="N87">
        <v>28</v>
      </c>
    </row>
    <row r="88" spans="1:14" x14ac:dyDescent="0.15">
      <c r="A88" s="26" t="s">
        <v>32</v>
      </c>
      <c r="B88" s="4">
        <v>11003</v>
      </c>
      <c r="C88" s="3" t="str">
        <f ca="1">VLOOKUP($B88,OFFSET([1]quests!$A$1,0,0,COUNTA([1]quests!$A:$A),MATCH(C$1,[1]quests!$1:$1,0)-MATCH($B$1,[1]quests!$1:$1,0)+1),MATCH(C$1,[1]quests!$1:$1,0)-MATCH($B$1,[1]quests!$1:$1,0)+1,FALSE)</f>
        <v>【水曜限定】 青の素材</v>
      </c>
      <c r="D88" s="3" t="str">
        <f ca="1">VLOOKUP($B88,OFFSET([1]quests!$A$1,0,0,COUNTA([1]quests!$A:$A),MATCH(D$1,[1]quests!$1:$1,0)-MATCH($B$1,[1]quests!$1:$1,0)+1),MATCH(D$1,[1]quests!$1:$1,0)-MATCH($B$1,[1]quests!$1:$1,0)+1,FALSE)</f>
        <v>水曜クエスト</v>
      </c>
      <c r="E88" s="5">
        <v>2</v>
      </c>
      <c r="F88" s="3" t="str">
        <f ca="1">VLOOKUP($B88&amp;"_"&amp;$E88,OFFSET([1]stages!$A$1,0,0,COUNTA([1]stages!$A:$A),MATCH(F$1,[1]stages!$2:$2,0)-MATCH("temp_stage",[1]stages!$2:$2,0)+1),MATCH(F$1,[1]stages!$2:$2,0)-MATCH("temp_stage",[1]stages!$2:$2,0)+1,FALSE)</f>
        <v xml:space="preserve">【中級】水のウサギ </v>
      </c>
      <c r="G88" s="3" t="str">
        <f ca="1">VLOOKUP($B88&amp;"_"&amp;$E88,OFFSET([1]stages!$A$1,0,0,COUNTA([1]stages!$A:$A),MATCH(G$1,[1]stages!$2:$2,0)-MATCH("temp_stage",[1]stages!$2:$2,0)+1),MATCH(G$1,[1]stages!$2:$2,0)-MATCH("temp_stage",[1]stages!$2:$2,0)+1,FALSE)</f>
        <v>水曜クエスト</v>
      </c>
      <c r="H88" s="18">
        <v>0</v>
      </c>
      <c r="I88">
        <v>29</v>
      </c>
      <c r="J88" s="5" t="s">
        <v>16</v>
      </c>
      <c r="K88" s="35" t="str">
        <f>VLOOKUP(I88,[2]stage_hints!$A:$C,3,FALSE)</f>
        <v>「バグ」のメリット</v>
      </c>
      <c r="L88" s="36" t="str">
        <f>VLOOKUP(I88,[2]stage_hints!$A:$D,4,FALSE)</f>
        <v>ユニットの「バグ」を増やすと_x000D_報酬をもらえる確率がアップします</v>
      </c>
      <c r="M88" s="21" t="s">
        <v>23</v>
      </c>
      <c r="N88">
        <v>29</v>
      </c>
    </row>
    <row r="89" spans="1:14" x14ac:dyDescent="0.15">
      <c r="A89" s="26" t="s">
        <v>32</v>
      </c>
      <c r="B89" s="4">
        <v>11003</v>
      </c>
      <c r="C89" s="3" t="str">
        <f ca="1">VLOOKUP($B89,OFFSET([1]quests!$A$1,0,0,COUNTA([1]quests!$A:$A),MATCH(C$1,[1]quests!$1:$1,0)-MATCH($B$1,[1]quests!$1:$1,0)+1),MATCH(C$1,[1]quests!$1:$1,0)-MATCH($B$1,[1]quests!$1:$1,0)+1,FALSE)</f>
        <v>【水曜限定】 青の素材</v>
      </c>
      <c r="D89" s="3" t="str">
        <f ca="1">VLOOKUP($B89,OFFSET([1]quests!$A$1,0,0,COUNTA([1]quests!$A:$A),MATCH(D$1,[1]quests!$1:$1,0)-MATCH($B$1,[1]quests!$1:$1,0)+1),MATCH(D$1,[1]quests!$1:$1,0)-MATCH($B$1,[1]quests!$1:$1,0)+1,FALSE)</f>
        <v>水曜クエスト</v>
      </c>
      <c r="E89" s="5">
        <v>2</v>
      </c>
      <c r="F89" s="3" t="str">
        <f ca="1">VLOOKUP($B89&amp;"_"&amp;$E89,OFFSET([1]stages!$A$1,0,0,COUNTA([1]stages!$A:$A),MATCH(F$1,[1]stages!$2:$2,0)-MATCH("temp_stage",[1]stages!$2:$2,0)+1),MATCH(F$1,[1]stages!$2:$2,0)-MATCH("temp_stage",[1]stages!$2:$2,0)+1,FALSE)</f>
        <v xml:space="preserve">【中級】水のウサギ </v>
      </c>
      <c r="G89" s="3" t="str">
        <f ca="1">VLOOKUP($B89&amp;"_"&amp;$E89,OFFSET([1]stages!$A$1,0,0,COUNTA([1]stages!$A:$A),MATCH(G$1,[1]stages!$2:$2,0)-MATCH("temp_stage",[1]stages!$2:$2,0)+1),MATCH(G$1,[1]stages!$2:$2,0)-MATCH("temp_stage",[1]stages!$2:$2,0)+1,FALSE)</f>
        <v>水曜クエスト</v>
      </c>
      <c r="H89" s="18">
        <v>0</v>
      </c>
      <c r="I89">
        <v>30</v>
      </c>
      <c r="J89" s="5" t="s">
        <v>16</v>
      </c>
      <c r="K89" s="35" t="str">
        <f>VLOOKUP(I89,[2]stage_hints!$A:$C,3,FALSE)</f>
        <v>「バグ」の増やし方</v>
      </c>
      <c r="L89" s="36" t="str">
        <f>VLOOKUP(I89,[2]stage_hints!$A:$D,4,FALSE)</f>
        <v>同じユニット同士を強化で合成すると_x000D_「バグ」を増やすことができます</v>
      </c>
      <c r="M89" s="21" t="s">
        <v>23</v>
      </c>
      <c r="N89">
        <v>30</v>
      </c>
    </row>
    <row r="90" spans="1:14" x14ac:dyDescent="0.15">
      <c r="A90" s="26" t="s">
        <v>32</v>
      </c>
      <c r="B90" s="4">
        <v>11003</v>
      </c>
      <c r="C90" s="3" t="str">
        <f ca="1">VLOOKUP($B90,OFFSET([1]quests!$A$1,0,0,COUNTA([1]quests!$A:$A),MATCH(C$1,[1]quests!$1:$1,0)-MATCH($B$1,[1]quests!$1:$1,0)+1),MATCH(C$1,[1]quests!$1:$1,0)-MATCH($B$1,[1]quests!$1:$1,0)+1,FALSE)</f>
        <v>【水曜限定】 青の素材</v>
      </c>
      <c r="D90" s="3" t="str">
        <f ca="1">VLOOKUP($B90,OFFSET([1]quests!$A$1,0,0,COUNTA([1]quests!$A:$A),MATCH(D$1,[1]quests!$1:$1,0)-MATCH($B$1,[1]quests!$1:$1,0)+1),MATCH(D$1,[1]quests!$1:$1,0)-MATCH($B$1,[1]quests!$1:$1,0)+1,FALSE)</f>
        <v>水曜クエスト</v>
      </c>
      <c r="E90" s="5">
        <v>2</v>
      </c>
      <c r="F90" s="3" t="str">
        <f ca="1">VLOOKUP($B90&amp;"_"&amp;$E90,OFFSET([1]stages!$A$1,0,0,COUNTA([1]stages!$A:$A),MATCH(F$1,[1]stages!$2:$2,0)-MATCH("temp_stage",[1]stages!$2:$2,0)+1),MATCH(F$1,[1]stages!$2:$2,0)-MATCH("temp_stage",[1]stages!$2:$2,0)+1,FALSE)</f>
        <v xml:space="preserve">【中級】水のウサギ </v>
      </c>
      <c r="G90" s="3" t="str">
        <f ca="1">VLOOKUP($B90&amp;"_"&amp;$E90,OFFSET([1]stages!$A$1,0,0,COUNTA([1]stages!$A:$A),MATCH(G$1,[1]stages!$2:$2,0)-MATCH("temp_stage",[1]stages!$2:$2,0)+1),MATCH(G$1,[1]stages!$2:$2,0)-MATCH("temp_stage",[1]stages!$2:$2,0)+1,FALSE)</f>
        <v>水曜クエスト</v>
      </c>
      <c r="H90" s="18">
        <v>0</v>
      </c>
      <c r="I90">
        <v>31</v>
      </c>
      <c r="J90" s="5" t="s">
        <v>16</v>
      </c>
      <c r="K90" s="35" t="str">
        <f>VLOOKUP(I90,[2]stage_hints!$A:$C,3,FALSE)</f>
        <v>イベントはお知らせでチェック</v>
      </c>
      <c r="L90" s="36" t="str">
        <f>VLOOKUP(I90,[2]stage_hints!$A:$D,4,FALSE)</f>
        <v>イベント限定ユニットを取り忘れないように_x000D_お知らせをこまめにチェックしましょう</v>
      </c>
      <c r="M90" s="21" t="s">
        <v>23</v>
      </c>
      <c r="N90">
        <v>31</v>
      </c>
    </row>
    <row r="91" spans="1:14" x14ac:dyDescent="0.15">
      <c r="A91" s="26" t="s">
        <v>32</v>
      </c>
      <c r="B91" s="4">
        <v>11003</v>
      </c>
      <c r="C91" s="3" t="str">
        <f ca="1">VLOOKUP($B91,OFFSET([1]quests!$A$1,0,0,COUNTA([1]quests!$A:$A),MATCH(C$1,[1]quests!$1:$1,0)-MATCH($B$1,[1]quests!$1:$1,0)+1),MATCH(C$1,[1]quests!$1:$1,0)-MATCH($B$1,[1]quests!$1:$1,0)+1,FALSE)</f>
        <v>【水曜限定】 青の素材</v>
      </c>
      <c r="D91" s="3" t="str">
        <f ca="1">VLOOKUP($B91,OFFSET([1]quests!$A$1,0,0,COUNTA([1]quests!$A:$A),MATCH(D$1,[1]quests!$1:$1,0)-MATCH($B$1,[1]quests!$1:$1,0)+1),MATCH(D$1,[1]quests!$1:$1,0)-MATCH($B$1,[1]quests!$1:$1,0)+1,FALSE)</f>
        <v>水曜クエスト</v>
      </c>
      <c r="E91" s="5">
        <v>2</v>
      </c>
      <c r="F91" s="3" t="str">
        <f ca="1">VLOOKUP($B91&amp;"_"&amp;$E91,OFFSET([1]stages!$A$1,0,0,COUNTA([1]stages!$A:$A),MATCH(F$1,[1]stages!$2:$2,0)-MATCH("temp_stage",[1]stages!$2:$2,0)+1),MATCH(F$1,[1]stages!$2:$2,0)-MATCH("temp_stage",[1]stages!$2:$2,0)+1,FALSE)</f>
        <v xml:space="preserve">【中級】水のウサギ </v>
      </c>
      <c r="G91" s="3" t="str">
        <f ca="1">VLOOKUP($B91&amp;"_"&amp;$E91,OFFSET([1]stages!$A$1,0,0,COUNTA([1]stages!$A:$A),MATCH(G$1,[1]stages!$2:$2,0)-MATCH("temp_stage",[1]stages!$2:$2,0)+1),MATCH(G$1,[1]stages!$2:$2,0)-MATCH("temp_stage",[1]stages!$2:$2,0)+1,FALSE)</f>
        <v>水曜クエスト</v>
      </c>
      <c r="H91" s="18">
        <v>0</v>
      </c>
      <c r="I91">
        <v>32</v>
      </c>
      <c r="J91" s="5" t="s">
        <v>16</v>
      </c>
      <c r="K91" s="35" t="str">
        <f>VLOOKUP(I91,[2]stage_hints!$A:$C,3,FALSE)</f>
        <v>敵の連続攻撃には</v>
      </c>
      <c r="L91" s="36" t="str">
        <f>VLOOKUP(I91,[2]stage_hints!$A:$D,4,FALSE)</f>
        <v>カウンタースキルを持つユニットがいれば_x000D_ダメージ回数分の反撃ができます</v>
      </c>
      <c r="M91" s="21" t="s">
        <v>23</v>
      </c>
      <c r="N91">
        <v>32</v>
      </c>
    </row>
    <row r="92" spans="1:14" x14ac:dyDescent="0.15">
      <c r="A92" s="26" t="s">
        <v>32</v>
      </c>
      <c r="B92" s="4">
        <v>11003</v>
      </c>
      <c r="C92" s="3" t="str">
        <f ca="1">VLOOKUP($B92,OFFSET([1]quests!$A$1,0,0,COUNTA([1]quests!$A:$A),MATCH(C$1,[1]quests!$1:$1,0)-MATCH($B$1,[1]quests!$1:$1,0)+1),MATCH(C$1,[1]quests!$1:$1,0)-MATCH($B$1,[1]quests!$1:$1,0)+1,FALSE)</f>
        <v>【水曜限定】 青の素材</v>
      </c>
      <c r="D92" s="3" t="str">
        <f ca="1">VLOOKUP($B92,OFFSET([1]quests!$A$1,0,0,COUNTA([1]quests!$A:$A),MATCH(D$1,[1]quests!$1:$1,0)-MATCH($B$1,[1]quests!$1:$1,0)+1),MATCH(D$1,[1]quests!$1:$1,0)-MATCH($B$1,[1]quests!$1:$1,0)+1,FALSE)</f>
        <v>水曜クエスト</v>
      </c>
      <c r="E92" s="5">
        <v>2</v>
      </c>
      <c r="F92" s="3" t="str">
        <f ca="1">VLOOKUP($B92&amp;"_"&amp;$E92,OFFSET([1]stages!$A$1,0,0,COUNTA([1]stages!$A:$A),MATCH(F$1,[1]stages!$2:$2,0)-MATCH("temp_stage",[1]stages!$2:$2,0)+1),MATCH(F$1,[1]stages!$2:$2,0)-MATCH("temp_stage",[1]stages!$2:$2,0)+1,FALSE)</f>
        <v xml:space="preserve">【中級】水のウサギ </v>
      </c>
      <c r="G92" s="3" t="str">
        <f ca="1">VLOOKUP($B92&amp;"_"&amp;$E92,OFFSET([1]stages!$A$1,0,0,COUNTA([1]stages!$A:$A),MATCH(G$1,[1]stages!$2:$2,0)-MATCH("temp_stage",[1]stages!$2:$2,0)+1),MATCH(G$1,[1]stages!$2:$2,0)-MATCH("temp_stage",[1]stages!$2:$2,0)+1,FALSE)</f>
        <v>水曜クエスト</v>
      </c>
      <c r="H92" s="18">
        <v>0</v>
      </c>
      <c r="I92">
        <v>33</v>
      </c>
      <c r="J92" s="5" t="s">
        <v>16</v>
      </c>
      <c r="K92" s="35" t="str">
        <f>VLOOKUP(I92,[2]stage_hints!$A:$C,3,FALSE)</f>
        <v>敵のカウンター攻撃には</v>
      </c>
      <c r="L92" s="36" t="str">
        <f>VLOOKUP(I92,[2]stage_hints!$A:$D,4,FALSE)</f>
        <v>カウンターブレイクスキルを持っていれば_x000D_敵のカウンターを解除して攻撃ができます</v>
      </c>
      <c r="M92" s="21" t="s">
        <v>23</v>
      </c>
      <c r="N92">
        <v>33</v>
      </c>
    </row>
    <row r="93" spans="1:14" x14ac:dyDescent="0.15">
      <c r="A93" s="26" t="s">
        <v>32</v>
      </c>
      <c r="B93" s="4">
        <v>11003</v>
      </c>
      <c r="C93" s="3" t="str">
        <f ca="1">VLOOKUP($B93,OFFSET([1]quests!$A$1,0,0,COUNTA([1]quests!$A:$A),MATCH(C$1,[1]quests!$1:$1,0)-MATCH($B$1,[1]quests!$1:$1,0)+1),MATCH(C$1,[1]quests!$1:$1,0)-MATCH($B$1,[1]quests!$1:$1,0)+1,FALSE)</f>
        <v>【水曜限定】 青の素材</v>
      </c>
      <c r="D93" s="3" t="str">
        <f ca="1">VLOOKUP($B93,OFFSET([1]quests!$A$1,0,0,COUNTA([1]quests!$A:$A),MATCH(D$1,[1]quests!$1:$1,0)-MATCH($B$1,[1]quests!$1:$1,0)+1),MATCH(D$1,[1]quests!$1:$1,0)-MATCH($B$1,[1]quests!$1:$1,0)+1,FALSE)</f>
        <v>水曜クエスト</v>
      </c>
      <c r="E93" s="5">
        <v>2</v>
      </c>
      <c r="F93" s="3" t="str">
        <f ca="1">VLOOKUP($B93&amp;"_"&amp;$E93,OFFSET([1]stages!$A$1,0,0,COUNTA([1]stages!$A:$A),MATCH(F$1,[1]stages!$2:$2,0)-MATCH("temp_stage",[1]stages!$2:$2,0)+1),MATCH(F$1,[1]stages!$2:$2,0)-MATCH("temp_stage",[1]stages!$2:$2,0)+1,FALSE)</f>
        <v xml:space="preserve">【中級】水のウサギ </v>
      </c>
      <c r="G93" s="3" t="str">
        <f ca="1">VLOOKUP($B93&amp;"_"&amp;$E93,OFFSET([1]stages!$A$1,0,0,COUNTA([1]stages!$A:$A),MATCH(G$1,[1]stages!$2:$2,0)-MATCH("temp_stage",[1]stages!$2:$2,0)+1),MATCH(G$1,[1]stages!$2:$2,0)-MATCH("temp_stage",[1]stages!$2:$2,0)+1,FALSE)</f>
        <v>水曜クエスト</v>
      </c>
      <c r="H93" s="18">
        <v>0</v>
      </c>
      <c r="I93">
        <v>34</v>
      </c>
      <c r="J93" s="5" t="s">
        <v>16</v>
      </c>
      <c r="K93" s="35" t="str">
        <f>VLOOKUP(I93,[2]stage_hints!$A:$C,3,FALSE)</f>
        <v>ステータスをスキルで下げられたら</v>
      </c>
      <c r="L93" s="36" t="str">
        <f>VLOOKUP(I93,[2]stage_hints!$A:$D,4,FALSE)</f>
        <v>ステータスダウンのスキルを受けたら_x000D_ステータスアップスキルで上書きしましょう</v>
      </c>
      <c r="M93" s="21" t="s">
        <v>23</v>
      </c>
      <c r="N93">
        <v>34</v>
      </c>
    </row>
    <row r="94" spans="1:14" x14ac:dyDescent="0.15">
      <c r="A94" s="26" t="s">
        <v>32</v>
      </c>
      <c r="B94" s="4">
        <v>11003</v>
      </c>
      <c r="C94" s="3" t="str">
        <f ca="1">VLOOKUP($B94,OFFSET([1]quests!$A$1,0,0,COUNTA([1]quests!$A:$A),MATCH(C$1,[1]quests!$1:$1,0)-MATCH($B$1,[1]quests!$1:$1,0)+1),MATCH(C$1,[1]quests!$1:$1,0)-MATCH($B$1,[1]quests!$1:$1,0)+1,FALSE)</f>
        <v>【水曜限定】 青の素材</v>
      </c>
      <c r="D94" s="3" t="str">
        <f ca="1">VLOOKUP($B94,OFFSET([1]quests!$A$1,0,0,COUNTA([1]quests!$A:$A),MATCH(D$1,[1]quests!$1:$1,0)-MATCH($B$1,[1]quests!$1:$1,0)+1),MATCH(D$1,[1]quests!$1:$1,0)-MATCH($B$1,[1]quests!$1:$1,0)+1,FALSE)</f>
        <v>水曜クエスト</v>
      </c>
      <c r="E94" s="5">
        <v>2</v>
      </c>
      <c r="F94" s="3" t="str">
        <f ca="1">VLOOKUP($B94&amp;"_"&amp;$E94,OFFSET([1]stages!$A$1,0,0,COUNTA([1]stages!$A:$A),MATCH(F$1,[1]stages!$2:$2,0)-MATCH("temp_stage",[1]stages!$2:$2,0)+1),MATCH(F$1,[1]stages!$2:$2,0)-MATCH("temp_stage",[1]stages!$2:$2,0)+1,FALSE)</f>
        <v xml:space="preserve">【中級】水のウサギ </v>
      </c>
      <c r="G94" s="3" t="str">
        <f ca="1">VLOOKUP($B94&amp;"_"&amp;$E94,OFFSET([1]stages!$A$1,0,0,COUNTA([1]stages!$A:$A),MATCH(G$1,[1]stages!$2:$2,0)-MATCH("temp_stage",[1]stages!$2:$2,0)+1),MATCH(G$1,[1]stages!$2:$2,0)-MATCH("temp_stage",[1]stages!$2:$2,0)+1,FALSE)</f>
        <v>水曜クエスト</v>
      </c>
      <c r="H94" s="18">
        <v>0</v>
      </c>
      <c r="I94">
        <v>35</v>
      </c>
      <c r="J94" s="5" t="s">
        <v>16</v>
      </c>
      <c r="K94" s="35" t="str">
        <f>VLOOKUP(I94,[2]stage_hints!$A:$C,3,FALSE)</f>
        <v>敵のステータスがスキルで上がったら</v>
      </c>
      <c r="L94" s="36" t="str">
        <f>VLOOKUP(I94,[2]stage_hints!$A:$D,4,FALSE)</f>
        <v>敵のステータスがスキルでアップしたときは_x000D_ステータスダウンスキルで上書きしましょう</v>
      </c>
      <c r="M94" s="21" t="s">
        <v>23</v>
      </c>
      <c r="N94">
        <v>35</v>
      </c>
    </row>
    <row r="95" spans="1:14" x14ac:dyDescent="0.15">
      <c r="A95" s="26" t="s">
        <v>32</v>
      </c>
      <c r="B95" s="4">
        <v>11004</v>
      </c>
      <c r="C95" s="3" t="str">
        <f ca="1">VLOOKUP($B95,OFFSET([1]quests!$A$1,0,0,COUNTA([1]quests!$A:$A),MATCH(C$1,[1]quests!$1:$1,0)-MATCH($B$1,[1]quests!$1:$1,0)+1),MATCH(C$1,[1]quests!$1:$1,0)-MATCH($B$1,[1]quests!$1:$1,0)+1,FALSE)</f>
        <v>【木曜限定】 緑の素材</v>
      </c>
      <c r="D95" s="3" t="str">
        <f ca="1">VLOOKUP($B95,OFFSET([1]quests!$A$1,0,0,COUNTA([1]quests!$A:$A),MATCH(D$1,[1]quests!$1:$1,0)-MATCH($B$1,[1]quests!$1:$1,0)+1),MATCH(D$1,[1]quests!$1:$1,0)-MATCH($B$1,[1]quests!$1:$1,0)+1,FALSE)</f>
        <v>木曜クエスト</v>
      </c>
      <c r="E95" s="5">
        <v>2</v>
      </c>
      <c r="F95" s="3" t="str">
        <f ca="1">VLOOKUP($B95&amp;"_"&amp;$E95,OFFSET([1]stages!$A$1,0,0,COUNTA([1]stages!$A:$A),MATCH(F$1,[1]stages!$2:$2,0)-MATCH("temp_stage",[1]stages!$2:$2,0)+1),MATCH(F$1,[1]stages!$2:$2,0)-MATCH("temp_stage",[1]stages!$2:$2,0)+1,FALSE)</f>
        <v>【中級】樹のウサギ</v>
      </c>
      <c r="G95" s="3" t="str">
        <f ca="1">VLOOKUP($B95&amp;"_"&amp;$E95,OFFSET([1]stages!$A$1,0,0,COUNTA([1]stages!$A:$A),MATCH(G$1,[1]stages!$2:$2,0)-MATCH("temp_stage",[1]stages!$2:$2,0)+1),MATCH(G$1,[1]stages!$2:$2,0)-MATCH("temp_stage",[1]stages!$2:$2,0)+1,FALSE)</f>
        <v>木曜クエスト</v>
      </c>
      <c r="H95" s="18">
        <v>0</v>
      </c>
      <c r="I95">
        <v>3</v>
      </c>
      <c r="J95" s="5" t="s">
        <v>16</v>
      </c>
      <c r="K95" s="35" t="str">
        <f>VLOOKUP(I95,[2]stage_hints!$A:$C,3,FALSE)</f>
        <v>ターゲット</v>
      </c>
      <c r="L95" s="36" t="str">
        <f>VLOOKUP(I95,[2]stage_hints!$A:$D,4,FALSE)</f>
        <v>敵ユニットをタップすると_x000D_その敵を狙い撃ちできます</v>
      </c>
      <c r="M95" s="21" t="s">
        <v>23</v>
      </c>
      <c r="N95">
        <v>3</v>
      </c>
    </row>
    <row r="96" spans="1:14" x14ac:dyDescent="0.15">
      <c r="A96" s="26" t="s">
        <v>32</v>
      </c>
      <c r="B96" s="4">
        <v>11004</v>
      </c>
      <c r="C96" s="3" t="str">
        <f ca="1">VLOOKUP($B96,OFFSET([1]quests!$A$1,0,0,COUNTA([1]quests!$A:$A),MATCH(C$1,[1]quests!$1:$1,0)-MATCH($B$1,[1]quests!$1:$1,0)+1),MATCH(C$1,[1]quests!$1:$1,0)-MATCH($B$1,[1]quests!$1:$1,0)+1,FALSE)</f>
        <v>【木曜限定】 緑の素材</v>
      </c>
      <c r="D96" s="3" t="str">
        <f ca="1">VLOOKUP($B96,OFFSET([1]quests!$A$1,0,0,COUNTA([1]quests!$A:$A),MATCH(D$1,[1]quests!$1:$1,0)-MATCH($B$1,[1]quests!$1:$1,0)+1),MATCH(D$1,[1]quests!$1:$1,0)-MATCH($B$1,[1]quests!$1:$1,0)+1,FALSE)</f>
        <v>木曜クエスト</v>
      </c>
      <c r="E96" s="5">
        <v>2</v>
      </c>
      <c r="F96" s="3" t="str">
        <f ca="1">VLOOKUP($B96&amp;"_"&amp;$E96,OFFSET([1]stages!$A$1,0,0,COUNTA([1]stages!$A:$A),MATCH(F$1,[1]stages!$2:$2,0)-MATCH("temp_stage",[1]stages!$2:$2,0)+1),MATCH(F$1,[1]stages!$2:$2,0)-MATCH("temp_stage",[1]stages!$2:$2,0)+1,FALSE)</f>
        <v>【中級】樹のウサギ</v>
      </c>
      <c r="G96" s="3" t="str">
        <f ca="1">VLOOKUP($B96&amp;"_"&amp;$E96,OFFSET([1]stages!$A$1,0,0,COUNTA([1]stages!$A:$A),MATCH(G$1,[1]stages!$2:$2,0)-MATCH("temp_stage",[1]stages!$2:$2,0)+1),MATCH(G$1,[1]stages!$2:$2,0)-MATCH("temp_stage",[1]stages!$2:$2,0)+1,FALSE)</f>
        <v>木曜クエスト</v>
      </c>
      <c r="H96" s="18">
        <v>0</v>
      </c>
      <c r="I96">
        <v>6</v>
      </c>
      <c r="J96" s="5" t="s">
        <v>16</v>
      </c>
      <c r="K96" s="35" t="str">
        <f>VLOOKUP(I96,[2]stage_hints!$A:$C,3,FALSE)</f>
        <v>ユニット強化の属性ボーナス</v>
      </c>
      <c r="L96" s="36" t="str">
        <f>VLOOKUP(I96,[2]stage_hints!$A:$D,4,FALSE)</f>
        <v>同属性ユニットを強化素材にすると_x000D_経験値が多くもらえます</v>
      </c>
      <c r="M96" s="21" t="s">
        <v>23</v>
      </c>
      <c r="N96">
        <v>6</v>
      </c>
    </row>
    <row r="97" spans="1:14" x14ac:dyDescent="0.15">
      <c r="A97" s="26" t="s">
        <v>32</v>
      </c>
      <c r="B97" s="4">
        <v>11004</v>
      </c>
      <c r="C97" s="3" t="str">
        <f ca="1">VLOOKUP($B97,OFFSET([1]quests!$A$1,0,0,COUNTA([1]quests!$A:$A),MATCH(C$1,[1]quests!$1:$1,0)-MATCH($B$1,[1]quests!$1:$1,0)+1),MATCH(C$1,[1]quests!$1:$1,0)-MATCH($B$1,[1]quests!$1:$1,0)+1,FALSE)</f>
        <v>【木曜限定】 緑の素材</v>
      </c>
      <c r="D97" s="3" t="str">
        <f ca="1">VLOOKUP($B97,OFFSET([1]quests!$A$1,0,0,COUNTA([1]quests!$A:$A),MATCH(D$1,[1]quests!$1:$1,0)-MATCH($B$1,[1]quests!$1:$1,0)+1),MATCH(D$1,[1]quests!$1:$1,0)-MATCH($B$1,[1]quests!$1:$1,0)+1,FALSE)</f>
        <v>木曜クエスト</v>
      </c>
      <c r="E97" s="5">
        <v>2</v>
      </c>
      <c r="F97" s="3" t="str">
        <f ca="1">VLOOKUP($B97&amp;"_"&amp;$E97,OFFSET([1]stages!$A$1,0,0,COUNTA([1]stages!$A:$A),MATCH(F$1,[1]stages!$2:$2,0)-MATCH("temp_stage",[1]stages!$2:$2,0)+1),MATCH(F$1,[1]stages!$2:$2,0)-MATCH("temp_stage",[1]stages!$2:$2,0)+1,FALSE)</f>
        <v>【中級】樹のウサギ</v>
      </c>
      <c r="G97" s="3" t="str">
        <f ca="1">VLOOKUP($B97&amp;"_"&amp;$E97,OFFSET([1]stages!$A$1,0,0,COUNTA([1]stages!$A:$A),MATCH(G$1,[1]stages!$2:$2,0)-MATCH("temp_stage",[1]stages!$2:$2,0)+1),MATCH(G$1,[1]stages!$2:$2,0)-MATCH("temp_stage",[1]stages!$2:$2,0)+1,FALSE)</f>
        <v>木曜クエスト</v>
      </c>
      <c r="H97" s="18">
        <v>0</v>
      </c>
      <c r="I97">
        <v>7</v>
      </c>
      <c r="J97" s="5" t="s">
        <v>16</v>
      </c>
      <c r="K97" s="35" t="str">
        <f>VLOOKUP(I97,[2]stage_hints!$A:$C,3,FALSE)</f>
        <v>メタルダックで経験値を獲得</v>
      </c>
      <c r="L97" s="36" t="str">
        <f>VLOOKUP(I97,[2]stage_hints!$A:$D,4,FALSE)</f>
        <v>「メタルなアヒル」を強化素材にすると_x000D_大量の経験値がもらえます</v>
      </c>
      <c r="M97" s="21" t="s">
        <v>23</v>
      </c>
      <c r="N97">
        <v>7</v>
      </c>
    </row>
    <row r="98" spans="1:14" x14ac:dyDescent="0.15">
      <c r="A98" s="26" t="s">
        <v>32</v>
      </c>
      <c r="B98" s="4">
        <v>11004</v>
      </c>
      <c r="C98" s="3" t="str">
        <f ca="1">VLOOKUP($B98,OFFSET([1]quests!$A$1,0,0,COUNTA([1]quests!$A:$A),MATCH(C$1,[1]quests!$1:$1,0)-MATCH($B$1,[1]quests!$1:$1,0)+1),MATCH(C$1,[1]quests!$1:$1,0)-MATCH($B$1,[1]quests!$1:$1,0)+1,FALSE)</f>
        <v>【木曜限定】 緑の素材</v>
      </c>
      <c r="D98" s="3" t="str">
        <f ca="1">VLOOKUP($B98,OFFSET([1]quests!$A$1,0,0,COUNTA([1]quests!$A:$A),MATCH(D$1,[1]quests!$1:$1,0)-MATCH($B$1,[1]quests!$1:$1,0)+1),MATCH(D$1,[1]quests!$1:$1,0)-MATCH($B$1,[1]quests!$1:$1,0)+1,FALSE)</f>
        <v>木曜クエスト</v>
      </c>
      <c r="E98" s="5">
        <v>2</v>
      </c>
      <c r="F98" s="3" t="str">
        <f ca="1">VLOOKUP($B98&amp;"_"&amp;$E98,OFFSET([1]stages!$A$1,0,0,COUNTA([1]stages!$A:$A),MATCH(F$1,[1]stages!$2:$2,0)-MATCH("temp_stage",[1]stages!$2:$2,0)+1),MATCH(F$1,[1]stages!$2:$2,0)-MATCH("temp_stage",[1]stages!$2:$2,0)+1,FALSE)</f>
        <v>【中級】樹のウサギ</v>
      </c>
      <c r="G98" s="3" t="str">
        <f ca="1">VLOOKUP($B98&amp;"_"&amp;$E98,OFFSET([1]stages!$A$1,0,0,COUNTA([1]stages!$A:$A),MATCH(G$1,[1]stages!$2:$2,0)-MATCH("temp_stage",[1]stages!$2:$2,0)+1),MATCH(G$1,[1]stages!$2:$2,0)-MATCH("temp_stage",[1]stages!$2:$2,0)+1,FALSE)</f>
        <v>木曜クエスト</v>
      </c>
      <c r="H98" s="18">
        <v>0</v>
      </c>
      <c r="I98">
        <v>8</v>
      </c>
      <c r="J98" s="5" t="s">
        <v>16</v>
      </c>
      <c r="K98" s="35" t="str">
        <f>VLOOKUP(I98,[2]stage_hints!$A:$C,3,FALSE)</f>
        <v>ゲリラクエストは要チェック</v>
      </c>
      <c r="L98" s="36" t="str">
        <f>VLOOKUP(I98,[2]stage_hints!$A:$D,4,FALSE)</f>
        <v>時間限定の「アヒル捕獲作戦」では_x000D_経験値素材ユニットが多く手に入ります</v>
      </c>
      <c r="M98" s="21" t="s">
        <v>23</v>
      </c>
      <c r="N98">
        <v>8</v>
      </c>
    </row>
    <row r="99" spans="1:14" x14ac:dyDescent="0.15">
      <c r="A99" s="26" t="s">
        <v>32</v>
      </c>
      <c r="B99" s="4">
        <v>11004</v>
      </c>
      <c r="C99" s="3" t="str">
        <f ca="1">VLOOKUP($B99,OFFSET([1]quests!$A$1,0,0,COUNTA([1]quests!$A:$A),MATCH(C$1,[1]quests!$1:$1,0)-MATCH($B$1,[1]quests!$1:$1,0)+1),MATCH(C$1,[1]quests!$1:$1,0)-MATCH($B$1,[1]quests!$1:$1,0)+1,FALSE)</f>
        <v>【木曜限定】 緑の素材</v>
      </c>
      <c r="D99" s="3" t="str">
        <f ca="1">VLOOKUP($B99,OFFSET([1]quests!$A$1,0,0,COUNTA([1]quests!$A:$A),MATCH(D$1,[1]quests!$1:$1,0)-MATCH($B$1,[1]quests!$1:$1,0)+1),MATCH(D$1,[1]quests!$1:$1,0)-MATCH($B$1,[1]quests!$1:$1,0)+1,FALSE)</f>
        <v>木曜クエスト</v>
      </c>
      <c r="E99" s="5">
        <v>2</v>
      </c>
      <c r="F99" s="3" t="str">
        <f ca="1">VLOOKUP($B99&amp;"_"&amp;$E99,OFFSET([1]stages!$A$1,0,0,COUNTA([1]stages!$A:$A),MATCH(F$1,[1]stages!$2:$2,0)-MATCH("temp_stage",[1]stages!$2:$2,0)+1),MATCH(F$1,[1]stages!$2:$2,0)-MATCH("temp_stage",[1]stages!$2:$2,0)+1,FALSE)</f>
        <v>【中級】樹のウサギ</v>
      </c>
      <c r="G99" s="3" t="str">
        <f ca="1">VLOOKUP($B99&amp;"_"&amp;$E99,OFFSET([1]stages!$A$1,0,0,COUNTA([1]stages!$A:$A),MATCH(G$1,[1]stages!$2:$2,0)-MATCH("temp_stage",[1]stages!$2:$2,0)+1),MATCH(G$1,[1]stages!$2:$2,0)-MATCH("temp_stage",[1]stages!$2:$2,0)+1,FALSE)</f>
        <v>木曜クエスト</v>
      </c>
      <c r="H99" s="18">
        <v>0</v>
      </c>
      <c r="I99">
        <v>9</v>
      </c>
      <c r="J99" s="5" t="s">
        <v>16</v>
      </c>
      <c r="K99" s="35" t="str">
        <f>VLOOKUP(I99,[2]stage_hints!$A:$C,3,FALSE)</f>
        <v>ゴールドダックでビットを獲得</v>
      </c>
      <c r="L99" s="36" t="str">
        <f>VLOOKUP(I99,[2]stage_hints!$A:$D,4,FALSE)</f>
        <v>「ゴールドなアヒル」を売却すると_x000D_大量のビットがもらえます</v>
      </c>
      <c r="M99" s="21" t="s">
        <v>23</v>
      </c>
      <c r="N99">
        <v>9</v>
      </c>
    </row>
    <row r="100" spans="1:14" x14ac:dyDescent="0.15">
      <c r="A100" s="26" t="s">
        <v>32</v>
      </c>
      <c r="B100" s="4">
        <v>11004</v>
      </c>
      <c r="C100" s="3" t="str">
        <f ca="1">VLOOKUP($B100,OFFSET([1]quests!$A$1,0,0,COUNTA([1]quests!$A:$A),MATCH(C$1,[1]quests!$1:$1,0)-MATCH($B$1,[1]quests!$1:$1,0)+1),MATCH(C$1,[1]quests!$1:$1,0)-MATCH($B$1,[1]quests!$1:$1,0)+1,FALSE)</f>
        <v>【木曜限定】 緑の素材</v>
      </c>
      <c r="D100" s="3" t="str">
        <f ca="1">VLOOKUP($B100,OFFSET([1]quests!$A$1,0,0,COUNTA([1]quests!$A:$A),MATCH(D$1,[1]quests!$1:$1,0)-MATCH($B$1,[1]quests!$1:$1,0)+1),MATCH(D$1,[1]quests!$1:$1,0)-MATCH($B$1,[1]quests!$1:$1,0)+1,FALSE)</f>
        <v>木曜クエスト</v>
      </c>
      <c r="E100" s="5">
        <v>2</v>
      </c>
      <c r="F100" s="3" t="str">
        <f ca="1">VLOOKUP($B100&amp;"_"&amp;$E100,OFFSET([1]stages!$A$1,0,0,COUNTA([1]stages!$A:$A),MATCH(F$1,[1]stages!$2:$2,0)-MATCH("temp_stage",[1]stages!$2:$2,0)+1),MATCH(F$1,[1]stages!$2:$2,0)-MATCH("temp_stage",[1]stages!$2:$2,0)+1,FALSE)</f>
        <v>【中級】樹のウサギ</v>
      </c>
      <c r="G100" s="3" t="str">
        <f ca="1">VLOOKUP($B100&amp;"_"&amp;$E100,OFFSET([1]stages!$A$1,0,0,COUNTA([1]stages!$A:$A),MATCH(G$1,[1]stages!$2:$2,0)-MATCH("temp_stage",[1]stages!$2:$2,0)+1),MATCH(G$1,[1]stages!$2:$2,0)-MATCH("temp_stage",[1]stages!$2:$2,0)+1,FALSE)</f>
        <v>木曜クエスト</v>
      </c>
      <c r="H100" s="18">
        <v>0</v>
      </c>
      <c r="I100">
        <v>10</v>
      </c>
      <c r="J100" s="5" t="s">
        <v>16</v>
      </c>
      <c r="K100" s="35" t="str">
        <f>VLOOKUP(I100,[2]stage_hints!$A:$C,3,FALSE)</f>
        <v>土日に大量のビットを獲得</v>
      </c>
      <c r="L100" s="36" t="str">
        <f>VLOOKUP(I100,[2]stage_hints!$A:$D,4,FALSE)</f>
        <v>土日限定の「ゴールドカジノ」では_x000D_売却素材ユニットが多く手に入ります</v>
      </c>
      <c r="M100" s="21" t="s">
        <v>23</v>
      </c>
      <c r="N100">
        <v>10</v>
      </c>
    </row>
    <row r="101" spans="1:14" x14ac:dyDescent="0.15">
      <c r="A101" s="26" t="s">
        <v>32</v>
      </c>
      <c r="B101" s="4">
        <v>11004</v>
      </c>
      <c r="C101" s="3" t="str">
        <f ca="1">VLOOKUP($B101,OFFSET([1]quests!$A$1,0,0,COUNTA([1]quests!$A:$A),MATCH(C$1,[1]quests!$1:$1,0)-MATCH($B$1,[1]quests!$1:$1,0)+1),MATCH(C$1,[1]quests!$1:$1,0)-MATCH($B$1,[1]quests!$1:$1,0)+1,FALSE)</f>
        <v>【木曜限定】 緑の素材</v>
      </c>
      <c r="D101" s="3" t="str">
        <f ca="1">VLOOKUP($B101,OFFSET([1]quests!$A$1,0,0,COUNTA([1]quests!$A:$A),MATCH(D$1,[1]quests!$1:$1,0)-MATCH($B$1,[1]quests!$1:$1,0)+1),MATCH(D$1,[1]quests!$1:$1,0)-MATCH($B$1,[1]quests!$1:$1,0)+1,FALSE)</f>
        <v>木曜クエスト</v>
      </c>
      <c r="E101" s="5">
        <v>2</v>
      </c>
      <c r="F101" s="3" t="str">
        <f ca="1">VLOOKUP($B101&amp;"_"&amp;$E101,OFFSET([1]stages!$A$1,0,0,COUNTA([1]stages!$A:$A),MATCH(F$1,[1]stages!$2:$2,0)-MATCH("temp_stage",[1]stages!$2:$2,0)+1),MATCH(F$1,[1]stages!$2:$2,0)-MATCH("temp_stage",[1]stages!$2:$2,0)+1,FALSE)</f>
        <v>【中級】樹のウサギ</v>
      </c>
      <c r="G101" s="3" t="str">
        <f ca="1">VLOOKUP($B101&amp;"_"&amp;$E101,OFFSET([1]stages!$A$1,0,0,COUNTA([1]stages!$A:$A),MATCH(G$1,[1]stages!$2:$2,0)-MATCH("temp_stage",[1]stages!$2:$2,0)+1),MATCH(G$1,[1]stages!$2:$2,0)-MATCH("temp_stage",[1]stages!$2:$2,0)+1,FALSE)</f>
        <v>木曜クエスト</v>
      </c>
      <c r="H101" s="18">
        <v>0</v>
      </c>
      <c r="I101">
        <v>11</v>
      </c>
      <c r="J101" s="5" t="s">
        <v>16</v>
      </c>
      <c r="K101" s="35" t="str">
        <f>VLOOKUP(I101,[2]stage_hints!$A:$C,3,FALSE)</f>
        <v>ランク解放クエスト</v>
      </c>
      <c r="L101" s="36" t="str">
        <f>VLOOKUP(I101,[2]stage_hints!$A:$D,4,FALSE)</f>
        <v>一定ランクに到達すると_x000D_報酬付きのランク開放クエストが現れます</v>
      </c>
      <c r="M101" s="21" t="s">
        <v>23</v>
      </c>
      <c r="N101">
        <v>11</v>
      </c>
    </row>
    <row r="102" spans="1:14" x14ac:dyDescent="0.15">
      <c r="A102" s="26" t="s">
        <v>32</v>
      </c>
      <c r="B102" s="4">
        <v>11004</v>
      </c>
      <c r="C102" s="3" t="str">
        <f ca="1">VLOOKUP($B102,OFFSET([1]quests!$A$1,0,0,COUNTA([1]quests!$A:$A),MATCH(C$1,[1]quests!$1:$1,0)-MATCH($B$1,[1]quests!$1:$1,0)+1),MATCH(C$1,[1]quests!$1:$1,0)-MATCH($B$1,[1]quests!$1:$1,0)+1,FALSE)</f>
        <v>【木曜限定】 緑の素材</v>
      </c>
      <c r="D102" s="3" t="str">
        <f ca="1">VLOOKUP($B102,OFFSET([1]quests!$A$1,0,0,COUNTA([1]quests!$A:$A),MATCH(D$1,[1]quests!$1:$1,0)-MATCH($B$1,[1]quests!$1:$1,0)+1),MATCH(D$1,[1]quests!$1:$1,0)-MATCH($B$1,[1]quests!$1:$1,0)+1,FALSE)</f>
        <v>木曜クエスト</v>
      </c>
      <c r="E102" s="5">
        <v>2</v>
      </c>
      <c r="F102" s="3" t="str">
        <f ca="1">VLOOKUP($B102&amp;"_"&amp;$E102,OFFSET([1]stages!$A$1,0,0,COUNTA([1]stages!$A:$A),MATCH(F$1,[1]stages!$2:$2,0)-MATCH("temp_stage",[1]stages!$2:$2,0)+1),MATCH(F$1,[1]stages!$2:$2,0)-MATCH("temp_stage",[1]stages!$2:$2,0)+1,FALSE)</f>
        <v>【中級】樹のウサギ</v>
      </c>
      <c r="G102" s="3" t="str">
        <f ca="1">VLOOKUP($B102&amp;"_"&amp;$E102,OFFSET([1]stages!$A$1,0,0,COUNTA([1]stages!$A:$A),MATCH(G$1,[1]stages!$2:$2,0)-MATCH("temp_stage",[1]stages!$2:$2,0)+1),MATCH(G$1,[1]stages!$2:$2,0)-MATCH("temp_stage",[1]stages!$2:$2,0)+1,FALSE)</f>
        <v>木曜クエスト</v>
      </c>
      <c r="H102" s="18">
        <v>0</v>
      </c>
      <c r="I102">
        <v>12</v>
      </c>
      <c r="J102" s="5" t="s">
        <v>16</v>
      </c>
      <c r="K102" s="35" t="str">
        <f>VLOOKUP(I102,[2]stage_hints!$A:$C,3,FALSE)</f>
        <v>ユニットのお気に入り登録</v>
      </c>
      <c r="L102" s="36" t="str">
        <f>VLOOKUP(I102,[2]stage_hints!$A:$D,4,FALSE)</f>
        <v>大事なユニットを誤って消さないように_x000D_フォルダから「お気に入り登録」しましょう</v>
      </c>
      <c r="M102" s="21" t="s">
        <v>23</v>
      </c>
      <c r="N102">
        <v>12</v>
      </c>
    </row>
    <row r="103" spans="1:14" x14ac:dyDescent="0.15">
      <c r="A103" s="26" t="s">
        <v>32</v>
      </c>
      <c r="B103" s="4">
        <v>11004</v>
      </c>
      <c r="C103" s="3" t="str">
        <f ca="1">VLOOKUP($B103,OFFSET([1]quests!$A$1,0,0,COUNTA([1]quests!$A:$A),MATCH(C$1,[1]quests!$1:$1,0)-MATCH($B$1,[1]quests!$1:$1,0)+1),MATCH(C$1,[1]quests!$1:$1,0)-MATCH($B$1,[1]quests!$1:$1,0)+1,FALSE)</f>
        <v>【木曜限定】 緑の素材</v>
      </c>
      <c r="D103" s="3" t="str">
        <f ca="1">VLOOKUP($B103,OFFSET([1]quests!$A$1,0,0,COUNTA([1]quests!$A:$A),MATCH(D$1,[1]quests!$1:$1,0)-MATCH($B$1,[1]quests!$1:$1,0)+1),MATCH(D$1,[1]quests!$1:$1,0)-MATCH($B$1,[1]quests!$1:$1,0)+1,FALSE)</f>
        <v>木曜クエスト</v>
      </c>
      <c r="E103" s="5">
        <v>2</v>
      </c>
      <c r="F103" s="3" t="str">
        <f ca="1">VLOOKUP($B103&amp;"_"&amp;$E103,OFFSET([1]stages!$A$1,0,0,COUNTA([1]stages!$A:$A),MATCH(F$1,[1]stages!$2:$2,0)-MATCH("temp_stage",[1]stages!$2:$2,0)+1),MATCH(F$1,[1]stages!$2:$2,0)-MATCH("temp_stage",[1]stages!$2:$2,0)+1,FALSE)</f>
        <v>【中級】樹のウサギ</v>
      </c>
      <c r="G103" s="3" t="str">
        <f ca="1">VLOOKUP($B103&amp;"_"&amp;$E103,OFFSET([1]stages!$A$1,0,0,COUNTA([1]stages!$A:$A),MATCH(G$1,[1]stages!$2:$2,0)-MATCH("temp_stage",[1]stages!$2:$2,0)+1),MATCH(G$1,[1]stages!$2:$2,0)-MATCH("temp_stage",[1]stages!$2:$2,0)+1,FALSE)</f>
        <v>木曜クエスト</v>
      </c>
      <c r="H103" s="18">
        <v>0</v>
      </c>
      <c r="I103">
        <v>13</v>
      </c>
      <c r="J103" s="5" t="s">
        <v>16</v>
      </c>
      <c r="K103" s="35" t="str">
        <f>VLOOKUP(I103,[2]stage_hints!$A:$C,3,FALSE)</f>
        <v>ユニットの覚醒</v>
      </c>
      <c r="L103" s="36" t="str">
        <f>VLOOKUP(I103,[2]stage_hints!$A:$D,4,FALSE)</f>
        <v>ユニットを覚醒させると_x000D_比べものにならない強さが手に入ります</v>
      </c>
      <c r="M103" s="21" t="s">
        <v>23</v>
      </c>
      <c r="N103">
        <v>13</v>
      </c>
    </row>
    <row r="104" spans="1:14" x14ac:dyDescent="0.15">
      <c r="A104" s="26" t="s">
        <v>32</v>
      </c>
      <c r="B104" s="4">
        <v>11004</v>
      </c>
      <c r="C104" s="3" t="str">
        <f ca="1">VLOOKUP($B104,OFFSET([1]quests!$A$1,0,0,COUNTA([1]quests!$A:$A),MATCH(C$1,[1]quests!$1:$1,0)-MATCH($B$1,[1]quests!$1:$1,0)+1),MATCH(C$1,[1]quests!$1:$1,0)-MATCH($B$1,[1]quests!$1:$1,0)+1,FALSE)</f>
        <v>【木曜限定】 緑の素材</v>
      </c>
      <c r="D104" s="3" t="str">
        <f ca="1">VLOOKUP($B104,OFFSET([1]quests!$A$1,0,0,COUNTA([1]quests!$A:$A),MATCH(D$1,[1]quests!$1:$1,0)-MATCH($B$1,[1]quests!$1:$1,0)+1),MATCH(D$1,[1]quests!$1:$1,0)-MATCH($B$1,[1]quests!$1:$1,0)+1,FALSE)</f>
        <v>木曜クエスト</v>
      </c>
      <c r="E104" s="5">
        <v>2</v>
      </c>
      <c r="F104" s="3" t="str">
        <f ca="1">VLOOKUP($B104&amp;"_"&amp;$E104,OFFSET([1]stages!$A$1,0,0,COUNTA([1]stages!$A:$A),MATCH(F$1,[1]stages!$2:$2,0)-MATCH("temp_stage",[1]stages!$2:$2,0)+1),MATCH(F$1,[1]stages!$2:$2,0)-MATCH("temp_stage",[1]stages!$2:$2,0)+1,FALSE)</f>
        <v>【中級】樹のウサギ</v>
      </c>
      <c r="G104" s="3" t="str">
        <f ca="1">VLOOKUP($B104&amp;"_"&amp;$E104,OFFSET([1]stages!$A$1,0,0,COUNTA([1]stages!$A:$A),MATCH(G$1,[1]stages!$2:$2,0)-MATCH("temp_stage",[1]stages!$2:$2,0)+1),MATCH(G$1,[1]stages!$2:$2,0)-MATCH("temp_stage",[1]stages!$2:$2,0)+1,FALSE)</f>
        <v>木曜クエスト</v>
      </c>
      <c r="H104" s="18">
        <v>0</v>
      </c>
      <c r="I104">
        <v>14</v>
      </c>
      <c r="J104" s="5" t="s">
        <v>16</v>
      </c>
      <c r="K104" s="35" t="str">
        <f>VLOOKUP(I104,[2]stage_hints!$A:$C,3,FALSE)</f>
        <v>覚醒するにはレベルを最大に</v>
      </c>
      <c r="L104" s="36" t="str">
        <f>VLOOKUP(I104,[2]stage_hints!$A:$D,4,FALSE)</f>
        <v>覚醒するにはユニットのレベルを_x000D_最大まで上げる必要があります</v>
      </c>
      <c r="M104" s="21" t="s">
        <v>23</v>
      </c>
      <c r="N104">
        <v>14</v>
      </c>
    </row>
    <row r="105" spans="1:14" x14ac:dyDescent="0.15">
      <c r="A105" s="26" t="s">
        <v>32</v>
      </c>
      <c r="B105" s="4">
        <v>11004</v>
      </c>
      <c r="C105" s="3" t="str">
        <f ca="1">VLOOKUP($B105,OFFSET([1]quests!$A$1,0,0,COUNTA([1]quests!$A:$A),MATCH(C$1,[1]quests!$1:$1,0)-MATCH($B$1,[1]quests!$1:$1,0)+1),MATCH(C$1,[1]quests!$1:$1,0)-MATCH($B$1,[1]quests!$1:$1,0)+1,FALSE)</f>
        <v>【木曜限定】 緑の素材</v>
      </c>
      <c r="D105" s="3" t="str">
        <f ca="1">VLOOKUP($B105,OFFSET([1]quests!$A$1,0,0,COUNTA([1]quests!$A:$A),MATCH(D$1,[1]quests!$1:$1,0)-MATCH($B$1,[1]quests!$1:$1,0)+1),MATCH(D$1,[1]quests!$1:$1,0)-MATCH($B$1,[1]quests!$1:$1,0)+1,FALSE)</f>
        <v>木曜クエスト</v>
      </c>
      <c r="E105" s="5">
        <v>2</v>
      </c>
      <c r="F105" s="3" t="str">
        <f ca="1">VLOOKUP($B105&amp;"_"&amp;$E105,OFFSET([1]stages!$A$1,0,0,COUNTA([1]stages!$A:$A),MATCH(F$1,[1]stages!$2:$2,0)-MATCH("temp_stage",[1]stages!$2:$2,0)+1),MATCH(F$1,[1]stages!$2:$2,0)-MATCH("temp_stage",[1]stages!$2:$2,0)+1,FALSE)</f>
        <v>【中級】樹のウサギ</v>
      </c>
      <c r="G105" s="3" t="str">
        <f ca="1">VLOOKUP($B105&amp;"_"&amp;$E105,OFFSET([1]stages!$A$1,0,0,COUNTA([1]stages!$A:$A),MATCH(G$1,[1]stages!$2:$2,0)-MATCH("temp_stage",[1]stages!$2:$2,0)+1),MATCH(G$1,[1]stages!$2:$2,0)-MATCH("temp_stage",[1]stages!$2:$2,0)+1,FALSE)</f>
        <v>木曜クエスト</v>
      </c>
      <c r="H105" s="18">
        <v>0</v>
      </c>
      <c r="I105">
        <v>15</v>
      </c>
      <c r="J105" s="5" t="s">
        <v>16</v>
      </c>
      <c r="K105" s="35" t="str">
        <f>VLOOKUP(I105,[2]stage_hints!$A:$C,3,FALSE)</f>
        <v>覚醒素材を獲得</v>
      </c>
      <c r="L105" s="36" t="str">
        <f>VLOOKUP(I105,[2]stage_hints!$A:$D,4,FALSE)</f>
        <v>「曜日クエスト」では_x000D_ユニットの覚醒に必要な素材が手に入ります</v>
      </c>
      <c r="M105" s="21" t="s">
        <v>23</v>
      </c>
      <c r="N105">
        <v>15</v>
      </c>
    </row>
    <row r="106" spans="1:14" x14ac:dyDescent="0.15">
      <c r="A106" s="26" t="s">
        <v>32</v>
      </c>
      <c r="B106" s="4">
        <v>11004</v>
      </c>
      <c r="C106" s="3" t="str">
        <f ca="1">VLOOKUP($B106,OFFSET([1]quests!$A$1,0,0,COUNTA([1]quests!$A:$A),MATCH(C$1,[1]quests!$1:$1,0)-MATCH($B$1,[1]quests!$1:$1,0)+1),MATCH(C$1,[1]quests!$1:$1,0)-MATCH($B$1,[1]quests!$1:$1,0)+1,FALSE)</f>
        <v>【木曜限定】 緑の素材</v>
      </c>
      <c r="D106" s="3" t="str">
        <f ca="1">VLOOKUP($B106,OFFSET([1]quests!$A$1,0,0,COUNTA([1]quests!$A:$A),MATCH(D$1,[1]quests!$1:$1,0)-MATCH($B$1,[1]quests!$1:$1,0)+1),MATCH(D$1,[1]quests!$1:$1,0)-MATCH($B$1,[1]quests!$1:$1,0)+1,FALSE)</f>
        <v>木曜クエスト</v>
      </c>
      <c r="E106" s="5">
        <v>2</v>
      </c>
      <c r="F106" s="3" t="str">
        <f ca="1">VLOOKUP($B106&amp;"_"&amp;$E106,OFFSET([1]stages!$A$1,0,0,COUNTA([1]stages!$A:$A),MATCH(F$1,[1]stages!$2:$2,0)-MATCH("temp_stage",[1]stages!$2:$2,0)+1),MATCH(F$1,[1]stages!$2:$2,0)-MATCH("temp_stage",[1]stages!$2:$2,0)+1,FALSE)</f>
        <v>【中級】樹のウサギ</v>
      </c>
      <c r="G106" s="3" t="str">
        <f ca="1">VLOOKUP($B106&amp;"_"&amp;$E106,OFFSET([1]stages!$A$1,0,0,COUNTA([1]stages!$A:$A),MATCH(G$1,[1]stages!$2:$2,0)-MATCH("temp_stage",[1]stages!$2:$2,0)+1),MATCH(G$1,[1]stages!$2:$2,0)-MATCH("temp_stage",[1]stages!$2:$2,0)+1,FALSE)</f>
        <v>木曜クエスト</v>
      </c>
      <c r="H106" s="18">
        <v>0</v>
      </c>
      <c r="I106">
        <v>16</v>
      </c>
      <c r="J106" s="5" t="s">
        <v>16</v>
      </c>
      <c r="K106" s="35" t="str">
        <f>VLOOKUP(I106,[2]stage_hints!$A:$C,3,FALSE)</f>
        <v>マルチプレイのメリット（その1）</v>
      </c>
      <c r="L106" s="36" t="str">
        <f>VLOOKUP(I106,[2]stage_hints!$A:$D,4,FALSE)</f>
        <v>他のプレイヤーとマルチプレイで遊ぶと_x000D_ポリゴンがもらえます（100人まで）</v>
      </c>
      <c r="M106" s="21" t="s">
        <v>23</v>
      </c>
      <c r="N106">
        <v>16</v>
      </c>
    </row>
    <row r="107" spans="1:14" x14ac:dyDescent="0.15">
      <c r="A107" s="26" t="s">
        <v>32</v>
      </c>
      <c r="B107" s="4">
        <v>11004</v>
      </c>
      <c r="C107" s="3" t="str">
        <f ca="1">VLOOKUP($B107,OFFSET([1]quests!$A$1,0,0,COUNTA([1]quests!$A:$A),MATCH(C$1,[1]quests!$1:$1,0)-MATCH($B$1,[1]quests!$1:$1,0)+1),MATCH(C$1,[1]quests!$1:$1,0)-MATCH($B$1,[1]quests!$1:$1,0)+1,FALSE)</f>
        <v>【木曜限定】 緑の素材</v>
      </c>
      <c r="D107" s="3" t="str">
        <f ca="1">VLOOKUP($B107,OFFSET([1]quests!$A$1,0,0,COUNTA([1]quests!$A:$A),MATCH(D$1,[1]quests!$1:$1,0)-MATCH($B$1,[1]quests!$1:$1,0)+1),MATCH(D$1,[1]quests!$1:$1,0)-MATCH($B$1,[1]quests!$1:$1,0)+1,FALSE)</f>
        <v>木曜クエスト</v>
      </c>
      <c r="E107" s="5">
        <v>2</v>
      </c>
      <c r="F107" s="3" t="str">
        <f ca="1">VLOOKUP($B107&amp;"_"&amp;$E107,OFFSET([1]stages!$A$1,0,0,COUNTA([1]stages!$A:$A),MATCH(F$1,[1]stages!$2:$2,0)-MATCH("temp_stage",[1]stages!$2:$2,0)+1),MATCH(F$1,[1]stages!$2:$2,0)-MATCH("temp_stage",[1]stages!$2:$2,0)+1,FALSE)</f>
        <v>【中級】樹のウサギ</v>
      </c>
      <c r="G107" s="3" t="str">
        <f ca="1">VLOOKUP($B107&amp;"_"&amp;$E107,OFFSET([1]stages!$A$1,0,0,COUNTA([1]stages!$A:$A),MATCH(G$1,[1]stages!$2:$2,0)-MATCH("temp_stage",[1]stages!$2:$2,0)+1),MATCH(G$1,[1]stages!$2:$2,0)-MATCH("temp_stage",[1]stages!$2:$2,0)+1,FALSE)</f>
        <v>木曜クエスト</v>
      </c>
      <c r="H107" s="18">
        <v>0</v>
      </c>
      <c r="I107">
        <v>17</v>
      </c>
      <c r="J107" s="5" t="s">
        <v>16</v>
      </c>
      <c r="K107" s="35" t="str">
        <f>VLOOKUP(I107,[2]stage_hints!$A:$C,3,FALSE)</f>
        <v>リンクガチャ</v>
      </c>
      <c r="L107" s="36" t="str">
        <f>VLOOKUP(I107,[2]stage_hints!$A:$D,4,FALSE)</f>
        <v>無料のリンクガチャを回して_x000D_経験値素材や売却素材を獲得しましょう</v>
      </c>
      <c r="M107" s="21" t="s">
        <v>23</v>
      </c>
      <c r="N107">
        <v>17</v>
      </c>
    </row>
    <row r="108" spans="1:14" x14ac:dyDescent="0.15">
      <c r="A108" s="26" t="s">
        <v>32</v>
      </c>
      <c r="B108" s="4">
        <v>11004</v>
      </c>
      <c r="C108" s="3" t="str">
        <f ca="1">VLOOKUP($B108,OFFSET([1]quests!$A$1,0,0,COUNTA([1]quests!$A:$A),MATCH(C$1,[1]quests!$1:$1,0)-MATCH($B$1,[1]quests!$1:$1,0)+1),MATCH(C$1,[1]quests!$1:$1,0)-MATCH($B$1,[1]quests!$1:$1,0)+1,FALSE)</f>
        <v>【木曜限定】 緑の素材</v>
      </c>
      <c r="D108" s="3" t="str">
        <f ca="1">VLOOKUP($B108,OFFSET([1]quests!$A$1,0,0,COUNTA([1]quests!$A:$A),MATCH(D$1,[1]quests!$1:$1,0)-MATCH($B$1,[1]quests!$1:$1,0)+1),MATCH(D$1,[1]quests!$1:$1,0)-MATCH($B$1,[1]quests!$1:$1,0)+1,FALSE)</f>
        <v>木曜クエスト</v>
      </c>
      <c r="E108" s="5">
        <v>2</v>
      </c>
      <c r="F108" s="3" t="str">
        <f ca="1">VLOOKUP($B108&amp;"_"&amp;$E108,OFFSET([1]stages!$A$1,0,0,COUNTA([1]stages!$A:$A),MATCH(F$1,[1]stages!$2:$2,0)-MATCH("temp_stage",[1]stages!$2:$2,0)+1),MATCH(F$1,[1]stages!$2:$2,0)-MATCH("temp_stage",[1]stages!$2:$2,0)+1,FALSE)</f>
        <v>【中級】樹のウサギ</v>
      </c>
      <c r="G108" s="3" t="str">
        <f ca="1">VLOOKUP($B108&amp;"_"&amp;$E108,OFFSET([1]stages!$A$1,0,0,COUNTA([1]stages!$A:$A),MATCH(G$1,[1]stages!$2:$2,0)-MATCH("temp_stage",[1]stages!$2:$2,0)+1),MATCH(G$1,[1]stages!$2:$2,0)-MATCH("temp_stage",[1]stages!$2:$2,0)+1,FALSE)</f>
        <v>木曜クエスト</v>
      </c>
      <c r="H108" s="18">
        <v>0</v>
      </c>
      <c r="I108">
        <v>18</v>
      </c>
      <c r="J108" s="5" t="s">
        <v>16</v>
      </c>
      <c r="K108" s="35" t="str">
        <f>VLOOKUP(I108,[2]stage_hints!$A:$C,3,FALSE)</f>
        <v>マルチプレイのメリット（その2）</v>
      </c>
      <c r="L108" s="36" t="str">
        <f>VLOOKUP(I108,[2]stage_hints!$A:$D,4,FALSE)</f>
        <v>マルチプレイならリンクが2倍もらえます_x000D_リンクガチャをたくさん回しましょう</v>
      </c>
      <c r="M108" s="21" t="s">
        <v>23</v>
      </c>
      <c r="N108">
        <v>18</v>
      </c>
    </row>
    <row r="109" spans="1:14" x14ac:dyDescent="0.15">
      <c r="A109" s="26" t="s">
        <v>32</v>
      </c>
      <c r="B109" s="4">
        <v>11004</v>
      </c>
      <c r="C109" s="3" t="str">
        <f ca="1">VLOOKUP($B109,OFFSET([1]quests!$A$1,0,0,COUNTA([1]quests!$A:$A),MATCH(C$1,[1]quests!$1:$1,0)-MATCH($B$1,[1]quests!$1:$1,0)+1),MATCH(C$1,[1]quests!$1:$1,0)-MATCH($B$1,[1]quests!$1:$1,0)+1,FALSE)</f>
        <v>【木曜限定】 緑の素材</v>
      </c>
      <c r="D109" s="3" t="str">
        <f ca="1">VLOOKUP($B109,OFFSET([1]quests!$A$1,0,0,COUNTA([1]quests!$A:$A),MATCH(D$1,[1]quests!$1:$1,0)-MATCH($B$1,[1]quests!$1:$1,0)+1),MATCH(D$1,[1]quests!$1:$1,0)-MATCH($B$1,[1]quests!$1:$1,0)+1,FALSE)</f>
        <v>木曜クエスト</v>
      </c>
      <c r="E109" s="5">
        <v>2</v>
      </c>
      <c r="F109" s="3" t="str">
        <f ca="1">VLOOKUP($B109&amp;"_"&amp;$E109,OFFSET([1]stages!$A$1,0,0,COUNTA([1]stages!$A:$A),MATCH(F$1,[1]stages!$2:$2,0)-MATCH("temp_stage",[1]stages!$2:$2,0)+1),MATCH(F$1,[1]stages!$2:$2,0)-MATCH("temp_stage",[1]stages!$2:$2,0)+1,FALSE)</f>
        <v>【中級】樹のウサギ</v>
      </c>
      <c r="G109" s="3" t="str">
        <f ca="1">VLOOKUP($B109&amp;"_"&amp;$E109,OFFSET([1]stages!$A$1,0,0,COUNTA([1]stages!$A:$A),MATCH(G$1,[1]stages!$2:$2,0)-MATCH("temp_stage",[1]stages!$2:$2,0)+1),MATCH(G$1,[1]stages!$2:$2,0)-MATCH("temp_stage",[1]stages!$2:$2,0)+1,FALSE)</f>
        <v>木曜クエスト</v>
      </c>
      <c r="H109" s="18">
        <v>0</v>
      </c>
      <c r="I109">
        <v>19</v>
      </c>
      <c r="J109" s="5" t="s">
        <v>16</v>
      </c>
      <c r="K109" s="35" t="str">
        <f>VLOOKUP(I109,[2]stage_hints!$A:$C,3,FALSE)</f>
        <v>ソロ専用チャレンジタワー</v>
      </c>
      <c r="L109" s="36" t="str">
        <f>VLOOKUP(I109,[2]stage_hints!$A:$D,4,FALSE)</f>
        <v>ソロ専用の「チャレンジタワー」では_x000D_各フロアごとにクリア報酬がもらえます</v>
      </c>
      <c r="M109" s="21" t="s">
        <v>23</v>
      </c>
      <c r="N109">
        <v>19</v>
      </c>
    </row>
    <row r="110" spans="1:14" x14ac:dyDescent="0.15">
      <c r="A110" s="26" t="s">
        <v>32</v>
      </c>
      <c r="B110" s="4">
        <v>11004</v>
      </c>
      <c r="C110" s="3" t="str">
        <f ca="1">VLOOKUP($B110,OFFSET([1]quests!$A$1,0,0,COUNTA([1]quests!$A:$A),MATCH(C$1,[1]quests!$1:$1,0)-MATCH($B$1,[1]quests!$1:$1,0)+1),MATCH(C$1,[1]quests!$1:$1,0)-MATCH($B$1,[1]quests!$1:$1,0)+1,FALSE)</f>
        <v>【木曜限定】 緑の素材</v>
      </c>
      <c r="D110" s="3" t="str">
        <f ca="1">VLOOKUP($B110,OFFSET([1]quests!$A$1,0,0,COUNTA([1]quests!$A:$A),MATCH(D$1,[1]quests!$1:$1,0)-MATCH($B$1,[1]quests!$1:$1,0)+1),MATCH(D$1,[1]quests!$1:$1,0)-MATCH($B$1,[1]quests!$1:$1,0)+1,FALSE)</f>
        <v>木曜クエスト</v>
      </c>
      <c r="E110" s="5">
        <v>2</v>
      </c>
      <c r="F110" s="3" t="str">
        <f ca="1">VLOOKUP($B110&amp;"_"&amp;$E110,OFFSET([1]stages!$A$1,0,0,COUNTA([1]stages!$A:$A),MATCH(F$1,[1]stages!$2:$2,0)-MATCH("temp_stage",[1]stages!$2:$2,0)+1),MATCH(F$1,[1]stages!$2:$2,0)-MATCH("temp_stage",[1]stages!$2:$2,0)+1,FALSE)</f>
        <v>【中級】樹のウサギ</v>
      </c>
      <c r="G110" s="3" t="str">
        <f ca="1">VLOOKUP($B110&amp;"_"&amp;$E110,OFFSET([1]stages!$A$1,0,0,COUNTA([1]stages!$A:$A),MATCH(G$1,[1]stages!$2:$2,0)-MATCH("temp_stage",[1]stages!$2:$2,0)+1),MATCH(G$1,[1]stages!$2:$2,0)-MATCH("temp_stage",[1]stages!$2:$2,0)+1,FALSE)</f>
        <v>木曜クエスト</v>
      </c>
      <c r="H110" s="18">
        <v>0</v>
      </c>
      <c r="I110">
        <v>20</v>
      </c>
      <c r="J110" s="5" t="s">
        <v>16</v>
      </c>
      <c r="K110" s="35" t="str">
        <f>VLOOKUP(I110,[2]stage_hints!$A:$C,3,FALSE)</f>
        <v>マルチプレイのメリット（その3）</v>
      </c>
      <c r="L110" s="36" t="str">
        <f>VLOOKUP(I110,[2]stage_hints!$A:$D,4,FALSE)</f>
        <v>マルチプレイへの参加はエナジー消費ゼロ_x000D_いつでも好きなだけ遊ぶことができます</v>
      </c>
      <c r="M110" s="21" t="s">
        <v>23</v>
      </c>
      <c r="N110">
        <v>20</v>
      </c>
    </row>
    <row r="111" spans="1:14" x14ac:dyDescent="0.15">
      <c r="A111" s="26" t="s">
        <v>32</v>
      </c>
      <c r="B111" s="4">
        <v>11004</v>
      </c>
      <c r="C111" s="3" t="str">
        <f ca="1">VLOOKUP($B111,OFFSET([1]quests!$A$1,0,0,COUNTA([1]quests!$A:$A),MATCH(C$1,[1]quests!$1:$1,0)-MATCH($B$1,[1]quests!$1:$1,0)+1),MATCH(C$1,[1]quests!$1:$1,0)-MATCH($B$1,[1]quests!$1:$1,0)+1,FALSE)</f>
        <v>【木曜限定】 緑の素材</v>
      </c>
      <c r="D111" s="3" t="str">
        <f ca="1">VLOOKUP($B111,OFFSET([1]quests!$A$1,0,0,COUNTA([1]quests!$A:$A),MATCH(D$1,[1]quests!$1:$1,0)-MATCH($B$1,[1]quests!$1:$1,0)+1),MATCH(D$1,[1]quests!$1:$1,0)-MATCH($B$1,[1]quests!$1:$1,0)+1,FALSE)</f>
        <v>木曜クエスト</v>
      </c>
      <c r="E111" s="5">
        <v>2</v>
      </c>
      <c r="F111" s="3" t="str">
        <f ca="1">VLOOKUP($B111&amp;"_"&amp;$E111,OFFSET([1]stages!$A$1,0,0,COUNTA([1]stages!$A:$A),MATCH(F$1,[1]stages!$2:$2,0)-MATCH("temp_stage",[1]stages!$2:$2,0)+1),MATCH(F$1,[1]stages!$2:$2,0)-MATCH("temp_stage",[1]stages!$2:$2,0)+1,FALSE)</f>
        <v>【中級】樹のウサギ</v>
      </c>
      <c r="G111" s="3" t="str">
        <f ca="1">VLOOKUP($B111&amp;"_"&amp;$E111,OFFSET([1]stages!$A$1,0,0,COUNTA([1]stages!$A:$A),MATCH(G$1,[1]stages!$2:$2,0)-MATCH("temp_stage",[1]stages!$2:$2,0)+1),MATCH(G$1,[1]stages!$2:$2,0)-MATCH("temp_stage",[1]stages!$2:$2,0)+1,FALSE)</f>
        <v>木曜クエスト</v>
      </c>
      <c r="H111" s="18">
        <v>0</v>
      </c>
      <c r="I111">
        <v>21</v>
      </c>
      <c r="J111" s="5" t="s">
        <v>16</v>
      </c>
      <c r="K111" s="35" t="str">
        <f>VLOOKUP(I111,[2]stage_hints!$A:$C,3,FALSE)</f>
        <v>スキルを有効に</v>
      </c>
      <c r="L111" s="36" t="str">
        <f>VLOOKUP(I111,[2]stage_hints!$A:$D,4,FALSE)</f>
        <v>ターン経過でユニットのスキルが使えます_x000D_強力スキルでバトルを有利に進めましょう</v>
      </c>
      <c r="M111" s="21" t="s">
        <v>23</v>
      </c>
      <c r="N111">
        <v>21</v>
      </c>
    </row>
    <row r="112" spans="1:14" x14ac:dyDescent="0.15">
      <c r="A112" s="26" t="s">
        <v>32</v>
      </c>
      <c r="B112" s="4">
        <v>11004</v>
      </c>
      <c r="C112" s="3" t="str">
        <f ca="1">VLOOKUP($B112,OFFSET([1]quests!$A$1,0,0,COUNTA([1]quests!$A:$A),MATCH(C$1,[1]quests!$1:$1,0)-MATCH($B$1,[1]quests!$1:$1,0)+1),MATCH(C$1,[1]quests!$1:$1,0)-MATCH($B$1,[1]quests!$1:$1,0)+1,FALSE)</f>
        <v>【木曜限定】 緑の素材</v>
      </c>
      <c r="D112" s="3" t="str">
        <f ca="1">VLOOKUP($B112,OFFSET([1]quests!$A$1,0,0,COUNTA([1]quests!$A:$A),MATCH(D$1,[1]quests!$1:$1,0)-MATCH($B$1,[1]quests!$1:$1,0)+1),MATCH(D$1,[1]quests!$1:$1,0)-MATCH($B$1,[1]quests!$1:$1,0)+1,FALSE)</f>
        <v>木曜クエスト</v>
      </c>
      <c r="E112" s="5">
        <v>2</v>
      </c>
      <c r="F112" s="3" t="str">
        <f ca="1">VLOOKUP($B112&amp;"_"&amp;$E112,OFFSET([1]stages!$A$1,0,0,COUNTA([1]stages!$A:$A),MATCH(F$1,[1]stages!$2:$2,0)-MATCH("temp_stage",[1]stages!$2:$2,0)+1),MATCH(F$1,[1]stages!$2:$2,0)-MATCH("temp_stage",[1]stages!$2:$2,0)+1,FALSE)</f>
        <v>【中級】樹のウサギ</v>
      </c>
      <c r="G112" s="3" t="str">
        <f ca="1">VLOOKUP($B112&amp;"_"&amp;$E112,OFFSET([1]stages!$A$1,0,0,COUNTA([1]stages!$A:$A),MATCH(G$1,[1]stages!$2:$2,0)-MATCH("temp_stage",[1]stages!$2:$2,0)+1),MATCH(G$1,[1]stages!$2:$2,0)-MATCH("temp_stage",[1]stages!$2:$2,0)+1,FALSE)</f>
        <v>木曜クエスト</v>
      </c>
      <c r="H112" s="18">
        <v>0</v>
      </c>
      <c r="I112">
        <v>22</v>
      </c>
      <c r="J112" s="5" t="s">
        <v>16</v>
      </c>
      <c r="K112" s="35" t="str">
        <f>VLOOKUP(I112,[2]stage_hints!$A:$C,3,FALSE)</f>
        <v>フィーバーで一発逆転（その1）</v>
      </c>
      <c r="L112" s="36" t="str">
        <f>VLOOKUP(I112,[2]stage_hints!$A:$D,4,FALSE)</f>
        <v>フィーバーは攻撃と回復を兼ね備えます_x000D_ピンチからの一発逆転を狙いましょう</v>
      </c>
      <c r="M112" s="21" t="s">
        <v>23</v>
      </c>
      <c r="N112">
        <v>22</v>
      </c>
    </row>
    <row r="113" spans="1:14" x14ac:dyDescent="0.15">
      <c r="A113" s="26" t="s">
        <v>32</v>
      </c>
      <c r="B113" s="4">
        <v>11004</v>
      </c>
      <c r="C113" s="3" t="str">
        <f ca="1">VLOOKUP($B113,OFFSET([1]quests!$A$1,0,0,COUNTA([1]quests!$A:$A),MATCH(C$1,[1]quests!$1:$1,0)-MATCH($B$1,[1]quests!$1:$1,0)+1),MATCH(C$1,[1]quests!$1:$1,0)-MATCH($B$1,[1]quests!$1:$1,0)+1,FALSE)</f>
        <v>【木曜限定】 緑の素材</v>
      </c>
      <c r="D113" s="3" t="str">
        <f ca="1">VLOOKUP($B113,OFFSET([1]quests!$A$1,0,0,COUNTA([1]quests!$A:$A),MATCH(D$1,[1]quests!$1:$1,0)-MATCH($B$1,[1]quests!$1:$1,0)+1),MATCH(D$1,[1]quests!$1:$1,0)-MATCH($B$1,[1]quests!$1:$1,0)+1,FALSE)</f>
        <v>木曜クエスト</v>
      </c>
      <c r="E113" s="5">
        <v>2</v>
      </c>
      <c r="F113" s="3" t="str">
        <f ca="1">VLOOKUP($B113&amp;"_"&amp;$E113,OFFSET([1]stages!$A$1,0,0,COUNTA([1]stages!$A:$A),MATCH(F$1,[1]stages!$2:$2,0)-MATCH("temp_stage",[1]stages!$2:$2,0)+1),MATCH(F$1,[1]stages!$2:$2,0)-MATCH("temp_stage",[1]stages!$2:$2,0)+1,FALSE)</f>
        <v>【中級】樹のウサギ</v>
      </c>
      <c r="G113" s="3" t="str">
        <f ca="1">VLOOKUP($B113&amp;"_"&amp;$E113,OFFSET([1]stages!$A$1,0,0,COUNTA([1]stages!$A:$A),MATCH(G$1,[1]stages!$2:$2,0)-MATCH("temp_stage",[1]stages!$2:$2,0)+1),MATCH(G$1,[1]stages!$2:$2,0)-MATCH("temp_stage",[1]stages!$2:$2,0)+1,FALSE)</f>
        <v>木曜クエスト</v>
      </c>
      <c r="H113" s="18">
        <v>0</v>
      </c>
      <c r="I113">
        <v>23</v>
      </c>
      <c r="J113" s="5" t="s">
        <v>16</v>
      </c>
      <c r="K113" s="35" t="str">
        <f>VLOOKUP(I113,[2]stage_hints!$A:$C,3,FALSE)</f>
        <v>フィーバーで一発逆転（その2）</v>
      </c>
      <c r="L113" s="36" t="str">
        <f>VLOOKUP(I113,[2]stage_hints!$A:$D,4,FALSE)</f>
        <v>フィーバー中は虹色のボムパネルを狙って_x000D_画面上のパネルを一気に破壊しましょう</v>
      </c>
      <c r="M113" s="21" t="s">
        <v>23</v>
      </c>
      <c r="N113">
        <v>23</v>
      </c>
    </row>
    <row r="114" spans="1:14" x14ac:dyDescent="0.15">
      <c r="A114" s="26" t="s">
        <v>32</v>
      </c>
      <c r="B114" s="4">
        <v>11004</v>
      </c>
      <c r="C114" s="3" t="str">
        <f ca="1">VLOOKUP($B114,OFFSET([1]quests!$A$1,0,0,COUNTA([1]quests!$A:$A),MATCH(C$1,[1]quests!$1:$1,0)-MATCH($B$1,[1]quests!$1:$1,0)+1),MATCH(C$1,[1]quests!$1:$1,0)-MATCH($B$1,[1]quests!$1:$1,0)+1,FALSE)</f>
        <v>【木曜限定】 緑の素材</v>
      </c>
      <c r="D114" s="3" t="str">
        <f ca="1">VLOOKUP($B114,OFFSET([1]quests!$A$1,0,0,COUNTA([1]quests!$A:$A),MATCH(D$1,[1]quests!$1:$1,0)-MATCH($B$1,[1]quests!$1:$1,0)+1),MATCH(D$1,[1]quests!$1:$1,0)-MATCH($B$1,[1]quests!$1:$1,0)+1,FALSE)</f>
        <v>木曜クエスト</v>
      </c>
      <c r="E114" s="5">
        <v>2</v>
      </c>
      <c r="F114" s="3" t="str">
        <f ca="1">VLOOKUP($B114&amp;"_"&amp;$E114,OFFSET([1]stages!$A$1,0,0,COUNTA([1]stages!$A:$A),MATCH(F$1,[1]stages!$2:$2,0)-MATCH("temp_stage",[1]stages!$2:$2,0)+1),MATCH(F$1,[1]stages!$2:$2,0)-MATCH("temp_stage",[1]stages!$2:$2,0)+1,FALSE)</f>
        <v>【中級】樹のウサギ</v>
      </c>
      <c r="G114" s="3" t="str">
        <f ca="1">VLOOKUP($B114&amp;"_"&amp;$E114,OFFSET([1]stages!$A$1,0,0,COUNTA([1]stages!$A:$A),MATCH(G$1,[1]stages!$2:$2,0)-MATCH("temp_stage",[1]stages!$2:$2,0)+1),MATCH(G$1,[1]stages!$2:$2,0)-MATCH("temp_stage",[1]stages!$2:$2,0)+1,FALSE)</f>
        <v>木曜クエスト</v>
      </c>
      <c r="H114" s="18">
        <v>0</v>
      </c>
      <c r="I114">
        <v>24</v>
      </c>
      <c r="J114" s="5" t="s">
        <v>16</v>
      </c>
      <c r="K114" s="35" t="str">
        <f>VLOOKUP(I114,[2]stage_hints!$A:$C,3,FALSE)</f>
        <v>りんごを使って限界突破</v>
      </c>
      <c r="L114" s="36" t="str">
        <f>VLOOKUP(I114,[2]stage_hints!$A:$D,4,FALSE)</f>
        <v>赤りんご(攻撃力) 青りんご(回復力)_x000D_緑りんご(体力)をユニット強化に使うと_x000D_ステータスが限界突破します（計99個迄）</v>
      </c>
      <c r="M114" s="21" t="s">
        <v>23</v>
      </c>
      <c r="N114">
        <v>24</v>
      </c>
    </row>
    <row r="115" spans="1:14" x14ac:dyDescent="0.15">
      <c r="A115" s="26" t="s">
        <v>32</v>
      </c>
      <c r="B115" s="4">
        <v>11004</v>
      </c>
      <c r="C115" s="3" t="str">
        <f ca="1">VLOOKUP($B115,OFFSET([1]quests!$A$1,0,0,COUNTA([1]quests!$A:$A),MATCH(C$1,[1]quests!$1:$1,0)-MATCH($B$1,[1]quests!$1:$1,0)+1),MATCH(C$1,[1]quests!$1:$1,0)-MATCH($B$1,[1]quests!$1:$1,0)+1,FALSE)</f>
        <v>【木曜限定】 緑の素材</v>
      </c>
      <c r="D115" s="3" t="str">
        <f ca="1">VLOOKUP($B115,OFFSET([1]quests!$A$1,0,0,COUNTA([1]quests!$A:$A),MATCH(D$1,[1]quests!$1:$1,0)-MATCH($B$1,[1]quests!$1:$1,0)+1),MATCH(D$1,[1]quests!$1:$1,0)-MATCH($B$1,[1]quests!$1:$1,0)+1,FALSE)</f>
        <v>木曜クエスト</v>
      </c>
      <c r="E115" s="5">
        <v>2</v>
      </c>
      <c r="F115" s="3" t="str">
        <f ca="1">VLOOKUP($B115&amp;"_"&amp;$E115,OFFSET([1]stages!$A$1,0,0,COUNTA([1]stages!$A:$A),MATCH(F$1,[1]stages!$2:$2,0)-MATCH("temp_stage",[1]stages!$2:$2,0)+1),MATCH(F$1,[1]stages!$2:$2,0)-MATCH("temp_stage",[1]stages!$2:$2,0)+1,FALSE)</f>
        <v>【中級】樹のウサギ</v>
      </c>
      <c r="G115" s="3" t="str">
        <f ca="1">VLOOKUP($B115&amp;"_"&amp;$E115,OFFSET([1]stages!$A$1,0,0,COUNTA([1]stages!$A:$A),MATCH(G$1,[1]stages!$2:$2,0)-MATCH("temp_stage",[1]stages!$2:$2,0)+1),MATCH(G$1,[1]stages!$2:$2,0)-MATCH("temp_stage",[1]stages!$2:$2,0)+1,FALSE)</f>
        <v>木曜クエスト</v>
      </c>
      <c r="H115" s="18">
        <v>0</v>
      </c>
      <c r="I115">
        <v>25</v>
      </c>
      <c r="J115" s="5" t="s">
        <v>16</v>
      </c>
      <c r="K115" s="35" t="str">
        <f>VLOOKUP(I115,[2]stage_hints!$A:$C,3,FALSE)</f>
        <v>スキルレベルアップ</v>
      </c>
      <c r="L115" s="36" t="str">
        <f>VLOOKUP(I115,[2]stage_hints!$A:$D,4,FALSE)</f>
        <v>「クリスタルのりんご」を強化に使うと_x000D_スキルレベルを上げることができます</v>
      </c>
      <c r="M115" s="21" t="s">
        <v>23</v>
      </c>
      <c r="N115">
        <v>25</v>
      </c>
    </row>
    <row r="116" spans="1:14" x14ac:dyDescent="0.15">
      <c r="A116" s="26" t="s">
        <v>32</v>
      </c>
      <c r="B116" s="4">
        <v>11004</v>
      </c>
      <c r="C116" s="3" t="str">
        <f ca="1">VLOOKUP($B116,OFFSET([1]quests!$A$1,0,0,COUNTA([1]quests!$A:$A),MATCH(C$1,[1]quests!$1:$1,0)-MATCH($B$1,[1]quests!$1:$1,0)+1),MATCH(C$1,[1]quests!$1:$1,0)-MATCH($B$1,[1]quests!$1:$1,0)+1,FALSE)</f>
        <v>【木曜限定】 緑の素材</v>
      </c>
      <c r="D116" s="3" t="str">
        <f ca="1">VLOOKUP($B116,OFFSET([1]quests!$A$1,0,0,COUNTA([1]quests!$A:$A),MATCH(D$1,[1]quests!$1:$1,0)-MATCH($B$1,[1]quests!$1:$1,0)+1),MATCH(D$1,[1]quests!$1:$1,0)-MATCH($B$1,[1]quests!$1:$1,0)+1,FALSE)</f>
        <v>木曜クエスト</v>
      </c>
      <c r="E116" s="5">
        <v>2</v>
      </c>
      <c r="F116" s="3" t="str">
        <f ca="1">VLOOKUP($B116&amp;"_"&amp;$E116,OFFSET([1]stages!$A$1,0,0,COUNTA([1]stages!$A:$A),MATCH(F$1,[1]stages!$2:$2,0)-MATCH("temp_stage",[1]stages!$2:$2,0)+1),MATCH(F$1,[1]stages!$2:$2,0)-MATCH("temp_stage",[1]stages!$2:$2,0)+1,FALSE)</f>
        <v>【中級】樹のウサギ</v>
      </c>
      <c r="G116" s="3" t="str">
        <f ca="1">VLOOKUP($B116&amp;"_"&amp;$E116,OFFSET([1]stages!$A$1,0,0,COUNTA([1]stages!$A:$A),MATCH(G$1,[1]stages!$2:$2,0)-MATCH("temp_stage",[1]stages!$2:$2,0)+1),MATCH(G$1,[1]stages!$2:$2,0)-MATCH("temp_stage",[1]stages!$2:$2,0)+1,FALSE)</f>
        <v>木曜クエスト</v>
      </c>
      <c r="H116" s="18">
        <v>0</v>
      </c>
      <c r="I116">
        <v>26</v>
      </c>
      <c r="J116" s="5" t="s">
        <v>16</v>
      </c>
      <c r="K116" s="35" t="str">
        <f>VLOOKUP(I116,[2]stage_hints!$A:$C,3,FALSE)</f>
        <v>スキルレベルの効果</v>
      </c>
      <c r="L116" s="36" t="str">
        <f>VLOOKUP(I116,[2]stage_hints!$A:$D,4,FALSE)</f>
        <v>スキルレベルが上がると_x000D_短いターンでスキルを使うことができます</v>
      </c>
      <c r="M116" s="21" t="s">
        <v>23</v>
      </c>
      <c r="N116">
        <v>26</v>
      </c>
    </row>
    <row r="117" spans="1:14" x14ac:dyDescent="0.15">
      <c r="A117" s="26" t="s">
        <v>32</v>
      </c>
      <c r="B117" s="4">
        <v>11004</v>
      </c>
      <c r="C117" s="3" t="str">
        <f ca="1">VLOOKUP($B117,OFFSET([1]quests!$A$1,0,0,COUNTA([1]quests!$A:$A),MATCH(C$1,[1]quests!$1:$1,0)-MATCH($B$1,[1]quests!$1:$1,0)+1),MATCH(C$1,[1]quests!$1:$1,0)-MATCH($B$1,[1]quests!$1:$1,0)+1,FALSE)</f>
        <v>【木曜限定】 緑の素材</v>
      </c>
      <c r="D117" s="3" t="str">
        <f ca="1">VLOOKUP($B117,OFFSET([1]quests!$A$1,0,0,COUNTA([1]quests!$A:$A),MATCH(D$1,[1]quests!$1:$1,0)-MATCH($B$1,[1]quests!$1:$1,0)+1),MATCH(D$1,[1]quests!$1:$1,0)-MATCH($B$1,[1]quests!$1:$1,0)+1,FALSE)</f>
        <v>木曜クエスト</v>
      </c>
      <c r="E117" s="5">
        <v>2</v>
      </c>
      <c r="F117" s="3" t="str">
        <f ca="1">VLOOKUP($B117&amp;"_"&amp;$E117,OFFSET([1]stages!$A$1,0,0,COUNTA([1]stages!$A:$A),MATCH(F$1,[1]stages!$2:$2,0)-MATCH("temp_stage",[1]stages!$2:$2,0)+1),MATCH(F$1,[1]stages!$2:$2,0)-MATCH("temp_stage",[1]stages!$2:$2,0)+1,FALSE)</f>
        <v>【中級】樹のウサギ</v>
      </c>
      <c r="G117" s="3" t="str">
        <f ca="1">VLOOKUP($B117&amp;"_"&amp;$E117,OFFSET([1]stages!$A$1,0,0,COUNTA([1]stages!$A:$A),MATCH(G$1,[1]stages!$2:$2,0)-MATCH("temp_stage",[1]stages!$2:$2,0)+1),MATCH(G$1,[1]stages!$2:$2,0)-MATCH("temp_stage",[1]stages!$2:$2,0)+1,FALSE)</f>
        <v>木曜クエスト</v>
      </c>
      <c r="H117" s="18">
        <v>0</v>
      </c>
      <c r="I117">
        <v>27</v>
      </c>
      <c r="J117" s="5" t="s">
        <v>16</v>
      </c>
      <c r="K117" s="35" t="str">
        <f>VLOOKUP(I117,[2]stage_hints!$A:$C,3,FALSE)</f>
        <v>ホーム画面からデッキを編成</v>
      </c>
      <c r="L117" s="36" t="str">
        <f>VLOOKUP(I117,[2]stage_hints!$A:$D,4,FALSE)</f>
        <v>ホーム画面でユニットを長押しすると_x000D_すぐにパーティ編成に移動できます</v>
      </c>
      <c r="M117" s="21" t="s">
        <v>23</v>
      </c>
      <c r="N117">
        <v>27</v>
      </c>
    </row>
    <row r="118" spans="1:14" x14ac:dyDescent="0.15">
      <c r="A118" s="26" t="s">
        <v>32</v>
      </c>
      <c r="B118" s="4">
        <v>11004</v>
      </c>
      <c r="C118" s="3" t="str">
        <f ca="1">VLOOKUP($B118,OFFSET([1]quests!$A$1,0,0,COUNTA([1]quests!$A:$A),MATCH(C$1,[1]quests!$1:$1,0)-MATCH($B$1,[1]quests!$1:$1,0)+1),MATCH(C$1,[1]quests!$1:$1,0)-MATCH($B$1,[1]quests!$1:$1,0)+1,FALSE)</f>
        <v>【木曜限定】 緑の素材</v>
      </c>
      <c r="D118" s="3" t="str">
        <f ca="1">VLOOKUP($B118,OFFSET([1]quests!$A$1,0,0,COUNTA([1]quests!$A:$A),MATCH(D$1,[1]quests!$1:$1,0)-MATCH($B$1,[1]quests!$1:$1,0)+1),MATCH(D$1,[1]quests!$1:$1,0)-MATCH($B$1,[1]quests!$1:$1,0)+1,FALSE)</f>
        <v>木曜クエスト</v>
      </c>
      <c r="E118" s="5">
        <v>2</v>
      </c>
      <c r="F118" s="3" t="str">
        <f ca="1">VLOOKUP($B118&amp;"_"&amp;$E118,OFFSET([1]stages!$A$1,0,0,COUNTA([1]stages!$A:$A),MATCH(F$1,[1]stages!$2:$2,0)-MATCH("temp_stage",[1]stages!$2:$2,0)+1),MATCH(F$1,[1]stages!$2:$2,0)-MATCH("temp_stage",[1]stages!$2:$2,0)+1,FALSE)</f>
        <v>【中級】樹のウサギ</v>
      </c>
      <c r="G118" s="3" t="str">
        <f ca="1">VLOOKUP($B118&amp;"_"&amp;$E118,OFFSET([1]stages!$A$1,0,0,COUNTA([1]stages!$A:$A),MATCH(G$1,[1]stages!$2:$2,0)-MATCH("temp_stage",[1]stages!$2:$2,0)+1),MATCH(G$1,[1]stages!$2:$2,0)-MATCH("temp_stage",[1]stages!$2:$2,0)+1,FALSE)</f>
        <v>木曜クエスト</v>
      </c>
      <c r="H118" s="18">
        <v>0</v>
      </c>
      <c r="I118">
        <v>28</v>
      </c>
      <c r="J118" s="5" t="s">
        <v>16</v>
      </c>
      <c r="K118" s="35" t="str">
        <f>VLOOKUP(I118,[2]stage_hints!$A:$C,3,FALSE)</f>
        <v>ステータス情報は長押しで</v>
      </c>
      <c r="L118" s="36" t="str">
        <f>VLOOKUP(I118,[2]stage_hints!$A:$D,4,FALSE)</f>
        <v>ユニットのアイコンを長押しすると_x000D_ステータス情報を確認することができます</v>
      </c>
      <c r="M118" s="21" t="s">
        <v>23</v>
      </c>
      <c r="N118">
        <v>28</v>
      </c>
    </row>
    <row r="119" spans="1:14" x14ac:dyDescent="0.15">
      <c r="A119" s="26" t="s">
        <v>32</v>
      </c>
      <c r="B119" s="4">
        <v>11004</v>
      </c>
      <c r="C119" s="3" t="str">
        <f ca="1">VLOOKUP($B119,OFFSET([1]quests!$A$1,0,0,COUNTA([1]quests!$A:$A),MATCH(C$1,[1]quests!$1:$1,0)-MATCH($B$1,[1]quests!$1:$1,0)+1),MATCH(C$1,[1]quests!$1:$1,0)-MATCH($B$1,[1]quests!$1:$1,0)+1,FALSE)</f>
        <v>【木曜限定】 緑の素材</v>
      </c>
      <c r="D119" s="3" t="str">
        <f ca="1">VLOOKUP($B119,OFFSET([1]quests!$A$1,0,0,COUNTA([1]quests!$A:$A),MATCH(D$1,[1]quests!$1:$1,0)-MATCH($B$1,[1]quests!$1:$1,0)+1),MATCH(D$1,[1]quests!$1:$1,0)-MATCH($B$1,[1]quests!$1:$1,0)+1,FALSE)</f>
        <v>木曜クエスト</v>
      </c>
      <c r="E119" s="5">
        <v>2</v>
      </c>
      <c r="F119" s="3" t="str">
        <f ca="1">VLOOKUP($B119&amp;"_"&amp;$E119,OFFSET([1]stages!$A$1,0,0,COUNTA([1]stages!$A:$A),MATCH(F$1,[1]stages!$2:$2,0)-MATCH("temp_stage",[1]stages!$2:$2,0)+1),MATCH(F$1,[1]stages!$2:$2,0)-MATCH("temp_stage",[1]stages!$2:$2,0)+1,FALSE)</f>
        <v>【中級】樹のウサギ</v>
      </c>
      <c r="G119" s="3" t="str">
        <f ca="1">VLOOKUP($B119&amp;"_"&amp;$E119,OFFSET([1]stages!$A$1,0,0,COUNTA([1]stages!$A:$A),MATCH(G$1,[1]stages!$2:$2,0)-MATCH("temp_stage",[1]stages!$2:$2,0)+1),MATCH(G$1,[1]stages!$2:$2,0)-MATCH("temp_stage",[1]stages!$2:$2,0)+1,FALSE)</f>
        <v>木曜クエスト</v>
      </c>
      <c r="H119" s="18">
        <v>0</v>
      </c>
      <c r="I119">
        <v>29</v>
      </c>
      <c r="J119" s="5" t="s">
        <v>16</v>
      </c>
      <c r="K119" s="35" t="str">
        <f>VLOOKUP(I119,[2]stage_hints!$A:$C,3,FALSE)</f>
        <v>「バグ」のメリット</v>
      </c>
      <c r="L119" s="36" t="str">
        <f>VLOOKUP(I119,[2]stage_hints!$A:$D,4,FALSE)</f>
        <v>ユニットの「バグ」を増やすと_x000D_報酬をもらえる確率がアップします</v>
      </c>
      <c r="M119" s="21" t="s">
        <v>23</v>
      </c>
      <c r="N119">
        <v>29</v>
      </c>
    </row>
    <row r="120" spans="1:14" x14ac:dyDescent="0.15">
      <c r="A120" s="26" t="s">
        <v>32</v>
      </c>
      <c r="B120" s="4">
        <v>11004</v>
      </c>
      <c r="C120" s="3" t="str">
        <f ca="1">VLOOKUP($B120,OFFSET([1]quests!$A$1,0,0,COUNTA([1]quests!$A:$A),MATCH(C$1,[1]quests!$1:$1,0)-MATCH($B$1,[1]quests!$1:$1,0)+1),MATCH(C$1,[1]quests!$1:$1,0)-MATCH($B$1,[1]quests!$1:$1,0)+1,FALSE)</f>
        <v>【木曜限定】 緑の素材</v>
      </c>
      <c r="D120" s="3" t="str">
        <f ca="1">VLOOKUP($B120,OFFSET([1]quests!$A$1,0,0,COUNTA([1]quests!$A:$A),MATCH(D$1,[1]quests!$1:$1,0)-MATCH($B$1,[1]quests!$1:$1,0)+1),MATCH(D$1,[1]quests!$1:$1,0)-MATCH($B$1,[1]quests!$1:$1,0)+1,FALSE)</f>
        <v>木曜クエスト</v>
      </c>
      <c r="E120" s="5">
        <v>2</v>
      </c>
      <c r="F120" s="3" t="str">
        <f ca="1">VLOOKUP($B120&amp;"_"&amp;$E120,OFFSET([1]stages!$A$1,0,0,COUNTA([1]stages!$A:$A),MATCH(F$1,[1]stages!$2:$2,0)-MATCH("temp_stage",[1]stages!$2:$2,0)+1),MATCH(F$1,[1]stages!$2:$2,0)-MATCH("temp_stage",[1]stages!$2:$2,0)+1,FALSE)</f>
        <v>【中級】樹のウサギ</v>
      </c>
      <c r="G120" s="3" t="str">
        <f ca="1">VLOOKUP($B120&amp;"_"&amp;$E120,OFFSET([1]stages!$A$1,0,0,COUNTA([1]stages!$A:$A),MATCH(G$1,[1]stages!$2:$2,0)-MATCH("temp_stage",[1]stages!$2:$2,0)+1),MATCH(G$1,[1]stages!$2:$2,0)-MATCH("temp_stage",[1]stages!$2:$2,0)+1,FALSE)</f>
        <v>木曜クエスト</v>
      </c>
      <c r="H120" s="18">
        <v>0</v>
      </c>
      <c r="I120">
        <v>30</v>
      </c>
      <c r="J120" s="5" t="s">
        <v>16</v>
      </c>
      <c r="K120" s="35" t="str">
        <f>VLOOKUP(I120,[2]stage_hints!$A:$C,3,FALSE)</f>
        <v>「バグ」の増やし方</v>
      </c>
      <c r="L120" s="36" t="str">
        <f>VLOOKUP(I120,[2]stage_hints!$A:$D,4,FALSE)</f>
        <v>同じユニット同士を強化で合成すると_x000D_「バグ」を増やすことができます</v>
      </c>
      <c r="M120" s="21" t="s">
        <v>23</v>
      </c>
      <c r="N120">
        <v>30</v>
      </c>
    </row>
    <row r="121" spans="1:14" x14ac:dyDescent="0.15">
      <c r="A121" s="26" t="s">
        <v>32</v>
      </c>
      <c r="B121" s="4">
        <v>11004</v>
      </c>
      <c r="C121" s="3" t="str">
        <f ca="1">VLOOKUP($B121,OFFSET([1]quests!$A$1,0,0,COUNTA([1]quests!$A:$A),MATCH(C$1,[1]quests!$1:$1,0)-MATCH($B$1,[1]quests!$1:$1,0)+1),MATCH(C$1,[1]quests!$1:$1,0)-MATCH($B$1,[1]quests!$1:$1,0)+1,FALSE)</f>
        <v>【木曜限定】 緑の素材</v>
      </c>
      <c r="D121" s="3" t="str">
        <f ca="1">VLOOKUP($B121,OFFSET([1]quests!$A$1,0,0,COUNTA([1]quests!$A:$A),MATCH(D$1,[1]quests!$1:$1,0)-MATCH($B$1,[1]quests!$1:$1,0)+1),MATCH(D$1,[1]quests!$1:$1,0)-MATCH($B$1,[1]quests!$1:$1,0)+1,FALSE)</f>
        <v>木曜クエスト</v>
      </c>
      <c r="E121" s="5">
        <v>2</v>
      </c>
      <c r="F121" s="3" t="str">
        <f ca="1">VLOOKUP($B121&amp;"_"&amp;$E121,OFFSET([1]stages!$A$1,0,0,COUNTA([1]stages!$A:$A),MATCH(F$1,[1]stages!$2:$2,0)-MATCH("temp_stage",[1]stages!$2:$2,0)+1),MATCH(F$1,[1]stages!$2:$2,0)-MATCH("temp_stage",[1]stages!$2:$2,0)+1,FALSE)</f>
        <v>【中級】樹のウサギ</v>
      </c>
      <c r="G121" s="3" t="str">
        <f ca="1">VLOOKUP($B121&amp;"_"&amp;$E121,OFFSET([1]stages!$A$1,0,0,COUNTA([1]stages!$A:$A),MATCH(G$1,[1]stages!$2:$2,0)-MATCH("temp_stage",[1]stages!$2:$2,0)+1),MATCH(G$1,[1]stages!$2:$2,0)-MATCH("temp_stage",[1]stages!$2:$2,0)+1,FALSE)</f>
        <v>木曜クエスト</v>
      </c>
      <c r="H121" s="18">
        <v>0</v>
      </c>
      <c r="I121">
        <v>31</v>
      </c>
      <c r="J121" s="5" t="s">
        <v>16</v>
      </c>
      <c r="K121" s="35" t="str">
        <f>VLOOKUP(I121,[2]stage_hints!$A:$C,3,FALSE)</f>
        <v>イベントはお知らせでチェック</v>
      </c>
      <c r="L121" s="36" t="str">
        <f>VLOOKUP(I121,[2]stage_hints!$A:$D,4,FALSE)</f>
        <v>イベント限定ユニットを取り忘れないように_x000D_お知らせをこまめにチェックしましょう</v>
      </c>
      <c r="M121" s="21" t="s">
        <v>23</v>
      </c>
      <c r="N121">
        <v>31</v>
      </c>
    </row>
    <row r="122" spans="1:14" x14ac:dyDescent="0.15">
      <c r="A122" s="26" t="s">
        <v>32</v>
      </c>
      <c r="B122" s="4">
        <v>11004</v>
      </c>
      <c r="C122" s="3" t="str">
        <f ca="1">VLOOKUP($B122,OFFSET([1]quests!$A$1,0,0,COUNTA([1]quests!$A:$A),MATCH(C$1,[1]quests!$1:$1,0)-MATCH($B$1,[1]quests!$1:$1,0)+1),MATCH(C$1,[1]quests!$1:$1,0)-MATCH($B$1,[1]quests!$1:$1,0)+1,FALSE)</f>
        <v>【木曜限定】 緑の素材</v>
      </c>
      <c r="D122" s="3" t="str">
        <f ca="1">VLOOKUP($B122,OFFSET([1]quests!$A$1,0,0,COUNTA([1]quests!$A:$A),MATCH(D$1,[1]quests!$1:$1,0)-MATCH($B$1,[1]quests!$1:$1,0)+1),MATCH(D$1,[1]quests!$1:$1,0)-MATCH($B$1,[1]quests!$1:$1,0)+1,FALSE)</f>
        <v>木曜クエスト</v>
      </c>
      <c r="E122" s="5">
        <v>2</v>
      </c>
      <c r="F122" s="3" t="str">
        <f ca="1">VLOOKUP($B122&amp;"_"&amp;$E122,OFFSET([1]stages!$A$1,0,0,COUNTA([1]stages!$A:$A),MATCH(F$1,[1]stages!$2:$2,0)-MATCH("temp_stage",[1]stages!$2:$2,0)+1),MATCH(F$1,[1]stages!$2:$2,0)-MATCH("temp_stage",[1]stages!$2:$2,0)+1,FALSE)</f>
        <v>【中級】樹のウサギ</v>
      </c>
      <c r="G122" s="3" t="str">
        <f ca="1">VLOOKUP($B122&amp;"_"&amp;$E122,OFFSET([1]stages!$A$1,0,0,COUNTA([1]stages!$A:$A),MATCH(G$1,[1]stages!$2:$2,0)-MATCH("temp_stage",[1]stages!$2:$2,0)+1),MATCH(G$1,[1]stages!$2:$2,0)-MATCH("temp_stage",[1]stages!$2:$2,0)+1,FALSE)</f>
        <v>木曜クエスト</v>
      </c>
      <c r="H122" s="18">
        <v>0</v>
      </c>
      <c r="I122">
        <v>32</v>
      </c>
      <c r="J122" s="5" t="s">
        <v>16</v>
      </c>
      <c r="K122" s="35" t="str">
        <f>VLOOKUP(I122,[2]stage_hints!$A:$C,3,FALSE)</f>
        <v>敵の連続攻撃には</v>
      </c>
      <c r="L122" s="36" t="str">
        <f>VLOOKUP(I122,[2]stage_hints!$A:$D,4,FALSE)</f>
        <v>カウンタースキルを持つユニットがいれば_x000D_ダメージ回数分の反撃ができます</v>
      </c>
      <c r="M122" s="21" t="s">
        <v>23</v>
      </c>
      <c r="N122">
        <v>32</v>
      </c>
    </row>
    <row r="123" spans="1:14" x14ac:dyDescent="0.15">
      <c r="A123" s="26" t="s">
        <v>32</v>
      </c>
      <c r="B123" s="4">
        <v>11004</v>
      </c>
      <c r="C123" s="3" t="str">
        <f ca="1">VLOOKUP($B123,OFFSET([1]quests!$A$1,0,0,COUNTA([1]quests!$A:$A),MATCH(C$1,[1]quests!$1:$1,0)-MATCH($B$1,[1]quests!$1:$1,0)+1),MATCH(C$1,[1]quests!$1:$1,0)-MATCH($B$1,[1]quests!$1:$1,0)+1,FALSE)</f>
        <v>【木曜限定】 緑の素材</v>
      </c>
      <c r="D123" s="3" t="str">
        <f ca="1">VLOOKUP($B123,OFFSET([1]quests!$A$1,0,0,COUNTA([1]quests!$A:$A),MATCH(D$1,[1]quests!$1:$1,0)-MATCH($B$1,[1]quests!$1:$1,0)+1),MATCH(D$1,[1]quests!$1:$1,0)-MATCH($B$1,[1]quests!$1:$1,0)+1,FALSE)</f>
        <v>木曜クエスト</v>
      </c>
      <c r="E123" s="5">
        <v>2</v>
      </c>
      <c r="F123" s="3" t="str">
        <f ca="1">VLOOKUP($B123&amp;"_"&amp;$E123,OFFSET([1]stages!$A$1,0,0,COUNTA([1]stages!$A:$A),MATCH(F$1,[1]stages!$2:$2,0)-MATCH("temp_stage",[1]stages!$2:$2,0)+1),MATCH(F$1,[1]stages!$2:$2,0)-MATCH("temp_stage",[1]stages!$2:$2,0)+1,FALSE)</f>
        <v>【中級】樹のウサギ</v>
      </c>
      <c r="G123" s="3" t="str">
        <f ca="1">VLOOKUP($B123&amp;"_"&amp;$E123,OFFSET([1]stages!$A$1,0,0,COUNTA([1]stages!$A:$A),MATCH(G$1,[1]stages!$2:$2,0)-MATCH("temp_stage",[1]stages!$2:$2,0)+1),MATCH(G$1,[1]stages!$2:$2,0)-MATCH("temp_stage",[1]stages!$2:$2,0)+1,FALSE)</f>
        <v>木曜クエスト</v>
      </c>
      <c r="H123" s="18">
        <v>0</v>
      </c>
      <c r="I123">
        <v>33</v>
      </c>
      <c r="J123" s="5" t="s">
        <v>16</v>
      </c>
      <c r="K123" s="35" t="str">
        <f>VLOOKUP(I123,[2]stage_hints!$A:$C,3,FALSE)</f>
        <v>敵のカウンター攻撃には</v>
      </c>
      <c r="L123" s="36" t="str">
        <f>VLOOKUP(I123,[2]stage_hints!$A:$D,4,FALSE)</f>
        <v>カウンターブレイクスキルを持っていれば_x000D_敵のカウンターを解除して攻撃ができます</v>
      </c>
      <c r="M123" s="21" t="s">
        <v>23</v>
      </c>
      <c r="N123">
        <v>33</v>
      </c>
    </row>
    <row r="124" spans="1:14" x14ac:dyDescent="0.15">
      <c r="A124" s="26" t="s">
        <v>32</v>
      </c>
      <c r="B124" s="4">
        <v>11004</v>
      </c>
      <c r="C124" s="3" t="str">
        <f ca="1">VLOOKUP($B124,OFFSET([1]quests!$A$1,0,0,COUNTA([1]quests!$A:$A),MATCH(C$1,[1]quests!$1:$1,0)-MATCH($B$1,[1]quests!$1:$1,0)+1),MATCH(C$1,[1]quests!$1:$1,0)-MATCH($B$1,[1]quests!$1:$1,0)+1,FALSE)</f>
        <v>【木曜限定】 緑の素材</v>
      </c>
      <c r="D124" s="3" t="str">
        <f ca="1">VLOOKUP($B124,OFFSET([1]quests!$A$1,0,0,COUNTA([1]quests!$A:$A),MATCH(D$1,[1]quests!$1:$1,0)-MATCH($B$1,[1]quests!$1:$1,0)+1),MATCH(D$1,[1]quests!$1:$1,0)-MATCH($B$1,[1]quests!$1:$1,0)+1,FALSE)</f>
        <v>木曜クエスト</v>
      </c>
      <c r="E124" s="5">
        <v>2</v>
      </c>
      <c r="F124" s="3" t="str">
        <f ca="1">VLOOKUP($B124&amp;"_"&amp;$E124,OFFSET([1]stages!$A$1,0,0,COUNTA([1]stages!$A:$A),MATCH(F$1,[1]stages!$2:$2,0)-MATCH("temp_stage",[1]stages!$2:$2,0)+1),MATCH(F$1,[1]stages!$2:$2,0)-MATCH("temp_stage",[1]stages!$2:$2,0)+1,FALSE)</f>
        <v>【中級】樹のウサギ</v>
      </c>
      <c r="G124" s="3" t="str">
        <f ca="1">VLOOKUP($B124&amp;"_"&amp;$E124,OFFSET([1]stages!$A$1,0,0,COUNTA([1]stages!$A:$A),MATCH(G$1,[1]stages!$2:$2,0)-MATCH("temp_stage",[1]stages!$2:$2,0)+1),MATCH(G$1,[1]stages!$2:$2,0)-MATCH("temp_stage",[1]stages!$2:$2,0)+1,FALSE)</f>
        <v>木曜クエスト</v>
      </c>
      <c r="H124" s="18">
        <v>0</v>
      </c>
      <c r="I124">
        <v>34</v>
      </c>
      <c r="J124" s="5" t="s">
        <v>16</v>
      </c>
      <c r="K124" s="35" t="str">
        <f>VLOOKUP(I124,[2]stage_hints!$A:$C,3,FALSE)</f>
        <v>ステータスをスキルで下げられたら</v>
      </c>
      <c r="L124" s="36" t="str">
        <f>VLOOKUP(I124,[2]stage_hints!$A:$D,4,FALSE)</f>
        <v>ステータスダウンのスキルを受けたら_x000D_ステータスアップスキルで上書きしましょう</v>
      </c>
      <c r="M124" s="21" t="s">
        <v>23</v>
      </c>
      <c r="N124">
        <v>34</v>
      </c>
    </row>
    <row r="125" spans="1:14" x14ac:dyDescent="0.15">
      <c r="A125" s="26" t="s">
        <v>32</v>
      </c>
      <c r="B125" s="4">
        <v>11004</v>
      </c>
      <c r="C125" s="3" t="str">
        <f ca="1">VLOOKUP($B125,OFFSET([1]quests!$A$1,0,0,COUNTA([1]quests!$A:$A),MATCH(C$1,[1]quests!$1:$1,0)-MATCH($B$1,[1]quests!$1:$1,0)+1),MATCH(C$1,[1]quests!$1:$1,0)-MATCH($B$1,[1]quests!$1:$1,0)+1,FALSE)</f>
        <v>【木曜限定】 緑の素材</v>
      </c>
      <c r="D125" s="3" t="str">
        <f ca="1">VLOOKUP($B125,OFFSET([1]quests!$A$1,0,0,COUNTA([1]quests!$A:$A),MATCH(D$1,[1]quests!$1:$1,0)-MATCH($B$1,[1]quests!$1:$1,0)+1),MATCH(D$1,[1]quests!$1:$1,0)-MATCH($B$1,[1]quests!$1:$1,0)+1,FALSE)</f>
        <v>木曜クエスト</v>
      </c>
      <c r="E125" s="5">
        <v>2</v>
      </c>
      <c r="F125" s="3" t="str">
        <f ca="1">VLOOKUP($B125&amp;"_"&amp;$E125,OFFSET([1]stages!$A$1,0,0,COUNTA([1]stages!$A:$A),MATCH(F$1,[1]stages!$2:$2,0)-MATCH("temp_stage",[1]stages!$2:$2,0)+1),MATCH(F$1,[1]stages!$2:$2,0)-MATCH("temp_stage",[1]stages!$2:$2,0)+1,FALSE)</f>
        <v>【中級】樹のウサギ</v>
      </c>
      <c r="G125" s="3" t="str">
        <f ca="1">VLOOKUP($B125&amp;"_"&amp;$E125,OFFSET([1]stages!$A$1,0,0,COUNTA([1]stages!$A:$A),MATCH(G$1,[1]stages!$2:$2,0)-MATCH("temp_stage",[1]stages!$2:$2,0)+1),MATCH(G$1,[1]stages!$2:$2,0)-MATCH("temp_stage",[1]stages!$2:$2,0)+1,FALSE)</f>
        <v>木曜クエスト</v>
      </c>
      <c r="H125" s="18">
        <v>0</v>
      </c>
      <c r="I125">
        <v>35</v>
      </c>
      <c r="J125" s="5" t="s">
        <v>16</v>
      </c>
      <c r="K125" s="35" t="str">
        <f>VLOOKUP(I125,[2]stage_hints!$A:$C,3,FALSE)</f>
        <v>敵のステータスがスキルで上がったら</v>
      </c>
      <c r="L125" s="36" t="str">
        <f>VLOOKUP(I125,[2]stage_hints!$A:$D,4,FALSE)</f>
        <v>敵のステータスがスキルでアップしたときは_x000D_ステータスダウンスキルで上書きしましょう</v>
      </c>
      <c r="M125" s="21" t="s">
        <v>23</v>
      </c>
      <c r="N125">
        <v>35</v>
      </c>
    </row>
    <row r="126" spans="1:14" x14ac:dyDescent="0.15">
      <c r="A126" s="26" t="s">
        <v>32</v>
      </c>
      <c r="B126" s="4">
        <v>11007</v>
      </c>
      <c r="C126" s="3" t="str">
        <f ca="1">VLOOKUP($B126,OFFSET([1]quests!$A$1,0,0,COUNTA([1]quests!$A:$A),MATCH(C$1,[1]quests!$1:$1,0)-MATCH($B$1,[1]quests!$1:$1,0)+1),MATCH(C$1,[1]quests!$1:$1,0)-MATCH($B$1,[1]quests!$1:$1,0)+1,FALSE)</f>
        <v>【土曜限定】 赤と緑の素材</v>
      </c>
      <c r="D126" s="3" t="str">
        <f ca="1">VLOOKUP($B126,OFFSET([1]quests!$A$1,0,0,COUNTA([1]quests!$A:$A),MATCH(D$1,[1]quests!$1:$1,0)-MATCH($B$1,[1]quests!$1:$1,0)+1),MATCH(D$1,[1]quests!$1:$1,0)-MATCH($B$1,[1]quests!$1:$1,0)+1,FALSE)</f>
        <v>土曜クエスト</v>
      </c>
      <c r="E126" s="5">
        <v>2</v>
      </c>
      <c r="F126" s="3" t="str">
        <f ca="1">VLOOKUP($B126&amp;"_"&amp;$E126,OFFSET([1]stages!$A$1,0,0,COUNTA([1]stages!$A:$A),MATCH(F$1,[1]stages!$2:$2,0)-MATCH("temp_stage",[1]stages!$2:$2,0)+1),MATCH(F$1,[1]stages!$2:$2,0)-MATCH("temp_stage",[1]stages!$2:$2,0)+1,FALSE)</f>
        <v xml:space="preserve">【中級】火と樹のウサギ </v>
      </c>
      <c r="G126" s="3" t="str">
        <f ca="1">VLOOKUP($B126&amp;"_"&amp;$E126,OFFSET([1]stages!$A$1,0,0,COUNTA([1]stages!$A:$A),MATCH(G$1,[1]stages!$2:$2,0)-MATCH("temp_stage",[1]stages!$2:$2,0)+1),MATCH(G$1,[1]stages!$2:$2,0)-MATCH("temp_stage",[1]stages!$2:$2,0)+1,FALSE)</f>
        <v>土曜クエスト</v>
      </c>
      <c r="H126" s="18">
        <v>0</v>
      </c>
      <c r="I126">
        <v>3</v>
      </c>
      <c r="J126" s="5" t="s">
        <v>16</v>
      </c>
      <c r="K126" s="35" t="str">
        <f>VLOOKUP(I126,[2]stage_hints!$A:$C,3,FALSE)</f>
        <v>ターゲット</v>
      </c>
      <c r="L126" s="36" t="str">
        <f>VLOOKUP(I126,[2]stage_hints!$A:$D,4,FALSE)</f>
        <v>敵ユニットをタップすると_x000D_その敵を狙い撃ちできます</v>
      </c>
      <c r="M126" s="21" t="s">
        <v>23</v>
      </c>
      <c r="N126">
        <v>3</v>
      </c>
    </row>
    <row r="127" spans="1:14" x14ac:dyDescent="0.15">
      <c r="A127" s="26" t="s">
        <v>32</v>
      </c>
      <c r="B127" s="4">
        <v>11007</v>
      </c>
      <c r="C127" s="3" t="str">
        <f ca="1">VLOOKUP($B127,OFFSET([1]quests!$A$1,0,0,COUNTA([1]quests!$A:$A),MATCH(C$1,[1]quests!$1:$1,0)-MATCH($B$1,[1]quests!$1:$1,0)+1),MATCH(C$1,[1]quests!$1:$1,0)-MATCH($B$1,[1]quests!$1:$1,0)+1,FALSE)</f>
        <v>【土曜限定】 赤と緑の素材</v>
      </c>
      <c r="D127" s="3" t="str">
        <f ca="1">VLOOKUP($B127,OFFSET([1]quests!$A$1,0,0,COUNTA([1]quests!$A:$A),MATCH(D$1,[1]quests!$1:$1,0)-MATCH($B$1,[1]quests!$1:$1,0)+1),MATCH(D$1,[1]quests!$1:$1,0)-MATCH($B$1,[1]quests!$1:$1,0)+1,FALSE)</f>
        <v>土曜クエスト</v>
      </c>
      <c r="E127" s="5">
        <v>2</v>
      </c>
      <c r="F127" s="3" t="str">
        <f ca="1">VLOOKUP($B127&amp;"_"&amp;$E127,OFFSET([1]stages!$A$1,0,0,COUNTA([1]stages!$A:$A),MATCH(F$1,[1]stages!$2:$2,0)-MATCH("temp_stage",[1]stages!$2:$2,0)+1),MATCH(F$1,[1]stages!$2:$2,0)-MATCH("temp_stage",[1]stages!$2:$2,0)+1,FALSE)</f>
        <v xml:space="preserve">【中級】火と樹のウサギ </v>
      </c>
      <c r="G127" s="3" t="str">
        <f ca="1">VLOOKUP($B127&amp;"_"&amp;$E127,OFFSET([1]stages!$A$1,0,0,COUNTA([1]stages!$A:$A),MATCH(G$1,[1]stages!$2:$2,0)-MATCH("temp_stage",[1]stages!$2:$2,0)+1),MATCH(G$1,[1]stages!$2:$2,0)-MATCH("temp_stage",[1]stages!$2:$2,0)+1,FALSE)</f>
        <v>土曜クエスト</v>
      </c>
      <c r="H127" s="18">
        <v>0</v>
      </c>
      <c r="I127">
        <v>6</v>
      </c>
      <c r="J127" s="5" t="s">
        <v>16</v>
      </c>
      <c r="K127" s="35" t="str">
        <f>VLOOKUP(I127,[2]stage_hints!$A:$C,3,FALSE)</f>
        <v>ユニット強化の属性ボーナス</v>
      </c>
      <c r="L127" s="36" t="str">
        <f>VLOOKUP(I127,[2]stage_hints!$A:$D,4,FALSE)</f>
        <v>同属性ユニットを強化素材にすると_x000D_経験値が多くもらえます</v>
      </c>
      <c r="M127" s="21" t="s">
        <v>23</v>
      </c>
      <c r="N127">
        <v>6</v>
      </c>
    </row>
    <row r="128" spans="1:14" x14ac:dyDescent="0.15">
      <c r="A128" s="26" t="s">
        <v>32</v>
      </c>
      <c r="B128" s="4">
        <v>11007</v>
      </c>
      <c r="C128" s="3" t="str">
        <f ca="1">VLOOKUP($B128,OFFSET([1]quests!$A$1,0,0,COUNTA([1]quests!$A:$A),MATCH(C$1,[1]quests!$1:$1,0)-MATCH($B$1,[1]quests!$1:$1,0)+1),MATCH(C$1,[1]quests!$1:$1,0)-MATCH($B$1,[1]quests!$1:$1,0)+1,FALSE)</f>
        <v>【土曜限定】 赤と緑の素材</v>
      </c>
      <c r="D128" s="3" t="str">
        <f ca="1">VLOOKUP($B128,OFFSET([1]quests!$A$1,0,0,COUNTA([1]quests!$A:$A),MATCH(D$1,[1]quests!$1:$1,0)-MATCH($B$1,[1]quests!$1:$1,0)+1),MATCH(D$1,[1]quests!$1:$1,0)-MATCH($B$1,[1]quests!$1:$1,0)+1,FALSE)</f>
        <v>土曜クエスト</v>
      </c>
      <c r="E128" s="5">
        <v>2</v>
      </c>
      <c r="F128" s="3" t="str">
        <f ca="1">VLOOKUP($B128&amp;"_"&amp;$E128,OFFSET([1]stages!$A$1,0,0,COUNTA([1]stages!$A:$A),MATCH(F$1,[1]stages!$2:$2,0)-MATCH("temp_stage",[1]stages!$2:$2,0)+1),MATCH(F$1,[1]stages!$2:$2,0)-MATCH("temp_stage",[1]stages!$2:$2,0)+1,FALSE)</f>
        <v xml:space="preserve">【中級】火と樹のウサギ </v>
      </c>
      <c r="G128" s="3" t="str">
        <f ca="1">VLOOKUP($B128&amp;"_"&amp;$E128,OFFSET([1]stages!$A$1,0,0,COUNTA([1]stages!$A:$A),MATCH(G$1,[1]stages!$2:$2,0)-MATCH("temp_stage",[1]stages!$2:$2,0)+1),MATCH(G$1,[1]stages!$2:$2,0)-MATCH("temp_stage",[1]stages!$2:$2,0)+1,FALSE)</f>
        <v>土曜クエスト</v>
      </c>
      <c r="H128" s="18">
        <v>0</v>
      </c>
      <c r="I128">
        <v>7</v>
      </c>
      <c r="J128" s="5" t="s">
        <v>16</v>
      </c>
      <c r="K128" s="35" t="str">
        <f>VLOOKUP(I128,[2]stage_hints!$A:$C,3,FALSE)</f>
        <v>メタルダックで経験値を獲得</v>
      </c>
      <c r="L128" s="36" t="str">
        <f>VLOOKUP(I128,[2]stage_hints!$A:$D,4,FALSE)</f>
        <v>「メタルなアヒル」を強化素材にすると_x000D_大量の経験値がもらえます</v>
      </c>
      <c r="M128" s="21" t="s">
        <v>23</v>
      </c>
      <c r="N128">
        <v>7</v>
      </c>
    </row>
    <row r="129" spans="1:14" x14ac:dyDescent="0.15">
      <c r="A129" s="26" t="s">
        <v>32</v>
      </c>
      <c r="B129" s="4">
        <v>11007</v>
      </c>
      <c r="C129" s="3" t="str">
        <f ca="1">VLOOKUP($B129,OFFSET([1]quests!$A$1,0,0,COUNTA([1]quests!$A:$A),MATCH(C$1,[1]quests!$1:$1,0)-MATCH($B$1,[1]quests!$1:$1,0)+1),MATCH(C$1,[1]quests!$1:$1,0)-MATCH($B$1,[1]quests!$1:$1,0)+1,FALSE)</f>
        <v>【土曜限定】 赤と緑の素材</v>
      </c>
      <c r="D129" s="3" t="str">
        <f ca="1">VLOOKUP($B129,OFFSET([1]quests!$A$1,0,0,COUNTA([1]quests!$A:$A),MATCH(D$1,[1]quests!$1:$1,0)-MATCH($B$1,[1]quests!$1:$1,0)+1),MATCH(D$1,[1]quests!$1:$1,0)-MATCH($B$1,[1]quests!$1:$1,0)+1,FALSE)</f>
        <v>土曜クエスト</v>
      </c>
      <c r="E129" s="5">
        <v>2</v>
      </c>
      <c r="F129" s="3" t="str">
        <f ca="1">VLOOKUP($B129&amp;"_"&amp;$E129,OFFSET([1]stages!$A$1,0,0,COUNTA([1]stages!$A:$A),MATCH(F$1,[1]stages!$2:$2,0)-MATCH("temp_stage",[1]stages!$2:$2,0)+1),MATCH(F$1,[1]stages!$2:$2,0)-MATCH("temp_stage",[1]stages!$2:$2,0)+1,FALSE)</f>
        <v xml:space="preserve">【中級】火と樹のウサギ </v>
      </c>
      <c r="G129" s="3" t="str">
        <f ca="1">VLOOKUP($B129&amp;"_"&amp;$E129,OFFSET([1]stages!$A$1,0,0,COUNTA([1]stages!$A:$A),MATCH(G$1,[1]stages!$2:$2,0)-MATCH("temp_stage",[1]stages!$2:$2,0)+1),MATCH(G$1,[1]stages!$2:$2,0)-MATCH("temp_stage",[1]stages!$2:$2,0)+1,FALSE)</f>
        <v>土曜クエスト</v>
      </c>
      <c r="H129" s="18">
        <v>0</v>
      </c>
      <c r="I129">
        <v>8</v>
      </c>
      <c r="J129" s="5" t="s">
        <v>16</v>
      </c>
      <c r="K129" s="35" t="str">
        <f>VLOOKUP(I129,[2]stage_hints!$A:$C,3,FALSE)</f>
        <v>ゲリラクエストは要チェック</v>
      </c>
      <c r="L129" s="36" t="str">
        <f>VLOOKUP(I129,[2]stage_hints!$A:$D,4,FALSE)</f>
        <v>時間限定の「アヒル捕獲作戦」では_x000D_経験値素材ユニットが多く手に入ります</v>
      </c>
      <c r="M129" s="21" t="s">
        <v>23</v>
      </c>
      <c r="N129">
        <v>8</v>
      </c>
    </row>
    <row r="130" spans="1:14" x14ac:dyDescent="0.15">
      <c r="A130" s="26" t="s">
        <v>32</v>
      </c>
      <c r="B130" s="4">
        <v>11007</v>
      </c>
      <c r="C130" s="3" t="str">
        <f ca="1">VLOOKUP($B130,OFFSET([1]quests!$A$1,0,0,COUNTA([1]quests!$A:$A),MATCH(C$1,[1]quests!$1:$1,0)-MATCH($B$1,[1]quests!$1:$1,0)+1),MATCH(C$1,[1]quests!$1:$1,0)-MATCH($B$1,[1]quests!$1:$1,0)+1,FALSE)</f>
        <v>【土曜限定】 赤と緑の素材</v>
      </c>
      <c r="D130" s="3" t="str">
        <f ca="1">VLOOKUP($B130,OFFSET([1]quests!$A$1,0,0,COUNTA([1]quests!$A:$A),MATCH(D$1,[1]quests!$1:$1,0)-MATCH($B$1,[1]quests!$1:$1,0)+1),MATCH(D$1,[1]quests!$1:$1,0)-MATCH($B$1,[1]quests!$1:$1,0)+1,FALSE)</f>
        <v>土曜クエスト</v>
      </c>
      <c r="E130" s="5">
        <v>2</v>
      </c>
      <c r="F130" s="3" t="str">
        <f ca="1">VLOOKUP($B130&amp;"_"&amp;$E130,OFFSET([1]stages!$A$1,0,0,COUNTA([1]stages!$A:$A),MATCH(F$1,[1]stages!$2:$2,0)-MATCH("temp_stage",[1]stages!$2:$2,0)+1),MATCH(F$1,[1]stages!$2:$2,0)-MATCH("temp_stage",[1]stages!$2:$2,0)+1,FALSE)</f>
        <v xml:space="preserve">【中級】火と樹のウサギ </v>
      </c>
      <c r="G130" s="3" t="str">
        <f ca="1">VLOOKUP($B130&amp;"_"&amp;$E130,OFFSET([1]stages!$A$1,0,0,COUNTA([1]stages!$A:$A),MATCH(G$1,[1]stages!$2:$2,0)-MATCH("temp_stage",[1]stages!$2:$2,0)+1),MATCH(G$1,[1]stages!$2:$2,0)-MATCH("temp_stage",[1]stages!$2:$2,0)+1,FALSE)</f>
        <v>土曜クエスト</v>
      </c>
      <c r="H130" s="18">
        <v>0</v>
      </c>
      <c r="I130">
        <v>9</v>
      </c>
      <c r="J130" s="5" t="s">
        <v>16</v>
      </c>
      <c r="K130" s="35" t="str">
        <f>VLOOKUP(I130,[2]stage_hints!$A:$C,3,FALSE)</f>
        <v>ゴールドダックでビットを獲得</v>
      </c>
      <c r="L130" s="36" t="str">
        <f>VLOOKUP(I130,[2]stage_hints!$A:$D,4,FALSE)</f>
        <v>「ゴールドなアヒル」を売却すると_x000D_大量のビットがもらえます</v>
      </c>
      <c r="M130" s="21" t="s">
        <v>23</v>
      </c>
      <c r="N130">
        <v>9</v>
      </c>
    </row>
    <row r="131" spans="1:14" x14ac:dyDescent="0.15">
      <c r="A131" s="26" t="s">
        <v>32</v>
      </c>
      <c r="B131" s="4">
        <v>11007</v>
      </c>
      <c r="C131" s="3" t="str">
        <f ca="1">VLOOKUP($B131,OFFSET([1]quests!$A$1,0,0,COUNTA([1]quests!$A:$A),MATCH(C$1,[1]quests!$1:$1,0)-MATCH($B$1,[1]quests!$1:$1,0)+1),MATCH(C$1,[1]quests!$1:$1,0)-MATCH($B$1,[1]quests!$1:$1,0)+1,FALSE)</f>
        <v>【土曜限定】 赤と緑の素材</v>
      </c>
      <c r="D131" s="3" t="str">
        <f ca="1">VLOOKUP($B131,OFFSET([1]quests!$A$1,0,0,COUNTA([1]quests!$A:$A),MATCH(D$1,[1]quests!$1:$1,0)-MATCH($B$1,[1]quests!$1:$1,0)+1),MATCH(D$1,[1]quests!$1:$1,0)-MATCH($B$1,[1]quests!$1:$1,0)+1,FALSE)</f>
        <v>土曜クエスト</v>
      </c>
      <c r="E131" s="5">
        <v>2</v>
      </c>
      <c r="F131" s="3" t="str">
        <f ca="1">VLOOKUP($B131&amp;"_"&amp;$E131,OFFSET([1]stages!$A$1,0,0,COUNTA([1]stages!$A:$A),MATCH(F$1,[1]stages!$2:$2,0)-MATCH("temp_stage",[1]stages!$2:$2,0)+1),MATCH(F$1,[1]stages!$2:$2,0)-MATCH("temp_stage",[1]stages!$2:$2,0)+1,FALSE)</f>
        <v xml:space="preserve">【中級】火と樹のウサギ </v>
      </c>
      <c r="G131" s="3" t="str">
        <f ca="1">VLOOKUP($B131&amp;"_"&amp;$E131,OFFSET([1]stages!$A$1,0,0,COUNTA([1]stages!$A:$A),MATCH(G$1,[1]stages!$2:$2,0)-MATCH("temp_stage",[1]stages!$2:$2,0)+1),MATCH(G$1,[1]stages!$2:$2,0)-MATCH("temp_stage",[1]stages!$2:$2,0)+1,FALSE)</f>
        <v>土曜クエスト</v>
      </c>
      <c r="H131" s="18">
        <v>0</v>
      </c>
      <c r="I131">
        <v>10</v>
      </c>
      <c r="J131" s="5" t="s">
        <v>16</v>
      </c>
      <c r="K131" s="35" t="str">
        <f>VLOOKUP(I131,[2]stage_hints!$A:$C,3,FALSE)</f>
        <v>土日に大量のビットを獲得</v>
      </c>
      <c r="L131" s="36" t="str">
        <f>VLOOKUP(I131,[2]stage_hints!$A:$D,4,FALSE)</f>
        <v>土日限定の「ゴールドカジノ」では_x000D_売却素材ユニットが多く手に入ります</v>
      </c>
      <c r="M131" s="21" t="s">
        <v>23</v>
      </c>
      <c r="N131">
        <v>10</v>
      </c>
    </row>
    <row r="132" spans="1:14" x14ac:dyDescent="0.15">
      <c r="A132" s="26" t="s">
        <v>32</v>
      </c>
      <c r="B132" s="4">
        <v>11007</v>
      </c>
      <c r="C132" s="3" t="str">
        <f ca="1">VLOOKUP($B132,OFFSET([1]quests!$A$1,0,0,COUNTA([1]quests!$A:$A),MATCH(C$1,[1]quests!$1:$1,0)-MATCH($B$1,[1]quests!$1:$1,0)+1),MATCH(C$1,[1]quests!$1:$1,0)-MATCH($B$1,[1]quests!$1:$1,0)+1,FALSE)</f>
        <v>【土曜限定】 赤と緑の素材</v>
      </c>
      <c r="D132" s="3" t="str">
        <f ca="1">VLOOKUP($B132,OFFSET([1]quests!$A$1,0,0,COUNTA([1]quests!$A:$A),MATCH(D$1,[1]quests!$1:$1,0)-MATCH($B$1,[1]quests!$1:$1,0)+1),MATCH(D$1,[1]quests!$1:$1,0)-MATCH($B$1,[1]quests!$1:$1,0)+1,FALSE)</f>
        <v>土曜クエスト</v>
      </c>
      <c r="E132" s="5">
        <v>2</v>
      </c>
      <c r="F132" s="3" t="str">
        <f ca="1">VLOOKUP($B132&amp;"_"&amp;$E132,OFFSET([1]stages!$A$1,0,0,COUNTA([1]stages!$A:$A),MATCH(F$1,[1]stages!$2:$2,0)-MATCH("temp_stage",[1]stages!$2:$2,0)+1),MATCH(F$1,[1]stages!$2:$2,0)-MATCH("temp_stage",[1]stages!$2:$2,0)+1,FALSE)</f>
        <v xml:space="preserve">【中級】火と樹のウサギ </v>
      </c>
      <c r="G132" s="3" t="str">
        <f ca="1">VLOOKUP($B132&amp;"_"&amp;$E132,OFFSET([1]stages!$A$1,0,0,COUNTA([1]stages!$A:$A),MATCH(G$1,[1]stages!$2:$2,0)-MATCH("temp_stage",[1]stages!$2:$2,0)+1),MATCH(G$1,[1]stages!$2:$2,0)-MATCH("temp_stage",[1]stages!$2:$2,0)+1,FALSE)</f>
        <v>土曜クエスト</v>
      </c>
      <c r="H132" s="18">
        <v>0</v>
      </c>
      <c r="I132">
        <v>11</v>
      </c>
      <c r="J132" s="5" t="s">
        <v>16</v>
      </c>
      <c r="K132" s="35" t="str">
        <f>VLOOKUP(I132,[2]stage_hints!$A:$C,3,FALSE)</f>
        <v>ランク解放クエスト</v>
      </c>
      <c r="L132" s="36" t="str">
        <f>VLOOKUP(I132,[2]stage_hints!$A:$D,4,FALSE)</f>
        <v>一定ランクに到達すると_x000D_報酬付きのランク開放クエストが現れます</v>
      </c>
      <c r="M132" s="21" t="s">
        <v>23</v>
      </c>
      <c r="N132">
        <v>11</v>
      </c>
    </row>
    <row r="133" spans="1:14" x14ac:dyDescent="0.15">
      <c r="A133" s="26" t="s">
        <v>32</v>
      </c>
      <c r="B133" s="4">
        <v>11007</v>
      </c>
      <c r="C133" s="3" t="str">
        <f ca="1">VLOOKUP($B133,OFFSET([1]quests!$A$1,0,0,COUNTA([1]quests!$A:$A),MATCH(C$1,[1]quests!$1:$1,0)-MATCH($B$1,[1]quests!$1:$1,0)+1),MATCH(C$1,[1]quests!$1:$1,0)-MATCH($B$1,[1]quests!$1:$1,0)+1,FALSE)</f>
        <v>【土曜限定】 赤と緑の素材</v>
      </c>
      <c r="D133" s="3" t="str">
        <f ca="1">VLOOKUP($B133,OFFSET([1]quests!$A$1,0,0,COUNTA([1]quests!$A:$A),MATCH(D$1,[1]quests!$1:$1,0)-MATCH($B$1,[1]quests!$1:$1,0)+1),MATCH(D$1,[1]quests!$1:$1,0)-MATCH($B$1,[1]quests!$1:$1,0)+1,FALSE)</f>
        <v>土曜クエスト</v>
      </c>
      <c r="E133" s="5">
        <v>2</v>
      </c>
      <c r="F133" s="3" t="str">
        <f ca="1">VLOOKUP($B133&amp;"_"&amp;$E133,OFFSET([1]stages!$A$1,0,0,COUNTA([1]stages!$A:$A),MATCH(F$1,[1]stages!$2:$2,0)-MATCH("temp_stage",[1]stages!$2:$2,0)+1),MATCH(F$1,[1]stages!$2:$2,0)-MATCH("temp_stage",[1]stages!$2:$2,0)+1,FALSE)</f>
        <v xml:space="preserve">【中級】火と樹のウサギ </v>
      </c>
      <c r="G133" s="3" t="str">
        <f ca="1">VLOOKUP($B133&amp;"_"&amp;$E133,OFFSET([1]stages!$A$1,0,0,COUNTA([1]stages!$A:$A),MATCH(G$1,[1]stages!$2:$2,0)-MATCH("temp_stage",[1]stages!$2:$2,0)+1),MATCH(G$1,[1]stages!$2:$2,0)-MATCH("temp_stage",[1]stages!$2:$2,0)+1,FALSE)</f>
        <v>土曜クエスト</v>
      </c>
      <c r="H133" s="18">
        <v>0</v>
      </c>
      <c r="I133">
        <v>12</v>
      </c>
      <c r="J133" s="5" t="s">
        <v>16</v>
      </c>
      <c r="K133" s="35" t="str">
        <f>VLOOKUP(I133,[2]stage_hints!$A:$C,3,FALSE)</f>
        <v>ユニットのお気に入り登録</v>
      </c>
      <c r="L133" s="36" t="str">
        <f>VLOOKUP(I133,[2]stage_hints!$A:$D,4,FALSE)</f>
        <v>大事なユニットを誤って消さないように_x000D_フォルダから「お気に入り登録」しましょう</v>
      </c>
      <c r="M133" s="21" t="s">
        <v>23</v>
      </c>
      <c r="N133">
        <v>12</v>
      </c>
    </row>
    <row r="134" spans="1:14" x14ac:dyDescent="0.15">
      <c r="A134" s="26" t="s">
        <v>32</v>
      </c>
      <c r="B134" s="4">
        <v>11007</v>
      </c>
      <c r="C134" s="3" t="str">
        <f ca="1">VLOOKUP($B134,OFFSET([1]quests!$A$1,0,0,COUNTA([1]quests!$A:$A),MATCH(C$1,[1]quests!$1:$1,0)-MATCH($B$1,[1]quests!$1:$1,0)+1),MATCH(C$1,[1]quests!$1:$1,0)-MATCH($B$1,[1]quests!$1:$1,0)+1,FALSE)</f>
        <v>【土曜限定】 赤と緑の素材</v>
      </c>
      <c r="D134" s="3" t="str">
        <f ca="1">VLOOKUP($B134,OFFSET([1]quests!$A$1,0,0,COUNTA([1]quests!$A:$A),MATCH(D$1,[1]quests!$1:$1,0)-MATCH($B$1,[1]quests!$1:$1,0)+1),MATCH(D$1,[1]quests!$1:$1,0)-MATCH($B$1,[1]quests!$1:$1,0)+1,FALSE)</f>
        <v>土曜クエスト</v>
      </c>
      <c r="E134" s="5">
        <v>2</v>
      </c>
      <c r="F134" s="3" t="str">
        <f ca="1">VLOOKUP($B134&amp;"_"&amp;$E134,OFFSET([1]stages!$A$1,0,0,COUNTA([1]stages!$A:$A),MATCH(F$1,[1]stages!$2:$2,0)-MATCH("temp_stage",[1]stages!$2:$2,0)+1),MATCH(F$1,[1]stages!$2:$2,0)-MATCH("temp_stage",[1]stages!$2:$2,0)+1,FALSE)</f>
        <v xml:space="preserve">【中級】火と樹のウサギ </v>
      </c>
      <c r="G134" s="3" t="str">
        <f ca="1">VLOOKUP($B134&amp;"_"&amp;$E134,OFFSET([1]stages!$A$1,0,0,COUNTA([1]stages!$A:$A),MATCH(G$1,[1]stages!$2:$2,0)-MATCH("temp_stage",[1]stages!$2:$2,0)+1),MATCH(G$1,[1]stages!$2:$2,0)-MATCH("temp_stage",[1]stages!$2:$2,0)+1,FALSE)</f>
        <v>土曜クエスト</v>
      </c>
      <c r="H134" s="18">
        <v>0</v>
      </c>
      <c r="I134">
        <v>13</v>
      </c>
      <c r="J134" s="5" t="s">
        <v>16</v>
      </c>
      <c r="K134" s="35" t="str">
        <f>VLOOKUP(I134,[2]stage_hints!$A:$C,3,FALSE)</f>
        <v>ユニットの覚醒</v>
      </c>
      <c r="L134" s="36" t="str">
        <f>VLOOKUP(I134,[2]stage_hints!$A:$D,4,FALSE)</f>
        <v>ユニットを覚醒させると_x000D_比べものにならない強さが手に入ります</v>
      </c>
      <c r="M134" s="21" t="s">
        <v>23</v>
      </c>
      <c r="N134">
        <v>13</v>
      </c>
    </row>
    <row r="135" spans="1:14" x14ac:dyDescent="0.15">
      <c r="A135" s="26" t="s">
        <v>32</v>
      </c>
      <c r="B135" s="4">
        <v>11007</v>
      </c>
      <c r="C135" s="3" t="str">
        <f ca="1">VLOOKUP($B135,OFFSET([1]quests!$A$1,0,0,COUNTA([1]quests!$A:$A),MATCH(C$1,[1]quests!$1:$1,0)-MATCH($B$1,[1]quests!$1:$1,0)+1),MATCH(C$1,[1]quests!$1:$1,0)-MATCH($B$1,[1]quests!$1:$1,0)+1,FALSE)</f>
        <v>【土曜限定】 赤と緑の素材</v>
      </c>
      <c r="D135" s="3" t="str">
        <f ca="1">VLOOKUP($B135,OFFSET([1]quests!$A$1,0,0,COUNTA([1]quests!$A:$A),MATCH(D$1,[1]quests!$1:$1,0)-MATCH($B$1,[1]quests!$1:$1,0)+1),MATCH(D$1,[1]quests!$1:$1,0)-MATCH($B$1,[1]quests!$1:$1,0)+1,FALSE)</f>
        <v>土曜クエスト</v>
      </c>
      <c r="E135" s="5">
        <v>2</v>
      </c>
      <c r="F135" s="3" t="str">
        <f ca="1">VLOOKUP($B135&amp;"_"&amp;$E135,OFFSET([1]stages!$A$1,0,0,COUNTA([1]stages!$A:$A),MATCH(F$1,[1]stages!$2:$2,0)-MATCH("temp_stage",[1]stages!$2:$2,0)+1),MATCH(F$1,[1]stages!$2:$2,0)-MATCH("temp_stage",[1]stages!$2:$2,0)+1,FALSE)</f>
        <v xml:space="preserve">【中級】火と樹のウサギ </v>
      </c>
      <c r="G135" s="3" t="str">
        <f ca="1">VLOOKUP($B135&amp;"_"&amp;$E135,OFFSET([1]stages!$A$1,0,0,COUNTA([1]stages!$A:$A),MATCH(G$1,[1]stages!$2:$2,0)-MATCH("temp_stage",[1]stages!$2:$2,0)+1),MATCH(G$1,[1]stages!$2:$2,0)-MATCH("temp_stage",[1]stages!$2:$2,0)+1,FALSE)</f>
        <v>土曜クエスト</v>
      </c>
      <c r="H135" s="18">
        <v>0</v>
      </c>
      <c r="I135">
        <v>14</v>
      </c>
      <c r="J135" s="5" t="s">
        <v>16</v>
      </c>
      <c r="K135" s="35" t="str">
        <f>VLOOKUP(I135,[2]stage_hints!$A:$C,3,FALSE)</f>
        <v>覚醒するにはレベルを最大に</v>
      </c>
      <c r="L135" s="36" t="str">
        <f>VLOOKUP(I135,[2]stage_hints!$A:$D,4,FALSE)</f>
        <v>覚醒するにはユニットのレベルを_x000D_最大まで上げる必要があります</v>
      </c>
      <c r="M135" s="21" t="s">
        <v>23</v>
      </c>
      <c r="N135">
        <v>14</v>
      </c>
    </row>
    <row r="136" spans="1:14" x14ac:dyDescent="0.15">
      <c r="A136" s="26" t="s">
        <v>32</v>
      </c>
      <c r="B136" s="4">
        <v>11007</v>
      </c>
      <c r="C136" s="3" t="str">
        <f ca="1">VLOOKUP($B136,OFFSET([1]quests!$A$1,0,0,COUNTA([1]quests!$A:$A),MATCH(C$1,[1]quests!$1:$1,0)-MATCH($B$1,[1]quests!$1:$1,0)+1),MATCH(C$1,[1]quests!$1:$1,0)-MATCH($B$1,[1]quests!$1:$1,0)+1,FALSE)</f>
        <v>【土曜限定】 赤と緑の素材</v>
      </c>
      <c r="D136" s="3" t="str">
        <f ca="1">VLOOKUP($B136,OFFSET([1]quests!$A$1,0,0,COUNTA([1]quests!$A:$A),MATCH(D$1,[1]quests!$1:$1,0)-MATCH($B$1,[1]quests!$1:$1,0)+1),MATCH(D$1,[1]quests!$1:$1,0)-MATCH($B$1,[1]quests!$1:$1,0)+1,FALSE)</f>
        <v>土曜クエスト</v>
      </c>
      <c r="E136" s="5">
        <v>2</v>
      </c>
      <c r="F136" s="3" t="str">
        <f ca="1">VLOOKUP($B136&amp;"_"&amp;$E136,OFFSET([1]stages!$A$1,0,0,COUNTA([1]stages!$A:$A),MATCH(F$1,[1]stages!$2:$2,0)-MATCH("temp_stage",[1]stages!$2:$2,0)+1),MATCH(F$1,[1]stages!$2:$2,0)-MATCH("temp_stage",[1]stages!$2:$2,0)+1,FALSE)</f>
        <v xml:space="preserve">【中級】火と樹のウサギ </v>
      </c>
      <c r="G136" s="3" t="str">
        <f ca="1">VLOOKUP($B136&amp;"_"&amp;$E136,OFFSET([1]stages!$A$1,0,0,COUNTA([1]stages!$A:$A),MATCH(G$1,[1]stages!$2:$2,0)-MATCH("temp_stage",[1]stages!$2:$2,0)+1),MATCH(G$1,[1]stages!$2:$2,0)-MATCH("temp_stage",[1]stages!$2:$2,0)+1,FALSE)</f>
        <v>土曜クエスト</v>
      </c>
      <c r="H136" s="18">
        <v>0</v>
      </c>
      <c r="I136">
        <v>15</v>
      </c>
      <c r="J136" s="5" t="s">
        <v>16</v>
      </c>
      <c r="K136" s="35" t="str">
        <f>VLOOKUP(I136,[2]stage_hints!$A:$C,3,FALSE)</f>
        <v>覚醒素材を獲得</v>
      </c>
      <c r="L136" s="36" t="str">
        <f>VLOOKUP(I136,[2]stage_hints!$A:$D,4,FALSE)</f>
        <v>「曜日クエスト」では_x000D_ユニットの覚醒に必要な素材が手に入ります</v>
      </c>
      <c r="M136" s="21" t="s">
        <v>23</v>
      </c>
      <c r="N136">
        <v>15</v>
      </c>
    </row>
    <row r="137" spans="1:14" x14ac:dyDescent="0.15">
      <c r="A137" s="26" t="s">
        <v>32</v>
      </c>
      <c r="B137" s="4">
        <v>11007</v>
      </c>
      <c r="C137" s="3" t="str">
        <f ca="1">VLOOKUP($B137,OFFSET([1]quests!$A$1,0,0,COUNTA([1]quests!$A:$A),MATCH(C$1,[1]quests!$1:$1,0)-MATCH($B$1,[1]quests!$1:$1,0)+1),MATCH(C$1,[1]quests!$1:$1,0)-MATCH($B$1,[1]quests!$1:$1,0)+1,FALSE)</f>
        <v>【土曜限定】 赤と緑の素材</v>
      </c>
      <c r="D137" s="3" t="str">
        <f ca="1">VLOOKUP($B137,OFFSET([1]quests!$A$1,0,0,COUNTA([1]quests!$A:$A),MATCH(D$1,[1]quests!$1:$1,0)-MATCH($B$1,[1]quests!$1:$1,0)+1),MATCH(D$1,[1]quests!$1:$1,0)-MATCH($B$1,[1]quests!$1:$1,0)+1,FALSE)</f>
        <v>土曜クエスト</v>
      </c>
      <c r="E137" s="5">
        <v>2</v>
      </c>
      <c r="F137" s="3" t="str">
        <f ca="1">VLOOKUP($B137&amp;"_"&amp;$E137,OFFSET([1]stages!$A$1,0,0,COUNTA([1]stages!$A:$A),MATCH(F$1,[1]stages!$2:$2,0)-MATCH("temp_stage",[1]stages!$2:$2,0)+1),MATCH(F$1,[1]stages!$2:$2,0)-MATCH("temp_stage",[1]stages!$2:$2,0)+1,FALSE)</f>
        <v xml:space="preserve">【中級】火と樹のウサギ </v>
      </c>
      <c r="G137" s="3" t="str">
        <f ca="1">VLOOKUP($B137&amp;"_"&amp;$E137,OFFSET([1]stages!$A$1,0,0,COUNTA([1]stages!$A:$A),MATCH(G$1,[1]stages!$2:$2,0)-MATCH("temp_stage",[1]stages!$2:$2,0)+1),MATCH(G$1,[1]stages!$2:$2,0)-MATCH("temp_stage",[1]stages!$2:$2,0)+1,FALSE)</f>
        <v>土曜クエスト</v>
      </c>
      <c r="H137" s="18">
        <v>0</v>
      </c>
      <c r="I137">
        <v>16</v>
      </c>
      <c r="J137" s="5" t="s">
        <v>16</v>
      </c>
      <c r="K137" s="35" t="str">
        <f>VLOOKUP(I137,[2]stage_hints!$A:$C,3,FALSE)</f>
        <v>マルチプレイのメリット（その1）</v>
      </c>
      <c r="L137" s="36" t="str">
        <f>VLOOKUP(I137,[2]stage_hints!$A:$D,4,FALSE)</f>
        <v>他のプレイヤーとマルチプレイで遊ぶと_x000D_ポリゴンがもらえます（100人まで）</v>
      </c>
      <c r="M137" s="21" t="s">
        <v>23</v>
      </c>
      <c r="N137">
        <v>16</v>
      </c>
    </row>
    <row r="138" spans="1:14" x14ac:dyDescent="0.15">
      <c r="A138" s="26" t="s">
        <v>32</v>
      </c>
      <c r="B138" s="4">
        <v>11007</v>
      </c>
      <c r="C138" s="3" t="str">
        <f ca="1">VLOOKUP($B138,OFFSET([1]quests!$A$1,0,0,COUNTA([1]quests!$A:$A),MATCH(C$1,[1]quests!$1:$1,0)-MATCH($B$1,[1]quests!$1:$1,0)+1),MATCH(C$1,[1]quests!$1:$1,0)-MATCH($B$1,[1]quests!$1:$1,0)+1,FALSE)</f>
        <v>【土曜限定】 赤と緑の素材</v>
      </c>
      <c r="D138" s="3" t="str">
        <f ca="1">VLOOKUP($B138,OFFSET([1]quests!$A$1,0,0,COUNTA([1]quests!$A:$A),MATCH(D$1,[1]quests!$1:$1,0)-MATCH($B$1,[1]quests!$1:$1,0)+1),MATCH(D$1,[1]quests!$1:$1,0)-MATCH($B$1,[1]quests!$1:$1,0)+1,FALSE)</f>
        <v>土曜クエスト</v>
      </c>
      <c r="E138" s="5">
        <v>2</v>
      </c>
      <c r="F138" s="3" t="str">
        <f ca="1">VLOOKUP($B138&amp;"_"&amp;$E138,OFFSET([1]stages!$A$1,0,0,COUNTA([1]stages!$A:$A),MATCH(F$1,[1]stages!$2:$2,0)-MATCH("temp_stage",[1]stages!$2:$2,0)+1),MATCH(F$1,[1]stages!$2:$2,0)-MATCH("temp_stage",[1]stages!$2:$2,0)+1,FALSE)</f>
        <v xml:space="preserve">【中級】火と樹のウサギ </v>
      </c>
      <c r="G138" s="3" t="str">
        <f ca="1">VLOOKUP($B138&amp;"_"&amp;$E138,OFFSET([1]stages!$A$1,0,0,COUNTA([1]stages!$A:$A),MATCH(G$1,[1]stages!$2:$2,0)-MATCH("temp_stage",[1]stages!$2:$2,0)+1),MATCH(G$1,[1]stages!$2:$2,0)-MATCH("temp_stage",[1]stages!$2:$2,0)+1,FALSE)</f>
        <v>土曜クエスト</v>
      </c>
      <c r="H138" s="18">
        <v>0</v>
      </c>
      <c r="I138">
        <v>17</v>
      </c>
      <c r="J138" s="5" t="s">
        <v>16</v>
      </c>
      <c r="K138" s="35" t="str">
        <f>VLOOKUP(I138,[2]stage_hints!$A:$C,3,FALSE)</f>
        <v>リンクガチャ</v>
      </c>
      <c r="L138" s="36" t="str">
        <f>VLOOKUP(I138,[2]stage_hints!$A:$D,4,FALSE)</f>
        <v>無料のリンクガチャを回して_x000D_経験値素材や売却素材を獲得しましょう</v>
      </c>
      <c r="M138" s="21" t="s">
        <v>23</v>
      </c>
      <c r="N138">
        <v>17</v>
      </c>
    </row>
    <row r="139" spans="1:14" x14ac:dyDescent="0.15">
      <c r="A139" s="26" t="s">
        <v>32</v>
      </c>
      <c r="B139" s="4">
        <v>11007</v>
      </c>
      <c r="C139" s="3" t="str">
        <f ca="1">VLOOKUP($B139,OFFSET([1]quests!$A$1,0,0,COUNTA([1]quests!$A:$A),MATCH(C$1,[1]quests!$1:$1,0)-MATCH($B$1,[1]quests!$1:$1,0)+1),MATCH(C$1,[1]quests!$1:$1,0)-MATCH($B$1,[1]quests!$1:$1,0)+1,FALSE)</f>
        <v>【土曜限定】 赤と緑の素材</v>
      </c>
      <c r="D139" s="3" t="str">
        <f ca="1">VLOOKUP($B139,OFFSET([1]quests!$A$1,0,0,COUNTA([1]quests!$A:$A),MATCH(D$1,[1]quests!$1:$1,0)-MATCH($B$1,[1]quests!$1:$1,0)+1),MATCH(D$1,[1]quests!$1:$1,0)-MATCH($B$1,[1]quests!$1:$1,0)+1,FALSE)</f>
        <v>土曜クエスト</v>
      </c>
      <c r="E139" s="5">
        <v>2</v>
      </c>
      <c r="F139" s="3" t="str">
        <f ca="1">VLOOKUP($B139&amp;"_"&amp;$E139,OFFSET([1]stages!$A$1,0,0,COUNTA([1]stages!$A:$A),MATCH(F$1,[1]stages!$2:$2,0)-MATCH("temp_stage",[1]stages!$2:$2,0)+1),MATCH(F$1,[1]stages!$2:$2,0)-MATCH("temp_stage",[1]stages!$2:$2,0)+1,FALSE)</f>
        <v xml:space="preserve">【中級】火と樹のウサギ </v>
      </c>
      <c r="G139" s="3" t="str">
        <f ca="1">VLOOKUP($B139&amp;"_"&amp;$E139,OFFSET([1]stages!$A$1,0,0,COUNTA([1]stages!$A:$A),MATCH(G$1,[1]stages!$2:$2,0)-MATCH("temp_stage",[1]stages!$2:$2,0)+1),MATCH(G$1,[1]stages!$2:$2,0)-MATCH("temp_stage",[1]stages!$2:$2,0)+1,FALSE)</f>
        <v>土曜クエスト</v>
      </c>
      <c r="H139" s="18">
        <v>0</v>
      </c>
      <c r="I139">
        <v>18</v>
      </c>
      <c r="J139" s="5" t="s">
        <v>16</v>
      </c>
      <c r="K139" s="35" t="str">
        <f>VLOOKUP(I139,[2]stage_hints!$A:$C,3,FALSE)</f>
        <v>マルチプレイのメリット（その2）</v>
      </c>
      <c r="L139" s="36" t="str">
        <f>VLOOKUP(I139,[2]stage_hints!$A:$D,4,FALSE)</f>
        <v>マルチプレイならリンクが2倍もらえます_x000D_リンクガチャをたくさん回しましょう</v>
      </c>
      <c r="M139" s="21" t="s">
        <v>23</v>
      </c>
      <c r="N139">
        <v>18</v>
      </c>
    </row>
    <row r="140" spans="1:14" x14ac:dyDescent="0.15">
      <c r="A140" s="26" t="s">
        <v>32</v>
      </c>
      <c r="B140" s="4">
        <v>11007</v>
      </c>
      <c r="C140" s="3" t="str">
        <f ca="1">VLOOKUP($B140,OFFSET([1]quests!$A$1,0,0,COUNTA([1]quests!$A:$A),MATCH(C$1,[1]quests!$1:$1,0)-MATCH($B$1,[1]quests!$1:$1,0)+1),MATCH(C$1,[1]quests!$1:$1,0)-MATCH($B$1,[1]quests!$1:$1,0)+1,FALSE)</f>
        <v>【土曜限定】 赤と緑の素材</v>
      </c>
      <c r="D140" s="3" t="str">
        <f ca="1">VLOOKUP($B140,OFFSET([1]quests!$A$1,0,0,COUNTA([1]quests!$A:$A),MATCH(D$1,[1]quests!$1:$1,0)-MATCH($B$1,[1]quests!$1:$1,0)+1),MATCH(D$1,[1]quests!$1:$1,0)-MATCH($B$1,[1]quests!$1:$1,0)+1,FALSE)</f>
        <v>土曜クエスト</v>
      </c>
      <c r="E140" s="5">
        <v>2</v>
      </c>
      <c r="F140" s="3" t="str">
        <f ca="1">VLOOKUP($B140&amp;"_"&amp;$E140,OFFSET([1]stages!$A$1,0,0,COUNTA([1]stages!$A:$A),MATCH(F$1,[1]stages!$2:$2,0)-MATCH("temp_stage",[1]stages!$2:$2,0)+1),MATCH(F$1,[1]stages!$2:$2,0)-MATCH("temp_stage",[1]stages!$2:$2,0)+1,FALSE)</f>
        <v xml:space="preserve">【中級】火と樹のウサギ </v>
      </c>
      <c r="G140" s="3" t="str">
        <f ca="1">VLOOKUP($B140&amp;"_"&amp;$E140,OFFSET([1]stages!$A$1,0,0,COUNTA([1]stages!$A:$A),MATCH(G$1,[1]stages!$2:$2,0)-MATCH("temp_stage",[1]stages!$2:$2,0)+1),MATCH(G$1,[1]stages!$2:$2,0)-MATCH("temp_stage",[1]stages!$2:$2,0)+1,FALSE)</f>
        <v>土曜クエスト</v>
      </c>
      <c r="H140" s="18">
        <v>0</v>
      </c>
      <c r="I140">
        <v>19</v>
      </c>
      <c r="J140" s="5" t="s">
        <v>16</v>
      </c>
      <c r="K140" s="35" t="str">
        <f>VLOOKUP(I140,[2]stage_hints!$A:$C,3,FALSE)</f>
        <v>ソロ専用チャレンジタワー</v>
      </c>
      <c r="L140" s="36" t="str">
        <f>VLOOKUP(I140,[2]stage_hints!$A:$D,4,FALSE)</f>
        <v>ソロ専用の「チャレンジタワー」では_x000D_各フロアごとにクリア報酬がもらえます</v>
      </c>
      <c r="M140" s="21" t="s">
        <v>23</v>
      </c>
      <c r="N140">
        <v>19</v>
      </c>
    </row>
    <row r="141" spans="1:14" x14ac:dyDescent="0.15">
      <c r="A141" s="26" t="s">
        <v>32</v>
      </c>
      <c r="B141" s="4">
        <v>11007</v>
      </c>
      <c r="C141" s="3" t="str">
        <f ca="1">VLOOKUP($B141,OFFSET([1]quests!$A$1,0,0,COUNTA([1]quests!$A:$A),MATCH(C$1,[1]quests!$1:$1,0)-MATCH($B$1,[1]quests!$1:$1,0)+1),MATCH(C$1,[1]quests!$1:$1,0)-MATCH($B$1,[1]quests!$1:$1,0)+1,FALSE)</f>
        <v>【土曜限定】 赤と緑の素材</v>
      </c>
      <c r="D141" s="3" t="str">
        <f ca="1">VLOOKUP($B141,OFFSET([1]quests!$A$1,0,0,COUNTA([1]quests!$A:$A),MATCH(D$1,[1]quests!$1:$1,0)-MATCH($B$1,[1]quests!$1:$1,0)+1),MATCH(D$1,[1]quests!$1:$1,0)-MATCH($B$1,[1]quests!$1:$1,0)+1,FALSE)</f>
        <v>土曜クエスト</v>
      </c>
      <c r="E141" s="5">
        <v>2</v>
      </c>
      <c r="F141" s="3" t="str">
        <f ca="1">VLOOKUP($B141&amp;"_"&amp;$E141,OFFSET([1]stages!$A$1,0,0,COUNTA([1]stages!$A:$A),MATCH(F$1,[1]stages!$2:$2,0)-MATCH("temp_stage",[1]stages!$2:$2,0)+1),MATCH(F$1,[1]stages!$2:$2,0)-MATCH("temp_stage",[1]stages!$2:$2,0)+1,FALSE)</f>
        <v xml:space="preserve">【中級】火と樹のウサギ </v>
      </c>
      <c r="G141" s="3" t="str">
        <f ca="1">VLOOKUP($B141&amp;"_"&amp;$E141,OFFSET([1]stages!$A$1,0,0,COUNTA([1]stages!$A:$A),MATCH(G$1,[1]stages!$2:$2,0)-MATCH("temp_stage",[1]stages!$2:$2,0)+1),MATCH(G$1,[1]stages!$2:$2,0)-MATCH("temp_stage",[1]stages!$2:$2,0)+1,FALSE)</f>
        <v>土曜クエスト</v>
      </c>
      <c r="H141" s="18">
        <v>0</v>
      </c>
      <c r="I141">
        <v>20</v>
      </c>
      <c r="J141" s="5" t="s">
        <v>16</v>
      </c>
      <c r="K141" s="35" t="str">
        <f>VLOOKUP(I141,[2]stage_hints!$A:$C,3,FALSE)</f>
        <v>マルチプレイのメリット（その3）</v>
      </c>
      <c r="L141" s="36" t="str">
        <f>VLOOKUP(I141,[2]stage_hints!$A:$D,4,FALSE)</f>
        <v>マルチプレイへの参加はエナジー消費ゼロ_x000D_いつでも好きなだけ遊ぶことができます</v>
      </c>
      <c r="M141" s="21" t="s">
        <v>23</v>
      </c>
      <c r="N141">
        <v>20</v>
      </c>
    </row>
    <row r="142" spans="1:14" x14ac:dyDescent="0.15">
      <c r="A142" s="26" t="s">
        <v>32</v>
      </c>
      <c r="B142" s="4">
        <v>11007</v>
      </c>
      <c r="C142" s="3" t="str">
        <f ca="1">VLOOKUP($B142,OFFSET([1]quests!$A$1,0,0,COUNTA([1]quests!$A:$A),MATCH(C$1,[1]quests!$1:$1,0)-MATCH($B$1,[1]quests!$1:$1,0)+1),MATCH(C$1,[1]quests!$1:$1,0)-MATCH($B$1,[1]quests!$1:$1,0)+1,FALSE)</f>
        <v>【土曜限定】 赤と緑の素材</v>
      </c>
      <c r="D142" s="3" t="str">
        <f ca="1">VLOOKUP($B142,OFFSET([1]quests!$A$1,0,0,COUNTA([1]quests!$A:$A),MATCH(D$1,[1]quests!$1:$1,0)-MATCH($B$1,[1]quests!$1:$1,0)+1),MATCH(D$1,[1]quests!$1:$1,0)-MATCH($B$1,[1]quests!$1:$1,0)+1,FALSE)</f>
        <v>土曜クエスト</v>
      </c>
      <c r="E142" s="5">
        <v>2</v>
      </c>
      <c r="F142" s="3" t="str">
        <f ca="1">VLOOKUP($B142&amp;"_"&amp;$E142,OFFSET([1]stages!$A$1,0,0,COUNTA([1]stages!$A:$A),MATCH(F$1,[1]stages!$2:$2,0)-MATCH("temp_stage",[1]stages!$2:$2,0)+1),MATCH(F$1,[1]stages!$2:$2,0)-MATCH("temp_stage",[1]stages!$2:$2,0)+1,FALSE)</f>
        <v xml:space="preserve">【中級】火と樹のウサギ </v>
      </c>
      <c r="G142" s="3" t="str">
        <f ca="1">VLOOKUP($B142&amp;"_"&amp;$E142,OFFSET([1]stages!$A$1,0,0,COUNTA([1]stages!$A:$A),MATCH(G$1,[1]stages!$2:$2,0)-MATCH("temp_stage",[1]stages!$2:$2,0)+1),MATCH(G$1,[1]stages!$2:$2,0)-MATCH("temp_stage",[1]stages!$2:$2,0)+1,FALSE)</f>
        <v>土曜クエスト</v>
      </c>
      <c r="H142" s="18">
        <v>0</v>
      </c>
      <c r="I142">
        <v>21</v>
      </c>
      <c r="J142" s="5" t="s">
        <v>16</v>
      </c>
      <c r="K142" s="35" t="str">
        <f>VLOOKUP(I142,[2]stage_hints!$A:$C,3,FALSE)</f>
        <v>スキルを有効に</v>
      </c>
      <c r="L142" s="36" t="str">
        <f>VLOOKUP(I142,[2]stage_hints!$A:$D,4,FALSE)</f>
        <v>ターン経過でユニットのスキルが使えます_x000D_強力スキルでバトルを有利に進めましょう</v>
      </c>
      <c r="M142" s="21" t="s">
        <v>23</v>
      </c>
      <c r="N142">
        <v>21</v>
      </c>
    </row>
    <row r="143" spans="1:14" x14ac:dyDescent="0.15">
      <c r="A143" s="26" t="s">
        <v>32</v>
      </c>
      <c r="B143" s="4">
        <v>11007</v>
      </c>
      <c r="C143" s="3" t="str">
        <f ca="1">VLOOKUP($B143,OFFSET([1]quests!$A$1,0,0,COUNTA([1]quests!$A:$A),MATCH(C$1,[1]quests!$1:$1,0)-MATCH($B$1,[1]quests!$1:$1,0)+1),MATCH(C$1,[1]quests!$1:$1,0)-MATCH($B$1,[1]quests!$1:$1,0)+1,FALSE)</f>
        <v>【土曜限定】 赤と緑の素材</v>
      </c>
      <c r="D143" s="3" t="str">
        <f ca="1">VLOOKUP($B143,OFFSET([1]quests!$A$1,0,0,COUNTA([1]quests!$A:$A),MATCH(D$1,[1]quests!$1:$1,0)-MATCH($B$1,[1]quests!$1:$1,0)+1),MATCH(D$1,[1]quests!$1:$1,0)-MATCH($B$1,[1]quests!$1:$1,0)+1,FALSE)</f>
        <v>土曜クエスト</v>
      </c>
      <c r="E143" s="5">
        <v>2</v>
      </c>
      <c r="F143" s="3" t="str">
        <f ca="1">VLOOKUP($B143&amp;"_"&amp;$E143,OFFSET([1]stages!$A$1,0,0,COUNTA([1]stages!$A:$A),MATCH(F$1,[1]stages!$2:$2,0)-MATCH("temp_stage",[1]stages!$2:$2,0)+1),MATCH(F$1,[1]stages!$2:$2,0)-MATCH("temp_stage",[1]stages!$2:$2,0)+1,FALSE)</f>
        <v xml:space="preserve">【中級】火と樹のウサギ </v>
      </c>
      <c r="G143" s="3" t="str">
        <f ca="1">VLOOKUP($B143&amp;"_"&amp;$E143,OFFSET([1]stages!$A$1,0,0,COUNTA([1]stages!$A:$A),MATCH(G$1,[1]stages!$2:$2,0)-MATCH("temp_stage",[1]stages!$2:$2,0)+1),MATCH(G$1,[1]stages!$2:$2,0)-MATCH("temp_stage",[1]stages!$2:$2,0)+1,FALSE)</f>
        <v>土曜クエスト</v>
      </c>
      <c r="H143" s="18">
        <v>0</v>
      </c>
      <c r="I143">
        <v>22</v>
      </c>
      <c r="J143" s="5" t="s">
        <v>16</v>
      </c>
      <c r="K143" s="35" t="str">
        <f>VLOOKUP(I143,[2]stage_hints!$A:$C,3,FALSE)</f>
        <v>フィーバーで一発逆転（その1）</v>
      </c>
      <c r="L143" s="36" t="str">
        <f>VLOOKUP(I143,[2]stage_hints!$A:$D,4,FALSE)</f>
        <v>フィーバーは攻撃と回復を兼ね備えます_x000D_ピンチからの一発逆転を狙いましょう</v>
      </c>
      <c r="M143" s="21" t="s">
        <v>23</v>
      </c>
      <c r="N143">
        <v>22</v>
      </c>
    </row>
    <row r="144" spans="1:14" x14ac:dyDescent="0.15">
      <c r="A144" s="26" t="s">
        <v>32</v>
      </c>
      <c r="B144" s="4">
        <v>11007</v>
      </c>
      <c r="C144" s="3" t="str">
        <f ca="1">VLOOKUP($B144,OFFSET([1]quests!$A$1,0,0,COUNTA([1]quests!$A:$A),MATCH(C$1,[1]quests!$1:$1,0)-MATCH($B$1,[1]quests!$1:$1,0)+1),MATCH(C$1,[1]quests!$1:$1,0)-MATCH($B$1,[1]quests!$1:$1,0)+1,FALSE)</f>
        <v>【土曜限定】 赤と緑の素材</v>
      </c>
      <c r="D144" s="3" t="str">
        <f ca="1">VLOOKUP($B144,OFFSET([1]quests!$A$1,0,0,COUNTA([1]quests!$A:$A),MATCH(D$1,[1]quests!$1:$1,0)-MATCH($B$1,[1]quests!$1:$1,0)+1),MATCH(D$1,[1]quests!$1:$1,0)-MATCH($B$1,[1]quests!$1:$1,0)+1,FALSE)</f>
        <v>土曜クエスト</v>
      </c>
      <c r="E144" s="5">
        <v>2</v>
      </c>
      <c r="F144" s="3" t="str">
        <f ca="1">VLOOKUP($B144&amp;"_"&amp;$E144,OFFSET([1]stages!$A$1,0,0,COUNTA([1]stages!$A:$A),MATCH(F$1,[1]stages!$2:$2,0)-MATCH("temp_stage",[1]stages!$2:$2,0)+1),MATCH(F$1,[1]stages!$2:$2,0)-MATCH("temp_stage",[1]stages!$2:$2,0)+1,FALSE)</f>
        <v xml:space="preserve">【中級】火と樹のウサギ </v>
      </c>
      <c r="G144" s="3" t="str">
        <f ca="1">VLOOKUP($B144&amp;"_"&amp;$E144,OFFSET([1]stages!$A$1,0,0,COUNTA([1]stages!$A:$A),MATCH(G$1,[1]stages!$2:$2,0)-MATCH("temp_stage",[1]stages!$2:$2,0)+1),MATCH(G$1,[1]stages!$2:$2,0)-MATCH("temp_stage",[1]stages!$2:$2,0)+1,FALSE)</f>
        <v>土曜クエスト</v>
      </c>
      <c r="H144" s="18">
        <v>0</v>
      </c>
      <c r="I144">
        <v>23</v>
      </c>
      <c r="J144" s="5" t="s">
        <v>16</v>
      </c>
      <c r="K144" s="35" t="str">
        <f>VLOOKUP(I144,[2]stage_hints!$A:$C,3,FALSE)</f>
        <v>フィーバーで一発逆転（その2）</v>
      </c>
      <c r="L144" s="36" t="str">
        <f>VLOOKUP(I144,[2]stage_hints!$A:$D,4,FALSE)</f>
        <v>フィーバー中は虹色のボムパネルを狙って_x000D_画面上のパネルを一気に破壊しましょう</v>
      </c>
      <c r="M144" s="21" t="s">
        <v>23</v>
      </c>
      <c r="N144">
        <v>23</v>
      </c>
    </row>
    <row r="145" spans="1:14" x14ac:dyDescent="0.15">
      <c r="A145" s="26" t="s">
        <v>32</v>
      </c>
      <c r="B145" s="4">
        <v>11007</v>
      </c>
      <c r="C145" s="3" t="str">
        <f ca="1">VLOOKUP($B145,OFFSET([1]quests!$A$1,0,0,COUNTA([1]quests!$A:$A),MATCH(C$1,[1]quests!$1:$1,0)-MATCH($B$1,[1]quests!$1:$1,0)+1),MATCH(C$1,[1]quests!$1:$1,0)-MATCH($B$1,[1]quests!$1:$1,0)+1,FALSE)</f>
        <v>【土曜限定】 赤と緑の素材</v>
      </c>
      <c r="D145" s="3" t="str">
        <f ca="1">VLOOKUP($B145,OFFSET([1]quests!$A$1,0,0,COUNTA([1]quests!$A:$A),MATCH(D$1,[1]quests!$1:$1,0)-MATCH($B$1,[1]quests!$1:$1,0)+1),MATCH(D$1,[1]quests!$1:$1,0)-MATCH($B$1,[1]quests!$1:$1,0)+1,FALSE)</f>
        <v>土曜クエスト</v>
      </c>
      <c r="E145" s="5">
        <v>2</v>
      </c>
      <c r="F145" s="3" t="str">
        <f ca="1">VLOOKUP($B145&amp;"_"&amp;$E145,OFFSET([1]stages!$A$1,0,0,COUNTA([1]stages!$A:$A),MATCH(F$1,[1]stages!$2:$2,0)-MATCH("temp_stage",[1]stages!$2:$2,0)+1),MATCH(F$1,[1]stages!$2:$2,0)-MATCH("temp_stage",[1]stages!$2:$2,0)+1,FALSE)</f>
        <v xml:space="preserve">【中級】火と樹のウサギ </v>
      </c>
      <c r="G145" s="3" t="str">
        <f ca="1">VLOOKUP($B145&amp;"_"&amp;$E145,OFFSET([1]stages!$A$1,0,0,COUNTA([1]stages!$A:$A),MATCH(G$1,[1]stages!$2:$2,0)-MATCH("temp_stage",[1]stages!$2:$2,0)+1),MATCH(G$1,[1]stages!$2:$2,0)-MATCH("temp_stage",[1]stages!$2:$2,0)+1,FALSE)</f>
        <v>土曜クエスト</v>
      </c>
      <c r="H145" s="18">
        <v>0</v>
      </c>
      <c r="I145">
        <v>24</v>
      </c>
      <c r="J145" s="5" t="s">
        <v>16</v>
      </c>
      <c r="K145" s="35" t="str">
        <f>VLOOKUP(I145,[2]stage_hints!$A:$C,3,FALSE)</f>
        <v>りんごを使って限界突破</v>
      </c>
      <c r="L145" s="36" t="str">
        <f>VLOOKUP(I145,[2]stage_hints!$A:$D,4,FALSE)</f>
        <v>赤りんご(攻撃力) 青りんご(回復力)_x000D_緑りんご(体力)をユニット強化に使うと_x000D_ステータスが限界突破します（計99個迄）</v>
      </c>
      <c r="M145" s="21" t="s">
        <v>23</v>
      </c>
      <c r="N145">
        <v>24</v>
      </c>
    </row>
    <row r="146" spans="1:14" x14ac:dyDescent="0.15">
      <c r="A146" s="26" t="s">
        <v>32</v>
      </c>
      <c r="B146" s="4">
        <v>11007</v>
      </c>
      <c r="C146" s="3" t="str">
        <f ca="1">VLOOKUP($B146,OFFSET([1]quests!$A$1,0,0,COUNTA([1]quests!$A:$A),MATCH(C$1,[1]quests!$1:$1,0)-MATCH($B$1,[1]quests!$1:$1,0)+1),MATCH(C$1,[1]quests!$1:$1,0)-MATCH($B$1,[1]quests!$1:$1,0)+1,FALSE)</f>
        <v>【土曜限定】 赤と緑の素材</v>
      </c>
      <c r="D146" s="3" t="str">
        <f ca="1">VLOOKUP($B146,OFFSET([1]quests!$A$1,0,0,COUNTA([1]quests!$A:$A),MATCH(D$1,[1]quests!$1:$1,0)-MATCH($B$1,[1]quests!$1:$1,0)+1),MATCH(D$1,[1]quests!$1:$1,0)-MATCH($B$1,[1]quests!$1:$1,0)+1,FALSE)</f>
        <v>土曜クエスト</v>
      </c>
      <c r="E146" s="5">
        <v>2</v>
      </c>
      <c r="F146" s="3" t="str">
        <f ca="1">VLOOKUP($B146&amp;"_"&amp;$E146,OFFSET([1]stages!$A$1,0,0,COUNTA([1]stages!$A:$A),MATCH(F$1,[1]stages!$2:$2,0)-MATCH("temp_stage",[1]stages!$2:$2,0)+1),MATCH(F$1,[1]stages!$2:$2,0)-MATCH("temp_stage",[1]stages!$2:$2,0)+1,FALSE)</f>
        <v xml:space="preserve">【中級】火と樹のウサギ </v>
      </c>
      <c r="G146" s="3" t="str">
        <f ca="1">VLOOKUP($B146&amp;"_"&amp;$E146,OFFSET([1]stages!$A$1,0,0,COUNTA([1]stages!$A:$A),MATCH(G$1,[1]stages!$2:$2,0)-MATCH("temp_stage",[1]stages!$2:$2,0)+1),MATCH(G$1,[1]stages!$2:$2,0)-MATCH("temp_stage",[1]stages!$2:$2,0)+1,FALSE)</f>
        <v>土曜クエスト</v>
      </c>
      <c r="H146" s="18">
        <v>0</v>
      </c>
      <c r="I146">
        <v>25</v>
      </c>
      <c r="J146" s="5" t="s">
        <v>16</v>
      </c>
      <c r="K146" s="35" t="str">
        <f>VLOOKUP(I146,[2]stage_hints!$A:$C,3,FALSE)</f>
        <v>スキルレベルアップ</v>
      </c>
      <c r="L146" s="36" t="str">
        <f>VLOOKUP(I146,[2]stage_hints!$A:$D,4,FALSE)</f>
        <v>「クリスタルのりんご」を強化に使うと_x000D_スキルレベルを上げることができます</v>
      </c>
      <c r="M146" s="21" t="s">
        <v>23</v>
      </c>
      <c r="N146">
        <v>25</v>
      </c>
    </row>
    <row r="147" spans="1:14" x14ac:dyDescent="0.15">
      <c r="A147" s="26" t="s">
        <v>32</v>
      </c>
      <c r="B147" s="4">
        <v>11007</v>
      </c>
      <c r="C147" s="3" t="str">
        <f ca="1">VLOOKUP($B147,OFFSET([1]quests!$A$1,0,0,COUNTA([1]quests!$A:$A),MATCH(C$1,[1]quests!$1:$1,0)-MATCH($B$1,[1]quests!$1:$1,0)+1),MATCH(C$1,[1]quests!$1:$1,0)-MATCH($B$1,[1]quests!$1:$1,0)+1,FALSE)</f>
        <v>【土曜限定】 赤と緑の素材</v>
      </c>
      <c r="D147" s="3" t="str">
        <f ca="1">VLOOKUP($B147,OFFSET([1]quests!$A$1,0,0,COUNTA([1]quests!$A:$A),MATCH(D$1,[1]quests!$1:$1,0)-MATCH($B$1,[1]quests!$1:$1,0)+1),MATCH(D$1,[1]quests!$1:$1,0)-MATCH($B$1,[1]quests!$1:$1,0)+1,FALSE)</f>
        <v>土曜クエスト</v>
      </c>
      <c r="E147" s="5">
        <v>2</v>
      </c>
      <c r="F147" s="3" t="str">
        <f ca="1">VLOOKUP($B147&amp;"_"&amp;$E147,OFFSET([1]stages!$A$1,0,0,COUNTA([1]stages!$A:$A),MATCH(F$1,[1]stages!$2:$2,0)-MATCH("temp_stage",[1]stages!$2:$2,0)+1),MATCH(F$1,[1]stages!$2:$2,0)-MATCH("temp_stage",[1]stages!$2:$2,0)+1,FALSE)</f>
        <v xml:space="preserve">【中級】火と樹のウサギ </v>
      </c>
      <c r="G147" s="3" t="str">
        <f ca="1">VLOOKUP($B147&amp;"_"&amp;$E147,OFFSET([1]stages!$A$1,0,0,COUNTA([1]stages!$A:$A),MATCH(G$1,[1]stages!$2:$2,0)-MATCH("temp_stage",[1]stages!$2:$2,0)+1),MATCH(G$1,[1]stages!$2:$2,0)-MATCH("temp_stage",[1]stages!$2:$2,0)+1,FALSE)</f>
        <v>土曜クエスト</v>
      </c>
      <c r="H147" s="18">
        <v>0</v>
      </c>
      <c r="I147">
        <v>26</v>
      </c>
      <c r="J147" s="5" t="s">
        <v>16</v>
      </c>
      <c r="K147" s="35" t="str">
        <f>VLOOKUP(I147,[2]stage_hints!$A:$C,3,FALSE)</f>
        <v>スキルレベルの効果</v>
      </c>
      <c r="L147" s="36" t="str">
        <f>VLOOKUP(I147,[2]stage_hints!$A:$D,4,FALSE)</f>
        <v>スキルレベルが上がると_x000D_短いターンでスキルを使うことができます</v>
      </c>
      <c r="M147" s="21" t="s">
        <v>23</v>
      </c>
      <c r="N147">
        <v>26</v>
      </c>
    </row>
    <row r="148" spans="1:14" x14ac:dyDescent="0.15">
      <c r="A148" s="26" t="s">
        <v>32</v>
      </c>
      <c r="B148" s="4">
        <v>11007</v>
      </c>
      <c r="C148" s="3" t="str">
        <f ca="1">VLOOKUP($B148,OFFSET([1]quests!$A$1,0,0,COUNTA([1]quests!$A:$A),MATCH(C$1,[1]quests!$1:$1,0)-MATCH($B$1,[1]quests!$1:$1,0)+1),MATCH(C$1,[1]quests!$1:$1,0)-MATCH($B$1,[1]quests!$1:$1,0)+1,FALSE)</f>
        <v>【土曜限定】 赤と緑の素材</v>
      </c>
      <c r="D148" s="3" t="str">
        <f ca="1">VLOOKUP($B148,OFFSET([1]quests!$A$1,0,0,COUNTA([1]quests!$A:$A),MATCH(D$1,[1]quests!$1:$1,0)-MATCH($B$1,[1]quests!$1:$1,0)+1),MATCH(D$1,[1]quests!$1:$1,0)-MATCH($B$1,[1]quests!$1:$1,0)+1,FALSE)</f>
        <v>土曜クエスト</v>
      </c>
      <c r="E148" s="5">
        <v>2</v>
      </c>
      <c r="F148" s="3" t="str">
        <f ca="1">VLOOKUP($B148&amp;"_"&amp;$E148,OFFSET([1]stages!$A$1,0,0,COUNTA([1]stages!$A:$A),MATCH(F$1,[1]stages!$2:$2,0)-MATCH("temp_stage",[1]stages!$2:$2,0)+1),MATCH(F$1,[1]stages!$2:$2,0)-MATCH("temp_stage",[1]stages!$2:$2,0)+1,FALSE)</f>
        <v xml:space="preserve">【中級】火と樹のウサギ </v>
      </c>
      <c r="G148" s="3" t="str">
        <f ca="1">VLOOKUP($B148&amp;"_"&amp;$E148,OFFSET([1]stages!$A$1,0,0,COUNTA([1]stages!$A:$A),MATCH(G$1,[1]stages!$2:$2,0)-MATCH("temp_stage",[1]stages!$2:$2,0)+1),MATCH(G$1,[1]stages!$2:$2,0)-MATCH("temp_stage",[1]stages!$2:$2,0)+1,FALSE)</f>
        <v>土曜クエスト</v>
      </c>
      <c r="H148" s="18">
        <v>0</v>
      </c>
      <c r="I148">
        <v>27</v>
      </c>
      <c r="J148" s="5" t="s">
        <v>16</v>
      </c>
      <c r="K148" s="35" t="str">
        <f>VLOOKUP(I148,[2]stage_hints!$A:$C,3,FALSE)</f>
        <v>ホーム画面からデッキを編成</v>
      </c>
      <c r="L148" s="36" t="str">
        <f>VLOOKUP(I148,[2]stage_hints!$A:$D,4,FALSE)</f>
        <v>ホーム画面でユニットを長押しすると_x000D_すぐにパーティ編成に移動できます</v>
      </c>
      <c r="M148" s="21" t="s">
        <v>23</v>
      </c>
      <c r="N148">
        <v>27</v>
      </c>
    </row>
    <row r="149" spans="1:14" x14ac:dyDescent="0.15">
      <c r="A149" s="26" t="s">
        <v>32</v>
      </c>
      <c r="B149" s="4">
        <v>11007</v>
      </c>
      <c r="C149" s="3" t="str">
        <f ca="1">VLOOKUP($B149,OFFSET([1]quests!$A$1,0,0,COUNTA([1]quests!$A:$A),MATCH(C$1,[1]quests!$1:$1,0)-MATCH($B$1,[1]quests!$1:$1,0)+1),MATCH(C$1,[1]quests!$1:$1,0)-MATCH($B$1,[1]quests!$1:$1,0)+1,FALSE)</f>
        <v>【土曜限定】 赤と緑の素材</v>
      </c>
      <c r="D149" s="3" t="str">
        <f ca="1">VLOOKUP($B149,OFFSET([1]quests!$A$1,0,0,COUNTA([1]quests!$A:$A),MATCH(D$1,[1]quests!$1:$1,0)-MATCH($B$1,[1]quests!$1:$1,0)+1),MATCH(D$1,[1]quests!$1:$1,0)-MATCH($B$1,[1]quests!$1:$1,0)+1,FALSE)</f>
        <v>土曜クエスト</v>
      </c>
      <c r="E149" s="5">
        <v>2</v>
      </c>
      <c r="F149" s="3" t="str">
        <f ca="1">VLOOKUP($B149&amp;"_"&amp;$E149,OFFSET([1]stages!$A$1,0,0,COUNTA([1]stages!$A:$A),MATCH(F$1,[1]stages!$2:$2,0)-MATCH("temp_stage",[1]stages!$2:$2,0)+1),MATCH(F$1,[1]stages!$2:$2,0)-MATCH("temp_stage",[1]stages!$2:$2,0)+1,FALSE)</f>
        <v xml:space="preserve">【中級】火と樹のウサギ </v>
      </c>
      <c r="G149" s="3" t="str">
        <f ca="1">VLOOKUP($B149&amp;"_"&amp;$E149,OFFSET([1]stages!$A$1,0,0,COUNTA([1]stages!$A:$A),MATCH(G$1,[1]stages!$2:$2,0)-MATCH("temp_stage",[1]stages!$2:$2,0)+1),MATCH(G$1,[1]stages!$2:$2,0)-MATCH("temp_stage",[1]stages!$2:$2,0)+1,FALSE)</f>
        <v>土曜クエスト</v>
      </c>
      <c r="H149" s="18">
        <v>0</v>
      </c>
      <c r="I149">
        <v>28</v>
      </c>
      <c r="J149" s="5" t="s">
        <v>16</v>
      </c>
      <c r="K149" s="35" t="str">
        <f>VLOOKUP(I149,[2]stage_hints!$A:$C,3,FALSE)</f>
        <v>ステータス情報は長押しで</v>
      </c>
      <c r="L149" s="36" t="str">
        <f>VLOOKUP(I149,[2]stage_hints!$A:$D,4,FALSE)</f>
        <v>ユニットのアイコンを長押しすると_x000D_ステータス情報を確認することができます</v>
      </c>
      <c r="M149" s="21" t="s">
        <v>23</v>
      </c>
      <c r="N149">
        <v>28</v>
      </c>
    </row>
    <row r="150" spans="1:14" x14ac:dyDescent="0.15">
      <c r="A150" s="26" t="s">
        <v>32</v>
      </c>
      <c r="B150" s="4">
        <v>11007</v>
      </c>
      <c r="C150" s="3" t="str">
        <f ca="1">VLOOKUP($B150,OFFSET([1]quests!$A$1,0,0,COUNTA([1]quests!$A:$A),MATCH(C$1,[1]quests!$1:$1,0)-MATCH($B$1,[1]quests!$1:$1,0)+1),MATCH(C$1,[1]quests!$1:$1,0)-MATCH($B$1,[1]quests!$1:$1,0)+1,FALSE)</f>
        <v>【土曜限定】 赤と緑の素材</v>
      </c>
      <c r="D150" s="3" t="str">
        <f ca="1">VLOOKUP($B150,OFFSET([1]quests!$A$1,0,0,COUNTA([1]quests!$A:$A),MATCH(D$1,[1]quests!$1:$1,0)-MATCH($B$1,[1]quests!$1:$1,0)+1),MATCH(D$1,[1]quests!$1:$1,0)-MATCH($B$1,[1]quests!$1:$1,0)+1,FALSE)</f>
        <v>土曜クエスト</v>
      </c>
      <c r="E150" s="5">
        <v>2</v>
      </c>
      <c r="F150" s="3" t="str">
        <f ca="1">VLOOKUP($B150&amp;"_"&amp;$E150,OFFSET([1]stages!$A$1,0,0,COUNTA([1]stages!$A:$A),MATCH(F$1,[1]stages!$2:$2,0)-MATCH("temp_stage",[1]stages!$2:$2,0)+1),MATCH(F$1,[1]stages!$2:$2,0)-MATCH("temp_stage",[1]stages!$2:$2,0)+1,FALSE)</f>
        <v xml:space="preserve">【中級】火と樹のウサギ </v>
      </c>
      <c r="G150" s="3" t="str">
        <f ca="1">VLOOKUP($B150&amp;"_"&amp;$E150,OFFSET([1]stages!$A$1,0,0,COUNTA([1]stages!$A:$A),MATCH(G$1,[1]stages!$2:$2,0)-MATCH("temp_stage",[1]stages!$2:$2,0)+1),MATCH(G$1,[1]stages!$2:$2,0)-MATCH("temp_stage",[1]stages!$2:$2,0)+1,FALSE)</f>
        <v>土曜クエスト</v>
      </c>
      <c r="H150" s="18">
        <v>0</v>
      </c>
      <c r="I150">
        <v>29</v>
      </c>
      <c r="J150" s="5" t="s">
        <v>16</v>
      </c>
      <c r="K150" s="35" t="str">
        <f>VLOOKUP(I150,[2]stage_hints!$A:$C,3,FALSE)</f>
        <v>「バグ」のメリット</v>
      </c>
      <c r="L150" s="36" t="str">
        <f>VLOOKUP(I150,[2]stage_hints!$A:$D,4,FALSE)</f>
        <v>ユニットの「バグ」を増やすと_x000D_報酬をもらえる確率がアップします</v>
      </c>
      <c r="M150" s="21" t="s">
        <v>23</v>
      </c>
      <c r="N150">
        <v>29</v>
      </c>
    </row>
    <row r="151" spans="1:14" x14ac:dyDescent="0.15">
      <c r="A151" s="26" t="s">
        <v>32</v>
      </c>
      <c r="B151" s="4">
        <v>11007</v>
      </c>
      <c r="C151" s="3" t="str">
        <f ca="1">VLOOKUP($B151,OFFSET([1]quests!$A$1,0,0,COUNTA([1]quests!$A:$A),MATCH(C$1,[1]quests!$1:$1,0)-MATCH($B$1,[1]quests!$1:$1,0)+1),MATCH(C$1,[1]quests!$1:$1,0)-MATCH($B$1,[1]quests!$1:$1,0)+1,FALSE)</f>
        <v>【土曜限定】 赤と緑の素材</v>
      </c>
      <c r="D151" s="3" t="str">
        <f ca="1">VLOOKUP($B151,OFFSET([1]quests!$A$1,0,0,COUNTA([1]quests!$A:$A),MATCH(D$1,[1]quests!$1:$1,0)-MATCH($B$1,[1]quests!$1:$1,0)+1),MATCH(D$1,[1]quests!$1:$1,0)-MATCH($B$1,[1]quests!$1:$1,0)+1,FALSE)</f>
        <v>土曜クエスト</v>
      </c>
      <c r="E151" s="5">
        <v>2</v>
      </c>
      <c r="F151" s="3" t="str">
        <f ca="1">VLOOKUP($B151&amp;"_"&amp;$E151,OFFSET([1]stages!$A$1,0,0,COUNTA([1]stages!$A:$A),MATCH(F$1,[1]stages!$2:$2,0)-MATCH("temp_stage",[1]stages!$2:$2,0)+1),MATCH(F$1,[1]stages!$2:$2,0)-MATCH("temp_stage",[1]stages!$2:$2,0)+1,FALSE)</f>
        <v xml:space="preserve">【中級】火と樹のウサギ </v>
      </c>
      <c r="G151" s="3" t="str">
        <f ca="1">VLOOKUP($B151&amp;"_"&amp;$E151,OFFSET([1]stages!$A$1,0,0,COUNTA([1]stages!$A:$A),MATCH(G$1,[1]stages!$2:$2,0)-MATCH("temp_stage",[1]stages!$2:$2,0)+1),MATCH(G$1,[1]stages!$2:$2,0)-MATCH("temp_stage",[1]stages!$2:$2,0)+1,FALSE)</f>
        <v>土曜クエスト</v>
      </c>
      <c r="H151" s="18">
        <v>0</v>
      </c>
      <c r="I151">
        <v>30</v>
      </c>
      <c r="J151" s="5" t="s">
        <v>16</v>
      </c>
      <c r="K151" s="35" t="str">
        <f>VLOOKUP(I151,[2]stage_hints!$A:$C,3,FALSE)</f>
        <v>「バグ」の増やし方</v>
      </c>
      <c r="L151" s="36" t="str">
        <f>VLOOKUP(I151,[2]stage_hints!$A:$D,4,FALSE)</f>
        <v>同じユニット同士を強化で合成すると_x000D_「バグ」を増やすことができます</v>
      </c>
      <c r="M151" s="21" t="s">
        <v>23</v>
      </c>
      <c r="N151">
        <v>30</v>
      </c>
    </row>
    <row r="152" spans="1:14" x14ac:dyDescent="0.15">
      <c r="A152" s="26" t="s">
        <v>32</v>
      </c>
      <c r="B152" s="4">
        <v>11007</v>
      </c>
      <c r="C152" s="3" t="str">
        <f ca="1">VLOOKUP($B152,OFFSET([1]quests!$A$1,0,0,COUNTA([1]quests!$A:$A),MATCH(C$1,[1]quests!$1:$1,0)-MATCH($B$1,[1]quests!$1:$1,0)+1),MATCH(C$1,[1]quests!$1:$1,0)-MATCH($B$1,[1]quests!$1:$1,0)+1,FALSE)</f>
        <v>【土曜限定】 赤と緑の素材</v>
      </c>
      <c r="D152" s="3" t="str">
        <f ca="1">VLOOKUP($B152,OFFSET([1]quests!$A$1,0,0,COUNTA([1]quests!$A:$A),MATCH(D$1,[1]quests!$1:$1,0)-MATCH($B$1,[1]quests!$1:$1,0)+1),MATCH(D$1,[1]quests!$1:$1,0)-MATCH($B$1,[1]quests!$1:$1,0)+1,FALSE)</f>
        <v>土曜クエスト</v>
      </c>
      <c r="E152" s="5">
        <v>2</v>
      </c>
      <c r="F152" s="3" t="str">
        <f ca="1">VLOOKUP($B152&amp;"_"&amp;$E152,OFFSET([1]stages!$A$1,0,0,COUNTA([1]stages!$A:$A),MATCH(F$1,[1]stages!$2:$2,0)-MATCH("temp_stage",[1]stages!$2:$2,0)+1),MATCH(F$1,[1]stages!$2:$2,0)-MATCH("temp_stage",[1]stages!$2:$2,0)+1,FALSE)</f>
        <v xml:space="preserve">【中級】火と樹のウサギ </v>
      </c>
      <c r="G152" s="3" t="str">
        <f ca="1">VLOOKUP($B152&amp;"_"&amp;$E152,OFFSET([1]stages!$A$1,0,0,COUNTA([1]stages!$A:$A),MATCH(G$1,[1]stages!$2:$2,0)-MATCH("temp_stage",[1]stages!$2:$2,0)+1),MATCH(G$1,[1]stages!$2:$2,0)-MATCH("temp_stage",[1]stages!$2:$2,0)+1,FALSE)</f>
        <v>土曜クエスト</v>
      </c>
      <c r="H152" s="18">
        <v>0</v>
      </c>
      <c r="I152">
        <v>31</v>
      </c>
      <c r="J152" s="5" t="s">
        <v>16</v>
      </c>
      <c r="K152" s="35" t="str">
        <f>VLOOKUP(I152,[2]stage_hints!$A:$C,3,FALSE)</f>
        <v>イベントはお知らせでチェック</v>
      </c>
      <c r="L152" s="36" t="str">
        <f>VLOOKUP(I152,[2]stage_hints!$A:$D,4,FALSE)</f>
        <v>イベント限定ユニットを取り忘れないように_x000D_お知らせをこまめにチェックしましょう</v>
      </c>
      <c r="M152" s="21" t="s">
        <v>23</v>
      </c>
      <c r="N152">
        <v>31</v>
      </c>
    </row>
    <row r="153" spans="1:14" x14ac:dyDescent="0.15">
      <c r="A153" s="26" t="s">
        <v>32</v>
      </c>
      <c r="B153" s="4">
        <v>11007</v>
      </c>
      <c r="C153" s="3" t="str">
        <f ca="1">VLOOKUP($B153,OFFSET([1]quests!$A$1,0,0,COUNTA([1]quests!$A:$A),MATCH(C$1,[1]quests!$1:$1,0)-MATCH($B$1,[1]quests!$1:$1,0)+1),MATCH(C$1,[1]quests!$1:$1,0)-MATCH($B$1,[1]quests!$1:$1,0)+1,FALSE)</f>
        <v>【土曜限定】 赤と緑の素材</v>
      </c>
      <c r="D153" s="3" t="str">
        <f ca="1">VLOOKUP($B153,OFFSET([1]quests!$A$1,0,0,COUNTA([1]quests!$A:$A),MATCH(D$1,[1]quests!$1:$1,0)-MATCH($B$1,[1]quests!$1:$1,0)+1),MATCH(D$1,[1]quests!$1:$1,0)-MATCH($B$1,[1]quests!$1:$1,0)+1,FALSE)</f>
        <v>土曜クエスト</v>
      </c>
      <c r="E153" s="5">
        <v>2</v>
      </c>
      <c r="F153" s="3" t="str">
        <f ca="1">VLOOKUP($B153&amp;"_"&amp;$E153,OFFSET([1]stages!$A$1,0,0,COUNTA([1]stages!$A:$A),MATCH(F$1,[1]stages!$2:$2,0)-MATCH("temp_stage",[1]stages!$2:$2,0)+1),MATCH(F$1,[1]stages!$2:$2,0)-MATCH("temp_stage",[1]stages!$2:$2,0)+1,FALSE)</f>
        <v xml:space="preserve">【中級】火と樹のウサギ </v>
      </c>
      <c r="G153" s="3" t="str">
        <f ca="1">VLOOKUP($B153&amp;"_"&amp;$E153,OFFSET([1]stages!$A$1,0,0,COUNTA([1]stages!$A:$A),MATCH(G$1,[1]stages!$2:$2,0)-MATCH("temp_stage",[1]stages!$2:$2,0)+1),MATCH(G$1,[1]stages!$2:$2,0)-MATCH("temp_stage",[1]stages!$2:$2,0)+1,FALSE)</f>
        <v>土曜クエスト</v>
      </c>
      <c r="H153" s="18">
        <v>0</v>
      </c>
      <c r="I153">
        <v>32</v>
      </c>
      <c r="J153" s="5" t="s">
        <v>16</v>
      </c>
      <c r="K153" s="35" t="str">
        <f>VLOOKUP(I153,[2]stage_hints!$A:$C,3,FALSE)</f>
        <v>敵の連続攻撃には</v>
      </c>
      <c r="L153" s="36" t="str">
        <f>VLOOKUP(I153,[2]stage_hints!$A:$D,4,FALSE)</f>
        <v>カウンタースキルを持つユニットがいれば_x000D_ダメージ回数分の反撃ができます</v>
      </c>
      <c r="M153" s="21" t="s">
        <v>23</v>
      </c>
      <c r="N153">
        <v>32</v>
      </c>
    </row>
    <row r="154" spans="1:14" x14ac:dyDescent="0.15">
      <c r="A154" s="26" t="s">
        <v>32</v>
      </c>
      <c r="B154" s="4">
        <v>11007</v>
      </c>
      <c r="C154" s="3" t="str">
        <f ca="1">VLOOKUP($B154,OFFSET([1]quests!$A$1,0,0,COUNTA([1]quests!$A:$A),MATCH(C$1,[1]quests!$1:$1,0)-MATCH($B$1,[1]quests!$1:$1,0)+1),MATCH(C$1,[1]quests!$1:$1,0)-MATCH($B$1,[1]quests!$1:$1,0)+1,FALSE)</f>
        <v>【土曜限定】 赤と緑の素材</v>
      </c>
      <c r="D154" s="3" t="str">
        <f ca="1">VLOOKUP($B154,OFFSET([1]quests!$A$1,0,0,COUNTA([1]quests!$A:$A),MATCH(D$1,[1]quests!$1:$1,0)-MATCH($B$1,[1]quests!$1:$1,0)+1),MATCH(D$1,[1]quests!$1:$1,0)-MATCH($B$1,[1]quests!$1:$1,0)+1,FALSE)</f>
        <v>土曜クエスト</v>
      </c>
      <c r="E154" s="5">
        <v>2</v>
      </c>
      <c r="F154" s="3" t="str">
        <f ca="1">VLOOKUP($B154&amp;"_"&amp;$E154,OFFSET([1]stages!$A$1,0,0,COUNTA([1]stages!$A:$A),MATCH(F$1,[1]stages!$2:$2,0)-MATCH("temp_stage",[1]stages!$2:$2,0)+1),MATCH(F$1,[1]stages!$2:$2,0)-MATCH("temp_stage",[1]stages!$2:$2,0)+1,FALSE)</f>
        <v xml:space="preserve">【中級】火と樹のウサギ </v>
      </c>
      <c r="G154" s="3" t="str">
        <f ca="1">VLOOKUP($B154&amp;"_"&amp;$E154,OFFSET([1]stages!$A$1,0,0,COUNTA([1]stages!$A:$A),MATCH(G$1,[1]stages!$2:$2,0)-MATCH("temp_stage",[1]stages!$2:$2,0)+1),MATCH(G$1,[1]stages!$2:$2,0)-MATCH("temp_stage",[1]stages!$2:$2,0)+1,FALSE)</f>
        <v>土曜クエスト</v>
      </c>
      <c r="H154" s="18">
        <v>0</v>
      </c>
      <c r="I154">
        <v>33</v>
      </c>
      <c r="J154" s="5" t="s">
        <v>16</v>
      </c>
      <c r="K154" s="35" t="str">
        <f>VLOOKUP(I154,[2]stage_hints!$A:$C,3,FALSE)</f>
        <v>敵のカウンター攻撃には</v>
      </c>
      <c r="L154" s="36" t="str">
        <f>VLOOKUP(I154,[2]stage_hints!$A:$D,4,FALSE)</f>
        <v>カウンターブレイクスキルを持っていれば_x000D_敵のカウンターを解除して攻撃ができます</v>
      </c>
      <c r="M154" s="21" t="s">
        <v>23</v>
      </c>
      <c r="N154">
        <v>33</v>
      </c>
    </row>
    <row r="155" spans="1:14" x14ac:dyDescent="0.15">
      <c r="A155" s="26" t="s">
        <v>32</v>
      </c>
      <c r="B155" s="4">
        <v>11007</v>
      </c>
      <c r="C155" s="3" t="str">
        <f ca="1">VLOOKUP($B155,OFFSET([1]quests!$A$1,0,0,COUNTA([1]quests!$A:$A),MATCH(C$1,[1]quests!$1:$1,0)-MATCH($B$1,[1]quests!$1:$1,0)+1),MATCH(C$1,[1]quests!$1:$1,0)-MATCH($B$1,[1]quests!$1:$1,0)+1,FALSE)</f>
        <v>【土曜限定】 赤と緑の素材</v>
      </c>
      <c r="D155" s="3" t="str">
        <f ca="1">VLOOKUP($B155,OFFSET([1]quests!$A$1,0,0,COUNTA([1]quests!$A:$A),MATCH(D$1,[1]quests!$1:$1,0)-MATCH($B$1,[1]quests!$1:$1,0)+1),MATCH(D$1,[1]quests!$1:$1,0)-MATCH($B$1,[1]quests!$1:$1,0)+1,FALSE)</f>
        <v>土曜クエスト</v>
      </c>
      <c r="E155" s="5">
        <v>2</v>
      </c>
      <c r="F155" s="3" t="str">
        <f ca="1">VLOOKUP($B155&amp;"_"&amp;$E155,OFFSET([1]stages!$A$1,0,0,COUNTA([1]stages!$A:$A),MATCH(F$1,[1]stages!$2:$2,0)-MATCH("temp_stage",[1]stages!$2:$2,0)+1),MATCH(F$1,[1]stages!$2:$2,0)-MATCH("temp_stage",[1]stages!$2:$2,0)+1,FALSE)</f>
        <v xml:space="preserve">【中級】火と樹のウサギ </v>
      </c>
      <c r="G155" s="3" t="str">
        <f ca="1">VLOOKUP($B155&amp;"_"&amp;$E155,OFFSET([1]stages!$A$1,0,0,COUNTA([1]stages!$A:$A),MATCH(G$1,[1]stages!$2:$2,0)-MATCH("temp_stage",[1]stages!$2:$2,0)+1),MATCH(G$1,[1]stages!$2:$2,0)-MATCH("temp_stage",[1]stages!$2:$2,0)+1,FALSE)</f>
        <v>土曜クエスト</v>
      </c>
      <c r="H155" s="18">
        <v>0</v>
      </c>
      <c r="I155">
        <v>34</v>
      </c>
      <c r="J155" s="5" t="s">
        <v>16</v>
      </c>
      <c r="K155" s="35" t="str">
        <f>VLOOKUP(I155,[2]stage_hints!$A:$C,3,FALSE)</f>
        <v>ステータスをスキルで下げられたら</v>
      </c>
      <c r="L155" s="36" t="str">
        <f>VLOOKUP(I155,[2]stage_hints!$A:$D,4,FALSE)</f>
        <v>ステータスダウンのスキルを受けたら_x000D_ステータスアップスキルで上書きしましょう</v>
      </c>
      <c r="M155" s="21" t="s">
        <v>23</v>
      </c>
      <c r="N155">
        <v>34</v>
      </c>
    </row>
    <row r="156" spans="1:14" x14ac:dyDescent="0.15">
      <c r="A156" s="26" t="s">
        <v>32</v>
      </c>
      <c r="B156" s="4">
        <v>11007</v>
      </c>
      <c r="C156" s="3" t="str">
        <f ca="1">VLOOKUP($B156,OFFSET([1]quests!$A$1,0,0,COUNTA([1]quests!$A:$A),MATCH(C$1,[1]quests!$1:$1,0)-MATCH($B$1,[1]quests!$1:$1,0)+1),MATCH(C$1,[1]quests!$1:$1,0)-MATCH($B$1,[1]quests!$1:$1,0)+1,FALSE)</f>
        <v>【土曜限定】 赤と緑の素材</v>
      </c>
      <c r="D156" s="3" t="str">
        <f ca="1">VLOOKUP($B156,OFFSET([1]quests!$A$1,0,0,COUNTA([1]quests!$A:$A),MATCH(D$1,[1]quests!$1:$1,0)-MATCH($B$1,[1]quests!$1:$1,0)+1),MATCH(D$1,[1]quests!$1:$1,0)-MATCH($B$1,[1]quests!$1:$1,0)+1,FALSE)</f>
        <v>土曜クエスト</v>
      </c>
      <c r="E156" s="5">
        <v>2</v>
      </c>
      <c r="F156" s="3" t="str">
        <f ca="1">VLOOKUP($B156&amp;"_"&amp;$E156,OFFSET([1]stages!$A$1,0,0,COUNTA([1]stages!$A:$A),MATCH(F$1,[1]stages!$2:$2,0)-MATCH("temp_stage",[1]stages!$2:$2,0)+1),MATCH(F$1,[1]stages!$2:$2,0)-MATCH("temp_stage",[1]stages!$2:$2,0)+1,FALSE)</f>
        <v xml:space="preserve">【中級】火と樹のウサギ </v>
      </c>
      <c r="G156" s="3" t="str">
        <f ca="1">VLOOKUP($B156&amp;"_"&amp;$E156,OFFSET([1]stages!$A$1,0,0,COUNTA([1]stages!$A:$A),MATCH(G$1,[1]stages!$2:$2,0)-MATCH("temp_stage",[1]stages!$2:$2,0)+1),MATCH(G$1,[1]stages!$2:$2,0)-MATCH("temp_stage",[1]stages!$2:$2,0)+1,FALSE)</f>
        <v>土曜クエスト</v>
      </c>
      <c r="H156" s="18">
        <v>0</v>
      </c>
      <c r="I156">
        <v>35</v>
      </c>
      <c r="J156" s="5" t="s">
        <v>16</v>
      </c>
      <c r="K156" s="35" t="str">
        <f>VLOOKUP(I156,[2]stage_hints!$A:$C,3,FALSE)</f>
        <v>敵のステータスがスキルで上がったら</v>
      </c>
      <c r="L156" s="36" t="str">
        <f>VLOOKUP(I156,[2]stage_hints!$A:$D,4,FALSE)</f>
        <v>敵のステータスがスキルでアップしたときは_x000D_ステータスダウンスキルで上書きしましょう</v>
      </c>
      <c r="M156" s="21" t="s">
        <v>23</v>
      </c>
      <c r="N156">
        <v>35</v>
      </c>
    </row>
    <row r="157" spans="1:14" x14ac:dyDescent="0.15">
      <c r="A157" s="26" t="s">
        <v>32</v>
      </c>
      <c r="B157" s="4">
        <v>11008</v>
      </c>
      <c r="C157" s="3" t="str">
        <f ca="1">VLOOKUP($B157,OFFSET([1]quests!$A$1,0,0,COUNTA([1]quests!$A:$A),MATCH(C$1,[1]quests!$1:$1,0)-MATCH($B$1,[1]quests!$1:$1,0)+1),MATCH(C$1,[1]quests!$1:$1,0)-MATCH($B$1,[1]quests!$1:$1,0)+1,FALSE)</f>
        <v>【日曜限定】 青と黄の素材</v>
      </c>
      <c r="D157" s="3" t="str">
        <f ca="1">VLOOKUP($B157,OFFSET([1]quests!$A$1,0,0,COUNTA([1]quests!$A:$A),MATCH(D$1,[1]quests!$1:$1,0)-MATCH($B$1,[1]quests!$1:$1,0)+1),MATCH(D$1,[1]quests!$1:$1,0)-MATCH($B$1,[1]quests!$1:$1,0)+1,FALSE)</f>
        <v>日曜クエスト</v>
      </c>
      <c r="E157" s="5">
        <v>2</v>
      </c>
      <c r="F157" s="3" t="str">
        <f ca="1">VLOOKUP($B157&amp;"_"&amp;$E157,OFFSET([1]stages!$A$1,0,0,COUNTA([1]stages!$A:$A),MATCH(F$1,[1]stages!$2:$2,0)-MATCH("temp_stage",[1]stages!$2:$2,0)+1),MATCH(F$1,[1]stages!$2:$2,0)-MATCH("temp_stage",[1]stages!$2:$2,0)+1,FALSE)</f>
        <v xml:space="preserve">【中級】水と雷のウサギ </v>
      </c>
      <c r="G157" s="3" t="str">
        <f ca="1">VLOOKUP($B157&amp;"_"&amp;$E157,OFFSET([1]stages!$A$1,0,0,COUNTA([1]stages!$A:$A),MATCH(G$1,[1]stages!$2:$2,0)-MATCH("temp_stage",[1]stages!$2:$2,0)+1),MATCH(G$1,[1]stages!$2:$2,0)-MATCH("temp_stage",[1]stages!$2:$2,0)+1,FALSE)</f>
        <v>日曜クエスト</v>
      </c>
      <c r="H157" s="18">
        <v>0</v>
      </c>
      <c r="I157">
        <v>3</v>
      </c>
      <c r="J157" s="5" t="s">
        <v>16</v>
      </c>
      <c r="K157" s="35" t="str">
        <f>VLOOKUP(I157,[2]stage_hints!$A:$C,3,FALSE)</f>
        <v>ターゲット</v>
      </c>
      <c r="L157" s="36" t="str">
        <f>VLOOKUP(I157,[2]stage_hints!$A:$D,4,FALSE)</f>
        <v>敵ユニットをタップすると_x000D_その敵を狙い撃ちできます</v>
      </c>
      <c r="M157" s="21" t="s">
        <v>23</v>
      </c>
      <c r="N157">
        <v>3</v>
      </c>
    </row>
    <row r="158" spans="1:14" x14ac:dyDescent="0.15">
      <c r="A158" s="26" t="s">
        <v>32</v>
      </c>
      <c r="B158" s="4">
        <v>11008</v>
      </c>
      <c r="C158" s="3" t="str">
        <f ca="1">VLOOKUP($B158,OFFSET([1]quests!$A$1,0,0,COUNTA([1]quests!$A:$A),MATCH(C$1,[1]quests!$1:$1,0)-MATCH($B$1,[1]quests!$1:$1,0)+1),MATCH(C$1,[1]quests!$1:$1,0)-MATCH($B$1,[1]quests!$1:$1,0)+1,FALSE)</f>
        <v>【日曜限定】 青と黄の素材</v>
      </c>
      <c r="D158" s="3" t="str">
        <f ca="1">VLOOKUP($B158,OFFSET([1]quests!$A$1,0,0,COUNTA([1]quests!$A:$A),MATCH(D$1,[1]quests!$1:$1,0)-MATCH($B$1,[1]quests!$1:$1,0)+1),MATCH(D$1,[1]quests!$1:$1,0)-MATCH($B$1,[1]quests!$1:$1,0)+1,FALSE)</f>
        <v>日曜クエスト</v>
      </c>
      <c r="E158" s="5">
        <v>2</v>
      </c>
      <c r="F158" s="3" t="str">
        <f ca="1">VLOOKUP($B158&amp;"_"&amp;$E158,OFFSET([1]stages!$A$1,0,0,COUNTA([1]stages!$A:$A),MATCH(F$1,[1]stages!$2:$2,0)-MATCH("temp_stage",[1]stages!$2:$2,0)+1),MATCH(F$1,[1]stages!$2:$2,0)-MATCH("temp_stage",[1]stages!$2:$2,0)+1,FALSE)</f>
        <v xml:space="preserve">【中級】水と雷のウサギ </v>
      </c>
      <c r="G158" s="3" t="str">
        <f ca="1">VLOOKUP($B158&amp;"_"&amp;$E158,OFFSET([1]stages!$A$1,0,0,COUNTA([1]stages!$A:$A),MATCH(G$1,[1]stages!$2:$2,0)-MATCH("temp_stage",[1]stages!$2:$2,0)+1),MATCH(G$1,[1]stages!$2:$2,0)-MATCH("temp_stage",[1]stages!$2:$2,0)+1,FALSE)</f>
        <v>日曜クエスト</v>
      </c>
      <c r="H158" s="18">
        <v>0</v>
      </c>
      <c r="I158">
        <v>6</v>
      </c>
      <c r="J158" s="5" t="s">
        <v>16</v>
      </c>
      <c r="K158" s="35" t="str">
        <f>VLOOKUP(I158,[2]stage_hints!$A:$C,3,FALSE)</f>
        <v>ユニット強化の属性ボーナス</v>
      </c>
      <c r="L158" s="36" t="str">
        <f>VLOOKUP(I158,[2]stage_hints!$A:$D,4,FALSE)</f>
        <v>同属性ユニットを強化素材にすると_x000D_経験値が多くもらえます</v>
      </c>
      <c r="M158" s="21" t="s">
        <v>23</v>
      </c>
      <c r="N158">
        <v>6</v>
      </c>
    </row>
    <row r="159" spans="1:14" x14ac:dyDescent="0.15">
      <c r="A159" s="26" t="s">
        <v>32</v>
      </c>
      <c r="B159" s="4">
        <v>11008</v>
      </c>
      <c r="C159" s="3" t="str">
        <f ca="1">VLOOKUP($B159,OFFSET([1]quests!$A$1,0,0,COUNTA([1]quests!$A:$A),MATCH(C$1,[1]quests!$1:$1,0)-MATCH($B$1,[1]quests!$1:$1,0)+1),MATCH(C$1,[1]quests!$1:$1,0)-MATCH($B$1,[1]quests!$1:$1,0)+1,FALSE)</f>
        <v>【日曜限定】 青と黄の素材</v>
      </c>
      <c r="D159" s="3" t="str">
        <f ca="1">VLOOKUP($B159,OFFSET([1]quests!$A$1,0,0,COUNTA([1]quests!$A:$A),MATCH(D$1,[1]quests!$1:$1,0)-MATCH($B$1,[1]quests!$1:$1,0)+1),MATCH(D$1,[1]quests!$1:$1,0)-MATCH($B$1,[1]quests!$1:$1,0)+1,FALSE)</f>
        <v>日曜クエスト</v>
      </c>
      <c r="E159" s="5">
        <v>2</v>
      </c>
      <c r="F159" s="3" t="str">
        <f ca="1">VLOOKUP($B159&amp;"_"&amp;$E159,OFFSET([1]stages!$A$1,0,0,COUNTA([1]stages!$A:$A),MATCH(F$1,[1]stages!$2:$2,0)-MATCH("temp_stage",[1]stages!$2:$2,0)+1),MATCH(F$1,[1]stages!$2:$2,0)-MATCH("temp_stage",[1]stages!$2:$2,0)+1,FALSE)</f>
        <v xml:space="preserve">【中級】水と雷のウサギ </v>
      </c>
      <c r="G159" s="3" t="str">
        <f ca="1">VLOOKUP($B159&amp;"_"&amp;$E159,OFFSET([1]stages!$A$1,0,0,COUNTA([1]stages!$A:$A),MATCH(G$1,[1]stages!$2:$2,0)-MATCH("temp_stage",[1]stages!$2:$2,0)+1),MATCH(G$1,[1]stages!$2:$2,0)-MATCH("temp_stage",[1]stages!$2:$2,0)+1,FALSE)</f>
        <v>日曜クエスト</v>
      </c>
      <c r="H159" s="18">
        <v>0</v>
      </c>
      <c r="I159">
        <v>7</v>
      </c>
      <c r="J159" s="5" t="s">
        <v>16</v>
      </c>
      <c r="K159" s="35" t="str">
        <f>VLOOKUP(I159,[2]stage_hints!$A:$C,3,FALSE)</f>
        <v>メタルダックで経験値を獲得</v>
      </c>
      <c r="L159" s="36" t="str">
        <f>VLOOKUP(I159,[2]stage_hints!$A:$D,4,FALSE)</f>
        <v>「メタルなアヒル」を強化素材にすると_x000D_大量の経験値がもらえます</v>
      </c>
      <c r="M159" s="21" t="s">
        <v>23</v>
      </c>
      <c r="N159">
        <v>7</v>
      </c>
    </row>
    <row r="160" spans="1:14" x14ac:dyDescent="0.15">
      <c r="A160" s="26" t="s">
        <v>32</v>
      </c>
      <c r="B160" s="4">
        <v>11008</v>
      </c>
      <c r="C160" s="3" t="str">
        <f ca="1">VLOOKUP($B160,OFFSET([1]quests!$A$1,0,0,COUNTA([1]quests!$A:$A),MATCH(C$1,[1]quests!$1:$1,0)-MATCH($B$1,[1]quests!$1:$1,0)+1),MATCH(C$1,[1]quests!$1:$1,0)-MATCH($B$1,[1]quests!$1:$1,0)+1,FALSE)</f>
        <v>【日曜限定】 青と黄の素材</v>
      </c>
      <c r="D160" s="3" t="str">
        <f ca="1">VLOOKUP($B160,OFFSET([1]quests!$A$1,0,0,COUNTA([1]quests!$A:$A),MATCH(D$1,[1]quests!$1:$1,0)-MATCH($B$1,[1]quests!$1:$1,0)+1),MATCH(D$1,[1]quests!$1:$1,0)-MATCH($B$1,[1]quests!$1:$1,0)+1,FALSE)</f>
        <v>日曜クエスト</v>
      </c>
      <c r="E160" s="5">
        <v>2</v>
      </c>
      <c r="F160" s="3" t="str">
        <f ca="1">VLOOKUP($B160&amp;"_"&amp;$E160,OFFSET([1]stages!$A$1,0,0,COUNTA([1]stages!$A:$A),MATCH(F$1,[1]stages!$2:$2,0)-MATCH("temp_stage",[1]stages!$2:$2,0)+1),MATCH(F$1,[1]stages!$2:$2,0)-MATCH("temp_stage",[1]stages!$2:$2,0)+1,FALSE)</f>
        <v xml:space="preserve">【中級】水と雷のウサギ </v>
      </c>
      <c r="G160" s="3" t="str">
        <f ca="1">VLOOKUP($B160&amp;"_"&amp;$E160,OFFSET([1]stages!$A$1,0,0,COUNTA([1]stages!$A:$A),MATCH(G$1,[1]stages!$2:$2,0)-MATCH("temp_stage",[1]stages!$2:$2,0)+1),MATCH(G$1,[1]stages!$2:$2,0)-MATCH("temp_stage",[1]stages!$2:$2,0)+1,FALSE)</f>
        <v>日曜クエスト</v>
      </c>
      <c r="H160" s="18">
        <v>0</v>
      </c>
      <c r="I160">
        <v>8</v>
      </c>
      <c r="J160" s="5" t="s">
        <v>16</v>
      </c>
      <c r="K160" s="35" t="str">
        <f>VLOOKUP(I160,[2]stage_hints!$A:$C,3,FALSE)</f>
        <v>ゲリラクエストは要チェック</v>
      </c>
      <c r="L160" s="36" t="str">
        <f>VLOOKUP(I160,[2]stage_hints!$A:$D,4,FALSE)</f>
        <v>時間限定の「アヒル捕獲作戦」では_x000D_経験値素材ユニットが多く手に入ります</v>
      </c>
      <c r="M160" s="21" t="s">
        <v>23</v>
      </c>
      <c r="N160">
        <v>8</v>
      </c>
    </row>
    <row r="161" spans="1:14" x14ac:dyDescent="0.15">
      <c r="A161" s="26" t="s">
        <v>32</v>
      </c>
      <c r="B161" s="4">
        <v>11008</v>
      </c>
      <c r="C161" s="3" t="str">
        <f ca="1">VLOOKUP($B161,OFFSET([1]quests!$A$1,0,0,COUNTA([1]quests!$A:$A),MATCH(C$1,[1]quests!$1:$1,0)-MATCH($B$1,[1]quests!$1:$1,0)+1),MATCH(C$1,[1]quests!$1:$1,0)-MATCH($B$1,[1]quests!$1:$1,0)+1,FALSE)</f>
        <v>【日曜限定】 青と黄の素材</v>
      </c>
      <c r="D161" s="3" t="str">
        <f ca="1">VLOOKUP($B161,OFFSET([1]quests!$A$1,0,0,COUNTA([1]quests!$A:$A),MATCH(D$1,[1]quests!$1:$1,0)-MATCH($B$1,[1]quests!$1:$1,0)+1),MATCH(D$1,[1]quests!$1:$1,0)-MATCH($B$1,[1]quests!$1:$1,0)+1,FALSE)</f>
        <v>日曜クエスト</v>
      </c>
      <c r="E161" s="5">
        <v>2</v>
      </c>
      <c r="F161" s="3" t="str">
        <f ca="1">VLOOKUP($B161&amp;"_"&amp;$E161,OFFSET([1]stages!$A$1,0,0,COUNTA([1]stages!$A:$A),MATCH(F$1,[1]stages!$2:$2,0)-MATCH("temp_stage",[1]stages!$2:$2,0)+1),MATCH(F$1,[1]stages!$2:$2,0)-MATCH("temp_stage",[1]stages!$2:$2,0)+1,FALSE)</f>
        <v xml:space="preserve">【中級】水と雷のウサギ </v>
      </c>
      <c r="G161" s="3" t="str">
        <f ca="1">VLOOKUP($B161&amp;"_"&amp;$E161,OFFSET([1]stages!$A$1,0,0,COUNTA([1]stages!$A:$A),MATCH(G$1,[1]stages!$2:$2,0)-MATCH("temp_stage",[1]stages!$2:$2,0)+1),MATCH(G$1,[1]stages!$2:$2,0)-MATCH("temp_stage",[1]stages!$2:$2,0)+1,FALSE)</f>
        <v>日曜クエスト</v>
      </c>
      <c r="H161" s="18">
        <v>0</v>
      </c>
      <c r="I161">
        <v>9</v>
      </c>
      <c r="J161" s="5" t="s">
        <v>16</v>
      </c>
      <c r="K161" s="35" t="str">
        <f>VLOOKUP(I161,[2]stage_hints!$A:$C,3,FALSE)</f>
        <v>ゴールドダックでビットを獲得</v>
      </c>
      <c r="L161" s="36" t="str">
        <f>VLOOKUP(I161,[2]stage_hints!$A:$D,4,FALSE)</f>
        <v>「ゴールドなアヒル」を売却すると_x000D_大量のビットがもらえます</v>
      </c>
      <c r="M161" s="21" t="s">
        <v>23</v>
      </c>
      <c r="N161">
        <v>9</v>
      </c>
    </row>
    <row r="162" spans="1:14" x14ac:dyDescent="0.15">
      <c r="A162" s="26" t="s">
        <v>32</v>
      </c>
      <c r="B162" s="4">
        <v>11008</v>
      </c>
      <c r="C162" s="3" t="str">
        <f ca="1">VLOOKUP($B162,OFFSET([1]quests!$A$1,0,0,COUNTA([1]quests!$A:$A),MATCH(C$1,[1]quests!$1:$1,0)-MATCH($B$1,[1]quests!$1:$1,0)+1),MATCH(C$1,[1]quests!$1:$1,0)-MATCH($B$1,[1]quests!$1:$1,0)+1,FALSE)</f>
        <v>【日曜限定】 青と黄の素材</v>
      </c>
      <c r="D162" s="3" t="str">
        <f ca="1">VLOOKUP($B162,OFFSET([1]quests!$A$1,0,0,COUNTA([1]quests!$A:$A),MATCH(D$1,[1]quests!$1:$1,0)-MATCH($B$1,[1]quests!$1:$1,0)+1),MATCH(D$1,[1]quests!$1:$1,0)-MATCH($B$1,[1]quests!$1:$1,0)+1,FALSE)</f>
        <v>日曜クエスト</v>
      </c>
      <c r="E162" s="5">
        <v>2</v>
      </c>
      <c r="F162" s="3" t="str">
        <f ca="1">VLOOKUP($B162&amp;"_"&amp;$E162,OFFSET([1]stages!$A$1,0,0,COUNTA([1]stages!$A:$A),MATCH(F$1,[1]stages!$2:$2,0)-MATCH("temp_stage",[1]stages!$2:$2,0)+1),MATCH(F$1,[1]stages!$2:$2,0)-MATCH("temp_stage",[1]stages!$2:$2,0)+1,FALSE)</f>
        <v xml:space="preserve">【中級】水と雷のウサギ </v>
      </c>
      <c r="G162" s="3" t="str">
        <f ca="1">VLOOKUP($B162&amp;"_"&amp;$E162,OFFSET([1]stages!$A$1,0,0,COUNTA([1]stages!$A:$A),MATCH(G$1,[1]stages!$2:$2,0)-MATCH("temp_stage",[1]stages!$2:$2,0)+1),MATCH(G$1,[1]stages!$2:$2,0)-MATCH("temp_stage",[1]stages!$2:$2,0)+1,FALSE)</f>
        <v>日曜クエスト</v>
      </c>
      <c r="H162" s="18">
        <v>0</v>
      </c>
      <c r="I162">
        <v>10</v>
      </c>
      <c r="J162" s="5" t="s">
        <v>16</v>
      </c>
      <c r="K162" s="35" t="str">
        <f>VLOOKUP(I162,[2]stage_hints!$A:$C,3,FALSE)</f>
        <v>土日に大量のビットを獲得</v>
      </c>
      <c r="L162" s="36" t="str">
        <f>VLOOKUP(I162,[2]stage_hints!$A:$D,4,FALSE)</f>
        <v>土日限定の「ゴールドカジノ」では_x000D_売却素材ユニットが多く手に入ります</v>
      </c>
      <c r="M162" s="21" t="s">
        <v>23</v>
      </c>
      <c r="N162">
        <v>10</v>
      </c>
    </row>
    <row r="163" spans="1:14" x14ac:dyDescent="0.15">
      <c r="A163" s="26" t="s">
        <v>32</v>
      </c>
      <c r="B163" s="4">
        <v>11008</v>
      </c>
      <c r="C163" s="3" t="str">
        <f ca="1">VLOOKUP($B163,OFFSET([1]quests!$A$1,0,0,COUNTA([1]quests!$A:$A),MATCH(C$1,[1]quests!$1:$1,0)-MATCH($B$1,[1]quests!$1:$1,0)+1),MATCH(C$1,[1]quests!$1:$1,0)-MATCH($B$1,[1]quests!$1:$1,0)+1,FALSE)</f>
        <v>【日曜限定】 青と黄の素材</v>
      </c>
      <c r="D163" s="3" t="str">
        <f ca="1">VLOOKUP($B163,OFFSET([1]quests!$A$1,0,0,COUNTA([1]quests!$A:$A),MATCH(D$1,[1]quests!$1:$1,0)-MATCH($B$1,[1]quests!$1:$1,0)+1),MATCH(D$1,[1]quests!$1:$1,0)-MATCH($B$1,[1]quests!$1:$1,0)+1,FALSE)</f>
        <v>日曜クエスト</v>
      </c>
      <c r="E163" s="5">
        <v>2</v>
      </c>
      <c r="F163" s="3" t="str">
        <f ca="1">VLOOKUP($B163&amp;"_"&amp;$E163,OFFSET([1]stages!$A$1,0,0,COUNTA([1]stages!$A:$A),MATCH(F$1,[1]stages!$2:$2,0)-MATCH("temp_stage",[1]stages!$2:$2,0)+1),MATCH(F$1,[1]stages!$2:$2,0)-MATCH("temp_stage",[1]stages!$2:$2,0)+1,FALSE)</f>
        <v xml:space="preserve">【中級】水と雷のウサギ </v>
      </c>
      <c r="G163" s="3" t="str">
        <f ca="1">VLOOKUP($B163&amp;"_"&amp;$E163,OFFSET([1]stages!$A$1,0,0,COUNTA([1]stages!$A:$A),MATCH(G$1,[1]stages!$2:$2,0)-MATCH("temp_stage",[1]stages!$2:$2,0)+1),MATCH(G$1,[1]stages!$2:$2,0)-MATCH("temp_stage",[1]stages!$2:$2,0)+1,FALSE)</f>
        <v>日曜クエスト</v>
      </c>
      <c r="H163" s="18">
        <v>0</v>
      </c>
      <c r="I163">
        <v>11</v>
      </c>
      <c r="J163" s="5" t="s">
        <v>16</v>
      </c>
      <c r="K163" s="35" t="str">
        <f>VLOOKUP(I163,[2]stage_hints!$A:$C,3,FALSE)</f>
        <v>ランク解放クエスト</v>
      </c>
      <c r="L163" s="36" t="str">
        <f>VLOOKUP(I163,[2]stage_hints!$A:$D,4,FALSE)</f>
        <v>一定ランクに到達すると_x000D_報酬付きのランク開放クエストが現れます</v>
      </c>
      <c r="M163" s="21" t="s">
        <v>23</v>
      </c>
      <c r="N163">
        <v>11</v>
      </c>
    </row>
    <row r="164" spans="1:14" x14ac:dyDescent="0.15">
      <c r="A164" s="26" t="s">
        <v>32</v>
      </c>
      <c r="B164" s="4">
        <v>11008</v>
      </c>
      <c r="C164" s="3" t="str">
        <f ca="1">VLOOKUP($B164,OFFSET([1]quests!$A$1,0,0,COUNTA([1]quests!$A:$A),MATCH(C$1,[1]quests!$1:$1,0)-MATCH($B$1,[1]quests!$1:$1,0)+1),MATCH(C$1,[1]quests!$1:$1,0)-MATCH($B$1,[1]quests!$1:$1,0)+1,FALSE)</f>
        <v>【日曜限定】 青と黄の素材</v>
      </c>
      <c r="D164" s="3" t="str">
        <f ca="1">VLOOKUP($B164,OFFSET([1]quests!$A$1,0,0,COUNTA([1]quests!$A:$A),MATCH(D$1,[1]quests!$1:$1,0)-MATCH($B$1,[1]quests!$1:$1,0)+1),MATCH(D$1,[1]quests!$1:$1,0)-MATCH($B$1,[1]quests!$1:$1,0)+1,FALSE)</f>
        <v>日曜クエスト</v>
      </c>
      <c r="E164" s="5">
        <v>2</v>
      </c>
      <c r="F164" s="3" t="str">
        <f ca="1">VLOOKUP($B164&amp;"_"&amp;$E164,OFFSET([1]stages!$A$1,0,0,COUNTA([1]stages!$A:$A),MATCH(F$1,[1]stages!$2:$2,0)-MATCH("temp_stage",[1]stages!$2:$2,0)+1),MATCH(F$1,[1]stages!$2:$2,0)-MATCH("temp_stage",[1]stages!$2:$2,0)+1,FALSE)</f>
        <v xml:space="preserve">【中級】水と雷のウサギ </v>
      </c>
      <c r="G164" s="3" t="str">
        <f ca="1">VLOOKUP($B164&amp;"_"&amp;$E164,OFFSET([1]stages!$A$1,0,0,COUNTA([1]stages!$A:$A),MATCH(G$1,[1]stages!$2:$2,0)-MATCH("temp_stage",[1]stages!$2:$2,0)+1),MATCH(G$1,[1]stages!$2:$2,0)-MATCH("temp_stage",[1]stages!$2:$2,0)+1,FALSE)</f>
        <v>日曜クエスト</v>
      </c>
      <c r="H164" s="18">
        <v>0</v>
      </c>
      <c r="I164">
        <v>12</v>
      </c>
      <c r="J164" s="5" t="s">
        <v>16</v>
      </c>
      <c r="K164" s="35" t="str">
        <f>VLOOKUP(I164,[2]stage_hints!$A:$C,3,FALSE)</f>
        <v>ユニットのお気に入り登録</v>
      </c>
      <c r="L164" s="36" t="str">
        <f>VLOOKUP(I164,[2]stage_hints!$A:$D,4,FALSE)</f>
        <v>大事なユニットを誤って消さないように_x000D_フォルダから「お気に入り登録」しましょう</v>
      </c>
      <c r="M164" s="21" t="s">
        <v>23</v>
      </c>
      <c r="N164">
        <v>12</v>
      </c>
    </row>
    <row r="165" spans="1:14" x14ac:dyDescent="0.15">
      <c r="A165" s="26" t="s">
        <v>32</v>
      </c>
      <c r="B165" s="4">
        <v>11008</v>
      </c>
      <c r="C165" s="3" t="str">
        <f ca="1">VLOOKUP($B165,OFFSET([1]quests!$A$1,0,0,COUNTA([1]quests!$A:$A),MATCH(C$1,[1]quests!$1:$1,0)-MATCH($B$1,[1]quests!$1:$1,0)+1),MATCH(C$1,[1]quests!$1:$1,0)-MATCH($B$1,[1]quests!$1:$1,0)+1,FALSE)</f>
        <v>【日曜限定】 青と黄の素材</v>
      </c>
      <c r="D165" s="3" t="str">
        <f ca="1">VLOOKUP($B165,OFFSET([1]quests!$A$1,0,0,COUNTA([1]quests!$A:$A),MATCH(D$1,[1]quests!$1:$1,0)-MATCH($B$1,[1]quests!$1:$1,0)+1),MATCH(D$1,[1]quests!$1:$1,0)-MATCH($B$1,[1]quests!$1:$1,0)+1,FALSE)</f>
        <v>日曜クエスト</v>
      </c>
      <c r="E165" s="5">
        <v>2</v>
      </c>
      <c r="F165" s="3" t="str">
        <f ca="1">VLOOKUP($B165&amp;"_"&amp;$E165,OFFSET([1]stages!$A$1,0,0,COUNTA([1]stages!$A:$A),MATCH(F$1,[1]stages!$2:$2,0)-MATCH("temp_stage",[1]stages!$2:$2,0)+1),MATCH(F$1,[1]stages!$2:$2,0)-MATCH("temp_stage",[1]stages!$2:$2,0)+1,FALSE)</f>
        <v xml:space="preserve">【中級】水と雷のウサギ </v>
      </c>
      <c r="G165" s="3" t="str">
        <f ca="1">VLOOKUP($B165&amp;"_"&amp;$E165,OFFSET([1]stages!$A$1,0,0,COUNTA([1]stages!$A:$A),MATCH(G$1,[1]stages!$2:$2,0)-MATCH("temp_stage",[1]stages!$2:$2,0)+1),MATCH(G$1,[1]stages!$2:$2,0)-MATCH("temp_stage",[1]stages!$2:$2,0)+1,FALSE)</f>
        <v>日曜クエスト</v>
      </c>
      <c r="H165" s="18">
        <v>0</v>
      </c>
      <c r="I165">
        <v>13</v>
      </c>
      <c r="J165" s="5" t="s">
        <v>16</v>
      </c>
      <c r="K165" s="35" t="str">
        <f>VLOOKUP(I165,[2]stage_hints!$A:$C,3,FALSE)</f>
        <v>ユニットの覚醒</v>
      </c>
      <c r="L165" s="36" t="str">
        <f>VLOOKUP(I165,[2]stage_hints!$A:$D,4,FALSE)</f>
        <v>ユニットを覚醒させると_x000D_比べものにならない強さが手に入ります</v>
      </c>
      <c r="M165" s="21" t="s">
        <v>23</v>
      </c>
      <c r="N165">
        <v>13</v>
      </c>
    </row>
    <row r="166" spans="1:14" x14ac:dyDescent="0.15">
      <c r="A166" s="26" t="s">
        <v>32</v>
      </c>
      <c r="B166" s="4">
        <v>11008</v>
      </c>
      <c r="C166" s="3" t="str">
        <f ca="1">VLOOKUP($B166,OFFSET([1]quests!$A$1,0,0,COUNTA([1]quests!$A:$A),MATCH(C$1,[1]quests!$1:$1,0)-MATCH($B$1,[1]quests!$1:$1,0)+1),MATCH(C$1,[1]quests!$1:$1,0)-MATCH($B$1,[1]quests!$1:$1,0)+1,FALSE)</f>
        <v>【日曜限定】 青と黄の素材</v>
      </c>
      <c r="D166" s="3" t="str">
        <f ca="1">VLOOKUP($B166,OFFSET([1]quests!$A$1,0,0,COUNTA([1]quests!$A:$A),MATCH(D$1,[1]quests!$1:$1,0)-MATCH($B$1,[1]quests!$1:$1,0)+1),MATCH(D$1,[1]quests!$1:$1,0)-MATCH($B$1,[1]quests!$1:$1,0)+1,FALSE)</f>
        <v>日曜クエスト</v>
      </c>
      <c r="E166" s="5">
        <v>2</v>
      </c>
      <c r="F166" s="3" t="str">
        <f ca="1">VLOOKUP($B166&amp;"_"&amp;$E166,OFFSET([1]stages!$A$1,0,0,COUNTA([1]stages!$A:$A),MATCH(F$1,[1]stages!$2:$2,0)-MATCH("temp_stage",[1]stages!$2:$2,0)+1),MATCH(F$1,[1]stages!$2:$2,0)-MATCH("temp_stage",[1]stages!$2:$2,0)+1,FALSE)</f>
        <v xml:space="preserve">【中級】水と雷のウサギ </v>
      </c>
      <c r="G166" s="3" t="str">
        <f ca="1">VLOOKUP($B166&amp;"_"&amp;$E166,OFFSET([1]stages!$A$1,0,0,COUNTA([1]stages!$A:$A),MATCH(G$1,[1]stages!$2:$2,0)-MATCH("temp_stage",[1]stages!$2:$2,0)+1),MATCH(G$1,[1]stages!$2:$2,0)-MATCH("temp_stage",[1]stages!$2:$2,0)+1,FALSE)</f>
        <v>日曜クエスト</v>
      </c>
      <c r="H166" s="18">
        <v>0</v>
      </c>
      <c r="I166">
        <v>14</v>
      </c>
      <c r="J166" s="5" t="s">
        <v>16</v>
      </c>
      <c r="K166" s="35" t="str">
        <f>VLOOKUP(I166,[2]stage_hints!$A:$C,3,FALSE)</f>
        <v>覚醒するにはレベルを最大に</v>
      </c>
      <c r="L166" s="36" t="str">
        <f>VLOOKUP(I166,[2]stage_hints!$A:$D,4,FALSE)</f>
        <v>覚醒するにはユニットのレベルを_x000D_最大まで上げる必要があります</v>
      </c>
      <c r="M166" s="21" t="s">
        <v>23</v>
      </c>
      <c r="N166">
        <v>14</v>
      </c>
    </row>
    <row r="167" spans="1:14" x14ac:dyDescent="0.15">
      <c r="A167" s="26" t="s">
        <v>32</v>
      </c>
      <c r="B167" s="4">
        <v>11008</v>
      </c>
      <c r="C167" s="3" t="str">
        <f ca="1">VLOOKUP($B167,OFFSET([1]quests!$A$1,0,0,COUNTA([1]quests!$A:$A),MATCH(C$1,[1]quests!$1:$1,0)-MATCH($B$1,[1]quests!$1:$1,0)+1),MATCH(C$1,[1]quests!$1:$1,0)-MATCH($B$1,[1]quests!$1:$1,0)+1,FALSE)</f>
        <v>【日曜限定】 青と黄の素材</v>
      </c>
      <c r="D167" s="3" t="str">
        <f ca="1">VLOOKUP($B167,OFFSET([1]quests!$A$1,0,0,COUNTA([1]quests!$A:$A),MATCH(D$1,[1]quests!$1:$1,0)-MATCH($B$1,[1]quests!$1:$1,0)+1),MATCH(D$1,[1]quests!$1:$1,0)-MATCH($B$1,[1]quests!$1:$1,0)+1,FALSE)</f>
        <v>日曜クエスト</v>
      </c>
      <c r="E167" s="5">
        <v>2</v>
      </c>
      <c r="F167" s="3" t="str">
        <f ca="1">VLOOKUP($B167&amp;"_"&amp;$E167,OFFSET([1]stages!$A$1,0,0,COUNTA([1]stages!$A:$A),MATCH(F$1,[1]stages!$2:$2,0)-MATCH("temp_stage",[1]stages!$2:$2,0)+1),MATCH(F$1,[1]stages!$2:$2,0)-MATCH("temp_stage",[1]stages!$2:$2,0)+1,FALSE)</f>
        <v xml:space="preserve">【中級】水と雷のウサギ </v>
      </c>
      <c r="G167" s="3" t="str">
        <f ca="1">VLOOKUP($B167&amp;"_"&amp;$E167,OFFSET([1]stages!$A$1,0,0,COUNTA([1]stages!$A:$A),MATCH(G$1,[1]stages!$2:$2,0)-MATCH("temp_stage",[1]stages!$2:$2,0)+1),MATCH(G$1,[1]stages!$2:$2,0)-MATCH("temp_stage",[1]stages!$2:$2,0)+1,FALSE)</f>
        <v>日曜クエスト</v>
      </c>
      <c r="H167" s="18">
        <v>0</v>
      </c>
      <c r="I167">
        <v>15</v>
      </c>
      <c r="J167" s="5" t="s">
        <v>16</v>
      </c>
      <c r="K167" s="35" t="str">
        <f>VLOOKUP(I167,[2]stage_hints!$A:$C,3,FALSE)</f>
        <v>覚醒素材を獲得</v>
      </c>
      <c r="L167" s="36" t="str">
        <f>VLOOKUP(I167,[2]stage_hints!$A:$D,4,FALSE)</f>
        <v>「曜日クエスト」では_x000D_ユニットの覚醒に必要な素材が手に入ります</v>
      </c>
      <c r="M167" s="21" t="s">
        <v>23</v>
      </c>
      <c r="N167">
        <v>15</v>
      </c>
    </row>
    <row r="168" spans="1:14" x14ac:dyDescent="0.15">
      <c r="A168" s="26" t="s">
        <v>32</v>
      </c>
      <c r="B168" s="4">
        <v>11008</v>
      </c>
      <c r="C168" s="3" t="str">
        <f ca="1">VLOOKUP($B168,OFFSET([1]quests!$A$1,0,0,COUNTA([1]quests!$A:$A),MATCH(C$1,[1]quests!$1:$1,0)-MATCH($B$1,[1]quests!$1:$1,0)+1),MATCH(C$1,[1]quests!$1:$1,0)-MATCH($B$1,[1]quests!$1:$1,0)+1,FALSE)</f>
        <v>【日曜限定】 青と黄の素材</v>
      </c>
      <c r="D168" s="3" t="str">
        <f ca="1">VLOOKUP($B168,OFFSET([1]quests!$A$1,0,0,COUNTA([1]quests!$A:$A),MATCH(D$1,[1]quests!$1:$1,0)-MATCH($B$1,[1]quests!$1:$1,0)+1),MATCH(D$1,[1]quests!$1:$1,0)-MATCH($B$1,[1]quests!$1:$1,0)+1,FALSE)</f>
        <v>日曜クエスト</v>
      </c>
      <c r="E168" s="5">
        <v>2</v>
      </c>
      <c r="F168" s="3" t="str">
        <f ca="1">VLOOKUP($B168&amp;"_"&amp;$E168,OFFSET([1]stages!$A$1,0,0,COUNTA([1]stages!$A:$A),MATCH(F$1,[1]stages!$2:$2,0)-MATCH("temp_stage",[1]stages!$2:$2,0)+1),MATCH(F$1,[1]stages!$2:$2,0)-MATCH("temp_stage",[1]stages!$2:$2,0)+1,FALSE)</f>
        <v xml:space="preserve">【中級】水と雷のウサギ </v>
      </c>
      <c r="G168" s="3" t="str">
        <f ca="1">VLOOKUP($B168&amp;"_"&amp;$E168,OFFSET([1]stages!$A$1,0,0,COUNTA([1]stages!$A:$A),MATCH(G$1,[1]stages!$2:$2,0)-MATCH("temp_stage",[1]stages!$2:$2,0)+1),MATCH(G$1,[1]stages!$2:$2,0)-MATCH("temp_stage",[1]stages!$2:$2,0)+1,FALSE)</f>
        <v>日曜クエスト</v>
      </c>
      <c r="H168" s="18">
        <v>0</v>
      </c>
      <c r="I168">
        <v>16</v>
      </c>
      <c r="J168" s="5" t="s">
        <v>16</v>
      </c>
      <c r="K168" s="35" t="str">
        <f>VLOOKUP(I168,[2]stage_hints!$A:$C,3,FALSE)</f>
        <v>マルチプレイのメリット（その1）</v>
      </c>
      <c r="L168" s="36" t="str">
        <f>VLOOKUP(I168,[2]stage_hints!$A:$D,4,FALSE)</f>
        <v>他のプレイヤーとマルチプレイで遊ぶと_x000D_ポリゴンがもらえます（100人まで）</v>
      </c>
      <c r="M168" s="21" t="s">
        <v>23</v>
      </c>
      <c r="N168">
        <v>16</v>
      </c>
    </row>
    <row r="169" spans="1:14" x14ac:dyDescent="0.15">
      <c r="A169" s="26" t="s">
        <v>32</v>
      </c>
      <c r="B169" s="4">
        <v>11008</v>
      </c>
      <c r="C169" s="3" t="str">
        <f ca="1">VLOOKUP($B169,OFFSET([1]quests!$A$1,0,0,COUNTA([1]quests!$A:$A),MATCH(C$1,[1]quests!$1:$1,0)-MATCH($B$1,[1]quests!$1:$1,0)+1),MATCH(C$1,[1]quests!$1:$1,0)-MATCH($B$1,[1]quests!$1:$1,0)+1,FALSE)</f>
        <v>【日曜限定】 青と黄の素材</v>
      </c>
      <c r="D169" s="3" t="str">
        <f ca="1">VLOOKUP($B169,OFFSET([1]quests!$A$1,0,0,COUNTA([1]quests!$A:$A),MATCH(D$1,[1]quests!$1:$1,0)-MATCH($B$1,[1]quests!$1:$1,0)+1),MATCH(D$1,[1]quests!$1:$1,0)-MATCH($B$1,[1]quests!$1:$1,0)+1,FALSE)</f>
        <v>日曜クエスト</v>
      </c>
      <c r="E169" s="5">
        <v>2</v>
      </c>
      <c r="F169" s="3" t="str">
        <f ca="1">VLOOKUP($B169&amp;"_"&amp;$E169,OFFSET([1]stages!$A$1,0,0,COUNTA([1]stages!$A:$A),MATCH(F$1,[1]stages!$2:$2,0)-MATCH("temp_stage",[1]stages!$2:$2,0)+1),MATCH(F$1,[1]stages!$2:$2,0)-MATCH("temp_stage",[1]stages!$2:$2,0)+1,FALSE)</f>
        <v xml:space="preserve">【中級】水と雷のウサギ </v>
      </c>
      <c r="G169" s="3" t="str">
        <f ca="1">VLOOKUP($B169&amp;"_"&amp;$E169,OFFSET([1]stages!$A$1,0,0,COUNTA([1]stages!$A:$A),MATCH(G$1,[1]stages!$2:$2,0)-MATCH("temp_stage",[1]stages!$2:$2,0)+1),MATCH(G$1,[1]stages!$2:$2,0)-MATCH("temp_stage",[1]stages!$2:$2,0)+1,FALSE)</f>
        <v>日曜クエスト</v>
      </c>
      <c r="H169" s="18">
        <v>0</v>
      </c>
      <c r="I169">
        <v>17</v>
      </c>
      <c r="J169" s="5" t="s">
        <v>16</v>
      </c>
      <c r="K169" s="35" t="str">
        <f>VLOOKUP(I169,[2]stage_hints!$A:$C,3,FALSE)</f>
        <v>リンクガチャ</v>
      </c>
      <c r="L169" s="36" t="str">
        <f>VLOOKUP(I169,[2]stage_hints!$A:$D,4,FALSE)</f>
        <v>無料のリンクガチャを回して_x000D_経験値素材や売却素材を獲得しましょう</v>
      </c>
      <c r="M169" s="21" t="s">
        <v>23</v>
      </c>
      <c r="N169">
        <v>17</v>
      </c>
    </row>
    <row r="170" spans="1:14" x14ac:dyDescent="0.15">
      <c r="A170" s="26" t="s">
        <v>32</v>
      </c>
      <c r="B170" s="4">
        <v>11008</v>
      </c>
      <c r="C170" s="3" t="str">
        <f ca="1">VLOOKUP($B170,OFFSET([1]quests!$A$1,0,0,COUNTA([1]quests!$A:$A),MATCH(C$1,[1]quests!$1:$1,0)-MATCH($B$1,[1]quests!$1:$1,0)+1),MATCH(C$1,[1]quests!$1:$1,0)-MATCH($B$1,[1]quests!$1:$1,0)+1,FALSE)</f>
        <v>【日曜限定】 青と黄の素材</v>
      </c>
      <c r="D170" s="3" t="str">
        <f ca="1">VLOOKUP($B170,OFFSET([1]quests!$A$1,0,0,COUNTA([1]quests!$A:$A),MATCH(D$1,[1]quests!$1:$1,0)-MATCH($B$1,[1]quests!$1:$1,0)+1),MATCH(D$1,[1]quests!$1:$1,0)-MATCH($B$1,[1]quests!$1:$1,0)+1,FALSE)</f>
        <v>日曜クエスト</v>
      </c>
      <c r="E170" s="5">
        <v>2</v>
      </c>
      <c r="F170" s="3" t="str">
        <f ca="1">VLOOKUP($B170&amp;"_"&amp;$E170,OFFSET([1]stages!$A$1,0,0,COUNTA([1]stages!$A:$A),MATCH(F$1,[1]stages!$2:$2,0)-MATCH("temp_stage",[1]stages!$2:$2,0)+1),MATCH(F$1,[1]stages!$2:$2,0)-MATCH("temp_stage",[1]stages!$2:$2,0)+1,FALSE)</f>
        <v xml:space="preserve">【中級】水と雷のウサギ </v>
      </c>
      <c r="G170" s="3" t="str">
        <f ca="1">VLOOKUP($B170&amp;"_"&amp;$E170,OFFSET([1]stages!$A$1,0,0,COUNTA([1]stages!$A:$A),MATCH(G$1,[1]stages!$2:$2,0)-MATCH("temp_stage",[1]stages!$2:$2,0)+1),MATCH(G$1,[1]stages!$2:$2,0)-MATCH("temp_stage",[1]stages!$2:$2,0)+1,FALSE)</f>
        <v>日曜クエスト</v>
      </c>
      <c r="H170" s="18">
        <v>0</v>
      </c>
      <c r="I170">
        <v>18</v>
      </c>
      <c r="J170" s="5" t="s">
        <v>16</v>
      </c>
      <c r="K170" s="35" t="str">
        <f>VLOOKUP(I170,[2]stage_hints!$A:$C,3,FALSE)</f>
        <v>マルチプレイのメリット（その2）</v>
      </c>
      <c r="L170" s="36" t="str">
        <f>VLOOKUP(I170,[2]stage_hints!$A:$D,4,FALSE)</f>
        <v>マルチプレイならリンクが2倍もらえます_x000D_リンクガチャをたくさん回しましょう</v>
      </c>
      <c r="M170" s="21" t="s">
        <v>23</v>
      </c>
      <c r="N170">
        <v>18</v>
      </c>
    </row>
    <row r="171" spans="1:14" x14ac:dyDescent="0.15">
      <c r="A171" s="26" t="s">
        <v>32</v>
      </c>
      <c r="B171" s="4">
        <v>11008</v>
      </c>
      <c r="C171" s="3" t="str">
        <f ca="1">VLOOKUP($B171,OFFSET([1]quests!$A$1,0,0,COUNTA([1]quests!$A:$A),MATCH(C$1,[1]quests!$1:$1,0)-MATCH($B$1,[1]quests!$1:$1,0)+1),MATCH(C$1,[1]quests!$1:$1,0)-MATCH($B$1,[1]quests!$1:$1,0)+1,FALSE)</f>
        <v>【日曜限定】 青と黄の素材</v>
      </c>
      <c r="D171" s="3" t="str">
        <f ca="1">VLOOKUP($B171,OFFSET([1]quests!$A$1,0,0,COUNTA([1]quests!$A:$A),MATCH(D$1,[1]quests!$1:$1,0)-MATCH($B$1,[1]quests!$1:$1,0)+1),MATCH(D$1,[1]quests!$1:$1,0)-MATCH($B$1,[1]quests!$1:$1,0)+1,FALSE)</f>
        <v>日曜クエスト</v>
      </c>
      <c r="E171" s="5">
        <v>2</v>
      </c>
      <c r="F171" s="3" t="str">
        <f ca="1">VLOOKUP($B171&amp;"_"&amp;$E171,OFFSET([1]stages!$A$1,0,0,COUNTA([1]stages!$A:$A),MATCH(F$1,[1]stages!$2:$2,0)-MATCH("temp_stage",[1]stages!$2:$2,0)+1),MATCH(F$1,[1]stages!$2:$2,0)-MATCH("temp_stage",[1]stages!$2:$2,0)+1,FALSE)</f>
        <v xml:space="preserve">【中級】水と雷のウサギ </v>
      </c>
      <c r="G171" s="3" t="str">
        <f ca="1">VLOOKUP($B171&amp;"_"&amp;$E171,OFFSET([1]stages!$A$1,0,0,COUNTA([1]stages!$A:$A),MATCH(G$1,[1]stages!$2:$2,0)-MATCH("temp_stage",[1]stages!$2:$2,0)+1),MATCH(G$1,[1]stages!$2:$2,0)-MATCH("temp_stage",[1]stages!$2:$2,0)+1,FALSE)</f>
        <v>日曜クエスト</v>
      </c>
      <c r="H171" s="18">
        <v>0</v>
      </c>
      <c r="I171">
        <v>19</v>
      </c>
      <c r="J171" s="5" t="s">
        <v>16</v>
      </c>
      <c r="K171" s="35" t="str">
        <f>VLOOKUP(I171,[2]stage_hints!$A:$C,3,FALSE)</f>
        <v>ソロ専用チャレンジタワー</v>
      </c>
      <c r="L171" s="36" t="str">
        <f>VLOOKUP(I171,[2]stage_hints!$A:$D,4,FALSE)</f>
        <v>ソロ専用の「チャレンジタワー」では_x000D_各フロアごとにクリア報酬がもらえます</v>
      </c>
      <c r="M171" s="21" t="s">
        <v>23</v>
      </c>
      <c r="N171">
        <v>19</v>
      </c>
    </row>
    <row r="172" spans="1:14" x14ac:dyDescent="0.15">
      <c r="A172" s="26" t="s">
        <v>32</v>
      </c>
      <c r="B172" s="4">
        <v>11008</v>
      </c>
      <c r="C172" s="3" t="str">
        <f ca="1">VLOOKUP($B172,OFFSET([1]quests!$A$1,0,0,COUNTA([1]quests!$A:$A),MATCH(C$1,[1]quests!$1:$1,0)-MATCH($B$1,[1]quests!$1:$1,0)+1),MATCH(C$1,[1]quests!$1:$1,0)-MATCH($B$1,[1]quests!$1:$1,0)+1,FALSE)</f>
        <v>【日曜限定】 青と黄の素材</v>
      </c>
      <c r="D172" s="3" t="str">
        <f ca="1">VLOOKUP($B172,OFFSET([1]quests!$A$1,0,0,COUNTA([1]quests!$A:$A),MATCH(D$1,[1]quests!$1:$1,0)-MATCH($B$1,[1]quests!$1:$1,0)+1),MATCH(D$1,[1]quests!$1:$1,0)-MATCH($B$1,[1]quests!$1:$1,0)+1,FALSE)</f>
        <v>日曜クエスト</v>
      </c>
      <c r="E172" s="5">
        <v>2</v>
      </c>
      <c r="F172" s="3" t="str">
        <f ca="1">VLOOKUP($B172&amp;"_"&amp;$E172,OFFSET([1]stages!$A$1,0,0,COUNTA([1]stages!$A:$A),MATCH(F$1,[1]stages!$2:$2,0)-MATCH("temp_stage",[1]stages!$2:$2,0)+1),MATCH(F$1,[1]stages!$2:$2,0)-MATCH("temp_stage",[1]stages!$2:$2,0)+1,FALSE)</f>
        <v xml:space="preserve">【中級】水と雷のウサギ </v>
      </c>
      <c r="G172" s="3" t="str">
        <f ca="1">VLOOKUP($B172&amp;"_"&amp;$E172,OFFSET([1]stages!$A$1,0,0,COUNTA([1]stages!$A:$A),MATCH(G$1,[1]stages!$2:$2,0)-MATCH("temp_stage",[1]stages!$2:$2,0)+1),MATCH(G$1,[1]stages!$2:$2,0)-MATCH("temp_stage",[1]stages!$2:$2,0)+1,FALSE)</f>
        <v>日曜クエスト</v>
      </c>
      <c r="H172" s="18">
        <v>0</v>
      </c>
      <c r="I172">
        <v>20</v>
      </c>
      <c r="J172" s="5" t="s">
        <v>16</v>
      </c>
      <c r="K172" s="35" t="str">
        <f>VLOOKUP(I172,[2]stage_hints!$A:$C,3,FALSE)</f>
        <v>マルチプレイのメリット（その3）</v>
      </c>
      <c r="L172" s="36" t="str">
        <f>VLOOKUP(I172,[2]stage_hints!$A:$D,4,FALSE)</f>
        <v>マルチプレイへの参加はエナジー消費ゼロ_x000D_いつでも好きなだけ遊ぶことができます</v>
      </c>
      <c r="M172" s="21" t="s">
        <v>23</v>
      </c>
      <c r="N172">
        <v>20</v>
      </c>
    </row>
    <row r="173" spans="1:14" x14ac:dyDescent="0.15">
      <c r="A173" s="26" t="s">
        <v>32</v>
      </c>
      <c r="B173" s="4">
        <v>11008</v>
      </c>
      <c r="C173" s="3" t="str">
        <f ca="1">VLOOKUP($B173,OFFSET([1]quests!$A$1,0,0,COUNTA([1]quests!$A:$A),MATCH(C$1,[1]quests!$1:$1,0)-MATCH($B$1,[1]quests!$1:$1,0)+1),MATCH(C$1,[1]quests!$1:$1,0)-MATCH($B$1,[1]quests!$1:$1,0)+1,FALSE)</f>
        <v>【日曜限定】 青と黄の素材</v>
      </c>
      <c r="D173" s="3" t="str">
        <f ca="1">VLOOKUP($B173,OFFSET([1]quests!$A$1,0,0,COUNTA([1]quests!$A:$A),MATCH(D$1,[1]quests!$1:$1,0)-MATCH($B$1,[1]quests!$1:$1,0)+1),MATCH(D$1,[1]quests!$1:$1,0)-MATCH($B$1,[1]quests!$1:$1,0)+1,FALSE)</f>
        <v>日曜クエスト</v>
      </c>
      <c r="E173" s="5">
        <v>2</v>
      </c>
      <c r="F173" s="3" t="str">
        <f ca="1">VLOOKUP($B173&amp;"_"&amp;$E173,OFFSET([1]stages!$A$1,0,0,COUNTA([1]stages!$A:$A),MATCH(F$1,[1]stages!$2:$2,0)-MATCH("temp_stage",[1]stages!$2:$2,0)+1),MATCH(F$1,[1]stages!$2:$2,0)-MATCH("temp_stage",[1]stages!$2:$2,0)+1,FALSE)</f>
        <v xml:space="preserve">【中級】水と雷のウサギ </v>
      </c>
      <c r="G173" s="3" t="str">
        <f ca="1">VLOOKUP($B173&amp;"_"&amp;$E173,OFFSET([1]stages!$A$1,0,0,COUNTA([1]stages!$A:$A),MATCH(G$1,[1]stages!$2:$2,0)-MATCH("temp_stage",[1]stages!$2:$2,0)+1),MATCH(G$1,[1]stages!$2:$2,0)-MATCH("temp_stage",[1]stages!$2:$2,0)+1,FALSE)</f>
        <v>日曜クエスト</v>
      </c>
      <c r="H173" s="18">
        <v>0</v>
      </c>
      <c r="I173">
        <v>21</v>
      </c>
      <c r="J173" s="5" t="s">
        <v>16</v>
      </c>
      <c r="K173" s="35" t="str">
        <f>VLOOKUP(I173,[2]stage_hints!$A:$C,3,FALSE)</f>
        <v>スキルを有効に</v>
      </c>
      <c r="L173" s="36" t="str">
        <f>VLOOKUP(I173,[2]stage_hints!$A:$D,4,FALSE)</f>
        <v>ターン経過でユニットのスキルが使えます_x000D_強力スキルでバトルを有利に進めましょう</v>
      </c>
      <c r="M173" s="21" t="s">
        <v>23</v>
      </c>
      <c r="N173">
        <v>21</v>
      </c>
    </row>
    <row r="174" spans="1:14" x14ac:dyDescent="0.15">
      <c r="A174" s="26" t="s">
        <v>32</v>
      </c>
      <c r="B174" s="4">
        <v>11008</v>
      </c>
      <c r="C174" s="3" t="str">
        <f ca="1">VLOOKUP($B174,OFFSET([1]quests!$A$1,0,0,COUNTA([1]quests!$A:$A),MATCH(C$1,[1]quests!$1:$1,0)-MATCH($B$1,[1]quests!$1:$1,0)+1),MATCH(C$1,[1]quests!$1:$1,0)-MATCH($B$1,[1]quests!$1:$1,0)+1,FALSE)</f>
        <v>【日曜限定】 青と黄の素材</v>
      </c>
      <c r="D174" s="3" t="str">
        <f ca="1">VLOOKUP($B174,OFFSET([1]quests!$A$1,0,0,COUNTA([1]quests!$A:$A),MATCH(D$1,[1]quests!$1:$1,0)-MATCH($B$1,[1]quests!$1:$1,0)+1),MATCH(D$1,[1]quests!$1:$1,0)-MATCH($B$1,[1]quests!$1:$1,0)+1,FALSE)</f>
        <v>日曜クエスト</v>
      </c>
      <c r="E174" s="5">
        <v>2</v>
      </c>
      <c r="F174" s="3" t="str">
        <f ca="1">VLOOKUP($B174&amp;"_"&amp;$E174,OFFSET([1]stages!$A$1,0,0,COUNTA([1]stages!$A:$A),MATCH(F$1,[1]stages!$2:$2,0)-MATCH("temp_stage",[1]stages!$2:$2,0)+1),MATCH(F$1,[1]stages!$2:$2,0)-MATCH("temp_stage",[1]stages!$2:$2,0)+1,FALSE)</f>
        <v xml:space="preserve">【中級】水と雷のウサギ </v>
      </c>
      <c r="G174" s="3" t="str">
        <f ca="1">VLOOKUP($B174&amp;"_"&amp;$E174,OFFSET([1]stages!$A$1,0,0,COUNTA([1]stages!$A:$A),MATCH(G$1,[1]stages!$2:$2,0)-MATCH("temp_stage",[1]stages!$2:$2,0)+1),MATCH(G$1,[1]stages!$2:$2,0)-MATCH("temp_stage",[1]stages!$2:$2,0)+1,FALSE)</f>
        <v>日曜クエスト</v>
      </c>
      <c r="H174" s="18">
        <v>0</v>
      </c>
      <c r="I174">
        <v>22</v>
      </c>
      <c r="J174" s="5" t="s">
        <v>16</v>
      </c>
      <c r="K174" s="35" t="str">
        <f>VLOOKUP(I174,[2]stage_hints!$A:$C,3,FALSE)</f>
        <v>フィーバーで一発逆転（その1）</v>
      </c>
      <c r="L174" s="36" t="str">
        <f>VLOOKUP(I174,[2]stage_hints!$A:$D,4,FALSE)</f>
        <v>フィーバーは攻撃と回復を兼ね備えます_x000D_ピンチからの一発逆転を狙いましょう</v>
      </c>
      <c r="M174" s="21" t="s">
        <v>23</v>
      </c>
      <c r="N174">
        <v>22</v>
      </c>
    </row>
    <row r="175" spans="1:14" x14ac:dyDescent="0.15">
      <c r="A175" s="26" t="s">
        <v>32</v>
      </c>
      <c r="B175" s="4">
        <v>11008</v>
      </c>
      <c r="C175" s="3" t="str">
        <f ca="1">VLOOKUP($B175,OFFSET([1]quests!$A$1,0,0,COUNTA([1]quests!$A:$A),MATCH(C$1,[1]quests!$1:$1,0)-MATCH($B$1,[1]quests!$1:$1,0)+1),MATCH(C$1,[1]quests!$1:$1,0)-MATCH($B$1,[1]quests!$1:$1,0)+1,FALSE)</f>
        <v>【日曜限定】 青と黄の素材</v>
      </c>
      <c r="D175" s="3" t="str">
        <f ca="1">VLOOKUP($B175,OFFSET([1]quests!$A$1,0,0,COUNTA([1]quests!$A:$A),MATCH(D$1,[1]quests!$1:$1,0)-MATCH($B$1,[1]quests!$1:$1,0)+1),MATCH(D$1,[1]quests!$1:$1,0)-MATCH($B$1,[1]quests!$1:$1,0)+1,FALSE)</f>
        <v>日曜クエスト</v>
      </c>
      <c r="E175" s="5">
        <v>2</v>
      </c>
      <c r="F175" s="3" t="str">
        <f ca="1">VLOOKUP($B175&amp;"_"&amp;$E175,OFFSET([1]stages!$A$1,0,0,COUNTA([1]stages!$A:$A),MATCH(F$1,[1]stages!$2:$2,0)-MATCH("temp_stage",[1]stages!$2:$2,0)+1),MATCH(F$1,[1]stages!$2:$2,0)-MATCH("temp_stage",[1]stages!$2:$2,0)+1,FALSE)</f>
        <v xml:space="preserve">【中級】水と雷のウサギ </v>
      </c>
      <c r="G175" s="3" t="str">
        <f ca="1">VLOOKUP($B175&amp;"_"&amp;$E175,OFFSET([1]stages!$A$1,0,0,COUNTA([1]stages!$A:$A),MATCH(G$1,[1]stages!$2:$2,0)-MATCH("temp_stage",[1]stages!$2:$2,0)+1),MATCH(G$1,[1]stages!$2:$2,0)-MATCH("temp_stage",[1]stages!$2:$2,0)+1,FALSE)</f>
        <v>日曜クエスト</v>
      </c>
      <c r="H175" s="18">
        <v>0</v>
      </c>
      <c r="I175">
        <v>23</v>
      </c>
      <c r="J175" s="5" t="s">
        <v>16</v>
      </c>
      <c r="K175" s="35" t="str">
        <f>VLOOKUP(I175,[2]stage_hints!$A:$C,3,FALSE)</f>
        <v>フィーバーで一発逆転（その2）</v>
      </c>
      <c r="L175" s="36" t="str">
        <f>VLOOKUP(I175,[2]stage_hints!$A:$D,4,FALSE)</f>
        <v>フィーバー中は虹色のボムパネルを狙って_x000D_画面上のパネルを一気に破壊しましょう</v>
      </c>
      <c r="M175" s="21" t="s">
        <v>23</v>
      </c>
      <c r="N175">
        <v>23</v>
      </c>
    </row>
    <row r="176" spans="1:14" x14ac:dyDescent="0.15">
      <c r="A176" s="26" t="s">
        <v>32</v>
      </c>
      <c r="B176" s="4">
        <v>11008</v>
      </c>
      <c r="C176" s="3" t="str">
        <f ca="1">VLOOKUP($B176,OFFSET([1]quests!$A$1,0,0,COUNTA([1]quests!$A:$A),MATCH(C$1,[1]quests!$1:$1,0)-MATCH($B$1,[1]quests!$1:$1,0)+1),MATCH(C$1,[1]quests!$1:$1,0)-MATCH($B$1,[1]quests!$1:$1,0)+1,FALSE)</f>
        <v>【日曜限定】 青と黄の素材</v>
      </c>
      <c r="D176" s="3" t="str">
        <f ca="1">VLOOKUP($B176,OFFSET([1]quests!$A$1,0,0,COUNTA([1]quests!$A:$A),MATCH(D$1,[1]quests!$1:$1,0)-MATCH($B$1,[1]quests!$1:$1,0)+1),MATCH(D$1,[1]quests!$1:$1,0)-MATCH($B$1,[1]quests!$1:$1,0)+1,FALSE)</f>
        <v>日曜クエスト</v>
      </c>
      <c r="E176" s="5">
        <v>2</v>
      </c>
      <c r="F176" s="3" t="str">
        <f ca="1">VLOOKUP($B176&amp;"_"&amp;$E176,OFFSET([1]stages!$A$1,0,0,COUNTA([1]stages!$A:$A),MATCH(F$1,[1]stages!$2:$2,0)-MATCH("temp_stage",[1]stages!$2:$2,0)+1),MATCH(F$1,[1]stages!$2:$2,0)-MATCH("temp_stage",[1]stages!$2:$2,0)+1,FALSE)</f>
        <v xml:space="preserve">【中級】水と雷のウサギ </v>
      </c>
      <c r="G176" s="3" t="str">
        <f ca="1">VLOOKUP($B176&amp;"_"&amp;$E176,OFFSET([1]stages!$A$1,0,0,COUNTA([1]stages!$A:$A),MATCH(G$1,[1]stages!$2:$2,0)-MATCH("temp_stage",[1]stages!$2:$2,0)+1),MATCH(G$1,[1]stages!$2:$2,0)-MATCH("temp_stage",[1]stages!$2:$2,0)+1,FALSE)</f>
        <v>日曜クエスト</v>
      </c>
      <c r="H176" s="18">
        <v>0</v>
      </c>
      <c r="I176">
        <v>24</v>
      </c>
      <c r="J176" s="5" t="s">
        <v>16</v>
      </c>
      <c r="K176" s="35" t="str">
        <f>VLOOKUP(I176,[2]stage_hints!$A:$C,3,FALSE)</f>
        <v>りんごを使って限界突破</v>
      </c>
      <c r="L176" s="36" t="str">
        <f>VLOOKUP(I176,[2]stage_hints!$A:$D,4,FALSE)</f>
        <v>赤りんご(攻撃力) 青りんご(回復力)_x000D_緑りんご(体力)をユニット強化に使うと_x000D_ステータスが限界突破します（計99個迄）</v>
      </c>
      <c r="M176" s="21" t="s">
        <v>23</v>
      </c>
      <c r="N176">
        <v>24</v>
      </c>
    </row>
    <row r="177" spans="1:14" x14ac:dyDescent="0.15">
      <c r="A177" s="26" t="s">
        <v>32</v>
      </c>
      <c r="B177" s="4">
        <v>11008</v>
      </c>
      <c r="C177" s="3" t="str">
        <f ca="1">VLOOKUP($B177,OFFSET([1]quests!$A$1,0,0,COUNTA([1]quests!$A:$A),MATCH(C$1,[1]quests!$1:$1,0)-MATCH($B$1,[1]quests!$1:$1,0)+1),MATCH(C$1,[1]quests!$1:$1,0)-MATCH($B$1,[1]quests!$1:$1,0)+1,FALSE)</f>
        <v>【日曜限定】 青と黄の素材</v>
      </c>
      <c r="D177" s="3" t="str">
        <f ca="1">VLOOKUP($B177,OFFSET([1]quests!$A$1,0,0,COUNTA([1]quests!$A:$A),MATCH(D$1,[1]quests!$1:$1,0)-MATCH($B$1,[1]quests!$1:$1,0)+1),MATCH(D$1,[1]quests!$1:$1,0)-MATCH($B$1,[1]quests!$1:$1,0)+1,FALSE)</f>
        <v>日曜クエスト</v>
      </c>
      <c r="E177" s="5">
        <v>2</v>
      </c>
      <c r="F177" s="3" t="str">
        <f ca="1">VLOOKUP($B177&amp;"_"&amp;$E177,OFFSET([1]stages!$A$1,0,0,COUNTA([1]stages!$A:$A),MATCH(F$1,[1]stages!$2:$2,0)-MATCH("temp_stage",[1]stages!$2:$2,0)+1),MATCH(F$1,[1]stages!$2:$2,0)-MATCH("temp_stage",[1]stages!$2:$2,0)+1,FALSE)</f>
        <v xml:space="preserve">【中級】水と雷のウサギ </v>
      </c>
      <c r="G177" s="3" t="str">
        <f ca="1">VLOOKUP($B177&amp;"_"&amp;$E177,OFFSET([1]stages!$A$1,0,0,COUNTA([1]stages!$A:$A),MATCH(G$1,[1]stages!$2:$2,0)-MATCH("temp_stage",[1]stages!$2:$2,0)+1),MATCH(G$1,[1]stages!$2:$2,0)-MATCH("temp_stage",[1]stages!$2:$2,0)+1,FALSE)</f>
        <v>日曜クエスト</v>
      </c>
      <c r="H177" s="18">
        <v>0</v>
      </c>
      <c r="I177">
        <v>25</v>
      </c>
      <c r="J177" s="5" t="s">
        <v>16</v>
      </c>
      <c r="K177" s="35" t="str">
        <f>VLOOKUP(I177,[2]stage_hints!$A:$C,3,FALSE)</f>
        <v>スキルレベルアップ</v>
      </c>
      <c r="L177" s="36" t="str">
        <f>VLOOKUP(I177,[2]stage_hints!$A:$D,4,FALSE)</f>
        <v>「クリスタルのりんご」を強化に使うと_x000D_スキルレベルを上げることができます</v>
      </c>
      <c r="M177" s="21" t="s">
        <v>23</v>
      </c>
      <c r="N177">
        <v>25</v>
      </c>
    </row>
    <row r="178" spans="1:14" x14ac:dyDescent="0.15">
      <c r="A178" s="26" t="s">
        <v>32</v>
      </c>
      <c r="B178" s="4">
        <v>11008</v>
      </c>
      <c r="C178" s="3" t="str">
        <f ca="1">VLOOKUP($B178,OFFSET([1]quests!$A$1,0,0,COUNTA([1]quests!$A:$A),MATCH(C$1,[1]quests!$1:$1,0)-MATCH($B$1,[1]quests!$1:$1,0)+1),MATCH(C$1,[1]quests!$1:$1,0)-MATCH($B$1,[1]quests!$1:$1,0)+1,FALSE)</f>
        <v>【日曜限定】 青と黄の素材</v>
      </c>
      <c r="D178" s="3" t="str">
        <f ca="1">VLOOKUP($B178,OFFSET([1]quests!$A$1,0,0,COUNTA([1]quests!$A:$A),MATCH(D$1,[1]quests!$1:$1,0)-MATCH($B$1,[1]quests!$1:$1,0)+1),MATCH(D$1,[1]quests!$1:$1,0)-MATCH($B$1,[1]quests!$1:$1,0)+1,FALSE)</f>
        <v>日曜クエスト</v>
      </c>
      <c r="E178" s="5">
        <v>2</v>
      </c>
      <c r="F178" s="3" t="str">
        <f ca="1">VLOOKUP($B178&amp;"_"&amp;$E178,OFFSET([1]stages!$A$1,0,0,COUNTA([1]stages!$A:$A),MATCH(F$1,[1]stages!$2:$2,0)-MATCH("temp_stage",[1]stages!$2:$2,0)+1),MATCH(F$1,[1]stages!$2:$2,0)-MATCH("temp_stage",[1]stages!$2:$2,0)+1,FALSE)</f>
        <v xml:space="preserve">【中級】水と雷のウサギ </v>
      </c>
      <c r="G178" s="3" t="str">
        <f ca="1">VLOOKUP($B178&amp;"_"&amp;$E178,OFFSET([1]stages!$A$1,0,0,COUNTA([1]stages!$A:$A),MATCH(G$1,[1]stages!$2:$2,0)-MATCH("temp_stage",[1]stages!$2:$2,0)+1),MATCH(G$1,[1]stages!$2:$2,0)-MATCH("temp_stage",[1]stages!$2:$2,0)+1,FALSE)</f>
        <v>日曜クエスト</v>
      </c>
      <c r="H178" s="18">
        <v>0</v>
      </c>
      <c r="I178">
        <v>26</v>
      </c>
      <c r="J178" s="5" t="s">
        <v>16</v>
      </c>
      <c r="K178" s="35" t="str">
        <f>VLOOKUP(I178,[2]stage_hints!$A:$C,3,FALSE)</f>
        <v>スキルレベルの効果</v>
      </c>
      <c r="L178" s="36" t="str">
        <f>VLOOKUP(I178,[2]stage_hints!$A:$D,4,FALSE)</f>
        <v>スキルレベルが上がると_x000D_短いターンでスキルを使うことができます</v>
      </c>
      <c r="M178" s="21" t="s">
        <v>23</v>
      </c>
      <c r="N178">
        <v>26</v>
      </c>
    </row>
    <row r="179" spans="1:14" x14ac:dyDescent="0.15">
      <c r="A179" s="26" t="s">
        <v>32</v>
      </c>
      <c r="B179" s="4">
        <v>11008</v>
      </c>
      <c r="C179" s="3" t="str">
        <f ca="1">VLOOKUP($B179,OFFSET([1]quests!$A$1,0,0,COUNTA([1]quests!$A:$A),MATCH(C$1,[1]quests!$1:$1,0)-MATCH($B$1,[1]quests!$1:$1,0)+1),MATCH(C$1,[1]quests!$1:$1,0)-MATCH($B$1,[1]quests!$1:$1,0)+1,FALSE)</f>
        <v>【日曜限定】 青と黄の素材</v>
      </c>
      <c r="D179" s="3" t="str">
        <f ca="1">VLOOKUP($B179,OFFSET([1]quests!$A$1,0,0,COUNTA([1]quests!$A:$A),MATCH(D$1,[1]quests!$1:$1,0)-MATCH($B$1,[1]quests!$1:$1,0)+1),MATCH(D$1,[1]quests!$1:$1,0)-MATCH($B$1,[1]quests!$1:$1,0)+1,FALSE)</f>
        <v>日曜クエスト</v>
      </c>
      <c r="E179" s="5">
        <v>2</v>
      </c>
      <c r="F179" s="3" t="str">
        <f ca="1">VLOOKUP($B179&amp;"_"&amp;$E179,OFFSET([1]stages!$A$1,0,0,COUNTA([1]stages!$A:$A),MATCH(F$1,[1]stages!$2:$2,0)-MATCH("temp_stage",[1]stages!$2:$2,0)+1),MATCH(F$1,[1]stages!$2:$2,0)-MATCH("temp_stage",[1]stages!$2:$2,0)+1,FALSE)</f>
        <v xml:space="preserve">【中級】水と雷のウサギ </v>
      </c>
      <c r="G179" s="3" t="str">
        <f ca="1">VLOOKUP($B179&amp;"_"&amp;$E179,OFFSET([1]stages!$A$1,0,0,COUNTA([1]stages!$A:$A),MATCH(G$1,[1]stages!$2:$2,0)-MATCH("temp_stage",[1]stages!$2:$2,0)+1),MATCH(G$1,[1]stages!$2:$2,0)-MATCH("temp_stage",[1]stages!$2:$2,0)+1,FALSE)</f>
        <v>日曜クエスト</v>
      </c>
      <c r="H179" s="18">
        <v>0</v>
      </c>
      <c r="I179">
        <v>27</v>
      </c>
      <c r="J179" s="5" t="s">
        <v>16</v>
      </c>
      <c r="K179" s="35" t="str">
        <f>VLOOKUP(I179,[2]stage_hints!$A:$C,3,FALSE)</f>
        <v>ホーム画面からデッキを編成</v>
      </c>
      <c r="L179" s="36" t="str">
        <f>VLOOKUP(I179,[2]stage_hints!$A:$D,4,FALSE)</f>
        <v>ホーム画面でユニットを長押しすると_x000D_すぐにパーティ編成に移動できます</v>
      </c>
      <c r="M179" s="21" t="s">
        <v>23</v>
      </c>
      <c r="N179">
        <v>27</v>
      </c>
    </row>
    <row r="180" spans="1:14" x14ac:dyDescent="0.15">
      <c r="A180" s="26" t="s">
        <v>32</v>
      </c>
      <c r="B180" s="4">
        <v>11008</v>
      </c>
      <c r="C180" s="3" t="str">
        <f ca="1">VLOOKUP($B180,OFFSET([1]quests!$A$1,0,0,COUNTA([1]quests!$A:$A),MATCH(C$1,[1]quests!$1:$1,0)-MATCH($B$1,[1]quests!$1:$1,0)+1),MATCH(C$1,[1]quests!$1:$1,0)-MATCH($B$1,[1]quests!$1:$1,0)+1,FALSE)</f>
        <v>【日曜限定】 青と黄の素材</v>
      </c>
      <c r="D180" s="3" t="str">
        <f ca="1">VLOOKUP($B180,OFFSET([1]quests!$A$1,0,0,COUNTA([1]quests!$A:$A),MATCH(D$1,[1]quests!$1:$1,0)-MATCH($B$1,[1]quests!$1:$1,0)+1),MATCH(D$1,[1]quests!$1:$1,0)-MATCH($B$1,[1]quests!$1:$1,0)+1,FALSE)</f>
        <v>日曜クエスト</v>
      </c>
      <c r="E180" s="5">
        <v>2</v>
      </c>
      <c r="F180" s="3" t="str">
        <f ca="1">VLOOKUP($B180&amp;"_"&amp;$E180,OFFSET([1]stages!$A$1,0,0,COUNTA([1]stages!$A:$A),MATCH(F$1,[1]stages!$2:$2,0)-MATCH("temp_stage",[1]stages!$2:$2,0)+1),MATCH(F$1,[1]stages!$2:$2,0)-MATCH("temp_stage",[1]stages!$2:$2,0)+1,FALSE)</f>
        <v xml:space="preserve">【中級】水と雷のウサギ </v>
      </c>
      <c r="G180" s="3" t="str">
        <f ca="1">VLOOKUP($B180&amp;"_"&amp;$E180,OFFSET([1]stages!$A$1,0,0,COUNTA([1]stages!$A:$A),MATCH(G$1,[1]stages!$2:$2,0)-MATCH("temp_stage",[1]stages!$2:$2,0)+1),MATCH(G$1,[1]stages!$2:$2,0)-MATCH("temp_stage",[1]stages!$2:$2,0)+1,FALSE)</f>
        <v>日曜クエスト</v>
      </c>
      <c r="H180" s="18">
        <v>0</v>
      </c>
      <c r="I180">
        <v>28</v>
      </c>
      <c r="J180" s="5" t="s">
        <v>16</v>
      </c>
      <c r="K180" s="35" t="str">
        <f>VLOOKUP(I180,[2]stage_hints!$A:$C,3,FALSE)</f>
        <v>ステータス情報は長押しで</v>
      </c>
      <c r="L180" s="36" t="str">
        <f>VLOOKUP(I180,[2]stage_hints!$A:$D,4,FALSE)</f>
        <v>ユニットのアイコンを長押しすると_x000D_ステータス情報を確認することができます</v>
      </c>
      <c r="M180" s="21" t="s">
        <v>23</v>
      </c>
      <c r="N180">
        <v>28</v>
      </c>
    </row>
    <row r="181" spans="1:14" x14ac:dyDescent="0.15">
      <c r="A181" s="26" t="s">
        <v>32</v>
      </c>
      <c r="B181" s="4">
        <v>11008</v>
      </c>
      <c r="C181" s="3" t="str">
        <f ca="1">VLOOKUP($B181,OFFSET([1]quests!$A$1,0,0,COUNTA([1]quests!$A:$A),MATCH(C$1,[1]quests!$1:$1,0)-MATCH($B$1,[1]quests!$1:$1,0)+1),MATCH(C$1,[1]quests!$1:$1,0)-MATCH($B$1,[1]quests!$1:$1,0)+1,FALSE)</f>
        <v>【日曜限定】 青と黄の素材</v>
      </c>
      <c r="D181" s="3" t="str">
        <f ca="1">VLOOKUP($B181,OFFSET([1]quests!$A$1,0,0,COUNTA([1]quests!$A:$A),MATCH(D$1,[1]quests!$1:$1,0)-MATCH($B$1,[1]quests!$1:$1,0)+1),MATCH(D$1,[1]quests!$1:$1,0)-MATCH($B$1,[1]quests!$1:$1,0)+1,FALSE)</f>
        <v>日曜クエスト</v>
      </c>
      <c r="E181" s="5">
        <v>2</v>
      </c>
      <c r="F181" s="3" t="str">
        <f ca="1">VLOOKUP($B181&amp;"_"&amp;$E181,OFFSET([1]stages!$A$1,0,0,COUNTA([1]stages!$A:$A),MATCH(F$1,[1]stages!$2:$2,0)-MATCH("temp_stage",[1]stages!$2:$2,0)+1),MATCH(F$1,[1]stages!$2:$2,0)-MATCH("temp_stage",[1]stages!$2:$2,0)+1,FALSE)</f>
        <v xml:space="preserve">【中級】水と雷のウサギ </v>
      </c>
      <c r="G181" s="3" t="str">
        <f ca="1">VLOOKUP($B181&amp;"_"&amp;$E181,OFFSET([1]stages!$A$1,0,0,COUNTA([1]stages!$A:$A),MATCH(G$1,[1]stages!$2:$2,0)-MATCH("temp_stage",[1]stages!$2:$2,0)+1),MATCH(G$1,[1]stages!$2:$2,0)-MATCH("temp_stage",[1]stages!$2:$2,0)+1,FALSE)</f>
        <v>日曜クエスト</v>
      </c>
      <c r="H181" s="18">
        <v>0</v>
      </c>
      <c r="I181">
        <v>29</v>
      </c>
      <c r="J181" s="5" t="s">
        <v>16</v>
      </c>
      <c r="K181" s="35" t="str">
        <f>VLOOKUP(I181,[2]stage_hints!$A:$C,3,FALSE)</f>
        <v>「バグ」のメリット</v>
      </c>
      <c r="L181" s="36" t="str">
        <f>VLOOKUP(I181,[2]stage_hints!$A:$D,4,FALSE)</f>
        <v>ユニットの「バグ」を増やすと_x000D_報酬をもらえる確率がアップします</v>
      </c>
      <c r="M181" s="21" t="s">
        <v>23</v>
      </c>
      <c r="N181">
        <v>29</v>
      </c>
    </row>
    <row r="182" spans="1:14" x14ac:dyDescent="0.15">
      <c r="A182" s="26" t="s">
        <v>32</v>
      </c>
      <c r="B182" s="4">
        <v>11008</v>
      </c>
      <c r="C182" s="3" t="str">
        <f ca="1">VLOOKUP($B182,OFFSET([1]quests!$A$1,0,0,COUNTA([1]quests!$A:$A),MATCH(C$1,[1]quests!$1:$1,0)-MATCH($B$1,[1]quests!$1:$1,0)+1),MATCH(C$1,[1]quests!$1:$1,0)-MATCH($B$1,[1]quests!$1:$1,0)+1,FALSE)</f>
        <v>【日曜限定】 青と黄の素材</v>
      </c>
      <c r="D182" s="3" t="str">
        <f ca="1">VLOOKUP($B182,OFFSET([1]quests!$A$1,0,0,COUNTA([1]quests!$A:$A),MATCH(D$1,[1]quests!$1:$1,0)-MATCH($B$1,[1]quests!$1:$1,0)+1),MATCH(D$1,[1]quests!$1:$1,0)-MATCH($B$1,[1]quests!$1:$1,0)+1,FALSE)</f>
        <v>日曜クエスト</v>
      </c>
      <c r="E182" s="5">
        <v>2</v>
      </c>
      <c r="F182" s="3" t="str">
        <f ca="1">VLOOKUP($B182&amp;"_"&amp;$E182,OFFSET([1]stages!$A$1,0,0,COUNTA([1]stages!$A:$A),MATCH(F$1,[1]stages!$2:$2,0)-MATCH("temp_stage",[1]stages!$2:$2,0)+1),MATCH(F$1,[1]stages!$2:$2,0)-MATCH("temp_stage",[1]stages!$2:$2,0)+1,FALSE)</f>
        <v xml:space="preserve">【中級】水と雷のウサギ </v>
      </c>
      <c r="G182" s="3" t="str">
        <f ca="1">VLOOKUP($B182&amp;"_"&amp;$E182,OFFSET([1]stages!$A$1,0,0,COUNTA([1]stages!$A:$A),MATCH(G$1,[1]stages!$2:$2,0)-MATCH("temp_stage",[1]stages!$2:$2,0)+1),MATCH(G$1,[1]stages!$2:$2,0)-MATCH("temp_stage",[1]stages!$2:$2,0)+1,FALSE)</f>
        <v>日曜クエスト</v>
      </c>
      <c r="H182" s="18">
        <v>0</v>
      </c>
      <c r="I182">
        <v>30</v>
      </c>
      <c r="J182" s="5" t="s">
        <v>16</v>
      </c>
      <c r="K182" s="35" t="str">
        <f>VLOOKUP(I182,[2]stage_hints!$A:$C,3,FALSE)</f>
        <v>「バグ」の増やし方</v>
      </c>
      <c r="L182" s="36" t="str">
        <f>VLOOKUP(I182,[2]stage_hints!$A:$D,4,FALSE)</f>
        <v>同じユニット同士を強化で合成すると_x000D_「バグ」を増やすことができます</v>
      </c>
      <c r="M182" s="21" t="s">
        <v>23</v>
      </c>
      <c r="N182">
        <v>30</v>
      </c>
    </row>
    <row r="183" spans="1:14" x14ac:dyDescent="0.15">
      <c r="A183" s="26" t="s">
        <v>32</v>
      </c>
      <c r="B183" s="4">
        <v>11008</v>
      </c>
      <c r="C183" s="3" t="str">
        <f ca="1">VLOOKUP($B183,OFFSET([1]quests!$A$1,0,0,COUNTA([1]quests!$A:$A),MATCH(C$1,[1]quests!$1:$1,0)-MATCH($B$1,[1]quests!$1:$1,0)+1),MATCH(C$1,[1]quests!$1:$1,0)-MATCH($B$1,[1]quests!$1:$1,0)+1,FALSE)</f>
        <v>【日曜限定】 青と黄の素材</v>
      </c>
      <c r="D183" s="3" t="str">
        <f ca="1">VLOOKUP($B183,OFFSET([1]quests!$A$1,0,0,COUNTA([1]quests!$A:$A),MATCH(D$1,[1]quests!$1:$1,0)-MATCH($B$1,[1]quests!$1:$1,0)+1),MATCH(D$1,[1]quests!$1:$1,0)-MATCH($B$1,[1]quests!$1:$1,0)+1,FALSE)</f>
        <v>日曜クエスト</v>
      </c>
      <c r="E183" s="5">
        <v>2</v>
      </c>
      <c r="F183" s="3" t="str">
        <f ca="1">VLOOKUP($B183&amp;"_"&amp;$E183,OFFSET([1]stages!$A$1,0,0,COUNTA([1]stages!$A:$A),MATCH(F$1,[1]stages!$2:$2,0)-MATCH("temp_stage",[1]stages!$2:$2,0)+1),MATCH(F$1,[1]stages!$2:$2,0)-MATCH("temp_stage",[1]stages!$2:$2,0)+1,FALSE)</f>
        <v xml:space="preserve">【中級】水と雷のウサギ </v>
      </c>
      <c r="G183" s="3" t="str">
        <f ca="1">VLOOKUP($B183&amp;"_"&amp;$E183,OFFSET([1]stages!$A$1,0,0,COUNTA([1]stages!$A:$A),MATCH(G$1,[1]stages!$2:$2,0)-MATCH("temp_stage",[1]stages!$2:$2,0)+1),MATCH(G$1,[1]stages!$2:$2,0)-MATCH("temp_stage",[1]stages!$2:$2,0)+1,FALSE)</f>
        <v>日曜クエスト</v>
      </c>
      <c r="H183" s="18">
        <v>0</v>
      </c>
      <c r="I183">
        <v>31</v>
      </c>
      <c r="J183" s="5" t="s">
        <v>16</v>
      </c>
      <c r="K183" s="35" t="str">
        <f>VLOOKUP(I183,[2]stage_hints!$A:$C,3,FALSE)</f>
        <v>イベントはお知らせでチェック</v>
      </c>
      <c r="L183" s="36" t="str">
        <f>VLOOKUP(I183,[2]stage_hints!$A:$D,4,FALSE)</f>
        <v>イベント限定ユニットを取り忘れないように_x000D_お知らせをこまめにチェックしましょう</v>
      </c>
      <c r="M183" s="21" t="s">
        <v>23</v>
      </c>
      <c r="N183">
        <v>31</v>
      </c>
    </row>
    <row r="184" spans="1:14" x14ac:dyDescent="0.15">
      <c r="A184" s="26" t="s">
        <v>32</v>
      </c>
      <c r="B184" s="4">
        <v>11008</v>
      </c>
      <c r="C184" s="3" t="str">
        <f ca="1">VLOOKUP($B184,OFFSET([1]quests!$A$1,0,0,COUNTA([1]quests!$A:$A),MATCH(C$1,[1]quests!$1:$1,0)-MATCH($B$1,[1]quests!$1:$1,0)+1),MATCH(C$1,[1]quests!$1:$1,0)-MATCH($B$1,[1]quests!$1:$1,0)+1,FALSE)</f>
        <v>【日曜限定】 青と黄の素材</v>
      </c>
      <c r="D184" s="3" t="str">
        <f ca="1">VLOOKUP($B184,OFFSET([1]quests!$A$1,0,0,COUNTA([1]quests!$A:$A),MATCH(D$1,[1]quests!$1:$1,0)-MATCH($B$1,[1]quests!$1:$1,0)+1),MATCH(D$1,[1]quests!$1:$1,0)-MATCH($B$1,[1]quests!$1:$1,0)+1,FALSE)</f>
        <v>日曜クエスト</v>
      </c>
      <c r="E184" s="5">
        <v>2</v>
      </c>
      <c r="F184" s="3" t="str">
        <f ca="1">VLOOKUP($B184&amp;"_"&amp;$E184,OFFSET([1]stages!$A$1,0,0,COUNTA([1]stages!$A:$A),MATCH(F$1,[1]stages!$2:$2,0)-MATCH("temp_stage",[1]stages!$2:$2,0)+1),MATCH(F$1,[1]stages!$2:$2,0)-MATCH("temp_stage",[1]stages!$2:$2,0)+1,FALSE)</f>
        <v xml:space="preserve">【中級】水と雷のウサギ </v>
      </c>
      <c r="G184" s="3" t="str">
        <f ca="1">VLOOKUP($B184&amp;"_"&amp;$E184,OFFSET([1]stages!$A$1,0,0,COUNTA([1]stages!$A:$A),MATCH(G$1,[1]stages!$2:$2,0)-MATCH("temp_stage",[1]stages!$2:$2,0)+1),MATCH(G$1,[1]stages!$2:$2,0)-MATCH("temp_stage",[1]stages!$2:$2,0)+1,FALSE)</f>
        <v>日曜クエスト</v>
      </c>
      <c r="H184" s="18">
        <v>0</v>
      </c>
      <c r="I184">
        <v>32</v>
      </c>
      <c r="J184" s="5" t="s">
        <v>16</v>
      </c>
      <c r="K184" s="35" t="str">
        <f>VLOOKUP(I184,[2]stage_hints!$A:$C,3,FALSE)</f>
        <v>敵の連続攻撃には</v>
      </c>
      <c r="L184" s="36" t="str">
        <f>VLOOKUP(I184,[2]stage_hints!$A:$D,4,FALSE)</f>
        <v>カウンタースキルを持つユニットがいれば_x000D_ダメージ回数分の反撃ができます</v>
      </c>
      <c r="M184" s="21" t="s">
        <v>23</v>
      </c>
      <c r="N184">
        <v>32</v>
      </c>
    </row>
    <row r="185" spans="1:14" x14ac:dyDescent="0.15">
      <c r="A185" s="26" t="s">
        <v>32</v>
      </c>
      <c r="B185" s="4">
        <v>11008</v>
      </c>
      <c r="C185" s="3" t="str">
        <f ca="1">VLOOKUP($B185,OFFSET([1]quests!$A$1,0,0,COUNTA([1]quests!$A:$A),MATCH(C$1,[1]quests!$1:$1,0)-MATCH($B$1,[1]quests!$1:$1,0)+1),MATCH(C$1,[1]quests!$1:$1,0)-MATCH($B$1,[1]quests!$1:$1,0)+1,FALSE)</f>
        <v>【日曜限定】 青と黄の素材</v>
      </c>
      <c r="D185" s="3" t="str">
        <f ca="1">VLOOKUP($B185,OFFSET([1]quests!$A$1,0,0,COUNTA([1]quests!$A:$A),MATCH(D$1,[1]quests!$1:$1,0)-MATCH($B$1,[1]quests!$1:$1,0)+1),MATCH(D$1,[1]quests!$1:$1,0)-MATCH($B$1,[1]quests!$1:$1,0)+1,FALSE)</f>
        <v>日曜クエスト</v>
      </c>
      <c r="E185" s="5">
        <v>2</v>
      </c>
      <c r="F185" s="3" t="str">
        <f ca="1">VLOOKUP($B185&amp;"_"&amp;$E185,OFFSET([1]stages!$A$1,0,0,COUNTA([1]stages!$A:$A),MATCH(F$1,[1]stages!$2:$2,0)-MATCH("temp_stage",[1]stages!$2:$2,0)+1),MATCH(F$1,[1]stages!$2:$2,0)-MATCH("temp_stage",[1]stages!$2:$2,0)+1,FALSE)</f>
        <v xml:space="preserve">【中級】水と雷のウサギ </v>
      </c>
      <c r="G185" s="3" t="str">
        <f ca="1">VLOOKUP($B185&amp;"_"&amp;$E185,OFFSET([1]stages!$A$1,0,0,COUNTA([1]stages!$A:$A),MATCH(G$1,[1]stages!$2:$2,0)-MATCH("temp_stage",[1]stages!$2:$2,0)+1),MATCH(G$1,[1]stages!$2:$2,0)-MATCH("temp_stage",[1]stages!$2:$2,0)+1,FALSE)</f>
        <v>日曜クエスト</v>
      </c>
      <c r="H185" s="18">
        <v>0</v>
      </c>
      <c r="I185">
        <v>33</v>
      </c>
      <c r="J185" s="5" t="s">
        <v>16</v>
      </c>
      <c r="K185" s="35" t="str">
        <f>VLOOKUP(I185,[2]stage_hints!$A:$C,3,FALSE)</f>
        <v>敵のカウンター攻撃には</v>
      </c>
      <c r="L185" s="36" t="str">
        <f>VLOOKUP(I185,[2]stage_hints!$A:$D,4,FALSE)</f>
        <v>カウンターブレイクスキルを持っていれば_x000D_敵のカウンターを解除して攻撃ができます</v>
      </c>
      <c r="M185" s="21" t="s">
        <v>23</v>
      </c>
      <c r="N185">
        <v>33</v>
      </c>
    </row>
    <row r="186" spans="1:14" x14ac:dyDescent="0.15">
      <c r="A186" s="26" t="s">
        <v>32</v>
      </c>
      <c r="B186" s="4">
        <v>11008</v>
      </c>
      <c r="C186" s="3" t="str">
        <f ca="1">VLOOKUP($B186,OFFSET([1]quests!$A$1,0,0,COUNTA([1]quests!$A:$A),MATCH(C$1,[1]quests!$1:$1,0)-MATCH($B$1,[1]quests!$1:$1,0)+1),MATCH(C$1,[1]quests!$1:$1,0)-MATCH($B$1,[1]quests!$1:$1,0)+1,FALSE)</f>
        <v>【日曜限定】 青と黄の素材</v>
      </c>
      <c r="D186" s="3" t="str">
        <f ca="1">VLOOKUP($B186,OFFSET([1]quests!$A$1,0,0,COUNTA([1]quests!$A:$A),MATCH(D$1,[1]quests!$1:$1,0)-MATCH($B$1,[1]quests!$1:$1,0)+1),MATCH(D$1,[1]quests!$1:$1,0)-MATCH($B$1,[1]quests!$1:$1,0)+1,FALSE)</f>
        <v>日曜クエスト</v>
      </c>
      <c r="E186" s="5">
        <v>2</v>
      </c>
      <c r="F186" s="3" t="str">
        <f ca="1">VLOOKUP($B186&amp;"_"&amp;$E186,OFFSET([1]stages!$A$1,0,0,COUNTA([1]stages!$A:$A),MATCH(F$1,[1]stages!$2:$2,0)-MATCH("temp_stage",[1]stages!$2:$2,0)+1),MATCH(F$1,[1]stages!$2:$2,0)-MATCH("temp_stage",[1]stages!$2:$2,0)+1,FALSE)</f>
        <v xml:space="preserve">【中級】水と雷のウサギ </v>
      </c>
      <c r="G186" s="3" t="str">
        <f ca="1">VLOOKUP($B186&amp;"_"&amp;$E186,OFFSET([1]stages!$A$1,0,0,COUNTA([1]stages!$A:$A),MATCH(G$1,[1]stages!$2:$2,0)-MATCH("temp_stage",[1]stages!$2:$2,0)+1),MATCH(G$1,[1]stages!$2:$2,0)-MATCH("temp_stage",[1]stages!$2:$2,0)+1,FALSE)</f>
        <v>日曜クエスト</v>
      </c>
      <c r="H186" s="18">
        <v>0</v>
      </c>
      <c r="I186">
        <v>34</v>
      </c>
      <c r="J186" s="5" t="s">
        <v>16</v>
      </c>
      <c r="K186" s="35" t="str">
        <f>VLOOKUP(I186,[2]stage_hints!$A:$C,3,FALSE)</f>
        <v>ステータスをスキルで下げられたら</v>
      </c>
      <c r="L186" s="36" t="str">
        <f>VLOOKUP(I186,[2]stage_hints!$A:$D,4,FALSE)</f>
        <v>ステータスダウンのスキルを受けたら_x000D_ステータスアップスキルで上書きしましょう</v>
      </c>
      <c r="M186" s="21" t="s">
        <v>23</v>
      </c>
      <c r="N186">
        <v>34</v>
      </c>
    </row>
    <row r="187" spans="1:14" x14ac:dyDescent="0.15">
      <c r="A187" s="26" t="s">
        <v>32</v>
      </c>
      <c r="B187" s="4">
        <v>11008</v>
      </c>
      <c r="C187" s="3" t="str">
        <f ca="1">VLOOKUP($B187,OFFSET([1]quests!$A$1,0,0,COUNTA([1]quests!$A:$A),MATCH(C$1,[1]quests!$1:$1,0)-MATCH($B$1,[1]quests!$1:$1,0)+1),MATCH(C$1,[1]quests!$1:$1,0)-MATCH($B$1,[1]quests!$1:$1,0)+1,FALSE)</f>
        <v>【日曜限定】 青と黄の素材</v>
      </c>
      <c r="D187" s="3" t="str">
        <f ca="1">VLOOKUP($B187,OFFSET([1]quests!$A$1,0,0,COUNTA([1]quests!$A:$A),MATCH(D$1,[1]quests!$1:$1,0)-MATCH($B$1,[1]quests!$1:$1,0)+1),MATCH(D$1,[1]quests!$1:$1,0)-MATCH($B$1,[1]quests!$1:$1,0)+1,FALSE)</f>
        <v>日曜クエスト</v>
      </c>
      <c r="E187" s="5">
        <v>2</v>
      </c>
      <c r="F187" s="3" t="str">
        <f ca="1">VLOOKUP($B187&amp;"_"&amp;$E187,OFFSET([1]stages!$A$1,0,0,COUNTA([1]stages!$A:$A),MATCH(F$1,[1]stages!$2:$2,0)-MATCH("temp_stage",[1]stages!$2:$2,0)+1),MATCH(F$1,[1]stages!$2:$2,0)-MATCH("temp_stage",[1]stages!$2:$2,0)+1,FALSE)</f>
        <v xml:space="preserve">【中級】水と雷のウサギ </v>
      </c>
      <c r="G187" s="3" t="str">
        <f ca="1">VLOOKUP($B187&amp;"_"&amp;$E187,OFFSET([1]stages!$A$1,0,0,COUNTA([1]stages!$A:$A),MATCH(G$1,[1]stages!$2:$2,0)-MATCH("temp_stage",[1]stages!$2:$2,0)+1),MATCH(G$1,[1]stages!$2:$2,0)-MATCH("temp_stage",[1]stages!$2:$2,0)+1,FALSE)</f>
        <v>日曜クエスト</v>
      </c>
      <c r="H187" s="18">
        <v>0</v>
      </c>
      <c r="I187">
        <v>35</v>
      </c>
      <c r="J187" s="5" t="s">
        <v>16</v>
      </c>
      <c r="K187" s="35" t="str">
        <f>VLOOKUP(I187,[2]stage_hints!$A:$C,3,FALSE)</f>
        <v>敵のステータスがスキルで上がったら</v>
      </c>
      <c r="L187" s="36" t="str">
        <f>VLOOKUP(I187,[2]stage_hints!$A:$D,4,FALSE)</f>
        <v>敵のステータスがスキルでアップしたときは_x000D_ステータスダウンスキルで上書きしましょう</v>
      </c>
      <c r="M187" s="21" t="s">
        <v>23</v>
      </c>
      <c r="N187">
        <v>35</v>
      </c>
    </row>
    <row r="188" spans="1:14" x14ac:dyDescent="0.15">
      <c r="A188" s="26" t="s">
        <v>32</v>
      </c>
      <c r="B188" s="4">
        <v>11101</v>
      </c>
      <c r="C188" s="3" t="str">
        <f ca="1">VLOOKUP($B188,OFFSET([1]quests!$A$1,0,0,COUNTA([1]quests!$A:$A),MATCH(C$1,[1]quests!$1:$1,0)-MATCH($B$1,[1]quests!$1:$1,0)+1),MATCH(C$1,[1]quests!$1:$1,0)-MATCH($B$1,[1]quests!$1:$1,0)+1,FALSE)</f>
        <v>【期間限定】 黄の素材</v>
      </c>
      <c r="D188" s="3" t="str">
        <f ca="1">VLOOKUP($B188,OFFSET([1]quests!$A$1,0,0,COUNTA([1]quests!$A:$A),MATCH(D$1,[1]quests!$1:$1,0)-MATCH($B$1,[1]quests!$1:$1,0)+1),MATCH(D$1,[1]quests!$1:$1,0)-MATCH($B$1,[1]quests!$1:$1,0)+1,FALSE)</f>
        <v>月曜クエスト</v>
      </c>
      <c r="E188" s="5">
        <v>2</v>
      </c>
      <c r="F188" s="3" t="str">
        <f ca="1">VLOOKUP($B188&amp;"_"&amp;$E188,OFFSET([1]stages!$A$1,0,0,COUNTA([1]stages!$A:$A),MATCH(F$1,[1]stages!$2:$2,0)-MATCH("temp_stage",[1]stages!$2:$2,0)+1),MATCH(F$1,[1]stages!$2:$2,0)-MATCH("temp_stage",[1]stages!$2:$2,0)+1,FALSE)</f>
        <v xml:space="preserve">【中級】雷のウサギ </v>
      </c>
      <c r="G188" s="3" t="str">
        <f ca="1">VLOOKUP($B188&amp;"_"&amp;$E188,OFFSET([1]stages!$A$1,0,0,COUNTA([1]stages!$A:$A),MATCH(G$1,[1]stages!$2:$2,0)-MATCH("temp_stage",[1]stages!$2:$2,0)+1),MATCH(G$1,[1]stages!$2:$2,0)-MATCH("temp_stage",[1]stages!$2:$2,0)+1,FALSE)</f>
        <v>月曜クエスト</v>
      </c>
      <c r="H188" s="18">
        <v>0</v>
      </c>
      <c r="I188">
        <v>3</v>
      </c>
      <c r="J188" s="5" t="s">
        <v>16</v>
      </c>
      <c r="K188" s="35" t="str">
        <f>VLOOKUP(I188,[2]stage_hints!$A:$C,3,FALSE)</f>
        <v>ターゲット</v>
      </c>
      <c r="L188" s="36" t="str">
        <f>VLOOKUP(I188,[2]stage_hints!$A:$D,4,FALSE)</f>
        <v>敵ユニットをタップすると_x000D_その敵を狙い撃ちできます</v>
      </c>
      <c r="M188" s="21" t="s">
        <v>23</v>
      </c>
      <c r="N188">
        <v>3</v>
      </c>
    </row>
    <row r="189" spans="1:14" x14ac:dyDescent="0.15">
      <c r="A189" s="26" t="s">
        <v>32</v>
      </c>
      <c r="B189" s="4">
        <v>11101</v>
      </c>
      <c r="C189" s="3" t="str">
        <f ca="1">VLOOKUP($B189,OFFSET([1]quests!$A$1,0,0,COUNTA([1]quests!$A:$A),MATCH(C$1,[1]quests!$1:$1,0)-MATCH($B$1,[1]quests!$1:$1,0)+1),MATCH(C$1,[1]quests!$1:$1,0)-MATCH($B$1,[1]quests!$1:$1,0)+1,FALSE)</f>
        <v>【期間限定】 黄の素材</v>
      </c>
      <c r="D189" s="3" t="str">
        <f ca="1">VLOOKUP($B189,OFFSET([1]quests!$A$1,0,0,COUNTA([1]quests!$A:$A),MATCH(D$1,[1]quests!$1:$1,0)-MATCH($B$1,[1]quests!$1:$1,0)+1),MATCH(D$1,[1]quests!$1:$1,0)-MATCH($B$1,[1]quests!$1:$1,0)+1,FALSE)</f>
        <v>月曜クエスト</v>
      </c>
      <c r="E189" s="5">
        <v>2</v>
      </c>
      <c r="F189" s="3" t="str">
        <f ca="1">VLOOKUP($B189&amp;"_"&amp;$E189,OFFSET([1]stages!$A$1,0,0,COUNTA([1]stages!$A:$A),MATCH(F$1,[1]stages!$2:$2,0)-MATCH("temp_stage",[1]stages!$2:$2,0)+1),MATCH(F$1,[1]stages!$2:$2,0)-MATCH("temp_stage",[1]stages!$2:$2,0)+1,FALSE)</f>
        <v xml:space="preserve">【中級】雷のウサギ </v>
      </c>
      <c r="G189" s="3" t="str">
        <f ca="1">VLOOKUP($B189&amp;"_"&amp;$E189,OFFSET([1]stages!$A$1,0,0,COUNTA([1]stages!$A:$A),MATCH(G$1,[1]stages!$2:$2,0)-MATCH("temp_stage",[1]stages!$2:$2,0)+1),MATCH(G$1,[1]stages!$2:$2,0)-MATCH("temp_stage",[1]stages!$2:$2,0)+1,FALSE)</f>
        <v>月曜クエスト</v>
      </c>
      <c r="H189" s="18">
        <v>0</v>
      </c>
      <c r="I189">
        <v>6</v>
      </c>
      <c r="J189" s="5" t="s">
        <v>16</v>
      </c>
      <c r="K189" s="35" t="str">
        <f>VLOOKUP(I189,[2]stage_hints!$A:$C,3,FALSE)</f>
        <v>ユニット強化の属性ボーナス</v>
      </c>
      <c r="L189" s="36" t="str">
        <f>VLOOKUP(I189,[2]stage_hints!$A:$D,4,FALSE)</f>
        <v>同属性ユニットを強化素材にすると_x000D_経験値が多くもらえます</v>
      </c>
      <c r="M189" s="21" t="s">
        <v>23</v>
      </c>
      <c r="N189">
        <v>6</v>
      </c>
    </row>
    <row r="190" spans="1:14" x14ac:dyDescent="0.15">
      <c r="A190" s="26" t="s">
        <v>32</v>
      </c>
      <c r="B190" s="4">
        <v>11101</v>
      </c>
      <c r="C190" s="3" t="str">
        <f ca="1">VLOOKUP($B190,OFFSET([1]quests!$A$1,0,0,COUNTA([1]quests!$A:$A),MATCH(C$1,[1]quests!$1:$1,0)-MATCH($B$1,[1]quests!$1:$1,0)+1),MATCH(C$1,[1]quests!$1:$1,0)-MATCH($B$1,[1]quests!$1:$1,0)+1,FALSE)</f>
        <v>【期間限定】 黄の素材</v>
      </c>
      <c r="D190" s="3" t="str">
        <f ca="1">VLOOKUP($B190,OFFSET([1]quests!$A$1,0,0,COUNTA([1]quests!$A:$A),MATCH(D$1,[1]quests!$1:$1,0)-MATCH($B$1,[1]quests!$1:$1,0)+1),MATCH(D$1,[1]quests!$1:$1,0)-MATCH($B$1,[1]quests!$1:$1,0)+1,FALSE)</f>
        <v>月曜クエスト</v>
      </c>
      <c r="E190" s="5">
        <v>2</v>
      </c>
      <c r="F190" s="3" t="str">
        <f ca="1">VLOOKUP($B190&amp;"_"&amp;$E190,OFFSET([1]stages!$A$1,0,0,COUNTA([1]stages!$A:$A),MATCH(F$1,[1]stages!$2:$2,0)-MATCH("temp_stage",[1]stages!$2:$2,0)+1),MATCH(F$1,[1]stages!$2:$2,0)-MATCH("temp_stage",[1]stages!$2:$2,0)+1,FALSE)</f>
        <v xml:space="preserve">【中級】雷のウサギ </v>
      </c>
      <c r="G190" s="3" t="str">
        <f ca="1">VLOOKUP($B190&amp;"_"&amp;$E190,OFFSET([1]stages!$A$1,0,0,COUNTA([1]stages!$A:$A),MATCH(G$1,[1]stages!$2:$2,0)-MATCH("temp_stage",[1]stages!$2:$2,0)+1),MATCH(G$1,[1]stages!$2:$2,0)-MATCH("temp_stage",[1]stages!$2:$2,0)+1,FALSE)</f>
        <v>月曜クエスト</v>
      </c>
      <c r="H190" s="18">
        <v>0</v>
      </c>
      <c r="I190">
        <v>7</v>
      </c>
      <c r="J190" s="5" t="s">
        <v>16</v>
      </c>
      <c r="K190" s="35" t="str">
        <f>VLOOKUP(I190,[2]stage_hints!$A:$C,3,FALSE)</f>
        <v>メタルダックで経験値を獲得</v>
      </c>
      <c r="L190" s="36" t="str">
        <f>VLOOKUP(I190,[2]stage_hints!$A:$D,4,FALSE)</f>
        <v>「メタルなアヒル」を強化素材にすると_x000D_大量の経験値がもらえます</v>
      </c>
      <c r="M190" s="21" t="s">
        <v>23</v>
      </c>
      <c r="N190">
        <v>7</v>
      </c>
    </row>
    <row r="191" spans="1:14" x14ac:dyDescent="0.15">
      <c r="A191" s="26" t="s">
        <v>32</v>
      </c>
      <c r="B191" s="4">
        <v>11101</v>
      </c>
      <c r="C191" s="3" t="str">
        <f ca="1">VLOOKUP($B191,OFFSET([1]quests!$A$1,0,0,COUNTA([1]quests!$A:$A),MATCH(C$1,[1]quests!$1:$1,0)-MATCH($B$1,[1]quests!$1:$1,0)+1),MATCH(C$1,[1]quests!$1:$1,0)-MATCH($B$1,[1]quests!$1:$1,0)+1,FALSE)</f>
        <v>【期間限定】 黄の素材</v>
      </c>
      <c r="D191" s="3" t="str">
        <f ca="1">VLOOKUP($B191,OFFSET([1]quests!$A$1,0,0,COUNTA([1]quests!$A:$A),MATCH(D$1,[1]quests!$1:$1,0)-MATCH($B$1,[1]quests!$1:$1,0)+1),MATCH(D$1,[1]quests!$1:$1,0)-MATCH($B$1,[1]quests!$1:$1,0)+1,FALSE)</f>
        <v>月曜クエスト</v>
      </c>
      <c r="E191" s="5">
        <v>2</v>
      </c>
      <c r="F191" s="3" t="str">
        <f ca="1">VLOOKUP($B191&amp;"_"&amp;$E191,OFFSET([1]stages!$A$1,0,0,COUNTA([1]stages!$A:$A),MATCH(F$1,[1]stages!$2:$2,0)-MATCH("temp_stage",[1]stages!$2:$2,0)+1),MATCH(F$1,[1]stages!$2:$2,0)-MATCH("temp_stage",[1]stages!$2:$2,0)+1,FALSE)</f>
        <v xml:space="preserve">【中級】雷のウサギ </v>
      </c>
      <c r="G191" s="3" t="str">
        <f ca="1">VLOOKUP($B191&amp;"_"&amp;$E191,OFFSET([1]stages!$A$1,0,0,COUNTA([1]stages!$A:$A),MATCH(G$1,[1]stages!$2:$2,0)-MATCH("temp_stage",[1]stages!$2:$2,0)+1),MATCH(G$1,[1]stages!$2:$2,0)-MATCH("temp_stage",[1]stages!$2:$2,0)+1,FALSE)</f>
        <v>月曜クエスト</v>
      </c>
      <c r="H191" s="18">
        <v>0</v>
      </c>
      <c r="I191">
        <v>8</v>
      </c>
      <c r="J191" s="5" t="s">
        <v>16</v>
      </c>
      <c r="K191" s="35" t="str">
        <f>VLOOKUP(I191,[2]stage_hints!$A:$C,3,FALSE)</f>
        <v>ゲリラクエストは要チェック</v>
      </c>
      <c r="L191" s="36" t="str">
        <f>VLOOKUP(I191,[2]stage_hints!$A:$D,4,FALSE)</f>
        <v>時間限定の「アヒル捕獲作戦」では_x000D_経験値素材ユニットが多く手に入ります</v>
      </c>
      <c r="M191" s="21" t="s">
        <v>23</v>
      </c>
      <c r="N191">
        <v>8</v>
      </c>
    </row>
    <row r="192" spans="1:14" x14ac:dyDescent="0.15">
      <c r="A192" s="26" t="s">
        <v>32</v>
      </c>
      <c r="B192" s="4">
        <v>11101</v>
      </c>
      <c r="C192" s="3" t="str">
        <f ca="1">VLOOKUP($B192,OFFSET([1]quests!$A$1,0,0,COUNTA([1]quests!$A:$A),MATCH(C$1,[1]quests!$1:$1,0)-MATCH($B$1,[1]quests!$1:$1,0)+1),MATCH(C$1,[1]quests!$1:$1,0)-MATCH($B$1,[1]quests!$1:$1,0)+1,FALSE)</f>
        <v>【期間限定】 黄の素材</v>
      </c>
      <c r="D192" s="3" t="str">
        <f ca="1">VLOOKUP($B192,OFFSET([1]quests!$A$1,0,0,COUNTA([1]quests!$A:$A),MATCH(D$1,[1]quests!$1:$1,0)-MATCH($B$1,[1]quests!$1:$1,0)+1),MATCH(D$1,[1]quests!$1:$1,0)-MATCH($B$1,[1]quests!$1:$1,0)+1,FALSE)</f>
        <v>月曜クエスト</v>
      </c>
      <c r="E192" s="5">
        <v>2</v>
      </c>
      <c r="F192" s="3" t="str">
        <f ca="1">VLOOKUP($B192&amp;"_"&amp;$E192,OFFSET([1]stages!$A$1,0,0,COUNTA([1]stages!$A:$A),MATCH(F$1,[1]stages!$2:$2,0)-MATCH("temp_stage",[1]stages!$2:$2,0)+1),MATCH(F$1,[1]stages!$2:$2,0)-MATCH("temp_stage",[1]stages!$2:$2,0)+1,FALSE)</f>
        <v xml:space="preserve">【中級】雷のウサギ </v>
      </c>
      <c r="G192" s="3" t="str">
        <f ca="1">VLOOKUP($B192&amp;"_"&amp;$E192,OFFSET([1]stages!$A$1,0,0,COUNTA([1]stages!$A:$A),MATCH(G$1,[1]stages!$2:$2,0)-MATCH("temp_stage",[1]stages!$2:$2,0)+1),MATCH(G$1,[1]stages!$2:$2,0)-MATCH("temp_stage",[1]stages!$2:$2,0)+1,FALSE)</f>
        <v>月曜クエスト</v>
      </c>
      <c r="H192" s="18">
        <v>0</v>
      </c>
      <c r="I192">
        <v>9</v>
      </c>
      <c r="J192" s="5" t="s">
        <v>16</v>
      </c>
      <c r="K192" s="35" t="str">
        <f>VLOOKUP(I192,[2]stage_hints!$A:$C,3,FALSE)</f>
        <v>ゴールドダックでビットを獲得</v>
      </c>
      <c r="L192" s="36" t="str">
        <f>VLOOKUP(I192,[2]stage_hints!$A:$D,4,FALSE)</f>
        <v>「ゴールドなアヒル」を売却すると_x000D_大量のビットがもらえます</v>
      </c>
      <c r="M192" s="21" t="s">
        <v>23</v>
      </c>
      <c r="N192">
        <v>9</v>
      </c>
    </row>
    <row r="193" spans="1:14" x14ac:dyDescent="0.15">
      <c r="A193" s="26" t="s">
        <v>32</v>
      </c>
      <c r="B193" s="4">
        <v>11101</v>
      </c>
      <c r="C193" s="3" t="str">
        <f ca="1">VLOOKUP($B193,OFFSET([1]quests!$A$1,0,0,COUNTA([1]quests!$A:$A),MATCH(C$1,[1]quests!$1:$1,0)-MATCH($B$1,[1]quests!$1:$1,0)+1),MATCH(C$1,[1]quests!$1:$1,0)-MATCH($B$1,[1]quests!$1:$1,0)+1,FALSE)</f>
        <v>【期間限定】 黄の素材</v>
      </c>
      <c r="D193" s="3" t="str">
        <f ca="1">VLOOKUP($B193,OFFSET([1]quests!$A$1,0,0,COUNTA([1]quests!$A:$A),MATCH(D$1,[1]quests!$1:$1,0)-MATCH($B$1,[1]quests!$1:$1,0)+1),MATCH(D$1,[1]quests!$1:$1,0)-MATCH($B$1,[1]quests!$1:$1,0)+1,FALSE)</f>
        <v>月曜クエスト</v>
      </c>
      <c r="E193" s="5">
        <v>2</v>
      </c>
      <c r="F193" s="3" t="str">
        <f ca="1">VLOOKUP($B193&amp;"_"&amp;$E193,OFFSET([1]stages!$A$1,0,0,COUNTA([1]stages!$A:$A),MATCH(F$1,[1]stages!$2:$2,0)-MATCH("temp_stage",[1]stages!$2:$2,0)+1),MATCH(F$1,[1]stages!$2:$2,0)-MATCH("temp_stage",[1]stages!$2:$2,0)+1,FALSE)</f>
        <v xml:space="preserve">【中級】雷のウサギ </v>
      </c>
      <c r="G193" s="3" t="str">
        <f ca="1">VLOOKUP($B193&amp;"_"&amp;$E193,OFFSET([1]stages!$A$1,0,0,COUNTA([1]stages!$A:$A),MATCH(G$1,[1]stages!$2:$2,0)-MATCH("temp_stage",[1]stages!$2:$2,0)+1),MATCH(G$1,[1]stages!$2:$2,0)-MATCH("temp_stage",[1]stages!$2:$2,0)+1,FALSE)</f>
        <v>月曜クエスト</v>
      </c>
      <c r="H193" s="18">
        <v>0</v>
      </c>
      <c r="I193">
        <v>10</v>
      </c>
      <c r="J193" s="5" t="s">
        <v>16</v>
      </c>
      <c r="K193" s="35" t="str">
        <f>VLOOKUP(I193,[2]stage_hints!$A:$C,3,FALSE)</f>
        <v>土日に大量のビットを獲得</v>
      </c>
      <c r="L193" s="36" t="str">
        <f>VLOOKUP(I193,[2]stage_hints!$A:$D,4,FALSE)</f>
        <v>土日限定の「ゴールドカジノ」では_x000D_売却素材ユニットが多く手に入ります</v>
      </c>
      <c r="M193" s="21" t="s">
        <v>23</v>
      </c>
      <c r="N193">
        <v>10</v>
      </c>
    </row>
    <row r="194" spans="1:14" x14ac:dyDescent="0.15">
      <c r="A194" s="26" t="s">
        <v>32</v>
      </c>
      <c r="B194" s="4">
        <v>11101</v>
      </c>
      <c r="C194" s="3" t="str">
        <f ca="1">VLOOKUP($B194,OFFSET([1]quests!$A$1,0,0,COUNTA([1]quests!$A:$A),MATCH(C$1,[1]quests!$1:$1,0)-MATCH($B$1,[1]quests!$1:$1,0)+1),MATCH(C$1,[1]quests!$1:$1,0)-MATCH($B$1,[1]quests!$1:$1,0)+1,FALSE)</f>
        <v>【期間限定】 黄の素材</v>
      </c>
      <c r="D194" s="3" t="str">
        <f ca="1">VLOOKUP($B194,OFFSET([1]quests!$A$1,0,0,COUNTA([1]quests!$A:$A),MATCH(D$1,[1]quests!$1:$1,0)-MATCH($B$1,[1]quests!$1:$1,0)+1),MATCH(D$1,[1]quests!$1:$1,0)-MATCH($B$1,[1]quests!$1:$1,0)+1,FALSE)</f>
        <v>月曜クエスト</v>
      </c>
      <c r="E194" s="5">
        <v>2</v>
      </c>
      <c r="F194" s="3" t="str">
        <f ca="1">VLOOKUP($B194&amp;"_"&amp;$E194,OFFSET([1]stages!$A$1,0,0,COUNTA([1]stages!$A:$A),MATCH(F$1,[1]stages!$2:$2,0)-MATCH("temp_stage",[1]stages!$2:$2,0)+1),MATCH(F$1,[1]stages!$2:$2,0)-MATCH("temp_stage",[1]stages!$2:$2,0)+1,FALSE)</f>
        <v xml:space="preserve">【中級】雷のウサギ </v>
      </c>
      <c r="G194" s="3" t="str">
        <f ca="1">VLOOKUP($B194&amp;"_"&amp;$E194,OFFSET([1]stages!$A$1,0,0,COUNTA([1]stages!$A:$A),MATCH(G$1,[1]stages!$2:$2,0)-MATCH("temp_stage",[1]stages!$2:$2,0)+1),MATCH(G$1,[1]stages!$2:$2,0)-MATCH("temp_stage",[1]stages!$2:$2,0)+1,FALSE)</f>
        <v>月曜クエスト</v>
      </c>
      <c r="H194" s="18">
        <v>0</v>
      </c>
      <c r="I194">
        <v>11</v>
      </c>
      <c r="J194" s="5" t="s">
        <v>16</v>
      </c>
      <c r="K194" s="35" t="str">
        <f>VLOOKUP(I194,[2]stage_hints!$A:$C,3,FALSE)</f>
        <v>ランク解放クエスト</v>
      </c>
      <c r="L194" s="36" t="str">
        <f>VLOOKUP(I194,[2]stage_hints!$A:$D,4,FALSE)</f>
        <v>一定ランクに到達すると_x000D_報酬付きのランク開放クエストが現れます</v>
      </c>
      <c r="M194" s="21" t="s">
        <v>23</v>
      </c>
      <c r="N194">
        <v>11</v>
      </c>
    </row>
    <row r="195" spans="1:14" x14ac:dyDescent="0.15">
      <c r="A195" s="26" t="s">
        <v>32</v>
      </c>
      <c r="B195" s="4">
        <v>11101</v>
      </c>
      <c r="C195" s="3" t="str">
        <f ca="1">VLOOKUP($B195,OFFSET([1]quests!$A$1,0,0,COUNTA([1]quests!$A:$A),MATCH(C$1,[1]quests!$1:$1,0)-MATCH($B$1,[1]quests!$1:$1,0)+1),MATCH(C$1,[1]quests!$1:$1,0)-MATCH($B$1,[1]quests!$1:$1,0)+1,FALSE)</f>
        <v>【期間限定】 黄の素材</v>
      </c>
      <c r="D195" s="3" t="str">
        <f ca="1">VLOOKUP($B195,OFFSET([1]quests!$A$1,0,0,COUNTA([1]quests!$A:$A),MATCH(D$1,[1]quests!$1:$1,0)-MATCH($B$1,[1]quests!$1:$1,0)+1),MATCH(D$1,[1]quests!$1:$1,0)-MATCH($B$1,[1]quests!$1:$1,0)+1,FALSE)</f>
        <v>月曜クエスト</v>
      </c>
      <c r="E195" s="5">
        <v>2</v>
      </c>
      <c r="F195" s="3" t="str">
        <f ca="1">VLOOKUP($B195&amp;"_"&amp;$E195,OFFSET([1]stages!$A$1,0,0,COUNTA([1]stages!$A:$A),MATCH(F$1,[1]stages!$2:$2,0)-MATCH("temp_stage",[1]stages!$2:$2,0)+1),MATCH(F$1,[1]stages!$2:$2,0)-MATCH("temp_stage",[1]stages!$2:$2,0)+1,FALSE)</f>
        <v xml:space="preserve">【中級】雷のウサギ </v>
      </c>
      <c r="G195" s="3" t="str">
        <f ca="1">VLOOKUP($B195&amp;"_"&amp;$E195,OFFSET([1]stages!$A$1,0,0,COUNTA([1]stages!$A:$A),MATCH(G$1,[1]stages!$2:$2,0)-MATCH("temp_stage",[1]stages!$2:$2,0)+1),MATCH(G$1,[1]stages!$2:$2,0)-MATCH("temp_stage",[1]stages!$2:$2,0)+1,FALSE)</f>
        <v>月曜クエスト</v>
      </c>
      <c r="H195" s="18">
        <v>0</v>
      </c>
      <c r="I195">
        <v>12</v>
      </c>
      <c r="J195" s="5" t="s">
        <v>16</v>
      </c>
      <c r="K195" s="35" t="str">
        <f>VLOOKUP(I195,[2]stage_hints!$A:$C,3,FALSE)</f>
        <v>ユニットのお気に入り登録</v>
      </c>
      <c r="L195" s="36" t="str">
        <f>VLOOKUP(I195,[2]stage_hints!$A:$D,4,FALSE)</f>
        <v>大事なユニットを誤って消さないように_x000D_フォルダから「お気に入り登録」しましょう</v>
      </c>
      <c r="M195" s="21" t="s">
        <v>23</v>
      </c>
      <c r="N195">
        <v>12</v>
      </c>
    </row>
    <row r="196" spans="1:14" x14ac:dyDescent="0.15">
      <c r="A196" s="26" t="s">
        <v>32</v>
      </c>
      <c r="B196" s="4">
        <v>11101</v>
      </c>
      <c r="C196" s="3" t="str">
        <f ca="1">VLOOKUP($B196,OFFSET([1]quests!$A$1,0,0,COUNTA([1]quests!$A:$A),MATCH(C$1,[1]quests!$1:$1,0)-MATCH($B$1,[1]quests!$1:$1,0)+1),MATCH(C$1,[1]quests!$1:$1,0)-MATCH($B$1,[1]quests!$1:$1,0)+1,FALSE)</f>
        <v>【期間限定】 黄の素材</v>
      </c>
      <c r="D196" s="3" t="str">
        <f ca="1">VLOOKUP($B196,OFFSET([1]quests!$A$1,0,0,COUNTA([1]quests!$A:$A),MATCH(D$1,[1]quests!$1:$1,0)-MATCH($B$1,[1]quests!$1:$1,0)+1),MATCH(D$1,[1]quests!$1:$1,0)-MATCH($B$1,[1]quests!$1:$1,0)+1,FALSE)</f>
        <v>月曜クエスト</v>
      </c>
      <c r="E196" s="5">
        <v>2</v>
      </c>
      <c r="F196" s="3" t="str">
        <f ca="1">VLOOKUP($B196&amp;"_"&amp;$E196,OFFSET([1]stages!$A$1,0,0,COUNTA([1]stages!$A:$A),MATCH(F$1,[1]stages!$2:$2,0)-MATCH("temp_stage",[1]stages!$2:$2,0)+1),MATCH(F$1,[1]stages!$2:$2,0)-MATCH("temp_stage",[1]stages!$2:$2,0)+1,FALSE)</f>
        <v xml:space="preserve">【中級】雷のウサギ </v>
      </c>
      <c r="G196" s="3" t="str">
        <f ca="1">VLOOKUP($B196&amp;"_"&amp;$E196,OFFSET([1]stages!$A$1,0,0,COUNTA([1]stages!$A:$A),MATCH(G$1,[1]stages!$2:$2,0)-MATCH("temp_stage",[1]stages!$2:$2,0)+1),MATCH(G$1,[1]stages!$2:$2,0)-MATCH("temp_stage",[1]stages!$2:$2,0)+1,FALSE)</f>
        <v>月曜クエスト</v>
      </c>
      <c r="H196" s="18">
        <v>0</v>
      </c>
      <c r="I196">
        <v>13</v>
      </c>
      <c r="J196" s="5" t="s">
        <v>16</v>
      </c>
      <c r="K196" s="35" t="str">
        <f>VLOOKUP(I196,[2]stage_hints!$A:$C,3,FALSE)</f>
        <v>ユニットの覚醒</v>
      </c>
      <c r="L196" s="36" t="str">
        <f>VLOOKUP(I196,[2]stage_hints!$A:$D,4,FALSE)</f>
        <v>ユニットを覚醒させると_x000D_比べものにならない強さが手に入ります</v>
      </c>
      <c r="M196" s="21" t="s">
        <v>23</v>
      </c>
      <c r="N196">
        <v>13</v>
      </c>
    </row>
    <row r="197" spans="1:14" x14ac:dyDescent="0.15">
      <c r="A197" s="26" t="s">
        <v>32</v>
      </c>
      <c r="B197" s="4">
        <v>11101</v>
      </c>
      <c r="C197" s="3" t="str">
        <f ca="1">VLOOKUP($B197,OFFSET([1]quests!$A$1,0,0,COUNTA([1]quests!$A:$A),MATCH(C$1,[1]quests!$1:$1,0)-MATCH($B$1,[1]quests!$1:$1,0)+1),MATCH(C$1,[1]quests!$1:$1,0)-MATCH($B$1,[1]quests!$1:$1,0)+1,FALSE)</f>
        <v>【期間限定】 黄の素材</v>
      </c>
      <c r="D197" s="3" t="str">
        <f ca="1">VLOOKUP($B197,OFFSET([1]quests!$A$1,0,0,COUNTA([1]quests!$A:$A),MATCH(D$1,[1]quests!$1:$1,0)-MATCH($B$1,[1]quests!$1:$1,0)+1),MATCH(D$1,[1]quests!$1:$1,0)-MATCH($B$1,[1]quests!$1:$1,0)+1,FALSE)</f>
        <v>月曜クエスト</v>
      </c>
      <c r="E197" s="5">
        <v>2</v>
      </c>
      <c r="F197" s="3" t="str">
        <f ca="1">VLOOKUP($B197&amp;"_"&amp;$E197,OFFSET([1]stages!$A$1,0,0,COUNTA([1]stages!$A:$A),MATCH(F$1,[1]stages!$2:$2,0)-MATCH("temp_stage",[1]stages!$2:$2,0)+1),MATCH(F$1,[1]stages!$2:$2,0)-MATCH("temp_stage",[1]stages!$2:$2,0)+1,FALSE)</f>
        <v xml:space="preserve">【中級】雷のウサギ </v>
      </c>
      <c r="G197" s="3" t="str">
        <f ca="1">VLOOKUP($B197&amp;"_"&amp;$E197,OFFSET([1]stages!$A$1,0,0,COUNTA([1]stages!$A:$A),MATCH(G$1,[1]stages!$2:$2,0)-MATCH("temp_stage",[1]stages!$2:$2,0)+1),MATCH(G$1,[1]stages!$2:$2,0)-MATCH("temp_stage",[1]stages!$2:$2,0)+1,FALSE)</f>
        <v>月曜クエスト</v>
      </c>
      <c r="H197" s="18">
        <v>0</v>
      </c>
      <c r="I197">
        <v>14</v>
      </c>
      <c r="J197" s="5" t="s">
        <v>16</v>
      </c>
      <c r="K197" s="35" t="str">
        <f>VLOOKUP(I197,[2]stage_hints!$A:$C,3,FALSE)</f>
        <v>覚醒するにはレベルを最大に</v>
      </c>
      <c r="L197" s="36" t="str">
        <f>VLOOKUP(I197,[2]stage_hints!$A:$D,4,FALSE)</f>
        <v>覚醒するにはユニットのレベルを_x000D_最大まで上げる必要があります</v>
      </c>
      <c r="M197" s="21" t="s">
        <v>23</v>
      </c>
      <c r="N197">
        <v>14</v>
      </c>
    </row>
    <row r="198" spans="1:14" x14ac:dyDescent="0.15">
      <c r="A198" s="26" t="s">
        <v>32</v>
      </c>
      <c r="B198" s="4">
        <v>11101</v>
      </c>
      <c r="C198" s="3" t="str">
        <f ca="1">VLOOKUP($B198,OFFSET([1]quests!$A$1,0,0,COUNTA([1]quests!$A:$A),MATCH(C$1,[1]quests!$1:$1,0)-MATCH($B$1,[1]quests!$1:$1,0)+1),MATCH(C$1,[1]quests!$1:$1,0)-MATCH($B$1,[1]quests!$1:$1,0)+1,FALSE)</f>
        <v>【期間限定】 黄の素材</v>
      </c>
      <c r="D198" s="3" t="str">
        <f ca="1">VLOOKUP($B198,OFFSET([1]quests!$A$1,0,0,COUNTA([1]quests!$A:$A),MATCH(D$1,[1]quests!$1:$1,0)-MATCH($B$1,[1]quests!$1:$1,0)+1),MATCH(D$1,[1]quests!$1:$1,0)-MATCH($B$1,[1]quests!$1:$1,0)+1,FALSE)</f>
        <v>月曜クエスト</v>
      </c>
      <c r="E198" s="5">
        <v>2</v>
      </c>
      <c r="F198" s="3" t="str">
        <f ca="1">VLOOKUP($B198&amp;"_"&amp;$E198,OFFSET([1]stages!$A$1,0,0,COUNTA([1]stages!$A:$A),MATCH(F$1,[1]stages!$2:$2,0)-MATCH("temp_stage",[1]stages!$2:$2,0)+1),MATCH(F$1,[1]stages!$2:$2,0)-MATCH("temp_stage",[1]stages!$2:$2,0)+1,FALSE)</f>
        <v xml:space="preserve">【中級】雷のウサギ </v>
      </c>
      <c r="G198" s="3" t="str">
        <f ca="1">VLOOKUP($B198&amp;"_"&amp;$E198,OFFSET([1]stages!$A$1,0,0,COUNTA([1]stages!$A:$A),MATCH(G$1,[1]stages!$2:$2,0)-MATCH("temp_stage",[1]stages!$2:$2,0)+1),MATCH(G$1,[1]stages!$2:$2,0)-MATCH("temp_stage",[1]stages!$2:$2,0)+1,FALSE)</f>
        <v>月曜クエスト</v>
      </c>
      <c r="H198" s="18">
        <v>0</v>
      </c>
      <c r="I198">
        <v>15</v>
      </c>
      <c r="J198" s="5" t="s">
        <v>16</v>
      </c>
      <c r="K198" s="35" t="str">
        <f>VLOOKUP(I198,[2]stage_hints!$A:$C,3,FALSE)</f>
        <v>覚醒素材を獲得</v>
      </c>
      <c r="L198" s="36" t="str">
        <f>VLOOKUP(I198,[2]stage_hints!$A:$D,4,FALSE)</f>
        <v>「曜日クエスト」では_x000D_ユニットの覚醒に必要な素材が手に入ります</v>
      </c>
      <c r="M198" s="21" t="s">
        <v>23</v>
      </c>
      <c r="N198">
        <v>15</v>
      </c>
    </row>
    <row r="199" spans="1:14" x14ac:dyDescent="0.15">
      <c r="A199" s="26" t="s">
        <v>32</v>
      </c>
      <c r="B199" s="4">
        <v>11101</v>
      </c>
      <c r="C199" s="3" t="str">
        <f ca="1">VLOOKUP($B199,OFFSET([1]quests!$A$1,0,0,COUNTA([1]quests!$A:$A),MATCH(C$1,[1]quests!$1:$1,0)-MATCH($B$1,[1]quests!$1:$1,0)+1),MATCH(C$1,[1]quests!$1:$1,0)-MATCH($B$1,[1]quests!$1:$1,0)+1,FALSE)</f>
        <v>【期間限定】 黄の素材</v>
      </c>
      <c r="D199" s="3" t="str">
        <f ca="1">VLOOKUP($B199,OFFSET([1]quests!$A$1,0,0,COUNTA([1]quests!$A:$A),MATCH(D$1,[1]quests!$1:$1,0)-MATCH($B$1,[1]quests!$1:$1,0)+1),MATCH(D$1,[1]quests!$1:$1,0)-MATCH($B$1,[1]quests!$1:$1,0)+1,FALSE)</f>
        <v>月曜クエスト</v>
      </c>
      <c r="E199" s="5">
        <v>2</v>
      </c>
      <c r="F199" s="3" t="str">
        <f ca="1">VLOOKUP($B199&amp;"_"&amp;$E199,OFFSET([1]stages!$A$1,0,0,COUNTA([1]stages!$A:$A),MATCH(F$1,[1]stages!$2:$2,0)-MATCH("temp_stage",[1]stages!$2:$2,0)+1),MATCH(F$1,[1]stages!$2:$2,0)-MATCH("temp_stage",[1]stages!$2:$2,0)+1,FALSE)</f>
        <v xml:space="preserve">【中級】雷のウサギ </v>
      </c>
      <c r="G199" s="3" t="str">
        <f ca="1">VLOOKUP($B199&amp;"_"&amp;$E199,OFFSET([1]stages!$A$1,0,0,COUNTA([1]stages!$A:$A),MATCH(G$1,[1]stages!$2:$2,0)-MATCH("temp_stage",[1]stages!$2:$2,0)+1),MATCH(G$1,[1]stages!$2:$2,0)-MATCH("temp_stage",[1]stages!$2:$2,0)+1,FALSE)</f>
        <v>月曜クエスト</v>
      </c>
      <c r="H199" s="18">
        <v>0</v>
      </c>
      <c r="I199">
        <v>16</v>
      </c>
      <c r="J199" s="5" t="s">
        <v>16</v>
      </c>
      <c r="K199" s="35" t="str">
        <f>VLOOKUP(I199,[2]stage_hints!$A:$C,3,FALSE)</f>
        <v>マルチプレイのメリット（その1）</v>
      </c>
      <c r="L199" s="36" t="str">
        <f>VLOOKUP(I199,[2]stage_hints!$A:$D,4,FALSE)</f>
        <v>他のプレイヤーとマルチプレイで遊ぶと_x000D_ポリゴンがもらえます（100人まで）</v>
      </c>
      <c r="M199" s="21" t="s">
        <v>23</v>
      </c>
      <c r="N199">
        <v>16</v>
      </c>
    </row>
    <row r="200" spans="1:14" x14ac:dyDescent="0.15">
      <c r="A200" s="26" t="s">
        <v>32</v>
      </c>
      <c r="B200" s="4">
        <v>11101</v>
      </c>
      <c r="C200" s="3" t="str">
        <f ca="1">VLOOKUP($B200,OFFSET([1]quests!$A$1,0,0,COUNTA([1]quests!$A:$A),MATCH(C$1,[1]quests!$1:$1,0)-MATCH($B$1,[1]quests!$1:$1,0)+1),MATCH(C$1,[1]quests!$1:$1,0)-MATCH($B$1,[1]quests!$1:$1,0)+1,FALSE)</f>
        <v>【期間限定】 黄の素材</v>
      </c>
      <c r="D200" s="3" t="str">
        <f ca="1">VLOOKUP($B200,OFFSET([1]quests!$A$1,0,0,COUNTA([1]quests!$A:$A),MATCH(D$1,[1]quests!$1:$1,0)-MATCH($B$1,[1]quests!$1:$1,0)+1),MATCH(D$1,[1]quests!$1:$1,0)-MATCH($B$1,[1]quests!$1:$1,0)+1,FALSE)</f>
        <v>月曜クエスト</v>
      </c>
      <c r="E200" s="5">
        <v>2</v>
      </c>
      <c r="F200" s="3" t="str">
        <f ca="1">VLOOKUP($B200&amp;"_"&amp;$E200,OFFSET([1]stages!$A$1,0,0,COUNTA([1]stages!$A:$A),MATCH(F$1,[1]stages!$2:$2,0)-MATCH("temp_stage",[1]stages!$2:$2,0)+1),MATCH(F$1,[1]stages!$2:$2,0)-MATCH("temp_stage",[1]stages!$2:$2,0)+1,FALSE)</f>
        <v xml:space="preserve">【中級】雷のウサギ </v>
      </c>
      <c r="G200" s="3" t="str">
        <f ca="1">VLOOKUP($B200&amp;"_"&amp;$E200,OFFSET([1]stages!$A$1,0,0,COUNTA([1]stages!$A:$A),MATCH(G$1,[1]stages!$2:$2,0)-MATCH("temp_stage",[1]stages!$2:$2,0)+1),MATCH(G$1,[1]stages!$2:$2,0)-MATCH("temp_stage",[1]stages!$2:$2,0)+1,FALSE)</f>
        <v>月曜クエスト</v>
      </c>
      <c r="H200" s="18">
        <v>0</v>
      </c>
      <c r="I200">
        <v>17</v>
      </c>
      <c r="J200" s="5" t="s">
        <v>16</v>
      </c>
      <c r="K200" s="35" t="str">
        <f>VLOOKUP(I200,[2]stage_hints!$A:$C,3,FALSE)</f>
        <v>リンクガチャ</v>
      </c>
      <c r="L200" s="36" t="str">
        <f>VLOOKUP(I200,[2]stage_hints!$A:$D,4,FALSE)</f>
        <v>無料のリンクガチャを回して_x000D_経験値素材や売却素材を獲得しましょう</v>
      </c>
      <c r="M200" s="21" t="s">
        <v>23</v>
      </c>
      <c r="N200">
        <v>17</v>
      </c>
    </row>
    <row r="201" spans="1:14" x14ac:dyDescent="0.15">
      <c r="A201" s="26" t="s">
        <v>32</v>
      </c>
      <c r="B201" s="4">
        <v>11101</v>
      </c>
      <c r="C201" s="3" t="str">
        <f ca="1">VLOOKUP($B201,OFFSET([1]quests!$A$1,0,0,COUNTA([1]quests!$A:$A),MATCH(C$1,[1]quests!$1:$1,0)-MATCH($B$1,[1]quests!$1:$1,0)+1),MATCH(C$1,[1]quests!$1:$1,0)-MATCH($B$1,[1]quests!$1:$1,0)+1,FALSE)</f>
        <v>【期間限定】 黄の素材</v>
      </c>
      <c r="D201" s="3" t="str">
        <f ca="1">VLOOKUP($B201,OFFSET([1]quests!$A$1,0,0,COUNTA([1]quests!$A:$A),MATCH(D$1,[1]quests!$1:$1,0)-MATCH($B$1,[1]quests!$1:$1,0)+1),MATCH(D$1,[1]quests!$1:$1,0)-MATCH($B$1,[1]quests!$1:$1,0)+1,FALSE)</f>
        <v>月曜クエスト</v>
      </c>
      <c r="E201" s="5">
        <v>2</v>
      </c>
      <c r="F201" s="3" t="str">
        <f ca="1">VLOOKUP($B201&amp;"_"&amp;$E201,OFFSET([1]stages!$A$1,0,0,COUNTA([1]stages!$A:$A),MATCH(F$1,[1]stages!$2:$2,0)-MATCH("temp_stage",[1]stages!$2:$2,0)+1),MATCH(F$1,[1]stages!$2:$2,0)-MATCH("temp_stage",[1]stages!$2:$2,0)+1,FALSE)</f>
        <v xml:space="preserve">【中級】雷のウサギ </v>
      </c>
      <c r="G201" s="3" t="str">
        <f ca="1">VLOOKUP($B201&amp;"_"&amp;$E201,OFFSET([1]stages!$A$1,0,0,COUNTA([1]stages!$A:$A),MATCH(G$1,[1]stages!$2:$2,0)-MATCH("temp_stage",[1]stages!$2:$2,0)+1),MATCH(G$1,[1]stages!$2:$2,0)-MATCH("temp_stage",[1]stages!$2:$2,0)+1,FALSE)</f>
        <v>月曜クエスト</v>
      </c>
      <c r="H201" s="18">
        <v>0</v>
      </c>
      <c r="I201">
        <v>18</v>
      </c>
      <c r="J201" s="5" t="s">
        <v>16</v>
      </c>
      <c r="K201" s="35" t="str">
        <f>VLOOKUP(I201,[2]stage_hints!$A:$C,3,FALSE)</f>
        <v>マルチプレイのメリット（その2）</v>
      </c>
      <c r="L201" s="36" t="str">
        <f>VLOOKUP(I201,[2]stage_hints!$A:$D,4,FALSE)</f>
        <v>マルチプレイならリンクが2倍もらえます_x000D_リンクガチャをたくさん回しましょう</v>
      </c>
      <c r="M201" s="21" t="s">
        <v>23</v>
      </c>
      <c r="N201">
        <v>18</v>
      </c>
    </row>
    <row r="202" spans="1:14" x14ac:dyDescent="0.15">
      <c r="A202" s="26" t="s">
        <v>32</v>
      </c>
      <c r="B202" s="4">
        <v>11101</v>
      </c>
      <c r="C202" s="3" t="str">
        <f ca="1">VLOOKUP($B202,OFFSET([1]quests!$A$1,0,0,COUNTA([1]quests!$A:$A),MATCH(C$1,[1]quests!$1:$1,0)-MATCH($B$1,[1]quests!$1:$1,0)+1),MATCH(C$1,[1]quests!$1:$1,0)-MATCH($B$1,[1]quests!$1:$1,0)+1,FALSE)</f>
        <v>【期間限定】 黄の素材</v>
      </c>
      <c r="D202" s="3" t="str">
        <f ca="1">VLOOKUP($B202,OFFSET([1]quests!$A$1,0,0,COUNTA([1]quests!$A:$A),MATCH(D$1,[1]quests!$1:$1,0)-MATCH($B$1,[1]quests!$1:$1,0)+1),MATCH(D$1,[1]quests!$1:$1,0)-MATCH($B$1,[1]quests!$1:$1,0)+1,FALSE)</f>
        <v>月曜クエスト</v>
      </c>
      <c r="E202" s="5">
        <v>2</v>
      </c>
      <c r="F202" s="3" t="str">
        <f ca="1">VLOOKUP($B202&amp;"_"&amp;$E202,OFFSET([1]stages!$A$1,0,0,COUNTA([1]stages!$A:$A),MATCH(F$1,[1]stages!$2:$2,0)-MATCH("temp_stage",[1]stages!$2:$2,0)+1),MATCH(F$1,[1]stages!$2:$2,0)-MATCH("temp_stage",[1]stages!$2:$2,0)+1,FALSE)</f>
        <v xml:space="preserve">【中級】雷のウサギ </v>
      </c>
      <c r="G202" s="3" t="str">
        <f ca="1">VLOOKUP($B202&amp;"_"&amp;$E202,OFFSET([1]stages!$A$1,0,0,COUNTA([1]stages!$A:$A),MATCH(G$1,[1]stages!$2:$2,0)-MATCH("temp_stage",[1]stages!$2:$2,0)+1),MATCH(G$1,[1]stages!$2:$2,0)-MATCH("temp_stage",[1]stages!$2:$2,0)+1,FALSE)</f>
        <v>月曜クエスト</v>
      </c>
      <c r="H202" s="18">
        <v>0</v>
      </c>
      <c r="I202">
        <v>19</v>
      </c>
      <c r="J202" s="5" t="s">
        <v>16</v>
      </c>
      <c r="K202" s="35" t="str">
        <f>VLOOKUP(I202,[2]stage_hints!$A:$C,3,FALSE)</f>
        <v>ソロ専用チャレンジタワー</v>
      </c>
      <c r="L202" s="36" t="str">
        <f>VLOOKUP(I202,[2]stage_hints!$A:$D,4,FALSE)</f>
        <v>ソロ専用の「チャレンジタワー」では_x000D_各フロアごとにクリア報酬がもらえます</v>
      </c>
      <c r="M202" s="21" t="s">
        <v>23</v>
      </c>
      <c r="N202">
        <v>19</v>
      </c>
    </row>
    <row r="203" spans="1:14" x14ac:dyDescent="0.15">
      <c r="A203" s="26" t="s">
        <v>32</v>
      </c>
      <c r="B203" s="4">
        <v>11101</v>
      </c>
      <c r="C203" s="3" t="str">
        <f ca="1">VLOOKUP($B203,OFFSET([1]quests!$A$1,0,0,COUNTA([1]quests!$A:$A),MATCH(C$1,[1]quests!$1:$1,0)-MATCH($B$1,[1]quests!$1:$1,0)+1),MATCH(C$1,[1]quests!$1:$1,0)-MATCH($B$1,[1]quests!$1:$1,0)+1,FALSE)</f>
        <v>【期間限定】 黄の素材</v>
      </c>
      <c r="D203" s="3" t="str">
        <f ca="1">VLOOKUP($B203,OFFSET([1]quests!$A$1,0,0,COUNTA([1]quests!$A:$A),MATCH(D$1,[1]quests!$1:$1,0)-MATCH($B$1,[1]quests!$1:$1,0)+1),MATCH(D$1,[1]quests!$1:$1,0)-MATCH($B$1,[1]quests!$1:$1,0)+1,FALSE)</f>
        <v>月曜クエスト</v>
      </c>
      <c r="E203" s="5">
        <v>2</v>
      </c>
      <c r="F203" s="3" t="str">
        <f ca="1">VLOOKUP($B203&amp;"_"&amp;$E203,OFFSET([1]stages!$A$1,0,0,COUNTA([1]stages!$A:$A),MATCH(F$1,[1]stages!$2:$2,0)-MATCH("temp_stage",[1]stages!$2:$2,0)+1),MATCH(F$1,[1]stages!$2:$2,0)-MATCH("temp_stage",[1]stages!$2:$2,0)+1,FALSE)</f>
        <v xml:space="preserve">【中級】雷のウサギ </v>
      </c>
      <c r="G203" s="3" t="str">
        <f ca="1">VLOOKUP($B203&amp;"_"&amp;$E203,OFFSET([1]stages!$A$1,0,0,COUNTA([1]stages!$A:$A),MATCH(G$1,[1]stages!$2:$2,0)-MATCH("temp_stage",[1]stages!$2:$2,0)+1),MATCH(G$1,[1]stages!$2:$2,0)-MATCH("temp_stage",[1]stages!$2:$2,0)+1,FALSE)</f>
        <v>月曜クエスト</v>
      </c>
      <c r="H203" s="18">
        <v>0</v>
      </c>
      <c r="I203">
        <v>20</v>
      </c>
      <c r="J203" s="5" t="s">
        <v>16</v>
      </c>
      <c r="K203" s="35" t="str">
        <f>VLOOKUP(I203,[2]stage_hints!$A:$C,3,FALSE)</f>
        <v>マルチプレイのメリット（その3）</v>
      </c>
      <c r="L203" s="36" t="str">
        <f>VLOOKUP(I203,[2]stage_hints!$A:$D,4,FALSE)</f>
        <v>マルチプレイへの参加はエナジー消費ゼロ_x000D_いつでも好きなだけ遊ぶことができます</v>
      </c>
      <c r="M203" s="21" t="s">
        <v>23</v>
      </c>
      <c r="N203">
        <v>20</v>
      </c>
    </row>
    <row r="204" spans="1:14" x14ac:dyDescent="0.15">
      <c r="A204" s="26" t="s">
        <v>32</v>
      </c>
      <c r="B204" s="4">
        <v>11101</v>
      </c>
      <c r="C204" s="3" t="str">
        <f ca="1">VLOOKUP($B204,OFFSET([1]quests!$A$1,0,0,COUNTA([1]quests!$A:$A),MATCH(C$1,[1]quests!$1:$1,0)-MATCH($B$1,[1]quests!$1:$1,0)+1),MATCH(C$1,[1]quests!$1:$1,0)-MATCH($B$1,[1]quests!$1:$1,0)+1,FALSE)</f>
        <v>【期間限定】 黄の素材</v>
      </c>
      <c r="D204" s="3" t="str">
        <f ca="1">VLOOKUP($B204,OFFSET([1]quests!$A$1,0,0,COUNTA([1]quests!$A:$A),MATCH(D$1,[1]quests!$1:$1,0)-MATCH($B$1,[1]quests!$1:$1,0)+1),MATCH(D$1,[1]quests!$1:$1,0)-MATCH($B$1,[1]quests!$1:$1,0)+1,FALSE)</f>
        <v>月曜クエスト</v>
      </c>
      <c r="E204" s="5">
        <v>2</v>
      </c>
      <c r="F204" s="3" t="str">
        <f ca="1">VLOOKUP($B204&amp;"_"&amp;$E204,OFFSET([1]stages!$A$1,0,0,COUNTA([1]stages!$A:$A),MATCH(F$1,[1]stages!$2:$2,0)-MATCH("temp_stage",[1]stages!$2:$2,0)+1),MATCH(F$1,[1]stages!$2:$2,0)-MATCH("temp_stage",[1]stages!$2:$2,0)+1,FALSE)</f>
        <v xml:space="preserve">【中級】雷のウサギ </v>
      </c>
      <c r="G204" s="3" t="str">
        <f ca="1">VLOOKUP($B204&amp;"_"&amp;$E204,OFFSET([1]stages!$A$1,0,0,COUNTA([1]stages!$A:$A),MATCH(G$1,[1]stages!$2:$2,0)-MATCH("temp_stage",[1]stages!$2:$2,0)+1),MATCH(G$1,[1]stages!$2:$2,0)-MATCH("temp_stage",[1]stages!$2:$2,0)+1,FALSE)</f>
        <v>月曜クエスト</v>
      </c>
      <c r="H204" s="18">
        <v>0</v>
      </c>
      <c r="I204">
        <v>21</v>
      </c>
      <c r="J204" s="5" t="s">
        <v>16</v>
      </c>
      <c r="K204" s="35" t="str">
        <f>VLOOKUP(I204,[2]stage_hints!$A:$C,3,FALSE)</f>
        <v>スキルを有効に</v>
      </c>
      <c r="L204" s="36" t="str">
        <f>VLOOKUP(I204,[2]stage_hints!$A:$D,4,FALSE)</f>
        <v>ターン経過でユニットのスキルが使えます_x000D_強力スキルでバトルを有利に進めましょう</v>
      </c>
      <c r="M204" s="21" t="s">
        <v>23</v>
      </c>
      <c r="N204">
        <v>21</v>
      </c>
    </row>
    <row r="205" spans="1:14" x14ac:dyDescent="0.15">
      <c r="A205" s="26" t="s">
        <v>32</v>
      </c>
      <c r="B205" s="4">
        <v>11101</v>
      </c>
      <c r="C205" s="3" t="str">
        <f ca="1">VLOOKUP($B205,OFFSET([1]quests!$A$1,0,0,COUNTA([1]quests!$A:$A),MATCH(C$1,[1]quests!$1:$1,0)-MATCH($B$1,[1]quests!$1:$1,0)+1),MATCH(C$1,[1]quests!$1:$1,0)-MATCH($B$1,[1]quests!$1:$1,0)+1,FALSE)</f>
        <v>【期間限定】 黄の素材</v>
      </c>
      <c r="D205" s="3" t="str">
        <f ca="1">VLOOKUP($B205,OFFSET([1]quests!$A$1,0,0,COUNTA([1]quests!$A:$A),MATCH(D$1,[1]quests!$1:$1,0)-MATCH($B$1,[1]quests!$1:$1,0)+1),MATCH(D$1,[1]quests!$1:$1,0)-MATCH($B$1,[1]quests!$1:$1,0)+1,FALSE)</f>
        <v>月曜クエスト</v>
      </c>
      <c r="E205" s="5">
        <v>2</v>
      </c>
      <c r="F205" s="3" t="str">
        <f ca="1">VLOOKUP($B205&amp;"_"&amp;$E205,OFFSET([1]stages!$A$1,0,0,COUNTA([1]stages!$A:$A),MATCH(F$1,[1]stages!$2:$2,0)-MATCH("temp_stage",[1]stages!$2:$2,0)+1),MATCH(F$1,[1]stages!$2:$2,0)-MATCH("temp_stage",[1]stages!$2:$2,0)+1,FALSE)</f>
        <v xml:space="preserve">【中級】雷のウサギ </v>
      </c>
      <c r="G205" s="3" t="str">
        <f ca="1">VLOOKUP($B205&amp;"_"&amp;$E205,OFFSET([1]stages!$A$1,0,0,COUNTA([1]stages!$A:$A),MATCH(G$1,[1]stages!$2:$2,0)-MATCH("temp_stage",[1]stages!$2:$2,0)+1),MATCH(G$1,[1]stages!$2:$2,0)-MATCH("temp_stage",[1]stages!$2:$2,0)+1,FALSE)</f>
        <v>月曜クエスト</v>
      </c>
      <c r="H205" s="18">
        <v>0</v>
      </c>
      <c r="I205">
        <v>22</v>
      </c>
      <c r="J205" s="5" t="s">
        <v>16</v>
      </c>
      <c r="K205" s="35" t="str">
        <f>VLOOKUP(I205,[2]stage_hints!$A:$C,3,FALSE)</f>
        <v>フィーバーで一発逆転（その1）</v>
      </c>
      <c r="L205" s="36" t="str">
        <f>VLOOKUP(I205,[2]stage_hints!$A:$D,4,FALSE)</f>
        <v>フィーバーは攻撃と回復を兼ね備えます_x000D_ピンチからの一発逆転を狙いましょう</v>
      </c>
      <c r="M205" s="21" t="s">
        <v>23</v>
      </c>
      <c r="N205">
        <v>22</v>
      </c>
    </row>
    <row r="206" spans="1:14" x14ac:dyDescent="0.15">
      <c r="A206" s="26" t="s">
        <v>32</v>
      </c>
      <c r="B206" s="4">
        <v>11101</v>
      </c>
      <c r="C206" s="3" t="str">
        <f ca="1">VLOOKUP($B206,OFFSET([1]quests!$A$1,0,0,COUNTA([1]quests!$A:$A),MATCH(C$1,[1]quests!$1:$1,0)-MATCH($B$1,[1]quests!$1:$1,0)+1),MATCH(C$1,[1]quests!$1:$1,0)-MATCH($B$1,[1]quests!$1:$1,0)+1,FALSE)</f>
        <v>【期間限定】 黄の素材</v>
      </c>
      <c r="D206" s="3" t="str">
        <f ca="1">VLOOKUP($B206,OFFSET([1]quests!$A$1,0,0,COUNTA([1]quests!$A:$A),MATCH(D$1,[1]quests!$1:$1,0)-MATCH($B$1,[1]quests!$1:$1,0)+1),MATCH(D$1,[1]quests!$1:$1,0)-MATCH($B$1,[1]quests!$1:$1,0)+1,FALSE)</f>
        <v>月曜クエスト</v>
      </c>
      <c r="E206" s="5">
        <v>2</v>
      </c>
      <c r="F206" s="3" t="str">
        <f ca="1">VLOOKUP($B206&amp;"_"&amp;$E206,OFFSET([1]stages!$A$1,0,0,COUNTA([1]stages!$A:$A),MATCH(F$1,[1]stages!$2:$2,0)-MATCH("temp_stage",[1]stages!$2:$2,0)+1),MATCH(F$1,[1]stages!$2:$2,0)-MATCH("temp_stage",[1]stages!$2:$2,0)+1,FALSE)</f>
        <v xml:space="preserve">【中級】雷のウサギ </v>
      </c>
      <c r="G206" s="3" t="str">
        <f ca="1">VLOOKUP($B206&amp;"_"&amp;$E206,OFFSET([1]stages!$A$1,0,0,COUNTA([1]stages!$A:$A),MATCH(G$1,[1]stages!$2:$2,0)-MATCH("temp_stage",[1]stages!$2:$2,0)+1),MATCH(G$1,[1]stages!$2:$2,0)-MATCH("temp_stage",[1]stages!$2:$2,0)+1,FALSE)</f>
        <v>月曜クエスト</v>
      </c>
      <c r="H206" s="18">
        <v>0</v>
      </c>
      <c r="I206">
        <v>23</v>
      </c>
      <c r="J206" s="5" t="s">
        <v>16</v>
      </c>
      <c r="K206" s="35" t="str">
        <f>VLOOKUP(I206,[2]stage_hints!$A:$C,3,FALSE)</f>
        <v>フィーバーで一発逆転（その2）</v>
      </c>
      <c r="L206" s="36" t="str">
        <f>VLOOKUP(I206,[2]stage_hints!$A:$D,4,FALSE)</f>
        <v>フィーバー中は虹色のボムパネルを狙って_x000D_画面上のパネルを一気に破壊しましょう</v>
      </c>
      <c r="M206" s="21" t="s">
        <v>23</v>
      </c>
      <c r="N206">
        <v>23</v>
      </c>
    </row>
    <row r="207" spans="1:14" x14ac:dyDescent="0.15">
      <c r="A207" s="26" t="s">
        <v>32</v>
      </c>
      <c r="B207" s="4">
        <v>11101</v>
      </c>
      <c r="C207" s="3" t="str">
        <f ca="1">VLOOKUP($B207,OFFSET([1]quests!$A$1,0,0,COUNTA([1]quests!$A:$A),MATCH(C$1,[1]quests!$1:$1,0)-MATCH($B$1,[1]quests!$1:$1,0)+1),MATCH(C$1,[1]quests!$1:$1,0)-MATCH($B$1,[1]quests!$1:$1,0)+1,FALSE)</f>
        <v>【期間限定】 黄の素材</v>
      </c>
      <c r="D207" s="3" t="str">
        <f ca="1">VLOOKUP($B207,OFFSET([1]quests!$A$1,0,0,COUNTA([1]quests!$A:$A),MATCH(D$1,[1]quests!$1:$1,0)-MATCH($B$1,[1]quests!$1:$1,0)+1),MATCH(D$1,[1]quests!$1:$1,0)-MATCH($B$1,[1]quests!$1:$1,0)+1,FALSE)</f>
        <v>月曜クエスト</v>
      </c>
      <c r="E207" s="5">
        <v>2</v>
      </c>
      <c r="F207" s="3" t="str">
        <f ca="1">VLOOKUP($B207&amp;"_"&amp;$E207,OFFSET([1]stages!$A$1,0,0,COUNTA([1]stages!$A:$A),MATCH(F$1,[1]stages!$2:$2,0)-MATCH("temp_stage",[1]stages!$2:$2,0)+1),MATCH(F$1,[1]stages!$2:$2,0)-MATCH("temp_stage",[1]stages!$2:$2,0)+1,FALSE)</f>
        <v xml:space="preserve">【中級】雷のウサギ </v>
      </c>
      <c r="G207" s="3" t="str">
        <f ca="1">VLOOKUP($B207&amp;"_"&amp;$E207,OFFSET([1]stages!$A$1,0,0,COUNTA([1]stages!$A:$A),MATCH(G$1,[1]stages!$2:$2,0)-MATCH("temp_stage",[1]stages!$2:$2,0)+1),MATCH(G$1,[1]stages!$2:$2,0)-MATCH("temp_stage",[1]stages!$2:$2,0)+1,FALSE)</f>
        <v>月曜クエスト</v>
      </c>
      <c r="H207" s="18">
        <v>0</v>
      </c>
      <c r="I207">
        <v>24</v>
      </c>
      <c r="J207" s="5" t="s">
        <v>16</v>
      </c>
      <c r="K207" s="35" t="str">
        <f>VLOOKUP(I207,[2]stage_hints!$A:$C,3,FALSE)</f>
        <v>りんごを使って限界突破</v>
      </c>
      <c r="L207" s="36" t="str">
        <f>VLOOKUP(I207,[2]stage_hints!$A:$D,4,FALSE)</f>
        <v>赤りんご(攻撃力) 青りんご(回復力)_x000D_緑りんご(体力)をユニット強化に使うと_x000D_ステータスが限界突破します（計99個迄）</v>
      </c>
      <c r="M207" s="21" t="s">
        <v>23</v>
      </c>
      <c r="N207">
        <v>24</v>
      </c>
    </row>
    <row r="208" spans="1:14" x14ac:dyDescent="0.15">
      <c r="A208" s="26" t="s">
        <v>32</v>
      </c>
      <c r="B208" s="4">
        <v>11101</v>
      </c>
      <c r="C208" s="3" t="str">
        <f ca="1">VLOOKUP($B208,OFFSET([1]quests!$A$1,0,0,COUNTA([1]quests!$A:$A),MATCH(C$1,[1]quests!$1:$1,0)-MATCH($B$1,[1]quests!$1:$1,0)+1),MATCH(C$1,[1]quests!$1:$1,0)-MATCH($B$1,[1]quests!$1:$1,0)+1,FALSE)</f>
        <v>【期間限定】 黄の素材</v>
      </c>
      <c r="D208" s="3" t="str">
        <f ca="1">VLOOKUP($B208,OFFSET([1]quests!$A$1,0,0,COUNTA([1]quests!$A:$A),MATCH(D$1,[1]quests!$1:$1,0)-MATCH($B$1,[1]quests!$1:$1,0)+1),MATCH(D$1,[1]quests!$1:$1,0)-MATCH($B$1,[1]quests!$1:$1,0)+1,FALSE)</f>
        <v>月曜クエスト</v>
      </c>
      <c r="E208" s="5">
        <v>2</v>
      </c>
      <c r="F208" s="3" t="str">
        <f ca="1">VLOOKUP($B208&amp;"_"&amp;$E208,OFFSET([1]stages!$A$1,0,0,COUNTA([1]stages!$A:$A),MATCH(F$1,[1]stages!$2:$2,0)-MATCH("temp_stage",[1]stages!$2:$2,0)+1),MATCH(F$1,[1]stages!$2:$2,0)-MATCH("temp_stage",[1]stages!$2:$2,0)+1,FALSE)</f>
        <v xml:space="preserve">【中級】雷のウサギ </v>
      </c>
      <c r="G208" s="3" t="str">
        <f ca="1">VLOOKUP($B208&amp;"_"&amp;$E208,OFFSET([1]stages!$A$1,0,0,COUNTA([1]stages!$A:$A),MATCH(G$1,[1]stages!$2:$2,0)-MATCH("temp_stage",[1]stages!$2:$2,0)+1),MATCH(G$1,[1]stages!$2:$2,0)-MATCH("temp_stage",[1]stages!$2:$2,0)+1,FALSE)</f>
        <v>月曜クエスト</v>
      </c>
      <c r="H208" s="18">
        <v>0</v>
      </c>
      <c r="I208">
        <v>25</v>
      </c>
      <c r="J208" s="5" t="s">
        <v>16</v>
      </c>
      <c r="K208" s="35" t="str">
        <f>VLOOKUP(I208,[2]stage_hints!$A:$C,3,FALSE)</f>
        <v>スキルレベルアップ</v>
      </c>
      <c r="L208" s="36" t="str">
        <f>VLOOKUP(I208,[2]stage_hints!$A:$D,4,FALSE)</f>
        <v>「クリスタルのりんご」を強化に使うと_x000D_スキルレベルを上げることができます</v>
      </c>
      <c r="M208" s="21" t="s">
        <v>23</v>
      </c>
      <c r="N208">
        <v>25</v>
      </c>
    </row>
    <row r="209" spans="1:14" x14ac:dyDescent="0.15">
      <c r="A209" s="26" t="s">
        <v>32</v>
      </c>
      <c r="B209" s="4">
        <v>11101</v>
      </c>
      <c r="C209" s="3" t="str">
        <f ca="1">VLOOKUP($B209,OFFSET([1]quests!$A$1,0,0,COUNTA([1]quests!$A:$A),MATCH(C$1,[1]quests!$1:$1,0)-MATCH($B$1,[1]quests!$1:$1,0)+1),MATCH(C$1,[1]quests!$1:$1,0)-MATCH($B$1,[1]quests!$1:$1,0)+1,FALSE)</f>
        <v>【期間限定】 黄の素材</v>
      </c>
      <c r="D209" s="3" t="str">
        <f ca="1">VLOOKUP($B209,OFFSET([1]quests!$A$1,0,0,COUNTA([1]quests!$A:$A),MATCH(D$1,[1]quests!$1:$1,0)-MATCH($B$1,[1]quests!$1:$1,0)+1),MATCH(D$1,[1]quests!$1:$1,0)-MATCH($B$1,[1]quests!$1:$1,0)+1,FALSE)</f>
        <v>月曜クエスト</v>
      </c>
      <c r="E209" s="5">
        <v>2</v>
      </c>
      <c r="F209" s="3" t="str">
        <f ca="1">VLOOKUP($B209&amp;"_"&amp;$E209,OFFSET([1]stages!$A$1,0,0,COUNTA([1]stages!$A:$A),MATCH(F$1,[1]stages!$2:$2,0)-MATCH("temp_stage",[1]stages!$2:$2,0)+1),MATCH(F$1,[1]stages!$2:$2,0)-MATCH("temp_stage",[1]stages!$2:$2,0)+1,FALSE)</f>
        <v xml:space="preserve">【中級】雷のウサギ </v>
      </c>
      <c r="G209" s="3" t="str">
        <f ca="1">VLOOKUP($B209&amp;"_"&amp;$E209,OFFSET([1]stages!$A$1,0,0,COUNTA([1]stages!$A:$A),MATCH(G$1,[1]stages!$2:$2,0)-MATCH("temp_stage",[1]stages!$2:$2,0)+1),MATCH(G$1,[1]stages!$2:$2,0)-MATCH("temp_stage",[1]stages!$2:$2,0)+1,FALSE)</f>
        <v>月曜クエスト</v>
      </c>
      <c r="H209" s="18">
        <v>0</v>
      </c>
      <c r="I209">
        <v>26</v>
      </c>
      <c r="J209" s="5" t="s">
        <v>16</v>
      </c>
      <c r="K209" s="35" t="str">
        <f>VLOOKUP(I209,[2]stage_hints!$A:$C,3,FALSE)</f>
        <v>スキルレベルの効果</v>
      </c>
      <c r="L209" s="36" t="str">
        <f>VLOOKUP(I209,[2]stage_hints!$A:$D,4,FALSE)</f>
        <v>スキルレベルが上がると_x000D_短いターンでスキルを使うことができます</v>
      </c>
      <c r="M209" s="21" t="s">
        <v>23</v>
      </c>
      <c r="N209">
        <v>26</v>
      </c>
    </row>
    <row r="210" spans="1:14" x14ac:dyDescent="0.15">
      <c r="A210" s="26" t="s">
        <v>32</v>
      </c>
      <c r="B210" s="4">
        <v>11101</v>
      </c>
      <c r="C210" s="3" t="str">
        <f ca="1">VLOOKUP($B210,OFFSET([1]quests!$A$1,0,0,COUNTA([1]quests!$A:$A),MATCH(C$1,[1]quests!$1:$1,0)-MATCH($B$1,[1]quests!$1:$1,0)+1),MATCH(C$1,[1]quests!$1:$1,0)-MATCH($B$1,[1]quests!$1:$1,0)+1,FALSE)</f>
        <v>【期間限定】 黄の素材</v>
      </c>
      <c r="D210" s="3" t="str">
        <f ca="1">VLOOKUP($B210,OFFSET([1]quests!$A$1,0,0,COUNTA([1]quests!$A:$A),MATCH(D$1,[1]quests!$1:$1,0)-MATCH($B$1,[1]quests!$1:$1,0)+1),MATCH(D$1,[1]quests!$1:$1,0)-MATCH($B$1,[1]quests!$1:$1,0)+1,FALSE)</f>
        <v>月曜クエスト</v>
      </c>
      <c r="E210" s="5">
        <v>2</v>
      </c>
      <c r="F210" s="3" t="str">
        <f ca="1">VLOOKUP($B210&amp;"_"&amp;$E210,OFFSET([1]stages!$A$1,0,0,COUNTA([1]stages!$A:$A),MATCH(F$1,[1]stages!$2:$2,0)-MATCH("temp_stage",[1]stages!$2:$2,0)+1),MATCH(F$1,[1]stages!$2:$2,0)-MATCH("temp_stage",[1]stages!$2:$2,0)+1,FALSE)</f>
        <v xml:space="preserve">【中級】雷のウサギ </v>
      </c>
      <c r="G210" s="3" t="str">
        <f ca="1">VLOOKUP($B210&amp;"_"&amp;$E210,OFFSET([1]stages!$A$1,0,0,COUNTA([1]stages!$A:$A),MATCH(G$1,[1]stages!$2:$2,0)-MATCH("temp_stage",[1]stages!$2:$2,0)+1),MATCH(G$1,[1]stages!$2:$2,0)-MATCH("temp_stage",[1]stages!$2:$2,0)+1,FALSE)</f>
        <v>月曜クエスト</v>
      </c>
      <c r="H210" s="18">
        <v>0</v>
      </c>
      <c r="I210">
        <v>27</v>
      </c>
      <c r="J210" s="5" t="s">
        <v>16</v>
      </c>
      <c r="K210" s="35" t="str">
        <f>VLOOKUP(I210,[2]stage_hints!$A:$C,3,FALSE)</f>
        <v>ホーム画面からデッキを編成</v>
      </c>
      <c r="L210" s="36" t="str">
        <f>VLOOKUP(I210,[2]stage_hints!$A:$D,4,FALSE)</f>
        <v>ホーム画面でユニットを長押しすると_x000D_すぐにパーティ編成に移動できます</v>
      </c>
      <c r="M210" s="21" t="s">
        <v>23</v>
      </c>
      <c r="N210">
        <v>27</v>
      </c>
    </row>
    <row r="211" spans="1:14" x14ac:dyDescent="0.15">
      <c r="A211" s="26" t="s">
        <v>32</v>
      </c>
      <c r="B211" s="4">
        <v>11101</v>
      </c>
      <c r="C211" s="3" t="str">
        <f ca="1">VLOOKUP($B211,OFFSET([1]quests!$A$1,0,0,COUNTA([1]quests!$A:$A),MATCH(C$1,[1]quests!$1:$1,0)-MATCH($B$1,[1]quests!$1:$1,0)+1),MATCH(C$1,[1]quests!$1:$1,0)-MATCH($B$1,[1]quests!$1:$1,0)+1,FALSE)</f>
        <v>【期間限定】 黄の素材</v>
      </c>
      <c r="D211" s="3" t="str">
        <f ca="1">VLOOKUP($B211,OFFSET([1]quests!$A$1,0,0,COUNTA([1]quests!$A:$A),MATCH(D$1,[1]quests!$1:$1,0)-MATCH($B$1,[1]quests!$1:$1,0)+1),MATCH(D$1,[1]quests!$1:$1,0)-MATCH($B$1,[1]quests!$1:$1,0)+1,FALSE)</f>
        <v>月曜クエスト</v>
      </c>
      <c r="E211" s="5">
        <v>2</v>
      </c>
      <c r="F211" s="3" t="str">
        <f ca="1">VLOOKUP($B211&amp;"_"&amp;$E211,OFFSET([1]stages!$A$1,0,0,COUNTA([1]stages!$A:$A),MATCH(F$1,[1]stages!$2:$2,0)-MATCH("temp_stage",[1]stages!$2:$2,0)+1),MATCH(F$1,[1]stages!$2:$2,0)-MATCH("temp_stage",[1]stages!$2:$2,0)+1,FALSE)</f>
        <v xml:space="preserve">【中級】雷のウサギ </v>
      </c>
      <c r="G211" s="3" t="str">
        <f ca="1">VLOOKUP($B211&amp;"_"&amp;$E211,OFFSET([1]stages!$A$1,0,0,COUNTA([1]stages!$A:$A),MATCH(G$1,[1]stages!$2:$2,0)-MATCH("temp_stage",[1]stages!$2:$2,0)+1),MATCH(G$1,[1]stages!$2:$2,0)-MATCH("temp_stage",[1]stages!$2:$2,0)+1,FALSE)</f>
        <v>月曜クエスト</v>
      </c>
      <c r="H211" s="18">
        <v>0</v>
      </c>
      <c r="I211">
        <v>28</v>
      </c>
      <c r="J211" s="5" t="s">
        <v>16</v>
      </c>
      <c r="K211" s="35" t="str">
        <f>VLOOKUP(I211,[2]stage_hints!$A:$C,3,FALSE)</f>
        <v>ステータス情報は長押しで</v>
      </c>
      <c r="L211" s="36" t="str">
        <f>VLOOKUP(I211,[2]stage_hints!$A:$D,4,FALSE)</f>
        <v>ユニットのアイコンを長押しすると_x000D_ステータス情報を確認することができます</v>
      </c>
      <c r="M211" s="21" t="s">
        <v>23</v>
      </c>
      <c r="N211">
        <v>28</v>
      </c>
    </row>
    <row r="212" spans="1:14" x14ac:dyDescent="0.15">
      <c r="A212" s="26" t="s">
        <v>32</v>
      </c>
      <c r="B212" s="4">
        <v>11101</v>
      </c>
      <c r="C212" s="3" t="str">
        <f ca="1">VLOOKUP($B212,OFFSET([1]quests!$A$1,0,0,COUNTA([1]quests!$A:$A),MATCH(C$1,[1]quests!$1:$1,0)-MATCH($B$1,[1]quests!$1:$1,0)+1),MATCH(C$1,[1]quests!$1:$1,0)-MATCH($B$1,[1]quests!$1:$1,0)+1,FALSE)</f>
        <v>【期間限定】 黄の素材</v>
      </c>
      <c r="D212" s="3" t="str">
        <f ca="1">VLOOKUP($B212,OFFSET([1]quests!$A$1,0,0,COUNTA([1]quests!$A:$A),MATCH(D$1,[1]quests!$1:$1,0)-MATCH($B$1,[1]quests!$1:$1,0)+1),MATCH(D$1,[1]quests!$1:$1,0)-MATCH($B$1,[1]quests!$1:$1,0)+1,FALSE)</f>
        <v>月曜クエスト</v>
      </c>
      <c r="E212" s="5">
        <v>2</v>
      </c>
      <c r="F212" s="3" t="str">
        <f ca="1">VLOOKUP($B212&amp;"_"&amp;$E212,OFFSET([1]stages!$A$1,0,0,COUNTA([1]stages!$A:$A),MATCH(F$1,[1]stages!$2:$2,0)-MATCH("temp_stage",[1]stages!$2:$2,0)+1),MATCH(F$1,[1]stages!$2:$2,0)-MATCH("temp_stage",[1]stages!$2:$2,0)+1,FALSE)</f>
        <v xml:space="preserve">【中級】雷のウサギ </v>
      </c>
      <c r="G212" s="3" t="str">
        <f ca="1">VLOOKUP($B212&amp;"_"&amp;$E212,OFFSET([1]stages!$A$1,0,0,COUNTA([1]stages!$A:$A),MATCH(G$1,[1]stages!$2:$2,0)-MATCH("temp_stage",[1]stages!$2:$2,0)+1),MATCH(G$1,[1]stages!$2:$2,0)-MATCH("temp_stage",[1]stages!$2:$2,0)+1,FALSE)</f>
        <v>月曜クエスト</v>
      </c>
      <c r="H212" s="18">
        <v>0</v>
      </c>
      <c r="I212">
        <v>29</v>
      </c>
      <c r="J212" s="5" t="s">
        <v>16</v>
      </c>
      <c r="K212" s="35" t="str">
        <f>VLOOKUP(I212,[2]stage_hints!$A:$C,3,FALSE)</f>
        <v>「バグ」のメリット</v>
      </c>
      <c r="L212" s="36" t="str">
        <f>VLOOKUP(I212,[2]stage_hints!$A:$D,4,FALSE)</f>
        <v>ユニットの「バグ」を増やすと_x000D_報酬をもらえる確率がアップします</v>
      </c>
      <c r="M212" s="21" t="s">
        <v>23</v>
      </c>
      <c r="N212">
        <v>29</v>
      </c>
    </row>
    <row r="213" spans="1:14" x14ac:dyDescent="0.15">
      <c r="A213" s="26" t="s">
        <v>32</v>
      </c>
      <c r="B213" s="4">
        <v>11101</v>
      </c>
      <c r="C213" s="3" t="str">
        <f ca="1">VLOOKUP($B213,OFFSET([1]quests!$A$1,0,0,COUNTA([1]quests!$A:$A),MATCH(C$1,[1]quests!$1:$1,0)-MATCH($B$1,[1]quests!$1:$1,0)+1),MATCH(C$1,[1]quests!$1:$1,0)-MATCH($B$1,[1]quests!$1:$1,0)+1,FALSE)</f>
        <v>【期間限定】 黄の素材</v>
      </c>
      <c r="D213" s="3" t="str">
        <f ca="1">VLOOKUP($B213,OFFSET([1]quests!$A$1,0,0,COUNTA([1]quests!$A:$A),MATCH(D$1,[1]quests!$1:$1,0)-MATCH($B$1,[1]quests!$1:$1,0)+1),MATCH(D$1,[1]quests!$1:$1,0)-MATCH($B$1,[1]quests!$1:$1,0)+1,FALSE)</f>
        <v>月曜クエスト</v>
      </c>
      <c r="E213" s="5">
        <v>2</v>
      </c>
      <c r="F213" s="3" t="str">
        <f ca="1">VLOOKUP($B213&amp;"_"&amp;$E213,OFFSET([1]stages!$A$1,0,0,COUNTA([1]stages!$A:$A),MATCH(F$1,[1]stages!$2:$2,0)-MATCH("temp_stage",[1]stages!$2:$2,0)+1),MATCH(F$1,[1]stages!$2:$2,0)-MATCH("temp_stage",[1]stages!$2:$2,0)+1,FALSE)</f>
        <v xml:space="preserve">【中級】雷のウサギ </v>
      </c>
      <c r="G213" s="3" t="str">
        <f ca="1">VLOOKUP($B213&amp;"_"&amp;$E213,OFFSET([1]stages!$A$1,0,0,COUNTA([1]stages!$A:$A),MATCH(G$1,[1]stages!$2:$2,0)-MATCH("temp_stage",[1]stages!$2:$2,0)+1),MATCH(G$1,[1]stages!$2:$2,0)-MATCH("temp_stage",[1]stages!$2:$2,0)+1,FALSE)</f>
        <v>月曜クエスト</v>
      </c>
      <c r="H213" s="18">
        <v>0</v>
      </c>
      <c r="I213">
        <v>30</v>
      </c>
      <c r="J213" s="5" t="s">
        <v>16</v>
      </c>
      <c r="K213" s="35" t="str">
        <f>VLOOKUP(I213,[2]stage_hints!$A:$C,3,FALSE)</f>
        <v>「バグ」の増やし方</v>
      </c>
      <c r="L213" s="36" t="str">
        <f>VLOOKUP(I213,[2]stage_hints!$A:$D,4,FALSE)</f>
        <v>同じユニット同士を強化で合成すると_x000D_「バグ」を増やすことができます</v>
      </c>
      <c r="M213" s="21" t="s">
        <v>23</v>
      </c>
      <c r="N213">
        <v>30</v>
      </c>
    </row>
    <row r="214" spans="1:14" x14ac:dyDescent="0.15">
      <c r="A214" s="26" t="s">
        <v>32</v>
      </c>
      <c r="B214" s="4">
        <v>11101</v>
      </c>
      <c r="C214" s="3" t="str">
        <f ca="1">VLOOKUP($B214,OFFSET([1]quests!$A$1,0,0,COUNTA([1]quests!$A:$A),MATCH(C$1,[1]quests!$1:$1,0)-MATCH($B$1,[1]quests!$1:$1,0)+1),MATCH(C$1,[1]quests!$1:$1,0)-MATCH($B$1,[1]quests!$1:$1,0)+1,FALSE)</f>
        <v>【期間限定】 黄の素材</v>
      </c>
      <c r="D214" s="3" t="str">
        <f ca="1">VLOOKUP($B214,OFFSET([1]quests!$A$1,0,0,COUNTA([1]quests!$A:$A),MATCH(D$1,[1]quests!$1:$1,0)-MATCH($B$1,[1]quests!$1:$1,0)+1),MATCH(D$1,[1]quests!$1:$1,0)-MATCH($B$1,[1]quests!$1:$1,0)+1,FALSE)</f>
        <v>月曜クエスト</v>
      </c>
      <c r="E214" s="5">
        <v>2</v>
      </c>
      <c r="F214" s="3" t="str">
        <f ca="1">VLOOKUP($B214&amp;"_"&amp;$E214,OFFSET([1]stages!$A$1,0,0,COUNTA([1]stages!$A:$A),MATCH(F$1,[1]stages!$2:$2,0)-MATCH("temp_stage",[1]stages!$2:$2,0)+1),MATCH(F$1,[1]stages!$2:$2,0)-MATCH("temp_stage",[1]stages!$2:$2,0)+1,FALSE)</f>
        <v xml:space="preserve">【中級】雷のウサギ </v>
      </c>
      <c r="G214" s="3" t="str">
        <f ca="1">VLOOKUP($B214&amp;"_"&amp;$E214,OFFSET([1]stages!$A$1,0,0,COUNTA([1]stages!$A:$A),MATCH(G$1,[1]stages!$2:$2,0)-MATCH("temp_stage",[1]stages!$2:$2,0)+1),MATCH(G$1,[1]stages!$2:$2,0)-MATCH("temp_stage",[1]stages!$2:$2,0)+1,FALSE)</f>
        <v>月曜クエスト</v>
      </c>
      <c r="H214" s="18">
        <v>0</v>
      </c>
      <c r="I214">
        <v>31</v>
      </c>
      <c r="J214" s="5" t="s">
        <v>16</v>
      </c>
      <c r="K214" s="35" t="str">
        <f>VLOOKUP(I214,[2]stage_hints!$A:$C,3,FALSE)</f>
        <v>イベントはお知らせでチェック</v>
      </c>
      <c r="L214" s="36" t="str">
        <f>VLOOKUP(I214,[2]stage_hints!$A:$D,4,FALSE)</f>
        <v>イベント限定ユニットを取り忘れないように_x000D_お知らせをこまめにチェックしましょう</v>
      </c>
      <c r="M214" s="21" t="s">
        <v>23</v>
      </c>
      <c r="N214">
        <v>31</v>
      </c>
    </row>
    <row r="215" spans="1:14" x14ac:dyDescent="0.15">
      <c r="A215" s="26" t="s">
        <v>32</v>
      </c>
      <c r="B215" s="4">
        <v>11101</v>
      </c>
      <c r="C215" s="3" t="str">
        <f ca="1">VLOOKUP($B215,OFFSET([1]quests!$A$1,0,0,COUNTA([1]quests!$A:$A),MATCH(C$1,[1]quests!$1:$1,0)-MATCH($B$1,[1]quests!$1:$1,0)+1),MATCH(C$1,[1]quests!$1:$1,0)-MATCH($B$1,[1]quests!$1:$1,0)+1,FALSE)</f>
        <v>【期間限定】 黄の素材</v>
      </c>
      <c r="D215" s="3" t="str">
        <f ca="1">VLOOKUP($B215,OFFSET([1]quests!$A$1,0,0,COUNTA([1]quests!$A:$A),MATCH(D$1,[1]quests!$1:$1,0)-MATCH($B$1,[1]quests!$1:$1,0)+1),MATCH(D$1,[1]quests!$1:$1,0)-MATCH($B$1,[1]quests!$1:$1,0)+1,FALSE)</f>
        <v>月曜クエスト</v>
      </c>
      <c r="E215" s="5">
        <v>2</v>
      </c>
      <c r="F215" s="3" t="str">
        <f ca="1">VLOOKUP($B215&amp;"_"&amp;$E215,OFFSET([1]stages!$A$1,0,0,COUNTA([1]stages!$A:$A),MATCH(F$1,[1]stages!$2:$2,0)-MATCH("temp_stage",[1]stages!$2:$2,0)+1),MATCH(F$1,[1]stages!$2:$2,0)-MATCH("temp_stage",[1]stages!$2:$2,0)+1,FALSE)</f>
        <v xml:space="preserve">【中級】雷のウサギ </v>
      </c>
      <c r="G215" s="3" t="str">
        <f ca="1">VLOOKUP($B215&amp;"_"&amp;$E215,OFFSET([1]stages!$A$1,0,0,COUNTA([1]stages!$A:$A),MATCH(G$1,[1]stages!$2:$2,0)-MATCH("temp_stage",[1]stages!$2:$2,0)+1),MATCH(G$1,[1]stages!$2:$2,0)-MATCH("temp_stage",[1]stages!$2:$2,0)+1,FALSE)</f>
        <v>月曜クエスト</v>
      </c>
      <c r="H215" s="18">
        <v>0</v>
      </c>
      <c r="I215">
        <v>32</v>
      </c>
      <c r="J215" s="5" t="s">
        <v>16</v>
      </c>
      <c r="K215" s="35" t="str">
        <f>VLOOKUP(I215,[2]stage_hints!$A:$C,3,FALSE)</f>
        <v>敵の連続攻撃には</v>
      </c>
      <c r="L215" s="36" t="str">
        <f>VLOOKUP(I215,[2]stage_hints!$A:$D,4,FALSE)</f>
        <v>カウンタースキルを持つユニットがいれば_x000D_ダメージ回数分の反撃ができます</v>
      </c>
      <c r="M215" s="21" t="s">
        <v>23</v>
      </c>
      <c r="N215">
        <v>32</v>
      </c>
    </row>
    <row r="216" spans="1:14" x14ac:dyDescent="0.15">
      <c r="A216" s="26" t="s">
        <v>32</v>
      </c>
      <c r="B216" s="4">
        <v>11101</v>
      </c>
      <c r="C216" s="3" t="str">
        <f ca="1">VLOOKUP($B216,OFFSET([1]quests!$A$1,0,0,COUNTA([1]quests!$A:$A),MATCH(C$1,[1]quests!$1:$1,0)-MATCH($B$1,[1]quests!$1:$1,0)+1),MATCH(C$1,[1]quests!$1:$1,0)-MATCH($B$1,[1]quests!$1:$1,0)+1,FALSE)</f>
        <v>【期間限定】 黄の素材</v>
      </c>
      <c r="D216" s="3" t="str">
        <f ca="1">VLOOKUP($B216,OFFSET([1]quests!$A$1,0,0,COUNTA([1]quests!$A:$A),MATCH(D$1,[1]quests!$1:$1,0)-MATCH($B$1,[1]quests!$1:$1,0)+1),MATCH(D$1,[1]quests!$1:$1,0)-MATCH($B$1,[1]quests!$1:$1,0)+1,FALSE)</f>
        <v>月曜クエスト</v>
      </c>
      <c r="E216" s="5">
        <v>2</v>
      </c>
      <c r="F216" s="3" t="str">
        <f ca="1">VLOOKUP($B216&amp;"_"&amp;$E216,OFFSET([1]stages!$A$1,0,0,COUNTA([1]stages!$A:$A),MATCH(F$1,[1]stages!$2:$2,0)-MATCH("temp_stage",[1]stages!$2:$2,0)+1),MATCH(F$1,[1]stages!$2:$2,0)-MATCH("temp_stage",[1]stages!$2:$2,0)+1,FALSE)</f>
        <v xml:space="preserve">【中級】雷のウサギ </v>
      </c>
      <c r="G216" s="3" t="str">
        <f ca="1">VLOOKUP($B216&amp;"_"&amp;$E216,OFFSET([1]stages!$A$1,0,0,COUNTA([1]stages!$A:$A),MATCH(G$1,[1]stages!$2:$2,0)-MATCH("temp_stage",[1]stages!$2:$2,0)+1),MATCH(G$1,[1]stages!$2:$2,0)-MATCH("temp_stage",[1]stages!$2:$2,0)+1,FALSE)</f>
        <v>月曜クエスト</v>
      </c>
      <c r="H216" s="18">
        <v>0</v>
      </c>
      <c r="I216">
        <v>33</v>
      </c>
      <c r="J216" s="5" t="s">
        <v>16</v>
      </c>
      <c r="K216" s="35" t="str">
        <f>VLOOKUP(I216,[2]stage_hints!$A:$C,3,FALSE)</f>
        <v>敵のカウンター攻撃には</v>
      </c>
      <c r="L216" s="36" t="str">
        <f>VLOOKUP(I216,[2]stage_hints!$A:$D,4,FALSE)</f>
        <v>カウンターブレイクスキルを持っていれば_x000D_敵のカウンターを解除して攻撃ができます</v>
      </c>
      <c r="M216" s="21" t="s">
        <v>23</v>
      </c>
      <c r="N216">
        <v>33</v>
      </c>
    </row>
    <row r="217" spans="1:14" x14ac:dyDescent="0.15">
      <c r="A217" s="26" t="s">
        <v>32</v>
      </c>
      <c r="B217" s="4">
        <v>11101</v>
      </c>
      <c r="C217" s="3" t="str">
        <f ca="1">VLOOKUP($B217,OFFSET([1]quests!$A$1,0,0,COUNTA([1]quests!$A:$A),MATCH(C$1,[1]quests!$1:$1,0)-MATCH($B$1,[1]quests!$1:$1,0)+1),MATCH(C$1,[1]quests!$1:$1,0)-MATCH($B$1,[1]quests!$1:$1,0)+1,FALSE)</f>
        <v>【期間限定】 黄の素材</v>
      </c>
      <c r="D217" s="3" t="str">
        <f ca="1">VLOOKUP($B217,OFFSET([1]quests!$A$1,0,0,COUNTA([1]quests!$A:$A),MATCH(D$1,[1]quests!$1:$1,0)-MATCH($B$1,[1]quests!$1:$1,0)+1),MATCH(D$1,[1]quests!$1:$1,0)-MATCH($B$1,[1]quests!$1:$1,0)+1,FALSE)</f>
        <v>月曜クエスト</v>
      </c>
      <c r="E217" s="5">
        <v>2</v>
      </c>
      <c r="F217" s="3" t="str">
        <f ca="1">VLOOKUP($B217&amp;"_"&amp;$E217,OFFSET([1]stages!$A$1,0,0,COUNTA([1]stages!$A:$A),MATCH(F$1,[1]stages!$2:$2,0)-MATCH("temp_stage",[1]stages!$2:$2,0)+1),MATCH(F$1,[1]stages!$2:$2,0)-MATCH("temp_stage",[1]stages!$2:$2,0)+1,FALSE)</f>
        <v xml:space="preserve">【中級】雷のウサギ </v>
      </c>
      <c r="G217" s="3" t="str">
        <f ca="1">VLOOKUP($B217&amp;"_"&amp;$E217,OFFSET([1]stages!$A$1,0,0,COUNTA([1]stages!$A:$A),MATCH(G$1,[1]stages!$2:$2,0)-MATCH("temp_stage",[1]stages!$2:$2,0)+1),MATCH(G$1,[1]stages!$2:$2,0)-MATCH("temp_stage",[1]stages!$2:$2,0)+1,FALSE)</f>
        <v>月曜クエスト</v>
      </c>
      <c r="H217" s="18">
        <v>0</v>
      </c>
      <c r="I217">
        <v>34</v>
      </c>
      <c r="J217" s="5" t="s">
        <v>16</v>
      </c>
      <c r="K217" s="35" t="str">
        <f>VLOOKUP(I217,[2]stage_hints!$A:$C,3,FALSE)</f>
        <v>ステータスをスキルで下げられたら</v>
      </c>
      <c r="L217" s="36" t="str">
        <f>VLOOKUP(I217,[2]stage_hints!$A:$D,4,FALSE)</f>
        <v>ステータスダウンのスキルを受けたら_x000D_ステータスアップスキルで上書きしましょう</v>
      </c>
      <c r="M217" s="21" t="s">
        <v>23</v>
      </c>
      <c r="N217">
        <v>34</v>
      </c>
    </row>
    <row r="218" spans="1:14" x14ac:dyDescent="0.15">
      <c r="A218" s="26" t="s">
        <v>32</v>
      </c>
      <c r="B218" s="4">
        <v>11101</v>
      </c>
      <c r="C218" s="3" t="str">
        <f ca="1">VLOOKUP($B218,OFFSET([1]quests!$A$1,0,0,COUNTA([1]quests!$A:$A),MATCH(C$1,[1]quests!$1:$1,0)-MATCH($B$1,[1]quests!$1:$1,0)+1),MATCH(C$1,[1]quests!$1:$1,0)-MATCH($B$1,[1]quests!$1:$1,0)+1,FALSE)</f>
        <v>【期間限定】 黄の素材</v>
      </c>
      <c r="D218" s="3" t="str">
        <f ca="1">VLOOKUP($B218,OFFSET([1]quests!$A$1,0,0,COUNTA([1]quests!$A:$A),MATCH(D$1,[1]quests!$1:$1,0)-MATCH($B$1,[1]quests!$1:$1,0)+1),MATCH(D$1,[1]quests!$1:$1,0)-MATCH($B$1,[1]quests!$1:$1,0)+1,FALSE)</f>
        <v>月曜クエスト</v>
      </c>
      <c r="E218" s="5">
        <v>2</v>
      </c>
      <c r="F218" s="3" t="str">
        <f ca="1">VLOOKUP($B218&amp;"_"&amp;$E218,OFFSET([1]stages!$A$1,0,0,COUNTA([1]stages!$A:$A),MATCH(F$1,[1]stages!$2:$2,0)-MATCH("temp_stage",[1]stages!$2:$2,0)+1),MATCH(F$1,[1]stages!$2:$2,0)-MATCH("temp_stage",[1]stages!$2:$2,0)+1,FALSE)</f>
        <v xml:space="preserve">【中級】雷のウサギ </v>
      </c>
      <c r="G218" s="3" t="str">
        <f ca="1">VLOOKUP($B218&amp;"_"&amp;$E218,OFFSET([1]stages!$A$1,0,0,COUNTA([1]stages!$A:$A),MATCH(G$1,[1]stages!$2:$2,0)-MATCH("temp_stage",[1]stages!$2:$2,0)+1),MATCH(G$1,[1]stages!$2:$2,0)-MATCH("temp_stage",[1]stages!$2:$2,0)+1,FALSE)</f>
        <v>月曜クエスト</v>
      </c>
      <c r="H218" s="18">
        <v>0</v>
      </c>
      <c r="I218">
        <v>35</v>
      </c>
      <c r="J218" s="5" t="s">
        <v>16</v>
      </c>
      <c r="K218" s="35" t="str">
        <f>VLOOKUP(I218,[2]stage_hints!$A:$C,3,FALSE)</f>
        <v>敵のステータスがスキルで上がったら</v>
      </c>
      <c r="L218" s="36" t="str">
        <f>VLOOKUP(I218,[2]stage_hints!$A:$D,4,FALSE)</f>
        <v>敵のステータスがスキルでアップしたときは_x000D_ステータスダウンスキルで上書きしましょう</v>
      </c>
      <c r="M218" s="21" t="s">
        <v>23</v>
      </c>
      <c r="N218">
        <v>35</v>
      </c>
    </row>
    <row r="219" spans="1:14" x14ac:dyDescent="0.15">
      <c r="A219" s="26" t="s">
        <v>32</v>
      </c>
      <c r="B219" s="4">
        <v>11102</v>
      </c>
      <c r="C219" s="3" t="str">
        <f ca="1">VLOOKUP($B219,OFFSET([1]quests!$A$1,0,0,COUNTA([1]quests!$A:$A),MATCH(C$1,[1]quests!$1:$1,0)-MATCH($B$1,[1]quests!$1:$1,0)+1),MATCH(C$1,[1]quests!$1:$1,0)-MATCH($B$1,[1]quests!$1:$1,0)+1,FALSE)</f>
        <v>【期間限定】 赤の素材</v>
      </c>
      <c r="D219" s="3" t="str">
        <f ca="1">VLOOKUP($B219,OFFSET([1]quests!$A$1,0,0,COUNTA([1]quests!$A:$A),MATCH(D$1,[1]quests!$1:$1,0)-MATCH($B$1,[1]quests!$1:$1,0)+1),MATCH(D$1,[1]quests!$1:$1,0)-MATCH($B$1,[1]quests!$1:$1,0)+1,FALSE)</f>
        <v>火曜クエスト</v>
      </c>
      <c r="E219" s="5">
        <v>2</v>
      </c>
      <c r="F219" s="3" t="str">
        <f ca="1">VLOOKUP($B219&amp;"_"&amp;$E219,OFFSET([1]stages!$A$1,0,0,COUNTA([1]stages!$A:$A),MATCH(F$1,[1]stages!$2:$2,0)-MATCH("temp_stage",[1]stages!$2:$2,0)+1),MATCH(F$1,[1]stages!$2:$2,0)-MATCH("temp_stage",[1]stages!$2:$2,0)+1,FALSE)</f>
        <v xml:space="preserve">【中級】火のウサギ </v>
      </c>
      <c r="G219" s="3" t="str">
        <f ca="1">VLOOKUP($B219&amp;"_"&amp;$E219,OFFSET([1]stages!$A$1,0,0,COUNTA([1]stages!$A:$A),MATCH(G$1,[1]stages!$2:$2,0)-MATCH("temp_stage",[1]stages!$2:$2,0)+1),MATCH(G$1,[1]stages!$2:$2,0)-MATCH("temp_stage",[1]stages!$2:$2,0)+1,FALSE)</f>
        <v>火曜クエスト</v>
      </c>
      <c r="H219" s="18">
        <v>0</v>
      </c>
      <c r="I219">
        <v>3</v>
      </c>
      <c r="J219" s="5" t="s">
        <v>16</v>
      </c>
      <c r="K219" s="35" t="str">
        <f>VLOOKUP(I219,[2]stage_hints!$A:$C,3,FALSE)</f>
        <v>ターゲット</v>
      </c>
      <c r="L219" s="36" t="str">
        <f>VLOOKUP(I219,[2]stage_hints!$A:$D,4,FALSE)</f>
        <v>敵ユニットをタップすると_x000D_その敵を狙い撃ちできます</v>
      </c>
      <c r="M219" s="21" t="s">
        <v>23</v>
      </c>
      <c r="N219">
        <v>3</v>
      </c>
    </row>
    <row r="220" spans="1:14" x14ac:dyDescent="0.15">
      <c r="A220" s="26" t="s">
        <v>32</v>
      </c>
      <c r="B220" s="4">
        <v>11102</v>
      </c>
      <c r="C220" s="3" t="str">
        <f ca="1">VLOOKUP($B220,OFFSET([1]quests!$A$1,0,0,COUNTA([1]quests!$A:$A),MATCH(C$1,[1]quests!$1:$1,0)-MATCH($B$1,[1]quests!$1:$1,0)+1),MATCH(C$1,[1]quests!$1:$1,0)-MATCH($B$1,[1]quests!$1:$1,0)+1,FALSE)</f>
        <v>【期間限定】 赤の素材</v>
      </c>
      <c r="D220" s="3" t="str">
        <f ca="1">VLOOKUP($B220,OFFSET([1]quests!$A$1,0,0,COUNTA([1]quests!$A:$A),MATCH(D$1,[1]quests!$1:$1,0)-MATCH($B$1,[1]quests!$1:$1,0)+1),MATCH(D$1,[1]quests!$1:$1,0)-MATCH($B$1,[1]quests!$1:$1,0)+1,FALSE)</f>
        <v>火曜クエスト</v>
      </c>
      <c r="E220" s="5">
        <v>2</v>
      </c>
      <c r="F220" s="3" t="str">
        <f ca="1">VLOOKUP($B220&amp;"_"&amp;$E220,OFFSET([1]stages!$A$1,0,0,COUNTA([1]stages!$A:$A),MATCH(F$1,[1]stages!$2:$2,0)-MATCH("temp_stage",[1]stages!$2:$2,0)+1),MATCH(F$1,[1]stages!$2:$2,0)-MATCH("temp_stage",[1]stages!$2:$2,0)+1,FALSE)</f>
        <v xml:space="preserve">【中級】火のウサギ </v>
      </c>
      <c r="G220" s="3" t="str">
        <f ca="1">VLOOKUP($B220&amp;"_"&amp;$E220,OFFSET([1]stages!$A$1,0,0,COUNTA([1]stages!$A:$A),MATCH(G$1,[1]stages!$2:$2,0)-MATCH("temp_stage",[1]stages!$2:$2,0)+1),MATCH(G$1,[1]stages!$2:$2,0)-MATCH("temp_stage",[1]stages!$2:$2,0)+1,FALSE)</f>
        <v>火曜クエスト</v>
      </c>
      <c r="H220" s="18">
        <v>0</v>
      </c>
      <c r="I220">
        <v>6</v>
      </c>
      <c r="J220" s="5" t="s">
        <v>16</v>
      </c>
      <c r="K220" s="35" t="str">
        <f>VLOOKUP(I220,[2]stage_hints!$A:$C,3,FALSE)</f>
        <v>ユニット強化の属性ボーナス</v>
      </c>
      <c r="L220" s="36" t="str">
        <f>VLOOKUP(I220,[2]stage_hints!$A:$D,4,FALSE)</f>
        <v>同属性ユニットを強化素材にすると_x000D_経験値が多くもらえます</v>
      </c>
      <c r="M220" s="21" t="s">
        <v>23</v>
      </c>
      <c r="N220">
        <v>6</v>
      </c>
    </row>
    <row r="221" spans="1:14" x14ac:dyDescent="0.15">
      <c r="A221" s="26" t="s">
        <v>32</v>
      </c>
      <c r="B221" s="4">
        <v>11102</v>
      </c>
      <c r="C221" s="3" t="str">
        <f ca="1">VLOOKUP($B221,OFFSET([1]quests!$A$1,0,0,COUNTA([1]quests!$A:$A),MATCH(C$1,[1]quests!$1:$1,0)-MATCH($B$1,[1]quests!$1:$1,0)+1),MATCH(C$1,[1]quests!$1:$1,0)-MATCH($B$1,[1]quests!$1:$1,0)+1,FALSE)</f>
        <v>【期間限定】 赤の素材</v>
      </c>
      <c r="D221" s="3" t="str">
        <f ca="1">VLOOKUP($B221,OFFSET([1]quests!$A$1,0,0,COUNTA([1]quests!$A:$A),MATCH(D$1,[1]quests!$1:$1,0)-MATCH($B$1,[1]quests!$1:$1,0)+1),MATCH(D$1,[1]quests!$1:$1,0)-MATCH($B$1,[1]quests!$1:$1,0)+1,FALSE)</f>
        <v>火曜クエスト</v>
      </c>
      <c r="E221" s="5">
        <v>2</v>
      </c>
      <c r="F221" s="3" t="str">
        <f ca="1">VLOOKUP($B221&amp;"_"&amp;$E221,OFFSET([1]stages!$A$1,0,0,COUNTA([1]stages!$A:$A),MATCH(F$1,[1]stages!$2:$2,0)-MATCH("temp_stage",[1]stages!$2:$2,0)+1),MATCH(F$1,[1]stages!$2:$2,0)-MATCH("temp_stage",[1]stages!$2:$2,0)+1,FALSE)</f>
        <v xml:space="preserve">【中級】火のウサギ </v>
      </c>
      <c r="G221" s="3" t="str">
        <f ca="1">VLOOKUP($B221&amp;"_"&amp;$E221,OFFSET([1]stages!$A$1,0,0,COUNTA([1]stages!$A:$A),MATCH(G$1,[1]stages!$2:$2,0)-MATCH("temp_stage",[1]stages!$2:$2,0)+1),MATCH(G$1,[1]stages!$2:$2,0)-MATCH("temp_stage",[1]stages!$2:$2,0)+1,FALSE)</f>
        <v>火曜クエスト</v>
      </c>
      <c r="H221" s="18">
        <v>0</v>
      </c>
      <c r="I221">
        <v>7</v>
      </c>
      <c r="J221" s="5" t="s">
        <v>16</v>
      </c>
      <c r="K221" s="35" t="str">
        <f>VLOOKUP(I221,[2]stage_hints!$A:$C,3,FALSE)</f>
        <v>メタルダックで経験値を獲得</v>
      </c>
      <c r="L221" s="36" t="str">
        <f>VLOOKUP(I221,[2]stage_hints!$A:$D,4,FALSE)</f>
        <v>「メタルなアヒル」を強化素材にすると_x000D_大量の経験値がもらえます</v>
      </c>
      <c r="M221" s="21" t="s">
        <v>23</v>
      </c>
      <c r="N221">
        <v>7</v>
      </c>
    </row>
    <row r="222" spans="1:14" x14ac:dyDescent="0.15">
      <c r="A222" s="26" t="s">
        <v>32</v>
      </c>
      <c r="B222" s="4">
        <v>11102</v>
      </c>
      <c r="C222" s="3" t="str">
        <f ca="1">VLOOKUP($B222,OFFSET([1]quests!$A$1,0,0,COUNTA([1]quests!$A:$A),MATCH(C$1,[1]quests!$1:$1,0)-MATCH($B$1,[1]quests!$1:$1,0)+1),MATCH(C$1,[1]quests!$1:$1,0)-MATCH($B$1,[1]quests!$1:$1,0)+1,FALSE)</f>
        <v>【期間限定】 赤の素材</v>
      </c>
      <c r="D222" s="3" t="str">
        <f ca="1">VLOOKUP($B222,OFFSET([1]quests!$A$1,0,0,COUNTA([1]quests!$A:$A),MATCH(D$1,[1]quests!$1:$1,0)-MATCH($B$1,[1]quests!$1:$1,0)+1),MATCH(D$1,[1]quests!$1:$1,0)-MATCH($B$1,[1]quests!$1:$1,0)+1,FALSE)</f>
        <v>火曜クエスト</v>
      </c>
      <c r="E222" s="5">
        <v>2</v>
      </c>
      <c r="F222" s="3" t="str">
        <f ca="1">VLOOKUP($B222&amp;"_"&amp;$E222,OFFSET([1]stages!$A$1,0,0,COUNTA([1]stages!$A:$A),MATCH(F$1,[1]stages!$2:$2,0)-MATCH("temp_stage",[1]stages!$2:$2,0)+1),MATCH(F$1,[1]stages!$2:$2,0)-MATCH("temp_stage",[1]stages!$2:$2,0)+1,FALSE)</f>
        <v xml:space="preserve">【中級】火のウサギ </v>
      </c>
      <c r="G222" s="3" t="str">
        <f ca="1">VLOOKUP($B222&amp;"_"&amp;$E222,OFFSET([1]stages!$A$1,0,0,COUNTA([1]stages!$A:$A),MATCH(G$1,[1]stages!$2:$2,0)-MATCH("temp_stage",[1]stages!$2:$2,0)+1),MATCH(G$1,[1]stages!$2:$2,0)-MATCH("temp_stage",[1]stages!$2:$2,0)+1,FALSE)</f>
        <v>火曜クエスト</v>
      </c>
      <c r="H222" s="18">
        <v>0</v>
      </c>
      <c r="I222">
        <v>8</v>
      </c>
      <c r="J222" s="5" t="s">
        <v>16</v>
      </c>
      <c r="K222" s="35" t="str">
        <f>VLOOKUP(I222,[2]stage_hints!$A:$C,3,FALSE)</f>
        <v>ゲリラクエストは要チェック</v>
      </c>
      <c r="L222" s="36" t="str">
        <f>VLOOKUP(I222,[2]stage_hints!$A:$D,4,FALSE)</f>
        <v>時間限定の「アヒル捕獲作戦」では_x000D_経験値素材ユニットが多く手に入ります</v>
      </c>
      <c r="M222" s="21" t="s">
        <v>23</v>
      </c>
      <c r="N222">
        <v>8</v>
      </c>
    </row>
    <row r="223" spans="1:14" x14ac:dyDescent="0.15">
      <c r="A223" s="26" t="s">
        <v>32</v>
      </c>
      <c r="B223" s="4">
        <v>11102</v>
      </c>
      <c r="C223" s="3" t="str">
        <f ca="1">VLOOKUP($B223,OFFSET([1]quests!$A$1,0,0,COUNTA([1]quests!$A:$A),MATCH(C$1,[1]quests!$1:$1,0)-MATCH($B$1,[1]quests!$1:$1,0)+1),MATCH(C$1,[1]quests!$1:$1,0)-MATCH($B$1,[1]quests!$1:$1,0)+1,FALSE)</f>
        <v>【期間限定】 赤の素材</v>
      </c>
      <c r="D223" s="3" t="str">
        <f ca="1">VLOOKUP($B223,OFFSET([1]quests!$A$1,0,0,COUNTA([1]quests!$A:$A),MATCH(D$1,[1]quests!$1:$1,0)-MATCH($B$1,[1]quests!$1:$1,0)+1),MATCH(D$1,[1]quests!$1:$1,0)-MATCH($B$1,[1]quests!$1:$1,0)+1,FALSE)</f>
        <v>火曜クエスト</v>
      </c>
      <c r="E223" s="5">
        <v>2</v>
      </c>
      <c r="F223" s="3" t="str">
        <f ca="1">VLOOKUP($B223&amp;"_"&amp;$E223,OFFSET([1]stages!$A$1,0,0,COUNTA([1]stages!$A:$A),MATCH(F$1,[1]stages!$2:$2,0)-MATCH("temp_stage",[1]stages!$2:$2,0)+1),MATCH(F$1,[1]stages!$2:$2,0)-MATCH("temp_stage",[1]stages!$2:$2,0)+1,FALSE)</f>
        <v xml:space="preserve">【中級】火のウサギ </v>
      </c>
      <c r="G223" s="3" t="str">
        <f ca="1">VLOOKUP($B223&amp;"_"&amp;$E223,OFFSET([1]stages!$A$1,0,0,COUNTA([1]stages!$A:$A),MATCH(G$1,[1]stages!$2:$2,0)-MATCH("temp_stage",[1]stages!$2:$2,0)+1),MATCH(G$1,[1]stages!$2:$2,0)-MATCH("temp_stage",[1]stages!$2:$2,0)+1,FALSE)</f>
        <v>火曜クエスト</v>
      </c>
      <c r="H223" s="18">
        <v>0</v>
      </c>
      <c r="I223">
        <v>9</v>
      </c>
      <c r="J223" s="5" t="s">
        <v>16</v>
      </c>
      <c r="K223" s="35" t="str">
        <f>VLOOKUP(I223,[2]stage_hints!$A:$C,3,FALSE)</f>
        <v>ゴールドダックでビットを獲得</v>
      </c>
      <c r="L223" s="36" t="str">
        <f>VLOOKUP(I223,[2]stage_hints!$A:$D,4,FALSE)</f>
        <v>「ゴールドなアヒル」を売却すると_x000D_大量のビットがもらえます</v>
      </c>
      <c r="M223" s="21" t="s">
        <v>23</v>
      </c>
      <c r="N223">
        <v>9</v>
      </c>
    </row>
    <row r="224" spans="1:14" x14ac:dyDescent="0.15">
      <c r="A224" s="26" t="s">
        <v>32</v>
      </c>
      <c r="B224" s="4">
        <v>11102</v>
      </c>
      <c r="C224" s="3" t="str">
        <f ca="1">VLOOKUP($B224,OFFSET([1]quests!$A$1,0,0,COUNTA([1]quests!$A:$A),MATCH(C$1,[1]quests!$1:$1,0)-MATCH($B$1,[1]quests!$1:$1,0)+1),MATCH(C$1,[1]quests!$1:$1,0)-MATCH($B$1,[1]quests!$1:$1,0)+1,FALSE)</f>
        <v>【期間限定】 赤の素材</v>
      </c>
      <c r="D224" s="3" t="str">
        <f ca="1">VLOOKUP($B224,OFFSET([1]quests!$A$1,0,0,COUNTA([1]quests!$A:$A),MATCH(D$1,[1]quests!$1:$1,0)-MATCH($B$1,[1]quests!$1:$1,0)+1),MATCH(D$1,[1]quests!$1:$1,0)-MATCH($B$1,[1]quests!$1:$1,0)+1,FALSE)</f>
        <v>火曜クエスト</v>
      </c>
      <c r="E224" s="5">
        <v>2</v>
      </c>
      <c r="F224" s="3" t="str">
        <f ca="1">VLOOKUP($B224&amp;"_"&amp;$E224,OFFSET([1]stages!$A$1,0,0,COUNTA([1]stages!$A:$A),MATCH(F$1,[1]stages!$2:$2,0)-MATCH("temp_stage",[1]stages!$2:$2,0)+1),MATCH(F$1,[1]stages!$2:$2,0)-MATCH("temp_stage",[1]stages!$2:$2,0)+1,FALSE)</f>
        <v xml:space="preserve">【中級】火のウサギ </v>
      </c>
      <c r="G224" s="3" t="str">
        <f ca="1">VLOOKUP($B224&amp;"_"&amp;$E224,OFFSET([1]stages!$A$1,0,0,COUNTA([1]stages!$A:$A),MATCH(G$1,[1]stages!$2:$2,0)-MATCH("temp_stage",[1]stages!$2:$2,0)+1),MATCH(G$1,[1]stages!$2:$2,0)-MATCH("temp_stage",[1]stages!$2:$2,0)+1,FALSE)</f>
        <v>火曜クエスト</v>
      </c>
      <c r="H224" s="18">
        <v>0</v>
      </c>
      <c r="I224">
        <v>10</v>
      </c>
      <c r="J224" s="5" t="s">
        <v>16</v>
      </c>
      <c r="K224" s="35" t="str">
        <f>VLOOKUP(I224,[2]stage_hints!$A:$C,3,FALSE)</f>
        <v>土日に大量のビットを獲得</v>
      </c>
      <c r="L224" s="36" t="str">
        <f>VLOOKUP(I224,[2]stage_hints!$A:$D,4,FALSE)</f>
        <v>土日限定の「ゴールドカジノ」では_x000D_売却素材ユニットが多く手に入ります</v>
      </c>
      <c r="M224" s="21" t="s">
        <v>23</v>
      </c>
      <c r="N224">
        <v>10</v>
      </c>
    </row>
    <row r="225" spans="1:14" x14ac:dyDescent="0.15">
      <c r="A225" s="26" t="s">
        <v>32</v>
      </c>
      <c r="B225" s="4">
        <v>11102</v>
      </c>
      <c r="C225" s="3" t="str">
        <f ca="1">VLOOKUP($B225,OFFSET([1]quests!$A$1,0,0,COUNTA([1]quests!$A:$A),MATCH(C$1,[1]quests!$1:$1,0)-MATCH($B$1,[1]quests!$1:$1,0)+1),MATCH(C$1,[1]quests!$1:$1,0)-MATCH($B$1,[1]quests!$1:$1,0)+1,FALSE)</f>
        <v>【期間限定】 赤の素材</v>
      </c>
      <c r="D225" s="3" t="str">
        <f ca="1">VLOOKUP($B225,OFFSET([1]quests!$A$1,0,0,COUNTA([1]quests!$A:$A),MATCH(D$1,[1]quests!$1:$1,0)-MATCH($B$1,[1]quests!$1:$1,0)+1),MATCH(D$1,[1]quests!$1:$1,0)-MATCH($B$1,[1]quests!$1:$1,0)+1,FALSE)</f>
        <v>火曜クエスト</v>
      </c>
      <c r="E225" s="5">
        <v>2</v>
      </c>
      <c r="F225" s="3" t="str">
        <f ca="1">VLOOKUP($B225&amp;"_"&amp;$E225,OFFSET([1]stages!$A$1,0,0,COUNTA([1]stages!$A:$A),MATCH(F$1,[1]stages!$2:$2,0)-MATCH("temp_stage",[1]stages!$2:$2,0)+1),MATCH(F$1,[1]stages!$2:$2,0)-MATCH("temp_stage",[1]stages!$2:$2,0)+1,FALSE)</f>
        <v xml:space="preserve">【中級】火のウサギ </v>
      </c>
      <c r="G225" s="3" t="str">
        <f ca="1">VLOOKUP($B225&amp;"_"&amp;$E225,OFFSET([1]stages!$A$1,0,0,COUNTA([1]stages!$A:$A),MATCH(G$1,[1]stages!$2:$2,0)-MATCH("temp_stage",[1]stages!$2:$2,0)+1),MATCH(G$1,[1]stages!$2:$2,0)-MATCH("temp_stage",[1]stages!$2:$2,0)+1,FALSE)</f>
        <v>火曜クエスト</v>
      </c>
      <c r="H225" s="18">
        <v>0</v>
      </c>
      <c r="I225">
        <v>11</v>
      </c>
      <c r="J225" s="5" t="s">
        <v>16</v>
      </c>
      <c r="K225" s="35" t="str">
        <f>VLOOKUP(I225,[2]stage_hints!$A:$C,3,FALSE)</f>
        <v>ランク解放クエスト</v>
      </c>
      <c r="L225" s="36" t="str">
        <f>VLOOKUP(I225,[2]stage_hints!$A:$D,4,FALSE)</f>
        <v>一定ランクに到達すると_x000D_報酬付きのランク開放クエストが現れます</v>
      </c>
      <c r="M225" s="21" t="s">
        <v>23</v>
      </c>
      <c r="N225">
        <v>11</v>
      </c>
    </row>
    <row r="226" spans="1:14" x14ac:dyDescent="0.15">
      <c r="A226" s="26" t="s">
        <v>32</v>
      </c>
      <c r="B226" s="4">
        <v>11102</v>
      </c>
      <c r="C226" s="3" t="str">
        <f ca="1">VLOOKUP($B226,OFFSET([1]quests!$A$1,0,0,COUNTA([1]quests!$A:$A),MATCH(C$1,[1]quests!$1:$1,0)-MATCH($B$1,[1]quests!$1:$1,0)+1),MATCH(C$1,[1]quests!$1:$1,0)-MATCH($B$1,[1]quests!$1:$1,0)+1,FALSE)</f>
        <v>【期間限定】 赤の素材</v>
      </c>
      <c r="D226" s="3" t="str">
        <f ca="1">VLOOKUP($B226,OFFSET([1]quests!$A$1,0,0,COUNTA([1]quests!$A:$A),MATCH(D$1,[1]quests!$1:$1,0)-MATCH($B$1,[1]quests!$1:$1,0)+1),MATCH(D$1,[1]quests!$1:$1,0)-MATCH($B$1,[1]quests!$1:$1,0)+1,FALSE)</f>
        <v>火曜クエスト</v>
      </c>
      <c r="E226" s="5">
        <v>2</v>
      </c>
      <c r="F226" s="3" t="str">
        <f ca="1">VLOOKUP($B226&amp;"_"&amp;$E226,OFFSET([1]stages!$A$1,0,0,COUNTA([1]stages!$A:$A),MATCH(F$1,[1]stages!$2:$2,0)-MATCH("temp_stage",[1]stages!$2:$2,0)+1),MATCH(F$1,[1]stages!$2:$2,0)-MATCH("temp_stage",[1]stages!$2:$2,0)+1,FALSE)</f>
        <v xml:space="preserve">【中級】火のウサギ </v>
      </c>
      <c r="G226" s="3" t="str">
        <f ca="1">VLOOKUP($B226&amp;"_"&amp;$E226,OFFSET([1]stages!$A$1,0,0,COUNTA([1]stages!$A:$A),MATCH(G$1,[1]stages!$2:$2,0)-MATCH("temp_stage",[1]stages!$2:$2,0)+1),MATCH(G$1,[1]stages!$2:$2,0)-MATCH("temp_stage",[1]stages!$2:$2,0)+1,FALSE)</f>
        <v>火曜クエスト</v>
      </c>
      <c r="H226" s="18">
        <v>0</v>
      </c>
      <c r="I226">
        <v>12</v>
      </c>
      <c r="J226" s="5" t="s">
        <v>16</v>
      </c>
      <c r="K226" s="35" t="str">
        <f>VLOOKUP(I226,[2]stage_hints!$A:$C,3,FALSE)</f>
        <v>ユニットのお気に入り登録</v>
      </c>
      <c r="L226" s="36" t="str">
        <f>VLOOKUP(I226,[2]stage_hints!$A:$D,4,FALSE)</f>
        <v>大事なユニットを誤って消さないように_x000D_フォルダから「お気に入り登録」しましょう</v>
      </c>
      <c r="M226" s="21" t="s">
        <v>23</v>
      </c>
      <c r="N226">
        <v>12</v>
      </c>
    </row>
    <row r="227" spans="1:14" x14ac:dyDescent="0.15">
      <c r="A227" s="26" t="s">
        <v>32</v>
      </c>
      <c r="B227" s="4">
        <v>11102</v>
      </c>
      <c r="C227" s="3" t="str">
        <f ca="1">VLOOKUP($B227,OFFSET([1]quests!$A$1,0,0,COUNTA([1]quests!$A:$A),MATCH(C$1,[1]quests!$1:$1,0)-MATCH($B$1,[1]quests!$1:$1,0)+1),MATCH(C$1,[1]quests!$1:$1,0)-MATCH($B$1,[1]quests!$1:$1,0)+1,FALSE)</f>
        <v>【期間限定】 赤の素材</v>
      </c>
      <c r="D227" s="3" t="str">
        <f ca="1">VLOOKUP($B227,OFFSET([1]quests!$A$1,0,0,COUNTA([1]quests!$A:$A),MATCH(D$1,[1]quests!$1:$1,0)-MATCH($B$1,[1]quests!$1:$1,0)+1),MATCH(D$1,[1]quests!$1:$1,0)-MATCH($B$1,[1]quests!$1:$1,0)+1,FALSE)</f>
        <v>火曜クエスト</v>
      </c>
      <c r="E227" s="5">
        <v>2</v>
      </c>
      <c r="F227" s="3" t="str">
        <f ca="1">VLOOKUP($B227&amp;"_"&amp;$E227,OFFSET([1]stages!$A$1,0,0,COUNTA([1]stages!$A:$A),MATCH(F$1,[1]stages!$2:$2,0)-MATCH("temp_stage",[1]stages!$2:$2,0)+1),MATCH(F$1,[1]stages!$2:$2,0)-MATCH("temp_stage",[1]stages!$2:$2,0)+1,FALSE)</f>
        <v xml:space="preserve">【中級】火のウサギ </v>
      </c>
      <c r="G227" s="3" t="str">
        <f ca="1">VLOOKUP($B227&amp;"_"&amp;$E227,OFFSET([1]stages!$A$1,0,0,COUNTA([1]stages!$A:$A),MATCH(G$1,[1]stages!$2:$2,0)-MATCH("temp_stage",[1]stages!$2:$2,0)+1),MATCH(G$1,[1]stages!$2:$2,0)-MATCH("temp_stage",[1]stages!$2:$2,0)+1,FALSE)</f>
        <v>火曜クエスト</v>
      </c>
      <c r="H227" s="18">
        <v>0</v>
      </c>
      <c r="I227">
        <v>13</v>
      </c>
      <c r="J227" s="5" t="s">
        <v>16</v>
      </c>
      <c r="K227" s="35" t="str">
        <f>VLOOKUP(I227,[2]stage_hints!$A:$C,3,FALSE)</f>
        <v>ユニットの覚醒</v>
      </c>
      <c r="L227" s="36" t="str">
        <f>VLOOKUP(I227,[2]stage_hints!$A:$D,4,FALSE)</f>
        <v>ユニットを覚醒させると_x000D_比べものにならない強さが手に入ります</v>
      </c>
      <c r="M227" s="21" t="s">
        <v>23</v>
      </c>
      <c r="N227">
        <v>13</v>
      </c>
    </row>
    <row r="228" spans="1:14" x14ac:dyDescent="0.15">
      <c r="A228" s="26" t="s">
        <v>32</v>
      </c>
      <c r="B228" s="4">
        <v>11102</v>
      </c>
      <c r="C228" s="3" t="str">
        <f ca="1">VLOOKUP($B228,OFFSET([1]quests!$A$1,0,0,COUNTA([1]quests!$A:$A),MATCH(C$1,[1]quests!$1:$1,0)-MATCH($B$1,[1]quests!$1:$1,0)+1),MATCH(C$1,[1]quests!$1:$1,0)-MATCH($B$1,[1]quests!$1:$1,0)+1,FALSE)</f>
        <v>【期間限定】 赤の素材</v>
      </c>
      <c r="D228" s="3" t="str">
        <f ca="1">VLOOKUP($B228,OFFSET([1]quests!$A$1,0,0,COUNTA([1]quests!$A:$A),MATCH(D$1,[1]quests!$1:$1,0)-MATCH($B$1,[1]quests!$1:$1,0)+1),MATCH(D$1,[1]quests!$1:$1,0)-MATCH($B$1,[1]quests!$1:$1,0)+1,FALSE)</f>
        <v>火曜クエスト</v>
      </c>
      <c r="E228" s="5">
        <v>2</v>
      </c>
      <c r="F228" s="3" t="str">
        <f ca="1">VLOOKUP($B228&amp;"_"&amp;$E228,OFFSET([1]stages!$A$1,0,0,COUNTA([1]stages!$A:$A),MATCH(F$1,[1]stages!$2:$2,0)-MATCH("temp_stage",[1]stages!$2:$2,0)+1),MATCH(F$1,[1]stages!$2:$2,0)-MATCH("temp_stage",[1]stages!$2:$2,0)+1,FALSE)</f>
        <v xml:space="preserve">【中級】火のウサギ </v>
      </c>
      <c r="G228" s="3" t="str">
        <f ca="1">VLOOKUP($B228&amp;"_"&amp;$E228,OFFSET([1]stages!$A$1,0,0,COUNTA([1]stages!$A:$A),MATCH(G$1,[1]stages!$2:$2,0)-MATCH("temp_stage",[1]stages!$2:$2,0)+1),MATCH(G$1,[1]stages!$2:$2,0)-MATCH("temp_stage",[1]stages!$2:$2,0)+1,FALSE)</f>
        <v>火曜クエスト</v>
      </c>
      <c r="H228" s="18">
        <v>0</v>
      </c>
      <c r="I228">
        <v>14</v>
      </c>
      <c r="J228" s="5" t="s">
        <v>16</v>
      </c>
      <c r="K228" s="35" t="str">
        <f>VLOOKUP(I228,[2]stage_hints!$A:$C,3,FALSE)</f>
        <v>覚醒するにはレベルを最大に</v>
      </c>
      <c r="L228" s="36" t="str">
        <f>VLOOKUP(I228,[2]stage_hints!$A:$D,4,FALSE)</f>
        <v>覚醒するにはユニットのレベルを_x000D_最大まで上げる必要があります</v>
      </c>
      <c r="M228" s="21" t="s">
        <v>23</v>
      </c>
      <c r="N228">
        <v>14</v>
      </c>
    </row>
    <row r="229" spans="1:14" x14ac:dyDescent="0.15">
      <c r="A229" s="26" t="s">
        <v>32</v>
      </c>
      <c r="B229" s="4">
        <v>11102</v>
      </c>
      <c r="C229" s="3" t="str">
        <f ca="1">VLOOKUP($B229,OFFSET([1]quests!$A$1,0,0,COUNTA([1]quests!$A:$A),MATCH(C$1,[1]quests!$1:$1,0)-MATCH($B$1,[1]quests!$1:$1,0)+1),MATCH(C$1,[1]quests!$1:$1,0)-MATCH($B$1,[1]quests!$1:$1,0)+1,FALSE)</f>
        <v>【期間限定】 赤の素材</v>
      </c>
      <c r="D229" s="3" t="str">
        <f ca="1">VLOOKUP($B229,OFFSET([1]quests!$A$1,0,0,COUNTA([1]quests!$A:$A),MATCH(D$1,[1]quests!$1:$1,0)-MATCH($B$1,[1]quests!$1:$1,0)+1),MATCH(D$1,[1]quests!$1:$1,0)-MATCH($B$1,[1]quests!$1:$1,0)+1,FALSE)</f>
        <v>火曜クエスト</v>
      </c>
      <c r="E229" s="5">
        <v>2</v>
      </c>
      <c r="F229" s="3" t="str">
        <f ca="1">VLOOKUP($B229&amp;"_"&amp;$E229,OFFSET([1]stages!$A$1,0,0,COUNTA([1]stages!$A:$A),MATCH(F$1,[1]stages!$2:$2,0)-MATCH("temp_stage",[1]stages!$2:$2,0)+1),MATCH(F$1,[1]stages!$2:$2,0)-MATCH("temp_stage",[1]stages!$2:$2,0)+1,FALSE)</f>
        <v xml:space="preserve">【中級】火のウサギ </v>
      </c>
      <c r="G229" s="3" t="str">
        <f ca="1">VLOOKUP($B229&amp;"_"&amp;$E229,OFFSET([1]stages!$A$1,0,0,COUNTA([1]stages!$A:$A),MATCH(G$1,[1]stages!$2:$2,0)-MATCH("temp_stage",[1]stages!$2:$2,0)+1),MATCH(G$1,[1]stages!$2:$2,0)-MATCH("temp_stage",[1]stages!$2:$2,0)+1,FALSE)</f>
        <v>火曜クエスト</v>
      </c>
      <c r="H229" s="18">
        <v>0</v>
      </c>
      <c r="I229">
        <v>15</v>
      </c>
      <c r="J229" s="5" t="s">
        <v>16</v>
      </c>
      <c r="K229" s="35" t="str">
        <f>VLOOKUP(I229,[2]stage_hints!$A:$C,3,FALSE)</f>
        <v>覚醒素材を獲得</v>
      </c>
      <c r="L229" s="36" t="str">
        <f>VLOOKUP(I229,[2]stage_hints!$A:$D,4,FALSE)</f>
        <v>「曜日クエスト」では_x000D_ユニットの覚醒に必要な素材が手に入ります</v>
      </c>
      <c r="M229" s="21" t="s">
        <v>23</v>
      </c>
      <c r="N229">
        <v>15</v>
      </c>
    </row>
    <row r="230" spans="1:14" x14ac:dyDescent="0.15">
      <c r="A230" s="26" t="s">
        <v>32</v>
      </c>
      <c r="B230" s="4">
        <v>11102</v>
      </c>
      <c r="C230" s="3" t="str">
        <f ca="1">VLOOKUP($B230,OFFSET([1]quests!$A$1,0,0,COUNTA([1]quests!$A:$A),MATCH(C$1,[1]quests!$1:$1,0)-MATCH($B$1,[1]quests!$1:$1,0)+1),MATCH(C$1,[1]quests!$1:$1,0)-MATCH($B$1,[1]quests!$1:$1,0)+1,FALSE)</f>
        <v>【期間限定】 赤の素材</v>
      </c>
      <c r="D230" s="3" t="str">
        <f ca="1">VLOOKUP($B230,OFFSET([1]quests!$A$1,0,0,COUNTA([1]quests!$A:$A),MATCH(D$1,[1]quests!$1:$1,0)-MATCH($B$1,[1]quests!$1:$1,0)+1),MATCH(D$1,[1]quests!$1:$1,0)-MATCH($B$1,[1]quests!$1:$1,0)+1,FALSE)</f>
        <v>火曜クエスト</v>
      </c>
      <c r="E230" s="5">
        <v>2</v>
      </c>
      <c r="F230" s="3" t="str">
        <f ca="1">VLOOKUP($B230&amp;"_"&amp;$E230,OFFSET([1]stages!$A$1,0,0,COUNTA([1]stages!$A:$A),MATCH(F$1,[1]stages!$2:$2,0)-MATCH("temp_stage",[1]stages!$2:$2,0)+1),MATCH(F$1,[1]stages!$2:$2,0)-MATCH("temp_stage",[1]stages!$2:$2,0)+1,FALSE)</f>
        <v xml:space="preserve">【中級】火のウサギ </v>
      </c>
      <c r="G230" s="3" t="str">
        <f ca="1">VLOOKUP($B230&amp;"_"&amp;$E230,OFFSET([1]stages!$A$1,0,0,COUNTA([1]stages!$A:$A),MATCH(G$1,[1]stages!$2:$2,0)-MATCH("temp_stage",[1]stages!$2:$2,0)+1),MATCH(G$1,[1]stages!$2:$2,0)-MATCH("temp_stage",[1]stages!$2:$2,0)+1,FALSE)</f>
        <v>火曜クエスト</v>
      </c>
      <c r="H230" s="18">
        <v>0</v>
      </c>
      <c r="I230">
        <v>16</v>
      </c>
      <c r="J230" s="5" t="s">
        <v>16</v>
      </c>
      <c r="K230" s="35" t="str">
        <f>VLOOKUP(I230,[2]stage_hints!$A:$C,3,FALSE)</f>
        <v>マルチプレイのメリット（その1）</v>
      </c>
      <c r="L230" s="36" t="str">
        <f>VLOOKUP(I230,[2]stage_hints!$A:$D,4,FALSE)</f>
        <v>他のプレイヤーとマルチプレイで遊ぶと_x000D_ポリゴンがもらえます（100人まで）</v>
      </c>
      <c r="M230" s="21" t="s">
        <v>23</v>
      </c>
      <c r="N230">
        <v>16</v>
      </c>
    </row>
    <row r="231" spans="1:14" x14ac:dyDescent="0.15">
      <c r="A231" s="26" t="s">
        <v>32</v>
      </c>
      <c r="B231" s="4">
        <v>11102</v>
      </c>
      <c r="C231" s="3" t="str">
        <f ca="1">VLOOKUP($B231,OFFSET([1]quests!$A$1,0,0,COUNTA([1]quests!$A:$A),MATCH(C$1,[1]quests!$1:$1,0)-MATCH($B$1,[1]quests!$1:$1,0)+1),MATCH(C$1,[1]quests!$1:$1,0)-MATCH($B$1,[1]quests!$1:$1,0)+1,FALSE)</f>
        <v>【期間限定】 赤の素材</v>
      </c>
      <c r="D231" s="3" t="str">
        <f ca="1">VLOOKUP($B231,OFFSET([1]quests!$A$1,0,0,COUNTA([1]quests!$A:$A),MATCH(D$1,[1]quests!$1:$1,0)-MATCH($B$1,[1]quests!$1:$1,0)+1),MATCH(D$1,[1]quests!$1:$1,0)-MATCH($B$1,[1]quests!$1:$1,0)+1,FALSE)</f>
        <v>火曜クエスト</v>
      </c>
      <c r="E231" s="5">
        <v>2</v>
      </c>
      <c r="F231" s="3" t="str">
        <f ca="1">VLOOKUP($B231&amp;"_"&amp;$E231,OFFSET([1]stages!$A$1,0,0,COUNTA([1]stages!$A:$A),MATCH(F$1,[1]stages!$2:$2,0)-MATCH("temp_stage",[1]stages!$2:$2,0)+1),MATCH(F$1,[1]stages!$2:$2,0)-MATCH("temp_stage",[1]stages!$2:$2,0)+1,FALSE)</f>
        <v xml:space="preserve">【中級】火のウサギ </v>
      </c>
      <c r="G231" s="3" t="str">
        <f ca="1">VLOOKUP($B231&amp;"_"&amp;$E231,OFFSET([1]stages!$A$1,0,0,COUNTA([1]stages!$A:$A),MATCH(G$1,[1]stages!$2:$2,0)-MATCH("temp_stage",[1]stages!$2:$2,0)+1),MATCH(G$1,[1]stages!$2:$2,0)-MATCH("temp_stage",[1]stages!$2:$2,0)+1,FALSE)</f>
        <v>火曜クエスト</v>
      </c>
      <c r="H231" s="18">
        <v>0</v>
      </c>
      <c r="I231">
        <v>17</v>
      </c>
      <c r="J231" s="5" t="s">
        <v>16</v>
      </c>
      <c r="K231" s="35" t="str">
        <f>VLOOKUP(I231,[2]stage_hints!$A:$C,3,FALSE)</f>
        <v>リンクガチャ</v>
      </c>
      <c r="L231" s="36" t="str">
        <f>VLOOKUP(I231,[2]stage_hints!$A:$D,4,FALSE)</f>
        <v>無料のリンクガチャを回して_x000D_経験値素材や売却素材を獲得しましょう</v>
      </c>
      <c r="M231" s="21" t="s">
        <v>23</v>
      </c>
      <c r="N231">
        <v>17</v>
      </c>
    </row>
    <row r="232" spans="1:14" x14ac:dyDescent="0.15">
      <c r="A232" s="26" t="s">
        <v>32</v>
      </c>
      <c r="B232" s="4">
        <v>11102</v>
      </c>
      <c r="C232" s="3" t="str">
        <f ca="1">VLOOKUP($B232,OFFSET([1]quests!$A$1,0,0,COUNTA([1]quests!$A:$A),MATCH(C$1,[1]quests!$1:$1,0)-MATCH($B$1,[1]quests!$1:$1,0)+1),MATCH(C$1,[1]quests!$1:$1,0)-MATCH($B$1,[1]quests!$1:$1,0)+1,FALSE)</f>
        <v>【期間限定】 赤の素材</v>
      </c>
      <c r="D232" s="3" t="str">
        <f ca="1">VLOOKUP($B232,OFFSET([1]quests!$A$1,0,0,COUNTA([1]quests!$A:$A),MATCH(D$1,[1]quests!$1:$1,0)-MATCH($B$1,[1]quests!$1:$1,0)+1),MATCH(D$1,[1]quests!$1:$1,0)-MATCH($B$1,[1]quests!$1:$1,0)+1,FALSE)</f>
        <v>火曜クエスト</v>
      </c>
      <c r="E232" s="5">
        <v>2</v>
      </c>
      <c r="F232" s="3" t="str">
        <f ca="1">VLOOKUP($B232&amp;"_"&amp;$E232,OFFSET([1]stages!$A$1,0,0,COUNTA([1]stages!$A:$A),MATCH(F$1,[1]stages!$2:$2,0)-MATCH("temp_stage",[1]stages!$2:$2,0)+1),MATCH(F$1,[1]stages!$2:$2,0)-MATCH("temp_stage",[1]stages!$2:$2,0)+1,FALSE)</f>
        <v xml:space="preserve">【中級】火のウサギ </v>
      </c>
      <c r="G232" s="3" t="str">
        <f ca="1">VLOOKUP($B232&amp;"_"&amp;$E232,OFFSET([1]stages!$A$1,0,0,COUNTA([1]stages!$A:$A),MATCH(G$1,[1]stages!$2:$2,0)-MATCH("temp_stage",[1]stages!$2:$2,0)+1),MATCH(G$1,[1]stages!$2:$2,0)-MATCH("temp_stage",[1]stages!$2:$2,0)+1,FALSE)</f>
        <v>火曜クエスト</v>
      </c>
      <c r="H232" s="18">
        <v>0</v>
      </c>
      <c r="I232">
        <v>18</v>
      </c>
      <c r="J232" s="5" t="s">
        <v>16</v>
      </c>
      <c r="K232" s="35" t="str">
        <f>VLOOKUP(I232,[2]stage_hints!$A:$C,3,FALSE)</f>
        <v>マルチプレイのメリット（その2）</v>
      </c>
      <c r="L232" s="36" t="str">
        <f>VLOOKUP(I232,[2]stage_hints!$A:$D,4,FALSE)</f>
        <v>マルチプレイならリンクが2倍もらえます_x000D_リンクガチャをたくさん回しましょう</v>
      </c>
      <c r="M232" s="21" t="s">
        <v>23</v>
      </c>
      <c r="N232">
        <v>18</v>
      </c>
    </row>
    <row r="233" spans="1:14" x14ac:dyDescent="0.15">
      <c r="A233" s="26" t="s">
        <v>32</v>
      </c>
      <c r="B233" s="4">
        <v>11102</v>
      </c>
      <c r="C233" s="3" t="str">
        <f ca="1">VLOOKUP($B233,OFFSET([1]quests!$A$1,0,0,COUNTA([1]quests!$A:$A),MATCH(C$1,[1]quests!$1:$1,0)-MATCH($B$1,[1]quests!$1:$1,0)+1),MATCH(C$1,[1]quests!$1:$1,0)-MATCH($B$1,[1]quests!$1:$1,0)+1,FALSE)</f>
        <v>【期間限定】 赤の素材</v>
      </c>
      <c r="D233" s="3" t="str">
        <f ca="1">VLOOKUP($B233,OFFSET([1]quests!$A$1,0,0,COUNTA([1]quests!$A:$A),MATCH(D$1,[1]quests!$1:$1,0)-MATCH($B$1,[1]quests!$1:$1,0)+1),MATCH(D$1,[1]quests!$1:$1,0)-MATCH($B$1,[1]quests!$1:$1,0)+1,FALSE)</f>
        <v>火曜クエスト</v>
      </c>
      <c r="E233" s="5">
        <v>2</v>
      </c>
      <c r="F233" s="3" t="str">
        <f ca="1">VLOOKUP($B233&amp;"_"&amp;$E233,OFFSET([1]stages!$A$1,0,0,COUNTA([1]stages!$A:$A),MATCH(F$1,[1]stages!$2:$2,0)-MATCH("temp_stage",[1]stages!$2:$2,0)+1),MATCH(F$1,[1]stages!$2:$2,0)-MATCH("temp_stage",[1]stages!$2:$2,0)+1,FALSE)</f>
        <v xml:space="preserve">【中級】火のウサギ </v>
      </c>
      <c r="G233" s="3" t="str">
        <f ca="1">VLOOKUP($B233&amp;"_"&amp;$E233,OFFSET([1]stages!$A$1,0,0,COUNTA([1]stages!$A:$A),MATCH(G$1,[1]stages!$2:$2,0)-MATCH("temp_stage",[1]stages!$2:$2,0)+1),MATCH(G$1,[1]stages!$2:$2,0)-MATCH("temp_stage",[1]stages!$2:$2,0)+1,FALSE)</f>
        <v>火曜クエスト</v>
      </c>
      <c r="H233" s="18">
        <v>0</v>
      </c>
      <c r="I233">
        <v>19</v>
      </c>
      <c r="J233" s="5" t="s">
        <v>16</v>
      </c>
      <c r="K233" s="35" t="str">
        <f>VLOOKUP(I233,[2]stage_hints!$A:$C,3,FALSE)</f>
        <v>ソロ専用チャレンジタワー</v>
      </c>
      <c r="L233" s="36" t="str">
        <f>VLOOKUP(I233,[2]stage_hints!$A:$D,4,FALSE)</f>
        <v>ソロ専用の「チャレンジタワー」では_x000D_各フロアごとにクリア報酬がもらえます</v>
      </c>
      <c r="M233" s="21" t="s">
        <v>23</v>
      </c>
      <c r="N233">
        <v>19</v>
      </c>
    </row>
    <row r="234" spans="1:14" x14ac:dyDescent="0.15">
      <c r="A234" s="26" t="s">
        <v>32</v>
      </c>
      <c r="B234" s="4">
        <v>11102</v>
      </c>
      <c r="C234" s="3" t="str">
        <f ca="1">VLOOKUP($B234,OFFSET([1]quests!$A$1,0,0,COUNTA([1]quests!$A:$A),MATCH(C$1,[1]quests!$1:$1,0)-MATCH($B$1,[1]quests!$1:$1,0)+1),MATCH(C$1,[1]quests!$1:$1,0)-MATCH($B$1,[1]quests!$1:$1,0)+1,FALSE)</f>
        <v>【期間限定】 赤の素材</v>
      </c>
      <c r="D234" s="3" t="str">
        <f ca="1">VLOOKUP($B234,OFFSET([1]quests!$A$1,0,0,COUNTA([1]quests!$A:$A),MATCH(D$1,[1]quests!$1:$1,0)-MATCH($B$1,[1]quests!$1:$1,0)+1),MATCH(D$1,[1]quests!$1:$1,0)-MATCH($B$1,[1]quests!$1:$1,0)+1,FALSE)</f>
        <v>火曜クエスト</v>
      </c>
      <c r="E234" s="5">
        <v>2</v>
      </c>
      <c r="F234" s="3" t="str">
        <f ca="1">VLOOKUP($B234&amp;"_"&amp;$E234,OFFSET([1]stages!$A$1,0,0,COUNTA([1]stages!$A:$A),MATCH(F$1,[1]stages!$2:$2,0)-MATCH("temp_stage",[1]stages!$2:$2,0)+1),MATCH(F$1,[1]stages!$2:$2,0)-MATCH("temp_stage",[1]stages!$2:$2,0)+1,FALSE)</f>
        <v xml:space="preserve">【中級】火のウサギ </v>
      </c>
      <c r="G234" s="3" t="str">
        <f ca="1">VLOOKUP($B234&amp;"_"&amp;$E234,OFFSET([1]stages!$A$1,0,0,COUNTA([1]stages!$A:$A),MATCH(G$1,[1]stages!$2:$2,0)-MATCH("temp_stage",[1]stages!$2:$2,0)+1),MATCH(G$1,[1]stages!$2:$2,0)-MATCH("temp_stage",[1]stages!$2:$2,0)+1,FALSE)</f>
        <v>火曜クエスト</v>
      </c>
      <c r="H234" s="18">
        <v>0</v>
      </c>
      <c r="I234">
        <v>20</v>
      </c>
      <c r="J234" s="5" t="s">
        <v>16</v>
      </c>
      <c r="K234" s="35" t="str">
        <f>VLOOKUP(I234,[2]stage_hints!$A:$C,3,FALSE)</f>
        <v>マルチプレイのメリット（その3）</v>
      </c>
      <c r="L234" s="36" t="str">
        <f>VLOOKUP(I234,[2]stage_hints!$A:$D,4,FALSE)</f>
        <v>マルチプレイへの参加はエナジー消費ゼロ_x000D_いつでも好きなだけ遊ぶことができます</v>
      </c>
      <c r="M234" s="21" t="s">
        <v>23</v>
      </c>
      <c r="N234">
        <v>20</v>
      </c>
    </row>
    <row r="235" spans="1:14" x14ac:dyDescent="0.15">
      <c r="A235" s="26" t="s">
        <v>32</v>
      </c>
      <c r="B235" s="4">
        <v>11102</v>
      </c>
      <c r="C235" s="3" t="str">
        <f ca="1">VLOOKUP($B235,OFFSET([1]quests!$A$1,0,0,COUNTA([1]quests!$A:$A),MATCH(C$1,[1]quests!$1:$1,0)-MATCH($B$1,[1]quests!$1:$1,0)+1),MATCH(C$1,[1]quests!$1:$1,0)-MATCH($B$1,[1]quests!$1:$1,0)+1,FALSE)</f>
        <v>【期間限定】 赤の素材</v>
      </c>
      <c r="D235" s="3" t="str">
        <f ca="1">VLOOKUP($B235,OFFSET([1]quests!$A$1,0,0,COUNTA([1]quests!$A:$A),MATCH(D$1,[1]quests!$1:$1,0)-MATCH($B$1,[1]quests!$1:$1,0)+1),MATCH(D$1,[1]quests!$1:$1,0)-MATCH($B$1,[1]quests!$1:$1,0)+1,FALSE)</f>
        <v>火曜クエスト</v>
      </c>
      <c r="E235" s="5">
        <v>2</v>
      </c>
      <c r="F235" s="3" t="str">
        <f ca="1">VLOOKUP($B235&amp;"_"&amp;$E235,OFFSET([1]stages!$A$1,0,0,COUNTA([1]stages!$A:$A),MATCH(F$1,[1]stages!$2:$2,0)-MATCH("temp_stage",[1]stages!$2:$2,0)+1),MATCH(F$1,[1]stages!$2:$2,0)-MATCH("temp_stage",[1]stages!$2:$2,0)+1,FALSE)</f>
        <v xml:space="preserve">【中級】火のウサギ </v>
      </c>
      <c r="G235" s="3" t="str">
        <f ca="1">VLOOKUP($B235&amp;"_"&amp;$E235,OFFSET([1]stages!$A$1,0,0,COUNTA([1]stages!$A:$A),MATCH(G$1,[1]stages!$2:$2,0)-MATCH("temp_stage",[1]stages!$2:$2,0)+1),MATCH(G$1,[1]stages!$2:$2,0)-MATCH("temp_stage",[1]stages!$2:$2,0)+1,FALSE)</f>
        <v>火曜クエスト</v>
      </c>
      <c r="H235" s="18">
        <v>0</v>
      </c>
      <c r="I235">
        <v>21</v>
      </c>
      <c r="J235" s="5" t="s">
        <v>16</v>
      </c>
      <c r="K235" s="35" t="str">
        <f>VLOOKUP(I235,[2]stage_hints!$A:$C,3,FALSE)</f>
        <v>スキルを有効に</v>
      </c>
      <c r="L235" s="36" t="str">
        <f>VLOOKUP(I235,[2]stage_hints!$A:$D,4,FALSE)</f>
        <v>ターン経過でユニットのスキルが使えます_x000D_強力スキルでバトルを有利に進めましょう</v>
      </c>
      <c r="M235" s="21" t="s">
        <v>23</v>
      </c>
      <c r="N235">
        <v>21</v>
      </c>
    </row>
    <row r="236" spans="1:14" x14ac:dyDescent="0.15">
      <c r="A236" s="26" t="s">
        <v>32</v>
      </c>
      <c r="B236" s="4">
        <v>11102</v>
      </c>
      <c r="C236" s="3" t="str">
        <f ca="1">VLOOKUP($B236,OFFSET([1]quests!$A$1,0,0,COUNTA([1]quests!$A:$A),MATCH(C$1,[1]quests!$1:$1,0)-MATCH($B$1,[1]quests!$1:$1,0)+1),MATCH(C$1,[1]quests!$1:$1,0)-MATCH($B$1,[1]quests!$1:$1,0)+1,FALSE)</f>
        <v>【期間限定】 赤の素材</v>
      </c>
      <c r="D236" s="3" t="str">
        <f ca="1">VLOOKUP($B236,OFFSET([1]quests!$A$1,0,0,COUNTA([1]quests!$A:$A),MATCH(D$1,[1]quests!$1:$1,0)-MATCH($B$1,[1]quests!$1:$1,0)+1),MATCH(D$1,[1]quests!$1:$1,0)-MATCH($B$1,[1]quests!$1:$1,0)+1,FALSE)</f>
        <v>火曜クエスト</v>
      </c>
      <c r="E236" s="5">
        <v>2</v>
      </c>
      <c r="F236" s="3" t="str">
        <f ca="1">VLOOKUP($B236&amp;"_"&amp;$E236,OFFSET([1]stages!$A$1,0,0,COUNTA([1]stages!$A:$A),MATCH(F$1,[1]stages!$2:$2,0)-MATCH("temp_stage",[1]stages!$2:$2,0)+1),MATCH(F$1,[1]stages!$2:$2,0)-MATCH("temp_stage",[1]stages!$2:$2,0)+1,FALSE)</f>
        <v xml:space="preserve">【中級】火のウサギ </v>
      </c>
      <c r="G236" s="3" t="str">
        <f ca="1">VLOOKUP($B236&amp;"_"&amp;$E236,OFFSET([1]stages!$A$1,0,0,COUNTA([1]stages!$A:$A),MATCH(G$1,[1]stages!$2:$2,0)-MATCH("temp_stage",[1]stages!$2:$2,0)+1),MATCH(G$1,[1]stages!$2:$2,0)-MATCH("temp_stage",[1]stages!$2:$2,0)+1,FALSE)</f>
        <v>火曜クエスト</v>
      </c>
      <c r="H236" s="18">
        <v>0</v>
      </c>
      <c r="I236">
        <v>22</v>
      </c>
      <c r="J236" s="5" t="s">
        <v>16</v>
      </c>
      <c r="K236" s="35" t="str">
        <f>VLOOKUP(I236,[2]stage_hints!$A:$C,3,FALSE)</f>
        <v>フィーバーで一発逆転（その1）</v>
      </c>
      <c r="L236" s="36" t="str">
        <f>VLOOKUP(I236,[2]stage_hints!$A:$D,4,FALSE)</f>
        <v>フィーバーは攻撃と回復を兼ね備えます_x000D_ピンチからの一発逆転を狙いましょう</v>
      </c>
      <c r="M236" s="21" t="s">
        <v>23</v>
      </c>
      <c r="N236">
        <v>22</v>
      </c>
    </row>
    <row r="237" spans="1:14" x14ac:dyDescent="0.15">
      <c r="A237" s="26" t="s">
        <v>32</v>
      </c>
      <c r="B237" s="4">
        <v>11102</v>
      </c>
      <c r="C237" s="3" t="str">
        <f ca="1">VLOOKUP($B237,OFFSET([1]quests!$A$1,0,0,COUNTA([1]quests!$A:$A),MATCH(C$1,[1]quests!$1:$1,0)-MATCH($B$1,[1]quests!$1:$1,0)+1),MATCH(C$1,[1]quests!$1:$1,0)-MATCH($B$1,[1]quests!$1:$1,0)+1,FALSE)</f>
        <v>【期間限定】 赤の素材</v>
      </c>
      <c r="D237" s="3" t="str">
        <f ca="1">VLOOKUP($B237,OFFSET([1]quests!$A$1,0,0,COUNTA([1]quests!$A:$A),MATCH(D$1,[1]quests!$1:$1,0)-MATCH($B$1,[1]quests!$1:$1,0)+1),MATCH(D$1,[1]quests!$1:$1,0)-MATCH($B$1,[1]quests!$1:$1,0)+1,FALSE)</f>
        <v>火曜クエスト</v>
      </c>
      <c r="E237" s="5">
        <v>2</v>
      </c>
      <c r="F237" s="3" t="str">
        <f ca="1">VLOOKUP($B237&amp;"_"&amp;$E237,OFFSET([1]stages!$A$1,0,0,COUNTA([1]stages!$A:$A),MATCH(F$1,[1]stages!$2:$2,0)-MATCH("temp_stage",[1]stages!$2:$2,0)+1),MATCH(F$1,[1]stages!$2:$2,0)-MATCH("temp_stage",[1]stages!$2:$2,0)+1,FALSE)</f>
        <v xml:space="preserve">【中級】火のウサギ </v>
      </c>
      <c r="G237" s="3" t="str">
        <f ca="1">VLOOKUP($B237&amp;"_"&amp;$E237,OFFSET([1]stages!$A$1,0,0,COUNTA([1]stages!$A:$A),MATCH(G$1,[1]stages!$2:$2,0)-MATCH("temp_stage",[1]stages!$2:$2,0)+1),MATCH(G$1,[1]stages!$2:$2,0)-MATCH("temp_stage",[1]stages!$2:$2,0)+1,FALSE)</f>
        <v>火曜クエスト</v>
      </c>
      <c r="H237" s="18">
        <v>0</v>
      </c>
      <c r="I237">
        <v>23</v>
      </c>
      <c r="J237" s="5" t="s">
        <v>16</v>
      </c>
      <c r="K237" s="35" t="str">
        <f>VLOOKUP(I237,[2]stage_hints!$A:$C,3,FALSE)</f>
        <v>フィーバーで一発逆転（その2）</v>
      </c>
      <c r="L237" s="36" t="str">
        <f>VLOOKUP(I237,[2]stage_hints!$A:$D,4,FALSE)</f>
        <v>フィーバー中は虹色のボムパネルを狙って_x000D_画面上のパネルを一気に破壊しましょう</v>
      </c>
      <c r="M237" s="21" t="s">
        <v>23</v>
      </c>
      <c r="N237">
        <v>23</v>
      </c>
    </row>
    <row r="238" spans="1:14" x14ac:dyDescent="0.15">
      <c r="A238" s="26" t="s">
        <v>32</v>
      </c>
      <c r="B238" s="4">
        <v>11102</v>
      </c>
      <c r="C238" s="3" t="str">
        <f ca="1">VLOOKUP($B238,OFFSET([1]quests!$A$1,0,0,COUNTA([1]quests!$A:$A),MATCH(C$1,[1]quests!$1:$1,0)-MATCH($B$1,[1]quests!$1:$1,0)+1),MATCH(C$1,[1]quests!$1:$1,0)-MATCH($B$1,[1]quests!$1:$1,0)+1,FALSE)</f>
        <v>【期間限定】 赤の素材</v>
      </c>
      <c r="D238" s="3" t="str">
        <f ca="1">VLOOKUP($B238,OFFSET([1]quests!$A$1,0,0,COUNTA([1]quests!$A:$A),MATCH(D$1,[1]quests!$1:$1,0)-MATCH($B$1,[1]quests!$1:$1,0)+1),MATCH(D$1,[1]quests!$1:$1,0)-MATCH($B$1,[1]quests!$1:$1,0)+1,FALSE)</f>
        <v>火曜クエスト</v>
      </c>
      <c r="E238" s="5">
        <v>2</v>
      </c>
      <c r="F238" s="3" t="str">
        <f ca="1">VLOOKUP($B238&amp;"_"&amp;$E238,OFFSET([1]stages!$A$1,0,0,COUNTA([1]stages!$A:$A),MATCH(F$1,[1]stages!$2:$2,0)-MATCH("temp_stage",[1]stages!$2:$2,0)+1),MATCH(F$1,[1]stages!$2:$2,0)-MATCH("temp_stage",[1]stages!$2:$2,0)+1,FALSE)</f>
        <v xml:space="preserve">【中級】火のウサギ </v>
      </c>
      <c r="G238" s="3" t="str">
        <f ca="1">VLOOKUP($B238&amp;"_"&amp;$E238,OFFSET([1]stages!$A$1,0,0,COUNTA([1]stages!$A:$A),MATCH(G$1,[1]stages!$2:$2,0)-MATCH("temp_stage",[1]stages!$2:$2,0)+1),MATCH(G$1,[1]stages!$2:$2,0)-MATCH("temp_stage",[1]stages!$2:$2,0)+1,FALSE)</f>
        <v>火曜クエスト</v>
      </c>
      <c r="H238" s="18">
        <v>0</v>
      </c>
      <c r="I238">
        <v>24</v>
      </c>
      <c r="J238" s="5" t="s">
        <v>16</v>
      </c>
      <c r="K238" s="35" t="str">
        <f>VLOOKUP(I238,[2]stage_hints!$A:$C,3,FALSE)</f>
        <v>りんごを使って限界突破</v>
      </c>
      <c r="L238" s="36" t="str">
        <f>VLOOKUP(I238,[2]stage_hints!$A:$D,4,FALSE)</f>
        <v>赤りんご(攻撃力) 青りんご(回復力)_x000D_緑りんご(体力)をユニット強化に使うと_x000D_ステータスが限界突破します（計99個迄）</v>
      </c>
      <c r="M238" s="21" t="s">
        <v>23</v>
      </c>
      <c r="N238">
        <v>24</v>
      </c>
    </row>
    <row r="239" spans="1:14" x14ac:dyDescent="0.15">
      <c r="A239" s="26" t="s">
        <v>32</v>
      </c>
      <c r="B239" s="4">
        <v>11102</v>
      </c>
      <c r="C239" s="3" t="str">
        <f ca="1">VLOOKUP($B239,OFFSET([1]quests!$A$1,0,0,COUNTA([1]quests!$A:$A),MATCH(C$1,[1]quests!$1:$1,0)-MATCH($B$1,[1]quests!$1:$1,0)+1),MATCH(C$1,[1]quests!$1:$1,0)-MATCH($B$1,[1]quests!$1:$1,0)+1,FALSE)</f>
        <v>【期間限定】 赤の素材</v>
      </c>
      <c r="D239" s="3" t="str">
        <f ca="1">VLOOKUP($B239,OFFSET([1]quests!$A$1,0,0,COUNTA([1]quests!$A:$A),MATCH(D$1,[1]quests!$1:$1,0)-MATCH($B$1,[1]quests!$1:$1,0)+1),MATCH(D$1,[1]quests!$1:$1,0)-MATCH($B$1,[1]quests!$1:$1,0)+1,FALSE)</f>
        <v>火曜クエスト</v>
      </c>
      <c r="E239" s="5">
        <v>2</v>
      </c>
      <c r="F239" s="3" t="str">
        <f ca="1">VLOOKUP($B239&amp;"_"&amp;$E239,OFFSET([1]stages!$A$1,0,0,COUNTA([1]stages!$A:$A),MATCH(F$1,[1]stages!$2:$2,0)-MATCH("temp_stage",[1]stages!$2:$2,0)+1),MATCH(F$1,[1]stages!$2:$2,0)-MATCH("temp_stage",[1]stages!$2:$2,0)+1,FALSE)</f>
        <v xml:space="preserve">【中級】火のウサギ </v>
      </c>
      <c r="G239" s="3" t="str">
        <f ca="1">VLOOKUP($B239&amp;"_"&amp;$E239,OFFSET([1]stages!$A$1,0,0,COUNTA([1]stages!$A:$A),MATCH(G$1,[1]stages!$2:$2,0)-MATCH("temp_stage",[1]stages!$2:$2,0)+1),MATCH(G$1,[1]stages!$2:$2,0)-MATCH("temp_stage",[1]stages!$2:$2,0)+1,FALSE)</f>
        <v>火曜クエスト</v>
      </c>
      <c r="H239" s="18">
        <v>0</v>
      </c>
      <c r="I239">
        <v>25</v>
      </c>
      <c r="J239" s="5" t="s">
        <v>16</v>
      </c>
      <c r="K239" s="35" t="str">
        <f>VLOOKUP(I239,[2]stage_hints!$A:$C,3,FALSE)</f>
        <v>スキルレベルアップ</v>
      </c>
      <c r="L239" s="36" t="str">
        <f>VLOOKUP(I239,[2]stage_hints!$A:$D,4,FALSE)</f>
        <v>「クリスタルのりんご」を強化に使うと_x000D_スキルレベルを上げることができます</v>
      </c>
      <c r="M239" s="21" t="s">
        <v>23</v>
      </c>
      <c r="N239">
        <v>25</v>
      </c>
    </row>
    <row r="240" spans="1:14" x14ac:dyDescent="0.15">
      <c r="A240" s="26" t="s">
        <v>32</v>
      </c>
      <c r="B240" s="4">
        <v>11102</v>
      </c>
      <c r="C240" s="3" t="str">
        <f ca="1">VLOOKUP($B240,OFFSET([1]quests!$A$1,0,0,COUNTA([1]quests!$A:$A),MATCH(C$1,[1]quests!$1:$1,0)-MATCH($B$1,[1]quests!$1:$1,0)+1),MATCH(C$1,[1]quests!$1:$1,0)-MATCH($B$1,[1]quests!$1:$1,0)+1,FALSE)</f>
        <v>【期間限定】 赤の素材</v>
      </c>
      <c r="D240" s="3" t="str">
        <f ca="1">VLOOKUP($B240,OFFSET([1]quests!$A$1,0,0,COUNTA([1]quests!$A:$A),MATCH(D$1,[1]quests!$1:$1,0)-MATCH($B$1,[1]quests!$1:$1,0)+1),MATCH(D$1,[1]quests!$1:$1,0)-MATCH($B$1,[1]quests!$1:$1,0)+1,FALSE)</f>
        <v>火曜クエスト</v>
      </c>
      <c r="E240" s="5">
        <v>2</v>
      </c>
      <c r="F240" s="3" t="str">
        <f ca="1">VLOOKUP($B240&amp;"_"&amp;$E240,OFFSET([1]stages!$A$1,0,0,COUNTA([1]stages!$A:$A),MATCH(F$1,[1]stages!$2:$2,0)-MATCH("temp_stage",[1]stages!$2:$2,0)+1),MATCH(F$1,[1]stages!$2:$2,0)-MATCH("temp_stage",[1]stages!$2:$2,0)+1,FALSE)</f>
        <v xml:space="preserve">【中級】火のウサギ </v>
      </c>
      <c r="G240" s="3" t="str">
        <f ca="1">VLOOKUP($B240&amp;"_"&amp;$E240,OFFSET([1]stages!$A$1,0,0,COUNTA([1]stages!$A:$A),MATCH(G$1,[1]stages!$2:$2,0)-MATCH("temp_stage",[1]stages!$2:$2,0)+1),MATCH(G$1,[1]stages!$2:$2,0)-MATCH("temp_stage",[1]stages!$2:$2,0)+1,FALSE)</f>
        <v>火曜クエスト</v>
      </c>
      <c r="H240" s="18">
        <v>0</v>
      </c>
      <c r="I240">
        <v>26</v>
      </c>
      <c r="J240" s="5" t="s">
        <v>16</v>
      </c>
      <c r="K240" s="35" t="str">
        <f>VLOOKUP(I240,[2]stage_hints!$A:$C,3,FALSE)</f>
        <v>スキルレベルの効果</v>
      </c>
      <c r="L240" s="36" t="str">
        <f>VLOOKUP(I240,[2]stage_hints!$A:$D,4,FALSE)</f>
        <v>スキルレベルが上がると_x000D_短いターンでスキルを使うことができます</v>
      </c>
      <c r="M240" s="21" t="s">
        <v>23</v>
      </c>
      <c r="N240">
        <v>26</v>
      </c>
    </row>
    <row r="241" spans="1:14" x14ac:dyDescent="0.15">
      <c r="A241" s="26" t="s">
        <v>32</v>
      </c>
      <c r="B241" s="4">
        <v>11102</v>
      </c>
      <c r="C241" s="3" t="str">
        <f ca="1">VLOOKUP($B241,OFFSET([1]quests!$A$1,0,0,COUNTA([1]quests!$A:$A),MATCH(C$1,[1]quests!$1:$1,0)-MATCH($B$1,[1]quests!$1:$1,0)+1),MATCH(C$1,[1]quests!$1:$1,0)-MATCH($B$1,[1]quests!$1:$1,0)+1,FALSE)</f>
        <v>【期間限定】 赤の素材</v>
      </c>
      <c r="D241" s="3" t="str">
        <f ca="1">VLOOKUP($B241,OFFSET([1]quests!$A$1,0,0,COUNTA([1]quests!$A:$A),MATCH(D$1,[1]quests!$1:$1,0)-MATCH($B$1,[1]quests!$1:$1,0)+1),MATCH(D$1,[1]quests!$1:$1,0)-MATCH($B$1,[1]quests!$1:$1,0)+1,FALSE)</f>
        <v>火曜クエスト</v>
      </c>
      <c r="E241" s="5">
        <v>2</v>
      </c>
      <c r="F241" s="3" t="str">
        <f ca="1">VLOOKUP($B241&amp;"_"&amp;$E241,OFFSET([1]stages!$A$1,0,0,COUNTA([1]stages!$A:$A),MATCH(F$1,[1]stages!$2:$2,0)-MATCH("temp_stage",[1]stages!$2:$2,0)+1),MATCH(F$1,[1]stages!$2:$2,0)-MATCH("temp_stage",[1]stages!$2:$2,0)+1,FALSE)</f>
        <v xml:space="preserve">【中級】火のウサギ </v>
      </c>
      <c r="G241" s="3" t="str">
        <f ca="1">VLOOKUP($B241&amp;"_"&amp;$E241,OFFSET([1]stages!$A$1,0,0,COUNTA([1]stages!$A:$A),MATCH(G$1,[1]stages!$2:$2,0)-MATCH("temp_stage",[1]stages!$2:$2,0)+1),MATCH(G$1,[1]stages!$2:$2,0)-MATCH("temp_stage",[1]stages!$2:$2,0)+1,FALSE)</f>
        <v>火曜クエスト</v>
      </c>
      <c r="H241" s="18">
        <v>0</v>
      </c>
      <c r="I241">
        <v>27</v>
      </c>
      <c r="J241" s="5" t="s">
        <v>16</v>
      </c>
      <c r="K241" s="35" t="str">
        <f>VLOOKUP(I241,[2]stage_hints!$A:$C,3,FALSE)</f>
        <v>ホーム画面からデッキを編成</v>
      </c>
      <c r="L241" s="36" t="str">
        <f>VLOOKUP(I241,[2]stage_hints!$A:$D,4,FALSE)</f>
        <v>ホーム画面でユニットを長押しすると_x000D_すぐにパーティ編成に移動できます</v>
      </c>
      <c r="M241" s="21" t="s">
        <v>23</v>
      </c>
      <c r="N241">
        <v>27</v>
      </c>
    </row>
    <row r="242" spans="1:14" x14ac:dyDescent="0.15">
      <c r="A242" s="26" t="s">
        <v>32</v>
      </c>
      <c r="B242" s="4">
        <v>11102</v>
      </c>
      <c r="C242" s="3" t="str">
        <f ca="1">VLOOKUP($B242,OFFSET([1]quests!$A$1,0,0,COUNTA([1]quests!$A:$A),MATCH(C$1,[1]quests!$1:$1,0)-MATCH($B$1,[1]quests!$1:$1,0)+1),MATCH(C$1,[1]quests!$1:$1,0)-MATCH($B$1,[1]quests!$1:$1,0)+1,FALSE)</f>
        <v>【期間限定】 赤の素材</v>
      </c>
      <c r="D242" s="3" t="str">
        <f ca="1">VLOOKUP($B242,OFFSET([1]quests!$A$1,0,0,COUNTA([1]quests!$A:$A),MATCH(D$1,[1]quests!$1:$1,0)-MATCH($B$1,[1]quests!$1:$1,0)+1),MATCH(D$1,[1]quests!$1:$1,0)-MATCH($B$1,[1]quests!$1:$1,0)+1,FALSE)</f>
        <v>火曜クエスト</v>
      </c>
      <c r="E242" s="5">
        <v>2</v>
      </c>
      <c r="F242" s="3" t="str">
        <f ca="1">VLOOKUP($B242&amp;"_"&amp;$E242,OFFSET([1]stages!$A$1,0,0,COUNTA([1]stages!$A:$A),MATCH(F$1,[1]stages!$2:$2,0)-MATCH("temp_stage",[1]stages!$2:$2,0)+1),MATCH(F$1,[1]stages!$2:$2,0)-MATCH("temp_stage",[1]stages!$2:$2,0)+1,FALSE)</f>
        <v xml:space="preserve">【中級】火のウサギ </v>
      </c>
      <c r="G242" s="3" t="str">
        <f ca="1">VLOOKUP($B242&amp;"_"&amp;$E242,OFFSET([1]stages!$A$1,0,0,COUNTA([1]stages!$A:$A),MATCH(G$1,[1]stages!$2:$2,0)-MATCH("temp_stage",[1]stages!$2:$2,0)+1),MATCH(G$1,[1]stages!$2:$2,0)-MATCH("temp_stage",[1]stages!$2:$2,0)+1,FALSE)</f>
        <v>火曜クエスト</v>
      </c>
      <c r="H242" s="18">
        <v>0</v>
      </c>
      <c r="I242">
        <v>28</v>
      </c>
      <c r="J242" s="5" t="s">
        <v>16</v>
      </c>
      <c r="K242" s="35" t="str">
        <f>VLOOKUP(I242,[2]stage_hints!$A:$C,3,FALSE)</f>
        <v>ステータス情報は長押しで</v>
      </c>
      <c r="L242" s="36" t="str">
        <f>VLOOKUP(I242,[2]stage_hints!$A:$D,4,FALSE)</f>
        <v>ユニットのアイコンを長押しすると_x000D_ステータス情報を確認することができます</v>
      </c>
      <c r="M242" s="21" t="s">
        <v>23</v>
      </c>
      <c r="N242">
        <v>28</v>
      </c>
    </row>
    <row r="243" spans="1:14" x14ac:dyDescent="0.15">
      <c r="A243" s="26" t="s">
        <v>32</v>
      </c>
      <c r="B243" s="4">
        <v>11102</v>
      </c>
      <c r="C243" s="3" t="str">
        <f ca="1">VLOOKUP($B243,OFFSET([1]quests!$A$1,0,0,COUNTA([1]quests!$A:$A),MATCH(C$1,[1]quests!$1:$1,0)-MATCH($B$1,[1]quests!$1:$1,0)+1),MATCH(C$1,[1]quests!$1:$1,0)-MATCH($B$1,[1]quests!$1:$1,0)+1,FALSE)</f>
        <v>【期間限定】 赤の素材</v>
      </c>
      <c r="D243" s="3" t="str">
        <f ca="1">VLOOKUP($B243,OFFSET([1]quests!$A$1,0,0,COUNTA([1]quests!$A:$A),MATCH(D$1,[1]quests!$1:$1,0)-MATCH($B$1,[1]quests!$1:$1,0)+1),MATCH(D$1,[1]quests!$1:$1,0)-MATCH($B$1,[1]quests!$1:$1,0)+1,FALSE)</f>
        <v>火曜クエスト</v>
      </c>
      <c r="E243" s="5">
        <v>2</v>
      </c>
      <c r="F243" s="3" t="str">
        <f ca="1">VLOOKUP($B243&amp;"_"&amp;$E243,OFFSET([1]stages!$A$1,0,0,COUNTA([1]stages!$A:$A),MATCH(F$1,[1]stages!$2:$2,0)-MATCH("temp_stage",[1]stages!$2:$2,0)+1),MATCH(F$1,[1]stages!$2:$2,0)-MATCH("temp_stage",[1]stages!$2:$2,0)+1,FALSE)</f>
        <v xml:space="preserve">【中級】火のウサギ </v>
      </c>
      <c r="G243" s="3" t="str">
        <f ca="1">VLOOKUP($B243&amp;"_"&amp;$E243,OFFSET([1]stages!$A$1,0,0,COUNTA([1]stages!$A:$A),MATCH(G$1,[1]stages!$2:$2,0)-MATCH("temp_stage",[1]stages!$2:$2,0)+1),MATCH(G$1,[1]stages!$2:$2,0)-MATCH("temp_stage",[1]stages!$2:$2,0)+1,FALSE)</f>
        <v>火曜クエスト</v>
      </c>
      <c r="H243" s="18">
        <v>0</v>
      </c>
      <c r="I243">
        <v>29</v>
      </c>
      <c r="J243" s="5" t="s">
        <v>16</v>
      </c>
      <c r="K243" s="35" t="str">
        <f>VLOOKUP(I243,[2]stage_hints!$A:$C,3,FALSE)</f>
        <v>「バグ」のメリット</v>
      </c>
      <c r="L243" s="36" t="str">
        <f>VLOOKUP(I243,[2]stage_hints!$A:$D,4,FALSE)</f>
        <v>ユニットの「バグ」を増やすと_x000D_報酬をもらえる確率がアップします</v>
      </c>
      <c r="M243" s="21" t="s">
        <v>23</v>
      </c>
      <c r="N243">
        <v>29</v>
      </c>
    </row>
    <row r="244" spans="1:14" x14ac:dyDescent="0.15">
      <c r="A244" s="26" t="s">
        <v>32</v>
      </c>
      <c r="B244" s="4">
        <v>11102</v>
      </c>
      <c r="C244" s="3" t="str">
        <f ca="1">VLOOKUP($B244,OFFSET([1]quests!$A$1,0,0,COUNTA([1]quests!$A:$A),MATCH(C$1,[1]quests!$1:$1,0)-MATCH($B$1,[1]quests!$1:$1,0)+1),MATCH(C$1,[1]quests!$1:$1,0)-MATCH($B$1,[1]quests!$1:$1,0)+1,FALSE)</f>
        <v>【期間限定】 赤の素材</v>
      </c>
      <c r="D244" s="3" t="str">
        <f ca="1">VLOOKUP($B244,OFFSET([1]quests!$A$1,0,0,COUNTA([1]quests!$A:$A),MATCH(D$1,[1]quests!$1:$1,0)-MATCH($B$1,[1]quests!$1:$1,0)+1),MATCH(D$1,[1]quests!$1:$1,0)-MATCH($B$1,[1]quests!$1:$1,0)+1,FALSE)</f>
        <v>火曜クエスト</v>
      </c>
      <c r="E244" s="5">
        <v>2</v>
      </c>
      <c r="F244" s="3" t="str">
        <f ca="1">VLOOKUP($B244&amp;"_"&amp;$E244,OFFSET([1]stages!$A$1,0,0,COUNTA([1]stages!$A:$A),MATCH(F$1,[1]stages!$2:$2,0)-MATCH("temp_stage",[1]stages!$2:$2,0)+1),MATCH(F$1,[1]stages!$2:$2,0)-MATCH("temp_stage",[1]stages!$2:$2,0)+1,FALSE)</f>
        <v xml:space="preserve">【中級】火のウサギ </v>
      </c>
      <c r="G244" s="3" t="str">
        <f ca="1">VLOOKUP($B244&amp;"_"&amp;$E244,OFFSET([1]stages!$A$1,0,0,COUNTA([1]stages!$A:$A),MATCH(G$1,[1]stages!$2:$2,0)-MATCH("temp_stage",[1]stages!$2:$2,0)+1),MATCH(G$1,[1]stages!$2:$2,0)-MATCH("temp_stage",[1]stages!$2:$2,0)+1,FALSE)</f>
        <v>火曜クエスト</v>
      </c>
      <c r="H244" s="18">
        <v>0</v>
      </c>
      <c r="I244">
        <v>30</v>
      </c>
      <c r="J244" s="5" t="s">
        <v>16</v>
      </c>
      <c r="K244" s="35" t="str">
        <f>VLOOKUP(I244,[2]stage_hints!$A:$C,3,FALSE)</f>
        <v>「バグ」の増やし方</v>
      </c>
      <c r="L244" s="36" t="str">
        <f>VLOOKUP(I244,[2]stage_hints!$A:$D,4,FALSE)</f>
        <v>同じユニット同士を強化で合成すると_x000D_「バグ」を増やすことができます</v>
      </c>
      <c r="M244" s="21" t="s">
        <v>23</v>
      </c>
      <c r="N244">
        <v>30</v>
      </c>
    </row>
    <row r="245" spans="1:14" x14ac:dyDescent="0.15">
      <c r="A245" s="26" t="s">
        <v>32</v>
      </c>
      <c r="B245" s="4">
        <v>11102</v>
      </c>
      <c r="C245" s="3" t="str">
        <f ca="1">VLOOKUP($B245,OFFSET([1]quests!$A$1,0,0,COUNTA([1]quests!$A:$A),MATCH(C$1,[1]quests!$1:$1,0)-MATCH($B$1,[1]quests!$1:$1,0)+1),MATCH(C$1,[1]quests!$1:$1,0)-MATCH($B$1,[1]quests!$1:$1,0)+1,FALSE)</f>
        <v>【期間限定】 赤の素材</v>
      </c>
      <c r="D245" s="3" t="str">
        <f ca="1">VLOOKUP($B245,OFFSET([1]quests!$A$1,0,0,COUNTA([1]quests!$A:$A),MATCH(D$1,[1]quests!$1:$1,0)-MATCH($B$1,[1]quests!$1:$1,0)+1),MATCH(D$1,[1]quests!$1:$1,0)-MATCH($B$1,[1]quests!$1:$1,0)+1,FALSE)</f>
        <v>火曜クエスト</v>
      </c>
      <c r="E245" s="5">
        <v>2</v>
      </c>
      <c r="F245" s="3" t="str">
        <f ca="1">VLOOKUP($B245&amp;"_"&amp;$E245,OFFSET([1]stages!$A$1,0,0,COUNTA([1]stages!$A:$A),MATCH(F$1,[1]stages!$2:$2,0)-MATCH("temp_stage",[1]stages!$2:$2,0)+1),MATCH(F$1,[1]stages!$2:$2,0)-MATCH("temp_stage",[1]stages!$2:$2,0)+1,FALSE)</f>
        <v xml:space="preserve">【中級】火のウサギ </v>
      </c>
      <c r="G245" s="3" t="str">
        <f ca="1">VLOOKUP($B245&amp;"_"&amp;$E245,OFFSET([1]stages!$A$1,0,0,COUNTA([1]stages!$A:$A),MATCH(G$1,[1]stages!$2:$2,0)-MATCH("temp_stage",[1]stages!$2:$2,0)+1),MATCH(G$1,[1]stages!$2:$2,0)-MATCH("temp_stage",[1]stages!$2:$2,0)+1,FALSE)</f>
        <v>火曜クエスト</v>
      </c>
      <c r="H245" s="18">
        <v>0</v>
      </c>
      <c r="I245">
        <v>31</v>
      </c>
      <c r="J245" s="5" t="s">
        <v>16</v>
      </c>
      <c r="K245" s="35" t="str">
        <f>VLOOKUP(I245,[2]stage_hints!$A:$C,3,FALSE)</f>
        <v>イベントはお知らせでチェック</v>
      </c>
      <c r="L245" s="36" t="str">
        <f>VLOOKUP(I245,[2]stage_hints!$A:$D,4,FALSE)</f>
        <v>イベント限定ユニットを取り忘れないように_x000D_お知らせをこまめにチェックしましょう</v>
      </c>
      <c r="M245" s="21" t="s">
        <v>23</v>
      </c>
      <c r="N245">
        <v>31</v>
      </c>
    </row>
    <row r="246" spans="1:14" x14ac:dyDescent="0.15">
      <c r="A246" s="26" t="s">
        <v>32</v>
      </c>
      <c r="B246" s="4">
        <v>11102</v>
      </c>
      <c r="C246" s="3" t="str">
        <f ca="1">VLOOKUP($B246,OFFSET([1]quests!$A$1,0,0,COUNTA([1]quests!$A:$A),MATCH(C$1,[1]quests!$1:$1,0)-MATCH($B$1,[1]quests!$1:$1,0)+1),MATCH(C$1,[1]quests!$1:$1,0)-MATCH($B$1,[1]quests!$1:$1,0)+1,FALSE)</f>
        <v>【期間限定】 赤の素材</v>
      </c>
      <c r="D246" s="3" t="str">
        <f ca="1">VLOOKUP($B246,OFFSET([1]quests!$A$1,0,0,COUNTA([1]quests!$A:$A),MATCH(D$1,[1]quests!$1:$1,0)-MATCH($B$1,[1]quests!$1:$1,0)+1),MATCH(D$1,[1]quests!$1:$1,0)-MATCH($B$1,[1]quests!$1:$1,0)+1,FALSE)</f>
        <v>火曜クエスト</v>
      </c>
      <c r="E246" s="5">
        <v>2</v>
      </c>
      <c r="F246" s="3" t="str">
        <f ca="1">VLOOKUP($B246&amp;"_"&amp;$E246,OFFSET([1]stages!$A$1,0,0,COUNTA([1]stages!$A:$A),MATCH(F$1,[1]stages!$2:$2,0)-MATCH("temp_stage",[1]stages!$2:$2,0)+1),MATCH(F$1,[1]stages!$2:$2,0)-MATCH("temp_stage",[1]stages!$2:$2,0)+1,FALSE)</f>
        <v xml:space="preserve">【中級】火のウサギ </v>
      </c>
      <c r="G246" s="3" t="str">
        <f ca="1">VLOOKUP($B246&amp;"_"&amp;$E246,OFFSET([1]stages!$A$1,0,0,COUNTA([1]stages!$A:$A),MATCH(G$1,[1]stages!$2:$2,0)-MATCH("temp_stage",[1]stages!$2:$2,0)+1),MATCH(G$1,[1]stages!$2:$2,0)-MATCH("temp_stage",[1]stages!$2:$2,0)+1,FALSE)</f>
        <v>火曜クエスト</v>
      </c>
      <c r="H246" s="18">
        <v>0</v>
      </c>
      <c r="I246">
        <v>32</v>
      </c>
      <c r="J246" s="5" t="s">
        <v>16</v>
      </c>
      <c r="K246" s="35" t="str">
        <f>VLOOKUP(I246,[2]stage_hints!$A:$C,3,FALSE)</f>
        <v>敵の連続攻撃には</v>
      </c>
      <c r="L246" s="36" t="str">
        <f>VLOOKUP(I246,[2]stage_hints!$A:$D,4,FALSE)</f>
        <v>カウンタースキルを持つユニットがいれば_x000D_ダメージ回数分の反撃ができます</v>
      </c>
      <c r="M246" s="21" t="s">
        <v>23</v>
      </c>
      <c r="N246">
        <v>32</v>
      </c>
    </row>
    <row r="247" spans="1:14" x14ac:dyDescent="0.15">
      <c r="A247" s="26" t="s">
        <v>32</v>
      </c>
      <c r="B247" s="4">
        <v>11102</v>
      </c>
      <c r="C247" s="3" t="str">
        <f ca="1">VLOOKUP($B247,OFFSET([1]quests!$A$1,0,0,COUNTA([1]quests!$A:$A),MATCH(C$1,[1]quests!$1:$1,0)-MATCH($B$1,[1]quests!$1:$1,0)+1),MATCH(C$1,[1]quests!$1:$1,0)-MATCH($B$1,[1]quests!$1:$1,0)+1,FALSE)</f>
        <v>【期間限定】 赤の素材</v>
      </c>
      <c r="D247" s="3" t="str">
        <f ca="1">VLOOKUP($B247,OFFSET([1]quests!$A$1,0,0,COUNTA([1]quests!$A:$A),MATCH(D$1,[1]quests!$1:$1,0)-MATCH($B$1,[1]quests!$1:$1,0)+1),MATCH(D$1,[1]quests!$1:$1,0)-MATCH($B$1,[1]quests!$1:$1,0)+1,FALSE)</f>
        <v>火曜クエスト</v>
      </c>
      <c r="E247" s="5">
        <v>2</v>
      </c>
      <c r="F247" s="3" t="str">
        <f ca="1">VLOOKUP($B247&amp;"_"&amp;$E247,OFFSET([1]stages!$A$1,0,0,COUNTA([1]stages!$A:$A),MATCH(F$1,[1]stages!$2:$2,0)-MATCH("temp_stage",[1]stages!$2:$2,0)+1),MATCH(F$1,[1]stages!$2:$2,0)-MATCH("temp_stage",[1]stages!$2:$2,0)+1,FALSE)</f>
        <v xml:space="preserve">【中級】火のウサギ </v>
      </c>
      <c r="G247" s="3" t="str">
        <f ca="1">VLOOKUP($B247&amp;"_"&amp;$E247,OFFSET([1]stages!$A$1,0,0,COUNTA([1]stages!$A:$A),MATCH(G$1,[1]stages!$2:$2,0)-MATCH("temp_stage",[1]stages!$2:$2,0)+1),MATCH(G$1,[1]stages!$2:$2,0)-MATCH("temp_stage",[1]stages!$2:$2,0)+1,FALSE)</f>
        <v>火曜クエスト</v>
      </c>
      <c r="H247" s="18">
        <v>0</v>
      </c>
      <c r="I247">
        <v>33</v>
      </c>
      <c r="J247" s="5" t="s">
        <v>16</v>
      </c>
      <c r="K247" s="35" t="str">
        <f>VLOOKUP(I247,[2]stage_hints!$A:$C,3,FALSE)</f>
        <v>敵のカウンター攻撃には</v>
      </c>
      <c r="L247" s="36" t="str">
        <f>VLOOKUP(I247,[2]stage_hints!$A:$D,4,FALSE)</f>
        <v>カウンターブレイクスキルを持っていれば_x000D_敵のカウンターを解除して攻撃ができます</v>
      </c>
      <c r="M247" s="21" t="s">
        <v>23</v>
      </c>
      <c r="N247">
        <v>33</v>
      </c>
    </row>
    <row r="248" spans="1:14" x14ac:dyDescent="0.15">
      <c r="A248" s="26" t="s">
        <v>32</v>
      </c>
      <c r="B248" s="4">
        <v>11102</v>
      </c>
      <c r="C248" s="3" t="str">
        <f ca="1">VLOOKUP($B248,OFFSET([1]quests!$A$1,0,0,COUNTA([1]quests!$A:$A),MATCH(C$1,[1]quests!$1:$1,0)-MATCH($B$1,[1]quests!$1:$1,0)+1),MATCH(C$1,[1]quests!$1:$1,0)-MATCH($B$1,[1]quests!$1:$1,0)+1,FALSE)</f>
        <v>【期間限定】 赤の素材</v>
      </c>
      <c r="D248" s="3" t="str">
        <f ca="1">VLOOKUP($B248,OFFSET([1]quests!$A$1,0,0,COUNTA([1]quests!$A:$A),MATCH(D$1,[1]quests!$1:$1,0)-MATCH($B$1,[1]quests!$1:$1,0)+1),MATCH(D$1,[1]quests!$1:$1,0)-MATCH($B$1,[1]quests!$1:$1,0)+1,FALSE)</f>
        <v>火曜クエスト</v>
      </c>
      <c r="E248" s="5">
        <v>2</v>
      </c>
      <c r="F248" s="3" t="str">
        <f ca="1">VLOOKUP($B248&amp;"_"&amp;$E248,OFFSET([1]stages!$A$1,0,0,COUNTA([1]stages!$A:$A),MATCH(F$1,[1]stages!$2:$2,0)-MATCH("temp_stage",[1]stages!$2:$2,0)+1),MATCH(F$1,[1]stages!$2:$2,0)-MATCH("temp_stage",[1]stages!$2:$2,0)+1,FALSE)</f>
        <v xml:space="preserve">【中級】火のウサギ </v>
      </c>
      <c r="G248" s="3" t="str">
        <f ca="1">VLOOKUP($B248&amp;"_"&amp;$E248,OFFSET([1]stages!$A$1,0,0,COUNTA([1]stages!$A:$A),MATCH(G$1,[1]stages!$2:$2,0)-MATCH("temp_stage",[1]stages!$2:$2,0)+1),MATCH(G$1,[1]stages!$2:$2,0)-MATCH("temp_stage",[1]stages!$2:$2,0)+1,FALSE)</f>
        <v>火曜クエスト</v>
      </c>
      <c r="H248" s="18">
        <v>0</v>
      </c>
      <c r="I248">
        <v>34</v>
      </c>
      <c r="J248" s="5" t="s">
        <v>16</v>
      </c>
      <c r="K248" s="35" t="str">
        <f>VLOOKUP(I248,[2]stage_hints!$A:$C,3,FALSE)</f>
        <v>ステータスをスキルで下げられたら</v>
      </c>
      <c r="L248" s="36" t="str">
        <f>VLOOKUP(I248,[2]stage_hints!$A:$D,4,FALSE)</f>
        <v>ステータスダウンのスキルを受けたら_x000D_ステータスアップスキルで上書きしましょう</v>
      </c>
      <c r="M248" s="21" t="s">
        <v>23</v>
      </c>
      <c r="N248">
        <v>34</v>
      </c>
    </row>
    <row r="249" spans="1:14" x14ac:dyDescent="0.15">
      <c r="A249" s="26" t="s">
        <v>32</v>
      </c>
      <c r="B249" s="4">
        <v>11102</v>
      </c>
      <c r="C249" s="3" t="str">
        <f ca="1">VLOOKUP($B249,OFFSET([1]quests!$A$1,0,0,COUNTA([1]quests!$A:$A),MATCH(C$1,[1]quests!$1:$1,0)-MATCH($B$1,[1]quests!$1:$1,0)+1),MATCH(C$1,[1]quests!$1:$1,0)-MATCH($B$1,[1]quests!$1:$1,0)+1,FALSE)</f>
        <v>【期間限定】 赤の素材</v>
      </c>
      <c r="D249" s="3" t="str">
        <f ca="1">VLOOKUP($B249,OFFSET([1]quests!$A$1,0,0,COUNTA([1]quests!$A:$A),MATCH(D$1,[1]quests!$1:$1,0)-MATCH($B$1,[1]quests!$1:$1,0)+1),MATCH(D$1,[1]quests!$1:$1,0)-MATCH($B$1,[1]quests!$1:$1,0)+1,FALSE)</f>
        <v>火曜クエスト</v>
      </c>
      <c r="E249" s="5">
        <v>2</v>
      </c>
      <c r="F249" s="3" t="str">
        <f ca="1">VLOOKUP($B249&amp;"_"&amp;$E249,OFFSET([1]stages!$A$1,0,0,COUNTA([1]stages!$A:$A),MATCH(F$1,[1]stages!$2:$2,0)-MATCH("temp_stage",[1]stages!$2:$2,0)+1),MATCH(F$1,[1]stages!$2:$2,0)-MATCH("temp_stage",[1]stages!$2:$2,0)+1,FALSE)</f>
        <v xml:space="preserve">【中級】火のウサギ </v>
      </c>
      <c r="G249" s="3" t="str">
        <f ca="1">VLOOKUP($B249&amp;"_"&amp;$E249,OFFSET([1]stages!$A$1,0,0,COUNTA([1]stages!$A:$A),MATCH(G$1,[1]stages!$2:$2,0)-MATCH("temp_stage",[1]stages!$2:$2,0)+1),MATCH(G$1,[1]stages!$2:$2,0)-MATCH("temp_stage",[1]stages!$2:$2,0)+1,FALSE)</f>
        <v>火曜クエスト</v>
      </c>
      <c r="H249" s="18">
        <v>0</v>
      </c>
      <c r="I249">
        <v>35</v>
      </c>
      <c r="J249" s="5" t="s">
        <v>16</v>
      </c>
      <c r="K249" s="35" t="str">
        <f>VLOOKUP(I249,[2]stage_hints!$A:$C,3,FALSE)</f>
        <v>敵のステータスがスキルで上がったら</v>
      </c>
      <c r="L249" s="36" t="str">
        <f>VLOOKUP(I249,[2]stage_hints!$A:$D,4,FALSE)</f>
        <v>敵のステータスがスキルでアップしたときは_x000D_ステータスダウンスキルで上書きしましょう</v>
      </c>
      <c r="M249" s="21" t="s">
        <v>23</v>
      </c>
      <c r="N249">
        <v>35</v>
      </c>
    </row>
    <row r="250" spans="1:14" x14ac:dyDescent="0.15">
      <c r="A250" s="26" t="s">
        <v>32</v>
      </c>
      <c r="B250" s="4">
        <v>11103</v>
      </c>
      <c r="C250" s="3" t="str">
        <f ca="1">VLOOKUP($B250,OFFSET([1]quests!$A$1,0,0,COUNTA([1]quests!$A:$A),MATCH(C$1,[1]quests!$1:$1,0)-MATCH($B$1,[1]quests!$1:$1,0)+1),MATCH(C$1,[1]quests!$1:$1,0)-MATCH($B$1,[1]quests!$1:$1,0)+1,FALSE)</f>
        <v>【期間限定】 青の素材</v>
      </c>
      <c r="D250" s="3" t="str">
        <f ca="1">VLOOKUP($B250,OFFSET([1]quests!$A$1,0,0,COUNTA([1]quests!$A:$A),MATCH(D$1,[1]quests!$1:$1,0)-MATCH($B$1,[1]quests!$1:$1,0)+1),MATCH(D$1,[1]quests!$1:$1,0)-MATCH($B$1,[1]quests!$1:$1,0)+1,FALSE)</f>
        <v>水曜クエスト</v>
      </c>
      <c r="E250" s="5">
        <v>2</v>
      </c>
      <c r="F250" s="3" t="str">
        <f ca="1">VLOOKUP($B250&amp;"_"&amp;$E250,OFFSET([1]stages!$A$1,0,0,COUNTA([1]stages!$A:$A),MATCH(F$1,[1]stages!$2:$2,0)-MATCH("temp_stage",[1]stages!$2:$2,0)+1),MATCH(F$1,[1]stages!$2:$2,0)-MATCH("temp_stage",[1]stages!$2:$2,0)+1,FALSE)</f>
        <v xml:space="preserve">【中級】水のウサギ </v>
      </c>
      <c r="G250" s="3" t="str">
        <f ca="1">VLOOKUP($B250&amp;"_"&amp;$E250,OFFSET([1]stages!$A$1,0,0,COUNTA([1]stages!$A:$A),MATCH(G$1,[1]stages!$2:$2,0)-MATCH("temp_stage",[1]stages!$2:$2,0)+1),MATCH(G$1,[1]stages!$2:$2,0)-MATCH("temp_stage",[1]stages!$2:$2,0)+1,FALSE)</f>
        <v>水曜クエスト</v>
      </c>
      <c r="H250" s="18">
        <v>0</v>
      </c>
      <c r="I250">
        <v>3</v>
      </c>
      <c r="J250" s="5" t="s">
        <v>16</v>
      </c>
      <c r="K250" s="35" t="str">
        <f>VLOOKUP(I250,[2]stage_hints!$A:$C,3,FALSE)</f>
        <v>ターゲット</v>
      </c>
      <c r="L250" s="36" t="str">
        <f>VLOOKUP(I250,[2]stage_hints!$A:$D,4,FALSE)</f>
        <v>敵ユニットをタップすると_x000D_その敵を狙い撃ちできます</v>
      </c>
      <c r="M250" s="21" t="s">
        <v>23</v>
      </c>
      <c r="N250">
        <v>3</v>
      </c>
    </row>
    <row r="251" spans="1:14" x14ac:dyDescent="0.15">
      <c r="A251" s="26" t="s">
        <v>32</v>
      </c>
      <c r="B251" s="4">
        <v>11103</v>
      </c>
      <c r="C251" s="3" t="str">
        <f ca="1">VLOOKUP($B251,OFFSET([1]quests!$A$1,0,0,COUNTA([1]quests!$A:$A),MATCH(C$1,[1]quests!$1:$1,0)-MATCH($B$1,[1]quests!$1:$1,0)+1),MATCH(C$1,[1]quests!$1:$1,0)-MATCH($B$1,[1]quests!$1:$1,0)+1,FALSE)</f>
        <v>【期間限定】 青の素材</v>
      </c>
      <c r="D251" s="3" t="str">
        <f ca="1">VLOOKUP($B251,OFFSET([1]quests!$A$1,0,0,COUNTA([1]quests!$A:$A),MATCH(D$1,[1]quests!$1:$1,0)-MATCH($B$1,[1]quests!$1:$1,0)+1),MATCH(D$1,[1]quests!$1:$1,0)-MATCH($B$1,[1]quests!$1:$1,0)+1,FALSE)</f>
        <v>水曜クエスト</v>
      </c>
      <c r="E251" s="5">
        <v>2</v>
      </c>
      <c r="F251" s="3" t="str">
        <f ca="1">VLOOKUP($B251&amp;"_"&amp;$E251,OFFSET([1]stages!$A$1,0,0,COUNTA([1]stages!$A:$A),MATCH(F$1,[1]stages!$2:$2,0)-MATCH("temp_stage",[1]stages!$2:$2,0)+1),MATCH(F$1,[1]stages!$2:$2,0)-MATCH("temp_stage",[1]stages!$2:$2,0)+1,FALSE)</f>
        <v xml:space="preserve">【中級】水のウサギ </v>
      </c>
      <c r="G251" s="3" t="str">
        <f ca="1">VLOOKUP($B251&amp;"_"&amp;$E251,OFFSET([1]stages!$A$1,0,0,COUNTA([1]stages!$A:$A),MATCH(G$1,[1]stages!$2:$2,0)-MATCH("temp_stage",[1]stages!$2:$2,0)+1),MATCH(G$1,[1]stages!$2:$2,0)-MATCH("temp_stage",[1]stages!$2:$2,0)+1,FALSE)</f>
        <v>水曜クエスト</v>
      </c>
      <c r="H251" s="18">
        <v>0</v>
      </c>
      <c r="I251">
        <v>6</v>
      </c>
      <c r="J251" s="5" t="s">
        <v>16</v>
      </c>
      <c r="K251" s="35" t="str">
        <f>VLOOKUP(I251,[2]stage_hints!$A:$C,3,FALSE)</f>
        <v>ユニット強化の属性ボーナス</v>
      </c>
      <c r="L251" s="36" t="str">
        <f>VLOOKUP(I251,[2]stage_hints!$A:$D,4,FALSE)</f>
        <v>同属性ユニットを強化素材にすると_x000D_経験値が多くもらえます</v>
      </c>
      <c r="M251" s="21" t="s">
        <v>23</v>
      </c>
      <c r="N251">
        <v>6</v>
      </c>
    </row>
    <row r="252" spans="1:14" x14ac:dyDescent="0.15">
      <c r="A252" s="26" t="s">
        <v>32</v>
      </c>
      <c r="B252" s="4">
        <v>11103</v>
      </c>
      <c r="C252" s="3" t="str">
        <f ca="1">VLOOKUP($B252,OFFSET([1]quests!$A$1,0,0,COUNTA([1]quests!$A:$A),MATCH(C$1,[1]quests!$1:$1,0)-MATCH($B$1,[1]quests!$1:$1,0)+1),MATCH(C$1,[1]quests!$1:$1,0)-MATCH($B$1,[1]quests!$1:$1,0)+1,FALSE)</f>
        <v>【期間限定】 青の素材</v>
      </c>
      <c r="D252" s="3" t="str">
        <f ca="1">VLOOKUP($B252,OFFSET([1]quests!$A$1,0,0,COUNTA([1]quests!$A:$A),MATCH(D$1,[1]quests!$1:$1,0)-MATCH($B$1,[1]quests!$1:$1,0)+1),MATCH(D$1,[1]quests!$1:$1,0)-MATCH($B$1,[1]quests!$1:$1,0)+1,FALSE)</f>
        <v>水曜クエスト</v>
      </c>
      <c r="E252" s="5">
        <v>2</v>
      </c>
      <c r="F252" s="3" t="str">
        <f ca="1">VLOOKUP($B252&amp;"_"&amp;$E252,OFFSET([1]stages!$A$1,0,0,COUNTA([1]stages!$A:$A),MATCH(F$1,[1]stages!$2:$2,0)-MATCH("temp_stage",[1]stages!$2:$2,0)+1),MATCH(F$1,[1]stages!$2:$2,0)-MATCH("temp_stage",[1]stages!$2:$2,0)+1,FALSE)</f>
        <v xml:space="preserve">【中級】水のウサギ </v>
      </c>
      <c r="G252" s="3" t="str">
        <f ca="1">VLOOKUP($B252&amp;"_"&amp;$E252,OFFSET([1]stages!$A$1,0,0,COUNTA([1]stages!$A:$A),MATCH(G$1,[1]stages!$2:$2,0)-MATCH("temp_stage",[1]stages!$2:$2,0)+1),MATCH(G$1,[1]stages!$2:$2,0)-MATCH("temp_stage",[1]stages!$2:$2,0)+1,FALSE)</f>
        <v>水曜クエスト</v>
      </c>
      <c r="H252" s="18">
        <v>0</v>
      </c>
      <c r="I252">
        <v>7</v>
      </c>
      <c r="J252" s="5" t="s">
        <v>16</v>
      </c>
      <c r="K252" s="35" t="str">
        <f>VLOOKUP(I252,[2]stage_hints!$A:$C,3,FALSE)</f>
        <v>メタルダックで経験値を獲得</v>
      </c>
      <c r="L252" s="36" t="str">
        <f>VLOOKUP(I252,[2]stage_hints!$A:$D,4,FALSE)</f>
        <v>「メタルなアヒル」を強化素材にすると_x000D_大量の経験値がもらえます</v>
      </c>
      <c r="M252" s="21" t="s">
        <v>23</v>
      </c>
      <c r="N252">
        <v>7</v>
      </c>
    </row>
    <row r="253" spans="1:14" x14ac:dyDescent="0.15">
      <c r="A253" s="26" t="s">
        <v>32</v>
      </c>
      <c r="B253" s="4">
        <v>11103</v>
      </c>
      <c r="C253" s="3" t="str">
        <f ca="1">VLOOKUP($B253,OFFSET([1]quests!$A$1,0,0,COUNTA([1]quests!$A:$A),MATCH(C$1,[1]quests!$1:$1,0)-MATCH($B$1,[1]quests!$1:$1,0)+1),MATCH(C$1,[1]quests!$1:$1,0)-MATCH($B$1,[1]quests!$1:$1,0)+1,FALSE)</f>
        <v>【期間限定】 青の素材</v>
      </c>
      <c r="D253" s="3" t="str">
        <f ca="1">VLOOKUP($B253,OFFSET([1]quests!$A$1,0,0,COUNTA([1]quests!$A:$A),MATCH(D$1,[1]quests!$1:$1,0)-MATCH($B$1,[1]quests!$1:$1,0)+1),MATCH(D$1,[1]quests!$1:$1,0)-MATCH($B$1,[1]quests!$1:$1,0)+1,FALSE)</f>
        <v>水曜クエスト</v>
      </c>
      <c r="E253" s="5">
        <v>2</v>
      </c>
      <c r="F253" s="3" t="str">
        <f ca="1">VLOOKUP($B253&amp;"_"&amp;$E253,OFFSET([1]stages!$A$1,0,0,COUNTA([1]stages!$A:$A),MATCH(F$1,[1]stages!$2:$2,0)-MATCH("temp_stage",[1]stages!$2:$2,0)+1),MATCH(F$1,[1]stages!$2:$2,0)-MATCH("temp_stage",[1]stages!$2:$2,0)+1,FALSE)</f>
        <v xml:space="preserve">【中級】水のウサギ </v>
      </c>
      <c r="G253" s="3" t="str">
        <f ca="1">VLOOKUP($B253&amp;"_"&amp;$E253,OFFSET([1]stages!$A$1,0,0,COUNTA([1]stages!$A:$A),MATCH(G$1,[1]stages!$2:$2,0)-MATCH("temp_stage",[1]stages!$2:$2,0)+1),MATCH(G$1,[1]stages!$2:$2,0)-MATCH("temp_stage",[1]stages!$2:$2,0)+1,FALSE)</f>
        <v>水曜クエスト</v>
      </c>
      <c r="H253" s="18">
        <v>0</v>
      </c>
      <c r="I253">
        <v>8</v>
      </c>
      <c r="J253" s="5" t="s">
        <v>16</v>
      </c>
      <c r="K253" s="35" t="str">
        <f>VLOOKUP(I253,[2]stage_hints!$A:$C,3,FALSE)</f>
        <v>ゲリラクエストは要チェック</v>
      </c>
      <c r="L253" s="36" t="str">
        <f>VLOOKUP(I253,[2]stage_hints!$A:$D,4,FALSE)</f>
        <v>時間限定の「アヒル捕獲作戦」では_x000D_経験値素材ユニットが多く手に入ります</v>
      </c>
      <c r="M253" s="21" t="s">
        <v>23</v>
      </c>
      <c r="N253">
        <v>8</v>
      </c>
    </row>
    <row r="254" spans="1:14" x14ac:dyDescent="0.15">
      <c r="A254" s="26" t="s">
        <v>32</v>
      </c>
      <c r="B254" s="4">
        <v>11103</v>
      </c>
      <c r="C254" s="3" t="str">
        <f ca="1">VLOOKUP($B254,OFFSET([1]quests!$A$1,0,0,COUNTA([1]quests!$A:$A),MATCH(C$1,[1]quests!$1:$1,0)-MATCH($B$1,[1]quests!$1:$1,0)+1),MATCH(C$1,[1]quests!$1:$1,0)-MATCH($B$1,[1]quests!$1:$1,0)+1,FALSE)</f>
        <v>【期間限定】 青の素材</v>
      </c>
      <c r="D254" s="3" t="str">
        <f ca="1">VLOOKUP($B254,OFFSET([1]quests!$A$1,0,0,COUNTA([1]quests!$A:$A),MATCH(D$1,[1]quests!$1:$1,0)-MATCH($B$1,[1]quests!$1:$1,0)+1),MATCH(D$1,[1]quests!$1:$1,0)-MATCH($B$1,[1]quests!$1:$1,0)+1,FALSE)</f>
        <v>水曜クエスト</v>
      </c>
      <c r="E254" s="5">
        <v>2</v>
      </c>
      <c r="F254" s="3" t="str">
        <f ca="1">VLOOKUP($B254&amp;"_"&amp;$E254,OFFSET([1]stages!$A$1,0,0,COUNTA([1]stages!$A:$A),MATCH(F$1,[1]stages!$2:$2,0)-MATCH("temp_stage",[1]stages!$2:$2,0)+1),MATCH(F$1,[1]stages!$2:$2,0)-MATCH("temp_stage",[1]stages!$2:$2,0)+1,FALSE)</f>
        <v xml:space="preserve">【中級】水のウサギ </v>
      </c>
      <c r="G254" s="3" t="str">
        <f ca="1">VLOOKUP($B254&amp;"_"&amp;$E254,OFFSET([1]stages!$A$1,0,0,COUNTA([1]stages!$A:$A),MATCH(G$1,[1]stages!$2:$2,0)-MATCH("temp_stage",[1]stages!$2:$2,0)+1),MATCH(G$1,[1]stages!$2:$2,0)-MATCH("temp_stage",[1]stages!$2:$2,0)+1,FALSE)</f>
        <v>水曜クエスト</v>
      </c>
      <c r="H254" s="18">
        <v>0</v>
      </c>
      <c r="I254">
        <v>9</v>
      </c>
      <c r="J254" s="5" t="s">
        <v>16</v>
      </c>
      <c r="K254" s="35" t="str">
        <f>VLOOKUP(I254,[2]stage_hints!$A:$C,3,FALSE)</f>
        <v>ゴールドダックでビットを獲得</v>
      </c>
      <c r="L254" s="36" t="str">
        <f>VLOOKUP(I254,[2]stage_hints!$A:$D,4,FALSE)</f>
        <v>「ゴールドなアヒル」を売却すると_x000D_大量のビットがもらえます</v>
      </c>
      <c r="M254" s="21" t="s">
        <v>23</v>
      </c>
      <c r="N254">
        <v>9</v>
      </c>
    </row>
    <row r="255" spans="1:14" x14ac:dyDescent="0.15">
      <c r="A255" s="26" t="s">
        <v>32</v>
      </c>
      <c r="B255" s="4">
        <v>11103</v>
      </c>
      <c r="C255" s="3" t="str">
        <f ca="1">VLOOKUP($B255,OFFSET([1]quests!$A$1,0,0,COUNTA([1]quests!$A:$A),MATCH(C$1,[1]quests!$1:$1,0)-MATCH($B$1,[1]quests!$1:$1,0)+1),MATCH(C$1,[1]quests!$1:$1,0)-MATCH($B$1,[1]quests!$1:$1,0)+1,FALSE)</f>
        <v>【期間限定】 青の素材</v>
      </c>
      <c r="D255" s="3" t="str">
        <f ca="1">VLOOKUP($B255,OFFSET([1]quests!$A$1,0,0,COUNTA([1]quests!$A:$A),MATCH(D$1,[1]quests!$1:$1,0)-MATCH($B$1,[1]quests!$1:$1,0)+1),MATCH(D$1,[1]quests!$1:$1,0)-MATCH($B$1,[1]quests!$1:$1,0)+1,FALSE)</f>
        <v>水曜クエスト</v>
      </c>
      <c r="E255" s="5">
        <v>2</v>
      </c>
      <c r="F255" s="3" t="str">
        <f ca="1">VLOOKUP($B255&amp;"_"&amp;$E255,OFFSET([1]stages!$A$1,0,0,COUNTA([1]stages!$A:$A),MATCH(F$1,[1]stages!$2:$2,0)-MATCH("temp_stage",[1]stages!$2:$2,0)+1),MATCH(F$1,[1]stages!$2:$2,0)-MATCH("temp_stage",[1]stages!$2:$2,0)+1,FALSE)</f>
        <v xml:space="preserve">【中級】水のウサギ </v>
      </c>
      <c r="G255" s="3" t="str">
        <f ca="1">VLOOKUP($B255&amp;"_"&amp;$E255,OFFSET([1]stages!$A$1,0,0,COUNTA([1]stages!$A:$A),MATCH(G$1,[1]stages!$2:$2,0)-MATCH("temp_stage",[1]stages!$2:$2,0)+1),MATCH(G$1,[1]stages!$2:$2,0)-MATCH("temp_stage",[1]stages!$2:$2,0)+1,FALSE)</f>
        <v>水曜クエスト</v>
      </c>
      <c r="H255" s="18">
        <v>0</v>
      </c>
      <c r="I255">
        <v>10</v>
      </c>
      <c r="J255" s="5" t="s">
        <v>16</v>
      </c>
      <c r="K255" s="35" t="str">
        <f>VLOOKUP(I255,[2]stage_hints!$A:$C,3,FALSE)</f>
        <v>土日に大量のビットを獲得</v>
      </c>
      <c r="L255" s="36" t="str">
        <f>VLOOKUP(I255,[2]stage_hints!$A:$D,4,FALSE)</f>
        <v>土日限定の「ゴールドカジノ」では_x000D_売却素材ユニットが多く手に入ります</v>
      </c>
      <c r="M255" s="21" t="s">
        <v>23</v>
      </c>
      <c r="N255">
        <v>10</v>
      </c>
    </row>
    <row r="256" spans="1:14" x14ac:dyDescent="0.15">
      <c r="A256" s="26" t="s">
        <v>32</v>
      </c>
      <c r="B256" s="4">
        <v>11103</v>
      </c>
      <c r="C256" s="3" t="str">
        <f ca="1">VLOOKUP($B256,OFFSET([1]quests!$A$1,0,0,COUNTA([1]quests!$A:$A),MATCH(C$1,[1]quests!$1:$1,0)-MATCH($B$1,[1]quests!$1:$1,0)+1),MATCH(C$1,[1]quests!$1:$1,0)-MATCH($B$1,[1]quests!$1:$1,0)+1,FALSE)</f>
        <v>【期間限定】 青の素材</v>
      </c>
      <c r="D256" s="3" t="str">
        <f ca="1">VLOOKUP($B256,OFFSET([1]quests!$A$1,0,0,COUNTA([1]quests!$A:$A),MATCH(D$1,[1]quests!$1:$1,0)-MATCH($B$1,[1]quests!$1:$1,0)+1),MATCH(D$1,[1]quests!$1:$1,0)-MATCH($B$1,[1]quests!$1:$1,0)+1,FALSE)</f>
        <v>水曜クエスト</v>
      </c>
      <c r="E256" s="5">
        <v>2</v>
      </c>
      <c r="F256" s="3" t="str">
        <f ca="1">VLOOKUP($B256&amp;"_"&amp;$E256,OFFSET([1]stages!$A$1,0,0,COUNTA([1]stages!$A:$A),MATCH(F$1,[1]stages!$2:$2,0)-MATCH("temp_stage",[1]stages!$2:$2,0)+1),MATCH(F$1,[1]stages!$2:$2,0)-MATCH("temp_stage",[1]stages!$2:$2,0)+1,FALSE)</f>
        <v xml:space="preserve">【中級】水のウサギ </v>
      </c>
      <c r="G256" s="3" t="str">
        <f ca="1">VLOOKUP($B256&amp;"_"&amp;$E256,OFFSET([1]stages!$A$1,0,0,COUNTA([1]stages!$A:$A),MATCH(G$1,[1]stages!$2:$2,0)-MATCH("temp_stage",[1]stages!$2:$2,0)+1),MATCH(G$1,[1]stages!$2:$2,0)-MATCH("temp_stage",[1]stages!$2:$2,0)+1,FALSE)</f>
        <v>水曜クエスト</v>
      </c>
      <c r="H256" s="18">
        <v>0</v>
      </c>
      <c r="I256">
        <v>11</v>
      </c>
      <c r="J256" s="5" t="s">
        <v>16</v>
      </c>
      <c r="K256" s="35" t="str">
        <f>VLOOKUP(I256,[2]stage_hints!$A:$C,3,FALSE)</f>
        <v>ランク解放クエスト</v>
      </c>
      <c r="L256" s="36" t="str">
        <f>VLOOKUP(I256,[2]stage_hints!$A:$D,4,FALSE)</f>
        <v>一定ランクに到達すると_x000D_報酬付きのランク開放クエストが現れます</v>
      </c>
      <c r="M256" s="21" t="s">
        <v>23</v>
      </c>
      <c r="N256">
        <v>11</v>
      </c>
    </row>
    <row r="257" spans="1:14" x14ac:dyDescent="0.15">
      <c r="A257" s="26" t="s">
        <v>32</v>
      </c>
      <c r="B257" s="4">
        <v>11103</v>
      </c>
      <c r="C257" s="3" t="str">
        <f ca="1">VLOOKUP($B257,OFFSET([1]quests!$A$1,0,0,COUNTA([1]quests!$A:$A),MATCH(C$1,[1]quests!$1:$1,0)-MATCH($B$1,[1]quests!$1:$1,0)+1),MATCH(C$1,[1]quests!$1:$1,0)-MATCH($B$1,[1]quests!$1:$1,0)+1,FALSE)</f>
        <v>【期間限定】 青の素材</v>
      </c>
      <c r="D257" s="3" t="str">
        <f ca="1">VLOOKUP($B257,OFFSET([1]quests!$A$1,0,0,COUNTA([1]quests!$A:$A),MATCH(D$1,[1]quests!$1:$1,0)-MATCH($B$1,[1]quests!$1:$1,0)+1),MATCH(D$1,[1]quests!$1:$1,0)-MATCH($B$1,[1]quests!$1:$1,0)+1,FALSE)</f>
        <v>水曜クエスト</v>
      </c>
      <c r="E257" s="5">
        <v>2</v>
      </c>
      <c r="F257" s="3" t="str">
        <f ca="1">VLOOKUP($B257&amp;"_"&amp;$E257,OFFSET([1]stages!$A$1,0,0,COUNTA([1]stages!$A:$A),MATCH(F$1,[1]stages!$2:$2,0)-MATCH("temp_stage",[1]stages!$2:$2,0)+1),MATCH(F$1,[1]stages!$2:$2,0)-MATCH("temp_stage",[1]stages!$2:$2,0)+1,FALSE)</f>
        <v xml:space="preserve">【中級】水のウサギ </v>
      </c>
      <c r="G257" s="3" t="str">
        <f ca="1">VLOOKUP($B257&amp;"_"&amp;$E257,OFFSET([1]stages!$A$1,0,0,COUNTA([1]stages!$A:$A),MATCH(G$1,[1]stages!$2:$2,0)-MATCH("temp_stage",[1]stages!$2:$2,0)+1),MATCH(G$1,[1]stages!$2:$2,0)-MATCH("temp_stage",[1]stages!$2:$2,0)+1,FALSE)</f>
        <v>水曜クエスト</v>
      </c>
      <c r="H257" s="18">
        <v>0</v>
      </c>
      <c r="I257">
        <v>12</v>
      </c>
      <c r="J257" s="5" t="s">
        <v>16</v>
      </c>
      <c r="K257" s="35" t="str">
        <f>VLOOKUP(I257,[2]stage_hints!$A:$C,3,FALSE)</f>
        <v>ユニットのお気に入り登録</v>
      </c>
      <c r="L257" s="36" t="str">
        <f>VLOOKUP(I257,[2]stage_hints!$A:$D,4,FALSE)</f>
        <v>大事なユニットを誤って消さないように_x000D_フォルダから「お気に入り登録」しましょう</v>
      </c>
      <c r="M257" s="21" t="s">
        <v>23</v>
      </c>
      <c r="N257">
        <v>12</v>
      </c>
    </row>
    <row r="258" spans="1:14" x14ac:dyDescent="0.15">
      <c r="A258" s="26" t="s">
        <v>32</v>
      </c>
      <c r="B258" s="4">
        <v>11103</v>
      </c>
      <c r="C258" s="3" t="str">
        <f ca="1">VLOOKUP($B258,OFFSET([1]quests!$A$1,0,0,COUNTA([1]quests!$A:$A),MATCH(C$1,[1]quests!$1:$1,0)-MATCH($B$1,[1]quests!$1:$1,0)+1),MATCH(C$1,[1]quests!$1:$1,0)-MATCH($B$1,[1]quests!$1:$1,0)+1,FALSE)</f>
        <v>【期間限定】 青の素材</v>
      </c>
      <c r="D258" s="3" t="str">
        <f ca="1">VLOOKUP($B258,OFFSET([1]quests!$A$1,0,0,COUNTA([1]quests!$A:$A),MATCH(D$1,[1]quests!$1:$1,0)-MATCH($B$1,[1]quests!$1:$1,0)+1),MATCH(D$1,[1]quests!$1:$1,0)-MATCH($B$1,[1]quests!$1:$1,0)+1,FALSE)</f>
        <v>水曜クエスト</v>
      </c>
      <c r="E258" s="5">
        <v>2</v>
      </c>
      <c r="F258" s="3" t="str">
        <f ca="1">VLOOKUP($B258&amp;"_"&amp;$E258,OFFSET([1]stages!$A$1,0,0,COUNTA([1]stages!$A:$A),MATCH(F$1,[1]stages!$2:$2,0)-MATCH("temp_stage",[1]stages!$2:$2,0)+1),MATCH(F$1,[1]stages!$2:$2,0)-MATCH("temp_stage",[1]stages!$2:$2,0)+1,FALSE)</f>
        <v xml:space="preserve">【中級】水のウサギ </v>
      </c>
      <c r="G258" s="3" t="str">
        <f ca="1">VLOOKUP($B258&amp;"_"&amp;$E258,OFFSET([1]stages!$A$1,0,0,COUNTA([1]stages!$A:$A),MATCH(G$1,[1]stages!$2:$2,0)-MATCH("temp_stage",[1]stages!$2:$2,0)+1),MATCH(G$1,[1]stages!$2:$2,0)-MATCH("temp_stage",[1]stages!$2:$2,0)+1,FALSE)</f>
        <v>水曜クエスト</v>
      </c>
      <c r="H258" s="18">
        <v>0</v>
      </c>
      <c r="I258">
        <v>13</v>
      </c>
      <c r="J258" s="5" t="s">
        <v>16</v>
      </c>
      <c r="K258" s="35" t="str">
        <f>VLOOKUP(I258,[2]stage_hints!$A:$C,3,FALSE)</f>
        <v>ユニットの覚醒</v>
      </c>
      <c r="L258" s="36" t="str">
        <f>VLOOKUP(I258,[2]stage_hints!$A:$D,4,FALSE)</f>
        <v>ユニットを覚醒させると_x000D_比べものにならない強さが手に入ります</v>
      </c>
      <c r="M258" s="21" t="s">
        <v>23</v>
      </c>
      <c r="N258">
        <v>13</v>
      </c>
    </row>
    <row r="259" spans="1:14" x14ac:dyDescent="0.15">
      <c r="A259" s="26" t="s">
        <v>32</v>
      </c>
      <c r="B259" s="4">
        <v>11103</v>
      </c>
      <c r="C259" s="3" t="str">
        <f ca="1">VLOOKUP($B259,OFFSET([1]quests!$A$1,0,0,COUNTA([1]quests!$A:$A),MATCH(C$1,[1]quests!$1:$1,0)-MATCH($B$1,[1]quests!$1:$1,0)+1),MATCH(C$1,[1]quests!$1:$1,0)-MATCH($B$1,[1]quests!$1:$1,0)+1,FALSE)</f>
        <v>【期間限定】 青の素材</v>
      </c>
      <c r="D259" s="3" t="str">
        <f ca="1">VLOOKUP($B259,OFFSET([1]quests!$A$1,0,0,COUNTA([1]quests!$A:$A),MATCH(D$1,[1]quests!$1:$1,0)-MATCH($B$1,[1]quests!$1:$1,0)+1),MATCH(D$1,[1]quests!$1:$1,0)-MATCH($B$1,[1]quests!$1:$1,0)+1,FALSE)</f>
        <v>水曜クエスト</v>
      </c>
      <c r="E259" s="5">
        <v>2</v>
      </c>
      <c r="F259" s="3" t="str">
        <f ca="1">VLOOKUP($B259&amp;"_"&amp;$E259,OFFSET([1]stages!$A$1,0,0,COUNTA([1]stages!$A:$A),MATCH(F$1,[1]stages!$2:$2,0)-MATCH("temp_stage",[1]stages!$2:$2,0)+1),MATCH(F$1,[1]stages!$2:$2,0)-MATCH("temp_stage",[1]stages!$2:$2,0)+1,FALSE)</f>
        <v xml:space="preserve">【中級】水のウサギ </v>
      </c>
      <c r="G259" s="3" t="str">
        <f ca="1">VLOOKUP($B259&amp;"_"&amp;$E259,OFFSET([1]stages!$A$1,0,0,COUNTA([1]stages!$A:$A),MATCH(G$1,[1]stages!$2:$2,0)-MATCH("temp_stage",[1]stages!$2:$2,0)+1),MATCH(G$1,[1]stages!$2:$2,0)-MATCH("temp_stage",[1]stages!$2:$2,0)+1,FALSE)</f>
        <v>水曜クエスト</v>
      </c>
      <c r="H259" s="18">
        <v>0</v>
      </c>
      <c r="I259">
        <v>14</v>
      </c>
      <c r="J259" s="5" t="s">
        <v>16</v>
      </c>
      <c r="K259" s="35" t="str">
        <f>VLOOKUP(I259,[2]stage_hints!$A:$C,3,FALSE)</f>
        <v>覚醒するにはレベルを最大に</v>
      </c>
      <c r="L259" s="36" t="str">
        <f>VLOOKUP(I259,[2]stage_hints!$A:$D,4,FALSE)</f>
        <v>覚醒するにはユニットのレベルを_x000D_最大まで上げる必要があります</v>
      </c>
      <c r="M259" s="21" t="s">
        <v>23</v>
      </c>
      <c r="N259">
        <v>14</v>
      </c>
    </row>
    <row r="260" spans="1:14" x14ac:dyDescent="0.15">
      <c r="A260" s="26" t="s">
        <v>32</v>
      </c>
      <c r="B260" s="4">
        <v>11103</v>
      </c>
      <c r="C260" s="3" t="str">
        <f ca="1">VLOOKUP($B260,OFFSET([1]quests!$A$1,0,0,COUNTA([1]quests!$A:$A),MATCH(C$1,[1]quests!$1:$1,0)-MATCH($B$1,[1]quests!$1:$1,0)+1),MATCH(C$1,[1]quests!$1:$1,0)-MATCH($B$1,[1]quests!$1:$1,0)+1,FALSE)</f>
        <v>【期間限定】 青の素材</v>
      </c>
      <c r="D260" s="3" t="str">
        <f ca="1">VLOOKUP($B260,OFFSET([1]quests!$A$1,0,0,COUNTA([1]quests!$A:$A),MATCH(D$1,[1]quests!$1:$1,0)-MATCH($B$1,[1]quests!$1:$1,0)+1),MATCH(D$1,[1]quests!$1:$1,0)-MATCH($B$1,[1]quests!$1:$1,0)+1,FALSE)</f>
        <v>水曜クエスト</v>
      </c>
      <c r="E260" s="5">
        <v>2</v>
      </c>
      <c r="F260" s="3" t="str">
        <f ca="1">VLOOKUP($B260&amp;"_"&amp;$E260,OFFSET([1]stages!$A$1,0,0,COUNTA([1]stages!$A:$A),MATCH(F$1,[1]stages!$2:$2,0)-MATCH("temp_stage",[1]stages!$2:$2,0)+1),MATCH(F$1,[1]stages!$2:$2,0)-MATCH("temp_stage",[1]stages!$2:$2,0)+1,FALSE)</f>
        <v xml:space="preserve">【中級】水のウサギ </v>
      </c>
      <c r="G260" s="3" t="str">
        <f ca="1">VLOOKUP($B260&amp;"_"&amp;$E260,OFFSET([1]stages!$A$1,0,0,COUNTA([1]stages!$A:$A),MATCH(G$1,[1]stages!$2:$2,0)-MATCH("temp_stage",[1]stages!$2:$2,0)+1),MATCH(G$1,[1]stages!$2:$2,0)-MATCH("temp_stage",[1]stages!$2:$2,0)+1,FALSE)</f>
        <v>水曜クエスト</v>
      </c>
      <c r="H260" s="18">
        <v>0</v>
      </c>
      <c r="I260">
        <v>15</v>
      </c>
      <c r="J260" s="5" t="s">
        <v>16</v>
      </c>
      <c r="K260" s="35" t="str">
        <f>VLOOKUP(I260,[2]stage_hints!$A:$C,3,FALSE)</f>
        <v>覚醒素材を獲得</v>
      </c>
      <c r="L260" s="36" t="str">
        <f>VLOOKUP(I260,[2]stage_hints!$A:$D,4,FALSE)</f>
        <v>「曜日クエスト」では_x000D_ユニットの覚醒に必要な素材が手に入ります</v>
      </c>
      <c r="M260" s="21" t="s">
        <v>23</v>
      </c>
      <c r="N260">
        <v>15</v>
      </c>
    </row>
    <row r="261" spans="1:14" x14ac:dyDescent="0.15">
      <c r="A261" s="26" t="s">
        <v>32</v>
      </c>
      <c r="B261" s="4">
        <v>11103</v>
      </c>
      <c r="C261" s="3" t="str">
        <f ca="1">VLOOKUP($B261,OFFSET([1]quests!$A$1,0,0,COUNTA([1]quests!$A:$A),MATCH(C$1,[1]quests!$1:$1,0)-MATCH($B$1,[1]quests!$1:$1,0)+1),MATCH(C$1,[1]quests!$1:$1,0)-MATCH($B$1,[1]quests!$1:$1,0)+1,FALSE)</f>
        <v>【期間限定】 青の素材</v>
      </c>
      <c r="D261" s="3" t="str">
        <f ca="1">VLOOKUP($B261,OFFSET([1]quests!$A$1,0,0,COUNTA([1]quests!$A:$A),MATCH(D$1,[1]quests!$1:$1,0)-MATCH($B$1,[1]quests!$1:$1,0)+1),MATCH(D$1,[1]quests!$1:$1,0)-MATCH($B$1,[1]quests!$1:$1,0)+1,FALSE)</f>
        <v>水曜クエスト</v>
      </c>
      <c r="E261" s="5">
        <v>2</v>
      </c>
      <c r="F261" s="3" t="str">
        <f ca="1">VLOOKUP($B261&amp;"_"&amp;$E261,OFFSET([1]stages!$A$1,0,0,COUNTA([1]stages!$A:$A),MATCH(F$1,[1]stages!$2:$2,0)-MATCH("temp_stage",[1]stages!$2:$2,0)+1),MATCH(F$1,[1]stages!$2:$2,0)-MATCH("temp_stage",[1]stages!$2:$2,0)+1,FALSE)</f>
        <v xml:space="preserve">【中級】水のウサギ </v>
      </c>
      <c r="G261" s="3" t="str">
        <f ca="1">VLOOKUP($B261&amp;"_"&amp;$E261,OFFSET([1]stages!$A$1,0,0,COUNTA([1]stages!$A:$A),MATCH(G$1,[1]stages!$2:$2,0)-MATCH("temp_stage",[1]stages!$2:$2,0)+1),MATCH(G$1,[1]stages!$2:$2,0)-MATCH("temp_stage",[1]stages!$2:$2,0)+1,FALSE)</f>
        <v>水曜クエスト</v>
      </c>
      <c r="H261" s="18">
        <v>0</v>
      </c>
      <c r="I261">
        <v>16</v>
      </c>
      <c r="J261" s="5" t="s">
        <v>16</v>
      </c>
      <c r="K261" s="35" t="str">
        <f>VLOOKUP(I261,[2]stage_hints!$A:$C,3,FALSE)</f>
        <v>マルチプレイのメリット（その1）</v>
      </c>
      <c r="L261" s="36" t="str">
        <f>VLOOKUP(I261,[2]stage_hints!$A:$D,4,FALSE)</f>
        <v>他のプレイヤーとマルチプレイで遊ぶと_x000D_ポリゴンがもらえます（100人まで）</v>
      </c>
      <c r="M261" s="21" t="s">
        <v>23</v>
      </c>
      <c r="N261">
        <v>16</v>
      </c>
    </row>
    <row r="262" spans="1:14" x14ac:dyDescent="0.15">
      <c r="A262" s="26" t="s">
        <v>32</v>
      </c>
      <c r="B262" s="4">
        <v>11103</v>
      </c>
      <c r="C262" s="3" t="str">
        <f ca="1">VLOOKUP($B262,OFFSET([1]quests!$A$1,0,0,COUNTA([1]quests!$A:$A),MATCH(C$1,[1]quests!$1:$1,0)-MATCH($B$1,[1]quests!$1:$1,0)+1),MATCH(C$1,[1]quests!$1:$1,0)-MATCH($B$1,[1]quests!$1:$1,0)+1,FALSE)</f>
        <v>【期間限定】 青の素材</v>
      </c>
      <c r="D262" s="3" t="str">
        <f ca="1">VLOOKUP($B262,OFFSET([1]quests!$A$1,0,0,COUNTA([1]quests!$A:$A),MATCH(D$1,[1]quests!$1:$1,0)-MATCH($B$1,[1]quests!$1:$1,0)+1),MATCH(D$1,[1]quests!$1:$1,0)-MATCH($B$1,[1]quests!$1:$1,0)+1,FALSE)</f>
        <v>水曜クエスト</v>
      </c>
      <c r="E262" s="5">
        <v>2</v>
      </c>
      <c r="F262" s="3" t="str">
        <f ca="1">VLOOKUP($B262&amp;"_"&amp;$E262,OFFSET([1]stages!$A$1,0,0,COUNTA([1]stages!$A:$A),MATCH(F$1,[1]stages!$2:$2,0)-MATCH("temp_stage",[1]stages!$2:$2,0)+1),MATCH(F$1,[1]stages!$2:$2,0)-MATCH("temp_stage",[1]stages!$2:$2,0)+1,FALSE)</f>
        <v xml:space="preserve">【中級】水のウサギ </v>
      </c>
      <c r="G262" s="3" t="str">
        <f ca="1">VLOOKUP($B262&amp;"_"&amp;$E262,OFFSET([1]stages!$A$1,0,0,COUNTA([1]stages!$A:$A),MATCH(G$1,[1]stages!$2:$2,0)-MATCH("temp_stage",[1]stages!$2:$2,0)+1),MATCH(G$1,[1]stages!$2:$2,0)-MATCH("temp_stage",[1]stages!$2:$2,0)+1,FALSE)</f>
        <v>水曜クエスト</v>
      </c>
      <c r="H262" s="18">
        <v>0</v>
      </c>
      <c r="I262">
        <v>17</v>
      </c>
      <c r="J262" s="5" t="s">
        <v>16</v>
      </c>
      <c r="K262" s="35" t="str">
        <f>VLOOKUP(I262,[2]stage_hints!$A:$C,3,FALSE)</f>
        <v>リンクガチャ</v>
      </c>
      <c r="L262" s="36" t="str">
        <f>VLOOKUP(I262,[2]stage_hints!$A:$D,4,FALSE)</f>
        <v>無料のリンクガチャを回して_x000D_経験値素材や売却素材を獲得しましょう</v>
      </c>
      <c r="M262" s="21" t="s">
        <v>23</v>
      </c>
      <c r="N262">
        <v>17</v>
      </c>
    </row>
    <row r="263" spans="1:14" x14ac:dyDescent="0.15">
      <c r="A263" s="26" t="s">
        <v>32</v>
      </c>
      <c r="B263" s="4">
        <v>11103</v>
      </c>
      <c r="C263" s="3" t="str">
        <f ca="1">VLOOKUP($B263,OFFSET([1]quests!$A$1,0,0,COUNTA([1]quests!$A:$A),MATCH(C$1,[1]quests!$1:$1,0)-MATCH($B$1,[1]quests!$1:$1,0)+1),MATCH(C$1,[1]quests!$1:$1,0)-MATCH($B$1,[1]quests!$1:$1,0)+1,FALSE)</f>
        <v>【期間限定】 青の素材</v>
      </c>
      <c r="D263" s="3" t="str">
        <f ca="1">VLOOKUP($B263,OFFSET([1]quests!$A$1,0,0,COUNTA([1]quests!$A:$A),MATCH(D$1,[1]quests!$1:$1,0)-MATCH($B$1,[1]quests!$1:$1,0)+1),MATCH(D$1,[1]quests!$1:$1,0)-MATCH($B$1,[1]quests!$1:$1,0)+1,FALSE)</f>
        <v>水曜クエスト</v>
      </c>
      <c r="E263" s="5">
        <v>2</v>
      </c>
      <c r="F263" s="3" t="str">
        <f ca="1">VLOOKUP($B263&amp;"_"&amp;$E263,OFFSET([1]stages!$A$1,0,0,COUNTA([1]stages!$A:$A),MATCH(F$1,[1]stages!$2:$2,0)-MATCH("temp_stage",[1]stages!$2:$2,0)+1),MATCH(F$1,[1]stages!$2:$2,0)-MATCH("temp_stage",[1]stages!$2:$2,0)+1,FALSE)</f>
        <v xml:space="preserve">【中級】水のウサギ </v>
      </c>
      <c r="G263" s="3" t="str">
        <f ca="1">VLOOKUP($B263&amp;"_"&amp;$E263,OFFSET([1]stages!$A$1,0,0,COUNTA([1]stages!$A:$A),MATCH(G$1,[1]stages!$2:$2,0)-MATCH("temp_stage",[1]stages!$2:$2,0)+1),MATCH(G$1,[1]stages!$2:$2,0)-MATCH("temp_stage",[1]stages!$2:$2,0)+1,FALSE)</f>
        <v>水曜クエスト</v>
      </c>
      <c r="H263" s="18">
        <v>0</v>
      </c>
      <c r="I263">
        <v>18</v>
      </c>
      <c r="J263" s="5" t="s">
        <v>16</v>
      </c>
      <c r="K263" s="35" t="str">
        <f>VLOOKUP(I263,[2]stage_hints!$A:$C,3,FALSE)</f>
        <v>マルチプレイのメリット（その2）</v>
      </c>
      <c r="L263" s="36" t="str">
        <f>VLOOKUP(I263,[2]stage_hints!$A:$D,4,FALSE)</f>
        <v>マルチプレイならリンクが2倍もらえます_x000D_リンクガチャをたくさん回しましょう</v>
      </c>
      <c r="M263" s="21" t="s">
        <v>23</v>
      </c>
      <c r="N263">
        <v>18</v>
      </c>
    </row>
    <row r="264" spans="1:14" x14ac:dyDescent="0.15">
      <c r="A264" s="26" t="s">
        <v>32</v>
      </c>
      <c r="B264" s="4">
        <v>11103</v>
      </c>
      <c r="C264" s="3" t="str">
        <f ca="1">VLOOKUP($B264,OFFSET([1]quests!$A$1,0,0,COUNTA([1]quests!$A:$A),MATCH(C$1,[1]quests!$1:$1,0)-MATCH($B$1,[1]quests!$1:$1,0)+1),MATCH(C$1,[1]quests!$1:$1,0)-MATCH($B$1,[1]quests!$1:$1,0)+1,FALSE)</f>
        <v>【期間限定】 青の素材</v>
      </c>
      <c r="D264" s="3" t="str">
        <f ca="1">VLOOKUP($B264,OFFSET([1]quests!$A$1,0,0,COUNTA([1]quests!$A:$A),MATCH(D$1,[1]quests!$1:$1,0)-MATCH($B$1,[1]quests!$1:$1,0)+1),MATCH(D$1,[1]quests!$1:$1,0)-MATCH($B$1,[1]quests!$1:$1,0)+1,FALSE)</f>
        <v>水曜クエスト</v>
      </c>
      <c r="E264" s="5">
        <v>2</v>
      </c>
      <c r="F264" s="3" t="str">
        <f ca="1">VLOOKUP($B264&amp;"_"&amp;$E264,OFFSET([1]stages!$A$1,0,0,COUNTA([1]stages!$A:$A),MATCH(F$1,[1]stages!$2:$2,0)-MATCH("temp_stage",[1]stages!$2:$2,0)+1),MATCH(F$1,[1]stages!$2:$2,0)-MATCH("temp_stage",[1]stages!$2:$2,0)+1,FALSE)</f>
        <v xml:space="preserve">【中級】水のウサギ </v>
      </c>
      <c r="G264" s="3" t="str">
        <f ca="1">VLOOKUP($B264&amp;"_"&amp;$E264,OFFSET([1]stages!$A$1,0,0,COUNTA([1]stages!$A:$A),MATCH(G$1,[1]stages!$2:$2,0)-MATCH("temp_stage",[1]stages!$2:$2,0)+1),MATCH(G$1,[1]stages!$2:$2,0)-MATCH("temp_stage",[1]stages!$2:$2,0)+1,FALSE)</f>
        <v>水曜クエスト</v>
      </c>
      <c r="H264" s="18">
        <v>0</v>
      </c>
      <c r="I264">
        <v>19</v>
      </c>
      <c r="J264" s="5" t="s">
        <v>16</v>
      </c>
      <c r="K264" s="35" t="str">
        <f>VLOOKUP(I264,[2]stage_hints!$A:$C,3,FALSE)</f>
        <v>ソロ専用チャレンジタワー</v>
      </c>
      <c r="L264" s="36" t="str">
        <f>VLOOKUP(I264,[2]stage_hints!$A:$D,4,FALSE)</f>
        <v>ソロ専用の「チャレンジタワー」では_x000D_各フロアごとにクリア報酬がもらえます</v>
      </c>
      <c r="M264" s="21" t="s">
        <v>23</v>
      </c>
      <c r="N264">
        <v>19</v>
      </c>
    </row>
    <row r="265" spans="1:14" x14ac:dyDescent="0.15">
      <c r="A265" s="26" t="s">
        <v>32</v>
      </c>
      <c r="B265" s="4">
        <v>11103</v>
      </c>
      <c r="C265" s="3" t="str">
        <f ca="1">VLOOKUP($B265,OFFSET([1]quests!$A$1,0,0,COUNTA([1]quests!$A:$A),MATCH(C$1,[1]quests!$1:$1,0)-MATCH($B$1,[1]quests!$1:$1,0)+1),MATCH(C$1,[1]quests!$1:$1,0)-MATCH($B$1,[1]quests!$1:$1,0)+1,FALSE)</f>
        <v>【期間限定】 青の素材</v>
      </c>
      <c r="D265" s="3" t="str">
        <f ca="1">VLOOKUP($B265,OFFSET([1]quests!$A$1,0,0,COUNTA([1]quests!$A:$A),MATCH(D$1,[1]quests!$1:$1,0)-MATCH($B$1,[1]quests!$1:$1,0)+1),MATCH(D$1,[1]quests!$1:$1,0)-MATCH($B$1,[1]quests!$1:$1,0)+1,FALSE)</f>
        <v>水曜クエスト</v>
      </c>
      <c r="E265" s="5">
        <v>2</v>
      </c>
      <c r="F265" s="3" t="str">
        <f ca="1">VLOOKUP($B265&amp;"_"&amp;$E265,OFFSET([1]stages!$A$1,0,0,COUNTA([1]stages!$A:$A),MATCH(F$1,[1]stages!$2:$2,0)-MATCH("temp_stage",[1]stages!$2:$2,0)+1),MATCH(F$1,[1]stages!$2:$2,0)-MATCH("temp_stage",[1]stages!$2:$2,0)+1,FALSE)</f>
        <v xml:space="preserve">【中級】水のウサギ </v>
      </c>
      <c r="G265" s="3" t="str">
        <f ca="1">VLOOKUP($B265&amp;"_"&amp;$E265,OFFSET([1]stages!$A$1,0,0,COUNTA([1]stages!$A:$A),MATCH(G$1,[1]stages!$2:$2,0)-MATCH("temp_stage",[1]stages!$2:$2,0)+1),MATCH(G$1,[1]stages!$2:$2,0)-MATCH("temp_stage",[1]stages!$2:$2,0)+1,FALSE)</f>
        <v>水曜クエスト</v>
      </c>
      <c r="H265" s="18">
        <v>0</v>
      </c>
      <c r="I265">
        <v>20</v>
      </c>
      <c r="J265" s="5" t="s">
        <v>16</v>
      </c>
      <c r="K265" s="35" t="str">
        <f>VLOOKUP(I265,[2]stage_hints!$A:$C,3,FALSE)</f>
        <v>マルチプレイのメリット（その3）</v>
      </c>
      <c r="L265" s="36" t="str">
        <f>VLOOKUP(I265,[2]stage_hints!$A:$D,4,FALSE)</f>
        <v>マルチプレイへの参加はエナジー消費ゼロ_x000D_いつでも好きなだけ遊ぶことができます</v>
      </c>
      <c r="M265" s="21" t="s">
        <v>23</v>
      </c>
      <c r="N265">
        <v>20</v>
      </c>
    </row>
    <row r="266" spans="1:14" x14ac:dyDescent="0.15">
      <c r="A266" s="26" t="s">
        <v>32</v>
      </c>
      <c r="B266" s="4">
        <v>11103</v>
      </c>
      <c r="C266" s="3" t="str">
        <f ca="1">VLOOKUP($B266,OFFSET([1]quests!$A$1,0,0,COUNTA([1]quests!$A:$A),MATCH(C$1,[1]quests!$1:$1,0)-MATCH($B$1,[1]quests!$1:$1,0)+1),MATCH(C$1,[1]quests!$1:$1,0)-MATCH($B$1,[1]quests!$1:$1,0)+1,FALSE)</f>
        <v>【期間限定】 青の素材</v>
      </c>
      <c r="D266" s="3" t="str">
        <f ca="1">VLOOKUP($B266,OFFSET([1]quests!$A$1,0,0,COUNTA([1]quests!$A:$A),MATCH(D$1,[1]quests!$1:$1,0)-MATCH($B$1,[1]quests!$1:$1,0)+1),MATCH(D$1,[1]quests!$1:$1,0)-MATCH($B$1,[1]quests!$1:$1,0)+1,FALSE)</f>
        <v>水曜クエスト</v>
      </c>
      <c r="E266" s="5">
        <v>2</v>
      </c>
      <c r="F266" s="3" t="str">
        <f ca="1">VLOOKUP($B266&amp;"_"&amp;$E266,OFFSET([1]stages!$A$1,0,0,COUNTA([1]stages!$A:$A),MATCH(F$1,[1]stages!$2:$2,0)-MATCH("temp_stage",[1]stages!$2:$2,0)+1),MATCH(F$1,[1]stages!$2:$2,0)-MATCH("temp_stage",[1]stages!$2:$2,0)+1,FALSE)</f>
        <v xml:space="preserve">【中級】水のウサギ </v>
      </c>
      <c r="G266" s="3" t="str">
        <f ca="1">VLOOKUP($B266&amp;"_"&amp;$E266,OFFSET([1]stages!$A$1,0,0,COUNTA([1]stages!$A:$A),MATCH(G$1,[1]stages!$2:$2,0)-MATCH("temp_stage",[1]stages!$2:$2,0)+1),MATCH(G$1,[1]stages!$2:$2,0)-MATCH("temp_stage",[1]stages!$2:$2,0)+1,FALSE)</f>
        <v>水曜クエスト</v>
      </c>
      <c r="H266" s="18">
        <v>0</v>
      </c>
      <c r="I266">
        <v>21</v>
      </c>
      <c r="J266" s="5" t="s">
        <v>16</v>
      </c>
      <c r="K266" s="35" t="str">
        <f>VLOOKUP(I266,[2]stage_hints!$A:$C,3,FALSE)</f>
        <v>スキルを有効に</v>
      </c>
      <c r="L266" s="36" t="str">
        <f>VLOOKUP(I266,[2]stage_hints!$A:$D,4,FALSE)</f>
        <v>ターン経過でユニットのスキルが使えます_x000D_強力スキルでバトルを有利に進めましょう</v>
      </c>
      <c r="M266" s="21" t="s">
        <v>23</v>
      </c>
      <c r="N266">
        <v>21</v>
      </c>
    </row>
    <row r="267" spans="1:14" x14ac:dyDescent="0.15">
      <c r="A267" s="26" t="s">
        <v>32</v>
      </c>
      <c r="B267" s="4">
        <v>11103</v>
      </c>
      <c r="C267" s="3" t="str">
        <f ca="1">VLOOKUP($B267,OFFSET([1]quests!$A$1,0,0,COUNTA([1]quests!$A:$A),MATCH(C$1,[1]quests!$1:$1,0)-MATCH($B$1,[1]quests!$1:$1,0)+1),MATCH(C$1,[1]quests!$1:$1,0)-MATCH($B$1,[1]quests!$1:$1,0)+1,FALSE)</f>
        <v>【期間限定】 青の素材</v>
      </c>
      <c r="D267" s="3" t="str">
        <f ca="1">VLOOKUP($B267,OFFSET([1]quests!$A$1,0,0,COUNTA([1]quests!$A:$A),MATCH(D$1,[1]quests!$1:$1,0)-MATCH($B$1,[1]quests!$1:$1,0)+1),MATCH(D$1,[1]quests!$1:$1,0)-MATCH($B$1,[1]quests!$1:$1,0)+1,FALSE)</f>
        <v>水曜クエスト</v>
      </c>
      <c r="E267" s="5">
        <v>2</v>
      </c>
      <c r="F267" s="3" t="str">
        <f ca="1">VLOOKUP($B267&amp;"_"&amp;$E267,OFFSET([1]stages!$A$1,0,0,COUNTA([1]stages!$A:$A),MATCH(F$1,[1]stages!$2:$2,0)-MATCH("temp_stage",[1]stages!$2:$2,0)+1),MATCH(F$1,[1]stages!$2:$2,0)-MATCH("temp_stage",[1]stages!$2:$2,0)+1,FALSE)</f>
        <v xml:space="preserve">【中級】水のウサギ </v>
      </c>
      <c r="G267" s="3" t="str">
        <f ca="1">VLOOKUP($B267&amp;"_"&amp;$E267,OFFSET([1]stages!$A$1,0,0,COUNTA([1]stages!$A:$A),MATCH(G$1,[1]stages!$2:$2,0)-MATCH("temp_stage",[1]stages!$2:$2,0)+1),MATCH(G$1,[1]stages!$2:$2,0)-MATCH("temp_stage",[1]stages!$2:$2,0)+1,FALSE)</f>
        <v>水曜クエスト</v>
      </c>
      <c r="H267" s="18">
        <v>0</v>
      </c>
      <c r="I267">
        <v>22</v>
      </c>
      <c r="J267" s="5" t="s">
        <v>16</v>
      </c>
      <c r="K267" s="35" t="str">
        <f>VLOOKUP(I267,[2]stage_hints!$A:$C,3,FALSE)</f>
        <v>フィーバーで一発逆転（その1）</v>
      </c>
      <c r="L267" s="36" t="str">
        <f>VLOOKUP(I267,[2]stage_hints!$A:$D,4,FALSE)</f>
        <v>フィーバーは攻撃と回復を兼ね備えます_x000D_ピンチからの一発逆転を狙いましょう</v>
      </c>
      <c r="M267" s="21" t="s">
        <v>23</v>
      </c>
      <c r="N267">
        <v>22</v>
      </c>
    </row>
    <row r="268" spans="1:14" x14ac:dyDescent="0.15">
      <c r="A268" s="26" t="s">
        <v>32</v>
      </c>
      <c r="B268" s="4">
        <v>11103</v>
      </c>
      <c r="C268" s="3" t="str">
        <f ca="1">VLOOKUP($B268,OFFSET([1]quests!$A$1,0,0,COUNTA([1]quests!$A:$A),MATCH(C$1,[1]quests!$1:$1,0)-MATCH($B$1,[1]quests!$1:$1,0)+1),MATCH(C$1,[1]quests!$1:$1,0)-MATCH($B$1,[1]quests!$1:$1,0)+1,FALSE)</f>
        <v>【期間限定】 青の素材</v>
      </c>
      <c r="D268" s="3" t="str">
        <f ca="1">VLOOKUP($B268,OFFSET([1]quests!$A$1,0,0,COUNTA([1]quests!$A:$A),MATCH(D$1,[1]quests!$1:$1,0)-MATCH($B$1,[1]quests!$1:$1,0)+1),MATCH(D$1,[1]quests!$1:$1,0)-MATCH($B$1,[1]quests!$1:$1,0)+1,FALSE)</f>
        <v>水曜クエスト</v>
      </c>
      <c r="E268" s="5">
        <v>2</v>
      </c>
      <c r="F268" s="3" t="str">
        <f ca="1">VLOOKUP($B268&amp;"_"&amp;$E268,OFFSET([1]stages!$A$1,0,0,COUNTA([1]stages!$A:$A),MATCH(F$1,[1]stages!$2:$2,0)-MATCH("temp_stage",[1]stages!$2:$2,0)+1),MATCH(F$1,[1]stages!$2:$2,0)-MATCH("temp_stage",[1]stages!$2:$2,0)+1,FALSE)</f>
        <v xml:space="preserve">【中級】水のウサギ </v>
      </c>
      <c r="G268" s="3" t="str">
        <f ca="1">VLOOKUP($B268&amp;"_"&amp;$E268,OFFSET([1]stages!$A$1,0,0,COUNTA([1]stages!$A:$A),MATCH(G$1,[1]stages!$2:$2,0)-MATCH("temp_stage",[1]stages!$2:$2,0)+1),MATCH(G$1,[1]stages!$2:$2,0)-MATCH("temp_stage",[1]stages!$2:$2,0)+1,FALSE)</f>
        <v>水曜クエスト</v>
      </c>
      <c r="H268" s="18">
        <v>0</v>
      </c>
      <c r="I268">
        <v>23</v>
      </c>
      <c r="J268" s="5" t="s">
        <v>16</v>
      </c>
      <c r="K268" s="35" t="str">
        <f>VLOOKUP(I268,[2]stage_hints!$A:$C,3,FALSE)</f>
        <v>フィーバーで一発逆転（その2）</v>
      </c>
      <c r="L268" s="36" t="str">
        <f>VLOOKUP(I268,[2]stage_hints!$A:$D,4,FALSE)</f>
        <v>フィーバー中は虹色のボムパネルを狙って_x000D_画面上のパネルを一気に破壊しましょう</v>
      </c>
      <c r="M268" s="21" t="s">
        <v>23</v>
      </c>
      <c r="N268">
        <v>23</v>
      </c>
    </row>
    <row r="269" spans="1:14" x14ac:dyDescent="0.15">
      <c r="A269" s="26" t="s">
        <v>32</v>
      </c>
      <c r="B269" s="4">
        <v>11103</v>
      </c>
      <c r="C269" s="3" t="str">
        <f ca="1">VLOOKUP($B269,OFFSET([1]quests!$A$1,0,0,COUNTA([1]quests!$A:$A),MATCH(C$1,[1]quests!$1:$1,0)-MATCH($B$1,[1]quests!$1:$1,0)+1),MATCH(C$1,[1]quests!$1:$1,0)-MATCH($B$1,[1]quests!$1:$1,0)+1,FALSE)</f>
        <v>【期間限定】 青の素材</v>
      </c>
      <c r="D269" s="3" t="str">
        <f ca="1">VLOOKUP($B269,OFFSET([1]quests!$A$1,0,0,COUNTA([1]quests!$A:$A),MATCH(D$1,[1]quests!$1:$1,0)-MATCH($B$1,[1]quests!$1:$1,0)+1),MATCH(D$1,[1]quests!$1:$1,0)-MATCH($B$1,[1]quests!$1:$1,0)+1,FALSE)</f>
        <v>水曜クエスト</v>
      </c>
      <c r="E269" s="5">
        <v>2</v>
      </c>
      <c r="F269" s="3" t="str">
        <f ca="1">VLOOKUP($B269&amp;"_"&amp;$E269,OFFSET([1]stages!$A$1,0,0,COUNTA([1]stages!$A:$A),MATCH(F$1,[1]stages!$2:$2,0)-MATCH("temp_stage",[1]stages!$2:$2,0)+1),MATCH(F$1,[1]stages!$2:$2,0)-MATCH("temp_stage",[1]stages!$2:$2,0)+1,FALSE)</f>
        <v xml:space="preserve">【中級】水のウサギ </v>
      </c>
      <c r="G269" s="3" t="str">
        <f ca="1">VLOOKUP($B269&amp;"_"&amp;$E269,OFFSET([1]stages!$A$1,0,0,COUNTA([1]stages!$A:$A),MATCH(G$1,[1]stages!$2:$2,0)-MATCH("temp_stage",[1]stages!$2:$2,0)+1),MATCH(G$1,[1]stages!$2:$2,0)-MATCH("temp_stage",[1]stages!$2:$2,0)+1,FALSE)</f>
        <v>水曜クエスト</v>
      </c>
      <c r="H269" s="18">
        <v>0</v>
      </c>
      <c r="I269">
        <v>24</v>
      </c>
      <c r="J269" s="5" t="s">
        <v>16</v>
      </c>
      <c r="K269" s="35" t="str">
        <f>VLOOKUP(I269,[2]stage_hints!$A:$C,3,FALSE)</f>
        <v>りんごを使って限界突破</v>
      </c>
      <c r="L269" s="36" t="str">
        <f>VLOOKUP(I269,[2]stage_hints!$A:$D,4,FALSE)</f>
        <v>赤りんご(攻撃力) 青りんご(回復力)_x000D_緑りんご(体力)をユニット強化に使うと_x000D_ステータスが限界突破します（計99個迄）</v>
      </c>
      <c r="M269" s="21" t="s">
        <v>23</v>
      </c>
      <c r="N269">
        <v>24</v>
      </c>
    </row>
    <row r="270" spans="1:14" x14ac:dyDescent="0.15">
      <c r="A270" s="26" t="s">
        <v>32</v>
      </c>
      <c r="B270" s="4">
        <v>11103</v>
      </c>
      <c r="C270" s="3" t="str">
        <f ca="1">VLOOKUP($B270,OFFSET([1]quests!$A$1,0,0,COUNTA([1]quests!$A:$A),MATCH(C$1,[1]quests!$1:$1,0)-MATCH($B$1,[1]quests!$1:$1,0)+1),MATCH(C$1,[1]quests!$1:$1,0)-MATCH($B$1,[1]quests!$1:$1,0)+1,FALSE)</f>
        <v>【期間限定】 青の素材</v>
      </c>
      <c r="D270" s="3" t="str">
        <f ca="1">VLOOKUP($B270,OFFSET([1]quests!$A$1,0,0,COUNTA([1]quests!$A:$A),MATCH(D$1,[1]quests!$1:$1,0)-MATCH($B$1,[1]quests!$1:$1,0)+1),MATCH(D$1,[1]quests!$1:$1,0)-MATCH($B$1,[1]quests!$1:$1,0)+1,FALSE)</f>
        <v>水曜クエスト</v>
      </c>
      <c r="E270" s="5">
        <v>2</v>
      </c>
      <c r="F270" s="3" t="str">
        <f ca="1">VLOOKUP($B270&amp;"_"&amp;$E270,OFFSET([1]stages!$A$1,0,0,COUNTA([1]stages!$A:$A),MATCH(F$1,[1]stages!$2:$2,0)-MATCH("temp_stage",[1]stages!$2:$2,0)+1),MATCH(F$1,[1]stages!$2:$2,0)-MATCH("temp_stage",[1]stages!$2:$2,0)+1,FALSE)</f>
        <v xml:space="preserve">【中級】水のウサギ </v>
      </c>
      <c r="G270" s="3" t="str">
        <f ca="1">VLOOKUP($B270&amp;"_"&amp;$E270,OFFSET([1]stages!$A$1,0,0,COUNTA([1]stages!$A:$A),MATCH(G$1,[1]stages!$2:$2,0)-MATCH("temp_stage",[1]stages!$2:$2,0)+1),MATCH(G$1,[1]stages!$2:$2,0)-MATCH("temp_stage",[1]stages!$2:$2,0)+1,FALSE)</f>
        <v>水曜クエスト</v>
      </c>
      <c r="H270" s="18">
        <v>0</v>
      </c>
      <c r="I270">
        <v>25</v>
      </c>
      <c r="J270" s="5" t="s">
        <v>16</v>
      </c>
      <c r="K270" s="35" t="str">
        <f>VLOOKUP(I270,[2]stage_hints!$A:$C,3,FALSE)</f>
        <v>スキルレベルアップ</v>
      </c>
      <c r="L270" s="36" t="str">
        <f>VLOOKUP(I270,[2]stage_hints!$A:$D,4,FALSE)</f>
        <v>「クリスタルのりんご」を強化に使うと_x000D_スキルレベルを上げることができます</v>
      </c>
      <c r="M270" s="21" t="s">
        <v>23</v>
      </c>
      <c r="N270">
        <v>25</v>
      </c>
    </row>
    <row r="271" spans="1:14" x14ac:dyDescent="0.15">
      <c r="A271" s="26" t="s">
        <v>32</v>
      </c>
      <c r="B271" s="4">
        <v>11103</v>
      </c>
      <c r="C271" s="3" t="str">
        <f ca="1">VLOOKUP($B271,OFFSET([1]quests!$A$1,0,0,COUNTA([1]quests!$A:$A),MATCH(C$1,[1]quests!$1:$1,0)-MATCH($B$1,[1]quests!$1:$1,0)+1),MATCH(C$1,[1]quests!$1:$1,0)-MATCH($B$1,[1]quests!$1:$1,0)+1,FALSE)</f>
        <v>【期間限定】 青の素材</v>
      </c>
      <c r="D271" s="3" t="str">
        <f ca="1">VLOOKUP($B271,OFFSET([1]quests!$A$1,0,0,COUNTA([1]quests!$A:$A),MATCH(D$1,[1]quests!$1:$1,0)-MATCH($B$1,[1]quests!$1:$1,0)+1),MATCH(D$1,[1]quests!$1:$1,0)-MATCH($B$1,[1]quests!$1:$1,0)+1,FALSE)</f>
        <v>水曜クエスト</v>
      </c>
      <c r="E271" s="5">
        <v>2</v>
      </c>
      <c r="F271" s="3" t="str">
        <f ca="1">VLOOKUP($B271&amp;"_"&amp;$E271,OFFSET([1]stages!$A$1,0,0,COUNTA([1]stages!$A:$A),MATCH(F$1,[1]stages!$2:$2,0)-MATCH("temp_stage",[1]stages!$2:$2,0)+1),MATCH(F$1,[1]stages!$2:$2,0)-MATCH("temp_stage",[1]stages!$2:$2,0)+1,FALSE)</f>
        <v xml:space="preserve">【中級】水のウサギ </v>
      </c>
      <c r="G271" s="3" t="str">
        <f ca="1">VLOOKUP($B271&amp;"_"&amp;$E271,OFFSET([1]stages!$A$1,0,0,COUNTA([1]stages!$A:$A),MATCH(G$1,[1]stages!$2:$2,0)-MATCH("temp_stage",[1]stages!$2:$2,0)+1),MATCH(G$1,[1]stages!$2:$2,0)-MATCH("temp_stage",[1]stages!$2:$2,0)+1,FALSE)</f>
        <v>水曜クエスト</v>
      </c>
      <c r="H271" s="18">
        <v>0</v>
      </c>
      <c r="I271">
        <v>26</v>
      </c>
      <c r="J271" s="5" t="s">
        <v>16</v>
      </c>
      <c r="K271" s="35" t="str">
        <f>VLOOKUP(I271,[2]stage_hints!$A:$C,3,FALSE)</f>
        <v>スキルレベルの効果</v>
      </c>
      <c r="L271" s="36" t="str">
        <f>VLOOKUP(I271,[2]stage_hints!$A:$D,4,FALSE)</f>
        <v>スキルレベルが上がると_x000D_短いターンでスキルを使うことができます</v>
      </c>
      <c r="M271" s="21" t="s">
        <v>23</v>
      </c>
      <c r="N271">
        <v>26</v>
      </c>
    </row>
    <row r="272" spans="1:14" x14ac:dyDescent="0.15">
      <c r="A272" s="26" t="s">
        <v>32</v>
      </c>
      <c r="B272" s="4">
        <v>11103</v>
      </c>
      <c r="C272" s="3" t="str">
        <f ca="1">VLOOKUP($B272,OFFSET([1]quests!$A$1,0,0,COUNTA([1]quests!$A:$A),MATCH(C$1,[1]quests!$1:$1,0)-MATCH($B$1,[1]quests!$1:$1,0)+1),MATCH(C$1,[1]quests!$1:$1,0)-MATCH($B$1,[1]quests!$1:$1,0)+1,FALSE)</f>
        <v>【期間限定】 青の素材</v>
      </c>
      <c r="D272" s="3" t="str">
        <f ca="1">VLOOKUP($B272,OFFSET([1]quests!$A$1,0,0,COUNTA([1]quests!$A:$A),MATCH(D$1,[1]quests!$1:$1,0)-MATCH($B$1,[1]quests!$1:$1,0)+1),MATCH(D$1,[1]quests!$1:$1,0)-MATCH($B$1,[1]quests!$1:$1,0)+1,FALSE)</f>
        <v>水曜クエスト</v>
      </c>
      <c r="E272" s="5">
        <v>2</v>
      </c>
      <c r="F272" s="3" t="str">
        <f ca="1">VLOOKUP($B272&amp;"_"&amp;$E272,OFFSET([1]stages!$A$1,0,0,COUNTA([1]stages!$A:$A),MATCH(F$1,[1]stages!$2:$2,0)-MATCH("temp_stage",[1]stages!$2:$2,0)+1),MATCH(F$1,[1]stages!$2:$2,0)-MATCH("temp_stage",[1]stages!$2:$2,0)+1,FALSE)</f>
        <v xml:space="preserve">【中級】水のウサギ </v>
      </c>
      <c r="G272" s="3" t="str">
        <f ca="1">VLOOKUP($B272&amp;"_"&amp;$E272,OFFSET([1]stages!$A$1,0,0,COUNTA([1]stages!$A:$A),MATCH(G$1,[1]stages!$2:$2,0)-MATCH("temp_stage",[1]stages!$2:$2,0)+1),MATCH(G$1,[1]stages!$2:$2,0)-MATCH("temp_stage",[1]stages!$2:$2,0)+1,FALSE)</f>
        <v>水曜クエスト</v>
      </c>
      <c r="H272" s="18">
        <v>0</v>
      </c>
      <c r="I272">
        <v>27</v>
      </c>
      <c r="J272" s="5" t="s">
        <v>16</v>
      </c>
      <c r="K272" s="35" t="str">
        <f>VLOOKUP(I272,[2]stage_hints!$A:$C,3,FALSE)</f>
        <v>ホーム画面からデッキを編成</v>
      </c>
      <c r="L272" s="36" t="str">
        <f>VLOOKUP(I272,[2]stage_hints!$A:$D,4,FALSE)</f>
        <v>ホーム画面でユニットを長押しすると_x000D_すぐにパーティ編成に移動できます</v>
      </c>
      <c r="M272" s="21" t="s">
        <v>23</v>
      </c>
      <c r="N272">
        <v>27</v>
      </c>
    </row>
    <row r="273" spans="1:14" x14ac:dyDescent="0.15">
      <c r="A273" s="26" t="s">
        <v>32</v>
      </c>
      <c r="B273" s="4">
        <v>11103</v>
      </c>
      <c r="C273" s="3" t="str">
        <f ca="1">VLOOKUP($B273,OFFSET([1]quests!$A$1,0,0,COUNTA([1]quests!$A:$A),MATCH(C$1,[1]quests!$1:$1,0)-MATCH($B$1,[1]quests!$1:$1,0)+1),MATCH(C$1,[1]quests!$1:$1,0)-MATCH($B$1,[1]quests!$1:$1,0)+1,FALSE)</f>
        <v>【期間限定】 青の素材</v>
      </c>
      <c r="D273" s="3" t="str">
        <f ca="1">VLOOKUP($B273,OFFSET([1]quests!$A$1,0,0,COUNTA([1]quests!$A:$A),MATCH(D$1,[1]quests!$1:$1,0)-MATCH($B$1,[1]quests!$1:$1,0)+1),MATCH(D$1,[1]quests!$1:$1,0)-MATCH($B$1,[1]quests!$1:$1,0)+1,FALSE)</f>
        <v>水曜クエスト</v>
      </c>
      <c r="E273" s="5">
        <v>2</v>
      </c>
      <c r="F273" s="3" t="str">
        <f ca="1">VLOOKUP($B273&amp;"_"&amp;$E273,OFFSET([1]stages!$A$1,0,0,COUNTA([1]stages!$A:$A),MATCH(F$1,[1]stages!$2:$2,0)-MATCH("temp_stage",[1]stages!$2:$2,0)+1),MATCH(F$1,[1]stages!$2:$2,0)-MATCH("temp_stage",[1]stages!$2:$2,0)+1,FALSE)</f>
        <v xml:space="preserve">【中級】水のウサギ </v>
      </c>
      <c r="G273" s="3" t="str">
        <f ca="1">VLOOKUP($B273&amp;"_"&amp;$E273,OFFSET([1]stages!$A$1,0,0,COUNTA([1]stages!$A:$A),MATCH(G$1,[1]stages!$2:$2,0)-MATCH("temp_stage",[1]stages!$2:$2,0)+1),MATCH(G$1,[1]stages!$2:$2,0)-MATCH("temp_stage",[1]stages!$2:$2,0)+1,FALSE)</f>
        <v>水曜クエスト</v>
      </c>
      <c r="H273" s="18">
        <v>0</v>
      </c>
      <c r="I273">
        <v>28</v>
      </c>
      <c r="J273" s="5" t="s">
        <v>16</v>
      </c>
      <c r="K273" s="35" t="str">
        <f>VLOOKUP(I273,[2]stage_hints!$A:$C,3,FALSE)</f>
        <v>ステータス情報は長押しで</v>
      </c>
      <c r="L273" s="36" t="str">
        <f>VLOOKUP(I273,[2]stage_hints!$A:$D,4,FALSE)</f>
        <v>ユニットのアイコンを長押しすると_x000D_ステータス情報を確認することができます</v>
      </c>
      <c r="M273" s="21" t="s">
        <v>23</v>
      </c>
      <c r="N273">
        <v>28</v>
      </c>
    </row>
    <row r="274" spans="1:14" x14ac:dyDescent="0.15">
      <c r="A274" s="26" t="s">
        <v>32</v>
      </c>
      <c r="B274" s="4">
        <v>11103</v>
      </c>
      <c r="C274" s="3" t="str">
        <f ca="1">VLOOKUP($B274,OFFSET([1]quests!$A$1,0,0,COUNTA([1]quests!$A:$A),MATCH(C$1,[1]quests!$1:$1,0)-MATCH($B$1,[1]quests!$1:$1,0)+1),MATCH(C$1,[1]quests!$1:$1,0)-MATCH($B$1,[1]quests!$1:$1,0)+1,FALSE)</f>
        <v>【期間限定】 青の素材</v>
      </c>
      <c r="D274" s="3" t="str">
        <f ca="1">VLOOKUP($B274,OFFSET([1]quests!$A$1,0,0,COUNTA([1]quests!$A:$A),MATCH(D$1,[1]quests!$1:$1,0)-MATCH($B$1,[1]quests!$1:$1,0)+1),MATCH(D$1,[1]quests!$1:$1,0)-MATCH($B$1,[1]quests!$1:$1,0)+1,FALSE)</f>
        <v>水曜クエスト</v>
      </c>
      <c r="E274" s="5">
        <v>2</v>
      </c>
      <c r="F274" s="3" t="str">
        <f ca="1">VLOOKUP($B274&amp;"_"&amp;$E274,OFFSET([1]stages!$A$1,0,0,COUNTA([1]stages!$A:$A),MATCH(F$1,[1]stages!$2:$2,0)-MATCH("temp_stage",[1]stages!$2:$2,0)+1),MATCH(F$1,[1]stages!$2:$2,0)-MATCH("temp_stage",[1]stages!$2:$2,0)+1,FALSE)</f>
        <v xml:space="preserve">【中級】水のウサギ </v>
      </c>
      <c r="G274" s="3" t="str">
        <f ca="1">VLOOKUP($B274&amp;"_"&amp;$E274,OFFSET([1]stages!$A$1,0,0,COUNTA([1]stages!$A:$A),MATCH(G$1,[1]stages!$2:$2,0)-MATCH("temp_stage",[1]stages!$2:$2,0)+1),MATCH(G$1,[1]stages!$2:$2,0)-MATCH("temp_stage",[1]stages!$2:$2,0)+1,FALSE)</f>
        <v>水曜クエスト</v>
      </c>
      <c r="H274" s="18">
        <v>0</v>
      </c>
      <c r="I274">
        <v>29</v>
      </c>
      <c r="J274" s="5" t="s">
        <v>16</v>
      </c>
      <c r="K274" s="35" t="str">
        <f>VLOOKUP(I274,[2]stage_hints!$A:$C,3,FALSE)</f>
        <v>「バグ」のメリット</v>
      </c>
      <c r="L274" s="36" t="str">
        <f>VLOOKUP(I274,[2]stage_hints!$A:$D,4,FALSE)</f>
        <v>ユニットの「バグ」を増やすと_x000D_報酬をもらえる確率がアップします</v>
      </c>
      <c r="M274" s="21" t="s">
        <v>23</v>
      </c>
      <c r="N274">
        <v>29</v>
      </c>
    </row>
    <row r="275" spans="1:14" x14ac:dyDescent="0.15">
      <c r="A275" s="26" t="s">
        <v>32</v>
      </c>
      <c r="B275" s="4">
        <v>11103</v>
      </c>
      <c r="C275" s="3" t="str">
        <f ca="1">VLOOKUP($B275,OFFSET([1]quests!$A$1,0,0,COUNTA([1]quests!$A:$A),MATCH(C$1,[1]quests!$1:$1,0)-MATCH($B$1,[1]quests!$1:$1,0)+1),MATCH(C$1,[1]quests!$1:$1,0)-MATCH($B$1,[1]quests!$1:$1,0)+1,FALSE)</f>
        <v>【期間限定】 青の素材</v>
      </c>
      <c r="D275" s="3" t="str">
        <f ca="1">VLOOKUP($B275,OFFSET([1]quests!$A$1,0,0,COUNTA([1]quests!$A:$A),MATCH(D$1,[1]quests!$1:$1,0)-MATCH($B$1,[1]quests!$1:$1,0)+1),MATCH(D$1,[1]quests!$1:$1,0)-MATCH($B$1,[1]quests!$1:$1,0)+1,FALSE)</f>
        <v>水曜クエスト</v>
      </c>
      <c r="E275" s="5">
        <v>2</v>
      </c>
      <c r="F275" s="3" t="str">
        <f ca="1">VLOOKUP($B275&amp;"_"&amp;$E275,OFFSET([1]stages!$A$1,0,0,COUNTA([1]stages!$A:$A),MATCH(F$1,[1]stages!$2:$2,0)-MATCH("temp_stage",[1]stages!$2:$2,0)+1),MATCH(F$1,[1]stages!$2:$2,0)-MATCH("temp_stage",[1]stages!$2:$2,0)+1,FALSE)</f>
        <v xml:space="preserve">【中級】水のウサギ </v>
      </c>
      <c r="G275" s="3" t="str">
        <f ca="1">VLOOKUP($B275&amp;"_"&amp;$E275,OFFSET([1]stages!$A$1,0,0,COUNTA([1]stages!$A:$A),MATCH(G$1,[1]stages!$2:$2,0)-MATCH("temp_stage",[1]stages!$2:$2,0)+1),MATCH(G$1,[1]stages!$2:$2,0)-MATCH("temp_stage",[1]stages!$2:$2,0)+1,FALSE)</f>
        <v>水曜クエスト</v>
      </c>
      <c r="H275" s="18">
        <v>0</v>
      </c>
      <c r="I275">
        <v>30</v>
      </c>
      <c r="J275" s="5" t="s">
        <v>16</v>
      </c>
      <c r="K275" s="35" t="str">
        <f>VLOOKUP(I275,[2]stage_hints!$A:$C,3,FALSE)</f>
        <v>「バグ」の増やし方</v>
      </c>
      <c r="L275" s="36" t="str">
        <f>VLOOKUP(I275,[2]stage_hints!$A:$D,4,FALSE)</f>
        <v>同じユニット同士を強化で合成すると_x000D_「バグ」を増やすことができます</v>
      </c>
      <c r="M275" s="21" t="s">
        <v>23</v>
      </c>
      <c r="N275">
        <v>30</v>
      </c>
    </row>
    <row r="276" spans="1:14" x14ac:dyDescent="0.15">
      <c r="A276" s="26" t="s">
        <v>32</v>
      </c>
      <c r="B276" s="4">
        <v>11103</v>
      </c>
      <c r="C276" s="3" t="str">
        <f ca="1">VLOOKUP($B276,OFFSET([1]quests!$A$1,0,0,COUNTA([1]quests!$A:$A),MATCH(C$1,[1]quests!$1:$1,0)-MATCH($B$1,[1]quests!$1:$1,0)+1),MATCH(C$1,[1]quests!$1:$1,0)-MATCH($B$1,[1]quests!$1:$1,0)+1,FALSE)</f>
        <v>【期間限定】 青の素材</v>
      </c>
      <c r="D276" s="3" t="str">
        <f ca="1">VLOOKUP($B276,OFFSET([1]quests!$A$1,0,0,COUNTA([1]quests!$A:$A),MATCH(D$1,[1]quests!$1:$1,0)-MATCH($B$1,[1]quests!$1:$1,0)+1),MATCH(D$1,[1]quests!$1:$1,0)-MATCH($B$1,[1]quests!$1:$1,0)+1,FALSE)</f>
        <v>水曜クエスト</v>
      </c>
      <c r="E276" s="5">
        <v>2</v>
      </c>
      <c r="F276" s="3" t="str">
        <f ca="1">VLOOKUP($B276&amp;"_"&amp;$E276,OFFSET([1]stages!$A$1,0,0,COUNTA([1]stages!$A:$A),MATCH(F$1,[1]stages!$2:$2,0)-MATCH("temp_stage",[1]stages!$2:$2,0)+1),MATCH(F$1,[1]stages!$2:$2,0)-MATCH("temp_stage",[1]stages!$2:$2,0)+1,FALSE)</f>
        <v xml:space="preserve">【中級】水のウサギ </v>
      </c>
      <c r="G276" s="3" t="str">
        <f ca="1">VLOOKUP($B276&amp;"_"&amp;$E276,OFFSET([1]stages!$A$1,0,0,COUNTA([1]stages!$A:$A),MATCH(G$1,[1]stages!$2:$2,0)-MATCH("temp_stage",[1]stages!$2:$2,0)+1),MATCH(G$1,[1]stages!$2:$2,0)-MATCH("temp_stage",[1]stages!$2:$2,0)+1,FALSE)</f>
        <v>水曜クエスト</v>
      </c>
      <c r="H276" s="18">
        <v>0</v>
      </c>
      <c r="I276">
        <v>31</v>
      </c>
      <c r="J276" s="5" t="s">
        <v>16</v>
      </c>
      <c r="K276" s="35" t="str">
        <f>VLOOKUP(I276,[2]stage_hints!$A:$C,3,FALSE)</f>
        <v>イベントはお知らせでチェック</v>
      </c>
      <c r="L276" s="36" t="str">
        <f>VLOOKUP(I276,[2]stage_hints!$A:$D,4,FALSE)</f>
        <v>イベント限定ユニットを取り忘れないように_x000D_お知らせをこまめにチェックしましょう</v>
      </c>
      <c r="M276" s="21" t="s">
        <v>23</v>
      </c>
      <c r="N276">
        <v>31</v>
      </c>
    </row>
    <row r="277" spans="1:14" x14ac:dyDescent="0.15">
      <c r="A277" s="26" t="s">
        <v>32</v>
      </c>
      <c r="B277" s="4">
        <v>11103</v>
      </c>
      <c r="C277" s="3" t="str">
        <f ca="1">VLOOKUP($B277,OFFSET([1]quests!$A$1,0,0,COUNTA([1]quests!$A:$A),MATCH(C$1,[1]quests!$1:$1,0)-MATCH($B$1,[1]quests!$1:$1,0)+1),MATCH(C$1,[1]quests!$1:$1,0)-MATCH($B$1,[1]quests!$1:$1,0)+1,FALSE)</f>
        <v>【期間限定】 青の素材</v>
      </c>
      <c r="D277" s="3" t="str">
        <f ca="1">VLOOKUP($B277,OFFSET([1]quests!$A$1,0,0,COUNTA([1]quests!$A:$A),MATCH(D$1,[1]quests!$1:$1,0)-MATCH($B$1,[1]quests!$1:$1,0)+1),MATCH(D$1,[1]quests!$1:$1,0)-MATCH($B$1,[1]quests!$1:$1,0)+1,FALSE)</f>
        <v>水曜クエスト</v>
      </c>
      <c r="E277" s="5">
        <v>2</v>
      </c>
      <c r="F277" s="3" t="str">
        <f ca="1">VLOOKUP($B277&amp;"_"&amp;$E277,OFFSET([1]stages!$A$1,0,0,COUNTA([1]stages!$A:$A),MATCH(F$1,[1]stages!$2:$2,0)-MATCH("temp_stage",[1]stages!$2:$2,0)+1),MATCH(F$1,[1]stages!$2:$2,0)-MATCH("temp_stage",[1]stages!$2:$2,0)+1,FALSE)</f>
        <v xml:space="preserve">【中級】水のウサギ </v>
      </c>
      <c r="G277" s="3" t="str">
        <f ca="1">VLOOKUP($B277&amp;"_"&amp;$E277,OFFSET([1]stages!$A$1,0,0,COUNTA([1]stages!$A:$A),MATCH(G$1,[1]stages!$2:$2,0)-MATCH("temp_stage",[1]stages!$2:$2,0)+1),MATCH(G$1,[1]stages!$2:$2,0)-MATCH("temp_stage",[1]stages!$2:$2,0)+1,FALSE)</f>
        <v>水曜クエスト</v>
      </c>
      <c r="H277" s="18">
        <v>0</v>
      </c>
      <c r="I277">
        <v>32</v>
      </c>
      <c r="J277" s="5" t="s">
        <v>16</v>
      </c>
      <c r="K277" s="35" t="str">
        <f>VLOOKUP(I277,[2]stage_hints!$A:$C,3,FALSE)</f>
        <v>敵の連続攻撃には</v>
      </c>
      <c r="L277" s="36" t="str">
        <f>VLOOKUP(I277,[2]stage_hints!$A:$D,4,FALSE)</f>
        <v>カウンタースキルを持つユニットがいれば_x000D_ダメージ回数分の反撃ができます</v>
      </c>
      <c r="M277" s="21" t="s">
        <v>23</v>
      </c>
      <c r="N277">
        <v>32</v>
      </c>
    </row>
    <row r="278" spans="1:14" x14ac:dyDescent="0.15">
      <c r="A278" s="26" t="s">
        <v>32</v>
      </c>
      <c r="B278" s="4">
        <v>11103</v>
      </c>
      <c r="C278" s="3" t="str">
        <f ca="1">VLOOKUP($B278,OFFSET([1]quests!$A$1,0,0,COUNTA([1]quests!$A:$A),MATCH(C$1,[1]quests!$1:$1,0)-MATCH($B$1,[1]quests!$1:$1,0)+1),MATCH(C$1,[1]quests!$1:$1,0)-MATCH($B$1,[1]quests!$1:$1,0)+1,FALSE)</f>
        <v>【期間限定】 青の素材</v>
      </c>
      <c r="D278" s="3" t="str">
        <f ca="1">VLOOKUP($B278,OFFSET([1]quests!$A$1,0,0,COUNTA([1]quests!$A:$A),MATCH(D$1,[1]quests!$1:$1,0)-MATCH($B$1,[1]quests!$1:$1,0)+1),MATCH(D$1,[1]quests!$1:$1,0)-MATCH($B$1,[1]quests!$1:$1,0)+1,FALSE)</f>
        <v>水曜クエスト</v>
      </c>
      <c r="E278" s="5">
        <v>2</v>
      </c>
      <c r="F278" s="3" t="str">
        <f ca="1">VLOOKUP($B278&amp;"_"&amp;$E278,OFFSET([1]stages!$A$1,0,0,COUNTA([1]stages!$A:$A),MATCH(F$1,[1]stages!$2:$2,0)-MATCH("temp_stage",[1]stages!$2:$2,0)+1),MATCH(F$1,[1]stages!$2:$2,0)-MATCH("temp_stage",[1]stages!$2:$2,0)+1,FALSE)</f>
        <v xml:space="preserve">【中級】水のウサギ </v>
      </c>
      <c r="G278" s="3" t="str">
        <f ca="1">VLOOKUP($B278&amp;"_"&amp;$E278,OFFSET([1]stages!$A$1,0,0,COUNTA([1]stages!$A:$A),MATCH(G$1,[1]stages!$2:$2,0)-MATCH("temp_stage",[1]stages!$2:$2,0)+1),MATCH(G$1,[1]stages!$2:$2,0)-MATCH("temp_stage",[1]stages!$2:$2,0)+1,FALSE)</f>
        <v>水曜クエスト</v>
      </c>
      <c r="H278" s="18">
        <v>0</v>
      </c>
      <c r="I278">
        <v>33</v>
      </c>
      <c r="J278" s="5" t="s">
        <v>16</v>
      </c>
      <c r="K278" s="35" t="str">
        <f>VLOOKUP(I278,[2]stage_hints!$A:$C,3,FALSE)</f>
        <v>敵のカウンター攻撃には</v>
      </c>
      <c r="L278" s="36" t="str">
        <f>VLOOKUP(I278,[2]stage_hints!$A:$D,4,FALSE)</f>
        <v>カウンターブレイクスキルを持っていれば_x000D_敵のカウンターを解除して攻撃ができます</v>
      </c>
      <c r="M278" s="21" t="s">
        <v>23</v>
      </c>
      <c r="N278">
        <v>33</v>
      </c>
    </row>
    <row r="279" spans="1:14" x14ac:dyDescent="0.15">
      <c r="A279" s="26" t="s">
        <v>32</v>
      </c>
      <c r="B279" s="4">
        <v>11103</v>
      </c>
      <c r="C279" s="3" t="str">
        <f ca="1">VLOOKUP($B279,OFFSET([1]quests!$A$1,0,0,COUNTA([1]quests!$A:$A),MATCH(C$1,[1]quests!$1:$1,0)-MATCH($B$1,[1]quests!$1:$1,0)+1),MATCH(C$1,[1]quests!$1:$1,0)-MATCH($B$1,[1]quests!$1:$1,0)+1,FALSE)</f>
        <v>【期間限定】 青の素材</v>
      </c>
      <c r="D279" s="3" t="str">
        <f ca="1">VLOOKUP($B279,OFFSET([1]quests!$A$1,0,0,COUNTA([1]quests!$A:$A),MATCH(D$1,[1]quests!$1:$1,0)-MATCH($B$1,[1]quests!$1:$1,0)+1),MATCH(D$1,[1]quests!$1:$1,0)-MATCH($B$1,[1]quests!$1:$1,0)+1,FALSE)</f>
        <v>水曜クエスト</v>
      </c>
      <c r="E279" s="5">
        <v>2</v>
      </c>
      <c r="F279" s="3" t="str">
        <f ca="1">VLOOKUP($B279&amp;"_"&amp;$E279,OFFSET([1]stages!$A$1,0,0,COUNTA([1]stages!$A:$A),MATCH(F$1,[1]stages!$2:$2,0)-MATCH("temp_stage",[1]stages!$2:$2,0)+1),MATCH(F$1,[1]stages!$2:$2,0)-MATCH("temp_stage",[1]stages!$2:$2,0)+1,FALSE)</f>
        <v xml:space="preserve">【中級】水のウサギ </v>
      </c>
      <c r="G279" s="3" t="str">
        <f ca="1">VLOOKUP($B279&amp;"_"&amp;$E279,OFFSET([1]stages!$A$1,0,0,COUNTA([1]stages!$A:$A),MATCH(G$1,[1]stages!$2:$2,0)-MATCH("temp_stage",[1]stages!$2:$2,0)+1),MATCH(G$1,[1]stages!$2:$2,0)-MATCH("temp_stage",[1]stages!$2:$2,0)+1,FALSE)</f>
        <v>水曜クエスト</v>
      </c>
      <c r="H279" s="18">
        <v>0</v>
      </c>
      <c r="I279">
        <v>34</v>
      </c>
      <c r="J279" s="5" t="s">
        <v>16</v>
      </c>
      <c r="K279" s="35" t="str">
        <f>VLOOKUP(I279,[2]stage_hints!$A:$C,3,FALSE)</f>
        <v>ステータスをスキルで下げられたら</v>
      </c>
      <c r="L279" s="36" t="str">
        <f>VLOOKUP(I279,[2]stage_hints!$A:$D,4,FALSE)</f>
        <v>ステータスダウンのスキルを受けたら_x000D_ステータスアップスキルで上書きしましょう</v>
      </c>
      <c r="M279" s="21" t="s">
        <v>23</v>
      </c>
      <c r="N279">
        <v>34</v>
      </c>
    </row>
    <row r="280" spans="1:14" x14ac:dyDescent="0.15">
      <c r="A280" s="26" t="s">
        <v>32</v>
      </c>
      <c r="B280" s="4">
        <v>11103</v>
      </c>
      <c r="C280" s="3" t="str">
        <f ca="1">VLOOKUP($B280,OFFSET([1]quests!$A$1,0,0,COUNTA([1]quests!$A:$A),MATCH(C$1,[1]quests!$1:$1,0)-MATCH($B$1,[1]quests!$1:$1,0)+1),MATCH(C$1,[1]quests!$1:$1,0)-MATCH($B$1,[1]quests!$1:$1,0)+1,FALSE)</f>
        <v>【期間限定】 青の素材</v>
      </c>
      <c r="D280" s="3" t="str">
        <f ca="1">VLOOKUP($B280,OFFSET([1]quests!$A$1,0,0,COUNTA([1]quests!$A:$A),MATCH(D$1,[1]quests!$1:$1,0)-MATCH($B$1,[1]quests!$1:$1,0)+1),MATCH(D$1,[1]quests!$1:$1,0)-MATCH($B$1,[1]quests!$1:$1,0)+1,FALSE)</f>
        <v>水曜クエスト</v>
      </c>
      <c r="E280" s="5">
        <v>2</v>
      </c>
      <c r="F280" s="3" t="str">
        <f ca="1">VLOOKUP($B280&amp;"_"&amp;$E280,OFFSET([1]stages!$A$1,0,0,COUNTA([1]stages!$A:$A),MATCH(F$1,[1]stages!$2:$2,0)-MATCH("temp_stage",[1]stages!$2:$2,0)+1),MATCH(F$1,[1]stages!$2:$2,0)-MATCH("temp_stage",[1]stages!$2:$2,0)+1,FALSE)</f>
        <v xml:space="preserve">【中級】水のウサギ </v>
      </c>
      <c r="G280" s="3" t="str">
        <f ca="1">VLOOKUP($B280&amp;"_"&amp;$E280,OFFSET([1]stages!$A$1,0,0,COUNTA([1]stages!$A:$A),MATCH(G$1,[1]stages!$2:$2,0)-MATCH("temp_stage",[1]stages!$2:$2,0)+1),MATCH(G$1,[1]stages!$2:$2,0)-MATCH("temp_stage",[1]stages!$2:$2,0)+1,FALSE)</f>
        <v>水曜クエスト</v>
      </c>
      <c r="H280" s="18">
        <v>0</v>
      </c>
      <c r="I280">
        <v>35</v>
      </c>
      <c r="J280" s="5" t="s">
        <v>16</v>
      </c>
      <c r="K280" s="35" t="str">
        <f>VLOOKUP(I280,[2]stage_hints!$A:$C,3,FALSE)</f>
        <v>敵のステータスがスキルで上がったら</v>
      </c>
      <c r="L280" s="36" t="str">
        <f>VLOOKUP(I280,[2]stage_hints!$A:$D,4,FALSE)</f>
        <v>敵のステータスがスキルでアップしたときは_x000D_ステータスダウンスキルで上書きしましょう</v>
      </c>
      <c r="M280" s="21" t="s">
        <v>23</v>
      </c>
      <c r="N280">
        <v>35</v>
      </c>
    </row>
    <row r="281" spans="1:14" x14ac:dyDescent="0.15">
      <c r="A281" s="26" t="s">
        <v>32</v>
      </c>
      <c r="B281" s="4">
        <v>11104</v>
      </c>
      <c r="C281" s="3" t="str">
        <f ca="1">VLOOKUP($B281,OFFSET([1]quests!$A$1,0,0,COUNTA([1]quests!$A:$A),MATCH(C$1,[1]quests!$1:$1,0)-MATCH($B$1,[1]quests!$1:$1,0)+1),MATCH(C$1,[1]quests!$1:$1,0)-MATCH($B$1,[1]quests!$1:$1,0)+1,FALSE)</f>
        <v>【期間限定】 緑の素材</v>
      </c>
      <c r="D281" s="3" t="str">
        <f ca="1">VLOOKUP($B281,OFFSET([1]quests!$A$1,0,0,COUNTA([1]quests!$A:$A),MATCH(D$1,[1]quests!$1:$1,0)-MATCH($B$1,[1]quests!$1:$1,0)+1),MATCH(D$1,[1]quests!$1:$1,0)-MATCH($B$1,[1]quests!$1:$1,0)+1,FALSE)</f>
        <v>木曜クエスト</v>
      </c>
      <c r="E281" s="5">
        <v>2</v>
      </c>
      <c r="F281" s="3" t="str">
        <f ca="1">VLOOKUP($B281&amp;"_"&amp;$E281,OFFSET([1]stages!$A$1,0,0,COUNTA([1]stages!$A:$A),MATCH(F$1,[1]stages!$2:$2,0)-MATCH("temp_stage",[1]stages!$2:$2,0)+1),MATCH(F$1,[1]stages!$2:$2,0)-MATCH("temp_stage",[1]stages!$2:$2,0)+1,FALSE)</f>
        <v xml:space="preserve">【中級】樹のウサギ </v>
      </c>
      <c r="G281" s="3" t="str">
        <f ca="1">VLOOKUP($B281&amp;"_"&amp;$E281,OFFSET([1]stages!$A$1,0,0,COUNTA([1]stages!$A:$A),MATCH(G$1,[1]stages!$2:$2,0)-MATCH("temp_stage",[1]stages!$2:$2,0)+1),MATCH(G$1,[1]stages!$2:$2,0)-MATCH("temp_stage",[1]stages!$2:$2,0)+1,FALSE)</f>
        <v>木曜クエスト</v>
      </c>
      <c r="H281" s="18">
        <v>0</v>
      </c>
      <c r="I281">
        <v>3</v>
      </c>
      <c r="J281" s="5" t="s">
        <v>16</v>
      </c>
      <c r="K281" s="35" t="str">
        <f>VLOOKUP(I281,[2]stage_hints!$A:$C,3,FALSE)</f>
        <v>ターゲット</v>
      </c>
      <c r="L281" s="36" t="str">
        <f>VLOOKUP(I281,[2]stage_hints!$A:$D,4,FALSE)</f>
        <v>敵ユニットをタップすると_x000D_その敵を狙い撃ちできます</v>
      </c>
      <c r="M281" s="21" t="s">
        <v>23</v>
      </c>
      <c r="N281">
        <v>3</v>
      </c>
    </row>
    <row r="282" spans="1:14" x14ac:dyDescent="0.15">
      <c r="A282" s="26" t="s">
        <v>32</v>
      </c>
      <c r="B282" s="4">
        <v>11104</v>
      </c>
      <c r="C282" s="3" t="str">
        <f ca="1">VLOOKUP($B282,OFFSET([1]quests!$A$1,0,0,COUNTA([1]quests!$A:$A),MATCH(C$1,[1]quests!$1:$1,0)-MATCH($B$1,[1]quests!$1:$1,0)+1),MATCH(C$1,[1]quests!$1:$1,0)-MATCH($B$1,[1]quests!$1:$1,0)+1,FALSE)</f>
        <v>【期間限定】 緑の素材</v>
      </c>
      <c r="D282" s="3" t="str">
        <f ca="1">VLOOKUP($B282,OFFSET([1]quests!$A$1,0,0,COUNTA([1]quests!$A:$A),MATCH(D$1,[1]quests!$1:$1,0)-MATCH($B$1,[1]quests!$1:$1,0)+1),MATCH(D$1,[1]quests!$1:$1,0)-MATCH($B$1,[1]quests!$1:$1,0)+1,FALSE)</f>
        <v>木曜クエスト</v>
      </c>
      <c r="E282" s="5">
        <v>2</v>
      </c>
      <c r="F282" s="3" t="str">
        <f ca="1">VLOOKUP($B282&amp;"_"&amp;$E282,OFFSET([1]stages!$A$1,0,0,COUNTA([1]stages!$A:$A),MATCH(F$1,[1]stages!$2:$2,0)-MATCH("temp_stage",[1]stages!$2:$2,0)+1),MATCH(F$1,[1]stages!$2:$2,0)-MATCH("temp_stage",[1]stages!$2:$2,0)+1,FALSE)</f>
        <v xml:space="preserve">【中級】樹のウサギ </v>
      </c>
      <c r="G282" s="3" t="str">
        <f ca="1">VLOOKUP($B282&amp;"_"&amp;$E282,OFFSET([1]stages!$A$1,0,0,COUNTA([1]stages!$A:$A),MATCH(G$1,[1]stages!$2:$2,0)-MATCH("temp_stage",[1]stages!$2:$2,0)+1),MATCH(G$1,[1]stages!$2:$2,0)-MATCH("temp_stage",[1]stages!$2:$2,0)+1,FALSE)</f>
        <v>木曜クエスト</v>
      </c>
      <c r="H282" s="18">
        <v>0</v>
      </c>
      <c r="I282">
        <v>6</v>
      </c>
      <c r="J282" s="5" t="s">
        <v>16</v>
      </c>
      <c r="K282" s="35" t="str">
        <f>VLOOKUP(I282,[2]stage_hints!$A:$C,3,FALSE)</f>
        <v>ユニット強化の属性ボーナス</v>
      </c>
      <c r="L282" s="36" t="str">
        <f>VLOOKUP(I282,[2]stage_hints!$A:$D,4,FALSE)</f>
        <v>同属性ユニットを強化素材にすると_x000D_経験値が多くもらえます</v>
      </c>
      <c r="M282" s="21" t="s">
        <v>23</v>
      </c>
      <c r="N282">
        <v>6</v>
      </c>
    </row>
    <row r="283" spans="1:14" x14ac:dyDescent="0.15">
      <c r="A283" s="26" t="s">
        <v>32</v>
      </c>
      <c r="B283" s="4">
        <v>11104</v>
      </c>
      <c r="C283" s="3" t="str">
        <f ca="1">VLOOKUP($B283,OFFSET([1]quests!$A$1,0,0,COUNTA([1]quests!$A:$A),MATCH(C$1,[1]quests!$1:$1,0)-MATCH($B$1,[1]quests!$1:$1,0)+1),MATCH(C$1,[1]quests!$1:$1,0)-MATCH($B$1,[1]quests!$1:$1,0)+1,FALSE)</f>
        <v>【期間限定】 緑の素材</v>
      </c>
      <c r="D283" s="3" t="str">
        <f ca="1">VLOOKUP($B283,OFFSET([1]quests!$A$1,0,0,COUNTA([1]quests!$A:$A),MATCH(D$1,[1]quests!$1:$1,0)-MATCH($B$1,[1]quests!$1:$1,0)+1),MATCH(D$1,[1]quests!$1:$1,0)-MATCH($B$1,[1]quests!$1:$1,0)+1,FALSE)</f>
        <v>木曜クエスト</v>
      </c>
      <c r="E283" s="5">
        <v>2</v>
      </c>
      <c r="F283" s="3" t="str">
        <f ca="1">VLOOKUP($B283&amp;"_"&amp;$E283,OFFSET([1]stages!$A$1,0,0,COUNTA([1]stages!$A:$A),MATCH(F$1,[1]stages!$2:$2,0)-MATCH("temp_stage",[1]stages!$2:$2,0)+1),MATCH(F$1,[1]stages!$2:$2,0)-MATCH("temp_stage",[1]stages!$2:$2,0)+1,FALSE)</f>
        <v xml:space="preserve">【中級】樹のウサギ </v>
      </c>
      <c r="G283" s="3" t="str">
        <f ca="1">VLOOKUP($B283&amp;"_"&amp;$E283,OFFSET([1]stages!$A$1,0,0,COUNTA([1]stages!$A:$A),MATCH(G$1,[1]stages!$2:$2,0)-MATCH("temp_stage",[1]stages!$2:$2,0)+1),MATCH(G$1,[1]stages!$2:$2,0)-MATCH("temp_stage",[1]stages!$2:$2,0)+1,FALSE)</f>
        <v>木曜クエスト</v>
      </c>
      <c r="H283" s="18">
        <v>0</v>
      </c>
      <c r="I283">
        <v>7</v>
      </c>
      <c r="J283" s="5" t="s">
        <v>16</v>
      </c>
      <c r="K283" s="35" t="str">
        <f>VLOOKUP(I283,[2]stage_hints!$A:$C,3,FALSE)</f>
        <v>メタルダックで経験値を獲得</v>
      </c>
      <c r="L283" s="36" t="str">
        <f>VLOOKUP(I283,[2]stage_hints!$A:$D,4,FALSE)</f>
        <v>「メタルなアヒル」を強化素材にすると_x000D_大量の経験値がもらえます</v>
      </c>
      <c r="M283" s="21" t="s">
        <v>23</v>
      </c>
      <c r="N283">
        <v>7</v>
      </c>
    </row>
    <row r="284" spans="1:14" x14ac:dyDescent="0.15">
      <c r="A284" s="26" t="s">
        <v>32</v>
      </c>
      <c r="B284" s="4">
        <v>11104</v>
      </c>
      <c r="C284" s="3" t="str">
        <f ca="1">VLOOKUP($B284,OFFSET([1]quests!$A$1,0,0,COUNTA([1]quests!$A:$A),MATCH(C$1,[1]quests!$1:$1,0)-MATCH($B$1,[1]quests!$1:$1,0)+1),MATCH(C$1,[1]quests!$1:$1,0)-MATCH($B$1,[1]quests!$1:$1,0)+1,FALSE)</f>
        <v>【期間限定】 緑の素材</v>
      </c>
      <c r="D284" s="3" t="str">
        <f ca="1">VLOOKUP($B284,OFFSET([1]quests!$A$1,0,0,COUNTA([1]quests!$A:$A),MATCH(D$1,[1]quests!$1:$1,0)-MATCH($B$1,[1]quests!$1:$1,0)+1),MATCH(D$1,[1]quests!$1:$1,0)-MATCH($B$1,[1]quests!$1:$1,0)+1,FALSE)</f>
        <v>木曜クエスト</v>
      </c>
      <c r="E284" s="5">
        <v>2</v>
      </c>
      <c r="F284" s="3" t="str">
        <f ca="1">VLOOKUP($B284&amp;"_"&amp;$E284,OFFSET([1]stages!$A$1,0,0,COUNTA([1]stages!$A:$A),MATCH(F$1,[1]stages!$2:$2,0)-MATCH("temp_stage",[1]stages!$2:$2,0)+1),MATCH(F$1,[1]stages!$2:$2,0)-MATCH("temp_stage",[1]stages!$2:$2,0)+1,FALSE)</f>
        <v xml:space="preserve">【中級】樹のウサギ </v>
      </c>
      <c r="G284" s="3" t="str">
        <f ca="1">VLOOKUP($B284&amp;"_"&amp;$E284,OFFSET([1]stages!$A$1,0,0,COUNTA([1]stages!$A:$A),MATCH(G$1,[1]stages!$2:$2,0)-MATCH("temp_stage",[1]stages!$2:$2,0)+1),MATCH(G$1,[1]stages!$2:$2,0)-MATCH("temp_stage",[1]stages!$2:$2,0)+1,FALSE)</f>
        <v>木曜クエスト</v>
      </c>
      <c r="H284" s="18">
        <v>0</v>
      </c>
      <c r="I284">
        <v>8</v>
      </c>
      <c r="J284" s="5" t="s">
        <v>16</v>
      </c>
      <c r="K284" s="35" t="str">
        <f>VLOOKUP(I284,[2]stage_hints!$A:$C,3,FALSE)</f>
        <v>ゲリラクエストは要チェック</v>
      </c>
      <c r="L284" s="36" t="str">
        <f>VLOOKUP(I284,[2]stage_hints!$A:$D,4,FALSE)</f>
        <v>時間限定の「アヒル捕獲作戦」では_x000D_経験値素材ユニットが多く手に入ります</v>
      </c>
      <c r="M284" s="21" t="s">
        <v>23</v>
      </c>
      <c r="N284">
        <v>8</v>
      </c>
    </row>
    <row r="285" spans="1:14" x14ac:dyDescent="0.15">
      <c r="A285" s="26" t="s">
        <v>32</v>
      </c>
      <c r="B285" s="4">
        <v>11104</v>
      </c>
      <c r="C285" s="3" t="str">
        <f ca="1">VLOOKUP($B285,OFFSET([1]quests!$A$1,0,0,COUNTA([1]quests!$A:$A),MATCH(C$1,[1]quests!$1:$1,0)-MATCH($B$1,[1]quests!$1:$1,0)+1),MATCH(C$1,[1]quests!$1:$1,0)-MATCH($B$1,[1]quests!$1:$1,0)+1,FALSE)</f>
        <v>【期間限定】 緑の素材</v>
      </c>
      <c r="D285" s="3" t="str">
        <f ca="1">VLOOKUP($B285,OFFSET([1]quests!$A$1,0,0,COUNTA([1]quests!$A:$A),MATCH(D$1,[1]quests!$1:$1,0)-MATCH($B$1,[1]quests!$1:$1,0)+1),MATCH(D$1,[1]quests!$1:$1,0)-MATCH($B$1,[1]quests!$1:$1,0)+1,FALSE)</f>
        <v>木曜クエスト</v>
      </c>
      <c r="E285" s="5">
        <v>2</v>
      </c>
      <c r="F285" s="3" t="str">
        <f ca="1">VLOOKUP($B285&amp;"_"&amp;$E285,OFFSET([1]stages!$A$1,0,0,COUNTA([1]stages!$A:$A),MATCH(F$1,[1]stages!$2:$2,0)-MATCH("temp_stage",[1]stages!$2:$2,0)+1),MATCH(F$1,[1]stages!$2:$2,0)-MATCH("temp_stage",[1]stages!$2:$2,0)+1,FALSE)</f>
        <v xml:space="preserve">【中級】樹のウサギ </v>
      </c>
      <c r="G285" s="3" t="str">
        <f ca="1">VLOOKUP($B285&amp;"_"&amp;$E285,OFFSET([1]stages!$A$1,0,0,COUNTA([1]stages!$A:$A),MATCH(G$1,[1]stages!$2:$2,0)-MATCH("temp_stage",[1]stages!$2:$2,0)+1),MATCH(G$1,[1]stages!$2:$2,0)-MATCH("temp_stage",[1]stages!$2:$2,0)+1,FALSE)</f>
        <v>木曜クエスト</v>
      </c>
      <c r="H285" s="18">
        <v>0</v>
      </c>
      <c r="I285">
        <v>9</v>
      </c>
      <c r="J285" s="5" t="s">
        <v>16</v>
      </c>
      <c r="K285" s="35" t="str">
        <f>VLOOKUP(I285,[2]stage_hints!$A:$C,3,FALSE)</f>
        <v>ゴールドダックでビットを獲得</v>
      </c>
      <c r="L285" s="36" t="str">
        <f>VLOOKUP(I285,[2]stage_hints!$A:$D,4,FALSE)</f>
        <v>「ゴールドなアヒル」を売却すると_x000D_大量のビットがもらえます</v>
      </c>
      <c r="M285" s="21" t="s">
        <v>23</v>
      </c>
      <c r="N285">
        <v>9</v>
      </c>
    </row>
    <row r="286" spans="1:14" x14ac:dyDescent="0.15">
      <c r="A286" s="26" t="s">
        <v>32</v>
      </c>
      <c r="B286" s="4">
        <v>11104</v>
      </c>
      <c r="C286" s="3" t="str">
        <f ca="1">VLOOKUP($B286,OFFSET([1]quests!$A$1,0,0,COUNTA([1]quests!$A:$A),MATCH(C$1,[1]quests!$1:$1,0)-MATCH($B$1,[1]quests!$1:$1,0)+1),MATCH(C$1,[1]quests!$1:$1,0)-MATCH($B$1,[1]quests!$1:$1,0)+1,FALSE)</f>
        <v>【期間限定】 緑の素材</v>
      </c>
      <c r="D286" s="3" t="str">
        <f ca="1">VLOOKUP($B286,OFFSET([1]quests!$A$1,0,0,COUNTA([1]quests!$A:$A),MATCH(D$1,[1]quests!$1:$1,0)-MATCH($B$1,[1]quests!$1:$1,0)+1),MATCH(D$1,[1]quests!$1:$1,0)-MATCH($B$1,[1]quests!$1:$1,0)+1,FALSE)</f>
        <v>木曜クエスト</v>
      </c>
      <c r="E286" s="5">
        <v>2</v>
      </c>
      <c r="F286" s="3" t="str">
        <f ca="1">VLOOKUP($B286&amp;"_"&amp;$E286,OFFSET([1]stages!$A$1,0,0,COUNTA([1]stages!$A:$A),MATCH(F$1,[1]stages!$2:$2,0)-MATCH("temp_stage",[1]stages!$2:$2,0)+1),MATCH(F$1,[1]stages!$2:$2,0)-MATCH("temp_stage",[1]stages!$2:$2,0)+1,FALSE)</f>
        <v xml:space="preserve">【中級】樹のウサギ </v>
      </c>
      <c r="G286" s="3" t="str">
        <f ca="1">VLOOKUP($B286&amp;"_"&amp;$E286,OFFSET([1]stages!$A$1,0,0,COUNTA([1]stages!$A:$A),MATCH(G$1,[1]stages!$2:$2,0)-MATCH("temp_stage",[1]stages!$2:$2,0)+1),MATCH(G$1,[1]stages!$2:$2,0)-MATCH("temp_stage",[1]stages!$2:$2,0)+1,FALSE)</f>
        <v>木曜クエスト</v>
      </c>
      <c r="H286" s="18">
        <v>0</v>
      </c>
      <c r="I286">
        <v>10</v>
      </c>
      <c r="J286" s="5" t="s">
        <v>16</v>
      </c>
      <c r="K286" s="35" t="str">
        <f>VLOOKUP(I286,[2]stage_hints!$A:$C,3,FALSE)</f>
        <v>土日に大量のビットを獲得</v>
      </c>
      <c r="L286" s="36" t="str">
        <f>VLOOKUP(I286,[2]stage_hints!$A:$D,4,FALSE)</f>
        <v>土日限定の「ゴールドカジノ」では_x000D_売却素材ユニットが多く手に入ります</v>
      </c>
      <c r="M286" s="21" t="s">
        <v>23</v>
      </c>
      <c r="N286">
        <v>10</v>
      </c>
    </row>
    <row r="287" spans="1:14" x14ac:dyDescent="0.15">
      <c r="A287" s="26" t="s">
        <v>32</v>
      </c>
      <c r="B287" s="4">
        <v>11104</v>
      </c>
      <c r="C287" s="3" t="str">
        <f ca="1">VLOOKUP($B287,OFFSET([1]quests!$A$1,0,0,COUNTA([1]quests!$A:$A),MATCH(C$1,[1]quests!$1:$1,0)-MATCH($B$1,[1]quests!$1:$1,0)+1),MATCH(C$1,[1]quests!$1:$1,0)-MATCH($B$1,[1]quests!$1:$1,0)+1,FALSE)</f>
        <v>【期間限定】 緑の素材</v>
      </c>
      <c r="D287" s="3" t="str">
        <f ca="1">VLOOKUP($B287,OFFSET([1]quests!$A$1,0,0,COUNTA([1]quests!$A:$A),MATCH(D$1,[1]quests!$1:$1,0)-MATCH($B$1,[1]quests!$1:$1,0)+1),MATCH(D$1,[1]quests!$1:$1,0)-MATCH($B$1,[1]quests!$1:$1,0)+1,FALSE)</f>
        <v>木曜クエスト</v>
      </c>
      <c r="E287" s="5">
        <v>2</v>
      </c>
      <c r="F287" s="3" t="str">
        <f ca="1">VLOOKUP($B287&amp;"_"&amp;$E287,OFFSET([1]stages!$A$1,0,0,COUNTA([1]stages!$A:$A),MATCH(F$1,[1]stages!$2:$2,0)-MATCH("temp_stage",[1]stages!$2:$2,0)+1),MATCH(F$1,[1]stages!$2:$2,0)-MATCH("temp_stage",[1]stages!$2:$2,0)+1,FALSE)</f>
        <v xml:space="preserve">【中級】樹のウサギ </v>
      </c>
      <c r="G287" s="3" t="str">
        <f ca="1">VLOOKUP($B287&amp;"_"&amp;$E287,OFFSET([1]stages!$A$1,0,0,COUNTA([1]stages!$A:$A),MATCH(G$1,[1]stages!$2:$2,0)-MATCH("temp_stage",[1]stages!$2:$2,0)+1),MATCH(G$1,[1]stages!$2:$2,0)-MATCH("temp_stage",[1]stages!$2:$2,0)+1,FALSE)</f>
        <v>木曜クエスト</v>
      </c>
      <c r="H287" s="18">
        <v>0</v>
      </c>
      <c r="I287">
        <v>11</v>
      </c>
      <c r="J287" s="5" t="s">
        <v>16</v>
      </c>
      <c r="K287" s="35" t="str">
        <f>VLOOKUP(I287,[2]stage_hints!$A:$C,3,FALSE)</f>
        <v>ランク解放クエスト</v>
      </c>
      <c r="L287" s="36" t="str">
        <f>VLOOKUP(I287,[2]stage_hints!$A:$D,4,FALSE)</f>
        <v>一定ランクに到達すると_x000D_報酬付きのランク開放クエストが現れます</v>
      </c>
      <c r="M287" s="21" t="s">
        <v>23</v>
      </c>
      <c r="N287">
        <v>11</v>
      </c>
    </row>
    <row r="288" spans="1:14" x14ac:dyDescent="0.15">
      <c r="A288" s="26" t="s">
        <v>32</v>
      </c>
      <c r="B288" s="4">
        <v>11104</v>
      </c>
      <c r="C288" s="3" t="str">
        <f ca="1">VLOOKUP($B288,OFFSET([1]quests!$A$1,0,0,COUNTA([1]quests!$A:$A),MATCH(C$1,[1]quests!$1:$1,0)-MATCH($B$1,[1]quests!$1:$1,0)+1),MATCH(C$1,[1]quests!$1:$1,0)-MATCH($B$1,[1]quests!$1:$1,0)+1,FALSE)</f>
        <v>【期間限定】 緑の素材</v>
      </c>
      <c r="D288" s="3" t="str">
        <f ca="1">VLOOKUP($B288,OFFSET([1]quests!$A$1,0,0,COUNTA([1]quests!$A:$A),MATCH(D$1,[1]quests!$1:$1,0)-MATCH($B$1,[1]quests!$1:$1,0)+1),MATCH(D$1,[1]quests!$1:$1,0)-MATCH($B$1,[1]quests!$1:$1,0)+1,FALSE)</f>
        <v>木曜クエスト</v>
      </c>
      <c r="E288" s="5">
        <v>2</v>
      </c>
      <c r="F288" s="3" t="str">
        <f ca="1">VLOOKUP($B288&amp;"_"&amp;$E288,OFFSET([1]stages!$A$1,0,0,COUNTA([1]stages!$A:$A),MATCH(F$1,[1]stages!$2:$2,0)-MATCH("temp_stage",[1]stages!$2:$2,0)+1),MATCH(F$1,[1]stages!$2:$2,0)-MATCH("temp_stage",[1]stages!$2:$2,0)+1,FALSE)</f>
        <v xml:space="preserve">【中級】樹のウサギ </v>
      </c>
      <c r="G288" s="3" t="str">
        <f ca="1">VLOOKUP($B288&amp;"_"&amp;$E288,OFFSET([1]stages!$A$1,0,0,COUNTA([1]stages!$A:$A),MATCH(G$1,[1]stages!$2:$2,0)-MATCH("temp_stage",[1]stages!$2:$2,0)+1),MATCH(G$1,[1]stages!$2:$2,0)-MATCH("temp_stage",[1]stages!$2:$2,0)+1,FALSE)</f>
        <v>木曜クエスト</v>
      </c>
      <c r="H288" s="18">
        <v>0</v>
      </c>
      <c r="I288">
        <v>12</v>
      </c>
      <c r="J288" s="5" t="s">
        <v>16</v>
      </c>
      <c r="K288" s="35" t="str">
        <f>VLOOKUP(I288,[2]stage_hints!$A:$C,3,FALSE)</f>
        <v>ユニットのお気に入り登録</v>
      </c>
      <c r="L288" s="36" t="str">
        <f>VLOOKUP(I288,[2]stage_hints!$A:$D,4,FALSE)</f>
        <v>大事なユニットを誤って消さないように_x000D_フォルダから「お気に入り登録」しましょう</v>
      </c>
      <c r="M288" s="21" t="s">
        <v>23</v>
      </c>
      <c r="N288">
        <v>12</v>
      </c>
    </row>
    <row r="289" spans="1:14" x14ac:dyDescent="0.15">
      <c r="A289" s="26" t="s">
        <v>32</v>
      </c>
      <c r="B289" s="4">
        <v>11104</v>
      </c>
      <c r="C289" s="3" t="str">
        <f ca="1">VLOOKUP($B289,OFFSET([1]quests!$A$1,0,0,COUNTA([1]quests!$A:$A),MATCH(C$1,[1]quests!$1:$1,0)-MATCH($B$1,[1]quests!$1:$1,0)+1),MATCH(C$1,[1]quests!$1:$1,0)-MATCH($B$1,[1]quests!$1:$1,0)+1,FALSE)</f>
        <v>【期間限定】 緑の素材</v>
      </c>
      <c r="D289" s="3" t="str">
        <f ca="1">VLOOKUP($B289,OFFSET([1]quests!$A$1,0,0,COUNTA([1]quests!$A:$A),MATCH(D$1,[1]quests!$1:$1,0)-MATCH($B$1,[1]quests!$1:$1,0)+1),MATCH(D$1,[1]quests!$1:$1,0)-MATCH($B$1,[1]quests!$1:$1,0)+1,FALSE)</f>
        <v>木曜クエスト</v>
      </c>
      <c r="E289" s="5">
        <v>2</v>
      </c>
      <c r="F289" s="3" t="str">
        <f ca="1">VLOOKUP($B289&amp;"_"&amp;$E289,OFFSET([1]stages!$A$1,0,0,COUNTA([1]stages!$A:$A),MATCH(F$1,[1]stages!$2:$2,0)-MATCH("temp_stage",[1]stages!$2:$2,0)+1),MATCH(F$1,[1]stages!$2:$2,0)-MATCH("temp_stage",[1]stages!$2:$2,0)+1,FALSE)</f>
        <v xml:space="preserve">【中級】樹のウサギ </v>
      </c>
      <c r="G289" s="3" t="str">
        <f ca="1">VLOOKUP($B289&amp;"_"&amp;$E289,OFFSET([1]stages!$A$1,0,0,COUNTA([1]stages!$A:$A),MATCH(G$1,[1]stages!$2:$2,0)-MATCH("temp_stage",[1]stages!$2:$2,0)+1),MATCH(G$1,[1]stages!$2:$2,0)-MATCH("temp_stage",[1]stages!$2:$2,0)+1,FALSE)</f>
        <v>木曜クエスト</v>
      </c>
      <c r="H289" s="18">
        <v>0</v>
      </c>
      <c r="I289">
        <v>13</v>
      </c>
      <c r="J289" s="5" t="s">
        <v>16</v>
      </c>
      <c r="K289" s="35" t="str">
        <f>VLOOKUP(I289,[2]stage_hints!$A:$C,3,FALSE)</f>
        <v>ユニットの覚醒</v>
      </c>
      <c r="L289" s="36" t="str">
        <f>VLOOKUP(I289,[2]stage_hints!$A:$D,4,FALSE)</f>
        <v>ユニットを覚醒させると_x000D_比べものにならない強さが手に入ります</v>
      </c>
      <c r="M289" s="21" t="s">
        <v>23</v>
      </c>
      <c r="N289">
        <v>13</v>
      </c>
    </row>
    <row r="290" spans="1:14" x14ac:dyDescent="0.15">
      <c r="A290" s="26" t="s">
        <v>32</v>
      </c>
      <c r="B290" s="4">
        <v>11104</v>
      </c>
      <c r="C290" s="3" t="str">
        <f ca="1">VLOOKUP($B290,OFFSET([1]quests!$A$1,0,0,COUNTA([1]quests!$A:$A),MATCH(C$1,[1]quests!$1:$1,0)-MATCH($B$1,[1]quests!$1:$1,0)+1),MATCH(C$1,[1]quests!$1:$1,0)-MATCH($B$1,[1]quests!$1:$1,0)+1,FALSE)</f>
        <v>【期間限定】 緑の素材</v>
      </c>
      <c r="D290" s="3" t="str">
        <f ca="1">VLOOKUP($B290,OFFSET([1]quests!$A$1,0,0,COUNTA([1]quests!$A:$A),MATCH(D$1,[1]quests!$1:$1,0)-MATCH($B$1,[1]quests!$1:$1,0)+1),MATCH(D$1,[1]quests!$1:$1,0)-MATCH($B$1,[1]quests!$1:$1,0)+1,FALSE)</f>
        <v>木曜クエスト</v>
      </c>
      <c r="E290" s="5">
        <v>2</v>
      </c>
      <c r="F290" s="3" t="str">
        <f ca="1">VLOOKUP($B290&amp;"_"&amp;$E290,OFFSET([1]stages!$A$1,0,0,COUNTA([1]stages!$A:$A),MATCH(F$1,[1]stages!$2:$2,0)-MATCH("temp_stage",[1]stages!$2:$2,0)+1),MATCH(F$1,[1]stages!$2:$2,0)-MATCH("temp_stage",[1]stages!$2:$2,0)+1,FALSE)</f>
        <v xml:space="preserve">【中級】樹のウサギ </v>
      </c>
      <c r="G290" s="3" t="str">
        <f ca="1">VLOOKUP($B290&amp;"_"&amp;$E290,OFFSET([1]stages!$A$1,0,0,COUNTA([1]stages!$A:$A),MATCH(G$1,[1]stages!$2:$2,0)-MATCH("temp_stage",[1]stages!$2:$2,0)+1),MATCH(G$1,[1]stages!$2:$2,0)-MATCH("temp_stage",[1]stages!$2:$2,0)+1,FALSE)</f>
        <v>木曜クエスト</v>
      </c>
      <c r="H290" s="18">
        <v>0</v>
      </c>
      <c r="I290">
        <v>14</v>
      </c>
      <c r="J290" s="5" t="s">
        <v>16</v>
      </c>
      <c r="K290" s="35" t="str">
        <f>VLOOKUP(I290,[2]stage_hints!$A:$C,3,FALSE)</f>
        <v>覚醒するにはレベルを最大に</v>
      </c>
      <c r="L290" s="36" t="str">
        <f>VLOOKUP(I290,[2]stage_hints!$A:$D,4,FALSE)</f>
        <v>覚醒するにはユニットのレベルを_x000D_最大まで上げる必要があります</v>
      </c>
      <c r="M290" s="21" t="s">
        <v>23</v>
      </c>
      <c r="N290">
        <v>14</v>
      </c>
    </row>
    <row r="291" spans="1:14" x14ac:dyDescent="0.15">
      <c r="A291" s="26" t="s">
        <v>32</v>
      </c>
      <c r="B291" s="4">
        <v>11104</v>
      </c>
      <c r="C291" s="3" t="str">
        <f ca="1">VLOOKUP($B291,OFFSET([1]quests!$A$1,0,0,COUNTA([1]quests!$A:$A),MATCH(C$1,[1]quests!$1:$1,0)-MATCH($B$1,[1]quests!$1:$1,0)+1),MATCH(C$1,[1]quests!$1:$1,0)-MATCH($B$1,[1]quests!$1:$1,0)+1,FALSE)</f>
        <v>【期間限定】 緑の素材</v>
      </c>
      <c r="D291" s="3" t="str">
        <f ca="1">VLOOKUP($B291,OFFSET([1]quests!$A$1,0,0,COUNTA([1]quests!$A:$A),MATCH(D$1,[1]quests!$1:$1,0)-MATCH($B$1,[1]quests!$1:$1,0)+1),MATCH(D$1,[1]quests!$1:$1,0)-MATCH($B$1,[1]quests!$1:$1,0)+1,FALSE)</f>
        <v>木曜クエスト</v>
      </c>
      <c r="E291" s="5">
        <v>2</v>
      </c>
      <c r="F291" s="3" t="str">
        <f ca="1">VLOOKUP($B291&amp;"_"&amp;$E291,OFFSET([1]stages!$A$1,0,0,COUNTA([1]stages!$A:$A),MATCH(F$1,[1]stages!$2:$2,0)-MATCH("temp_stage",[1]stages!$2:$2,0)+1),MATCH(F$1,[1]stages!$2:$2,0)-MATCH("temp_stage",[1]stages!$2:$2,0)+1,FALSE)</f>
        <v xml:space="preserve">【中級】樹のウサギ </v>
      </c>
      <c r="G291" s="3" t="str">
        <f ca="1">VLOOKUP($B291&amp;"_"&amp;$E291,OFFSET([1]stages!$A$1,0,0,COUNTA([1]stages!$A:$A),MATCH(G$1,[1]stages!$2:$2,0)-MATCH("temp_stage",[1]stages!$2:$2,0)+1),MATCH(G$1,[1]stages!$2:$2,0)-MATCH("temp_stage",[1]stages!$2:$2,0)+1,FALSE)</f>
        <v>木曜クエスト</v>
      </c>
      <c r="H291" s="18">
        <v>0</v>
      </c>
      <c r="I291">
        <v>15</v>
      </c>
      <c r="J291" s="5" t="s">
        <v>16</v>
      </c>
      <c r="K291" s="35" t="str">
        <f>VLOOKUP(I291,[2]stage_hints!$A:$C,3,FALSE)</f>
        <v>覚醒素材を獲得</v>
      </c>
      <c r="L291" s="36" t="str">
        <f>VLOOKUP(I291,[2]stage_hints!$A:$D,4,FALSE)</f>
        <v>「曜日クエスト」では_x000D_ユニットの覚醒に必要な素材が手に入ります</v>
      </c>
      <c r="M291" s="21" t="s">
        <v>23</v>
      </c>
      <c r="N291">
        <v>15</v>
      </c>
    </row>
    <row r="292" spans="1:14" x14ac:dyDescent="0.15">
      <c r="A292" s="26" t="s">
        <v>32</v>
      </c>
      <c r="B292" s="4">
        <v>11104</v>
      </c>
      <c r="C292" s="3" t="str">
        <f ca="1">VLOOKUP($B292,OFFSET([1]quests!$A$1,0,0,COUNTA([1]quests!$A:$A),MATCH(C$1,[1]quests!$1:$1,0)-MATCH($B$1,[1]quests!$1:$1,0)+1),MATCH(C$1,[1]quests!$1:$1,0)-MATCH($B$1,[1]quests!$1:$1,0)+1,FALSE)</f>
        <v>【期間限定】 緑の素材</v>
      </c>
      <c r="D292" s="3" t="str">
        <f ca="1">VLOOKUP($B292,OFFSET([1]quests!$A$1,0,0,COUNTA([1]quests!$A:$A),MATCH(D$1,[1]quests!$1:$1,0)-MATCH($B$1,[1]quests!$1:$1,0)+1),MATCH(D$1,[1]quests!$1:$1,0)-MATCH($B$1,[1]quests!$1:$1,0)+1,FALSE)</f>
        <v>木曜クエスト</v>
      </c>
      <c r="E292" s="5">
        <v>2</v>
      </c>
      <c r="F292" s="3" t="str">
        <f ca="1">VLOOKUP($B292&amp;"_"&amp;$E292,OFFSET([1]stages!$A$1,0,0,COUNTA([1]stages!$A:$A),MATCH(F$1,[1]stages!$2:$2,0)-MATCH("temp_stage",[1]stages!$2:$2,0)+1),MATCH(F$1,[1]stages!$2:$2,0)-MATCH("temp_stage",[1]stages!$2:$2,0)+1,FALSE)</f>
        <v xml:space="preserve">【中級】樹のウサギ </v>
      </c>
      <c r="G292" s="3" t="str">
        <f ca="1">VLOOKUP($B292&amp;"_"&amp;$E292,OFFSET([1]stages!$A$1,0,0,COUNTA([1]stages!$A:$A),MATCH(G$1,[1]stages!$2:$2,0)-MATCH("temp_stage",[1]stages!$2:$2,0)+1),MATCH(G$1,[1]stages!$2:$2,0)-MATCH("temp_stage",[1]stages!$2:$2,0)+1,FALSE)</f>
        <v>木曜クエスト</v>
      </c>
      <c r="H292" s="18">
        <v>0</v>
      </c>
      <c r="I292">
        <v>16</v>
      </c>
      <c r="J292" s="5" t="s">
        <v>16</v>
      </c>
      <c r="K292" s="35" t="str">
        <f>VLOOKUP(I292,[2]stage_hints!$A:$C,3,FALSE)</f>
        <v>マルチプレイのメリット（その1）</v>
      </c>
      <c r="L292" s="36" t="str">
        <f>VLOOKUP(I292,[2]stage_hints!$A:$D,4,FALSE)</f>
        <v>他のプレイヤーとマルチプレイで遊ぶと_x000D_ポリゴンがもらえます（100人まで）</v>
      </c>
      <c r="M292" s="21" t="s">
        <v>23</v>
      </c>
      <c r="N292">
        <v>16</v>
      </c>
    </row>
    <row r="293" spans="1:14" x14ac:dyDescent="0.15">
      <c r="A293" s="26" t="s">
        <v>32</v>
      </c>
      <c r="B293" s="4">
        <v>11104</v>
      </c>
      <c r="C293" s="3" t="str">
        <f ca="1">VLOOKUP($B293,OFFSET([1]quests!$A$1,0,0,COUNTA([1]quests!$A:$A),MATCH(C$1,[1]quests!$1:$1,0)-MATCH($B$1,[1]quests!$1:$1,0)+1),MATCH(C$1,[1]quests!$1:$1,0)-MATCH($B$1,[1]quests!$1:$1,0)+1,FALSE)</f>
        <v>【期間限定】 緑の素材</v>
      </c>
      <c r="D293" s="3" t="str">
        <f ca="1">VLOOKUP($B293,OFFSET([1]quests!$A$1,0,0,COUNTA([1]quests!$A:$A),MATCH(D$1,[1]quests!$1:$1,0)-MATCH($B$1,[1]quests!$1:$1,0)+1),MATCH(D$1,[1]quests!$1:$1,0)-MATCH($B$1,[1]quests!$1:$1,0)+1,FALSE)</f>
        <v>木曜クエスト</v>
      </c>
      <c r="E293" s="5">
        <v>2</v>
      </c>
      <c r="F293" s="3" t="str">
        <f ca="1">VLOOKUP($B293&amp;"_"&amp;$E293,OFFSET([1]stages!$A$1,0,0,COUNTA([1]stages!$A:$A),MATCH(F$1,[1]stages!$2:$2,0)-MATCH("temp_stage",[1]stages!$2:$2,0)+1),MATCH(F$1,[1]stages!$2:$2,0)-MATCH("temp_stage",[1]stages!$2:$2,0)+1,FALSE)</f>
        <v xml:space="preserve">【中級】樹のウサギ </v>
      </c>
      <c r="G293" s="3" t="str">
        <f ca="1">VLOOKUP($B293&amp;"_"&amp;$E293,OFFSET([1]stages!$A$1,0,0,COUNTA([1]stages!$A:$A),MATCH(G$1,[1]stages!$2:$2,0)-MATCH("temp_stage",[1]stages!$2:$2,0)+1),MATCH(G$1,[1]stages!$2:$2,0)-MATCH("temp_stage",[1]stages!$2:$2,0)+1,FALSE)</f>
        <v>木曜クエスト</v>
      </c>
      <c r="H293" s="18">
        <v>0</v>
      </c>
      <c r="I293">
        <v>17</v>
      </c>
      <c r="J293" s="5" t="s">
        <v>16</v>
      </c>
      <c r="K293" s="35" t="str">
        <f>VLOOKUP(I293,[2]stage_hints!$A:$C,3,FALSE)</f>
        <v>リンクガチャ</v>
      </c>
      <c r="L293" s="36" t="str">
        <f>VLOOKUP(I293,[2]stage_hints!$A:$D,4,FALSE)</f>
        <v>無料のリンクガチャを回して_x000D_経験値素材や売却素材を獲得しましょう</v>
      </c>
      <c r="M293" s="21" t="s">
        <v>23</v>
      </c>
      <c r="N293">
        <v>17</v>
      </c>
    </row>
    <row r="294" spans="1:14" x14ac:dyDescent="0.15">
      <c r="A294" s="26" t="s">
        <v>32</v>
      </c>
      <c r="B294" s="4">
        <v>11104</v>
      </c>
      <c r="C294" s="3" t="str">
        <f ca="1">VLOOKUP($B294,OFFSET([1]quests!$A$1,0,0,COUNTA([1]quests!$A:$A),MATCH(C$1,[1]quests!$1:$1,0)-MATCH($B$1,[1]quests!$1:$1,0)+1),MATCH(C$1,[1]quests!$1:$1,0)-MATCH($B$1,[1]quests!$1:$1,0)+1,FALSE)</f>
        <v>【期間限定】 緑の素材</v>
      </c>
      <c r="D294" s="3" t="str">
        <f ca="1">VLOOKUP($B294,OFFSET([1]quests!$A$1,0,0,COUNTA([1]quests!$A:$A),MATCH(D$1,[1]quests!$1:$1,0)-MATCH($B$1,[1]quests!$1:$1,0)+1),MATCH(D$1,[1]quests!$1:$1,0)-MATCH($B$1,[1]quests!$1:$1,0)+1,FALSE)</f>
        <v>木曜クエスト</v>
      </c>
      <c r="E294" s="5">
        <v>2</v>
      </c>
      <c r="F294" s="3" t="str">
        <f ca="1">VLOOKUP($B294&amp;"_"&amp;$E294,OFFSET([1]stages!$A$1,0,0,COUNTA([1]stages!$A:$A),MATCH(F$1,[1]stages!$2:$2,0)-MATCH("temp_stage",[1]stages!$2:$2,0)+1),MATCH(F$1,[1]stages!$2:$2,0)-MATCH("temp_stage",[1]stages!$2:$2,0)+1,FALSE)</f>
        <v xml:space="preserve">【中級】樹のウサギ </v>
      </c>
      <c r="G294" s="3" t="str">
        <f ca="1">VLOOKUP($B294&amp;"_"&amp;$E294,OFFSET([1]stages!$A$1,0,0,COUNTA([1]stages!$A:$A),MATCH(G$1,[1]stages!$2:$2,0)-MATCH("temp_stage",[1]stages!$2:$2,0)+1),MATCH(G$1,[1]stages!$2:$2,0)-MATCH("temp_stage",[1]stages!$2:$2,0)+1,FALSE)</f>
        <v>木曜クエスト</v>
      </c>
      <c r="H294" s="18">
        <v>0</v>
      </c>
      <c r="I294">
        <v>18</v>
      </c>
      <c r="J294" s="5" t="s">
        <v>16</v>
      </c>
      <c r="K294" s="35" t="str">
        <f>VLOOKUP(I294,[2]stage_hints!$A:$C,3,FALSE)</f>
        <v>マルチプレイのメリット（その2）</v>
      </c>
      <c r="L294" s="36" t="str">
        <f>VLOOKUP(I294,[2]stage_hints!$A:$D,4,FALSE)</f>
        <v>マルチプレイならリンクが2倍もらえます_x000D_リンクガチャをたくさん回しましょう</v>
      </c>
      <c r="M294" s="21" t="s">
        <v>23</v>
      </c>
      <c r="N294">
        <v>18</v>
      </c>
    </row>
    <row r="295" spans="1:14" x14ac:dyDescent="0.15">
      <c r="A295" s="26" t="s">
        <v>32</v>
      </c>
      <c r="B295" s="4">
        <v>11104</v>
      </c>
      <c r="C295" s="3" t="str">
        <f ca="1">VLOOKUP($B295,OFFSET([1]quests!$A$1,0,0,COUNTA([1]quests!$A:$A),MATCH(C$1,[1]quests!$1:$1,0)-MATCH($B$1,[1]quests!$1:$1,0)+1),MATCH(C$1,[1]quests!$1:$1,0)-MATCH($B$1,[1]quests!$1:$1,0)+1,FALSE)</f>
        <v>【期間限定】 緑の素材</v>
      </c>
      <c r="D295" s="3" t="str">
        <f ca="1">VLOOKUP($B295,OFFSET([1]quests!$A$1,0,0,COUNTA([1]quests!$A:$A),MATCH(D$1,[1]quests!$1:$1,0)-MATCH($B$1,[1]quests!$1:$1,0)+1),MATCH(D$1,[1]quests!$1:$1,0)-MATCH($B$1,[1]quests!$1:$1,0)+1,FALSE)</f>
        <v>木曜クエスト</v>
      </c>
      <c r="E295" s="5">
        <v>2</v>
      </c>
      <c r="F295" s="3" t="str">
        <f ca="1">VLOOKUP($B295&amp;"_"&amp;$E295,OFFSET([1]stages!$A$1,0,0,COUNTA([1]stages!$A:$A),MATCH(F$1,[1]stages!$2:$2,0)-MATCH("temp_stage",[1]stages!$2:$2,0)+1),MATCH(F$1,[1]stages!$2:$2,0)-MATCH("temp_stage",[1]stages!$2:$2,0)+1,FALSE)</f>
        <v xml:space="preserve">【中級】樹のウサギ </v>
      </c>
      <c r="G295" s="3" t="str">
        <f ca="1">VLOOKUP($B295&amp;"_"&amp;$E295,OFFSET([1]stages!$A$1,0,0,COUNTA([1]stages!$A:$A),MATCH(G$1,[1]stages!$2:$2,0)-MATCH("temp_stage",[1]stages!$2:$2,0)+1),MATCH(G$1,[1]stages!$2:$2,0)-MATCH("temp_stage",[1]stages!$2:$2,0)+1,FALSE)</f>
        <v>木曜クエスト</v>
      </c>
      <c r="H295" s="18">
        <v>0</v>
      </c>
      <c r="I295">
        <v>19</v>
      </c>
      <c r="J295" s="5" t="s">
        <v>16</v>
      </c>
      <c r="K295" s="35" t="str">
        <f>VLOOKUP(I295,[2]stage_hints!$A:$C,3,FALSE)</f>
        <v>ソロ専用チャレンジタワー</v>
      </c>
      <c r="L295" s="36" t="str">
        <f>VLOOKUP(I295,[2]stage_hints!$A:$D,4,FALSE)</f>
        <v>ソロ専用の「チャレンジタワー」では_x000D_各フロアごとにクリア報酬がもらえます</v>
      </c>
      <c r="M295" s="21" t="s">
        <v>23</v>
      </c>
      <c r="N295">
        <v>19</v>
      </c>
    </row>
    <row r="296" spans="1:14" x14ac:dyDescent="0.15">
      <c r="A296" s="26" t="s">
        <v>32</v>
      </c>
      <c r="B296" s="4">
        <v>11104</v>
      </c>
      <c r="C296" s="3" t="str">
        <f ca="1">VLOOKUP($B296,OFFSET([1]quests!$A$1,0,0,COUNTA([1]quests!$A:$A),MATCH(C$1,[1]quests!$1:$1,0)-MATCH($B$1,[1]quests!$1:$1,0)+1),MATCH(C$1,[1]quests!$1:$1,0)-MATCH($B$1,[1]quests!$1:$1,0)+1,FALSE)</f>
        <v>【期間限定】 緑の素材</v>
      </c>
      <c r="D296" s="3" t="str">
        <f ca="1">VLOOKUP($B296,OFFSET([1]quests!$A$1,0,0,COUNTA([1]quests!$A:$A),MATCH(D$1,[1]quests!$1:$1,0)-MATCH($B$1,[1]quests!$1:$1,0)+1),MATCH(D$1,[1]quests!$1:$1,0)-MATCH($B$1,[1]quests!$1:$1,0)+1,FALSE)</f>
        <v>木曜クエスト</v>
      </c>
      <c r="E296" s="5">
        <v>2</v>
      </c>
      <c r="F296" s="3" t="str">
        <f ca="1">VLOOKUP($B296&amp;"_"&amp;$E296,OFFSET([1]stages!$A$1,0,0,COUNTA([1]stages!$A:$A),MATCH(F$1,[1]stages!$2:$2,0)-MATCH("temp_stage",[1]stages!$2:$2,0)+1),MATCH(F$1,[1]stages!$2:$2,0)-MATCH("temp_stage",[1]stages!$2:$2,0)+1,FALSE)</f>
        <v xml:space="preserve">【中級】樹のウサギ </v>
      </c>
      <c r="G296" s="3" t="str">
        <f ca="1">VLOOKUP($B296&amp;"_"&amp;$E296,OFFSET([1]stages!$A$1,0,0,COUNTA([1]stages!$A:$A),MATCH(G$1,[1]stages!$2:$2,0)-MATCH("temp_stage",[1]stages!$2:$2,0)+1),MATCH(G$1,[1]stages!$2:$2,0)-MATCH("temp_stage",[1]stages!$2:$2,0)+1,FALSE)</f>
        <v>木曜クエスト</v>
      </c>
      <c r="H296" s="18">
        <v>0</v>
      </c>
      <c r="I296">
        <v>20</v>
      </c>
      <c r="J296" s="5" t="s">
        <v>16</v>
      </c>
      <c r="K296" s="35" t="str">
        <f>VLOOKUP(I296,[2]stage_hints!$A:$C,3,FALSE)</f>
        <v>マルチプレイのメリット（その3）</v>
      </c>
      <c r="L296" s="36" t="str">
        <f>VLOOKUP(I296,[2]stage_hints!$A:$D,4,FALSE)</f>
        <v>マルチプレイへの参加はエナジー消費ゼロ_x000D_いつでも好きなだけ遊ぶことができます</v>
      </c>
      <c r="M296" s="21" t="s">
        <v>23</v>
      </c>
      <c r="N296">
        <v>20</v>
      </c>
    </row>
    <row r="297" spans="1:14" x14ac:dyDescent="0.15">
      <c r="A297" s="26" t="s">
        <v>32</v>
      </c>
      <c r="B297" s="4">
        <v>11104</v>
      </c>
      <c r="C297" s="3" t="str">
        <f ca="1">VLOOKUP($B297,OFFSET([1]quests!$A$1,0,0,COUNTA([1]quests!$A:$A),MATCH(C$1,[1]quests!$1:$1,0)-MATCH($B$1,[1]quests!$1:$1,0)+1),MATCH(C$1,[1]quests!$1:$1,0)-MATCH($B$1,[1]quests!$1:$1,0)+1,FALSE)</f>
        <v>【期間限定】 緑の素材</v>
      </c>
      <c r="D297" s="3" t="str">
        <f ca="1">VLOOKUP($B297,OFFSET([1]quests!$A$1,0,0,COUNTA([1]quests!$A:$A),MATCH(D$1,[1]quests!$1:$1,0)-MATCH($B$1,[1]quests!$1:$1,0)+1),MATCH(D$1,[1]quests!$1:$1,0)-MATCH($B$1,[1]quests!$1:$1,0)+1,FALSE)</f>
        <v>木曜クエスト</v>
      </c>
      <c r="E297" s="5">
        <v>2</v>
      </c>
      <c r="F297" s="3" t="str">
        <f ca="1">VLOOKUP($B297&amp;"_"&amp;$E297,OFFSET([1]stages!$A$1,0,0,COUNTA([1]stages!$A:$A),MATCH(F$1,[1]stages!$2:$2,0)-MATCH("temp_stage",[1]stages!$2:$2,0)+1),MATCH(F$1,[1]stages!$2:$2,0)-MATCH("temp_stage",[1]stages!$2:$2,0)+1,FALSE)</f>
        <v xml:space="preserve">【中級】樹のウサギ </v>
      </c>
      <c r="G297" s="3" t="str">
        <f ca="1">VLOOKUP($B297&amp;"_"&amp;$E297,OFFSET([1]stages!$A$1,0,0,COUNTA([1]stages!$A:$A),MATCH(G$1,[1]stages!$2:$2,0)-MATCH("temp_stage",[1]stages!$2:$2,0)+1),MATCH(G$1,[1]stages!$2:$2,0)-MATCH("temp_stage",[1]stages!$2:$2,0)+1,FALSE)</f>
        <v>木曜クエスト</v>
      </c>
      <c r="H297" s="18">
        <v>0</v>
      </c>
      <c r="I297">
        <v>21</v>
      </c>
      <c r="J297" s="5" t="s">
        <v>16</v>
      </c>
      <c r="K297" s="35" t="str">
        <f>VLOOKUP(I297,[2]stage_hints!$A:$C,3,FALSE)</f>
        <v>スキルを有効に</v>
      </c>
      <c r="L297" s="36" t="str">
        <f>VLOOKUP(I297,[2]stage_hints!$A:$D,4,FALSE)</f>
        <v>ターン経過でユニットのスキルが使えます_x000D_強力スキルでバトルを有利に進めましょう</v>
      </c>
      <c r="M297" s="21" t="s">
        <v>23</v>
      </c>
      <c r="N297">
        <v>21</v>
      </c>
    </row>
    <row r="298" spans="1:14" x14ac:dyDescent="0.15">
      <c r="A298" s="26" t="s">
        <v>32</v>
      </c>
      <c r="B298" s="4">
        <v>11104</v>
      </c>
      <c r="C298" s="3" t="str">
        <f ca="1">VLOOKUP($B298,OFFSET([1]quests!$A$1,0,0,COUNTA([1]quests!$A:$A),MATCH(C$1,[1]quests!$1:$1,0)-MATCH($B$1,[1]quests!$1:$1,0)+1),MATCH(C$1,[1]quests!$1:$1,0)-MATCH($B$1,[1]quests!$1:$1,0)+1,FALSE)</f>
        <v>【期間限定】 緑の素材</v>
      </c>
      <c r="D298" s="3" t="str">
        <f ca="1">VLOOKUP($B298,OFFSET([1]quests!$A$1,0,0,COUNTA([1]quests!$A:$A),MATCH(D$1,[1]quests!$1:$1,0)-MATCH($B$1,[1]quests!$1:$1,0)+1),MATCH(D$1,[1]quests!$1:$1,0)-MATCH($B$1,[1]quests!$1:$1,0)+1,FALSE)</f>
        <v>木曜クエスト</v>
      </c>
      <c r="E298" s="5">
        <v>2</v>
      </c>
      <c r="F298" s="3" t="str">
        <f ca="1">VLOOKUP($B298&amp;"_"&amp;$E298,OFFSET([1]stages!$A$1,0,0,COUNTA([1]stages!$A:$A),MATCH(F$1,[1]stages!$2:$2,0)-MATCH("temp_stage",[1]stages!$2:$2,0)+1),MATCH(F$1,[1]stages!$2:$2,0)-MATCH("temp_stage",[1]stages!$2:$2,0)+1,FALSE)</f>
        <v xml:space="preserve">【中級】樹のウサギ </v>
      </c>
      <c r="G298" s="3" t="str">
        <f ca="1">VLOOKUP($B298&amp;"_"&amp;$E298,OFFSET([1]stages!$A$1,0,0,COUNTA([1]stages!$A:$A),MATCH(G$1,[1]stages!$2:$2,0)-MATCH("temp_stage",[1]stages!$2:$2,0)+1),MATCH(G$1,[1]stages!$2:$2,0)-MATCH("temp_stage",[1]stages!$2:$2,0)+1,FALSE)</f>
        <v>木曜クエスト</v>
      </c>
      <c r="H298" s="18">
        <v>0</v>
      </c>
      <c r="I298">
        <v>22</v>
      </c>
      <c r="J298" s="5" t="s">
        <v>16</v>
      </c>
      <c r="K298" s="35" t="str">
        <f>VLOOKUP(I298,[2]stage_hints!$A:$C,3,FALSE)</f>
        <v>フィーバーで一発逆転（その1）</v>
      </c>
      <c r="L298" s="36" t="str">
        <f>VLOOKUP(I298,[2]stage_hints!$A:$D,4,FALSE)</f>
        <v>フィーバーは攻撃と回復を兼ね備えます_x000D_ピンチからの一発逆転を狙いましょう</v>
      </c>
      <c r="M298" s="21" t="s">
        <v>23</v>
      </c>
      <c r="N298">
        <v>22</v>
      </c>
    </row>
    <row r="299" spans="1:14" x14ac:dyDescent="0.15">
      <c r="A299" s="26" t="s">
        <v>32</v>
      </c>
      <c r="B299" s="4">
        <v>11104</v>
      </c>
      <c r="C299" s="3" t="str">
        <f ca="1">VLOOKUP($B299,OFFSET([1]quests!$A$1,0,0,COUNTA([1]quests!$A:$A),MATCH(C$1,[1]quests!$1:$1,0)-MATCH($B$1,[1]quests!$1:$1,0)+1),MATCH(C$1,[1]quests!$1:$1,0)-MATCH($B$1,[1]quests!$1:$1,0)+1,FALSE)</f>
        <v>【期間限定】 緑の素材</v>
      </c>
      <c r="D299" s="3" t="str">
        <f ca="1">VLOOKUP($B299,OFFSET([1]quests!$A$1,0,0,COUNTA([1]quests!$A:$A),MATCH(D$1,[1]quests!$1:$1,0)-MATCH($B$1,[1]quests!$1:$1,0)+1),MATCH(D$1,[1]quests!$1:$1,0)-MATCH($B$1,[1]quests!$1:$1,0)+1,FALSE)</f>
        <v>木曜クエスト</v>
      </c>
      <c r="E299" s="5">
        <v>2</v>
      </c>
      <c r="F299" s="3" t="str">
        <f ca="1">VLOOKUP($B299&amp;"_"&amp;$E299,OFFSET([1]stages!$A$1,0,0,COUNTA([1]stages!$A:$A),MATCH(F$1,[1]stages!$2:$2,0)-MATCH("temp_stage",[1]stages!$2:$2,0)+1),MATCH(F$1,[1]stages!$2:$2,0)-MATCH("temp_stage",[1]stages!$2:$2,0)+1,FALSE)</f>
        <v xml:space="preserve">【中級】樹のウサギ </v>
      </c>
      <c r="G299" s="3" t="str">
        <f ca="1">VLOOKUP($B299&amp;"_"&amp;$E299,OFFSET([1]stages!$A$1,0,0,COUNTA([1]stages!$A:$A),MATCH(G$1,[1]stages!$2:$2,0)-MATCH("temp_stage",[1]stages!$2:$2,0)+1),MATCH(G$1,[1]stages!$2:$2,0)-MATCH("temp_stage",[1]stages!$2:$2,0)+1,FALSE)</f>
        <v>木曜クエスト</v>
      </c>
      <c r="H299" s="18">
        <v>0</v>
      </c>
      <c r="I299">
        <v>23</v>
      </c>
      <c r="J299" s="5" t="s">
        <v>16</v>
      </c>
      <c r="K299" s="35" t="str">
        <f>VLOOKUP(I299,[2]stage_hints!$A:$C,3,FALSE)</f>
        <v>フィーバーで一発逆転（その2）</v>
      </c>
      <c r="L299" s="36" t="str">
        <f>VLOOKUP(I299,[2]stage_hints!$A:$D,4,FALSE)</f>
        <v>フィーバー中は虹色のボムパネルを狙って_x000D_画面上のパネルを一気に破壊しましょう</v>
      </c>
      <c r="M299" s="21" t="s">
        <v>23</v>
      </c>
      <c r="N299">
        <v>23</v>
      </c>
    </row>
    <row r="300" spans="1:14" x14ac:dyDescent="0.15">
      <c r="A300" s="26" t="s">
        <v>32</v>
      </c>
      <c r="B300" s="4">
        <v>11104</v>
      </c>
      <c r="C300" s="3" t="str">
        <f ca="1">VLOOKUP($B300,OFFSET([1]quests!$A$1,0,0,COUNTA([1]quests!$A:$A),MATCH(C$1,[1]quests!$1:$1,0)-MATCH($B$1,[1]quests!$1:$1,0)+1),MATCH(C$1,[1]quests!$1:$1,0)-MATCH($B$1,[1]quests!$1:$1,0)+1,FALSE)</f>
        <v>【期間限定】 緑の素材</v>
      </c>
      <c r="D300" s="3" t="str">
        <f ca="1">VLOOKUP($B300,OFFSET([1]quests!$A$1,0,0,COUNTA([1]quests!$A:$A),MATCH(D$1,[1]quests!$1:$1,0)-MATCH($B$1,[1]quests!$1:$1,0)+1),MATCH(D$1,[1]quests!$1:$1,0)-MATCH($B$1,[1]quests!$1:$1,0)+1,FALSE)</f>
        <v>木曜クエスト</v>
      </c>
      <c r="E300" s="5">
        <v>2</v>
      </c>
      <c r="F300" s="3" t="str">
        <f ca="1">VLOOKUP($B300&amp;"_"&amp;$E300,OFFSET([1]stages!$A$1,0,0,COUNTA([1]stages!$A:$A),MATCH(F$1,[1]stages!$2:$2,0)-MATCH("temp_stage",[1]stages!$2:$2,0)+1),MATCH(F$1,[1]stages!$2:$2,0)-MATCH("temp_stage",[1]stages!$2:$2,0)+1,FALSE)</f>
        <v xml:space="preserve">【中級】樹のウサギ </v>
      </c>
      <c r="G300" s="3" t="str">
        <f ca="1">VLOOKUP($B300&amp;"_"&amp;$E300,OFFSET([1]stages!$A$1,0,0,COUNTA([1]stages!$A:$A),MATCH(G$1,[1]stages!$2:$2,0)-MATCH("temp_stage",[1]stages!$2:$2,0)+1),MATCH(G$1,[1]stages!$2:$2,0)-MATCH("temp_stage",[1]stages!$2:$2,0)+1,FALSE)</f>
        <v>木曜クエスト</v>
      </c>
      <c r="H300" s="18">
        <v>0</v>
      </c>
      <c r="I300">
        <v>24</v>
      </c>
      <c r="J300" s="5" t="s">
        <v>16</v>
      </c>
      <c r="K300" s="35" t="str">
        <f>VLOOKUP(I300,[2]stage_hints!$A:$C,3,FALSE)</f>
        <v>りんごを使って限界突破</v>
      </c>
      <c r="L300" s="36" t="str">
        <f>VLOOKUP(I300,[2]stage_hints!$A:$D,4,FALSE)</f>
        <v>赤りんご(攻撃力) 青りんご(回復力)_x000D_緑りんご(体力)をユニット強化に使うと_x000D_ステータスが限界突破します（計99個迄）</v>
      </c>
      <c r="M300" s="21" t="s">
        <v>23</v>
      </c>
      <c r="N300">
        <v>24</v>
      </c>
    </row>
    <row r="301" spans="1:14" x14ac:dyDescent="0.15">
      <c r="A301" s="26" t="s">
        <v>32</v>
      </c>
      <c r="B301" s="4">
        <v>11104</v>
      </c>
      <c r="C301" s="3" t="str">
        <f ca="1">VLOOKUP($B301,OFFSET([1]quests!$A$1,0,0,COUNTA([1]quests!$A:$A),MATCH(C$1,[1]quests!$1:$1,0)-MATCH($B$1,[1]quests!$1:$1,0)+1),MATCH(C$1,[1]quests!$1:$1,0)-MATCH($B$1,[1]quests!$1:$1,0)+1,FALSE)</f>
        <v>【期間限定】 緑の素材</v>
      </c>
      <c r="D301" s="3" t="str">
        <f ca="1">VLOOKUP($B301,OFFSET([1]quests!$A$1,0,0,COUNTA([1]quests!$A:$A),MATCH(D$1,[1]quests!$1:$1,0)-MATCH($B$1,[1]quests!$1:$1,0)+1),MATCH(D$1,[1]quests!$1:$1,0)-MATCH($B$1,[1]quests!$1:$1,0)+1,FALSE)</f>
        <v>木曜クエスト</v>
      </c>
      <c r="E301" s="5">
        <v>2</v>
      </c>
      <c r="F301" s="3" t="str">
        <f ca="1">VLOOKUP($B301&amp;"_"&amp;$E301,OFFSET([1]stages!$A$1,0,0,COUNTA([1]stages!$A:$A),MATCH(F$1,[1]stages!$2:$2,0)-MATCH("temp_stage",[1]stages!$2:$2,0)+1),MATCH(F$1,[1]stages!$2:$2,0)-MATCH("temp_stage",[1]stages!$2:$2,0)+1,FALSE)</f>
        <v xml:space="preserve">【中級】樹のウサギ </v>
      </c>
      <c r="G301" s="3" t="str">
        <f ca="1">VLOOKUP($B301&amp;"_"&amp;$E301,OFFSET([1]stages!$A$1,0,0,COUNTA([1]stages!$A:$A),MATCH(G$1,[1]stages!$2:$2,0)-MATCH("temp_stage",[1]stages!$2:$2,0)+1),MATCH(G$1,[1]stages!$2:$2,0)-MATCH("temp_stage",[1]stages!$2:$2,0)+1,FALSE)</f>
        <v>木曜クエスト</v>
      </c>
      <c r="H301" s="18">
        <v>0</v>
      </c>
      <c r="I301">
        <v>25</v>
      </c>
      <c r="J301" s="5" t="s">
        <v>16</v>
      </c>
      <c r="K301" s="35" t="str">
        <f>VLOOKUP(I301,[2]stage_hints!$A:$C,3,FALSE)</f>
        <v>スキルレベルアップ</v>
      </c>
      <c r="L301" s="36" t="str">
        <f>VLOOKUP(I301,[2]stage_hints!$A:$D,4,FALSE)</f>
        <v>「クリスタルのりんご」を強化に使うと_x000D_スキルレベルを上げることができます</v>
      </c>
      <c r="M301" s="21" t="s">
        <v>23</v>
      </c>
      <c r="N301">
        <v>25</v>
      </c>
    </row>
    <row r="302" spans="1:14" x14ac:dyDescent="0.15">
      <c r="A302" s="26" t="s">
        <v>32</v>
      </c>
      <c r="B302" s="4">
        <v>11104</v>
      </c>
      <c r="C302" s="3" t="str">
        <f ca="1">VLOOKUP($B302,OFFSET([1]quests!$A$1,0,0,COUNTA([1]quests!$A:$A),MATCH(C$1,[1]quests!$1:$1,0)-MATCH($B$1,[1]quests!$1:$1,0)+1),MATCH(C$1,[1]quests!$1:$1,0)-MATCH($B$1,[1]quests!$1:$1,0)+1,FALSE)</f>
        <v>【期間限定】 緑の素材</v>
      </c>
      <c r="D302" s="3" t="str">
        <f ca="1">VLOOKUP($B302,OFFSET([1]quests!$A$1,0,0,COUNTA([1]quests!$A:$A),MATCH(D$1,[1]quests!$1:$1,0)-MATCH($B$1,[1]quests!$1:$1,0)+1),MATCH(D$1,[1]quests!$1:$1,0)-MATCH($B$1,[1]quests!$1:$1,0)+1,FALSE)</f>
        <v>木曜クエスト</v>
      </c>
      <c r="E302" s="5">
        <v>2</v>
      </c>
      <c r="F302" s="3" t="str">
        <f ca="1">VLOOKUP($B302&amp;"_"&amp;$E302,OFFSET([1]stages!$A$1,0,0,COUNTA([1]stages!$A:$A),MATCH(F$1,[1]stages!$2:$2,0)-MATCH("temp_stage",[1]stages!$2:$2,0)+1),MATCH(F$1,[1]stages!$2:$2,0)-MATCH("temp_stage",[1]stages!$2:$2,0)+1,FALSE)</f>
        <v xml:space="preserve">【中級】樹のウサギ </v>
      </c>
      <c r="G302" s="3" t="str">
        <f ca="1">VLOOKUP($B302&amp;"_"&amp;$E302,OFFSET([1]stages!$A$1,0,0,COUNTA([1]stages!$A:$A),MATCH(G$1,[1]stages!$2:$2,0)-MATCH("temp_stage",[1]stages!$2:$2,0)+1),MATCH(G$1,[1]stages!$2:$2,0)-MATCH("temp_stage",[1]stages!$2:$2,0)+1,FALSE)</f>
        <v>木曜クエスト</v>
      </c>
      <c r="H302" s="18">
        <v>0</v>
      </c>
      <c r="I302">
        <v>26</v>
      </c>
      <c r="J302" s="5" t="s">
        <v>16</v>
      </c>
      <c r="K302" s="35" t="str">
        <f>VLOOKUP(I302,[2]stage_hints!$A:$C,3,FALSE)</f>
        <v>スキルレベルの効果</v>
      </c>
      <c r="L302" s="36" t="str">
        <f>VLOOKUP(I302,[2]stage_hints!$A:$D,4,FALSE)</f>
        <v>スキルレベルが上がると_x000D_短いターンでスキルを使うことができます</v>
      </c>
      <c r="M302" s="21" t="s">
        <v>23</v>
      </c>
      <c r="N302">
        <v>26</v>
      </c>
    </row>
    <row r="303" spans="1:14" x14ac:dyDescent="0.15">
      <c r="A303" s="26" t="s">
        <v>32</v>
      </c>
      <c r="B303" s="4">
        <v>11104</v>
      </c>
      <c r="C303" s="3" t="str">
        <f ca="1">VLOOKUP($B303,OFFSET([1]quests!$A$1,0,0,COUNTA([1]quests!$A:$A),MATCH(C$1,[1]quests!$1:$1,0)-MATCH($B$1,[1]quests!$1:$1,0)+1),MATCH(C$1,[1]quests!$1:$1,0)-MATCH($B$1,[1]quests!$1:$1,0)+1,FALSE)</f>
        <v>【期間限定】 緑の素材</v>
      </c>
      <c r="D303" s="3" t="str">
        <f ca="1">VLOOKUP($B303,OFFSET([1]quests!$A$1,0,0,COUNTA([1]quests!$A:$A),MATCH(D$1,[1]quests!$1:$1,0)-MATCH($B$1,[1]quests!$1:$1,0)+1),MATCH(D$1,[1]quests!$1:$1,0)-MATCH($B$1,[1]quests!$1:$1,0)+1,FALSE)</f>
        <v>木曜クエスト</v>
      </c>
      <c r="E303" s="5">
        <v>2</v>
      </c>
      <c r="F303" s="3" t="str">
        <f ca="1">VLOOKUP($B303&amp;"_"&amp;$E303,OFFSET([1]stages!$A$1,0,0,COUNTA([1]stages!$A:$A),MATCH(F$1,[1]stages!$2:$2,0)-MATCH("temp_stage",[1]stages!$2:$2,0)+1),MATCH(F$1,[1]stages!$2:$2,0)-MATCH("temp_stage",[1]stages!$2:$2,0)+1,FALSE)</f>
        <v xml:space="preserve">【中級】樹のウサギ </v>
      </c>
      <c r="G303" s="3" t="str">
        <f ca="1">VLOOKUP($B303&amp;"_"&amp;$E303,OFFSET([1]stages!$A$1,0,0,COUNTA([1]stages!$A:$A),MATCH(G$1,[1]stages!$2:$2,0)-MATCH("temp_stage",[1]stages!$2:$2,0)+1),MATCH(G$1,[1]stages!$2:$2,0)-MATCH("temp_stage",[1]stages!$2:$2,0)+1,FALSE)</f>
        <v>木曜クエスト</v>
      </c>
      <c r="H303" s="18">
        <v>0</v>
      </c>
      <c r="I303">
        <v>27</v>
      </c>
      <c r="J303" s="5" t="s">
        <v>16</v>
      </c>
      <c r="K303" s="35" t="str">
        <f>VLOOKUP(I303,[2]stage_hints!$A:$C,3,FALSE)</f>
        <v>ホーム画面からデッキを編成</v>
      </c>
      <c r="L303" s="36" t="str">
        <f>VLOOKUP(I303,[2]stage_hints!$A:$D,4,FALSE)</f>
        <v>ホーム画面でユニットを長押しすると_x000D_すぐにパーティ編成に移動できます</v>
      </c>
      <c r="M303" s="21" t="s">
        <v>23</v>
      </c>
      <c r="N303">
        <v>27</v>
      </c>
    </row>
    <row r="304" spans="1:14" x14ac:dyDescent="0.15">
      <c r="A304" s="26" t="s">
        <v>32</v>
      </c>
      <c r="B304" s="4">
        <v>11104</v>
      </c>
      <c r="C304" s="3" t="str">
        <f ca="1">VLOOKUP($B304,OFFSET([1]quests!$A$1,0,0,COUNTA([1]quests!$A:$A),MATCH(C$1,[1]quests!$1:$1,0)-MATCH($B$1,[1]quests!$1:$1,0)+1),MATCH(C$1,[1]quests!$1:$1,0)-MATCH($B$1,[1]quests!$1:$1,0)+1,FALSE)</f>
        <v>【期間限定】 緑の素材</v>
      </c>
      <c r="D304" s="3" t="str">
        <f ca="1">VLOOKUP($B304,OFFSET([1]quests!$A$1,0,0,COUNTA([1]quests!$A:$A),MATCH(D$1,[1]quests!$1:$1,0)-MATCH($B$1,[1]quests!$1:$1,0)+1),MATCH(D$1,[1]quests!$1:$1,0)-MATCH($B$1,[1]quests!$1:$1,0)+1,FALSE)</f>
        <v>木曜クエスト</v>
      </c>
      <c r="E304" s="5">
        <v>2</v>
      </c>
      <c r="F304" s="3" t="str">
        <f ca="1">VLOOKUP($B304&amp;"_"&amp;$E304,OFFSET([1]stages!$A$1,0,0,COUNTA([1]stages!$A:$A),MATCH(F$1,[1]stages!$2:$2,0)-MATCH("temp_stage",[1]stages!$2:$2,0)+1),MATCH(F$1,[1]stages!$2:$2,0)-MATCH("temp_stage",[1]stages!$2:$2,0)+1,FALSE)</f>
        <v xml:space="preserve">【中級】樹のウサギ </v>
      </c>
      <c r="G304" s="3" t="str">
        <f ca="1">VLOOKUP($B304&amp;"_"&amp;$E304,OFFSET([1]stages!$A$1,0,0,COUNTA([1]stages!$A:$A),MATCH(G$1,[1]stages!$2:$2,0)-MATCH("temp_stage",[1]stages!$2:$2,0)+1),MATCH(G$1,[1]stages!$2:$2,0)-MATCH("temp_stage",[1]stages!$2:$2,0)+1,FALSE)</f>
        <v>木曜クエスト</v>
      </c>
      <c r="H304" s="18">
        <v>0</v>
      </c>
      <c r="I304">
        <v>28</v>
      </c>
      <c r="J304" s="5" t="s">
        <v>16</v>
      </c>
      <c r="K304" s="35" t="str">
        <f>VLOOKUP(I304,[2]stage_hints!$A:$C,3,FALSE)</f>
        <v>ステータス情報は長押しで</v>
      </c>
      <c r="L304" s="36" t="str">
        <f>VLOOKUP(I304,[2]stage_hints!$A:$D,4,FALSE)</f>
        <v>ユニットのアイコンを長押しすると_x000D_ステータス情報を確認することができます</v>
      </c>
      <c r="M304" s="21" t="s">
        <v>23</v>
      </c>
      <c r="N304">
        <v>28</v>
      </c>
    </row>
    <row r="305" spans="1:14" x14ac:dyDescent="0.15">
      <c r="A305" s="26" t="s">
        <v>32</v>
      </c>
      <c r="B305" s="4">
        <v>11104</v>
      </c>
      <c r="C305" s="3" t="str">
        <f ca="1">VLOOKUP($B305,OFFSET([1]quests!$A$1,0,0,COUNTA([1]quests!$A:$A),MATCH(C$1,[1]quests!$1:$1,0)-MATCH($B$1,[1]quests!$1:$1,0)+1),MATCH(C$1,[1]quests!$1:$1,0)-MATCH($B$1,[1]quests!$1:$1,0)+1,FALSE)</f>
        <v>【期間限定】 緑の素材</v>
      </c>
      <c r="D305" s="3" t="str">
        <f ca="1">VLOOKUP($B305,OFFSET([1]quests!$A$1,0,0,COUNTA([1]quests!$A:$A),MATCH(D$1,[1]quests!$1:$1,0)-MATCH($B$1,[1]quests!$1:$1,0)+1),MATCH(D$1,[1]quests!$1:$1,0)-MATCH($B$1,[1]quests!$1:$1,0)+1,FALSE)</f>
        <v>木曜クエスト</v>
      </c>
      <c r="E305" s="5">
        <v>2</v>
      </c>
      <c r="F305" s="3" t="str">
        <f ca="1">VLOOKUP($B305&amp;"_"&amp;$E305,OFFSET([1]stages!$A$1,0,0,COUNTA([1]stages!$A:$A),MATCH(F$1,[1]stages!$2:$2,0)-MATCH("temp_stage",[1]stages!$2:$2,0)+1),MATCH(F$1,[1]stages!$2:$2,0)-MATCH("temp_stage",[1]stages!$2:$2,0)+1,FALSE)</f>
        <v xml:space="preserve">【中級】樹のウサギ </v>
      </c>
      <c r="G305" s="3" t="str">
        <f ca="1">VLOOKUP($B305&amp;"_"&amp;$E305,OFFSET([1]stages!$A$1,0,0,COUNTA([1]stages!$A:$A),MATCH(G$1,[1]stages!$2:$2,0)-MATCH("temp_stage",[1]stages!$2:$2,0)+1),MATCH(G$1,[1]stages!$2:$2,0)-MATCH("temp_stage",[1]stages!$2:$2,0)+1,FALSE)</f>
        <v>木曜クエスト</v>
      </c>
      <c r="H305" s="18">
        <v>0</v>
      </c>
      <c r="I305">
        <v>29</v>
      </c>
      <c r="J305" s="5" t="s">
        <v>16</v>
      </c>
      <c r="K305" s="35" t="str">
        <f>VLOOKUP(I305,[2]stage_hints!$A:$C,3,FALSE)</f>
        <v>「バグ」のメリット</v>
      </c>
      <c r="L305" s="36" t="str">
        <f>VLOOKUP(I305,[2]stage_hints!$A:$D,4,FALSE)</f>
        <v>ユニットの「バグ」を増やすと_x000D_報酬をもらえる確率がアップします</v>
      </c>
      <c r="M305" s="21" t="s">
        <v>23</v>
      </c>
      <c r="N305">
        <v>29</v>
      </c>
    </row>
    <row r="306" spans="1:14" x14ac:dyDescent="0.15">
      <c r="A306" s="26" t="s">
        <v>32</v>
      </c>
      <c r="B306" s="4">
        <v>11104</v>
      </c>
      <c r="C306" s="3" t="str">
        <f ca="1">VLOOKUP($B306,OFFSET([1]quests!$A$1,0,0,COUNTA([1]quests!$A:$A),MATCH(C$1,[1]quests!$1:$1,0)-MATCH($B$1,[1]quests!$1:$1,0)+1),MATCH(C$1,[1]quests!$1:$1,0)-MATCH($B$1,[1]quests!$1:$1,0)+1,FALSE)</f>
        <v>【期間限定】 緑の素材</v>
      </c>
      <c r="D306" s="3" t="str">
        <f ca="1">VLOOKUP($B306,OFFSET([1]quests!$A$1,0,0,COUNTA([1]quests!$A:$A),MATCH(D$1,[1]quests!$1:$1,0)-MATCH($B$1,[1]quests!$1:$1,0)+1),MATCH(D$1,[1]quests!$1:$1,0)-MATCH($B$1,[1]quests!$1:$1,0)+1,FALSE)</f>
        <v>木曜クエスト</v>
      </c>
      <c r="E306" s="5">
        <v>2</v>
      </c>
      <c r="F306" s="3" t="str">
        <f ca="1">VLOOKUP($B306&amp;"_"&amp;$E306,OFFSET([1]stages!$A$1,0,0,COUNTA([1]stages!$A:$A),MATCH(F$1,[1]stages!$2:$2,0)-MATCH("temp_stage",[1]stages!$2:$2,0)+1),MATCH(F$1,[1]stages!$2:$2,0)-MATCH("temp_stage",[1]stages!$2:$2,0)+1,FALSE)</f>
        <v xml:space="preserve">【中級】樹のウサギ </v>
      </c>
      <c r="G306" s="3" t="str">
        <f ca="1">VLOOKUP($B306&amp;"_"&amp;$E306,OFFSET([1]stages!$A$1,0,0,COUNTA([1]stages!$A:$A),MATCH(G$1,[1]stages!$2:$2,0)-MATCH("temp_stage",[1]stages!$2:$2,0)+1),MATCH(G$1,[1]stages!$2:$2,0)-MATCH("temp_stage",[1]stages!$2:$2,0)+1,FALSE)</f>
        <v>木曜クエスト</v>
      </c>
      <c r="H306" s="18">
        <v>0</v>
      </c>
      <c r="I306">
        <v>30</v>
      </c>
      <c r="J306" s="5" t="s">
        <v>16</v>
      </c>
      <c r="K306" s="35" t="str">
        <f>VLOOKUP(I306,[2]stage_hints!$A:$C,3,FALSE)</f>
        <v>「バグ」の増やし方</v>
      </c>
      <c r="L306" s="36" t="str">
        <f>VLOOKUP(I306,[2]stage_hints!$A:$D,4,FALSE)</f>
        <v>同じユニット同士を強化で合成すると_x000D_「バグ」を増やすことができます</v>
      </c>
      <c r="M306" s="21" t="s">
        <v>23</v>
      </c>
      <c r="N306">
        <v>30</v>
      </c>
    </row>
    <row r="307" spans="1:14" x14ac:dyDescent="0.15">
      <c r="A307" s="26" t="s">
        <v>32</v>
      </c>
      <c r="B307" s="4">
        <v>11104</v>
      </c>
      <c r="C307" s="3" t="str">
        <f ca="1">VLOOKUP($B307,OFFSET([1]quests!$A$1,0,0,COUNTA([1]quests!$A:$A),MATCH(C$1,[1]quests!$1:$1,0)-MATCH($B$1,[1]quests!$1:$1,0)+1),MATCH(C$1,[1]quests!$1:$1,0)-MATCH($B$1,[1]quests!$1:$1,0)+1,FALSE)</f>
        <v>【期間限定】 緑の素材</v>
      </c>
      <c r="D307" s="3" t="str">
        <f ca="1">VLOOKUP($B307,OFFSET([1]quests!$A$1,0,0,COUNTA([1]quests!$A:$A),MATCH(D$1,[1]quests!$1:$1,0)-MATCH($B$1,[1]quests!$1:$1,0)+1),MATCH(D$1,[1]quests!$1:$1,0)-MATCH($B$1,[1]quests!$1:$1,0)+1,FALSE)</f>
        <v>木曜クエスト</v>
      </c>
      <c r="E307" s="5">
        <v>2</v>
      </c>
      <c r="F307" s="3" t="str">
        <f ca="1">VLOOKUP($B307&amp;"_"&amp;$E307,OFFSET([1]stages!$A$1,0,0,COUNTA([1]stages!$A:$A),MATCH(F$1,[1]stages!$2:$2,0)-MATCH("temp_stage",[1]stages!$2:$2,0)+1),MATCH(F$1,[1]stages!$2:$2,0)-MATCH("temp_stage",[1]stages!$2:$2,0)+1,FALSE)</f>
        <v xml:space="preserve">【中級】樹のウサギ </v>
      </c>
      <c r="G307" s="3" t="str">
        <f ca="1">VLOOKUP($B307&amp;"_"&amp;$E307,OFFSET([1]stages!$A$1,0,0,COUNTA([1]stages!$A:$A),MATCH(G$1,[1]stages!$2:$2,0)-MATCH("temp_stage",[1]stages!$2:$2,0)+1),MATCH(G$1,[1]stages!$2:$2,0)-MATCH("temp_stage",[1]stages!$2:$2,0)+1,FALSE)</f>
        <v>木曜クエスト</v>
      </c>
      <c r="H307" s="18">
        <v>0</v>
      </c>
      <c r="I307">
        <v>31</v>
      </c>
      <c r="J307" s="5" t="s">
        <v>16</v>
      </c>
      <c r="K307" s="35" t="str">
        <f>VLOOKUP(I307,[2]stage_hints!$A:$C,3,FALSE)</f>
        <v>イベントはお知らせでチェック</v>
      </c>
      <c r="L307" s="36" t="str">
        <f>VLOOKUP(I307,[2]stage_hints!$A:$D,4,FALSE)</f>
        <v>イベント限定ユニットを取り忘れないように_x000D_お知らせをこまめにチェックしましょう</v>
      </c>
      <c r="M307" s="21" t="s">
        <v>23</v>
      </c>
      <c r="N307">
        <v>31</v>
      </c>
    </row>
    <row r="308" spans="1:14" x14ac:dyDescent="0.15">
      <c r="A308" s="26" t="s">
        <v>32</v>
      </c>
      <c r="B308" s="4">
        <v>11104</v>
      </c>
      <c r="C308" s="3" t="str">
        <f ca="1">VLOOKUP($B308,OFFSET([1]quests!$A$1,0,0,COUNTA([1]quests!$A:$A),MATCH(C$1,[1]quests!$1:$1,0)-MATCH($B$1,[1]quests!$1:$1,0)+1),MATCH(C$1,[1]quests!$1:$1,0)-MATCH($B$1,[1]quests!$1:$1,0)+1,FALSE)</f>
        <v>【期間限定】 緑の素材</v>
      </c>
      <c r="D308" s="3" t="str">
        <f ca="1">VLOOKUP($B308,OFFSET([1]quests!$A$1,0,0,COUNTA([1]quests!$A:$A),MATCH(D$1,[1]quests!$1:$1,0)-MATCH($B$1,[1]quests!$1:$1,0)+1),MATCH(D$1,[1]quests!$1:$1,0)-MATCH($B$1,[1]quests!$1:$1,0)+1,FALSE)</f>
        <v>木曜クエスト</v>
      </c>
      <c r="E308" s="5">
        <v>2</v>
      </c>
      <c r="F308" s="3" t="str">
        <f ca="1">VLOOKUP($B308&amp;"_"&amp;$E308,OFFSET([1]stages!$A$1,0,0,COUNTA([1]stages!$A:$A),MATCH(F$1,[1]stages!$2:$2,0)-MATCH("temp_stage",[1]stages!$2:$2,0)+1),MATCH(F$1,[1]stages!$2:$2,0)-MATCH("temp_stage",[1]stages!$2:$2,0)+1,FALSE)</f>
        <v xml:space="preserve">【中級】樹のウサギ </v>
      </c>
      <c r="G308" s="3" t="str">
        <f ca="1">VLOOKUP($B308&amp;"_"&amp;$E308,OFFSET([1]stages!$A$1,0,0,COUNTA([1]stages!$A:$A),MATCH(G$1,[1]stages!$2:$2,0)-MATCH("temp_stage",[1]stages!$2:$2,0)+1),MATCH(G$1,[1]stages!$2:$2,0)-MATCH("temp_stage",[1]stages!$2:$2,0)+1,FALSE)</f>
        <v>木曜クエスト</v>
      </c>
      <c r="H308" s="18">
        <v>0</v>
      </c>
      <c r="I308">
        <v>32</v>
      </c>
      <c r="J308" s="5" t="s">
        <v>16</v>
      </c>
      <c r="K308" s="35" t="str">
        <f>VLOOKUP(I308,[2]stage_hints!$A:$C,3,FALSE)</f>
        <v>敵の連続攻撃には</v>
      </c>
      <c r="L308" s="36" t="str">
        <f>VLOOKUP(I308,[2]stage_hints!$A:$D,4,FALSE)</f>
        <v>カウンタースキルを持つユニットがいれば_x000D_ダメージ回数分の反撃ができます</v>
      </c>
      <c r="M308" s="21" t="s">
        <v>23</v>
      </c>
      <c r="N308">
        <v>32</v>
      </c>
    </row>
    <row r="309" spans="1:14" x14ac:dyDescent="0.15">
      <c r="A309" s="26" t="s">
        <v>32</v>
      </c>
      <c r="B309" s="4">
        <v>11104</v>
      </c>
      <c r="C309" s="3" t="str">
        <f ca="1">VLOOKUP($B309,OFFSET([1]quests!$A$1,0,0,COUNTA([1]quests!$A:$A),MATCH(C$1,[1]quests!$1:$1,0)-MATCH($B$1,[1]quests!$1:$1,0)+1),MATCH(C$1,[1]quests!$1:$1,0)-MATCH($B$1,[1]quests!$1:$1,0)+1,FALSE)</f>
        <v>【期間限定】 緑の素材</v>
      </c>
      <c r="D309" s="3" t="str">
        <f ca="1">VLOOKUP($B309,OFFSET([1]quests!$A$1,0,0,COUNTA([1]quests!$A:$A),MATCH(D$1,[1]quests!$1:$1,0)-MATCH($B$1,[1]quests!$1:$1,0)+1),MATCH(D$1,[1]quests!$1:$1,0)-MATCH($B$1,[1]quests!$1:$1,0)+1,FALSE)</f>
        <v>木曜クエスト</v>
      </c>
      <c r="E309" s="5">
        <v>2</v>
      </c>
      <c r="F309" s="3" t="str">
        <f ca="1">VLOOKUP($B309&amp;"_"&amp;$E309,OFFSET([1]stages!$A$1,0,0,COUNTA([1]stages!$A:$A),MATCH(F$1,[1]stages!$2:$2,0)-MATCH("temp_stage",[1]stages!$2:$2,0)+1),MATCH(F$1,[1]stages!$2:$2,0)-MATCH("temp_stage",[1]stages!$2:$2,0)+1,FALSE)</f>
        <v xml:space="preserve">【中級】樹のウサギ </v>
      </c>
      <c r="G309" s="3" t="str">
        <f ca="1">VLOOKUP($B309&amp;"_"&amp;$E309,OFFSET([1]stages!$A$1,0,0,COUNTA([1]stages!$A:$A),MATCH(G$1,[1]stages!$2:$2,0)-MATCH("temp_stage",[1]stages!$2:$2,0)+1),MATCH(G$1,[1]stages!$2:$2,0)-MATCH("temp_stage",[1]stages!$2:$2,0)+1,FALSE)</f>
        <v>木曜クエスト</v>
      </c>
      <c r="H309" s="18">
        <v>0</v>
      </c>
      <c r="I309">
        <v>33</v>
      </c>
      <c r="J309" s="5" t="s">
        <v>16</v>
      </c>
      <c r="K309" s="35" t="str">
        <f>VLOOKUP(I309,[2]stage_hints!$A:$C,3,FALSE)</f>
        <v>敵のカウンター攻撃には</v>
      </c>
      <c r="L309" s="36" t="str">
        <f>VLOOKUP(I309,[2]stage_hints!$A:$D,4,FALSE)</f>
        <v>カウンターブレイクスキルを持っていれば_x000D_敵のカウンターを解除して攻撃ができます</v>
      </c>
      <c r="M309" s="21" t="s">
        <v>23</v>
      </c>
      <c r="N309">
        <v>33</v>
      </c>
    </row>
    <row r="310" spans="1:14" x14ac:dyDescent="0.15">
      <c r="A310" s="26" t="s">
        <v>32</v>
      </c>
      <c r="B310" s="4">
        <v>11104</v>
      </c>
      <c r="C310" s="3" t="str">
        <f ca="1">VLOOKUP($B310,OFFSET([1]quests!$A$1,0,0,COUNTA([1]quests!$A:$A),MATCH(C$1,[1]quests!$1:$1,0)-MATCH($B$1,[1]quests!$1:$1,0)+1),MATCH(C$1,[1]quests!$1:$1,0)-MATCH($B$1,[1]quests!$1:$1,0)+1,FALSE)</f>
        <v>【期間限定】 緑の素材</v>
      </c>
      <c r="D310" s="3" t="str">
        <f ca="1">VLOOKUP($B310,OFFSET([1]quests!$A$1,0,0,COUNTA([1]quests!$A:$A),MATCH(D$1,[1]quests!$1:$1,0)-MATCH($B$1,[1]quests!$1:$1,0)+1),MATCH(D$1,[1]quests!$1:$1,0)-MATCH($B$1,[1]quests!$1:$1,0)+1,FALSE)</f>
        <v>木曜クエスト</v>
      </c>
      <c r="E310" s="5">
        <v>2</v>
      </c>
      <c r="F310" s="3" t="str">
        <f ca="1">VLOOKUP($B310&amp;"_"&amp;$E310,OFFSET([1]stages!$A$1,0,0,COUNTA([1]stages!$A:$A),MATCH(F$1,[1]stages!$2:$2,0)-MATCH("temp_stage",[1]stages!$2:$2,0)+1),MATCH(F$1,[1]stages!$2:$2,0)-MATCH("temp_stage",[1]stages!$2:$2,0)+1,FALSE)</f>
        <v xml:space="preserve">【中級】樹のウサギ </v>
      </c>
      <c r="G310" s="3" t="str">
        <f ca="1">VLOOKUP($B310&amp;"_"&amp;$E310,OFFSET([1]stages!$A$1,0,0,COUNTA([1]stages!$A:$A),MATCH(G$1,[1]stages!$2:$2,0)-MATCH("temp_stage",[1]stages!$2:$2,0)+1),MATCH(G$1,[1]stages!$2:$2,0)-MATCH("temp_stage",[1]stages!$2:$2,0)+1,FALSE)</f>
        <v>木曜クエスト</v>
      </c>
      <c r="H310" s="18">
        <v>0</v>
      </c>
      <c r="I310">
        <v>34</v>
      </c>
      <c r="J310" s="5" t="s">
        <v>16</v>
      </c>
      <c r="K310" s="35" t="str">
        <f>VLOOKUP(I310,[2]stage_hints!$A:$C,3,FALSE)</f>
        <v>ステータスをスキルで下げられたら</v>
      </c>
      <c r="L310" s="36" t="str">
        <f>VLOOKUP(I310,[2]stage_hints!$A:$D,4,FALSE)</f>
        <v>ステータスダウンのスキルを受けたら_x000D_ステータスアップスキルで上書きしましょう</v>
      </c>
      <c r="M310" s="21" t="s">
        <v>23</v>
      </c>
      <c r="N310">
        <v>34</v>
      </c>
    </row>
    <row r="311" spans="1:14" x14ac:dyDescent="0.15">
      <c r="A311" s="26" t="s">
        <v>32</v>
      </c>
      <c r="B311" s="4">
        <v>11104</v>
      </c>
      <c r="C311" s="3" t="str">
        <f ca="1">VLOOKUP($B311,OFFSET([1]quests!$A$1,0,0,COUNTA([1]quests!$A:$A),MATCH(C$1,[1]quests!$1:$1,0)-MATCH($B$1,[1]quests!$1:$1,0)+1),MATCH(C$1,[1]quests!$1:$1,0)-MATCH($B$1,[1]quests!$1:$1,0)+1,FALSE)</f>
        <v>【期間限定】 緑の素材</v>
      </c>
      <c r="D311" s="3" t="str">
        <f ca="1">VLOOKUP($B311,OFFSET([1]quests!$A$1,0,0,COUNTA([1]quests!$A:$A),MATCH(D$1,[1]quests!$1:$1,0)-MATCH($B$1,[1]quests!$1:$1,0)+1),MATCH(D$1,[1]quests!$1:$1,0)-MATCH($B$1,[1]quests!$1:$1,0)+1,FALSE)</f>
        <v>木曜クエスト</v>
      </c>
      <c r="E311" s="5">
        <v>2</v>
      </c>
      <c r="F311" s="3" t="str">
        <f ca="1">VLOOKUP($B311&amp;"_"&amp;$E311,OFFSET([1]stages!$A$1,0,0,COUNTA([1]stages!$A:$A),MATCH(F$1,[1]stages!$2:$2,0)-MATCH("temp_stage",[1]stages!$2:$2,0)+1),MATCH(F$1,[1]stages!$2:$2,0)-MATCH("temp_stage",[1]stages!$2:$2,0)+1,FALSE)</f>
        <v xml:space="preserve">【中級】樹のウサギ </v>
      </c>
      <c r="G311" s="3" t="str">
        <f ca="1">VLOOKUP($B311&amp;"_"&amp;$E311,OFFSET([1]stages!$A$1,0,0,COUNTA([1]stages!$A:$A),MATCH(G$1,[1]stages!$2:$2,0)-MATCH("temp_stage",[1]stages!$2:$2,0)+1),MATCH(G$1,[1]stages!$2:$2,0)-MATCH("temp_stage",[1]stages!$2:$2,0)+1,FALSE)</f>
        <v>木曜クエスト</v>
      </c>
      <c r="H311" s="18">
        <v>0</v>
      </c>
      <c r="I311">
        <v>35</v>
      </c>
      <c r="J311" s="5" t="s">
        <v>16</v>
      </c>
      <c r="K311" s="35" t="str">
        <f>VLOOKUP(I311,[2]stage_hints!$A:$C,3,FALSE)</f>
        <v>敵のステータスがスキルで上がったら</v>
      </c>
      <c r="L311" s="36" t="str">
        <f>VLOOKUP(I311,[2]stage_hints!$A:$D,4,FALSE)</f>
        <v>敵のステータスがスキルでアップしたときは_x000D_ステータスダウンスキルで上書きしましょう</v>
      </c>
      <c r="M311" s="21" t="s">
        <v>23</v>
      </c>
      <c r="N311">
        <v>35</v>
      </c>
    </row>
    <row r="312" spans="1:14" x14ac:dyDescent="0.15">
      <c r="A312" s="26" t="s">
        <v>32</v>
      </c>
      <c r="B312" s="4">
        <v>11006</v>
      </c>
      <c r="C312" s="3" t="str">
        <f ca="1">VLOOKUP($B312,OFFSET([1]quests!$A$1,0,0,COUNTA([1]quests!$A:$A),MATCH(C$1,[1]quests!$1:$1,0)-MATCH($B$1,[1]quests!$1:$1,0)+1),MATCH(C$1,[1]quests!$1:$1,0)-MATCH($B$1,[1]quests!$1:$1,0)+1,FALSE)</f>
        <v>【土日限定】 ゴールドカジノ</v>
      </c>
      <c r="D312" s="3" t="str">
        <f ca="1">VLOOKUP($B312,OFFSET([1]quests!$A$1,0,0,COUNTA([1]quests!$A:$A),MATCH(D$1,[1]quests!$1:$1,0)-MATCH($B$1,[1]quests!$1:$1,0)+1),MATCH(D$1,[1]quests!$1:$1,0)-MATCH($B$1,[1]quests!$1:$1,0)+1,FALSE)</f>
        <v>土日クエスト</v>
      </c>
      <c r="E312" s="5">
        <v>2</v>
      </c>
      <c r="F312" s="3" t="str">
        <f ca="1">VLOOKUP($B312&amp;"_"&amp;$E312,OFFSET([1]stages!$A$1,0,0,COUNTA([1]stages!$A:$A),MATCH(F$1,[1]stages!$2:$2,0)-MATCH("temp_stage",[1]stages!$2:$2,0)+1),MATCH(F$1,[1]stages!$2:$2,0)-MATCH("temp_stage",[1]stages!$2:$2,0)+1,FALSE)</f>
        <v xml:space="preserve">【中級】ゴールドカジノ </v>
      </c>
      <c r="G312" s="3" t="str">
        <f ca="1">VLOOKUP($B312&amp;"_"&amp;$E312,OFFSET([1]stages!$A$1,0,0,COUNTA([1]stages!$A:$A),MATCH(G$1,[1]stages!$2:$2,0)-MATCH("temp_stage",[1]stages!$2:$2,0)+1),MATCH(G$1,[1]stages!$2:$2,0)-MATCH("temp_stage",[1]stages!$2:$2,0)+1,FALSE)</f>
        <v>土日クエスト</v>
      </c>
      <c r="H312" s="18">
        <v>0</v>
      </c>
      <c r="I312">
        <v>3</v>
      </c>
      <c r="J312" s="5" t="s">
        <v>16</v>
      </c>
      <c r="K312" s="35" t="str">
        <f>VLOOKUP(I312,[2]stage_hints!$A:$C,3,FALSE)</f>
        <v>ターゲット</v>
      </c>
      <c r="L312" s="36" t="str">
        <f>VLOOKUP(I312,[2]stage_hints!$A:$D,4,FALSE)</f>
        <v>敵ユニットをタップすると_x000D_その敵を狙い撃ちできます</v>
      </c>
      <c r="M312" s="21" t="s">
        <v>23</v>
      </c>
      <c r="N312">
        <v>3</v>
      </c>
    </row>
    <row r="313" spans="1:14" x14ac:dyDescent="0.15">
      <c r="A313" s="26" t="s">
        <v>32</v>
      </c>
      <c r="B313" s="4">
        <v>11006</v>
      </c>
      <c r="C313" s="3" t="str">
        <f ca="1">VLOOKUP($B313,OFFSET([1]quests!$A$1,0,0,COUNTA([1]quests!$A:$A),MATCH(C$1,[1]quests!$1:$1,0)-MATCH($B$1,[1]quests!$1:$1,0)+1),MATCH(C$1,[1]quests!$1:$1,0)-MATCH($B$1,[1]quests!$1:$1,0)+1,FALSE)</f>
        <v>【土日限定】 ゴールドカジノ</v>
      </c>
      <c r="D313" s="3" t="str">
        <f ca="1">VLOOKUP($B313,OFFSET([1]quests!$A$1,0,0,COUNTA([1]quests!$A:$A),MATCH(D$1,[1]quests!$1:$1,0)-MATCH($B$1,[1]quests!$1:$1,0)+1),MATCH(D$1,[1]quests!$1:$1,0)-MATCH($B$1,[1]quests!$1:$1,0)+1,FALSE)</f>
        <v>土日クエスト</v>
      </c>
      <c r="E313" s="5">
        <v>2</v>
      </c>
      <c r="F313" s="3" t="str">
        <f ca="1">VLOOKUP($B313&amp;"_"&amp;$E313,OFFSET([1]stages!$A$1,0,0,COUNTA([1]stages!$A:$A),MATCH(F$1,[1]stages!$2:$2,0)-MATCH("temp_stage",[1]stages!$2:$2,0)+1),MATCH(F$1,[1]stages!$2:$2,0)-MATCH("temp_stage",[1]stages!$2:$2,0)+1,FALSE)</f>
        <v xml:space="preserve">【中級】ゴールドカジノ </v>
      </c>
      <c r="G313" s="3" t="str">
        <f ca="1">VLOOKUP($B313&amp;"_"&amp;$E313,OFFSET([1]stages!$A$1,0,0,COUNTA([1]stages!$A:$A),MATCH(G$1,[1]stages!$2:$2,0)-MATCH("temp_stage",[1]stages!$2:$2,0)+1),MATCH(G$1,[1]stages!$2:$2,0)-MATCH("temp_stage",[1]stages!$2:$2,0)+1,FALSE)</f>
        <v>土日クエスト</v>
      </c>
      <c r="H313" s="18">
        <v>0</v>
      </c>
      <c r="I313">
        <v>6</v>
      </c>
      <c r="J313" s="5" t="s">
        <v>16</v>
      </c>
      <c r="K313" s="35" t="str">
        <f>VLOOKUP(I313,[2]stage_hints!$A:$C,3,FALSE)</f>
        <v>ユニット強化の属性ボーナス</v>
      </c>
      <c r="L313" s="36" t="str">
        <f>VLOOKUP(I313,[2]stage_hints!$A:$D,4,FALSE)</f>
        <v>同属性ユニットを強化素材にすると_x000D_経験値が多くもらえます</v>
      </c>
      <c r="M313" s="21" t="s">
        <v>23</v>
      </c>
      <c r="N313">
        <v>6</v>
      </c>
    </row>
    <row r="314" spans="1:14" x14ac:dyDescent="0.15">
      <c r="A314" s="26" t="s">
        <v>32</v>
      </c>
      <c r="B314" s="4">
        <v>11006</v>
      </c>
      <c r="C314" s="3" t="str">
        <f ca="1">VLOOKUP($B314,OFFSET([1]quests!$A$1,0,0,COUNTA([1]quests!$A:$A),MATCH(C$1,[1]quests!$1:$1,0)-MATCH($B$1,[1]quests!$1:$1,0)+1),MATCH(C$1,[1]quests!$1:$1,0)-MATCH($B$1,[1]quests!$1:$1,0)+1,FALSE)</f>
        <v>【土日限定】 ゴールドカジノ</v>
      </c>
      <c r="D314" s="3" t="str">
        <f ca="1">VLOOKUP($B314,OFFSET([1]quests!$A$1,0,0,COUNTA([1]quests!$A:$A),MATCH(D$1,[1]quests!$1:$1,0)-MATCH($B$1,[1]quests!$1:$1,0)+1),MATCH(D$1,[1]quests!$1:$1,0)-MATCH($B$1,[1]quests!$1:$1,0)+1,FALSE)</f>
        <v>土日クエスト</v>
      </c>
      <c r="E314" s="5">
        <v>2</v>
      </c>
      <c r="F314" s="3" t="str">
        <f ca="1">VLOOKUP($B314&amp;"_"&amp;$E314,OFFSET([1]stages!$A$1,0,0,COUNTA([1]stages!$A:$A),MATCH(F$1,[1]stages!$2:$2,0)-MATCH("temp_stage",[1]stages!$2:$2,0)+1),MATCH(F$1,[1]stages!$2:$2,0)-MATCH("temp_stage",[1]stages!$2:$2,0)+1,FALSE)</f>
        <v xml:space="preserve">【中級】ゴールドカジノ </v>
      </c>
      <c r="G314" s="3" t="str">
        <f ca="1">VLOOKUP($B314&amp;"_"&amp;$E314,OFFSET([1]stages!$A$1,0,0,COUNTA([1]stages!$A:$A),MATCH(G$1,[1]stages!$2:$2,0)-MATCH("temp_stage",[1]stages!$2:$2,0)+1),MATCH(G$1,[1]stages!$2:$2,0)-MATCH("temp_stage",[1]stages!$2:$2,0)+1,FALSE)</f>
        <v>土日クエスト</v>
      </c>
      <c r="H314" s="18">
        <v>0</v>
      </c>
      <c r="I314">
        <v>7</v>
      </c>
      <c r="J314" s="5" t="s">
        <v>16</v>
      </c>
      <c r="K314" s="35" t="str">
        <f>VLOOKUP(I314,[2]stage_hints!$A:$C,3,FALSE)</f>
        <v>メタルダックで経験値を獲得</v>
      </c>
      <c r="L314" s="36" t="str">
        <f>VLOOKUP(I314,[2]stage_hints!$A:$D,4,FALSE)</f>
        <v>「メタルなアヒル」を強化素材にすると_x000D_大量の経験値がもらえます</v>
      </c>
      <c r="M314" s="21" t="s">
        <v>23</v>
      </c>
      <c r="N314">
        <v>7</v>
      </c>
    </row>
    <row r="315" spans="1:14" x14ac:dyDescent="0.15">
      <c r="A315" s="26" t="s">
        <v>32</v>
      </c>
      <c r="B315" s="4">
        <v>11006</v>
      </c>
      <c r="C315" s="3" t="str">
        <f ca="1">VLOOKUP($B315,OFFSET([1]quests!$A$1,0,0,COUNTA([1]quests!$A:$A),MATCH(C$1,[1]quests!$1:$1,0)-MATCH($B$1,[1]quests!$1:$1,0)+1),MATCH(C$1,[1]quests!$1:$1,0)-MATCH($B$1,[1]quests!$1:$1,0)+1,FALSE)</f>
        <v>【土日限定】 ゴールドカジノ</v>
      </c>
      <c r="D315" s="3" t="str">
        <f ca="1">VLOOKUP($B315,OFFSET([1]quests!$A$1,0,0,COUNTA([1]quests!$A:$A),MATCH(D$1,[1]quests!$1:$1,0)-MATCH($B$1,[1]quests!$1:$1,0)+1),MATCH(D$1,[1]quests!$1:$1,0)-MATCH($B$1,[1]quests!$1:$1,0)+1,FALSE)</f>
        <v>土日クエスト</v>
      </c>
      <c r="E315" s="5">
        <v>2</v>
      </c>
      <c r="F315" s="3" t="str">
        <f ca="1">VLOOKUP($B315&amp;"_"&amp;$E315,OFFSET([1]stages!$A$1,0,0,COUNTA([1]stages!$A:$A),MATCH(F$1,[1]stages!$2:$2,0)-MATCH("temp_stage",[1]stages!$2:$2,0)+1),MATCH(F$1,[1]stages!$2:$2,0)-MATCH("temp_stage",[1]stages!$2:$2,0)+1,FALSE)</f>
        <v xml:space="preserve">【中級】ゴールドカジノ </v>
      </c>
      <c r="G315" s="3" t="str">
        <f ca="1">VLOOKUP($B315&amp;"_"&amp;$E315,OFFSET([1]stages!$A$1,0,0,COUNTA([1]stages!$A:$A),MATCH(G$1,[1]stages!$2:$2,0)-MATCH("temp_stage",[1]stages!$2:$2,0)+1),MATCH(G$1,[1]stages!$2:$2,0)-MATCH("temp_stage",[1]stages!$2:$2,0)+1,FALSE)</f>
        <v>土日クエスト</v>
      </c>
      <c r="H315" s="18">
        <v>0</v>
      </c>
      <c r="I315">
        <v>8</v>
      </c>
      <c r="J315" s="5" t="s">
        <v>16</v>
      </c>
      <c r="K315" s="35" t="str">
        <f>VLOOKUP(I315,[2]stage_hints!$A:$C,3,FALSE)</f>
        <v>ゲリラクエストは要チェック</v>
      </c>
      <c r="L315" s="36" t="str">
        <f>VLOOKUP(I315,[2]stage_hints!$A:$D,4,FALSE)</f>
        <v>時間限定の「アヒル捕獲作戦」では_x000D_経験値素材ユニットが多く手に入ります</v>
      </c>
      <c r="M315" s="21" t="s">
        <v>23</v>
      </c>
      <c r="N315">
        <v>8</v>
      </c>
    </row>
    <row r="316" spans="1:14" x14ac:dyDescent="0.15">
      <c r="A316" s="26" t="s">
        <v>32</v>
      </c>
      <c r="B316" s="4">
        <v>11006</v>
      </c>
      <c r="C316" s="3" t="str">
        <f ca="1">VLOOKUP($B316,OFFSET([1]quests!$A$1,0,0,COUNTA([1]quests!$A:$A),MATCH(C$1,[1]quests!$1:$1,0)-MATCH($B$1,[1]quests!$1:$1,0)+1),MATCH(C$1,[1]quests!$1:$1,0)-MATCH($B$1,[1]quests!$1:$1,0)+1,FALSE)</f>
        <v>【土日限定】 ゴールドカジノ</v>
      </c>
      <c r="D316" s="3" t="str">
        <f ca="1">VLOOKUP($B316,OFFSET([1]quests!$A$1,0,0,COUNTA([1]quests!$A:$A),MATCH(D$1,[1]quests!$1:$1,0)-MATCH($B$1,[1]quests!$1:$1,0)+1),MATCH(D$1,[1]quests!$1:$1,0)-MATCH($B$1,[1]quests!$1:$1,0)+1,FALSE)</f>
        <v>土日クエスト</v>
      </c>
      <c r="E316" s="5">
        <v>2</v>
      </c>
      <c r="F316" s="3" t="str">
        <f ca="1">VLOOKUP($B316&amp;"_"&amp;$E316,OFFSET([1]stages!$A$1,0,0,COUNTA([1]stages!$A:$A),MATCH(F$1,[1]stages!$2:$2,0)-MATCH("temp_stage",[1]stages!$2:$2,0)+1),MATCH(F$1,[1]stages!$2:$2,0)-MATCH("temp_stage",[1]stages!$2:$2,0)+1,FALSE)</f>
        <v xml:space="preserve">【中級】ゴールドカジノ </v>
      </c>
      <c r="G316" s="3" t="str">
        <f ca="1">VLOOKUP($B316&amp;"_"&amp;$E316,OFFSET([1]stages!$A$1,0,0,COUNTA([1]stages!$A:$A),MATCH(G$1,[1]stages!$2:$2,0)-MATCH("temp_stage",[1]stages!$2:$2,0)+1),MATCH(G$1,[1]stages!$2:$2,0)-MATCH("temp_stage",[1]stages!$2:$2,0)+1,FALSE)</f>
        <v>土日クエスト</v>
      </c>
      <c r="H316" s="18">
        <v>0</v>
      </c>
      <c r="I316">
        <v>9</v>
      </c>
      <c r="J316" s="5" t="s">
        <v>16</v>
      </c>
      <c r="K316" s="35" t="str">
        <f>VLOOKUP(I316,[2]stage_hints!$A:$C,3,FALSE)</f>
        <v>ゴールドダックでビットを獲得</v>
      </c>
      <c r="L316" s="36" t="str">
        <f>VLOOKUP(I316,[2]stage_hints!$A:$D,4,FALSE)</f>
        <v>「ゴールドなアヒル」を売却すると_x000D_大量のビットがもらえます</v>
      </c>
      <c r="M316" s="21" t="s">
        <v>23</v>
      </c>
      <c r="N316">
        <v>9</v>
      </c>
    </row>
    <row r="317" spans="1:14" x14ac:dyDescent="0.15">
      <c r="A317" s="26" t="s">
        <v>32</v>
      </c>
      <c r="B317" s="4">
        <v>11006</v>
      </c>
      <c r="C317" s="3" t="str">
        <f ca="1">VLOOKUP($B317,OFFSET([1]quests!$A$1,0,0,COUNTA([1]quests!$A:$A),MATCH(C$1,[1]quests!$1:$1,0)-MATCH($B$1,[1]quests!$1:$1,0)+1),MATCH(C$1,[1]quests!$1:$1,0)-MATCH($B$1,[1]quests!$1:$1,0)+1,FALSE)</f>
        <v>【土日限定】 ゴールドカジノ</v>
      </c>
      <c r="D317" s="3" t="str">
        <f ca="1">VLOOKUP($B317,OFFSET([1]quests!$A$1,0,0,COUNTA([1]quests!$A:$A),MATCH(D$1,[1]quests!$1:$1,0)-MATCH($B$1,[1]quests!$1:$1,0)+1),MATCH(D$1,[1]quests!$1:$1,0)-MATCH($B$1,[1]quests!$1:$1,0)+1,FALSE)</f>
        <v>土日クエスト</v>
      </c>
      <c r="E317" s="5">
        <v>2</v>
      </c>
      <c r="F317" s="3" t="str">
        <f ca="1">VLOOKUP($B317&amp;"_"&amp;$E317,OFFSET([1]stages!$A$1,0,0,COUNTA([1]stages!$A:$A),MATCH(F$1,[1]stages!$2:$2,0)-MATCH("temp_stage",[1]stages!$2:$2,0)+1),MATCH(F$1,[1]stages!$2:$2,0)-MATCH("temp_stage",[1]stages!$2:$2,0)+1,FALSE)</f>
        <v xml:space="preserve">【中級】ゴールドカジノ </v>
      </c>
      <c r="G317" s="3" t="str">
        <f ca="1">VLOOKUP($B317&amp;"_"&amp;$E317,OFFSET([1]stages!$A$1,0,0,COUNTA([1]stages!$A:$A),MATCH(G$1,[1]stages!$2:$2,0)-MATCH("temp_stage",[1]stages!$2:$2,0)+1),MATCH(G$1,[1]stages!$2:$2,0)-MATCH("temp_stage",[1]stages!$2:$2,0)+1,FALSE)</f>
        <v>土日クエスト</v>
      </c>
      <c r="H317" s="18">
        <v>0</v>
      </c>
      <c r="I317">
        <v>10</v>
      </c>
      <c r="J317" s="5" t="s">
        <v>16</v>
      </c>
      <c r="K317" s="35" t="str">
        <f>VLOOKUP(I317,[2]stage_hints!$A:$C,3,FALSE)</f>
        <v>土日に大量のビットを獲得</v>
      </c>
      <c r="L317" s="36" t="str">
        <f>VLOOKUP(I317,[2]stage_hints!$A:$D,4,FALSE)</f>
        <v>土日限定の「ゴールドカジノ」では_x000D_売却素材ユニットが多く手に入ります</v>
      </c>
      <c r="M317" s="21" t="s">
        <v>23</v>
      </c>
      <c r="N317">
        <v>10</v>
      </c>
    </row>
    <row r="318" spans="1:14" x14ac:dyDescent="0.15">
      <c r="A318" s="26" t="s">
        <v>32</v>
      </c>
      <c r="B318" s="4">
        <v>11006</v>
      </c>
      <c r="C318" s="3" t="str">
        <f ca="1">VLOOKUP($B318,OFFSET([1]quests!$A$1,0,0,COUNTA([1]quests!$A:$A),MATCH(C$1,[1]quests!$1:$1,0)-MATCH($B$1,[1]quests!$1:$1,0)+1),MATCH(C$1,[1]quests!$1:$1,0)-MATCH($B$1,[1]quests!$1:$1,0)+1,FALSE)</f>
        <v>【土日限定】 ゴールドカジノ</v>
      </c>
      <c r="D318" s="3" t="str">
        <f ca="1">VLOOKUP($B318,OFFSET([1]quests!$A$1,0,0,COUNTA([1]quests!$A:$A),MATCH(D$1,[1]quests!$1:$1,0)-MATCH($B$1,[1]quests!$1:$1,0)+1),MATCH(D$1,[1]quests!$1:$1,0)-MATCH($B$1,[1]quests!$1:$1,0)+1,FALSE)</f>
        <v>土日クエスト</v>
      </c>
      <c r="E318" s="5">
        <v>2</v>
      </c>
      <c r="F318" s="3" t="str">
        <f ca="1">VLOOKUP($B318&amp;"_"&amp;$E318,OFFSET([1]stages!$A$1,0,0,COUNTA([1]stages!$A:$A),MATCH(F$1,[1]stages!$2:$2,0)-MATCH("temp_stage",[1]stages!$2:$2,0)+1),MATCH(F$1,[1]stages!$2:$2,0)-MATCH("temp_stage",[1]stages!$2:$2,0)+1,FALSE)</f>
        <v xml:space="preserve">【中級】ゴールドカジノ </v>
      </c>
      <c r="G318" s="3" t="str">
        <f ca="1">VLOOKUP($B318&amp;"_"&amp;$E318,OFFSET([1]stages!$A$1,0,0,COUNTA([1]stages!$A:$A),MATCH(G$1,[1]stages!$2:$2,0)-MATCH("temp_stage",[1]stages!$2:$2,0)+1),MATCH(G$1,[1]stages!$2:$2,0)-MATCH("temp_stage",[1]stages!$2:$2,0)+1,FALSE)</f>
        <v>土日クエスト</v>
      </c>
      <c r="H318" s="18">
        <v>0</v>
      </c>
      <c r="I318">
        <v>11</v>
      </c>
      <c r="J318" s="5" t="s">
        <v>16</v>
      </c>
      <c r="K318" s="35" t="str">
        <f>VLOOKUP(I318,[2]stage_hints!$A:$C,3,FALSE)</f>
        <v>ランク解放クエスト</v>
      </c>
      <c r="L318" s="36" t="str">
        <f>VLOOKUP(I318,[2]stage_hints!$A:$D,4,FALSE)</f>
        <v>一定ランクに到達すると_x000D_報酬付きのランク開放クエストが現れます</v>
      </c>
      <c r="M318" s="21" t="s">
        <v>23</v>
      </c>
      <c r="N318">
        <v>11</v>
      </c>
    </row>
    <row r="319" spans="1:14" x14ac:dyDescent="0.15">
      <c r="A319" s="26" t="s">
        <v>32</v>
      </c>
      <c r="B319" s="4">
        <v>11006</v>
      </c>
      <c r="C319" s="3" t="str">
        <f ca="1">VLOOKUP($B319,OFFSET([1]quests!$A$1,0,0,COUNTA([1]quests!$A:$A),MATCH(C$1,[1]quests!$1:$1,0)-MATCH($B$1,[1]quests!$1:$1,0)+1),MATCH(C$1,[1]quests!$1:$1,0)-MATCH($B$1,[1]quests!$1:$1,0)+1,FALSE)</f>
        <v>【土日限定】 ゴールドカジノ</v>
      </c>
      <c r="D319" s="3" t="str">
        <f ca="1">VLOOKUP($B319,OFFSET([1]quests!$A$1,0,0,COUNTA([1]quests!$A:$A),MATCH(D$1,[1]quests!$1:$1,0)-MATCH($B$1,[1]quests!$1:$1,0)+1),MATCH(D$1,[1]quests!$1:$1,0)-MATCH($B$1,[1]quests!$1:$1,0)+1,FALSE)</f>
        <v>土日クエスト</v>
      </c>
      <c r="E319" s="5">
        <v>2</v>
      </c>
      <c r="F319" s="3" t="str">
        <f ca="1">VLOOKUP($B319&amp;"_"&amp;$E319,OFFSET([1]stages!$A$1,0,0,COUNTA([1]stages!$A:$A),MATCH(F$1,[1]stages!$2:$2,0)-MATCH("temp_stage",[1]stages!$2:$2,0)+1),MATCH(F$1,[1]stages!$2:$2,0)-MATCH("temp_stage",[1]stages!$2:$2,0)+1,FALSE)</f>
        <v xml:space="preserve">【中級】ゴールドカジノ </v>
      </c>
      <c r="G319" s="3" t="str">
        <f ca="1">VLOOKUP($B319&amp;"_"&amp;$E319,OFFSET([1]stages!$A$1,0,0,COUNTA([1]stages!$A:$A),MATCH(G$1,[1]stages!$2:$2,0)-MATCH("temp_stage",[1]stages!$2:$2,0)+1),MATCH(G$1,[1]stages!$2:$2,0)-MATCH("temp_stage",[1]stages!$2:$2,0)+1,FALSE)</f>
        <v>土日クエスト</v>
      </c>
      <c r="H319" s="18">
        <v>0</v>
      </c>
      <c r="I319">
        <v>12</v>
      </c>
      <c r="J319" s="5" t="s">
        <v>16</v>
      </c>
      <c r="K319" s="35" t="str">
        <f>VLOOKUP(I319,[2]stage_hints!$A:$C,3,FALSE)</f>
        <v>ユニットのお気に入り登録</v>
      </c>
      <c r="L319" s="36" t="str">
        <f>VLOOKUP(I319,[2]stage_hints!$A:$D,4,FALSE)</f>
        <v>大事なユニットを誤って消さないように_x000D_フォルダから「お気に入り登録」しましょう</v>
      </c>
      <c r="M319" s="21" t="s">
        <v>23</v>
      </c>
      <c r="N319">
        <v>12</v>
      </c>
    </row>
    <row r="320" spans="1:14" x14ac:dyDescent="0.15">
      <c r="A320" s="26" t="s">
        <v>32</v>
      </c>
      <c r="B320" s="4">
        <v>11006</v>
      </c>
      <c r="C320" s="3" t="str">
        <f ca="1">VLOOKUP($B320,OFFSET([1]quests!$A$1,0,0,COUNTA([1]quests!$A:$A),MATCH(C$1,[1]quests!$1:$1,0)-MATCH($B$1,[1]quests!$1:$1,0)+1),MATCH(C$1,[1]quests!$1:$1,0)-MATCH($B$1,[1]quests!$1:$1,0)+1,FALSE)</f>
        <v>【土日限定】 ゴールドカジノ</v>
      </c>
      <c r="D320" s="3" t="str">
        <f ca="1">VLOOKUP($B320,OFFSET([1]quests!$A$1,0,0,COUNTA([1]quests!$A:$A),MATCH(D$1,[1]quests!$1:$1,0)-MATCH($B$1,[1]quests!$1:$1,0)+1),MATCH(D$1,[1]quests!$1:$1,0)-MATCH($B$1,[1]quests!$1:$1,0)+1,FALSE)</f>
        <v>土日クエスト</v>
      </c>
      <c r="E320" s="5">
        <v>2</v>
      </c>
      <c r="F320" s="3" t="str">
        <f ca="1">VLOOKUP($B320&amp;"_"&amp;$E320,OFFSET([1]stages!$A$1,0,0,COUNTA([1]stages!$A:$A),MATCH(F$1,[1]stages!$2:$2,0)-MATCH("temp_stage",[1]stages!$2:$2,0)+1),MATCH(F$1,[1]stages!$2:$2,0)-MATCH("temp_stage",[1]stages!$2:$2,0)+1,FALSE)</f>
        <v xml:space="preserve">【中級】ゴールドカジノ </v>
      </c>
      <c r="G320" s="3" t="str">
        <f ca="1">VLOOKUP($B320&amp;"_"&amp;$E320,OFFSET([1]stages!$A$1,0,0,COUNTA([1]stages!$A:$A),MATCH(G$1,[1]stages!$2:$2,0)-MATCH("temp_stage",[1]stages!$2:$2,0)+1),MATCH(G$1,[1]stages!$2:$2,0)-MATCH("temp_stage",[1]stages!$2:$2,0)+1,FALSE)</f>
        <v>土日クエスト</v>
      </c>
      <c r="H320" s="18">
        <v>0</v>
      </c>
      <c r="I320">
        <v>13</v>
      </c>
      <c r="J320" s="5" t="s">
        <v>16</v>
      </c>
      <c r="K320" s="35" t="str">
        <f>VLOOKUP(I320,[2]stage_hints!$A:$C,3,FALSE)</f>
        <v>ユニットの覚醒</v>
      </c>
      <c r="L320" s="36" t="str">
        <f>VLOOKUP(I320,[2]stage_hints!$A:$D,4,FALSE)</f>
        <v>ユニットを覚醒させると_x000D_比べものにならない強さが手に入ります</v>
      </c>
      <c r="M320" s="21" t="s">
        <v>23</v>
      </c>
      <c r="N320">
        <v>13</v>
      </c>
    </row>
    <row r="321" spans="1:14" x14ac:dyDescent="0.15">
      <c r="A321" s="26" t="s">
        <v>32</v>
      </c>
      <c r="B321" s="4">
        <v>11006</v>
      </c>
      <c r="C321" s="3" t="str">
        <f ca="1">VLOOKUP($B321,OFFSET([1]quests!$A$1,0,0,COUNTA([1]quests!$A:$A),MATCH(C$1,[1]quests!$1:$1,0)-MATCH($B$1,[1]quests!$1:$1,0)+1),MATCH(C$1,[1]quests!$1:$1,0)-MATCH($B$1,[1]quests!$1:$1,0)+1,FALSE)</f>
        <v>【土日限定】 ゴールドカジノ</v>
      </c>
      <c r="D321" s="3" t="str">
        <f ca="1">VLOOKUP($B321,OFFSET([1]quests!$A$1,0,0,COUNTA([1]quests!$A:$A),MATCH(D$1,[1]quests!$1:$1,0)-MATCH($B$1,[1]quests!$1:$1,0)+1),MATCH(D$1,[1]quests!$1:$1,0)-MATCH($B$1,[1]quests!$1:$1,0)+1,FALSE)</f>
        <v>土日クエスト</v>
      </c>
      <c r="E321" s="5">
        <v>2</v>
      </c>
      <c r="F321" s="3" t="str">
        <f ca="1">VLOOKUP($B321&amp;"_"&amp;$E321,OFFSET([1]stages!$A$1,0,0,COUNTA([1]stages!$A:$A),MATCH(F$1,[1]stages!$2:$2,0)-MATCH("temp_stage",[1]stages!$2:$2,0)+1),MATCH(F$1,[1]stages!$2:$2,0)-MATCH("temp_stage",[1]stages!$2:$2,0)+1,FALSE)</f>
        <v xml:space="preserve">【中級】ゴールドカジノ </v>
      </c>
      <c r="G321" s="3" t="str">
        <f ca="1">VLOOKUP($B321&amp;"_"&amp;$E321,OFFSET([1]stages!$A$1,0,0,COUNTA([1]stages!$A:$A),MATCH(G$1,[1]stages!$2:$2,0)-MATCH("temp_stage",[1]stages!$2:$2,0)+1),MATCH(G$1,[1]stages!$2:$2,0)-MATCH("temp_stage",[1]stages!$2:$2,0)+1,FALSE)</f>
        <v>土日クエスト</v>
      </c>
      <c r="H321" s="18">
        <v>0</v>
      </c>
      <c r="I321">
        <v>14</v>
      </c>
      <c r="J321" s="5" t="s">
        <v>16</v>
      </c>
      <c r="K321" s="35" t="str">
        <f>VLOOKUP(I321,[2]stage_hints!$A:$C,3,FALSE)</f>
        <v>覚醒するにはレベルを最大に</v>
      </c>
      <c r="L321" s="36" t="str">
        <f>VLOOKUP(I321,[2]stage_hints!$A:$D,4,FALSE)</f>
        <v>覚醒するにはユニットのレベルを_x000D_最大まで上げる必要があります</v>
      </c>
      <c r="M321" s="21" t="s">
        <v>23</v>
      </c>
      <c r="N321">
        <v>14</v>
      </c>
    </row>
    <row r="322" spans="1:14" x14ac:dyDescent="0.15">
      <c r="A322" s="26" t="s">
        <v>32</v>
      </c>
      <c r="B322" s="4">
        <v>11006</v>
      </c>
      <c r="C322" s="3" t="str">
        <f ca="1">VLOOKUP($B322,OFFSET([1]quests!$A$1,0,0,COUNTA([1]quests!$A:$A),MATCH(C$1,[1]quests!$1:$1,0)-MATCH($B$1,[1]quests!$1:$1,0)+1),MATCH(C$1,[1]quests!$1:$1,0)-MATCH($B$1,[1]quests!$1:$1,0)+1,FALSE)</f>
        <v>【土日限定】 ゴールドカジノ</v>
      </c>
      <c r="D322" s="3" t="str">
        <f ca="1">VLOOKUP($B322,OFFSET([1]quests!$A$1,0,0,COUNTA([1]quests!$A:$A),MATCH(D$1,[1]quests!$1:$1,0)-MATCH($B$1,[1]quests!$1:$1,0)+1),MATCH(D$1,[1]quests!$1:$1,0)-MATCH($B$1,[1]quests!$1:$1,0)+1,FALSE)</f>
        <v>土日クエスト</v>
      </c>
      <c r="E322" s="5">
        <v>2</v>
      </c>
      <c r="F322" s="3" t="str">
        <f ca="1">VLOOKUP($B322&amp;"_"&amp;$E322,OFFSET([1]stages!$A$1,0,0,COUNTA([1]stages!$A:$A),MATCH(F$1,[1]stages!$2:$2,0)-MATCH("temp_stage",[1]stages!$2:$2,0)+1),MATCH(F$1,[1]stages!$2:$2,0)-MATCH("temp_stage",[1]stages!$2:$2,0)+1,FALSE)</f>
        <v xml:space="preserve">【中級】ゴールドカジノ </v>
      </c>
      <c r="G322" s="3" t="str">
        <f ca="1">VLOOKUP($B322&amp;"_"&amp;$E322,OFFSET([1]stages!$A$1,0,0,COUNTA([1]stages!$A:$A),MATCH(G$1,[1]stages!$2:$2,0)-MATCH("temp_stage",[1]stages!$2:$2,0)+1),MATCH(G$1,[1]stages!$2:$2,0)-MATCH("temp_stage",[1]stages!$2:$2,0)+1,FALSE)</f>
        <v>土日クエスト</v>
      </c>
      <c r="H322" s="18">
        <v>0</v>
      </c>
      <c r="I322">
        <v>15</v>
      </c>
      <c r="J322" s="5" t="s">
        <v>16</v>
      </c>
      <c r="K322" s="35" t="str">
        <f>VLOOKUP(I322,[2]stage_hints!$A:$C,3,FALSE)</f>
        <v>覚醒素材を獲得</v>
      </c>
      <c r="L322" s="36" t="str">
        <f>VLOOKUP(I322,[2]stage_hints!$A:$D,4,FALSE)</f>
        <v>「曜日クエスト」では_x000D_ユニットの覚醒に必要な素材が手に入ります</v>
      </c>
      <c r="M322" s="21" t="s">
        <v>23</v>
      </c>
      <c r="N322">
        <v>15</v>
      </c>
    </row>
    <row r="323" spans="1:14" x14ac:dyDescent="0.15">
      <c r="A323" s="26" t="s">
        <v>32</v>
      </c>
      <c r="B323" s="4">
        <v>11006</v>
      </c>
      <c r="C323" s="3" t="str">
        <f ca="1">VLOOKUP($B323,OFFSET([1]quests!$A$1,0,0,COUNTA([1]quests!$A:$A),MATCH(C$1,[1]quests!$1:$1,0)-MATCH($B$1,[1]quests!$1:$1,0)+1),MATCH(C$1,[1]quests!$1:$1,0)-MATCH($B$1,[1]quests!$1:$1,0)+1,FALSE)</f>
        <v>【土日限定】 ゴールドカジノ</v>
      </c>
      <c r="D323" s="3" t="str">
        <f ca="1">VLOOKUP($B323,OFFSET([1]quests!$A$1,0,0,COUNTA([1]quests!$A:$A),MATCH(D$1,[1]quests!$1:$1,0)-MATCH($B$1,[1]quests!$1:$1,0)+1),MATCH(D$1,[1]quests!$1:$1,0)-MATCH($B$1,[1]quests!$1:$1,0)+1,FALSE)</f>
        <v>土日クエスト</v>
      </c>
      <c r="E323" s="5">
        <v>2</v>
      </c>
      <c r="F323" s="3" t="str">
        <f ca="1">VLOOKUP($B323&amp;"_"&amp;$E323,OFFSET([1]stages!$A$1,0,0,COUNTA([1]stages!$A:$A),MATCH(F$1,[1]stages!$2:$2,0)-MATCH("temp_stage",[1]stages!$2:$2,0)+1),MATCH(F$1,[1]stages!$2:$2,0)-MATCH("temp_stage",[1]stages!$2:$2,0)+1,FALSE)</f>
        <v xml:space="preserve">【中級】ゴールドカジノ </v>
      </c>
      <c r="G323" s="3" t="str">
        <f ca="1">VLOOKUP($B323&amp;"_"&amp;$E323,OFFSET([1]stages!$A$1,0,0,COUNTA([1]stages!$A:$A),MATCH(G$1,[1]stages!$2:$2,0)-MATCH("temp_stage",[1]stages!$2:$2,0)+1),MATCH(G$1,[1]stages!$2:$2,0)-MATCH("temp_stage",[1]stages!$2:$2,0)+1,FALSE)</f>
        <v>土日クエスト</v>
      </c>
      <c r="H323" s="18">
        <v>0</v>
      </c>
      <c r="I323">
        <v>16</v>
      </c>
      <c r="J323" s="5" t="s">
        <v>16</v>
      </c>
      <c r="K323" s="35" t="str">
        <f>VLOOKUP(I323,[2]stage_hints!$A:$C,3,FALSE)</f>
        <v>マルチプレイのメリット（その1）</v>
      </c>
      <c r="L323" s="36" t="str">
        <f>VLOOKUP(I323,[2]stage_hints!$A:$D,4,FALSE)</f>
        <v>他のプレイヤーとマルチプレイで遊ぶと_x000D_ポリゴンがもらえます（100人まで）</v>
      </c>
      <c r="M323" s="21" t="s">
        <v>23</v>
      </c>
      <c r="N323">
        <v>16</v>
      </c>
    </row>
    <row r="324" spans="1:14" x14ac:dyDescent="0.15">
      <c r="A324" s="26" t="s">
        <v>32</v>
      </c>
      <c r="B324" s="4">
        <v>11006</v>
      </c>
      <c r="C324" s="3" t="str">
        <f ca="1">VLOOKUP($B324,OFFSET([1]quests!$A$1,0,0,COUNTA([1]quests!$A:$A),MATCH(C$1,[1]quests!$1:$1,0)-MATCH($B$1,[1]quests!$1:$1,0)+1),MATCH(C$1,[1]quests!$1:$1,0)-MATCH($B$1,[1]quests!$1:$1,0)+1,FALSE)</f>
        <v>【土日限定】 ゴールドカジノ</v>
      </c>
      <c r="D324" s="3" t="str">
        <f ca="1">VLOOKUP($B324,OFFSET([1]quests!$A$1,0,0,COUNTA([1]quests!$A:$A),MATCH(D$1,[1]quests!$1:$1,0)-MATCH($B$1,[1]quests!$1:$1,0)+1),MATCH(D$1,[1]quests!$1:$1,0)-MATCH($B$1,[1]quests!$1:$1,0)+1,FALSE)</f>
        <v>土日クエスト</v>
      </c>
      <c r="E324" s="5">
        <v>2</v>
      </c>
      <c r="F324" s="3" t="str">
        <f ca="1">VLOOKUP($B324&amp;"_"&amp;$E324,OFFSET([1]stages!$A$1,0,0,COUNTA([1]stages!$A:$A),MATCH(F$1,[1]stages!$2:$2,0)-MATCH("temp_stage",[1]stages!$2:$2,0)+1),MATCH(F$1,[1]stages!$2:$2,0)-MATCH("temp_stage",[1]stages!$2:$2,0)+1,FALSE)</f>
        <v xml:space="preserve">【中級】ゴールドカジノ </v>
      </c>
      <c r="G324" s="3" t="str">
        <f ca="1">VLOOKUP($B324&amp;"_"&amp;$E324,OFFSET([1]stages!$A$1,0,0,COUNTA([1]stages!$A:$A),MATCH(G$1,[1]stages!$2:$2,0)-MATCH("temp_stage",[1]stages!$2:$2,0)+1),MATCH(G$1,[1]stages!$2:$2,0)-MATCH("temp_stage",[1]stages!$2:$2,0)+1,FALSE)</f>
        <v>土日クエスト</v>
      </c>
      <c r="H324" s="18">
        <v>0</v>
      </c>
      <c r="I324">
        <v>17</v>
      </c>
      <c r="J324" s="5" t="s">
        <v>16</v>
      </c>
      <c r="K324" s="35" t="str">
        <f>VLOOKUP(I324,[2]stage_hints!$A:$C,3,FALSE)</f>
        <v>リンクガチャ</v>
      </c>
      <c r="L324" s="36" t="str">
        <f>VLOOKUP(I324,[2]stage_hints!$A:$D,4,FALSE)</f>
        <v>無料のリンクガチャを回して_x000D_経験値素材や売却素材を獲得しましょう</v>
      </c>
      <c r="M324" s="21" t="s">
        <v>23</v>
      </c>
      <c r="N324">
        <v>17</v>
      </c>
    </row>
    <row r="325" spans="1:14" x14ac:dyDescent="0.15">
      <c r="A325" s="26" t="s">
        <v>32</v>
      </c>
      <c r="B325" s="4">
        <v>11006</v>
      </c>
      <c r="C325" s="3" t="str">
        <f ca="1">VLOOKUP($B325,OFFSET([1]quests!$A$1,0,0,COUNTA([1]quests!$A:$A),MATCH(C$1,[1]quests!$1:$1,0)-MATCH($B$1,[1]quests!$1:$1,0)+1),MATCH(C$1,[1]quests!$1:$1,0)-MATCH($B$1,[1]quests!$1:$1,0)+1,FALSE)</f>
        <v>【土日限定】 ゴールドカジノ</v>
      </c>
      <c r="D325" s="3" t="str">
        <f ca="1">VLOOKUP($B325,OFFSET([1]quests!$A$1,0,0,COUNTA([1]quests!$A:$A),MATCH(D$1,[1]quests!$1:$1,0)-MATCH($B$1,[1]quests!$1:$1,0)+1),MATCH(D$1,[1]quests!$1:$1,0)-MATCH($B$1,[1]quests!$1:$1,0)+1,FALSE)</f>
        <v>土日クエスト</v>
      </c>
      <c r="E325" s="5">
        <v>2</v>
      </c>
      <c r="F325" s="3" t="str">
        <f ca="1">VLOOKUP($B325&amp;"_"&amp;$E325,OFFSET([1]stages!$A$1,0,0,COUNTA([1]stages!$A:$A),MATCH(F$1,[1]stages!$2:$2,0)-MATCH("temp_stage",[1]stages!$2:$2,0)+1),MATCH(F$1,[1]stages!$2:$2,0)-MATCH("temp_stage",[1]stages!$2:$2,0)+1,FALSE)</f>
        <v xml:space="preserve">【中級】ゴールドカジノ </v>
      </c>
      <c r="G325" s="3" t="str">
        <f ca="1">VLOOKUP($B325&amp;"_"&amp;$E325,OFFSET([1]stages!$A$1,0,0,COUNTA([1]stages!$A:$A),MATCH(G$1,[1]stages!$2:$2,0)-MATCH("temp_stage",[1]stages!$2:$2,0)+1),MATCH(G$1,[1]stages!$2:$2,0)-MATCH("temp_stage",[1]stages!$2:$2,0)+1,FALSE)</f>
        <v>土日クエスト</v>
      </c>
      <c r="H325" s="18">
        <v>0</v>
      </c>
      <c r="I325">
        <v>18</v>
      </c>
      <c r="J325" s="5" t="s">
        <v>16</v>
      </c>
      <c r="K325" s="35" t="str">
        <f>VLOOKUP(I325,[2]stage_hints!$A:$C,3,FALSE)</f>
        <v>マルチプレイのメリット（その2）</v>
      </c>
      <c r="L325" s="36" t="str">
        <f>VLOOKUP(I325,[2]stage_hints!$A:$D,4,FALSE)</f>
        <v>マルチプレイならリンクが2倍もらえます_x000D_リンクガチャをたくさん回しましょう</v>
      </c>
      <c r="M325" s="21" t="s">
        <v>23</v>
      </c>
      <c r="N325">
        <v>18</v>
      </c>
    </row>
    <row r="326" spans="1:14" x14ac:dyDescent="0.15">
      <c r="A326" s="26" t="s">
        <v>32</v>
      </c>
      <c r="B326" s="4">
        <v>11006</v>
      </c>
      <c r="C326" s="3" t="str">
        <f ca="1">VLOOKUP($B326,OFFSET([1]quests!$A$1,0,0,COUNTA([1]quests!$A:$A),MATCH(C$1,[1]quests!$1:$1,0)-MATCH($B$1,[1]quests!$1:$1,0)+1),MATCH(C$1,[1]quests!$1:$1,0)-MATCH($B$1,[1]quests!$1:$1,0)+1,FALSE)</f>
        <v>【土日限定】 ゴールドカジノ</v>
      </c>
      <c r="D326" s="3" t="str">
        <f ca="1">VLOOKUP($B326,OFFSET([1]quests!$A$1,0,0,COUNTA([1]quests!$A:$A),MATCH(D$1,[1]quests!$1:$1,0)-MATCH($B$1,[1]quests!$1:$1,0)+1),MATCH(D$1,[1]quests!$1:$1,0)-MATCH($B$1,[1]quests!$1:$1,0)+1,FALSE)</f>
        <v>土日クエスト</v>
      </c>
      <c r="E326" s="5">
        <v>2</v>
      </c>
      <c r="F326" s="3" t="str">
        <f ca="1">VLOOKUP($B326&amp;"_"&amp;$E326,OFFSET([1]stages!$A$1,0,0,COUNTA([1]stages!$A:$A),MATCH(F$1,[1]stages!$2:$2,0)-MATCH("temp_stage",[1]stages!$2:$2,0)+1),MATCH(F$1,[1]stages!$2:$2,0)-MATCH("temp_stage",[1]stages!$2:$2,0)+1,FALSE)</f>
        <v xml:space="preserve">【中級】ゴールドカジノ </v>
      </c>
      <c r="G326" s="3" t="str">
        <f ca="1">VLOOKUP($B326&amp;"_"&amp;$E326,OFFSET([1]stages!$A$1,0,0,COUNTA([1]stages!$A:$A),MATCH(G$1,[1]stages!$2:$2,0)-MATCH("temp_stage",[1]stages!$2:$2,0)+1),MATCH(G$1,[1]stages!$2:$2,0)-MATCH("temp_stage",[1]stages!$2:$2,0)+1,FALSE)</f>
        <v>土日クエスト</v>
      </c>
      <c r="H326" s="18">
        <v>0</v>
      </c>
      <c r="I326">
        <v>19</v>
      </c>
      <c r="J326" s="5" t="s">
        <v>16</v>
      </c>
      <c r="K326" s="35" t="str">
        <f>VLOOKUP(I326,[2]stage_hints!$A:$C,3,FALSE)</f>
        <v>ソロ専用チャレンジタワー</v>
      </c>
      <c r="L326" s="36" t="str">
        <f>VLOOKUP(I326,[2]stage_hints!$A:$D,4,FALSE)</f>
        <v>ソロ専用の「チャレンジタワー」では_x000D_各フロアごとにクリア報酬がもらえます</v>
      </c>
      <c r="M326" s="21" t="s">
        <v>23</v>
      </c>
      <c r="N326">
        <v>19</v>
      </c>
    </row>
    <row r="327" spans="1:14" x14ac:dyDescent="0.15">
      <c r="A327" s="26" t="s">
        <v>32</v>
      </c>
      <c r="B327" s="4">
        <v>11006</v>
      </c>
      <c r="C327" s="3" t="str">
        <f ca="1">VLOOKUP($B327,OFFSET([1]quests!$A$1,0,0,COUNTA([1]quests!$A:$A),MATCH(C$1,[1]quests!$1:$1,0)-MATCH($B$1,[1]quests!$1:$1,0)+1),MATCH(C$1,[1]quests!$1:$1,0)-MATCH($B$1,[1]quests!$1:$1,0)+1,FALSE)</f>
        <v>【土日限定】 ゴールドカジノ</v>
      </c>
      <c r="D327" s="3" t="str">
        <f ca="1">VLOOKUP($B327,OFFSET([1]quests!$A$1,0,0,COUNTA([1]quests!$A:$A),MATCH(D$1,[1]quests!$1:$1,0)-MATCH($B$1,[1]quests!$1:$1,0)+1),MATCH(D$1,[1]quests!$1:$1,0)-MATCH($B$1,[1]quests!$1:$1,0)+1,FALSE)</f>
        <v>土日クエスト</v>
      </c>
      <c r="E327" s="5">
        <v>2</v>
      </c>
      <c r="F327" s="3" t="str">
        <f ca="1">VLOOKUP($B327&amp;"_"&amp;$E327,OFFSET([1]stages!$A$1,0,0,COUNTA([1]stages!$A:$A),MATCH(F$1,[1]stages!$2:$2,0)-MATCH("temp_stage",[1]stages!$2:$2,0)+1),MATCH(F$1,[1]stages!$2:$2,0)-MATCH("temp_stage",[1]stages!$2:$2,0)+1,FALSE)</f>
        <v xml:space="preserve">【中級】ゴールドカジノ </v>
      </c>
      <c r="G327" s="3" t="str">
        <f ca="1">VLOOKUP($B327&amp;"_"&amp;$E327,OFFSET([1]stages!$A$1,0,0,COUNTA([1]stages!$A:$A),MATCH(G$1,[1]stages!$2:$2,0)-MATCH("temp_stage",[1]stages!$2:$2,0)+1),MATCH(G$1,[1]stages!$2:$2,0)-MATCH("temp_stage",[1]stages!$2:$2,0)+1,FALSE)</f>
        <v>土日クエスト</v>
      </c>
      <c r="H327" s="18">
        <v>0</v>
      </c>
      <c r="I327">
        <v>20</v>
      </c>
      <c r="J327" s="5" t="s">
        <v>16</v>
      </c>
      <c r="K327" s="35" t="str">
        <f>VLOOKUP(I327,[2]stage_hints!$A:$C,3,FALSE)</f>
        <v>マルチプレイのメリット（その3）</v>
      </c>
      <c r="L327" s="36" t="str">
        <f>VLOOKUP(I327,[2]stage_hints!$A:$D,4,FALSE)</f>
        <v>マルチプレイへの参加はエナジー消費ゼロ_x000D_いつでも好きなだけ遊ぶことができます</v>
      </c>
      <c r="M327" s="21" t="s">
        <v>23</v>
      </c>
      <c r="N327">
        <v>20</v>
      </c>
    </row>
    <row r="328" spans="1:14" x14ac:dyDescent="0.15">
      <c r="A328" s="26" t="s">
        <v>32</v>
      </c>
      <c r="B328" s="4">
        <v>11006</v>
      </c>
      <c r="C328" s="3" t="str">
        <f ca="1">VLOOKUP($B328,OFFSET([1]quests!$A$1,0,0,COUNTA([1]quests!$A:$A),MATCH(C$1,[1]quests!$1:$1,0)-MATCH($B$1,[1]quests!$1:$1,0)+1),MATCH(C$1,[1]quests!$1:$1,0)-MATCH($B$1,[1]quests!$1:$1,0)+1,FALSE)</f>
        <v>【土日限定】 ゴールドカジノ</v>
      </c>
      <c r="D328" s="3" t="str">
        <f ca="1">VLOOKUP($B328,OFFSET([1]quests!$A$1,0,0,COUNTA([1]quests!$A:$A),MATCH(D$1,[1]quests!$1:$1,0)-MATCH($B$1,[1]quests!$1:$1,0)+1),MATCH(D$1,[1]quests!$1:$1,0)-MATCH($B$1,[1]quests!$1:$1,0)+1,FALSE)</f>
        <v>土日クエスト</v>
      </c>
      <c r="E328" s="5">
        <v>2</v>
      </c>
      <c r="F328" s="3" t="str">
        <f ca="1">VLOOKUP($B328&amp;"_"&amp;$E328,OFFSET([1]stages!$A$1,0,0,COUNTA([1]stages!$A:$A),MATCH(F$1,[1]stages!$2:$2,0)-MATCH("temp_stage",[1]stages!$2:$2,0)+1),MATCH(F$1,[1]stages!$2:$2,0)-MATCH("temp_stage",[1]stages!$2:$2,0)+1,FALSE)</f>
        <v xml:space="preserve">【中級】ゴールドカジノ </v>
      </c>
      <c r="G328" s="3" t="str">
        <f ca="1">VLOOKUP($B328&amp;"_"&amp;$E328,OFFSET([1]stages!$A$1,0,0,COUNTA([1]stages!$A:$A),MATCH(G$1,[1]stages!$2:$2,0)-MATCH("temp_stage",[1]stages!$2:$2,0)+1),MATCH(G$1,[1]stages!$2:$2,0)-MATCH("temp_stage",[1]stages!$2:$2,0)+1,FALSE)</f>
        <v>土日クエスト</v>
      </c>
      <c r="H328" s="18">
        <v>0</v>
      </c>
      <c r="I328">
        <v>21</v>
      </c>
      <c r="J328" s="5" t="s">
        <v>16</v>
      </c>
      <c r="K328" s="35" t="str">
        <f>VLOOKUP(I328,[2]stage_hints!$A:$C,3,FALSE)</f>
        <v>スキルを有効に</v>
      </c>
      <c r="L328" s="36" t="str">
        <f>VLOOKUP(I328,[2]stage_hints!$A:$D,4,FALSE)</f>
        <v>ターン経過でユニットのスキルが使えます_x000D_強力スキルでバトルを有利に進めましょう</v>
      </c>
      <c r="M328" s="21" t="s">
        <v>23</v>
      </c>
      <c r="N328">
        <v>21</v>
      </c>
    </row>
    <row r="329" spans="1:14" x14ac:dyDescent="0.15">
      <c r="A329" s="26" t="s">
        <v>32</v>
      </c>
      <c r="B329" s="4">
        <v>11006</v>
      </c>
      <c r="C329" s="3" t="str">
        <f ca="1">VLOOKUP($B329,OFFSET([1]quests!$A$1,0,0,COUNTA([1]quests!$A:$A),MATCH(C$1,[1]quests!$1:$1,0)-MATCH($B$1,[1]quests!$1:$1,0)+1),MATCH(C$1,[1]quests!$1:$1,0)-MATCH($B$1,[1]quests!$1:$1,0)+1,FALSE)</f>
        <v>【土日限定】 ゴールドカジノ</v>
      </c>
      <c r="D329" s="3" t="str">
        <f ca="1">VLOOKUP($B329,OFFSET([1]quests!$A$1,0,0,COUNTA([1]quests!$A:$A),MATCH(D$1,[1]quests!$1:$1,0)-MATCH($B$1,[1]quests!$1:$1,0)+1),MATCH(D$1,[1]quests!$1:$1,0)-MATCH($B$1,[1]quests!$1:$1,0)+1,FALSE)</f>
        <v>土日クエスト</v>
      </c>
      <c r="E329" s="5">
        <v>2</v>
      </c>
      <c r="F329" s="3" t="str">
        <f ca="1">VLOOKUP($B329&amp;"_"&amp;$E329,OFFSET([1]stages!$A$1,0,0,COUNTA([1]stages!$A:$A),MATCH(F$1,[1]stages!$2:$2,0)-MATCH("temp_stage",[1]stages!$2:$2,0)+1),MATCH(F$1,[1]stages!$2:$2,0)-MATCH("temp_stage",[1]stages!$2:$2,0)+1,FALSE)</f>
        <v xml:space="preserve">【中級】ゴールドカジノ </v>
      </c>
      <c r="G329" s="3" t="str">
        <f ca="1">VLOOKUP($B329&amp;"_"&amp;$E329,OFFSET([1]stages!$A$1,0,0,COUNTA([1]stages!$A:$A),MATCH(G$1,[1]stages!$2:$2,0)-MATCH("temp_stage",[1]stages!$2:$2,0)+1),MATCH(G$1,[1]stages!$2:$2,0)-MATCH("temp_stage",[1]stages!$2:$2,0)+1,FALSE)</f>
        <v>土日クエスト</v>
      </c>
      <c r="H329" s="18">
        <v>0</v>
      </c>
      <c r="I329">
        <v>22</v>
      </c>
      <c r="J329" s="5" t="s">
        <v>16</v>
      </c>
      <c r="K329" s="35" t="str">
        <f>VLOOKUP(I329,[2]stage_hints!$A:$C,3,FALSE)</f>
        <v>フィーバーで一発逆転（その1）</v>
      </c>
      <c r="L329" s="36" t="str">
        <f>VLOOKUP(I329,[2]stage_hints!$A:$D,4,FALSE)</f>
        <v>フィーバーは攻撃と回復を兼ね備えます_x000D_ピンチからの一発逆転を狙いましょう</v>
      </c>
      <c r="M329" s="21" t="s">
        <v>23</v>
      </c>
      <c r="N329">
        <v>22</v>
      </c>
    </row>
    <row r="330" spans="1:14" x14ac:dyDescent="0.15">
      <c r="A330" s="26" t="s">
        <v>32</v>
      </c>
      <c r="B330" s="4">
        <v>11006</v>
      </c>
      <c r="C330" s="3" t="str">
        <f ca="1">VLOOKUP($B330,OFFSET([1]quests!$A$1,0,0,COUNTA([1]quests!$A:$A),MATCH(C$1,[1]quests!$1:$1,0)-MATCH($B$1,[1]quests!$1:$1,0)+1),MATCH(C$1,[1]quests!$1:$1,0)-MATCH($B$1,[1]quests!$1:$1,0)+1,FALSE)</f>
        <v>【土日限定】 ゴールドカジノ</v>
      </c>
      <c r="D330" s="3" t="str">
        <f ca="1">VLOOKUP($B330,OFFSET([1]quests!$A$1,0,0,COUNTA([1]quests!$A:$A),MATCH(D$1,[1]quests!$1:$1,0)-MATCH($B$1,[1]quests!$1:$1,0)+1),MATCH(D$1,[1]quests!$1:$1,0)-MATCH($B$1,[1]quests!$1:$1,0)+1,FALSE)</f>
        <v>土日クエスト</v>
      </c>
      <c r="E330" s="5">
        <v>2</v>
      </c>
      <c r="F330" s="3" t="str">
        <f ca="1">VLOOKUP($B330&amp;"_"&amp;$E330,OFFSET([1]stages!$A$1,0,0,COUNTA([1]stages!$A:$A),MATCH(F$1,[1]stages!$2:$2,0)-MATCH("temp_stage",[1]stages!$2:$2,0)+1),MATCH(F$1,[1]stages!$2:$2,0)-MATCH("temp_stage",[1]stages!$2:$2,0)+1,FALSE)</f>
        <v xml:space="preserve">【中級】ゴールドカジノ </v>
      </c>
      <c r="G330" s="3" t="str">
        <f ca="1">VLOOKUP($B330&amp;"_"&amp;$E330,OFFSET([1]stages!$A$1,0,0,COUNTA([1]stages!$A:$A),MATCH(G$1,[1]stages!$2:$2,0)-MATCH("temp_stage",[1]stages!$2:$2,0)+1),MATCH(G$1,[1]stages!$2:$2,0)-MATCH("temp_stage",[1]stages!$2:$2,0)+1,FALSE)</f>
        <v>土日クエスト</v>
      </c>
      <c r="H330" s="18">
        <v>0</v>
      </c>
      <c r="I330">
        <v>23</v>
      </c>
      <c r="J330" s="5" t="s">
        <v>16</v>
      </c>
      <c r="K330" s="35" t="str">
        <f>VLOOKUP(I330,[2]stage_hints!$A:$C,3,FALSE)</f>
        <v>フィーバーで一発逆転（その2）</v>
      </c>
      <c r="L330" s="36" t="str">
        <f>VLOOKUP(I330,[2]stage_hints!$A:$D,4,FALSE)</f>
        <v>フィーバー中は虹色のボムパネルを狙って_x000D_画面上のパネルを一気に破壊しましょう</v>
      </c>
      <c r="M330" s="21" t="s">
        <v>23</v>
      </c>
      <c r="N330">
        <v>23</v>
      </c>
    </row>
    <row r="331" spans="1:14" x14ac:dyDescent="0.15">
      <c r="A331" s="26" t="s">
        <v>32</v>
      </c>
      <c r="B331" s="4">
        <v>11006</v>
      </c>
      <c r="C331" s="3" t="str">
        <f ca="1">VLOOKUP($B331,OFFSET([1]quests!$A$1,0,0,COUNTA([1]quests!$A:$A),MATCH(C$1,[1]quests!$1:$1,0)-MATCH($B$1,[1]quests!$1:$1,0)+1),MATCH(C$1,[1]quests!$1:$1,0)-MATCH($B$1,[1]quests!$1:$1,0)+1,FALSE)</f>
        <v>【土日限定】 ゴールドカジノ</v>
      </c>
      <c r="D331" s="3" t="str">
        <f ca="1">VLOOKUP($B331,OFFSET([1]quests!$A$1,0,0,COUNTA([1]quests!$A:$A),MATCH(D$1,[1]quests!$1:$1,0)-MATCH($B$1,[1]quests!$1:$1,0)+1),MATCH(D$1,[1]quests!$1:$1,0)-MATCH($B$1,[1]quests!$1:$1,0)+1,FALSE)</f>
        <v>土日クエスト</v>
      </c>
      <c r="E331" s="5">
        <v>2</v>
      </c>
      <c r="F331" s="3" t="str">
        <f ca="1">VLOOKUP($B331&amp;"_"&amp;$E331,OFFSET([1]stages!$A$1,0,0,COUNTA([1]stages!$A:$A),MATCH(F$1,[1]stages!$2:$2,0)-MATCH("temp_stage",[1]stages!$2:$2,0)+1),MATCH(F$1,[1]stages!$2:$2,0)-MATCH("temp_stage",[1]stages!$2:$2,0)+1,FALSE)</f>
        <v xml:space="preserve">【中級】ゴールドカジノ </v>
      </c>
      <c r="G331" s="3" t="str">
        <f ca="1">VLOOKUP($B331&amp;"_"&amp;$E331,OFFSET([1]stages!$A$1,0,0,COUNTA([1]stages!$A:$A),MATCH(G$1,[1]stages!$2:$2,0)-MATCH("temp_stage",[1]stages!$2:$2,0)+1),MATCH(G$1,[1]stages!$2:$2,0)-MATCH("temp_stage",[1]stages!$2:$2,0)+1,FALSE)</f>
        <v>土日クエスト</v>
      </c>
      <c r="H331" s="18">
        <v>0</v>
      </c>
      <c r="I331">
        <v>24</v>
      </c>
      <c r="J331" s="5" t="s">
        <v>16</v>
      </c>
      <c r="K331" s="35" t="str">
        <f>VLOOKUP(I331,[2]stage_hints!$A:$C,3,FALSE)</f>
        <v>りんごを使って限界突破</v>
      </c>
      <c r="L331" s="36" t="str">
        <f>VLOOKUP(I331,[2]stage_hints!$A:$D,4,FALSE)</f>
        <v>赤りんご(攻撃力) 青りんご(回復力)_x000D_緑りんご(体力)をユニット強化に使うと_x000D_ステータスが限界突破します（計99個迄）</v>
      </c>
      <c r="M331" s="21" t="s">
        <v>23</v>
      </c>
      <c r="N331">
        <v>24</v>
      </c>
    </row>
    <row r="332" spans="1:14" x14ac:dyDescent="0.15">
      <c r="A332" s="26" t="s">
        <v>32</v>
      </c>
      <c r="B332" s="4">
        <v>11006</v>
      </c>
      <c r="C332" s="3" t="str">
        <f ca="1">VLOOKUP($B332,OFFSET([1]quests!$A$1,0,0,COUNTA([1]quests!$A:$A),MATCH(C$1,[1]quests!$1:$1,0)-MATCH($B$1,[1]quests!$1:$1,0)+1),MATCH(C$1,[1]quests!$1:$1,0)-MATCH($B$1,[1]quests!$1:$1,0)+1,FALSE)</f>
        <v>【土日限定】 ゴールドカジノ</v>
      </c>
      <c r="D332" s="3" t="str">
        <f ca="1">VLOOKUP($B332,OFFSET([1]quests!$A$1,0,0,COUNTA([1]quests!$A:$A),MATCH(D$1,[1]quests!$1:$1,0)-MATCH($B$1,[1]quests!$1:$1,0)+1),MATCH(D$1,[1]quests!$1:$1,0)-MATCH($B$1,[1]quests!$1:$1,0)+1,FALSE)</f>
        <v>土日クエスト</v>
      </c>
      <c r="E332" s="5">
        <v>2</v>
      </c>
      <c r="F332" s="3" t="str">
        <f ca="1">VLOOKUP($B332&amp;"_"&amp;$E332,OFFSET([1]stages!$A$1,0,0,COUNTA([1]stages!$A:$A),MATCH(F$1,[1]stages!$2:$2,0)-MATCH("temp_stage",[1]stages!$2:$2,0)+1),MATCH(F$1,[1]stages!$2:$2,0)-MATCH("temp_stage",[1]stages!$2:$2,0)+1,FALSE)</f>
        <v xml:space="preserve">【中級】ゴールドカジノ </v>
      </c>
      <c r="G332" s="3" t="str">
        <f ca="1">VLOOKUP($B332&amp;"_"&amp;$E332,OFFSET([1]stages!$A$1,0,0,COUNTA([1]stages!$A:$A),MATCH(G$1,[1]stages!$2:$2,0)-MATCH("temp_stage",[1]stages!$2:$2,0)+1),MATCH(G$1,[1]stages!$2:$2,0)-MATCH("temp_stage",[1]stages!$2:$2,0)+1,FALSE)</f>
        <v>土日クエスト</v>
      </c>
      <c r="H332" s="18">
        <v>0</v>
      </c>
      <c r="I332">
        <v>25</v>
      </c>
      <c r="J332" s="5" t="s">
        <v>16</v>
      </c>
      <c r="K332" s="35" t="str">
        <f>VLOOKUP(I332,[2]stage_hints!$A:$C,3,FALSE)</f>
        <v>スキルレベルアップ</v>
      </c>
      <c r="L332" s="36" t="str">
        <f>VLOOKUP(I332,[2]stage_hints!$A:$D,4,FALSE)</f>
        <v>「クリスタルのりんご」を強化に使うと_x000D_スキルレベルを上げることができます</v>
      </c>
      <c r="M332" s="21" t="s">
        <v>23</v>
      </c>
      <c r="N332">
        <v>25</v>
      </c>
    </row>
    <row r="333" spans="1:14" x14ac:dyDescent="0.15">
      <c r="A333" s="26" t="s">
        <v>32</v>
      </c>
      <c r="B333" s="4">
        <v>11006</v>
      </c>
      <c r="C333" s="3" t="str">
        <f ca="1">VLOOKUP($B333,OFFSET([1]quests!$A$1,0,0,COUNTA([1]quests!$A:$A),MATCH(C$1,[1]quests!$1:$1,0)-MATCH($B$1,[1]quests!$1:$1,0)+1),MATCH(C$1,[1]quests!$1:$1,0)-MATCH($B$1,[1]quests!$1:$1,0)+1,FALSE)</f>
        <v>【土日限定】 ゴールドカジノ</v>
      </c>
      <c r="D333" s="3" t="str">
        <f ca="1">VLOOKUP($B333,OFFSET([1]quests!$A$1,0,0,COUNTA([1]quests!$A:$A),MATCH(D$1,[1]quests!$1:$1,0)-MATCH($B$1,[1]quests!$1:$1,0)+1),MATCH(D$1,[1]quests!$1:$1,0)-MATCH($B$1,[1]quests!$1:$1,0)+1,FALSE)</f>
        <v>土日クエスト</v>
      </c>
      <c r="E333" s="5">
        <v>2</v>
      </c>
      <c r="F333" s="3" t="str">
        <f ca="1">VLOOKUP($B333&amp;"_"&amp;$E333,OFFSET([1]stages!$A$1,0,0,COUNTA([1]stages!$A:$A),MATCH(F$1,[1]stages!$2:$2,0)-MATCH("temp_stage",[1]stages!$2:$2,0)+1),MATCH(F$1,[1]stages!$2:$2,0)-MATCH("temp_stage",[1]stages!$2:$2,0)+1,FALSE)</f>
        <v xml:space="preserve">【中級】ゴールドカジノ </v>
      </c>
      <c r="G333" s="3" t="str">
        <f ca="1">VLOOKUP($B333&amp;"_"&amp;$E333,OFFSET([1]stages!$A$1,0,0,COUNTA([1]stages!$A:$A),MATCH(G$1,[1]stages!$2:$2,0)-MATCH("temp_stage",[1]stages!$2:$2,0)+1),MATCH(G$1,[1]stages!$2:$2,0)-MATCH("temp_stage",[1]stages!$2:$2,0)+1,FALSE)</f>
        <v>土日クエスト</v>
      </c>
      <c r="H333" s="18">
        <v>0</v>
      </c>
      <c r="I333">
        <v>26</v>
      </c>
      <c r="J333" s="5" t="s">
        <v>16</v>
      </c>
      <c r="K333" s="35" t="str">
        <f>VLOOKUP(I333,[2]stage_hints!$A:$C,3,FALSE)</f>
        <v>スキルレベルの効果</v>
      </c>
      <c r="L333" s="36" t="str">
        <f>VLOOKUP(I333,[2]stage_hints!$A:$D,4,FALSE)</f>
        <v>スキルレベルが上がると_x000D_短いターンでスキルを使うことができます</v>
      </c>
      <c r="M333" s="21" t="s">
        <v>23</v>
      </c>
      <c r="N333">
        <v>26</v>
      </c>
    </row>
    <row r="334" spans="1:14" x14ac:dyDescent="0.15">
      <c r="A334" s="26" t="s">
        <v>32</v>
      </c>
      <c r="B334" s="4">
        <v>11006</v>
      </c>
      <c r="C334" s="3" t="str">
        <f ca="1">VLOOKUP($B334,OFFSET([1]quests!$A$1,0,0,COUNTA([1]quests!$A:$A),MATCH(C$1,[1]quests!$1:$1,0)-MATCH($B$1,[1]quests!$1:$1,0)+1),MATCH(C$1,[1]quests!$1:$1,0)-MATCH($B$1,[1]quests!$1:$1,0)+1,FALSE)</f>
        <v>【土日限定】 ゴールドカジノ</v>
      </c>
      <c r="D334" s="3" t="str">
        <f ca="1">VLOOKUP($B334,OFFSET([1]quests!$A$1,0,0,COUNTA([1]quests!$A:$A),MATCH(D$1,[1]quests!$1:$1,0)-MATCH($B$1,[1]quests!$1:$1,0)+1),MATCH(D$1,[1]quests!$1:$1,0)-MATCH($B$1,[1]quests!$1:$1,0)+1,FALSE)</f>
        <v>土日クエスト</v>
      </c>
      <c r="E334" s="5">
        <v>2</v>
      </c>
      <c r="F334" s="3" t="str">
        <f ca="1">VLOOKUP($B334&amp;"_"&amp;$E334,OFFSET([1]stages!$A$1,0,0,COUNTA([1]stages!$A:$A),MATCH(F$1,[1]stages!$2:$2,0)-MATCH("temp_stage",[1]stages!$2:$2,0)+1),MATCH(F$1,[1]stages!$2:$2,0)-MATCH("temp_stage",[1]stages!$2:$2,0)+1,FALSE)</f>
        <v xml:space="preserve">【中級】ゴールドカジノ </v>
      </c>
      <c r="G334" s="3" t="str">
        <f ca="1">VLOOKUP($B334&amp;"_"&amp;$E334,OFFSET([1]stages!$A$1,0,0,COUNTA([1]stages!$A:$A),MATCH(G$1,[1]stages!$2:$2,0)-MATCH("temp_stage",[1]stages!$2:$2,0)+1),MATCH(G$1,[1]stages!$2:$2,0)-MATCH("temp_stage",[1]stages!$2:$2,0)+1,FALSE)</f>
        <v>土日クエスト</v>
      </c>
      <c r="H334" s="18">
        <v>0</v>
      </c>
      <c r="I334">
        <v>27</v>
      </c>
      <c r="J334" s="5" t="s">
        <v>16</v>
      </c>
      <c r="K334" s="35" t="str">
        <f>VLOOKUP(I334,[2]stage_hints!$A:$C,3,FALSE)</f>
        <v>ホーム画面からデッキを編成</v>
      </c>
      <c r="L334" s="36" t="str">
        <f>VLOOKUP(I334,[2]stage_hints!$A:$D,4,FALSE)</f>
        <v>ホーム画面でユニットを長押しすると_x000D_すぐにパーティ編成に移動できます</v>
      </c>
      <c r="M334" s="21" t="s">
        <v>23</v>
      </c>
      <c r="N334">
        <v>27</v>
      </c>
    </row>
    <row r="335" spans="1:14" x14ac:dyDescent="0.15">
      <c r="A335" s="26" t="s">
        <v>32</v>
      </c>
      <c r="B335" s="4">
        <v>11006</v>
      </c>
      <c r="C335" s="3" t="str">
        <f ca="1">VLOOKUP($B335,OFFSET([1]quests!$A$1,0,0,COUNTA([1]quests!$A:$A),MATCH(C$1,[1]quests!$1:$1,0)-MATCH($B$1,[1]quests!$1:$1,0)+1),MATCH(C$1,[1]quests!$1:$1,0)-MATCH($B$1,[1]quests!$1:$1,0)+1,FALSE)</f>
        <v>【土日限定】 ゴールドカジノ</v>
      </c>
      <c r="D335" s="3" t="str">
        <f ca="1">VLOOKUP($B335,OFFSET([1]quests!$A$1,0,0,COUNTA([1]quests!$A:$A),MATCH(D$1,[1]quests!$1:$1,0)-MATCH($B$1,[1]quests!$1:$1,0)+1),MATCH(D$1,[1]quests!$1:$1,0)-MATCH($B$1,[1]quests!$1:$1,0)+1,FALSE)</f>
        <v>土日クエスト</v>
      </c>
      <c r="E335" s="5">
        <v>2</v>
      </c>
      <c r="F335" s="3" t="str">
        <f ca="1">VLOOKUP($B335&amp;"_"&amp;$E335,OFFSET([1]stages!$A$1,0,0,COUNTA([1]stages!$A:$A),MATCH(F$1,[1]stages!$2:$2,0)-MATCH("temp_stage",[1]stages!$2:$2,0)+1),MATCH(F$1,[1]stages!$2:$2,0)-MATCH("temp_stage",[1]stages!$2:$2,0)+1,FALSE)</f>
        <v xml:space="preserve">【中級】ゴールドカジノ </v>
      </c>
      <c r="G335" s="3" t="str">
        <f ca="1">VLOOKUP($B335&amp;"_"&amp;$E335,OFFSET([1]stages!$A$1,0,0,COUNTA([1]stages!$A:$A),MATCH(G$1,[1]stages!$2:$2,0)-MATCH("temp_stage",[1]stages!$2:$2,0)+1),MATCH(G$1,[1]stages!$2:$2,0)-MATCH("temp_stage",[1]stages!$2:$2,0)+1,FALSE)</f>
        <v>土日クエスト</v>
      </c>
      <c r="H335" s="18">
        <v>0</v>
      </c>
      <c r="I335">
        <v>28</v>
      </c>
      <c r="J335" s="5" t="s">
        <v>16</v>
      </c>
      <c r="K335" s="35" t="str">
        <f>VLOOKUP(I335,[2]stage_hints!$A:$C,3,FALSE)</f>
        <v>ステータス情報は長押しで</v>
      </c>
      <c r="L335" s="36" t="str">
        <f>VLOOKUP(I335,[2]stage_hints!$A:$D,4,FALSE)</f>
        <v>ユニットのアイコンを長押しすると_x000D_ステータス情報を確認することができます</v>
      </c>
      <c r="M335" s="21" t="s">
        <v>23</v>
      </c>
      <c r="N335">
        <v>28</v>
      </c>
    </row>
    <row r="336" spans="1:14" x14ac:dyDescent="0.15">
      <c r="A336" s="26" t="s">
        <v>32</v>
      </c>
      <c r="B336" s="4">
        <v>11006</v>
      </c>
      <c r="C336" s="3" t="str">
        <f ca="1">VLOOKUP($B336,OFFSET([1]quests!$A$1,0,0,COUNTA([1]quests!$A:$A),MATCH(C$1,[1]quests!$1:$1,0)-MATCH($B$1,[1]quests!$1:$1,0)+1),MATCH(C$1,[1]quests!$1:$1,0)-MATCH($B$1,[1]quests!$1:$1,0)+1,FALSE)</f>
        <v>【土日限定】 ゴールドカジノ</v>
      </c>
      <c r="D336" s="3" t="str">
        <f ca="1">VLOOKUP($B336,OFFSET([1]quests!$A$1,0,0,COUNTA([1]quests!$A:$A),MATCH(D$1,[1]quests!$1:$1,0)-MATCH($B$1,[1]quests!$1:$1,0)+1),MATCH(D$1,[1]quests!$1:$1,0)-MATCH($B$1,[1]quests!$1:$1,0)+1,FALSE)</f>
        <v>土日クエスト</v>
      </c>
      <c r="E336" s="5">
        <v>2</v>
      </c>
      <c r="F336" s="3" t="str">
        <f ca="1">VLOOKUP($B336&amp;"_"&amp;$E336,OFFSET([1]stages!$A$1,0,0,COUNTA([1]stages!$A:$A),MATCH(F$1,[1]stages!$2:$2,0)-MATCH("temp_stage",[1]stages!$2:$2,0)+1),MATCH(F$1,[1]stages!$2:$2,0)-MATCH("temp_stage",[1]stages!$2:$2,0)+1,FALSE)</f>
        <v xml:space="preserve">【中級】ゴールドカジノ </v>
      </c>
      <c r="G336" s="3" t="str">
        <f ca="1">VLOOKUP($B336&amp;"_"&amp;$E336,OFFSET([1]stages!$A$1,0,0,COUNTA([1]stages!$A:$A),MATCH(G$1,[1]stages!$2:$2,0)-MATCH("temp_stage",[1]stages!$2:$2,0)+1),MATCH(G$1,[1]stages!$2:$2,0)-MATCH("temp_stage",[1]stages!$2:$2,0)+1,FALSE)</f>
        <v>土日クエスト</v>
      </c>
      <c r="H336" s="18">
        <v>0</v>
      </c>
      <c r="I336">
        <v>29</v>
      </c>
      <c r="J336" s="5" t="s">
        <v>16</v>
      </c>
      <c r="K336" s="35" t="str">
        <f>VLOOKUP(I336,[2]stage_hints!$A:$C,3,FALSE)</f>
        <v>「バグ」のメリット</v>
      </c>
      <c r="L336" s="36" t="str">
        <f>VLOOKUP(I336,[2]stage_hints!$A:$D,4,FALSE)</f>
        <v>ユニットの「バグ」を増やすと_x000D_報酬をもらえる確率がアップします</v>
      </c>
      <c r="M336" s="21" t="s">
        <v>23</v>
      </c>
      <c r="N336">
        <v>29</v>
      </c>
    </row>
    <row r="337" spans="1:14" x14ac:dyDescent="0.15">
      <c r="A337" s="26" t="s">
        <v>32</v>
      </c>
      <c r="B337" s="4">
        <v>11006</v>
      </c>
      <c r="C337" s="3" t="str">
        <f ca="1">VLOOKUP($B337,OFFSET([1]quests!$A$1,0,0,COUNTA([1]quests!$A:$A),MATCH(C$1,[1]quests!$1:$1,0)-MATCH($B$1,[1]quests!$1:$1,0)+1),MATCH(C$1,[1]quests!$1:$1,0)-MATCH($B$1,[1]quests!$1:$1,0)+1,FALSE)</f>
        <v>【土日限定】 ゴールドカジノ</v>
      </c>
      <c r="D337" s="3" t="str">
        <f ca="1">VLOOKUP($B337,OFFSET([1]quests!$A$1,0,0,COUNTA([1]quests!$A:$A),MATCH(D$1,[1]quests!$1:$1,0)-MATCH($B$1,[1]quests!$1:$1,0)+1),MATCH(D$1,[1]quests!$1:$1,0)-MATCH($B$1,[1]quests!$1:$1,0)+1,FALSE)</f>
        <v>土日クエスト</v>
      </c>
      <c r="E337" s="5">
        <v>2</v>
      </c>
      <c r="F337" s="3" t="str">
        <f ca="1">VLOOKUP($B337&amp;"_"&amp;$E337,OFFSET([1]stages!$A$1,0,0,COUNTA([1]stages!$A:$A),MATCH(F$1,[1]stages!$2:$2,0)-MATCH("temp_stage",[1]stages!$2:$2,0)+1),MATCH(F$1,[1]stages!$2:$2,0)-MATCH("temp_stage",[1]stages!$2:$2,0)+1,FALSE)</f>
        <v xml:space="preserve">【中級】ゴールドカジノ </v>
      </c>
      <c r="G337" s="3" t="str">
        <f ca="1">VLOOKUP($B337&amp;"_"&amp;$E337,OFFSET([1]stages!$A$1,0,0,COUNTA([1]stages!$A:$A),MATCH(G$1,[1]stages!$2:$2,0)-MATCH("temp_stage",[1]stages!$2:$2,0)+1),MATCH(G$1,[1]stages!$2:$2,0)-MATCH("temp_stage",[1]stages!$2:$2,0)+1,FALSE)</f>
        <v>土日クエスト</v>
      </c>
      <c r="H337" s="18">
        <v>0</v>
      </c>
      <c r="I337">
        <v>30</v>
      </c>
      <c r="J337" s="5" t="s">
        <v>16</v>
      </c>
      <c r="K337" s="35" t="str">
        <f>VLOOKUP(I337,[2]stage_hints!$A:$C,3,FALSE)</f>
        <v>「バグ」の増やし方</v>
      </c>
      <c r="L337" s="36" t="str">
        <f>VLOOKUP(I337,[2]stage_hints!$A:$D,4,FALSE)</f>
        <v>同じユニット同士を強化で合成すると_x000D_「バグ」を増やすことができます</v>
      </c>
      <c r="M337" s="21" t="s">
        <v>23</v>
      </c>
      <c r="N337">
        <v>30</v>
      </c>
    </row>
    <row r="338" spans="1:14" x14ac:dyDescent="0.15">
      <c r="A338" s="26" t="s">
        <v>32</v>
      </c>
      <c r="B338" s="4">
        <v>11006</v>
      </c>
      <c r="C338" s="3" t="str">
        <f ca="1">VLOOKUP($B338,OFFSET([1]quests!$A$1,0,0,COUNTA([1]quests!$A:$A),MATCH(C$1,[1]quests!$1:$1,0)-MATCH($B$1,[1]quests!$1:$1,0)+1),MATCH(C$1,[1]quests!$1:$1,0)-MATCH($B$1,[1]quests!$1:$1,0)+1,FALSE)</f>
        <v>【土日限定】 ゴールドカジノ</v>
      </c>
      <c r="D338" s="3" t="str">
        <f ca="1">VLOOKUP($B338,OFFSET([1]quests!$A$1,0,0,COUNTA([1]quests!$A:$A),MATCH(D$1,[1]quests!$1:$1,0)-MATCH($B$1,[1]quests!$1:$1,0)+1),MATCH(D$1,[1]quests!$1:$1,0)-MATCH($B$1,[1]quests!$1:$1,0)+1,FALSE)</f>
        <v>土日クエスト</v>
      </c>
      <c r="E338" s="5">
        <v>2</v>
      </c>
      <c r="F338" s="3" t="str">
        <f ca="1">VLOOKUP($B338&amp;"_"&amp;$E338,OFFSET([1]stages!$A$1,0,0,COUNTA([1]stages!$A:$A),MATCH(F$1,[1]stages!$2:$2,0)-MATCH("temp_stage",[1]stages!$2:$2,0)+1),MATCH(F$1,[1]stages!$2:$2,0)-MATCH("temp_stage",[1]stages!$2:$2,0)+1,FALSE)</f>
        <v xml:space="preserve">【中級】ゴールドカジノ </v>
      </c>
      <c r="G338" s="3" t="str">
        <f ca="1">VLOOKUP($B338&amp;"_"&amp;$E338,OFFSET([1]stages!$A$1,0,0,COUNTA([1]stages!$A:$A),MATCH(G$1,[1]stages!$2:$2,0)-MATCH("temp_stage",[1]stages!$2:$2,0)+1),MATCH(G$1,[1]stages!$2:$2,0)-MATCH("temp_stage",[1]stages!$2:$2,0)+1,FALSE)</f>
        <v>土日クエスト</v>
      </c>
      <c r="H338" s="18">
        <v>0</v>
      </c>
      <c r="I338">
        <v>31</v>
      </c>
      <c r="J338" s="5" t="s">
        <v>16</v>
      </c>
      <c r="K338" s="35" t="str">
        <f>VLOOKUP(I338,[2]stage_hints!$A:$C,3,FALSE)</f>
        <v>イベントはお知らせでチェック</v>
      </c>
      <c r="L338" s="36" t="str">
        <f>VLOOKUP(I338,[2]stage_hints!$A:$D,4,FALSE)</f>
        <v>イベント限定ユニットを取り忘れないように_x000D_お知らせをこまめにチェックしましょう</v>
      </c>
      <c r="M338" s="21" t="s">
        <v>23</v>
      </c>
      <c r="N338">
        <v>31</v>
      </c>
    </row>
    <row r="339" spans="1:14" x14ac:dyDescent="0.15">
      <c r="A339" s="26" t="s">
        <v>32</v>
      </c>
      <c r="B339" s="4">
        <v>11006</v>
      </c>
      <c r="C339" s="3" t="str">
        <f ca="1">VLOOKUP($B339,OFFSET([1]quests!$A$1,0,0,COUNTA([1]quests!$A:$A),MATCH(C$1,[1]quests!$1:$1,0)-MATCH($B$1,[1]quests!$1:$1,0)+1),MATCH(C$1,[1]quests!$1:$1,0)-MATCH($B$1,[1]quests!$1:$1,0)+1,FALSE)</f>
        <v>【土日限定】 ゴールドカジノ</v>
      </c>
      <c r="D339" s="3" t="str">
        <f ca="1">VLOOKUP($B339,OFFSET([1]quests!$A$1,0,0,COUNTA([1]quests!$A:$A),MATCH(D$1,[1]quests!$1:$1,0)-MATCH($B$1,[1]quests!$1:$1,0)+1),MATCH(D$1,[1]quests!$1:$1,0)-MATCH($B$1,[1]quests!$1:$1,0)+1,FALSE)</f>
        <v>土日クエスト</v>
      </c>
      <c r="E339" s="5">
        <v>2</v>
      </c>
      <c r="F339" s="3" t="str">
        <f ca="1">VLOOKUP($B339&amp;"_"&amp;$E339,OFFSET([1]stages!$A$1,0,0,COUNTA([1]stages!$A:$A),MATCH(F$1,[1]stages!$2:$2,0)-MATCH("temp_stage",[1]stages!$2:$2,0)+1),MATCH(F$1,[1]stages!$2:$2,0)-MATCH("temp_stage",[1]stages!$2:$2,0)+1,FALSE)</f>
        <v xml:space="preserve">【中級】ゴールドカジノ </v>
      </c>
      <c r="G339" s="3" t="str">
        <f ca="1">VLOOKUP($B339&amp;"_"&amp;$E339,OFFSET([1]stages!$A$1,0,0,COUNTA([1]stages!$A:$A),MATCH(G$1,[1]stages!$2:$2,0)-MATCH("temp_stage",[1]stages!$2:$2,0)+1),MATCH(G$1,[1]stages!$2:$2,0)-MATCH("temp_stage",[1]stages!$2:$2,0)+1,FALSE)</f>
        <v>土日クエスト</v>
      </c>
      <c r="H339" s="18">
        <v>0</v>
      </c>
      <c r="I339">
        <v>32</v>
      </c>
      <c r="J339" s="5" t="s">
        <v>16</v>
      </c>
      <c r="K339" s="35" t="str">
        <f>VLOOKUP(I339,[2]stage_hints!$A:$C,3,FALSE)</f>
        <v>敵の連続攻撃には</v>
      </c>
      <c r="L339" s="36" t="str">
        <f>VLOOKUP(I339,[2]stage_hints!$A:$D,4,FALSE)</f>
        <v>カウンタースキルを持つユニットがいれば_x000D_ダメージ回数分の反撃ができます</v>
      </c>
      <c r="M339" s="21" t="s">
        <v>23</v>
      </c>
      <c r="N339">
        <v>32</v>
      </c>
    </row>
    <row r="340" spans="1:14" x14ac:dyDescent="0.15">
      <c r="A340" s="26" t="s">
        <v>32</v>
      </c>
      <c r="B340" s="4">
        <v>11006</v>
      </c>
      <c r="C340" s="3" t="str">
        <f ca="1">VLOOKUP($B340,OFFSET([1]quests!$A$1,0,0,COUNTA([1]quests!$A:$A),MATCH(C$1,[1]quests!$1:$1,0)-MATCH($B$1,[1]quests!$1:$1,0)+1),MATCH(C$1,[1]quests!$1:$1,0)-MATCH($B$1,[1]quests!$1:$1,0)+1,FALSE)</f>
        <v>【土日限定】 ゴールドカジノ</v>
      </c>
      <c r="D340" s="3" t="str">
        <f ca="1">VLOOKUP($B340,OFFSET([1]quests!$A$1,0,0,COUNTA([1]quests!$A:$A),MATCH(D$1,[1]quests!$1:$1,0)-MATCH($B$1,[1]quests!$1:$1,0)+1),MATCH(D$1,[1]quests!$1:$1,0)-MATCH($B$1,[1]quests!$1:$1,0)+1,FALSE)</f>
        <v>土日クエスト</v>
      </c>
      <c r="E340" s="5">
        <v>2</v>
      </c>
      <c r="F340" s="3" t="str">
        <f ca="1">VLOOKUP($B340&amp;"_"&amp;$E340,OFFSET([1]stages!$A$1,0,0,COUNTA([1]stages!$A:$A),MATCH(F$1,[1]stages!$2:$2,0)-MATCH("temp_stage",[1]stages!$2:$2,0)+1),MATCH(F$1,[1]stages!$2:$2,0)-MATCH("temp_stage",[1]stages!$2:$2,0)+1,FALSE)</f>
        <v xml:space="preserve">【中級】ゴールドカジノ </v>
      </c>
      <c r="G340" s="3" t="str">
        <f ca="1">VLOOKUP($B340&amp;"_"&amp;$E340,OFFSET([1]stages!$A$1,0,0,COUNTA([1]stages!$A:$A),MATCH(G$1,[1]stages!$2:$2,0)-MATCH("temp_stage",[1]stages!$2:$2,0)+1),MATCH(G$1,[1]stages!$2:$2,0)-MATCH("temp_stage",[1]stages!$2:$2,0)+1,FALSE)</f>
        <v>土日クエスト</v>
      </c>
      <c r="H340" s="18">
        <v>0</v>
      </c>
      <c r="I340">
        <v>33</v>
      </c>
      <c r="J340" s="5" t="s">
        <v>16</v>
      </c>
      <c r="K340" s="35" t="str">
        <f>VLOOKUP(I340,[2]stage_hints!$A:$C,3,FALSE)</f>
        <v>敵のカウンター攻撃には</v>
      </c>
      <c r="L340" s="36" t="str">
        <f>VLOOKUP(I340,[2]stage_hints!$A:$D,4,FALSE)</f>
        <v>カウンターブレイクスキルを持っていれば_x000D_敵のカウンターを解除して攻撃ができます</v>
      </c>
      <c r="M340" s="21" t="s">
        <v>23</v>
      </c>
      <c r="N340">
        <v>33</v>
      </c>
    </row>
    <row r="341" spans="1:14" x14ac:dyDescent="0.15">
      <c r="A341" s="26" t="s">
        <v>32</v>
      </c>
      <c r="B341" s="4">
        <v>11006</v>
      </c>
      <c r="C341" s="3" t="str">
        <f ca="1">VLOOKUP($B341,OFFSET([1]quests!$A$1,0,0,COUNTA([1]quests!$A:$A),MATCH(C$1,[1]quests!$1:$1,0)-MATCH($B$1,[1]quests!$1:$1,0)+1),MATCH(C$1,[1]quests!$1:$1,0)-MATCH($B$1,[1]quests!$1:$1,0)+1,FALSE)</f>
        <v>【土日限定】 ゴールドカジノ</v>
      </c>
      <c r="D341" s="3" t="str">
        <f ca="1">VLOOKUP($B341,OFFSET([1]quests!$A$1,0,0,COUNTA([1]quests!$A:$A),MATCH(D$1,[1]quests!$1:$1,0)-MATCH($B$1,[1]quests!$1:$1,0)+1),MATCH(D$1,[1]quests!$1:$1,0)-MATCH($B$1,[1]quests!$1:$1,0)+1,FALSE)</f>
        <v>土日クエスト</v>
      </c>
      <c r="E341" s="5">
        <v>2</v>
      </c>
      <c r="F341" s="3" t="str">
        <f ca="1">VLOOKUP($B341&amp;"_"&amp;$E341,OFFSET([1]stages!$A$1,0,0,COUNTA([1]stages!$A:$A),MATCH(F$1,[1]stages!$2:$2,0)-MATCH("temp_stage",[1]stages!$2:$2,0)+1),MATCH(F$1,[1]stages!$2:$2,0)-MATCH("temp_stage",[1]stages!$2:$2,0)+1,FALSE)</f>
        <v xml:space="preserve">【中級】ゴールドカジノ </v>
      </c>
      <c r="G341" s="3" t="str">
        <f ca="1">VLOOKUP($B341&amp;"_"&amp;$E341,OFFSET([1]stages!$A$1,0,0,COUNTA([1]stages!$A:$A),MATCH(G$1,[1]stages!$2:$2,0)-MATCH("temp_stage",[1]stages!$2:$2,0)+1),MATCH(G$1,[1]stages!$2:$2,0)-MATCH("temp_stage",[1]stages!$2:$2,0)+1,FALSE)</f>
        <v>土日クエスト</v>
      </c>
      <c r="H341" s="18">
        <v>0</v>
      </c>
      <c r="I341">
        <v>34</v>
      </c>
      <c r="J341" s="5" t="s">
        <v>16</v>
      </c>
      <c r="K341" s="35" t="str">
        <f>VLOOKUP(I341,[2]stage_hints!$A:$C,3,FALSE)</f>
        <v>ステータスをスキルで下げられたら</v>
      </c>
      <c r="L341" s="36" t="str">
        <f>VLOOKUP(I341,[2]stage_hints!$A:$D,4,FALSE)</f>
        <v>ステータスダウンのスキルを受けたら_x000D_ステータスアップスキルで上書きしましょう</v>
      </c>
      <c r="M341" s="21" t="s">
        <v>23</v>
      </c>
      <c r="N341">
        <v>34</v>
      </c>
    </row>
    <row r="342" spans="1:14" x14ac:dyDescent="0.15">
      <c r="A342" s="26" t="s">
        <v>32</v>
      </c>
      <c r="B342" s="4">
        <v>11006</v>
      </c>
      <c r="C342" s="3" t="str">
        <f ca="1">VLOOKUP($B342,OFFSET([1]quests!$A$1,0,0,COUNTA([1]quests!$A:$A),MATCH(C$1,[1]quests!$1:$1,0)-MATCH($B$1,[1]quests!$1:$1,0)+1),MATCH(C$1,[1]quests!$1:$1,0)-MATCH($B$1,[1]quests!$1:$1,0)+1,FALSE)</f>
        <v>【土日限定】 ゴールドカジノ</v>
      </c>
      <c r="D342" s="3" t="str">
        <f ca="1">VLOOKUP($B342,OFFSET([1]quests!$A$1,0,0,COUNTA([1]quests!$A:$A),MATCH(D$1,[1]quests!$1:$1,0)-MATCH($B$1,[1]quests!$1:$1,0)+1),MATCH(D$1,[1]quests!$1:$1,0)-MATCH($B$1,[1]quests!$1:$1,0)+1,FALSE)</f>
        <v>土日クエスト</v>
      </c>
      <c r="E342" s="5">
        <v>2</v>
      </c>
      <c r="F342" s="3" t="str">
        <f ca="1">VLOOKUP($B342&amp;"_"&amp;$E342,OFFSET([1]stages!$A$1,0,0,COUNTA([1]stages!$A:$A),MATCH(F$1,[1]stages!$2:$2,0)-MATCH("temp_stage",[1]stages!$2:$2,0)+1),MATCH(F$1,[1]stages!$2:$2,0)-MATCH("temp_stage",[1]stages!$2:$2,0)+1,FALSE)</f>
        <v xml:space="preserve">【中級】ゴールドカジノ </v>
      </c>
      <c r="G342" s="3" t="str">
        <f ca="1">VLOOKUP($B342&amp;"_"&amp;$E342,OFFSET([1]stages!$A$1,0,0,COUNTA([1]stages!$A:$A),MATCH(G$1,[1]stages!$2:$2,0)-MATCH("temp_stage",[1]stages!$2:$2,0)+1),MATCH(G$1,[1]stages!$2:$2,0)-MATCH("temp_stage",[1]stages!$2:$2,0)+1,FALSE)</f>
        <v>土日クエスト</v>
      </c>
      <c r="H342" s="18">
        <v>0</v>
      </c>
      <c r="I342">
        <v>35</v>
      </c>
      <c r="J342" s="5" t="s">
        <v>16</v>
      </c>
      <c r="K342" s="35" t="str">
        <f>VLOOKUP(I342,[2]stage_hints!$A:$C,3,FALSE)</f>
        <v>敵のステータスがスキルで上がったら</v>
      </c>
      <c r="L342" s="36" t="str">
        <f>VLOOKUP(I342,[2]stage_hints!$A:$D,4,FALSE)</f>
        <v>敵のステータスがスキルでアップしたときは_x000D_ステータスダウンスキルで上書きしましょう</v>
      </c>
      <c r="M342" s="21" t="s">
        <v>23</v>
      </c>
      <c r="N342">
        <v>35</v>
      </c>
    </row>
    <row r="343" spans="1:14" x14ac:dyDescent="0.15">
      <c r="A343" s="26" t="s">
        <v>32</v>
      </c>
      <c r="B343" s="4">
        <v>11106</v>
      </c>
      <c r="C343" s="3" t="str">
        <f ca="1">VLOOKUP($B343,OFFSET([1]quests!$A$1,0,0,COUNTA([1]quests!$A:$A),MATCH(C$1,[1]quests!$1:$1,0)-MATCH($B$1,[1]quests!$1:$1,0)+1),MATCH(C$1,[1]quests!$1:$1,0)-MATCH($B$1,[1]quests!$1:$1,0)+1,FALSE)</f>
        <v>【キャンペーン限定】 ゴールドカジノ</v>
      </c>
      <c r="D343" s="3" t="str">
        <f ca="1">VLOOKUP($B343,OFFSET([1]quests!$A$1,0,0,COUNTA([1]quests!$A:$A),MATCH(D$1,[1]quests!$1:$1,0)-MATCH($B$1,[1]quests!$1:$1,0)+1),MATCH(D$1,[1]quests!$1:$1,0)-MATCH($B$1,[1]quests!$1:$1,0)+1,FALSE)</f>
        <v>土日クエスト1</v>
      </c>
      <c r="E343" s="5">
        <v>2</v>
      </c>
      <c r="F343" s="3" t="str">
        <f ca="1">VLOOKUP($B343&amp;"_"&amp;$E343,OFFSET([1]stages!$A$1,0,0,COUNTA([1]stages!$A:$A),MATCH(F$1,[1]stages!$2:$2,0)-MATCH("temp_stage",[1]stages!$2:$2,0)+1),MATCH(F$1,[1]stages!$2:$2,0)-MATCH("temp_stage",[1]stages!$2:$2,0)+1,FALSE)</f>
        <v xml:space="preserve">【中級】ゴールドカジノ </v>
      </c>
      <c r="G343" s="3" t="str">
        <f ca="1">VLOOKUP($B343&amp;"_"&amp;$E343,OFFSET([1]stages!$A$1,0,0,COUNTA([1]stages!$A:$A),MATCH(G$1,[1]stages!$2:$2,0)-MATCH("temp_stage",[1]stages!$2:$2,0)+1),MATCH(G$1,[1]stages!$2:$2,0)-MATCH("temp_stage",[1]stages!$2:$2,0)+1,FALSE)</f>
        <v>土日クエスト1</v>
      </c>
      <c r="H343" s="18">
        <v>0</v>
      </c>
      <c r="I343">
        <v>3</v>
      </c>
      <c r="J343" s="5" t="s">
        <v>16</v>
      </c>
      <c r="K343" s="35" t="str">
        <f>VLOOKUP(I343,[2]stage_hints!$A:$C,3,FALSE)</f>
        <v>ターゲット</v>
      </c>
      <c r="L343" s="36" t="str">
        <f>VLOOKUP(I343,[2]stage_hints!$A:$D,4,FALSE)</f>
        <v>敵ユニットをタップすると_x000D_その敵を狙い撃ちできます</v>
      </c>
      <c r="M343" s="21" t="s">
        <v>23</v>
      </c>
      <c r="N343">
        <v>3</v>
      </c>
    </row>
    <row r="344" spans="1:14" x14ac:dyDescent="0.15">
      <c r="A344" s="26" t="s">
        <v>32</v>
      </c>
      <c r="B344" s="4">
        <v>11106</v>
      </c>
      <c r="C344" s="3" t="str">
        <f ca="1">VLOOKUP($B344,OFFSET([1]quests!$A$1,0,0,COUNTA([1]quests!$A:$A),MATCH(C$1,[1]quests!$1:$1,0)-MATCH($B$1,[1]quests!$1:$1,0)+1),MATCH(C$1,[1]quests!$1:$1,0)-MATCH($B$1,[1]quests!$1:$1,0)+1,FALSE)</f>
        <v>【キャンペーン限定】 ゴールドカジノ</v>
      </c>
      <c r="D344" s="3" t="str">
        <f ca="1">VLOOKUP($B344,OFFSET([1]quests!$A$1,0,0,COUNTA([1]quests!$A:$A),MATCH(D$1,[1]quests!$1:$1,0)-MATCH($B$1,[1]quests!$1:$1,0)+1),MATCH(D$1,[1]quests!$1:$1,0)-MATCH($B$1,[1]quests!$1:$1,0)+1,FALSE)</f>
        <v>土日クエスト1</v>
      </c>
      <c r="E344" s="5">
        <v>2</v>
      </c>
      <c r="F344" s="3" t="str">
        <f ca="1">VLOOKUP($B344&amp;"_"&amp;$E344,OFFSET([1]stages!$A$1,0,0,COUNTA([1]stages!$A:$A),MATCH(F$1,[1]stages!$2:$2,0)-MATCH("temp_stage",[1]stages!$2:$2,0)+1),MATCH(F$1,[1]stages!$2:$2,0)-MATCH("temp_stage",[1]stages!$2:$2,0)+1,FALSE)</f>
        <v xml:space="preserve">【中級】ゴールドカジノ </v>
      </c>
      <c r="G344" s="3" t="str">
        <f ca="1">VLOOKUP($B344&amp;"_"&amp;$E344,OFFSET([1]stages!$A$1,0,0,COUNTA([1]stages!$A:$A),MATCH(G$1,[1]stages!$2:$2,0)-MATCH("temp_stage",[1]stages!$2:$2,0)+1),MATCH(G$1,[1]stages!$2:$2,0)-MATCH("temp_stage",[1]stages!$2:$2,0)+1,FALSE)</f>
        <v>土日クエスト1</v>
      </c>
      <c r="H344" s="18">
        <v>0</v>
      </c>
      <c r="I344">
        <v>6</v>
      </c>
      <c r="J344" s="5" t="s">
        <v>16</v>
      </c>
      <c r="K344" s="35" t="str">
        <f>VLOOKUP(I344,[2]stage_hints!$A:$C,3,FALSE)</f>
        <v>ユニット強化の属性ボーナス</v>
      </c>
      <c r="L344" s="36" t="str">
        <f>VLOOKUP(I344,[2]stage_hints!$A:$D,4,FALSE)</f>
        <v>同属性ユニットを強化素材にすると_x000D_経験値が多くもらえます</v>
      </c>
      <c r="M344" s="21" t="s">
        <v>23</v>
      </c>
      <c r="N344">
        <v>6</v>
      </c>
    </row>
    <row r="345" spans="1:14" x14ac:dyDescent="0.15">
      <c r="A345" s="26" t="s">
        <v>32</v>
      </c>
      <c r="B345" s="4">
        <v>11106</v>
      </c>
      <c r="C345" s="3" t="str">
        <f ca="1">VLOOKUP($B345,OFFSET([1]quests!$A$1,0,0,COUNTA([1]quests!$A:$A),MATCH(C$1,[1]quests!$1:$1,0)-MATCH($B$1,[1]quests!$1:$1,0)+1),MATCH(C$1,[1]quests!$1:$1,0)-MATCH($B$1,[1]quests!$1:$1,0)+1,FALSE)</f>
        <v>【キャンペーン限定】 ゴールドカジノ</v>
      </c>
      <c r="D345" s="3" t="str">
        <f ca="1">VLOOKUP($B345,OFFSET([1]quests!$A$1,0,0,COUNTA([1]quests!$A:$A),MATCH(D$1,[1]quests!$1:$1,0)-MATCH($B$1,[1]quests!$1:$1,0)+1),MATCH(D$1,[1]quests!$1:$1,0)-MATCH($B$1,[1]quests!$1:$1,0)+1,FALSE)</f>
        <v>土日クエスト1</v>
      </c>
      <c r="E345" s="5">
        <v>2</v>
      </c>
      <c r="F345" s="3" t="str">
        <f ca="1">VLOOKUP($B345&amp;"_"&amp;$E345,OFFSET([1]stages!$A$1,0,0,COUNTA([1]stages!$A:$A),MATCH(F$1,[1]stages!$2:$2,0)-MATCH("temp_stage",[1]stages!$2:$2,0)+1),MATCH(F$1,[1]stages!$2:$2,0)-MATCH("temp_stage",[1]stages!$2:$2,0)+1,FALSE)</f>
        <v xml:space="preserve">【中級】ゴールドカジノ </v>
      </c>
      <c r="G345" s="3" t="str">
        <f ca="1">VLOOKUP($B345&amp;"_"&amp;$E345,OFFSET([1]stages!$A$1,0,0,COUNTA([1]stages!$A:$A),MATCH(G$1,[1]stages!$2:$2,0)-MATCH("temp_stage",[1]stages!$2:$2,0)+1),MATCH(G$1,[1]stages!$2:$2,0)-MATCH("temp_stage",[1]stages!$2:$2,0)+1,FALSE)</f>
        <v>土日クエスト1</v>
      </c>
      <c r="H345" s="18">
        <v>0</v>
      </c>
      <c r="I345">
        <v>7</v>
      </c>
      <c r="J345" s="5" t="s">
        <v>16</v>
      </c>
      <c r="K345" s="35" t="str">
        <f>VLOOKUP(I345,[2]stage_hints!$A:$C,3,FALSE)</f>
        <v>メタルダックで経験値を獲得</v>
      </c>
      <c r="L345" s="36" t="str">
        <f>VLOOKUP(I345,[2]stage_hints!$A:$D,4,FALSE)</f>
        <v>「メタルなアヒル」を強化素材にすると_x000D_大量の経験値がもらえます</v>
      </c>
      <c r="M345" s="21" t="s">
        <v>23</v>
      </c>
      <c r="N345">
        <v>7</v>
      </c>
    </row>
    <row r="346" spans="1:14" x14ac:dyDescent="0.15">
      <c r="A346" s="26" t="s">
        <v>32</v>
      </c>
      <c r="B346" s="4">
        <v>11106</v>
      </c>
      <c r="C346" s="3" t="str">
        <f ca="1">VLOOKUP($B346,OFFSET([1]quests!$A$1,0,0,COUNTA([1]quests!$A:$A),MATCH(C$1,[1]quests!$1:$1,0)-MATCH($B$1,[1]quests!$1:$1,0)+1),MATCH(C$1,[1]quests!$1:$1,0)-MATCH($B$1,[1]quests!$1:$1,0)+1,FALSE)</f>
        <v>【キャンペーン限定】 ゴールドカジノ</v>
      </c>
      <c r="D346" s="3" t="str">
        <f ca="1">VLOOKUP($B346,OFFSET([1]quests!$A$1,0,0,COUNTA([1]quests!$A:$A),MATCH(D$1,[1]quests!$1:$1,0)-MATCH($B$1,[1]quests!$1:$1,0)+1),MATCH(D$1,[1]quests!$1:$1,0)-MATCH($B$1,[1]quests!$1:$1,0)+1,FALSE)</f>
        <v>土日クエスト1</v>
      </c>
      <c r="E346" s="5">
        <v>2</v>
      </c>
      <c r="F346" s="3" t="str">
        <f ca="1">VLOOKUP($B346&amp;"_"&amp;$E346,OFFSET([1]stages!$A$1,0,0,COUNTA([1]stages!$A:$A),MATCH(F$1,[1]stages!$2:$2,0)-MATCH("temp_stage",[1]stages!$2:$2,0)+1),MATCH(F$1,[1]stages!$2:$2,0)-MATCH("temp_stage",[1]stages!$2:$2,0)+1,FALSE)</f>
        <v xml:space="preserve">【中級】ゴールドカジノ </v>
      </c>
      <c r="G346" s="3" t="str">
        <f ca="1">VLOOKUP($B346&amp;"_"&amp;$E346,OFFSET([1]stages!$A$1,0,0,COUNTA([1]stages!$A:$A),MATCH(G$1,[1]stages!$2:$2,0)-MATCH("temp_stage",[1]stages!$2:$2,0)+1),MATCH(G$1,[1]stages!$2:$2,0)-MATCH("temp_stage",[1]stages!$2:$2,0)+1,FALSE)</f>
        <v>土日クエスト1</v>
      </c>
      <c r="H346" s="18">
        <v>0</v>
      </c>
      <c r="I346">
        <v>8</v>
      </c>
      <c r="J346" s="5" t="s">
        <v>16</v>
      </c>
      <c r="K346" s="35" t="str">
        <f>VLOOKUP(I346,[2]stage_hints!$A:$C,3,FALSE)</f>
        <v>ゲリラクエストは要チェック</v>
      </c>
      <c r="L346" s="36" t="str">
        <f>VLOOKUP(I346,[2]stage_hints!$A:$D,4,FALSE)</f>
        <v>時間限定の「アヒル捕獲作戦」では_x000D_経験値素材ユニットが多く手に入ります</v>
      </c>
      <c r="M346" s="21" t="s">
        <v>23</v>
      </c>
      <c r="N346">
        <v>8</v>
      </c>
    </row>
    <row r="347" spans="1:14" x14ac:dyDescent="0.15">
      <c r="A347" s="26" t="s">
        <v>32</v>
      </c>
      <c r="B347" s="4">
        <v>11106</v>
      </c>
      <c r="C347" s="3" t="str">
        <f ca="1">VLOOKUP($B347,OFFSET([1]quests!$A$1,0,0,COUNTA([1]quests!$A:$A),MATCH(C$1,[1]quests!$1:$1,0)-MATCH($B$1,[1]quests!$1:$1,0)+1),MATCH(C$1,[1]quests!$1:$1,0)-MATCH($B$1,[1]quests!$1:$1,0)+1,FALSE)</f>
        <v>【キャンペーン限定】 ゴールドカジノ</v>
      </c>
      <c r="D347" s="3" t="str">
        <f ca="1">VLOOKUP($B347,OFFSET([1]quests!$A$1,0,0,COUNTA([1]quests!$A:$A),MATCH(D$1,[1]quests!$1:$1,0)-MATCH($B$1,[1]quests!$1:$1,0)+1),MATCH(D$1,[1]quests!$1:$1,0)-MATCH($B$1,[1]quests!$1:$1,0)+1,FALSE)</f>
        <v>土日クエスト1</v>
      </c>
      <c r="E347" s="5">
        <v>2</v>
      </c>
      <c r="F347" s="3" t="str">
        <f ca="1">VLOOKUP($B347&amp;"_"&amp;$E347,OFFSET([1]stages!$A$1,0,0,COUNTA([1]stages!$A:$A),MATCH(F$1,[1]stages!$2:$2,0)-MATCH("temp_stage",[1]stages!$2:$2,0)+1),MATCH(F$1,[1]stages!$2:$2,0)-MATCH("temp_stage",[1]stages!$2:$2,0)+1,FALSE)</f>
        <v xml:space="preserve">【中級】ゴールドカジノ </v>
      </c>
      <c r="G347" s="3" t="str">
        <f ca="1">VLOOKUP($B347&amp;"_"&amp;$E347,OFFSET([1]stages!$A$1,0,0,COUNTA([1]stages!$A:$A),MATCH(G$1,[1]stages!$2:$2,0)-MATCH("temp_stage",[1]stages!$2:$2,0)+1),MATCH(G$1,[1]stages!$2:$2,0)-MATCH("temp_stage",[1]stages!$2:$2,0)+1,FALSE)</f>
        <v>土日クエスト1</v>
      </c>
      <c r="H347" s="18">
        <v>0</v>
      </c>
      <c r="I347">
        <v>9</v>
      </c>
      <c r="J347" s="5" t="s">
        <v>16</v>
      </c>
      <c r="K347" s="35" t="str">
        <f>VLOOKUP(I347,[2]stage_hints!$A:$C,3,FALSE)</f>
        <v>ゴールドダックでビットを獲得</v>
      </c>
      <c r="L347" s="36" t="str">
        <f>VLOOKUP(I347,[2]stage_hints!$A:$D,4,FALSE)</f>
        <v>「ゴールドなアヒル」を売却すると_x000D_大量のビットがもらえます</v>
      </c>
      <c r="M347" s="21" t="s">
        <v>23</v>
      </c>
      <c r="N347">
        <v>9</v>
      </c>
    </row>
    <row r="348" spans="1:14" x14ac:dyDescent="0.15">
      <c r="A348" s="26" t="s">
        <v>32</v>
      </c>
      <c r="B348" s="4">
        <v>11106</v>
      </c>
      <c r="C348" s="3" t="str">
        <f ca="1">VLOOKUP($B348,OFFSET([1]quests!$A$1,0,0,COUNTA([1]quests!$A:$A),MATCH(C$1,[1]quests!$1:$1,0)-MATCH($B$1,[1]quests!$1:$1,0)+1),MATCH(C$1,[1]quests!$1:$1,0)-MATCH($B$1,[1]quests!$1:$1,0)+1,FALSE)</f>
        <v>【キャンペーン限定】 ゴールドカジノ</v>
      </c>
      <c r="D348" s="3" t="str">
        <f ca="1">VLOOKUP($B348,OFFSET([1]quests!$A$1,0,0,COUNTA([1]quests!$A:$A),MATCH(D$1,[1]quests!$1:$1,0)-MATCH($B$1,[1]quests!$1:$1,0)+1),MATCH(D$1,[1]quests!$1:$1,0)-MATCH($B$1,[1]quests!$1:$1,0)+1,FALSE)</f>
        <v>土日クエスト1</v>
      </c>
      <c r="E348" s="5">
        <v>2</v>
      </c>
      <c r="F348" s="3" t="str">
        <f ca="1">VLOOKUP($B348&amp;"_"&amp;$E348,OFFSET([1]stages!$A$1,0,0,COUNTA([1]stages!$A:$A),MATCH(F$1,[1]stages!$2:$2,0)-MATCH("temp_stage",[1]stages!$2:$2,0)+1),MATCH(F$1,[1]stages!$2:$2,0)-MATCH("temp_stage",[1]stages!$2:$2,0)+1,FALSE)</f>
        <v xml:space="preserve">【中級】ゴールドカジノ </v>
      </c>
      <c r="G348" s="3" t="str">
        <f ca="1">VLOOKUP($B348&amp;"_"&amp;$E348,OFFSET([1]stages!$A$1,0,0,COUNTA([1]stages!$A:$A),MATCH(G$1,[1]stages!$2:$2,0)-MATCH("temp_stage",[1]stages!$2:$2,0)+1),MATCH(G$1,[1]stages!$2:$2,0)-MATCH("temp_stage",[1]stages!$2:$2,0)+1,FALSE)</f>
        <v>土日クエスト1</v>
      </c>
      <c r="H348" s="18">
        <v>0</v>
      </c>
      <c r="I348">
        <v>10</v>
      </c>
      <c r="J348" s="5" t="s">
        <v>16</v>
      </c>
      <c r="K348" s="35" t="str">
        <f>VLOOKUP(I348,[2]stage_hints!$A:$C,3,FALSE)</f>
        <v>土日に大量のビットを獲得</v>
      </c>
      <c r="L348" s="36" t="str">
        <f>VLOOKUP(I348,[2]stage_hints!$A:$D,4,FALSE)</f>
        <v>土日限定の「ゴールドカジノ」では_x000D_売却素材ユニットが多く手に入ります</v>
      </c>
      <c r="M348" s="21" t="s">
        <v>23</v>
      </c>
      <c r="N348">
        <v>10</v>
      </c>
    </row>
    <row r="349" spans="1:14" x14ac:dyDescent="0.15">
      <c r="A349" s="26" t="s">
        <v>32</v>
      </c>
      <c r="B349" s="4">
        <v>11106</v>
      </c>
      <c r="C349" s="3" t="str">
        <f ca="1">VLOOKUP($B349,OFFSET([1]quests!$A$1,0,0,COUNTA([1]quests!$A:$A),MATCH(C$1,[1]quests!$1:$1,0)-MATCH($B$1,[1]quests!$1:$1,0)+1),MATCH(C$1,[1]quests!$1:$1,0)-MATCH($B$1,[1]quests!$1:$1,0)+1,FALSE)</f>
        <v>【キャンペーン限定】 ゴールドカジノ</v>
      </c>
      <c r="D349" s="3" t="str">
        <f ca="1">VLOOKUP($B349,OFFSET([1]quests!$A$1,0,0,COUNTA([1]quests!$A:$A),MATCH(D$1,[1]quests!$1:$1,0)-MATCH($B$1,[1]quests!$1:$1,0)+1),MATCH(D$1,[1]quests!$1:$1,0)-MATCH($B$1,[1]quests!$1:$1,0)+1,FALSE)</f>
        <v>土日クエスト1</v>
      </c>
      <c r="E349" s="5">
        <v>2</v>
      </c>
      <c r="F349" s="3" t="str">
        <f ca="1">VLOOKUP($B349&amp;"_"&amp;$E349,OFFSET([1]stages!$A$1,0,0,COUNTA([1]stages!$A:$A),MATCH(F$1,[1]stages!$2:$2,0)-MATCH("temp_stage",[1]stages!$2:$2,0)+1),MATCH(F$1,[1]stages!$2:$2,0)-MATCH("temp_stage",[1]stages!$2:$2,0)+1,FALSE)</f>
        <v xml:space="preserve">【中級】ゴールドカジノ </v>
      </c>
      <c r="G349" s="3" t="str">
        <f ca="1">VLOOKUP($B349&amp;"_"&amp;$E349,OFFSET([1]stages!$A$1,0,0,COUNTA([1]stages!$A:$A),MATCH(G$1,[1]stages!$2:$2,0)-MATCH("temp_stage",[1]stages!$2:$2,0)+1),MATCH(G$1,[1]stages!$2:$2,0)-MATCH("temp_stage",[1]stages!$2:$2,0)+1,FALSE)</f>
        <v>土日クエスト1</v>
      </c>
      <c r="H349" s="18">
        <v>0</v>
      </c>
      <c r="I349">
        <v>11</v>
      </c>
      <c r="J349" s="5" t="s">
        <v>16</v>
      </c>
      <c r="K349" s="35" t="str">
        <f>VLOOKUP(I349,[2]stage_hints!$A:$C,3,FALSE)</f>
        <v>ランク解放クエスト</v>
      </c>
      <c r="L349" s="36" t="str">
        <f>VLOOKUP(I349,[2]stage_hints!$A:$D,4,FALSE)</f>
        <v>一定ランクに到達すると_x000D_報酬付きのランク開放クエストが現れます</v>
      </c>
      <c r="M349" s="21" t="s">
        <v>23</v>
      </c>
      <c r="N349">
        <v>11</v>
      </c>
    </row>
    <row r="350" spans="1:14" x14ac:dyDescent="0.15">
      <c r="A350" s="26" t="s">
        <v>32</v>
      </c>
      <c r="B350" s="4">
        <v>11106</v>
      </c>
      <c r="C350" s="3" t="str">
        <f ca="1">VLOOKUP($B350,OFFSET([1]quests!$A$1,0,0,COUNTA([1]quests!$A:$A),MATCH(C$1,[1]quests!$1:$1,0)-MATCH($B$1,[1]quests!$1:$1,0)+1),MATCH(C$1,[1]quests!$1:$1,0)-MATCH($B$1,[1]quests!$1:$1,0)+1,FALSE)</f>
        <v>【キャンペーン限定】 ゴールドカジノ</v>
      </c>
      <c r="D350" s="3" t="str">
        <f ca="1">VLOOKUP($B350,OFFSET([1]quests!$A$1,0,0,COUNTA([1]quests!$A:$A),MATCH(D$1,[1]quests!$1:$1,0)-MATCH($B$1,[1]quests!$1:$1,0)+1),MATCH(D$1,[1]quests!$1:$1,0)-MATCH($B$1,[1]quests!$1:$1,0)+1,FALSE)</f>
        <v>土日クエスト1</v>
      </c>
      <c r="E350" s="5">
        <v>2</v>
      </c>
      <c r="F350" s="3" t="str">
        <f ca="1">VLOOKUP($B350&amp;"_"&amp;$E350,OFFSET([1]stages!$A$1,0,0,COUNTA([1]stages!$A:$A),MATCH(F$1,[1]stages!$2:$2,0)-MATCH("temp_stage",[1]stages!$2:$2,0)+1),MATCH(F$1,[1]stages!$2:$2,0)-MATCH("temp_stage",[1]stages!$2:$2,0)+1,FALSE)</f>
        <v xml:space="preserve">【中級】ゴールドカジノ </v>
      </c>
      <c r="G350" s="3" t="str">
        <f ca="1">VLOOKUP($B350&amp;"_"&amp;$E350,OFFSET([1]stages!$A$1,0,0,COUNTA([1]stages!$A:$A),MATCH(G$1,[1]stages!$2:$2,0)-MATCH("temp_stage",[1]stages!$2:$2,0)+1),MATCH(G$1,[1]stages!$2:$2,0)-MATCH("temp_stage",[1]stages!$2:$2,0)+1,FALSE)</f>
        <v>土日クエスト1</v>
      </c>
      <c r="H350" s="18">
        <v>0</v>
      </c>
      <c r="I350">
        <v>12</v>
      </c>
      <c r="J350" s="5" t="s">
        <v>16</v>
      </c>
      <c r="K350" s="35" t="str">
        <f>VLOOKUP(I350,[2]stage_hints!$A:$C,3,FALSE)</f>
        <v>ユニットのお気に入り登録</v>
      </c>
      <c r="L350" s="36" t="str">
        <f>VLOOKUP(I350,[2]stage_hints!$A:$D,4,FALSE)</f>
        <v>大事なユニットを誤って消さないように_x000D_フォルダから「お気に入り登録」しましょう</v>
      </c>
      <c r="M350" s="21" t="s">
        <v>23</v>
      </c>
      <c r="N350">
        <v>12</v>
      </c>
    </row>
    <row r="351" spans="1:14" x14ac:dyDescent="0.15">
      <c r="A351" s="26" t="s">
        <v>32</v>
      </c>
      <c r="B351" s="4">
        <v>11106</v>
      </c>
      <c r="C351" s="3" t="str">
        <f ca="1">VLOOKUP($B351,OFFSET([1]quests!$A$1,0,0,COUNTA([1]quests!$A:$A),MATCH(C$1,[1]quests!$1:$1,0)-MATCH($B$1,[1]quests!$1:$1,0)+1),MATCH(C$1,[1]quests!$1:$1,0)-MATCH($B$1,[1]quests!$1:$1,0)+1,FALSE)</f>
        <v>【キャンペーン限定】 ゴールドカジノ</v>
      </c>
      <c r="D351" s="3" t="str">
        <f ca="1">VLOOKUP($B351,OFFSET([1]quests!$A$1,0,0,COUNTA([1]quests!$A:$A),MATCH(D$1,[1]quests!$1:$1,0)-MATCH($B$1,[1]quests!$1:$1,0)+1),MATCH(D$1,[1]quests!$1:$1,0)-MATCH($B$1,[1]quests!$1:$1,0)+1,FALSE)</f>
        <v>土日クエスト1</v>
      </c>
      <c r="E351" s="5">
        <v>2</v>
      </c>
      <c r="F351" s="3" t="str">
        <f ca="1">VLOOKUP($B351&amp;"_"&amp;$E351,OFFSET([1]stages!$A$1,0,0,COUNTA([1]stages!$A:$A),MATCH(F$1,[1]stages!$2:$2,0)-MATCH("temp_stage",[1]stages!$2:$2,0)+1),MATCH(F$1,[1]stages!$2:$2,0)-MATCH("temp_stage",[1]stages!$2:$2,0)+1,FALSE)</f>
        <v xml:space="preserve">【中級】ゴールドカジノ </v>
      </c>
      <c r="G351" s="3" t="str">
        <f ca="1">VLOOKUP($B351&amp;"_"&amp;$E351,OFFSET([1]stages!$A$1,0,0,COUNTA([1]stages!$A:$A),MATCH(G$1,[1]stages!$2:$2,0)-MATCH("temp_stage",[1]stages!$2:$2,0)+1),MATCH(G$1,[1]stages!$2:$2,0)-MATCH("temp_stage",[1]stages!$2:$2,0)+1,FALSE)</f>
        <v>土日クエスト1</v>
      </c>
      <c r="H351" s="18">
        <v>0</v>
      </c>
      <c r="I351">
        <v>13</v>
      </c>
      <c r="J351" s="5" t="s">
        <v>16</v>
      </c>
      <c r="K351" s="35" t="str">
        <f>VLOOKUP(I351,[2]stage_hints!$A:$C,3,FALSE)</f>
        <v>ユニットの覚醒</v>
      </c>
      <c r="L351" s="36" t="str">
        <f>VLOOKUP(I351,[2]stage_hints!$A:$D,4,FALSE)</f>
        <v>ユニットを覚醒させると_x000D_比べものにならない強さが手に入ります</v>
      </c>
      <c r="M351" s="21" t="s">
        <v>23</v>
      </c>
      <c r="N351">
        <v>13</v>
      </c>
    </row>
    <row r="352" spans="1:14" x14ac:dyDescent="0.15">
      <c r="A352" s="26" t="s">
        <v>32</v>
      </c>
      <c r="B352" s="4">
        <v>11106</v>
      </c>
      <c r="C352" s="3" t="str">
        <f ca="1">VLOOKUP($B352,OFFSET([1]quests!$A$1,0,0,COUNTA([1]quests!$A:$A),MATCH(C$1,[1]quests!$1:$1,0)-MATCH($B$1,[1]quests!$1:$1,0)+1),MATCH(C$1,[1]quests!$1:$1,0)-MATCH($B$1,[1]quests!$1:$1,0)+1,FALSE)</f>
        <v>【キャンペーン限定】 ゴールドカジノ</v>
      </c>
      <c r="D352" s="3" t="str">
        <f ca="1">VLOOKUP($B352,OFFSET([1]quests!$A$1,0,0,COUNTA([1]quests!$A:$A),MATCH(D$1,[1]quests!$1:$1,0)-MATCH($B$1,[1]quests!$1:$1,0)+1),MATCH(D$1,[1]quests!$1:$1,0)-MATCH($B$1,[1]quests!$1:$1,0)+1,FALSE)</f>
        <v>土日クエスト1</v>
      </c>
      <c r="E352" s="5">
        <v>2</v>
      </c>
      <c r="F352" s="3" t="str">
        <f ca="1">VLOOKUP($B352&amp;"_"&amp;$E352,OFFSET([1]stages!$A$1,0,0,COUNTA([1]stages!$A:$A),MATCH(F$1,[1]stages!$2:$2,0)-MATCH("temp_stage",[1]stages!$2:$2,0)+1),MATCH(F$1,[1]stages!$2:$2,0)-MATCH("temp_stage",[1]stages!$2:$2,0)+1,FALSE)</f>
        <v xml:space="preserve">【中級】ゴールドカジノ </v>
      </c>
      <c r="G352" s="3" t="str">
        <f ca="1">VLOOKUP($B352&amp;"_"&amp;$E352,OFFSET([1]stages!$A$1,0,0,COUNTA([1]stages!$A:$A),MATCH(G$1,[1]stages!$2:$2,0)-MATCH("temp_stage",[1]stages!$2:$2,0)+1),MATCH(G$1,[1]stages!$2:$2,0)-MATCH("temp_stage",[1]stages!$2:$2,0)+1,FALSE)</f>
        <v>土日クエスト1</v>
      </c>
      <c r="H352" s="18">
        <v>0</v>
      </c>
      <c r="I352">
        <v>14</v>
      </c>
      <c r="J352" s="5" t="s">
        <v>16</v>
      </c>
      <c r="K352" s="35" t="str">
        <f>VLOOKUP(I352,[2]stage_hints!$A:$C,3,FALSE)</f>
        <v>覚醒するにはレベルを最大に</v>
      </c>
      <c r="L352" s="36" t="str">
        <f>VLOOKUP(I352,[2]stage_hints!$A:$D,4,FALSE)</f>
        <v>覚醒するにはユニットのレベルを_x000D_最大まで上げる必要があります</v>
      </c>
      <c r="M352" s="21" t="s">
        <v>23</v>
      </c>
      <c r="N352">
        <v>14</v>
      </c>
    </row>
    <row r="353" spans="1:14" x14ac:dyDescent="0.15">
      <c r="A353" s="26" t="s">
        <v>32</v>
      </c>
      <c r="B353" s="4">
        <v>11106</v>
      </c>
      <c r="C353" s="3" t="str">
        <f ca="1">VLOOKUP($B353,OFFSET([1]quests!$A$1,0,0,COUNTA([1]quests!$A:$A),MATCH(C$1,[1]quests!$1:$1,0)-MATCH($B$1,[1]quests!$1:$1,0)+1),MATCH(C$1,[1]quests!$1:$1,0)-MATCH($B$1,[1]quests!$1:$1,0)+1,FALSE)</f>
        <v>【キャンペーン限定】 ゴールドカジノ</v>
      </c>
      <c r="D353" s="3" t="str">
        <f ca="1">VLOOKUP($B353,OFFSET([1]quests!$A$1,0,0,COUNTA([1]quests!$A:$A),MATCH(D$1,[1]quests!$1:$1,0)-MATCH($B$1,[1]quests!$1:$1,0)+1),MATCH(D$1,[1]quests!$1:$1,0)-MATCH($B$1,[1]quests!$1:$1,0)+1,FALSE)</f>
        <v>土日クエスト1</v>
      </c>
      <c r="E353" s="5">
        <v>2</v>
      </c>
      <c r="F353" s="3" t="str">
        <f ca="1">VLOOKUP($B353&amp;"_"&amp;$E353,OFFSET([1]stages!$A$1,0,0,COUNTA([1]stages!$A:$A),MATCH(F$1,[1]stages!$2:$2,0)-MATCH("temp_stage",[1]stages!$2:$2,0)+1),MATCH(F$1,[1]stages!$2:$2,0)-MATCH("temp_stage",[1]stages!$2:$2,0)+1,FALSE)</f>
        <v xml:space="preserve">【中級】ゴールドカジノ </v>
      </c>
      <c r="G353" s="3" t="str">
        <f ca="1">VLOOKUP($B353&amp;"_"&amp;$E353,OFFSET([1]stages!$A$1,0,0,COUNTA([1]stages!$A:$A),MATCH(G$1,[1]stages!$2:$2,0)-MATCH("temp_stage",[1]stages!$2:$2,0)+1),MATCH(G$1,[1]stages!$2:$2,0)-MATCH("temp_stage",[1]stages!$2:$2,0)+1,FALSE)</f>
        <v>土日クエスト1</v>
      </c>
      <c r="H353" s="18">
        <v>0</v>
      </c>
      <c r="I353">
        <v>15</v>
      </c>
      <c r="J353" s="5" t="s">
        <v>16</v>
      </c>
      <c r="K353" s="35" t="str">
        <f>VLOOKUP(I353,[2]stage_hints!$A:$C,3,FALSE)</f>
        <v>覚醒素材を獲得</v>
      </c>
      <c r="L353" s="36" t="str">
        <f>VLOOKUP(I353,[2]stage_hints!$A:$D,4,FALSE)</f>
        <v>「曜日クエスト」では_x000D_ユニットの覚醒に必要な素材が手に入ります</v>
      </c>
      <c r="M353" s="21" t="s">
        <v>23</v>
      </c>
      <c r="N353">
        <v>15</v>
      </c>
    </row>
    <row r="354" spans="1:14" x14ac:dyDescent="0.15">
      <c r="A354" s="26" t="s">
        <v>32</v>
      </c>
      <c r="B354" s="4">
        <v>11106</v>
      </c>
      <c r="C354" s="3" t="str">
        <f ca="1">VLOOKUP($B354,OFFSET([1]quests!$A$1,0,0,COUNTA([1]quests!$A:$A),MATCH(C$1,[1]quests!$1:$1,0)-MATCH($B$1,[1]quests!$1:$1,0)+1),MATCH(C$1,[1]quests!$1:$1,0)-MATCH($B$1,[1]quests!$1:$1,0)+1,FALSE)</f>
        <v>【キャンペーン限定】 ゴールドカジノ</v>
      </c>
      <c r="D354" s="3" t="str">
        <f ca="1">VLOOKUP($B354,OFFSET([1]quests!$A$1,0,0,COUNTA([1]quests!$A:$A),MATCH(D$1,[1]quests!$1:$1,0)-MATCH($B$1,[1]quests!$1:$1,0)+1),MATCH(D$1,[1]quests!$1:$1,0)-MATCH($B$1,[1]quests!$1:$1,0)+1,FALSE)</f>
        <v>土日クエスト1</v>
      </c>
      <c r="E354" s="5">
        <v>2</v>
      </c>
      <c r="F354" s="3" t="str">
        <f ca="1">VLOOKUP($B354&amp;"_"&amp;$E354,OFFSET([1]stages!$A$1,0,0,COUNTA([1]stages!$A:$A),MATCH(F$1,[1]stages!$2:$2,0)-MATCH("temp_stage",[1]stages!$2:$2,0)+1),MATCH(F$1,[1]stages!$2:$2,0)-MATCH("temp_stage",[1]stages!$2:$2,0)+1,FALSE)</f>
        <v xml:space="preserve">【中級】ゴールドカジノ </v>
      </c>
      <c r="G354" s="3" t="str">
        <f ca="1">VLOOKUP($B354&amp;"_"&amp;$E354,OFFSET([1]stages!$A$1,0,0,COUNTA([1]stages!$A:$A),MATCH(G$1,[1]stages!$2:$2,0)-MATCH("temp_stage",[1]stages!$2:$2,0)+1),MATCH(G$1,[1]stages!$2:$2,0)-MATCH("temp_stage",[1]stages!$2:$2,0)+1,FALSE)</f>
        <v>土日クエスト1</v>
      </c>
      <c r="H354" s="18">
        <v>0</v>
      </c>
      <c r="I354">
        <v>16</v>
      </c>
      <c r="J354" s="5" t="s">
        <v>16</v>
      </c>
      <c r="K354" s="35" t="str">
        <f>VLOOKUP(I354,[2]stage_hints!$A:$C,3,FALSE)</f>
        <v>マルチプレイのメリット（その1）</v>
      </c>
      <c r="L354" s="36" t="str">
        <f>VLOOKUP(I354,[2]stage_hints!$A:$D,4,FALSE)</f>
        <v>他のプレイヤーとマルチプレイで遊ぶと_x000D_ポリゴンがもらえます（100人まで）</v>
      </c>
      <c r="M354" s="21" t="s">
        <v>23</v>
      </c>
      <c r="N354">
        <v>16</v>
      </c>
    </row>
    <row r="355" spans="1:14" x14ac:dyDescent="0.15">
      <c r="A355" s="26" t="s">
        <v>32</v>
      </c>
      <c r="B355" s="4">
        <v>11106</v>
      </c>
      <c r="C355" s="3" t="str">
        <f ca="1">VLOOKUP($B355,OFFSET([1]quests!$A$1,0,0,COUNTA([1]quests!$A:$A),MATCH(C$1,[1]quests!$1:$1,0)-MATCH($B$1,[1]quests!$1:$1,0)+1),MATCH(C$1,[1]quests!$1:$1,0)-MATCH($B$1,[1]quests!$1:$1,0)+1,FALSE)</f>
        <v>【キャンペーン限定】 ゴールドカジノ</v>
      </c>
      <c r="D355" s="3" t="str">
        <f ca="1">VLOOKUP($B355,OFFSET([1]quests!$A$1,0,0,COUNTA([1]quests!$A:$A),MATCH(D$1,[1]quests!$1:$1,0)-MATCH($B$1,[1]quests!$1:$1,0)+1),MATCH(D$1,[1]quests!$1:$1,0)-MATCH($B$1,[1]quests!$1:$1,0)+1,FALSE)</f>
        <v>土日クエスト1</v>
      </c>
      <c r="E355" s="5">
        <v>2</v>
      </c>
      <c r="F355" s="3" t="str">
        <f ca="1">VLOOKUP($B355&amp;"_"&amp;$E355,OFFSET([1]stages!$A$1,0,0,COUNTA([1]stages!$A:$A),MATCH(F$1,[1]stages!$2:$2,0)-MATCH("temp_stage",[1]stages!$2:$2,0)+1),MATCH(F$1,[1]stages!$2:$2,0)-MATCH("temp_stage",[1]stages!$2:$2,0)+1,FALSE)</f>
        <v xml:space="preserve">【中級】ゴールドカジノ </v>
      </c>
      <c r="G355" s="3" t="str">
        <f ca="1">VLOOKUP($B355&amp;"_"&amp;$E355,OFFSET([1]stages!$A$1,0,0,COUNTA([1]stages!$A:$A),MATCH(G$1,[1]stages!$2:$2,0)-MATCH("temp_stage",[1]stages!$2:$2,0)+1),MATCH(G$1,[1]stages!$2:$2,0)-MATCH("temp_stage",[1]stages!$2:$2,0)+1,FALSE)</f>
        <v>土日クエスト1</v>
      </c>
      <c r="H355" s="18">
        <v>0</v>
      </c>
      <c r="I355">
        <v>17</v>
      </c>
      <c r="J355" s="5" t="s">
        <v>16</v>
      </c>
      <c r="K355" s="35" t="str">
        <f>VLOOKUP(I355,[2]stage_hints!$A:$C,3,FALSE)</f>
        <v>リンクガチャ</v>
      </c>
      <c r="L355" s="36" t="str">
        <f>VLOOKUP(I355,[2]stage_hints!$A:$D,4,FALSE)</f>
        <v>無料のリンクガチャを回して_x000D_経験値素材や売却素材を獲得しましょう</v>
      </c>
      <c r="M355" s="21" t="s">
        <v>23</v>
      </c>
      <c r="N355">
        <v>17</v>
      </c>
    </row>
    <row r="356" spans="1:14" x14ac:dyDescent="0.15">
      <c r="A356" s="26" t="s">
        <v>32</v>
      </c>
      <c r="B356" s="4">
        <v>11106</v>
      </c>
      <c r="C356" s="3" t="str">
        <f ca="1">VLOOKUP($B356,OFFSET([1]quests!$A$1,0,0,COUNTA([1]quests!$A:$A),MATCH(C$1,[1]quests!$1:$1,0)-MATCH($B$1,[1]quests!$1:$1,0)+1),MATCH(C$1,[1]quests!$1:$1,0)-MATCH($B$1,[1]quests!$1:$1,0)+1,FALSE)</f>
        <v>【キャンペーン限定】 ゴールドカジノ</v>
      </c>
      <c r="D356" s="3" t="str">
        <f ca="1">VLOOKUP($B356,OFFSET([1]quests!$A$1,0,0,COUNTA([1]quests!$A:$A),MATCH(D$1,[1]quests!$1:$1,0)-MATCH($B$1,[1]quests!$1:$1,0)+1),MATCH(D$1,[1]quests!$1:$1,0)-MATCH($B$1,[1]quests!$1:$1,0)+1,FALSE)</f>
        <v>土日クエスト1</v>
      </c>
      <c r="E356" s="5">
        <v>2</v>
      </c>
      <c r="F356" s="3" t="str">
        <f ca="1">VLOOKUP($B356&amp;"_"&amp;$E356,OFFSET([1]stages!$A$1,0,0,COUNTA([1]stages!$A:$A),MATCH(F$1,[1]stages!$2:$2,0)-MATCH("temp_stage",[1]stages!$2:$2,0)+1),MATCH(F$1,[1]stages!$2:$2,0)-MATCH("temp_stage",[1]stages!$2:$2,0)+1,FALSE)</f>
        <v xml:space="preserve">【中級】ゴールドカジノ </v>
      </c>
      <c r="G356" s="3" t="str">
        <f ca="1">VLOOKUP($B356&amp;"_"&amp;$E356,OFFSET([1]stages!$A$1,0,0,COUNTA([1]stages!$A:$A),MATCH(G$1,[1]stages!$2:$2,0)-MATCH("temp_stage",[1]stages!$2:$2,0)+1),MATCH(G$1,[1]stages!$2:$2,0)-MATCH("temp_stage",[1]stages!$2:$2,0)+1,FALSE)</f>
        <v>土日クエスト1</v>
      </c>
      <c r="H356" s="18">
        <v>0</v>
      </c>
      <c r="I356">
        <v>18</v>
      </c>
      <c r="J356" s="5" t="s">
        <v>16</v>
      </c>
      <c r="K356" s="35" t="str">
        <f>VLOOKUP(I356,[2]stage_hints!$A:$C,3,FALSE)</f>
        <v>マルチプレイのメリット（その2）</v>
      </c>
      <c r="L356" s="36" t="str">
        <f>VLOOKUP(I356,[2]stage_hints!$A:$D,4,FALSE)</f>
        <v>マルチプレイならリンクが2倍もらえます_x000D_リンクガチャをたくさん回しましょう</v>
      </c>
      <c r="M356" s="21" t="s">
        <v>23</v>
      </c>
      <c r="N356">
        <v>18</v>
      </c>
    </row>
    <row r="357" spans="1:14" x14ac:dyDescent="0.15">
      <c r="A357" s="26" t="s">
        <v>32</v>
      </c>
      <c r="B357" s="4">
        <v>11106</v>
      </c>
      <c r="C357" s="3" t="str">
        <f ca="1">VLOOKUP($B357,OFFSET([1]quests!$A$1,0,0,COUNTA([1]quests!$A:$A),MATCH(C$1,[1]quests!$1:$1,0)-MATCH($B$1,[1]quests!$1:$1,0)+1),MATCH(C$1,[1]quests!$1:$1,0)-MATCH($B$1,[1]quests!$1:$1,0)+1,FALSE)</f>
        <v>【キャンペーン限定】 ゴールドカジノ</v>
      </c>
      <c r="D357" s="3" t="str">
        <f ca="1">VLOOKUP($B357,OFFSET([1]quests!$A$1,0,0,COUNTA([1]quests!$A:$A),MATCH(D$1,[1]quests!$1:$1,0)-MATCH($B$1,[1]quests!$1:$1,0)+1),MATCH(D$1,[1]quests!$1:$1,0)-MATCH($B$1,[1]quests!$1:$1,0)+1,FALSE)</f>
        <v>土日クエスト1</v>
      </c>
      <c r="E357" s="5">
        <v>2</v>
      </c>
      <c r="F357" s="3" t="str">
        <f ca="1">VLOOKUP($B357&amp;"_"&amp;$E357,OFFSET([1]stages!$A$1,0,0,COUNTA([1]stages!$A:$A),MATCH(F$1,[1]stages!$2:$2,0)-MATCH("temp_stage",[1]stages!$2:$2,0)+1),MATCH(F$1,[1]stages!$2:$2,0)-MATCH("temp_stage",[1]stages!$2:$2,0)+1,FALSE)</f>
        <v xml:space="preserve">【中級】ゴールドカジノ </v>
      </c>
      <c r="G357" s="3" t="str">
        <f ca="1">VLOOKUP($B357&amp;"_"&amp;$E357,OFFSET([1]stages!$A$1,0,0,COUNTA([1]stages!$A:$A),MATCH(G$1,[1]stages!$2:$2,0)-MATCH("temp_stage",[1]stages!$2:$2,0)+1),MATCH(G$1,[1]stages!$2:$2,0)-MATCH("temp_stage",[1]stages!$2:$2,0)+1,FALSE)</f>
        <v>土日クエスト1</v>
      </c>
      <c r="H357" s="18">
        <v>0</v>
      </c>
      <c r="I357">
        <v>19</v>
      </c>
      <c r="J357" s="5" t="s">
        <v>16</v>
      </c>
      <c r="K357" s="35" t="str">
        <f>VLOOKUP(I357,[2]stage_hints!$A:$C,3,FALSE)</f>
        <v>ソロ専用チャレンジタワー</v>
      </c>
      <c r="L357" s="36" t="str">
        <f>VLOOKUP(I357,[2]stage_hints!$A:$D,4,FALSE)</f>
        <v>ソロ専用の「チャレンジタワー」では_x000D_各フロアごとにクリア報酬がもらえます</v>
      </c>
      <c r="M357" s="21" t="s">
        <v>23</v>
      </c>
      <c r="N357">
        <v>19</v>
      </c>
    </row>
    <row r="358" spans="1:14" x14ac:dyDescent="0.15">
      <c r="A358" s="26" t="s">
        <v>32</v>
      </c>
      <c r="B358" s="4">
        <v>11106</v>
      </c>
      <c r="C358" s="3" t="str">
        <f ca="1">VLOOKUP($B358,OFFSET([1]quests!$A$1,0,0,COUNTA([1]quests!$A:$A),MATCH(C$1,[1]quests!$1:$1,0)-MATCH($B$1,[1]quests!$1:$1,0)+1),MATCH(C$1,[1]quests!$1:$1,0)-MATCH($B$1,[1]quests!$1:$1,0)+1,FALSE)</f>
        <v>【キャンペーン限定】 ゴールドカジノ</v>
      </c>
      <c r="D358" s="3" t="str">
        <f ca="1">VLOOKUP($B358,OFFSET([1]quests!$A$1,0,0,COUNTA([1]quests!$A:$A),MATCH(D$1,[1]quests!$1:$1,0)-MATCH($B$1,[1]quests!$1:$1,0)+1),MATCH(D$1,[1]quests!$1:$1,0)-MATCH($B$1,[1]quests!$1:$1,0)+1,FALSE)</f>
        <v>土日クエスト1</v>
      </c>
      <c r="E358" s="5">
        <v>2</v>
      </c>
      <c r="F358" s="3" t="str">
        <f ca="1">VLOOKUP($B358&amp;"_"&amp;$E358,OFFSET([1]stages!$A$1,0,0,COUNTA([1]stages!$A:$A),MATCH(F$1,[1]stages!$2:$2,0)-MATCH("temp_stage",[1]stages!$2:$2,0)+1),MATCH(F$1,[1]stages!$2:$2,0)-MATCH("temp_stage",[1]stages!$2:$2,0)+1,FALSE)</f>
        <v xml:space="preserve">【中級】ゴールドカジノ </v>
      </c>
      <c r="G358" s="3" t="str">
        <f ca="1">VLOOKUP($B358&amp;"_"&amp;$E358,OFFSET([1]stages!$A$1,0,0,COUNTA([1]stages!$A:$A),MATCH(G$1,[1]stages!$2:$2,0)-MATCH("temp_stage",[1]stages!$2:$2,0)+1),MATCH(G$1,[1]stages!$2:$2,0)-MATCH("temp_stage",[1]stages!$2:$2,0)+1,FALSE)</f>
        <v>土日クエスト1</v>
      </c>
      <c r="H358" s="18">
        <v>0</v>
      </c>
      <c r="I358">
        <v>20</v>
      </c>
      <c r="J358" s="5" t="s">
        <v>16</v>
      </c>
      <c r="K358" s="35" t="str">
        <f>VLOOKUP(I358,[2]stage_hints!$A:$C,3,FALSE)</f>
        <v>マルチプレイのメリット（その3）</v>
      </c>
      <c r="L358" s="36" t="str">
        <f>VLOOKUP(I358,[2]stage_hints!$A:$D,4,FALSE)</f>
        <v>マルチプレイへの参加はエナジー消費ゼロ_x000D_いつでも好きなだけ遊ぶことができます</v>
      </c>
      <c r="M358" s="21" t="s">
        <v>23</v>
      </c>
      <c r="N358">
        <v>20</v>
      </c>
    </row>
    <row r="359" spans="1:14" x14ac:dyDescent="0.15">
      <c r="A359" s="26" t="s">
        <v>32</v>
      </c>
      <c r="B359" s="4">
        <v>11106</v>
      </c>
      <c r="C359" s="3" t="str">
        <f ca="1">VLOOKUP($B359,OFFSET([1]quests!$A$1,0,0,COUNTA([1]quests!$A:$A),MATCH(C$1,[1]quests!$1:$1,0)-MATCH($B$1,[1]quests!$1:$1,0)+1),MATCH(C$1,[1]quests!$1:$1,0)-MATCH($B$1,[1]quests!$1:$1,0)+1,FALSE)</f>
        <v>【キャンペーン限定】 ゴールドカジノ</v>
      </c>
      <c r="D359" s="3" t="str">
        <f ca="1">VLOOKUP($B359,OFFSET([1]quests!$A$1,0,0,COUNTA([1]quests!$A:$A),MATCH(D$1,[1]quests!$1:$1,0)-MATCH($B$1,[1]quests!$1:$1,0)+1),MATCH(D$1,[1]quests!$1:$1,0)-MATCH($B$1,[1]quests!$1:$1,0)+1,FALSE)</f>
        <v>土日クエスト1</v>
      </c>
      <c r="E359" s="5">
        <v>2</v>
      </c>
      <c r="F359" s="3" t="str">
        <f ca="1">VLOOKUP($B359&amp;"_"&amp;$E359,OFFSET([1]stages!$A$1,0,0,COUNTA([1]stages!$A:$A),MATCH(F$1,[1]stages!$2:$2,0)-MATCH("temp_stage",[1]stages!$2:$2,0)+1),MATCH(F$1,[1]stages!$2:$2,0)-MATCH("temp_stage",[1]stages!$2:$2,0)+1,FALSE)</f>
        <v xml:space="preserve">【中級】ゴールドカジノ </v>
      </c>
      <c r="G359" s="3" t="str">
        <f ca="1">VLOOKUP($B359&amp;"_"&amp;$E359,OFFSET([1]stages!$A$1,0,0,COUNTA([1]stages!$A:$A),MATCH(G$1,[1]stages!$2:$2,0)-MATCH("temp_stage",[1]stages!$2:$2,0)+1),MATCH(G$1,[1]stages!$2:$2,0)-MATCH("temp_stage",[1]stages!$2:$2,0)+1,FALSE)</f>
        <v>土日クエスト1</v>
      </c>
      <c r="H359" s="18">
        <v>0</v>
      </c>
      <c r="I359">
        <v>21</v>
      </c>
      <c r="J359" s="5" t="s">
        <v>16</v>
      </c>
      <c r="K359" s="35" t="str">
        <f>VLOOKUP(I359,[2]stage_hints!$A:$C,3,FALSE)</f>
        <v>スキルを有効に</v>
      </c>
      <c r="L359" s="36" t="str">
        <f>VLOOKUP(I359,[2]stage_hints!$A:$D,4,FALSE)</f>
        <v>ターン経過でユニットのスキルが使えます_x000D_強力スキルでバトルを有利に進めましょう</v>
      </c>
      <c r="M359" s="21" t="s">
        <v>23</v>
      </c>
      <c r="N359">
        <v>21</v>
      </c>
    </row>
    <row r="360" spans="1:14" x14ac:dyDescent="0.15">
      <c r="A360" s="26" t="s">
        <v>32</v>
      </c>
      <c r="B360" s="4">
        <v>11106</v>
      </c>
      <c r="C360" s="3" t="str">
        <f ca="1">VLOOKUP($B360,OFFSET([1]quests!$A$1,0,0,COUNTA([1]quests!$A:$A),MATCH(C$1,[1]quests!$1:$1,0)-MATCH($B$1,[1]quests!$1:$1,0)+1),MATCH(C$1,[1]quests!$1:$1,0)-MATCH($B$1,[1]quests!$1:$1,0)+1,FALSE)</f>
        <v>【キャンペーン限定】 ゴールドカジノ</v>
      </c>
      <c r="D360" s="3" t="str">
        <f ca="1">VLOOKUP($B360,OFFSET([1]quests!$A$1,0,0,COUNTA([1]quests!$A:$A),MATCH(D$1,[1]quests!$1:$1,0)-MATCH($B$1,[1]quests!$1:$1,0)+1),MATCH(D$1,[1]quests!$1:$1,0)-MATCH($B$1,[1]quests!$1:$1,0)+1,FALSE)</f>
        <v>土日クエスト1</v>
      </c>
      <c r="E360" s="5">
        <v>2</v>
      </c>
      <c r="F360" s="3" t="str">
        <f ca="1">VLOOKUP($B360&amp;"_"&amp;$E360,OFFSET([1]stages!$A$1,0,0,COUNTA([1]stages!$A:$A),MATCH(F$1,[1]stages!$2:$2,0)-MATCH("temp_stage",[1]stages!$2:$2,0)+1),MATCH(F$1,[1]stages!$2:$2,0)-MATCH("temp_stage",[1]stages!$2:$2,0)+1,FALSE)</f>
        <v xml:space="preserve">【中級】ゴールドカジノ </v>
      </c>
      <c r="G360" s="3" t="str">
        <f ca="1">VLOOKUP($B360&amp;"_"&amp;$E360,OFFSET([1]stages!$A$1,0,0,COUNTA([1]stages!$A:$A),MATCH(G$1,[1]stages!$2:$2,0)-MATCH("temp_stage",[1]stages!$2:$2,0)+1),MATCH(G$1,[1]stages!$2:$2,0)-MATCH("temp_stage",[1]stages!$2:$2,0)+1,FALSE)</f>
        <v>土日クエスト1</v>
      </c>
      <c r="H360" s="18">
        <v>0</v>
      </c>
      <c r="I360">
        <v>22</v>
      </c>
      <c r="J360" s="5" t="s">
        <v>16</v>
      </c>
      <c r="K360" s="35" t="str">
        <f>VLOOKUP(I360,[2]stage_hints!$A:$C,3,FALSE)</f>
        <v>フィーバーで一発逆転（その1）</v>
      </c>
      <c r="L360" s="36" t="str">
        <f>VLOOKUP(I360,[2]stage_hints!$A:$D,4,FALSE)</f>
        <v>フィーバーは攻撃と回復を兼ね備えます_x000D_ピンチからの一発逆転を狙いましょう</v>
      </c>
      <c r="M360" s="21" t="s">
        <v>23</v>
      </c>
      <c r="N360">
        <v>22</v>
      </c>
    </row>
    <row r="361" spans="1:14" x14ac:dyDescent="0.15">
      <c r="A361" s="26" t="s">
        <v>32</v>
      </c>
      <c r="B361" s="4">
        <v>11106</v>
      </c>
      <c r="C361" s="3" t="str">
        <f ca="1">VLOOKUP($B361,OFFSET([1]quests!$A$1,0,0,COUNTA([1]quests!$A:$A),MATCH(C$1,[1]quests!$1:$1,0)-MATCH($B$1,[1]quests!$1:$1,0)+1),MATCH(C$1,[1]quests!$1:$1,0)-MATCH($B$1,[1]quests!$1:$1,0)+1,FALSE)</f>
        <v>【キャンペーン限定】 ゴールドカジノ</v>
      </c>
      <c r="D361" s="3" t="str">
        <f ca="1">VLOOKUP($B361,OFFSET([1]quests!$A$1,0,0,COUNTA([1]quests!$A:$A),MATCH(D$1,[1]quests!$1:$1,0)-MATCH($B$1,[1]quests!$1:$1,0)+1),MATCH(D$1,[1]quests!$1:$1,0)-MATCH($B$1,[1]quests!$1:$1,0)+1,FALSE)</f>
        <v>土日クエスト1</v>
      </c>
      <c r="E361" s="5">
        <v>2</v>
      </c>
      <c r="F361" s="3" t="str">
        <f ca="1">VLOOKUP($B361&amp;"_"&amp;$E361,OFFSET([1]stages!$A$1,0,0,COUNTA([1]stages!$A:$A),MATCH(F$1,[1]stages!$2:$2,0)-MATCH("temp_stage",[1]stages!$2:$2,0)+1),MATCH(F$1,[1]stages!$2:$2,0)-MATCH("temp_stage",[1]stages!$2:$2,0)+1,FALSE)</f>
        <v xml:space="preserve">【中級】ゴールドカジノ </v>
      </c>
      <c r="G361" s="3" t="str">
        <f ca="1">VLOOKUP($B361&amp;"_"&amp;$E361,OFFSET([1]stages!$A$1,0,0,COUNTA([1]stages!$A:$A),MATCH(G$1,[1]stages!$2:$2,0)-MATCH("temp_stage",[1]stages!$2:$2,0)+1),MATCH(G$1,[1]stages!$2:$2,0)-MATCH("temp_stage",[1]stages!$2:$2,0)+1,FALSE)</f>
        <v>土日クエスト1</v>
      </c>
      <c r="H361" s="18">
        <v>0</v>
      </c>
      <c r="I361">
        <v>23</v>
      </c>
      <c r="J361" s="5" t="s">
        <v>16</v>
      </c>
      <c r="K361" s="35" t="str">
        <f>VLOOKUP(I361,[2]stage_hints!$A:$C,3,FALSE)</f>
        <v>フィーバーで一発逆転（その2）</v>
      </c>
      <c r="L361" s="36" t="str">
        <f>VLOOKUP(I361,[2]stage_hints!$A:$D,4,FALSE)</f>
        <v>フィーバー中は虹色のボムパネルを狙って_x000D_画面上のパネルを一気に破壊しましょう</v>
      </c>
      <c r="M361" s="21" t="s">
        <v>23</v>
      </c>
      <c r="N361">
        <v>23</v>
      </c>
    </row>
    <row r="362" spans="1:14" x14ac:dyDescent="0.15">
      <c r="A362" s="26" t="s">
        <v>32</v>
      </c>
      <c r="B362" s="4">
        <v>11106</v>
      </c>
      <c r="C362" s="3" t="str">
        <f ca="1">VLOOKUP($B362,OFFSET([1]quests!$A$1,0,0,COUNTA([1]quests!$A:$A),MATCH(C$1,[1]quests!$1:$1,0)-MATCH($B$1,[1]quests!$1:$1,0)+1),MATCH(C$1,[1]quests!$1:$1,0)-MATCH($B$1,[1]quests!$1:$1,0)+1,FALSE)</f>
        <v>【キャンペーン限定】 ゴールドカジノ</v>
      </c>
      <c r="D362" s="3" t="str">
        <f ca="1">VLOOKUP($B362,OFFSET([1]quests!$A$1,0,0,COUNTA([1]quests!$A:$A),MATCH(D$1,[1]quests!$1:$1,0)-MATCH($B$1,[1]quests!$1:$1,0)+1),MATCH(D$1,[1]quests!$1:$1,0)-MATCH($B$1,[1]quests!$1:$1,0)+1,FALSE)</f>
        <v>土日クエスト1</v>
      </c>
      <c r="E362" s="5">
        <v>2</v>
      </c>
      <c r="F362" s="3" t="str">
        <f ca="1">VLOOKUP($B362&amp;"_"&amp;$E362,OFFSET([1]stages!$A$1,0,0,COUNTA([1]stages!$A:$A),MATCH(F$1,[1]stages!$2:$2,0)-MATCH("temp_stage",[1]stages!$2:$2,0)+1),MATCH(F$1,[1]stages!$2:$2,0)-MATCH("temp_stage",[1]stages!$2:$2,0)+1,FALSE)</f>
        <v xml:space="preserve">【中級】ゴールドカジノ </v>
      </c>
      <c r="G362" s="3" t="str">
        <f ca="1">VLOOKUP($B362&amp;"_"&amp;$E362,OFFSET([1]stages!$A$1,0,0,COUNTA([1]stages!$A:$A),MATCH(G$1,[1]stages!$2:$2,0)-MATCH("temp_stage",[1]stages!$2:$2,0)+1),MATCH(G$1,[1]stages!$2:$2,0)-MATCH("temp_stage",[1]stages!$2:$2,0)+1,FALSE)</f>
        <v>土日クエスト1</v>
      </c>
      <c r="H362" s="18">
        <v>0</v>
      </c>
      <c r="I362">
        <v>24</v>
      </c>
      <c r="J362" s="5" t="s">
        <v>16</v>
      </c>
      <c r="K362" s="35" t="str">
        <f>VLOOKUP(I362,[2]stage_hints!$A:$C,3,FALSE)</f>
        <v>りんごを使って限界突破</v>
      </c>
      <c r="L362" s="36" t="str">
        <f>VLOOKUP(I362,[2]stage_hints!$A:$D,4,FALSE)</f>
        <v>赤りんご(攻撃力) 青りんご(回復力)_x000D_緑りんご(体力)をユニット強化に使うと_x000D_ステータスが限界突破します（計99個迄）</v>
      </c>
      <c r="M362" s="21" t="s">
        <v>23</v>
      </c>
      <c r="N362">
        <v>24</v>
      </c>
    </row>
    <row r="363" spans="1:14" x14ac:dyDescent="0.15">
      <c r="A363" s="26" t="s">
        <v>32</v>
      </c>
      <c r="B363" s="4">
        <v>11106</v>
      </c>
      <c r="C363" s="3" t="str">
        <f ca="1">VLOOKUP($B363,OFFSET([1]quests!$A$1,0,0,COUNTA([1]quests!$A:$A),MATCH(C$1,[1]quests!$1:$1,0)-MATCH($B$1,[1]quests!$1:$1,0)+1),MATCH(C$1,[1]quests!$1:$1,0)-MATCH($B$1,[1]quests!$1:$1,0)+1,FALSE)</f>
        <v>【キャンペーン限定】 ゴールドカジノ</v>
      </c>
      <c r="D363" s="3" t="str">
        <f ca="1">VLOOKUP($B363,OFFSET([1]quests!$A$1,0,0,COUNTA([1]quests!$A:$A),MATCH(D$1,[1]quests!$1:$1,0)-MATCH($B$1,[1]quests!$1:$1,0)+1),MATCH(D$1,[1]quests!$1:$1,0)-MATCH($B$1,[1]quests!$1:$1,0)+1,FALSE)</f>
        <v>土日クエスト1</v>
      </c>
      <c r="E363" s="5">
        <v>2</v>
      </c>
      <c r="F363" s="3" t="str">
        <f ca="1">VLOOKUP($B363&amp;"_"&amp;$E363,OFFSET([1]stages!$A$1,0,0,COUNTA([1]stages!$A:$A),MATCH(F$1,[1]stages!$2:$2,0)-MATCH("temp_stage",[1]stages!$2:$2,0)+1),MATCH(F$1,[1]stages!$2:$2,0)-MATCH("temp_stage",[1]stages!$2:$2,0)+1,FALSE)</f>
        <v xml:space="preserve">【中級】ゴールドカジノ </v>
      </c>
      <c r="G363" s="3" t="str">
        <f ca="1">VLOOKUP($B363&amp;"_"&amp;$E363,OFFSET([1]stages!$A$1,0,0,COUNTA([1]stages!$A:$A),MATCH(G$1,[1]stages!$2:$2,0)-MATCH("temp_stage",[1]stages!$2:$2,0)+1),MATCH(G$1,[1]stages!$2:$2,0)-MATCH("temp_stage",[1]stages!$2:$2,0)+1,FALSE)</f>
        <v>土日クエスト1</v>
      </c>
      <c r="H363" s="18">
        <v>0</v>
      </c>
      <c r="I363">
        <v>25</v>
      </c>
      <c r="J363" s="5" t="s">
        <v>16</v>
      </c>
      <c r="K363" s="35" t="str">
        <f>VLOOKUP(I363,[2]stage_hints!$A:$C,3,FALSE)</f>
        <v>スキルレベルアップ</v>
      </c>
      <c r="L363" s="36" t="str">
        <f>VLOOKUP(I363,[2]stage_hints!$A:$D,4,FALSE)</f>
        <v>「クリスタルのりんご」を強化に使うと_x000D_スキルレベルを上げることができます</v>
      </c>
      <c r="M363" s="21" t="s">
        <v>23</v>
      </c>
      <c r="N363">
        <v>25</v>
      </c>
    </row>
    <row r="364" spans="1:14" x14ac:dyDescent="0.15">
      <c r="A364" s="26" t="s">
        <v>32</v>
      </c>
      <c r="B364" s="4">
        <v>11106</v>
      </c>
      <c r="C364" s="3" t="str">
        <f ca="1">VLOOKUP($B364,OFFSET([1]quests!$A$1,0,0,COUNTA([1]quests!$A:$A),MATCH(C$1,[1]quests!$1:$1,0)-MATCH($B$1,[1]quests!$1:$1,0)+1),MATCH(C$1,[1]quests!$1:$1,0)-MATCH($B$1,[1]quests!$1:$1,0)+1,FALSE)</f>
        <v>【キャンペーン限定】 ゴールドカジノ</v>
      </c>
      <c r="D364" s="3" t="str">
        <f ca="1">VLOOKUP($B364,OFFSET([1]quests!$A$1,0,0,COUNTA([1]quests!$A:$A),MATCH(D$1,[1]quests!$1:$1,0)-MATCH($B$1,[1]quests!$1:$1,0)+1),MATCH(D$1,[1]quests!$1:$1,0)-MATCH($B$1,[1]quests!$1:$1,0)+1,FALSE)</f>
        <v>土日クエスト1</v>
      </c>
      <c r="E364" s="5">
        <v>2</v>
      </c>
      <c r="F364" s="3" t="str">
        <f ca="1">VLOOKUP($B364&amp;"_"&amp;$E364,OFFSET([1]stages!$A$1,0,0,COUNTA([1]stages!$A:$A),MATCH(F$1,[1]stages!$2:$2,0)-MATCH("temp_stage",[1]stages!$2:$2,0)+1),MATCH(F$1,[1]stages!$2:$2,0)-MATCH("temp_stage",[1]stages!$2:$2,0)+1,FALSE)</f>
        <v xml:space="preserve">【中級】ゴールドカジノ </v>
      </c>
      <c r="G364" s="3" t="str">
        <f ca="1">VLOOKUP($B364&amp;"_"&amp;$E364,OFFSET([1]stages!$A$1,0,0,COUNTA([1]stages!$A:$A),MATCH(G$1,[1]stages!$2:$2,0)-MATCH("temp_stage",[1]stages!$2:$2,0)+1),MATCH(G$1,[1]stages!$2:$2,0)-MATCH("temp_stage",[1]stages!$2:$2,0)+1,FALSE)</f>
        <v>土日クエスト1</v>
      </c>
      <c r="H364" s="18">
        <v>0</v>
      </c>
      <c r="I364">
        <v>26</v>
      </c>
      <c r="J364" s="5" t="s">
        <v>16</v>
      </c>
      <c r="K364" s="35" t="str">
        <f>VLOOKUP(I364,[2]stage_hints!$A:$C,3,FALSE)</f>
        <v>スキルレベルの効果</v>
      </c>
      <c r="L364" s="36" t="str">
        <f>VLOOKUP(I364,[2]stage_hints!$A:$D,4,FALSE)</f>
        <v>スキルレベルが上がると_x000D_短いターンでスキルを使うことができます</v>
      </c>
      <c r="M364" s="21" t="s">
        <v>23</v>
      </c>
      <c r="N364">
        <v>26</v>
      </c>
    </row>
    <row r="365" spans="1:14" x14ac:dyDescent="0.15">
      <c r="A365" s="26" t="s">
        <v>32</v>
      </c>
      <c r="B365" s="4">
        <v>11106</v>
      </c>
      <c r="C365" s="3" t="str">
        <f ca="1">VLOOKUP($B365,OFFSET([1]quests!$A$1,0,0,COUNTA([1]quests!$A:$A),MATCH(C$1,[1]quests!$1:$1,0)-MATCH($B$1,[1]quests!$1:$1,0)+1),MATCH(C$1,[1]quests!$1:$1,0)-MATCH($B$1,[1]quests!$1:$1,0)+1,FALSE)</f>
        <v>【キャンペーン限定】 ゴールドカジノ</v>
      </c>
      <c r="D365" s="3" t="str">
        <f ca="1">VLOOKUP($B365,OFFSET([1]quests!$A$1,0,0,COUNTA([1]quests!$A:$A),MATCH(D$1,[1]quests!$1:$1,0)-MATCH($B$1,[1]quests!$1:$1,0)+1),MATCH(D$1,[1]quests!$1:$1,0)-MATCH($B$1,[1]quests!$1:$1,0)+1,FALSE)</f>
        <v>土日クエスト1</v>
      </c>
      <c r="E365" s="5">
        <v>2</v>
      </c>
      <c r="F365" s="3" t="str">
        <f ca="1">VLOOKUP($B365&amp;"_"&amp;$E365,OFFSET([1]stages!$A$1,0,0,COUNTA([1]stages!$A:$A),MATCH(F$1,[1]stages!$2:$2,0)-MATCH("temp_stage",[1]stages!$2:$2,0)+1),MATCH(F$1,[1]stages!$2:$2,0)-MATCH("temp_stage",[1]stages!$2:$2,0)+1,FALSE)</f>
        <v xml:space="preserve">【中級】ゴールドカジノ </v>
      </c>
      <c r="G365" s="3" t="str">
        <f ca="1">VLOOKUP($B365&amp;"_"&amp;$E365,OFFSET([1]stages!$A$1,0,0,COUNTA([1]stages!$A:$A),MATCH(G$1,[1]stages!$2:$2,0)-MATCH("temp_stage",[1]stages!$2:$2,0)+1),MATCH(G$1,[1]stages!$2:$2,0)-MATCH("temp_stage",[1]stages!$2:$2,0)+1,FALSE)</f>
        <v>土日クエスト1</v>
      </c>
      <c r="H365" s="18">
        <v>0</v>
      </c>
      <c r="I365">
        <v>27</v>
      </c>
      <c r="J365" s="5" t="s">
        <v>16</v>
      </c>
      <c r="K365" s="35" t="str">
        <f>VLOOKUP(I365,[2]stage_hints!$A:$C,3,FALSE)</f>
        <v>ホーム画面からデッキを編成</v>
      </c>
      <c r="L365" s="36" t="str">
        <f>VLOOKUP(I365,[2]stage_hints!$A:$D,4,FALSE)</f>
        <v>ホーム画面でユニットを長押しすると_x000D_すぐにパーティ編成に移動できます</v>
      </c>
      <c r="M365" s="21" t="s">
        <v>23</v>
      </c>
      <c r="N365">
        <v>27</v>
      </c>
    </row>
    <row r="366" spans="1:14" x14ac:dyDescent="0.15">
      <c r="A366" s="26" t="s">
        <v>32</v>
      </c>
      <c r="B366" s="4">
        <v>11106</v>
      </c>
      <c r="C366" s="3" t="str">
        <f ca="1">VLOOKUP($B366,OFFSET([1]quests!$A$1,0,0,COUNTA([1]quests!$A:$A),MATCH(C$1,[1]quests!$1:$1,0)-MATCH($B$1,[1]quests!$1:$1,0)+1),MATCH(C$1,[1]quests!$1:$1,0)-MATCH($B$1,[1]quests!$1:$1,0)+1,FALSE)</f>
        <v>【キャンペーン限定】 ゴールドカジノ</v>
      </c>
      <c r="D366" s="3" t="str">
        <f ca="1">VLOOKUP($B366,OFFSET([1]quests!$A$1,0,0,COUNTA([1]quests!$A:$A),MATCH(D$1,[1]quests!$1:$1,0)-MATCH($B$1,[1]quests!$1:$1,0)+1),MATCH(D$1,[1]quests!$1:$1,0)-MATCH($B$1,[1]quests!$1:$1,0)+1,FALSE)</f>
        <v>土日クエスト1</v>
      </c>
      <c r="E366" s="5">
        <v>2</v>
      </c>
      <c r="F366" s="3" t="str">
        <f ca="1">VLOOKUP($B366&amp;"_"&amp;$E366,OFFSET([1]stages!$A$1,0,0,COUNTA([1]stages!$A:$A),MATCH(F$1,[1]stages!$2:$2,0)-MATCH("temp_stage",[1]stages!$2:$2,0)+1),MATCH(F$1,[1]stages!$2:$2,0)-MATCH("temp_stage",[1]stages!$2:$2,0)+1,FALSE)</f>
        <v xml:space="preserve">【中級】ゴールドカジノ </v>
      </c>
      <c r="G366" s="3" t="str">
        <f ca="1">VLOOKUP($B366&amp;"_"&amp;$E366,OFFSET([1]stages!$A$1,0,0,COUNTA([1]stages!$A:$A),MATCH(G$1,[1]stages!$2:$2,0)-MATCH("temp_stage",[1]stages!$2:$2,0)+1),MATCH(G$1,[1]stages!$2:$2,0)-MATCH("temp_stage",[1]stages!$2:$2,0)+1,FALSE)</f>
        <v>土日クエスト1</v>
      </c>
      <c r="H366" s="18">
        <v>0</v>
      </c>
      <c r="I366">
        <v>28</v>
      </c>
      <c r="J366" s="5" t="s">
        <v>16</v>
      </c>
      <c r="K366" s="35" t="str">
        <f>VLOOKUP(I366,[2]stage_hints!$A:$C,3,FALSE)</f>
        <v>ステータス情報は長押しで</v>
      </c>
      <c r="L366" s="36" t="str">
        <f>VLOOKUP(I366,[2]stage_hints!$A:$D,4,FALSE)</f>
        <v>ユニットのアイコンを長押しすると_x000D_ステータス情報を確認することができます</v>
      </c>
      <c r="M366" s="21" t="s">
        <v>23</v>
      </c>
      <c r="N366">
        <v>28</v>
      </c>
    </row>
    <row r="367" spans="1:14" x14ac:dyDescent="0.15">
      <c r="A367" s="26" t="s">
        <v>32</v>
      </c>
      <c r="B367" s="4">
        <v>11106</v>
      </c>
      <c r="C367" s="3" t="str">
        <f ca="1">VLOOKUP($B367,OFFSET([1]quests!$A$1,0,0,COUNTA([1]quests!$A:$A),MATCH(C$1,[1]quests!$1:$1,0)-MATCH($B$1,[1]quests!$1:$1,0)+1),MATCH(C$1,[1]quests!$1:$1,0)-MATCH($B$1,[1]quests!$1:$1,0)+1,FALSE)</f>
        <v>【キャンペーン限定】 ゴールドカジノ</v>
      </c>
      <c r="D367" s="3" t="str">
        <f ca="1">VLOOKUP($B367,OFFSET([1]quests!$A$1,0,0,COUNTA([1]quests!$A:$A),MATCH(D$1,[1]quests!$1:$1,0)-MATCH($B$1,[1]quests!$1:$1,0)+1),MATCH(D$1,[1]quests!$1:$1,0)-MATCH($B$1,[1]quests!$1:$1,0)+1,FALSE)</f>
        <v>土日クエスト1</v>
      </c>
      <c r="E367" s="5">
        <v>2</v>
      </c>
      <c r="F367" s="3" t="str">
        <f ca="1">VLOOKUP($B367&amp;"_"&amp;$E367,OFFSET([1]stages!$A$1,0,0,COUNTA([1]stages!$A:$A),MATCH(F$1,[1]stages!$2:$2,0)-MATCH("temp_stage",[1]stages!$2:$2,0)+1),MATCH(F$1,[1]stages!$2:$2,0)-MATCH("temp_stage",[1]stages!$2:$2,0)+1,FALSE)</f>
        <v xml:space="preserve">【中級】ゴールドカジノ </v>
      </c>
      <c r="G367" s="3" t="str">
        <f ca="1">VLOOKUP($B367&amp;"_"&amp;$E367,OFFSET([1]stages!$A$1,0,0,COUNTA([1]stages!$A:$A),MATCH(G$1,[1]stages!$2:$2,0)-MATCH("temp_stage",[1]stages!$2:$2,0)+1),MATCH(G$1,[1]stages!$2:$2,0)-MATCH("temp_stage",[1]stages!$2:$2,0)+1,FALSE)</f>
        <v>土日クエスト1</v>
      </c>
      <c r="H367" s="18">
        <v>0</v>
      </c>
      <c r="I367">
        <v>29</v>
      </c>
      <c r="J367" s="5" t="s">
        <v>16</v>
      </c>
      <c r="K367" s="35" t="str">
        <f>VLOOKUP(I367,[2]stage_hints!$A:$C,3,FALSE)</f>
        <v>「バグ」のメリット</v>
      </c>
      <c r="L367" s="36" t="str">
        <f>VLOOKUP(I367,[2]stage_hints!$A:$D,4,FALSE)</f>
        <v>ユニットの「バグ」を増やすと_x000D_報酬をもらえる確率がアップします</v>
      </c>
      <c r="M367" s="21" t="s">
        <v>23</v>
      </c>
      <c r="N367">
        <v>29</v>
      </c>
    </row>
    <row r="368" spans="1:14" x14ac:dyDescent="0.15">
      <c r="A368" s="26" t="s">
        <v>32</v>
      </c>
      <c r="B368" s="4">
        <v>11106</v>
      </c>
      <c r="C368" s="3" t="str">
        <f ca="1">VLOOKUP($B368,OFFSET([1]quests!$A$1,0,0,COUNTA([1]quests!$A:$A),MATCH(C$1,[1]quests!$1:$1,0)-MATCH($B$1,[1]quests!$1:$1,0)+1),MATCH(C$1,[1]quests!$1:$1,0)-MATCH($B$1,[1]quests!$1:$1,0)+1,FALSE)</f>
        <v>【キャンペーン限定】 ゴールドカジノ</v>
      </c>
      <c r="D368" s="3" t="str">
        <f ca="1">VLOOKUP($B368,OFFSET([1]quests!$A$1,0,0,COUNTA([1]quests!$A:$A),MATCH(D$1,[1]quests!$1:$1,0)-MATCH($B$1,[1]quests!$1:$1,0)+1),MATCH(D$1,[1]quests!$1:$1,0)-MATCH($B$1,[1]quests!$1:$1,0)+1,FALSE)</f>
        <v>土日クエスト1</v>
      </c>
      <c r="E368" s="5">
        <v>2</v>
      </c>
      <c r="F368" s="3" t="str">
        <f ca="1">VLOOKUP($B368&amp;"_"&amp;$E368,OFFSET([1]stages!$A$1,0,0,COUNTA([1]stages!$A:$A),MATCH(F$1,[1]stages!$2:$2,0)-MATCH("temp_stage",[1]stages!$2:$2,0)+1),MATCH(F$1,[1]stages!$2:$2,0)-MATCH("temp_stage",[1]stages!$2:$2,0)+1,FALSE)</f>
        <v xml:space="preserve">【中級】ゴールドカジノ </v>
      </c>
      <c r="G368" s="3" t="str">
        <f ca="1">VLOOKUP($B368&amp;"_"&amp;$E368,OFFSET([1]stages!$A$1,0,0,COUNTA([1]stages!$A:$A),MATCH(G$1,[1]stages!$2:$2,0)-MATCH("temp_stage",[1]stages!$2:$2,0)+1),MATCH(G$1,[1]stages!$2:$2,0)-MATCH("temp_stage",[1]stages!$2:$2,0)+1,FALSE)</f>
        <v>土日クエスト1</v>
      </c>
      <c r="H368" s="18">
        <v>0</v>
      </c>
      <c r="I368">
        <v>30</v>
      </c>
      <c r="J368" s="5" t="s">
        <v>16</v>
      </c>
      <c r="K368" s="35" t="str">
        <f>VLOOKUP(I368,[2]stage_hints!$A:$C,3,FALSE)</f>
        <v>「バグ」の増やし方</v>
      </c>
      <c r="L368" s="36" t="str">
        <f>VLOOKUP(I368,[2]stage_hints!$A:$D,4,FALSE)</f>
        <v>同じユニット同士を強化で合成すると_x000D_「バグ」を増やすことができます</v>
      </c>
      <c r="M368" s="21" t="s">
        <v>23</v>
      </c>
      <c r="N368">
        <v>30</v>
      </c>
    </row>
    <row r="369" spans="1:14" x14ac:dyDescent="0.15">
      <c r="A369" s="26" t="s">
        <v>32</v>
      </c>
      <c r="B369" s="4">
        <v>11106</v>
      </c>
      <c r="C369" s="3" t="str">
        <f ca="1">VLOOKUP($B369,OFFSET([1]quests!$A$1,0,0,COUNTA([1]quests!$A:$A),MATCH(C$1,[1]quests!$1:$1,0)-MATCH($B$1,[1]quests!$1:$1,0)+1),MATCH(C$1,[1]quests!$1:$1,0)-MATCH($B$1,[1]quests!$1:$1,0)+1,FALSE)</f>
        <v>【キャンペーン限定】 ゴールドカジノ</v>
      </c>
      <c r="D369" s="3" t="str">
        <f ca="1">VLOOKUP($B369,OFFSET([1]quests!$A$1,0,0,COUNTA([1]quests!$A:$A),MATCH(D$1,[1]quests!$1:$1,0)-MATCH($B$1,[1]quests!$1:$1,0)+1),MATCH(D$1,[1]quests!$1:$1,0)-MATCH($B$1,[1]quests!$1:$1,0)+1,FALSE)</f>
        <v>土日クエスト1</v>
      </c>
      <c r="E369" s="5">
        <v>2</v>
      </c>
      <c r="F369" s="3" t="str">
        <f ca="1">VLOOKUP($B369&amp;"_"&amp;$E369,OFFSET([1]stages!$A$1,0,0,COUNTA([1]stages!$A:$A),MATCH(F$1,[1]stages!$2:$2,0)-MATCH("temp_stage",[1]stages!$2:$2,0)+1),MATCH(F$1,[1]stages!$2:$2,0)-MATCH("temp_stage",[1]stages!$2:$2,0)+1,FALSE)</f>
        <v xml:space="preserve">【中級】ゴールドカジノ </v>
      </c>
      <c r="G369" s="3" t="str">
        <f ca="1">VLOOKUP($B369&amp;"_"&amp;$E369,OFFSET([1]stages!$A$1,0,0,COUNTA([1]stages!$A:$A),MATCH(G$1,[1]stages!$2:$2,0)-MATCH("temp_stage",[1]stages!$2:$2,0)+1),MATCH(G$1,[1]stages!$2:$2,0)-MATCH("temp_stage",[1]stages!$2:$2,0)+1,FALSE)</f>
        <v>土日クエスト1</v>
      </c>
      <c r="H369" s="18">
        <v>0</v>
      </c>
      <c r="I369">
        <v>31</v>
      </c>
      <c r="J369" s="5" t="s">
        <v>16</v>
      </c>
      <c r="K369" s="35" t="str">
        <f>VLOOKUP(I369,[2]stage_hints!$A:$C,3,FALSE)</f>
        <v>イベントはお知らせでチェック</v>
      </c>
      <c r="L369" s="36" t="str">
        <f>VLOOKUP(I369,[2]stage_hints!$A:$D,4,FALSE)</f>
        <v>イベント限定ユニットを取り忘れないように_x000D_お知らせをこまめにチェックしましょう</v>
      </c>
      <c r="M369" s="21" t="s">
        <v>23</v>
      </c>
      <c r="N369">
        <v>31</v>
      </c>
    </row>
    <row r="370" spans="1:14" x14ac:dyDescent="0.15">
      <c r="A370" s="26" t="s">
        <v>32</v>
      </c>
      <c r="B370" s="4">
        <v>11106</v>
      </c>
      <c r="C370" s="3" t="str">
        <f ca="1">VLOOKUP($B370,OFFSET([1]quests!$A$1,0,0,COUNTA([1]quests!$A:$A),MATCH(C$1,[1]quests!$1:$1,0)-MATCH($B$1,[1]quests!$1:$1,0)+1),MATCH(C$1,[1]quests!$1:$1,0)-MATCH($B$1,[1]quests!$1:$1,0)+1,FALSE)</f>
        <v>【キャンペーン限定】 ゴールドカジノ</v>
      </c>
      <c r="D370" s="3" t="str">
        <f ca="1">VLOOKUP($B370,OFFSET([1]quests!$A$1,0,0,COUNTA([1]quests!$A:$A),MATCH(D$1,[1]quests!$1:$1,0)-MATCH($B$1,[1]quests!$1:$1,0)+1),MATCH(D$1,[1]quests!$1:$1,0)-MATCH($B$1,[1]quests!$1:$1,0)+1,FALSE)</f>
        <v>土日クエスト1</v>
      </c>
      <c r="E370" s="5">
        <v>2</v>
      </c>
      <c r="F370" s="3" t="str">
        <f ca="1">VLOOKUP($B370&amp;"_"&amp;$E370,OFFSET([1]stages!$A$1,0,0,COUNTA([1]stages!$A:$A),MATCH(F$1,[1]stages!$2:$2,0)-MATCH("temp_stage",[1]stages!$2:$2,0)+1),MATCH(F$1,[1]stages!$2:$2,0)-MATCH("temp_stage",[1]stages!$2:$2,0)+1,FALSE)</f>
        <v xml:space="preserve">【中級】ゴールドカジノ </v>
      </c>
      <c r="G370" s="3" t="str">
        <f ca="1">VLOOKUP($B370&amp;"_"&amp;$E370,OFFSET([1]stages!$A$1,0,0,COUNTA([1]stages!$A:$A),MATCH(G$1,[1]stages!$2:$2,0)-MATCH("temp_stage",[1]stages!$2:$2,0)+1),MATCH(G$1,[1]stages!$2:$2,0)-MATCH("temp_stage",[1]stages!$2:$2,0)+1,FALSE)</f>
        <v>土日クエスト1</v>
      </c>
      <c r="H370" s="18">
        <v>0</v>
      </c>
      <c r="I370">
        <v>32</v>
      </c>
      <c r="J370" s="5" t="s">
        <v>16</v>
      </c>
      <c r="K370" s="35" t="str">
        <f>VLOOKUP(I370,[2]stage_hints!$A:$C,3,FALSE)</f>
        <v>敵の連続攻撃には</v>
      </c>
      <c r="L370" s="36" t="str">
        <f>VLOOKUP(I370,[2]stage_hints!$A:$D,4,FALSE)</f>
        <v>カウンタースキルを持つユニットがいれば_x000D_ダメージ回数分の反撃ができます</v>
      </c>
      <c r="M370" s="21" t="s">
        <v>23</v>
      </c>
      <c r="N370">
        <v>32</v>
      </c>
    </row>
    <row r="371" spans="1:14" x14ac:dyDescent="0.15">
      <c r="A371" s="26" t="s">
        <v>32</v>
      </c>
      <c r="B371" s="4">
        <v>11106</v>
      </c>
      <c r="C371" s="3" t="str">
        <f ca="1">VLOOKUP($B371,OFFSET([1]quests!$A$1,0,0,COUNTA([1]quests!$A:$A),MATCH(C$1,[1]quests!$1:$1,0)-MATCH($B$1,[1]quests!$1:$1,0)+1),MATCH(C$1,[1]quests!$1:$1,0)-MATCH($B$1,[1]quests!$1:$1,0)+1,FALSE)</f>
        <v>【キャンペーン限定】 ゴールドカジノ</v>
      </c>
      <c r="D371" s="3" t="str">
        <f ca="1">VLOOKUP($B371,OFFSET([1]quests!$A$1,0,0,COUNTA([1]quests!$A:$A),MATCH(D$1,[1]quests!$1:$1,0)-MATCH($B$1,[1]quests!$1:$1,0)+1),MATCH(D$1,[1]quests!$1:$1,0)-MATCH($B$1,[1]quests!$1:$1,0)+1,FALSE)</f>
        <v>土日クエスト1</v>
      </c>
      <c r="E371" s="5">
        <v>2</v>
      </c>
      <c r="F371" s="3" t="str">
        <f ca="1">VLOOKUP($B371&amp;"_"&amp;$E371,OFFSET([1]stages!$A$1,0,0,COUNTA([1]stages!$A:$A),MATCH(F$1,[1]stages!$2:$2,0)-MATCH("temp_stage",[1]stages!$2:$2,0)+1),MATCH(F$1,[1]stages!$2:$2,0)-MATCH("temp_stage",[1]stages!$2:$2,0)+1,FALSE)</f>
        <v xml:space="preserve">【中級】ゴールドカジノ </v>
      </c>
      <c r="G371" s="3" t="str">
        <f ca="1">VLOOKUP($B371&amp;"_"&amp;$E371,OFFSET([1]stages!$A$1,0,0,COUNTA([1]stages!$A:$A),MATCH(G$1,[1]stages!$2:$2,0)-MATCH("temp_stage",[1]stages!$2:$2,0)+1),MATCH(G$1,[1]stages!$2:$2,0)-MATCH("temp_stage",[1]stages!$2:$2,0)+1,FALSE)</f>
        <v>土日クエスト1</v>
      </c>
      <c r="H371" s="18">
        <v>0</v>
      </c>
      <c r="I371">
        <v>33</v>
      </c>
      <c r="J371" s="5" t="s">
        <v>16</v>
      </c>
      <c r="K371" s="35" t="str">
        <f>VLOOKUP(I371,[2]stage_hints!$A:$C,3,FALSE)</f>
        <v>敵のカウンター攻撃には</v>
      </c>
      <c r="L371" s="36" t="str">
        <f>VLOOKUP(I371,[2]stage_hints!$A:$D,4,FALSE)</f>
        <v>カウンターブレイクスキルを持っていれば_x000D_敵のカウンターを解除して攻撃ができます</v>
      </c>
      <c r="M371" s="21" t="s">
        <v>23</v>
      </c>
      <c r="N371">
        <v>33</v>
      </c>
    </row>
    <row r="372" spans="1:14" x14ac:dyDescent="0.15">
      <c r="A372" s="26" t="s">
        <v>32</v>
      </c>
      <c r="B372" s="4">
        <v>11106</v>
      </c>
      <c r="C372" s="3" t="str">
        <f ca="1">VLOOKUP($B372,OFFSET([1]quests!$A$1,0,0,COUNTA([1]quests!$A:$A),MATCH(C$1,[1]quests!$1:$1,0)-MATCH($B$1,[1]quests!$1:$1,0)+1),MATCH(C$1,[1]quests!$1:$1,0)-MATCH($B$1,[1]quests!$1:$1,0)+1,FALSE)</f>
        <v>【キャンペーン限定】 ゴールドカジノ</v>
      </c>
      <c r="D372" s="3" t="str">
        <f ca="1">VLOOKUP($B372,OFFSET([1]quests!$A$1,0,0,COUNTA([1]quests!$A:$A),MATCH(D$1,[1]quests!$1:$1,0)-MATCH($B$1,[1]quests!$1:$1,0)+1),MATCH(D$1,[1]quests!$1:$1,0)-MATCH($B$1,[1]quests!$1:$1,0)+1,FALSE)</f>
        <v>土日クエスト1</v>
      </c>
      <c r="E372" s="5">
        <v>2</v>
      </c>
      <c r="F372" s="3" t="str">
        <f ca="1">VLOOKUP($B372&amp;"_"&amp;$E372,OFFSET([1]stages!$A$1,0,0,COUNTA([1]stages!$A:$A),MATCH(F$1,[1]stages!$2:$2,0)-MATCH("temp_stage",[1]stages!$2:$2,0)+1),MATCH(F$1,[1]stages!$2:$2,0)-MATCH("temp_stage",[1]stages!$2:$2,0)+1,FALSE)</f>
        <v xml:space="preserve">【中級】ゴールドカジノ </v>
      </c>
      <c r="G372" s="3" t="str">
        <f ca="1">VLOOKUP($B372&amp;"_"&amp;$E372,OFFSET([1]stages!$A$1,0,0,COUNTA([1]stages!$A:$A),MATCH(G$1,[1]stages!$2:$2,0)-MATCH("temp_stage",[1]stages!$2:$2,0)+1),MATCH(G$1,[1]stages!$2:$2,0)-MATCH("temp_stage",[1]stages!$2:$2,0)+1,FALSE)</f>
        <v>土日クエスト1</v>
      </c>
      <c r="H372" s="18">
        <v>0</v>
      </c>
      <c r="I372">
        <v>34</v>
      </c>
      <c r="J372" s="5" t="s">
        <v>16</v>
      </c>
      <c r="K372" s="35" t="str">
        <f>VLOOKUP(I372,[2]stage_hints!$A:$C,3,FALSE)</f>
        <v>ステータスをスキルで下げられたら</v>
      </c>
      <c r="L372" s="36" t="str">
        <f>VLOOKUP(I372,[2]stage_hints!$A:$D,4,FALSE)</f>
        <v>ステータスダウンのスキルを受けたら_x000D_ステータスアップスキルで上書きしましょう</v>
      </c>
      <c r="M372" s="21" t="s">
        <v>23</v>
      </c>
      <c r="N372">
        <v>34</v>
      </c>
    </row>
    <row r="373" spans="1:14" x14ac:dyDescent="0.15">
      <c r="A373" s="26" t="s">
        <v>32</v>
      </c>
      <c r="B373" s="4">
        <v>11106</v>
      </c>
      <c r="C373" s="3" t="str">
        <f ca="1">VLOOKUP($B373,OFFSET([1]quests!$A$1,0,0,COUNTA([1]quests!$A:$A),MATCH(C$1,[1]quests!$1:$1,0)-MATCH($B$1,[1]quests!$1:$1,0)+1),MATCH(C$1,[1]quests!$1:$1,0)-MATCH($B$1,[1]quests!$1:$1,0)+1,FALSE)</f>
        <v>【キャンペーン限定】 ゴールドカジノ</v>
      </c>
      <c r="D373" s="3" t="str">
        <f ca="1">VLOOKUP($B373,OFFSET([1]quests!$A$1,0,0,COUNTA([1]quests!$A:$A),MATCH(D$1,[1]quests!$1:$1,0)-MATCH($B$1,[1]quests!$1:$1,0)+1),MATCH(D$1,[1]quests!$1:$1,0)-MATCH($B$1,[1]quests!$1:$1,0)+1,FALSE)</f>
        <v>土日クエスト1</v>
      </c>
      <c r="E373" s="5">
        <v>2</v>
      </c>
      <c r="F373" s="3" t="str">
        <f ca="1">VLOOKUP($B373&amp;"_"&amp;$E373,OFFSET([1]stages!$A$1,0,0,COUNTA([1]stages!$A:$A),MATCH(F$1,[1]stages!$2:$2,0)-MATCH("temp_stage",[1]stages!$2:$2,0)+1),MATCH(F$1,[1]stages!$2:$2,0)-MATCH("temp_stage",[1]stages!$2:$2,0)+1,FALSE)</f>
        <v xml:space="preserve">【中級】ゴールドカジノ </v>
      </c>
      <c r="G373" s="3" t="str">
        <f ca="1">VLOOKUP($B373&amp;"_"&amp;$E373,OFFSET([1]stages!$A$1,0,0,COUNTA([1]stages!$A:$A),MATCH(G$1,[1]stages!$2:$2,0)-MATCH("temp_stage",[1]stages!$2:$2,0)+1),MATCH(G$1,[1]stages!$2:$2,0)-MATCH("temp_stage",[1]stages!$2:$2,0)+1,FALSE)</f>
        <v>土日クエスト1</v>
      </c>
      <c r="H373" s="18">
        <v>0</v>
      </c>
      <c r="I373">
        <v>35</v>
      </c>
      <c r="J373" s="5" t="s">
        <v>16</v>
      </c>
      <c r="K373" s="35" t="str">
        <f>VLOOKUP(I373,[2]stage_hints!$A:$C,3,FALSE)</f>
        <v>敵のステータスがスキルで上がったら</v>
      </c>
      <c r="L373" s="36" t="str">
        <f>VLOOKUP(I373,[2]stage_hints!$A:$D,4,FALSE)</f>
        <v>敵のステータスがスキルでアップしたときは_x000D_ステータスダウンスキルで上書きしましょう</v>
      </c>
      <c r="M373" s="21" t="s">
        <v>23</v>
      </c>
      <c r="N373">
        <v>35</v>
      </c>
    </row>
    <row r="374" spans="1:14" x14ac:dyDescent="0.15">
      <c r="A374" s="26" t="s">
        <v>32</v>
      </c>
      <c r="B374" s="4">
        <v>20001</v>
      </c>
      <c r="C374" s="3" t="str">
        <f ca="1">VLOOKUP($B374,OFFSET([1]quests!$A$1,0,0,COUNTA([1]quests!$A:$A),MATCH(C$1,[1]quests!$1:$1,0)-MATCH($B$1,[1]quests!$1:$1,0)+1),MATCH(C$1,[1]quests!$1:$1,0)-MATCH($B$1,[1]quests!$1:$1,0)+1,FALSE)</f>
        <v>紅き執行者</v>
      </c>
      <c r="D374" s="3" t="str">
        <f ca="1">VLOOKUP($B374,OFFSET([1]quests!$A$1,0,0,COUNTA([1]quests!$A:$A),MATCH(D$1,[1]quests!$1:$1,0)-MATCH($B$1,[1]quests!$1:$1,0)+1),MATCH(D$1,[1]quests!$1:$1,0)-MATCH($B$1,[1]quests!$1:$1,0)+1,FALSE)</f>
        <v>ドロップイベント1-1</v>
      </c>
      <c r="E374" s="5">
        <v>2</v>
      </c>
      <c r="F374" s="3" t="str">
        <f ca="1">VLOOKUP($B374&amp;"_"&amp;$E374,OFFSET([1]stages!$A$1,0,0,COUNTA([1]stages!$A:$A),MATCH(F$1,[1]stages!$2:$2,0)-MATCH("temp_stage",[1]stages!$2:$2,0)+1),MATCH(F$1,[1]stages!$2:$2,0)-MATCH("temp_stage",[1]stages!$2:$2,0)+1,FALSE)</f>
        <v>【中級】紅き執行者</v>
      </c>
      <c r="G374" s="3" t="str">
        <f ca="1">VLOOKUP($B374&amp;"_"&amp;$E374,OFFSET([1]stages!$A$1,0,0,COUNTA([1]stages!$A:$A),MATCH(G$1,[1]stages!$2:$2,0)-MATCH("temp_stage",[1]stages!$2:$2,0)+1),MATCH(G$1,[1]stages!$2:$2,0)-MATCH("temp_stage",[1]stages!$2:$2,0)+1,FALSE)</f>
        <v>ドロップイベント1-1</v>
      </c>
      <c r="H374" s="18">
        <v>0</v>
      </c>
      <c r="I374">
        <v>3</v>
      </c>
      <c r="J374" s="5" t="s">
        <v>16</v>
      </c>
      <c r="K374" s="35" t="str">
        <f>VLOOKUP(I374,[2]stage_hints!$A:$C,3,FALSE)</f>
        <v>ターゲット</v>
      </c>
      <c r="L374" s="36" t="str">
        <f>VLOOKUP(I374,[2]stage_hints!$A:$D,4,FALSE)</f>
        <v>敵ユニットをタップすると_x000D_その敵を狙い撃ちできます</v>
      </c>
      <c r="M374" s="21" t="s">
        <v>23</v>
      </c>
      <c r="N374">
        <v>3</v>
      </c>
    </row>
    <row r="375" spans="1:14" x14ac:dyDescent="0.15">
      <c r="A375" s="26" t="s">
        <v>32</v>
      </c>
      <c r="B375" s="4">
        <v>20001</v>
      </c>
      <c r="C375" s="3" t="str">
        <f ca="1">VLOOKUP($B375,OFFSET([1]quests!$A$1,0,0,COUNTA([1]quests!$A:$A),MATCH(C$1,[1]quests!$1:$1,0)-MATCH($B$1,[1]quests!$1:$1,0)+1),MATCH(C$1,[1]quests!$1:$1,0)-MATCH($B$1,[1]quests!$1:$1,0)+1,FALSE)</f>
        <v>紅き執行者</v>
      </c>
      <c r="D375" s="3" t="str">
        <f ca="1">VLOOKUP($B375,OFFSET([1]quests!$A$1,0,0,COUNTA([1]quests!$A:$A),MATCH(D$1,[1]quests!$1:$1,0)-MATCH($B$1,[1]quests!$1:$1,0)+1),MATCH(D$1,[1]quests!$1:$1,0)-MATCH($B$1,[1]quests!$1:$1,0)+1,FALSE)</f>
        <v>ドロップイベント1-1</v>
      </c>
      <c r="E375" s="5">
        <v>2</v>
      </c>
      <c r="F375" s="3" t="str">
        <f ca="1">VLOOKUP($B375&amp;"_"&amp;$E375,OFFSET([1]stages!$A$1,0,0,COUNTA([1]stages!$A:$A),MATCH(F$1,[1]stages!$2:$2,0)-MATCH("temp_stage",[1]stages!$2:$2,0)+1),MATCH(F$1,[1]stages!$2:$2,0)-MATCH("temp_stage",[1]stages!$2:$2,0)+1,FALSE)</f>
        <v>【中級】紅き執行者</v>
      </c>
      <c r="G375" s="3" t="str">
        <f ca="1">VLOOKUP($B375&amp;"_"&amp;$E375,OFFSET([1]stages!$A$1,0,0,COUNTA([1]stages!$A:$A),MATCH(G$1,[1]stages!$2:$2,0)-MATCH("temp_stage",[1]stages!$2:$2,0)+1),MATCH(G$1,[1]stages!$2:$2,0)-MATCH("temp_stage",[1]stages!$2:$2,0)+1,FALSE)</f>
        <v>ドロップイベント1-1</v>
      </c>
      <c r="H375" s="18">
        <v>0</v>
      </c>
      <c r="I375">
        <v>6</v>
      </c>
      <c r="J375" s="5" t="s">
        <v>16</v>
      </c>
      <c r="K375" s="35" t="str">
        <f>VLOOKUP(I375,[2]stage_hints!$A:$C,3,FALSE)</f>
        <v>ユニット強化の属性ボーナス</v>
      </c>
      <c r="L375" s="36" t="str">
        <f>VLOOKUP(I375,[2]stage_hints!$A:$D,4,FALSE)</f>
        <v>同属性ユニットを強化素材にすると_x000D_経験値が多くもらえます</v>
      </c>
      <c r="M375" s="21" t="s">
        <v>23</v>
      </c>
      <c r="N375">
        <v>6</v>
      </c>
    </row>
    <row r="376" spans="1:14" x14ac:dyDescent="0.15">
      <c r="A376" s="26" t="s">
        <v>32</v>
      </c>
      <c r="B376" s="4">
        <v>20001</v>
      </c>
      <c r="C376" s="3" t="str">
        <f ca="1">VLOOKUP($B376,OFFSET([1]quests!$A$1,0,0,COUNTA([1]quests!$A:$A),MATCH(C$1,[1]quests!$1:$1,0)-MATCH($B$1,[1]quests!$1:$1,0)+1),MATCH(C$1,[1]quests!$1:$1,0)-MATCH($B$1,[1]quests!$1:$1,0)+1,FALSE)</f>
        <v>紅き執行者</v>
      </c>
      <c r="D376" s="3" t="str">
        <f ca="1">VLOOKUP($B376,OFFSET([1]quests!$A$1,0,0,COUNTA([1]quests!$A:$A),MATCH(D$1,[1]quests!$1:$1,0)-MATCH($B$1,[1]quests!$1:$1,0)+1),MATCH(D$1,[1]quests!$1:$1,0)-MATCH($B$1,[1]quests!$1:$1,0)+1,FALSE)</f>
        <v>ドロップイベント1-1</v>
      </c>
      <c r="E376" s="5">
        <v>2</v>
      </c>
      <c r="F376" s="3" t="str">
        <f ca="1">VLOOKUP($B376&amp;"_"&amp;$E376,OFFSET([1]stages!$A$1,0,0,COUNTA([1]stages!$A:$A),MATCH(F$1,[1]stages!$2:$2,0)-MATCH("temp_stage",[1]stages!$2:$2,0)+1),MATCH(F$1,[1]stages!$2:$2,0)-MATCH("temp_stage",[1]stages!$2:$2,0)+1,FALSE)</f>
        <v>【中級】紅き執行者</v>
      </c>
      <c r="G376" s="3" t="str">
        <f ca="1">VLOOKUP($B376&amp;"_"&amp;$E376,OFFSET([1]stages!$A$1,0,0,COUNTA([1]stages!$A:$A),MATCH(G$1,[1]stages!$2:$2,0)-MATCH("temp_stage",[1]stages!$2:$2,0)+1),MATCH(G$1,[1]stages!$2:$2,0)-MATCH("temp_stage",[1]stages!$2:$2,0)+1,FALSE)</f>
        <v>ドロップイベント1-1</v>
      </c>
      <c r="H376" s="18">
        <v>0</v>
      </c>
      <c r="I376">
        <v>7</v>
      </c>
      <c r="J376" s="5" t="s">
        <v>16</v>
      </c>
      <c r="K376" s="35" t="str">
        <f>VLOOKUP(I376,[2]stage_hints!$A:$C,3,FALSE)</f>
        <v>メタルダックで経験値を獲得</v>
      </c>
      <c r="L376" s="36" t="str">
        <f>VLOOKUP(I376,[2]stage_hints!$A:$D,4,FALSE)</f>
        <v>「メタルなアヒル」を強化素材にすると_x000D_大量の経験値がもらえます</v>
      </c>
      <c r="M376" s="21" t="s">
        <v>23</v>
      </c>
      <c r="N376">
        <v>7</v>
      </c>
    </row>
    <row r="377" spans="1:14" x14ac:dyDescent="0.15">
      <c r="A377" s="26" t="s">
        <v>32</v>
      </c>
      <c r="B377" s="4">
        <v>20001</v>
      </c>
      <c r="C377" s="3" t="str">
        <f ca="1">VLOOKUP($B377,OFFSET([1]quests!$A$1,0,0,COUNTA([1]quests!$A:$A),MATCH(C$1,[1]quests!$1:$1,0)-MATCH($B$1,[1]quests!$1:$1,0)+1),MATCH(C$1,[1]quests!$1:$1,0)-MATCH($B$1,[1]quests!$1:$1,0)+1,FALSE)</f>
        <v>紅き執行者</v>
      </c>
      <c r="D377" s="3" t="str">
        <f ca="1">VLOOKUP($B377,OFFSET([1]quests!$A$1,0,0,COUNTA([1]quests!$A:$A),MATCH(D$1,[1]quests!$1:$1,0)-MATCH($B$1,[1]quests!$1:$1,0)+1),MATCH(D$1,[1]quests!$1:$1,0)-MATCH($B$1,[1]quests!$1:$1,0)+1,FALSE)</f>
        <v>ドロップイベント1-1</v>
      </c>
      <c r="E377" s="5">
        <v>2</v>
      </c>
      <c r="F377" s="3" t="str">
        <f ca="1">VLOOKUP($B377&amp;"_"&amp;$E377,OFFSET([1]stages!$A$1,0,0,COUNTA([1]stages!$A:$A),MATCH(F$1,[1]stages!$2:$2,0)-MATCH("temp_stage",[1]stages!$2:$2,0)+1),MATCH(F$1,[1]stages!$2:$2,0)-MATCH("temp_stage",[1]stages!$2:$2,0)+1,FALSE)</f>
        <v>【中級】紅き執行者</v>
      </c>
      <c r="G377" s="3" t="str">
        <f ca="1">VLOOKUP($B377&amp;"_"&amp;$E377,OFFSET([1]stages!$A$1,0,0,COUNTA([1]stages!$A:$A),MATCH(G$1,[1]stages!$2:$2,0)-MATCH("temp_stage",[1]stages!$2:$2,0)+1),MATCH(G$1,[1]stages!$2:$2,0)-MATCH("temp_stage",[1]stages!$2:$2,0)+1,FALSE)</f>
        <v>ドロップイベント1-1</v>
      </c>
      <c r="H377" s="18">
        <v>0</v>
      </c>
      <c r="I377">
        <v>8</v>
      </c>
      <c r="J377" s="5" t="s">
        <v>16</v>
      </c>
      <c r="K377" s="35" t="str">
        <f>VLOOKUP(I377,[2]stage_hints!$A:$C,3,FALSE)</f>
        <v>ゲリラクエストは要チェック</v>
      </c>
      <c r="L377" s="36" t="str">
        <f>VLOOKUP(I377,[2]stage_hints!$A:$D,4,FALSE)</f>
        <v>時間限定の「アヒル捕獲作戦」では_x000D_経験値素材ユニットが多く手に入ります</v>
      </c>
      <c r="M377" s="21" t="s">
        <v>23</v>
      </c>
      <c r="N377">
        <v>8</v>
      </c>
    </row>
    <row r="378" spans="1:14" x14ac:dyDescent="0.15">
      <c r="A378" s="26" t="s">
        <v>32</v>
      </c>
      <c r="B378" s="4">
        <v>20001</v>
      </c>
      <c r="C378" s="3" t="str">
        <f ca="1">VLOOKUP($B378,OFFSET([1]quests!$A$1,0,0,COUNTA([1]quests!$A:$A),MATCH(C$1,[1]quests!$1:$1,0)-MATCH($B$1,[1]quests!$1:$1,0)+1),MATCH(C$1,[1]quests!$1:$1,0)-MATCH($B$1,[1]quests!$1:$1,0)+1,FALSE)</f>
        <v>紅き執行者</v>
      </c>
      <c r="D378" s="3" t="str">
        <f ca="1">VLOOKUP($B378,OFFSET([1]quests!$A$1,0,0,COUNTA([1]quests!$A:$A),MATCH(D$1,[1]quests!$1:$1,0)-MATCH($B$1,[1]quests!$1:$1,0)+1),MATCH(D$1,[1]quests!$1:$1,0)-MATCH($B$1,[1]quests!$1:$1,0)+1,FALSE)</f>
        <v>ドロップイベント1-1</v>
      </c>
      <c r="E378" s="5">
        <v>2</v>
      </c>
      <c r="F378" s="3" t="str">
        <f ca="1">VLOOKUP($B378&amp;"_"&amp;$E378,OFFSET([1]stages!$A$1,0,0,COUNTA([1]stages!$A:$A),MATCH(F$1,[1]stages!$2:$2,0)-MATCH("temp_stage",[1]stages!$2:$2,0)+1),MATCH(F$1,[1]stages!$2:$2,0)-MATCH("temp_stage",[1]stages!$2:$2,0)+1,FALSE)</f>
        <v>【中級】紅き執行者</v>
      </c>
      <c r="G378" s="3" t="str">
        <f ca="1">VLOOKUP($B378&amp;"_"&amp;$E378,OFFSET([1]stages!$A$1,0,0,COUNTA([1]stages!$A:$A),MATCH(G$1,[1]stages!$2:$2,0)-MATCH("temp_stage",[1]stages!$2:$2,0)+1),MATCH(G$1,[1]stages!$2:$2,0)-MATCH("temp_stage",[1]stages!$2:$2,0)+1,FALSE)</f>
        <v>ドロップイベント1-1</v>
      </c>
      <c r="H378" s="18">
        <v>0</v>
      </c>
      <c r="I378">
        <v>9</v>
      </c>
      <c r="J378" s="5" t="s">
        <v>16</v>
      </c>
      <c r="K378" s="35" t="str">
        <f>VLOOKUP(I378,[2]stage_hints!$A:$C,3,FALSE)</f>
        <v>ゴールドダックでビットを獲得</v>
      </c>
      <c r="L378" s="36" t="str">
        <f>VLOOKUP(I378,[2]stage_hints!$A:$D,4,FALSE)</f>
        <v>「ゴールドなアヒル」を売却すると_x000D_大量のビットがもらえます</v>
      </c>
      <c r="M378" s="21" t="s">
        <v>23</v>
      </c>
      <c r="N378">
        <v>9</v>
      </c>
    </row>
    <row r="379" spans="1:14" x14ac:dyDescent="0.15">
      <c r="A379" s="26" t="s">
        <v>32</v>
      </c>
      <c r="B379" s="4">
        <v>20001</v>
      </c>
      <c r="C379" s="3" t="str">
        <f ca="1">VLOOKUP($B379,OFFSET([1]quests!$A$1,0,0,COUNTA([1]quests!$A:$A),MATCH(C$1,[1]quests!$1:$1,0)-MATCH($B$1,[1]quests!$1:$1,0)+1),MATCH(C$1,[1]quests!$1:$1,0)-MATCH($B$1,[1]quests!$1:$1,0)+1,FALSE)</f>
        <v>紅き執行者</v>
      </c>
      <c r="D379" s="3" t="str">
        <f ca="1">VLOOKUP($B379,OFFSET([1]quests!$A$1,0,0,COUNTA([1]quests!$A:$A),MATCH(D$1,[1]quests!$1:$1,0)-MATCH($B$1,[1]quests!$1:$1,0)+1),MATCH(D$1,[1]quests!$1:$1,0)-MATCH($B$1,[1]quests!$1:$1,0)+1,FALSE)</f>
        <v>ドロップイベント1-1</v>
      </c>
      <c r="E379" s="5">
        <v>2</v>
      </c>
      <c r="F379" s="3" t="str">
        <f ca="1">VLOOKUP($B379&amp;"_"&amp;$E379,OFFSET([1]stages!$A$1,0,0,COUNTA([1]stages!$A:$A),MATCH(F$1,[1]stages!$2:$2,0)-MATCH("temp_stage",[1]stages!$2:$2,0)+1),MATCH(F$1,[1]stages!$2:$2,0)-MATCH("temp_stage",[1]stages!$2:$2,0)+1,FALSE)</f>
        <v>【中級】紅き執行者</v>
      </c>
      <c r="G379" s="3" t="str">
        <f ca="1">VLOOKUP($B379&amp;"_"&amp;$E379,OFFSET([1]stages!$A$1,0,0,COUNTA([1]stages!$A:$A),MATCH(G$1,[1]stages!$2:$2,0)-MATCH("temp_stage",[1]stages!$2:$2,0)+1),MATCH(G$1,[1]stages!$2:$2,0)-MATCH("temp_stage",[1]stages!$2:$2,0)+1,FALSE)</f>
        <v>ドロップイベント1-1</v>
      </c>
      <c r="H379" s="18">
        <v>0</v>
      </c>
      <c r="I379">
        <v>10</v>
      </c>
      <c r="J379" s="5" t="s">
        <v>16</v>
      </c>
      <c r="K379" s="35" t="str">
        <f>VLOOKUP(I379,[2]stage_hints!$A:$C,3,FALSE)</f>
        <v>土日に大量のビットを獲得</v>
      </c>
      <c r="L379" s="36" t="str">
        <f>VLOOKUP(I379,[2]stage_hints!$A:$D,4,FALSE)</f>
        <v>土日限定の「ゴールドカジノ」では_x000D_売却素材ユニットが多く手に入ります</v>
      </c>
      <c r="M379" s="21" t="s">
        <v>23</v>
      </c>
      <c r="N379">
        <v>10</v>
      </c>
    </row>
    <row r="380" spans="1:14" x14ac:dyDescent="0.15">
      <c r="A380" s="26" t="s">
        <v>32</v>
      </c>
      <c r="B380" s="4">
        <v>20001</v>
      </c>
      <c r="C380" s="3" t="str">
        <f ca="1">VLOOKUP($B380,OFFSET([1]quests!$A$1,0,0,COUNTA([1]quests!$A:$A),MATCH(C$1,[1]quests!$1:$1,0)-MATCH($B$1,[1]quests!$1:$1,0)+1),MATCH(C$1,[1]quests!$1:$1,0)-MATCH($B$1,[1]quests!$1:$1,0)+1,FALSE)</f>
        <v>紅き執行者</v>
      </c>
      <c r="D380" s="3" t="str">
        <f ca="1">VLOOKUP($B380,OFFSET([1]quests!$A$1,0,0,COUNTA([1]quests!$A:$A),MATCH(D$1,[1]quests!$1:$1,0)-MATCH($B$1,[1]quests!$1:$1,0)+1),MATCH(D$1,[1]quests!$1:$1,0)-MATCH($B$1,[1]quests!$1:$1,0)+1,FALSE)</f>
        <v>ドロップイベント1-1</v>
      </c>
      <c r="E380" s="5">
        <v>2</v>
      </c>
      <c r="F380" s="3" t="str">
        <f ca="1">VLOOKUP($B380&amp;"_"&amp;$E380,OFFSET([1]stages!$A$1,0,0,COUNTA([1]stages!$A:$A),MATCH(F$1,[1]stages!$2:$2,0)-MATCH("temp_stage",[1]stages!$2:$2,0)+1),MATCH(F$1,[1]stages!$2:$2,0)-MATCH("temp_stage",[1]stages!$2:$2,0)+1,FALSE)</f>
        <v>【中級】紅き執行者</v>
      </c>
      <c r="G380" s="3" t="str">
        <f ca="1">VLOOKUP($B380&amp;"_"&amp;$E380,OFFSET([1]stages!$A$1,0,0,COUNTA([1]stages!$A:$A),MATCH(G$1,[1]stages!$2:$2,0)-MATCH("temp_stage",[1]stages!$2:$2,0)+1),MATCH(G$1,[1]stages!$2:$2,0)-MATCH("temp_stage",[1]stages!$2:$2,0)+1,FALSE)</f>
        <v>ドロップイベント1-1</v>
      </c>
      <c r="H380" s="18">
        <v>0</v>
      </c>
      <c r="I380">
        <v>11</v>
      </c>
      <c r="J380" s="5" t="s">
        <v>16</v>
      </c>
      <c r="K380" s="35" t="str">
        <f>VLOOKUP(I380,[2]stage_hints!$A:$C,3,FALSE)</f>
        <v>ランク解放クエスト</v>
      </c>
      <c r="L380" s="36" t="str">
        <f>VLOOKUP(I380,[2]stage_hints!$A:$D,4,FALSE)</f>
        <v>一定ランクに到達すると_x000D_報酬付きのランク開放クエストが現れます</v>
      </c>
      <c r="M380" s="21" t="s">
        <v>23</v>
      </c>
      <c r="N380">
        <v>11</v>
      </c>
    </row>
    <row r="381" spans="1:14" x14ac:dyDescent="0.15">
      <c r="A381" s="26" t="s">
        <v>32</v>
      </c>
      <c r="B381" s="4">
        <v>20001</v>
      </c>
      <c r="C381" s="3" t="str">
        <f ca="1">VLOOKUP($B381,OFFSET([1]quests!$A$1,0,0,COUNTA([1]quests!$A:$A),MATCH(C$1,[1]quests!$1:$1,0)-MATCH($B$1,[1]quests!$1:$1,0)+1),MATCH(C$1,[1]quests!$1:$1,0)-MATCH($B$1,[1]quests!$1:$1,0)+1,FALSE)</f>
        <v>紅き執行者</v>
      </c>
      <c r="D381" s="3" t="str">
        <f ca="1">VLOOKUP($B381,OFFSET([1]quests!$A$1,0,0,COUNTA([1]quests!$A:$A),MATCH(D$1,[1]quests!$1:$1,0)-MATCH($B$1,[1]quests!$1:$1,0)+1),MATCH(D$1,[1]quests!$1:$1,0)-MATCH($B$1,[1]quests!$1:$1,0)+1,FALSE)</f>
        <v>ドロップイベント1-1</v>
      </c>
      <c r="E381" s="5">
        <v>2</v>
      </c>
      <c r="F381" s="3" t="str">
        <f ca="1">VLOOKUP($B381&amp;"_"&amp;$E381,OFFSET([1]stages!$A$1,0,0,COUNTA([1]stages!$A:$A),MATCH(F$1,[1]stages!$2:$2,0)-MATCH("temp_stage",[1]stages!$2:$2,0)+1),MATCH(F$1,[1]stages!$2:$2,0)-MATCH("temp_stage",[1]stages!$2:$2,0)+1,FALSE)</f>
        <v>【中級】紅き執行者</v>
      </c>
      <c r="G381" s="3" t="str">
        <f ca="1">VLOOKUP($B381&amp;"_"&amp;$E381,OFFSET([1]stages!$A$1,0,0,COUNTA([1]stages!$A:$A),MATCH(G$1,[1]stages!$2:$2,0)-MATCH("temp_stage",[1]stages!$2:$2,0)+1),MATCH(G$1,[1]stages!$2:$2,0)-MATCH("temp_stage",[1]stages!$2:$2,0)+1,FALSE)</f>
        <v>ドロップイベント1-1</v>
      </c>
      <c r="H381" s="18">
        <v>0</v>
      </c>
      <c r="I381">
        <v>12</v>
      </c>
      <c r="J381" s="5" t="s">
        <v>16</v>
      </c>
      <c r="K381" s="35" t="str">
        <f>VLOOKUP(I381,[2]stage_hints!$A:$C,3,FALSE)</f>
        <v>ユニットのお気に入り登録</v>
      </c>
      <c r="L381" s="36" t="str">
        <f>VLOOKUP(I381,[2]stage_hints!$A:$D,4,FALSE)</f>
        <v>大事なユニットを誤って消さないように_x000D_フォルダから「お気に入り登録」しましょう</v>
      </c>
      <c r="M381" s="21" t="s">
        <v>23</v>
      </c>
      <c r="N381">
        <v>12</v>
      </c>
    </row>
    <row r="382" spans="1:14" x14ac:dyDescent="0.15">
      <c r="A382" s="26" t="s">
        <v>32</v>
      </c>
      <c r="B382" s="4">
        <v>20001</v>
      </c>
      <c r="C382" s="3" t="str">
        <f ca="1">VLOOKUP($B382,OFFSET([1]quests!$A$1,0,0,COUNTA([1]quests!$A:$A),MATCH(C$1,[1]quests!$1:$1,0)-MATCH($B$1,[1]quests!$1:$1,0)+1),MATCH(C$1,[1]quests!$1:$1,0)-MATCH($B$1,[1]quests!$1:$1,0)+1,FALSE)</f>
        <v>紅き執行者</v>
      </c>
      <c r="D382" s="3" t="str">
        <f ca="1">VLOOKUP($B382,OFFSET([1]quests!$A$1,0,0,COUNTA([1]quests!$A:$A),MATCH(D$1,[1]quests!$1:$1,0)-MATCH($B$1,[1]quests!$1:$1,0)+1),MATCH(D$1,[1]quests!$1:$1,0)-MATCH($B$1,[1]quests!$1:$1,0)+1,FALSE)</f>
        <v>ドロップイベント1-1</v>
      </c>
      <c r="E382" s="5">
        <v>2</v>
      </c>
      <c r="F382" s="3" t="str">
        <f ca="1">VLOOKUP($B382&amp;"_"&amp;$E382,OFFSET([1]stages!$A$1,0,0,COUNTA([1]stages!$A:$A),MATCH(F$1,[1]stages!$2:$2,0)-MATCH("temp_stage",[1]stages!$2:$2,0)+1),MATCH(F$1,[1]stages!$2:$2,0)-MATCH("temp_stage",[1]stages!$2:$2,0)+1,FALSE)</f>
        <v>【中級】紅き執行者</v>
      </c>
      <c r="G382" s="3" t="str">
        <f ca="1">VLOOKUP($B382&amp;"_"&amp;$E382,OFFSET([1]stages!$A$1,0,0,COUNTA([1]stages!$A:$A),MATCH(G$1,[1]stages!$2:$2,0)-MATCH("temp_stage",[1]stages!$2:$2,0)+1),MATCH(G$1,[1]stages!$2:$2,0)-MATCH("temp_stage",[1]stages!$2:$2,0)+1,FALSE)</f>
        <v>ドロップイベント1-1</v>
      </c>
      <c r="H382" s="18">
        <v>0</v>
      </c>
      <c r="I382">
        <v>13</v>
      </c>
      <c r="J382" s="5" t="s">
        <v>16</v>
      </c>
      <c r="K382" s="35" t="str">
        <f>VLOOKUP(I382,[2]stage_hints!$A:$C,3,FALSE)</f>
        <v>ユニットの覚醒</v>
      </c>
      <c r="L382" s="36" t="str">
        <f>VLOOKUP(I382,[2]stage_hints!$A:$D,4,FALSE)</f>
        <v>ユニットを覚醒させると_x000D_比べものにならない強さが手に入ります</v>
      </c>
      <c r="M382" s="21" t="s">
        <v>23</v>
      </c>
      <c r="N382">
        <v>13</v>
      </c>
    </row>
    <row r="383" spans="1:14" x14ac:dyDescent="0.15">
      <c r="A383" s="26" t="s">
        <v>32</v>
      </c>
      <c r="B383" s="4">
        <v>20001</v>
      </c>
      <c r="C383" s="3" t="str">
        <f ca="1">VLOOKUP($B383,OFFSET([1]quests!$A$1,0,0,COUNTA([1]quests!$A:$A),MATCH(C$1,[1]quests!$1:$1,0)-MATCH($B$1,[1]quests!$1:$1,0)+1),MATCH(C$1,[1]quests!$1:$1,0)-MATCH($B$1,[1]quests!$1:$1,0)+1,FALSE)</f>
        <v>紅き執行者</v>
      </c>
      <c r="D383" s="3" t="str">
        <f ca="1">VLOOKUP($B383,OFFSET([1]quests!$A$1,0,0,COUNTA([1]quests!$A:$A),MATCH(D$1,[1]quests!$1:$1,0)-MATCH($B$1,[1]quests!$1:$1,0)+1),MATCH(D$1,[1]quests!$1:$1,0)-MATCH($B$1,[1]quests!$1:$1,0)+1,FALSE)</f>
        <v>ドロップイベント1-1</v>
      </c>
      <c r="E383" s="5">
        <v>2</v>
      </c>
      <c r="F383" s="3" t="str">
        <f ca="1">VLOOKUP($B383&amp;"_"&amp;$E383,OFFSET([1]stages!$A$1,0,0,COUNTA([1]stages!$A:$A),MATCH(F$1,[1]stages!$2:$2,0)-MATCH("temp_stage",[1]stages!$2:$2,0)+1),MATCH(F$1,[1]stages!$2:$2,0)-MATCH("temp_stage",[1]stages!$2:$2,0)+1,FALSE)</f>
        <v>【中級】紅き執行者</v>
      </c>
      <c r="G383" s="3" t="str">
        <f ca="1">VLOOKUP($B383&amp;"_"&amp;$E383,OFFSET([1]stages!$A$1,0,0,COUNTA([1]stages!$A:$A),MATCH(G$1,[1]stages!$2:$2,0)-MATCH("temp_stage",[1]stages!$2:$2,0)+1),MATCH(G$1,[1]stages!$2:$2,0)-MATCH("temp_stage",[1]stages!$2:$2,0)+1,FALSE)</f>
        <v>ドロップイベント1-1</v>
      </c>
      <c r="H383" s="18">
        <v>0</v>
      </c>
      <c r="I383">
        <v>14</v>
      </c>
      <c r="J383" s="5" t="s">
        <v>16</v>
      </c>
      <c r="K383" s="35" t="str">
        <f>VLOOKUP(I383,[2]stage_hints!$A:$C,3,FALSE)</f>
        <v>覚醒するにはレベルを最大に</v>
      </c>
      <c r="L383" s="36" t="str">
        <f>VLOOKUP(I383,[2]stage_hints!$A:$D,4,FALSE)</f>
        <v>覚醒するにはユニットのレベルを_x000D_最大まで上げる必要があります</v>
      </c>
      <c r="M383" s="21" t="s">
        <v>23</v>
      </c>
      <c r="N383">
        <v>14</v>
      </c>
    </row>
    <row r="384" spans="1:14" x14ac:dyDescent="0.15">
      <c r="A384" s="26" t="s">
        <v>32</v>
      </c>
      <c r="B384" s="4">
        <v>20001</v>
      </c>
      <c r="C384" s="3" t="str">
        <f ca="1">VLOOKUP($B384,OFFSET([1]quests!$A$1,0,0,COUNTA([1]quests!$A:$A),MATCH(C$1,[1]quests!$1:$1,0)-MATCH($B$1,[1]quests!$1:$1,0)+1),MATCH(C$1,[1]quests!$1:$1,0)-MATCH($B$1,[1]quests!$1:$1,0)+1,FALSE)</f>
        <v>紅き執行者</v>
      </c>
      <c r="D384" s="3" t="str">
        <f ca="1">VLOOKUP($B384,OFFSET([1]quests!$A$1,0,0,COUNTA([1]quests!$A:$A),MATCH(D$1,[1]quests!$1:$1,0)-MATCH($B$1,[1]quests!$1:$1,0)+1),MATCH(D$1,[1]quests!$1:$1,0)-MATCH($B$1,[1]quests!$1:$1,0)+1,FALSE)</f>
        <v>ドロップイベント1-1</v>
      </c>
      <c r="E384" s="5">
        <v>2</v>
      </c>
      <c r="F384" s="3" t="str">
        <f ca="1">VLOOKUP($B384&amp;"_"&amp;$E384,OFFSET([1]stages!$A$1,0,0,COUNTA([1]stages!$A:$A),MATCH(F$1,[1]stages!$2:$2,0)-MATCH("temp_stage",[1]stages!$2:$2,0)+1),MATCH(F$1,[1]stages!$2:$2,0)-MATCH("temp_stage",[1]stages!$2:$2,0)+1,FALSE)</f>
        <v>【中級】紅き執行者</v>
      </c>
      <c r="G384" s="3" t="str">
        <f ca="1">VLOOKUP($B384&amp;"_"&amp;$E384,OFFSET([1]stages!$A$1,0,0,COUNTA([1]stages!$A:$A),MATCH(G$1,[1]stages!$2:$2,0)-MATCH("temp_stage",[1]stages!$2:$2,0)+1),MATCH(G$1,[1]stages!$2:$2,0)-MATCH("temp_stage",[1]stages!$2:$2,0)+1,FALSE)</f>
        <v>ドロップイベント1-1</v>
      </c>
      <c r="H384" s="18">
        <v>0</v>
      </c>
      <c r="I384">
        <v>15</v>
      </c>
      <c r="J384" s="5" t="s">
        <v>16</v>
      </c>
      <c r="K384" s="35" t="str">
        <f>VLOOKUP(I384,[2]stage_hints!$A:$C,3,FALSE)</f>
        <v>覚醒素材を獲得</v>
      </c>
      <c r="L384" s="36" t="str">
        <f>VLOOKUP(I384,[2]stage_hints!$A:$D,4,FALSE)</f>
        <v>「曜日クエスト」では_x000D_ユニットの覚醒に必要な素材が手に入ります</v>
      </c>
      <c r="M384" s="21" t="s">
        <v>23</v>
      </c>
      <c r="N384">
        <v>15</v>
      </c>
    </row>
    <row r="385" spans="1:14" x14ac:dyDescent="0.15">
      <c r="A385" s="26" t="s">
        <v>32</v>
      </c>
      <c r="B385" s="4">
        <v>20001</v>
      </c>
      <c r="C385" s="3" t="str">
        <f ca="1">VLOOKUP($B385,OFFSET([1]quests!$A$1,0,0,COUNTA([1]quests!$A:$A),MATCH(C$1,[1]quests!$1:$1,0)-MATCH($B$1,[1]quests!$1:$1,0)+1),MATCH(C$1,[1]quests!$1:$1,0)-MATCH($B$1,[1]quests!$1:$1,0)+1,FALSE)</f>
        <v>紅き執行者</v>
      </c>
      <c r="D385" s="3" t="str">
        <f ca="1">VLOOKUP($B385,OFFSET([1]quests!$A$1,0,0,COUNTA([1]quests!$A:$A),MATCH(D$1,[1]quests!$1:$1,0)-MATCH($B$1,[1]quests!$1:$1,0)+1),MATCH(D$1,[1]quests!$1:$1,0)-MATCH($B$1,[1]quests!$1:$1,0)+1,FALSE)</f>
        <v>ドロップイベント1-1</v>
      </c>
      <c r="E385" s="5">
        <v>2</v>
      </c>
      <c r="F385" s="3" t="str">
        <f ca="1">VLOOKUP($B385&amp;"_"&amp;$E385,OFFSET([1]stages!$A$1,0,0,COUNTA([1]stages!$A:$A),MATCH(F$1,[1]stages!$2:$2,0)-MATCH("temp_stage",[1]stages!$2:$2,0)+1),MATCH(F$1,[1]stages!$2:$2,0)-MATCH("temp_stage",[1]stages!$2:$2,0)+1,FALSE)</f>
        <v>【中級】紅き執行者</v>
      </c>
      <c r="G385" s="3" t="str">
        <f ca="1">VLOOKUP($B385&amp;"_"&amp;$E385,OFFSET([1]stages!$A$1,0,0,COUNTA([1]stages!$A:$A),MATCH(G$1,[1]stages!$2:$2,0)-MATCH("temp_stage",[1]stages!$2:$2,0)+1),MATCH(G$1,[1]stages!$2:$2,0)-MATCH("temp_stage",[1]stages!$2:$2,0)+1,FALSE)</f>
        <v>ドロップイベント1-1</v>
      </c>
      <c r="H385" s="18">
        <v>0</v>
      </c>
      <c r="I385">
        <v>16</v>
      </c>
      <c r="J385" s="5" t="s">
        <v>16</v>
      </c>
      <c r="K385" s="35" t="str">
        <f>VLOOKUP(I385,[2]stage_hints!$A:$C,3,FALSE)</f>
        <v>マルチプレイのメリット（その1）</v>
      </c>
      <c r="L385" s="36" t="str">
        <f>VLOOKUP(I385,[2]stage_hints!$A:$D,4,FALSE)</f>
        <v>他のプレイヤーとマルチプレイで遊ぶと_x000D_ポリゴンがもらえます（100人まで）</v>
      </c>
      <c r="M385" s="21" t="s">
        <v>23</v>
      </c>
      <c r="N385">
        <v>16</v>
      </c>
    </row>
    <row r="386" spans="1:14" x14ac:dyDescent="0.15">
      <c r="A386" s="26" t="s">
        <v>32</v>
      </c>
      <c r="B386" s="4">
        <v>20001</v>
      </c>
      <c r="C386" s="3" t="str">
        <f ca="1">VLOOKUP($B386,OFFSET([1]quests!$A$1,0,0,COUNTA([1]quests!$A:$A),MATCH(C$1,[1]quests!$1:$1,0)-MATCH($B$1,[1]quests!$1:$1,0)+1),MATCH(C$1,[1]quests!$1:$1,0)-MATCH($B$1,[1]quests!$1:$1,0)+1,FALSE)</f>
        <v>紅き執行者</v>
      </c>
      <c r="D386" s="3" t="str">
        <f ca="1">VLOOKUP($B386,OFFSET([1]quests!$A$1,0,0,COUNTA([1]quests!$A:$A),MATCH(D$1,[1]quests!$1:$1,0)-MATCH($B$1,[1]quests!$1:$1,0)+1),MATCH(D$1,[1]quests!$1:$1,0)-MATCH($B$1,[1]quests!$1:$1,0)+1,FALSE)</f>
        <v>ドロップイベント1-1</v>
      </c>
      <c r="E386" s="5">
        <v>2</v>
      </c>
      <c r="F386" s="3" t="str">
        <f ca="1">VLOOKUP($B386&amp;"_"&amp;$E386,OFFSET([1]stages!$A$1,0,0,COUNTA([1]stages!$A:$A),MATCH(F$1,[1]stages!$2:$2,0)-MATCH("temp_stage",[1]stages!$2:$2,0)+1),MATCH(F$1,[1]stages!$2:$2,0)-MATCH("temp_stage",[1]stages!$2:$2,0)+1,FALSE)</f>
        <v>【中級】紅き執行者</v>
      </c>
      <c r="G386" s="3" t="str">
        <f ca="1">VLOOKUP($B386&amp;"_"&amp;$E386,OFFSET([1]stages!$A$1,0,0,COUNTA([1]stages!$A:$A),MATCH(G$1,[1]stages!$2:$2,0)-MATCH("temp_stage",[1]stages!$2:$2,0)+1),MATCH(G$1,[1]stages!$2:$2,0)-MATCH("temp_stage",[1]stages!$2:$2,0)+1,FALSE)</f>
        <v>ドロップイベント1-1</v>
      </c>
      <c r="H386" s="18">
        <v>0</v>
      </c>
      <c r="I386">
        <v>17</v>
      </c>
      <c r="J386" s="5" t="s">
        <v>16</v>
      </c>
      <c r="K386" s="35" t="str">
        <f>VLOOKUP(I386,[2]stage_hints!$A:$C,3,FALSE)</f>
        <v>リンクガチャ</v>
      </c>
      <c r="L386" s="36" t="str">
        <f>VLOOKUP(I386,[2]stage_hints!$A:$D,4,FALSE)</f>
        <v>無料のリンクガチャを回して_x000D_経験値素材や売却素材を獲得しましょう</v>
      </c>
      <c r="M386" s="21" t="s">
        <v>23</v>
      </c>
      <c r="N386">
        <v>17</v>
      </c>
    </row>
    <row r="387" spans="1:14" x14ac:dyDescent="0.15">
      <c r="A387" s="26" t="s">
        <v>32</v>
      </c>
      <c r="B387" s="4">
        <v>20001</v>
      </c>
      <c r="C387" s="3" t="str">
        <f ca="1">VLOOKUP($B387,OFFSET([1]quests!$A$1,0,0,COUNTA([1]quests!$A:$A),MATCH(C$1,[1]quests!$1:$1,0)-MATCH($B$1,[1]quests!$1:$1,0)+1),MATCH(C$1,[1]quests!$1:$1,0)-MATCH($B$1,[1]quests!$1:$1,0)+1,FALSE)</f>
        <v>紅き執行者</v>
      </c>
      <c r="D387" s="3" t="str">
        <f ca="1">VLOOKUP($B387,OFFSET([1]quests!$A$1,0,0,COUNTA([1]quests!$A:$A),MATCH(D$1,[1]quests!$1:$1,0)-MATCH($B$1,[1]quests!$1:$1,0)+1),MATCH(D$1,[1]quests!$1:$1,0)-MATCH($B$1,[1]quests!$1:$1,0)+1,FALSE)</f>
        <v>ドロップイベント1-1</v>
      </c>
      <c r="E387" s="5">
        <v>2</v>
      </c>
      <c r="F387" s="3" t="str">
        <f ca="1">VLOOKUP($B387&amp;"_"&amp;$E387,OFFSET([1]stages!$A$1,0,0,COUNTA([1]stages!$A:$A),MATCH(F$1,[1]stages!$2:$2,0)-MATCH("temp_stage",[1]stages!$2:$2,0)+1),MATCH(F$1,[1]stages!$2:$2,0)-MATCH("temp_stage",[1]stages!$2:$2,0)+1,FALSE)</f>
        <v>【中級】紅き執行者</v>
      </c>
      <c r="G387" s="3" t="str">
        <f ca="1">VLOOKUP($B387&amp;"_"&amp;$E387,OFFSET([1]stages!$A$1,0,0,COUNTA([1]stages!$A:$A),MATCH(G$1,[1]stages!$2:$2,0)-MATCH("temp_stage",[1]stages!$2:$2,0)+1),MATCH(G$1,[1]stages!$2:$2,0)-MATCH("temp_stage",[1]stages!$2:$2,0)+1,FALSE)</f>
        <v>ドロップイベント1-1</v>
      </c>
      <c r="H387" s="18">
        <v>0</v>
      </c>
      <c r="I387">
        <v>18</v>
      </c>
      <c r="J387" s="5" t="s">
        <v>16</v>
      </c>
      <c r="K387" s="35" t="str">
        <f>VLOOKUP(I387,[2]stage_hints!$A:$C,3,FALSE)</f>
        <v>マルチプレイのメリット（その2）</v>
      </c>
      <c r="L387" s="36" t="str">
        <f>VLOOKUP(I387,[2]stage_hints!$A:$D,4,FALSE)</f>
        <v>マルチプレイならリンクが2倍もらえます_x000D_リンクガチャをたくさん回しましょう</v>
      </c>
      <c r="M387" s="21" t="s">
        <v>23</v>
      </c>
      <c r="N387">
        <v>18</v>
      </c>
    </row>
    <row r="388" spans="1:14" x14ac:dyDescent="0.15">
      <c r="A388" s="26" t="s">
        <v>32</v>
      </c>
      <c r="B388" s="4">
        <v>20001</v>
      </c>
      <c r="C388" s="3" t="str">
        <f ca="1">VLOOKUP($B388,OFFSET([1]quests!$A$1,0,0,COUNTA([1]quests!$A:$A),MATCH(C$1,[1]quests!$1:$1,0)-MATCH($B$1,[1]quests!$1:$1,0)+1),MATCH(C$1,[1]quests!$1:$1,0)-MATCH($B$1,[1]quests!$1:$1,0)+1,FALSE)</f>
        <v>紅き執行者</v>
      </c>
      <c r="D388" s="3" t="str">
        <f ca="1">VLOOKUP($B388,OFFSET([1]quests!$A$1,0,0,COUNTA([1]quests!$A:$A),MATCH(D$1,[1]quests!$1:$1,0)-MATCH($B$1,[1]quests!$1:$1,0)+1),MATCH(D$1,[1]quests!$1:$1,0)-MATCH($B$1,[1]quests!$1:$1,0)+1,FALSE)</f>
        <v>ドロップイベント1-1</v>
      </c>
      <c r="E388" s="5">
        <v>2</v>
      </c>
      <c r="F388" s="3" t="str">
        <f ca="1">VLOOKUP($B388&amp;"_"&amp;$E388,OFFSET([1]stages!$A$1,0,0,COUNTA([1]stages!$A:$A),MATCH(F$1,[1]stages!$2:$2,0)-MATCH("temp_stage",[1]stages!$2:$2,0)+1),MATCH(F$1,[1]stages!$2:$2,0)-MATCH("temp_stage",[1]stages!$2:$2,0)+1,FALSE)</f>
        <v>【中級】紅き執行者</v>
      </c>
      <c r="G388" s="3" t="str">
        <f ca="1">VLOOKUP($B388&amp;"_"&amp;$E388,OFFSET([1]stages!$A$1,0,0,COUNTA([1]stages!$A:$A),MATCH(G$1,[1]stages!$2:$2,0)-MATCH("temp_stage",[1]stages!$2:$2,0)+1),MATCH(G$1,[1]stages!$2:$2,0)-MATCH("temp_stage",[1]stages!$2:$2,0)+1,FALSE)</f>
        <v>ドロップイベント1-1</v>
      </c>
      <c r="H388" s="18">
        <v>0</v>
      </c>
      <c r="I388">
        <v>19</v>
      </c>
      <c r="J388" s="5" t="s">
        <v>16</v>
      </c>
      <c r="K388" s="35" t="str">
        <f>VLOOKUP(I388,[2]stage_hints!$A:$C,3,FALSE)</f>
        <v>ソロ専用チャレンジタワー</v>
      </c>
      <c r="L388" s="36" t="str">
        <f>VLOOKUP(I388,[2]stage_hints!$A:$D,4,FALSE)</f>
        <v>ソロ専用の「チャレンジタワー」では_x000D_各フロアごとにクリア報酬がもらえます</v>
      </c>
      <c r="M388" s="21" t="s">
        <v>23</v>
      </c>
      <c r="N388">
        <v>19</v>
      </c>
    </row>
    <row r="389" spans="1:14" x14ac:dyDescent="0.15">
      <c r="A389" s="26" t="s">
        <v>32</v>
      </c>
      <c r="B389" s="4">
        <v>20001</v>
      </c>
      <c r="C389" s="3" t="str">
        <f ca="1">VLOOKUP($B389,OFFSET([1]quests!$A$1,0,0,COUNTA([1]quests!$A:$A),MATCH(C$1,[1]quests!$1:$1,0)-MATCH($B$1,[1]quests!$1:$1,0)+1),MATCH(C$1,[1]quests!$1:$1,0)-MATCH($B$1,[1]quests!$1:$1,0)+1,FALSE)</f>
        <v>紅き執行者</v>
      </c>
      <c r="D389" s="3" t="str">
        <f ca="1">VLOOKUP($B389,OFFSET([1]quests!$A$1,0,0,COUNTA([1]quests!$A:$A),MATCH(D$1,[1]quests!$1:$1,0)-MATCH($B$1,[1]quests!$1:$1,0)+1),MATCH(D$1,[1]quests!$1:$1,0)-MATCH($B$1,[1]quests!$1:$1,0)+1,FALSE)</f>
        <v>ドロップイベント1-1</v>
      </c>
      <c r="E389" s="5">
        <v>2</v>
      </c>
      <c r="F389" s="3" t="str">
        <f ca="1">VLOOKUP($B389&amp;"_"&amp;$E389,OFFSET([1]stages!$A$1,0,0,COUNTA([1]stages!$A:$A),MATCH(F$1,[1]stages!$2:$2,0)-MATCH("temp_stage",[1]stages!$2:$2,0)+1),MATCH(F$1,[1]stages!$2:$2,0)-MATCH("temp_stage",[1]stages!$2:$2,0)+1,FALSE)</f>
        <v>【中級】紅き執行者</v>
      </c>
      <c r="G389" s="3" t="str">
        <f ca="1">VLOOKUP($B389&amp;"_"&amp;$E389,OFFSET([1]stages!$A$1,0,0,COUNTA([1]stages!$A:$A),MATCH(G$1,[1]stages!$2:$2,0)-MATCH("temp_stage",[1]stages!$2:$2,0)+1),MATCH(G$1,[1]stages!$2:$2,0)-MATCH("temp_stage",[1]stages!$2:$2,0)+1,FALSE)</f>
        <v>ドロップイベント1-1</v>
      </c>
      <c r="H389" s="18">
        <v>0</v>
      </c>
      <c r="I389">
        <v>20</v>
      </c>
      <c r="J389" s="5" t="s">
        <v>16</v>
      </c>
      <c r="K389" s="35" t="str">
        <f>VLOOKUP(I389,[2]stage_hints!$A:$C,3,FALSE)</f>
        <v>マルチプレイのメリット（その3）</v>
      </c>
      <c r="L389" s="36" t="str">
        <f>VLOOKUP(I389,[2]stage_hints!$A:$D,4,FALSE)</f>
        <v>マルチプレイへの参加はエナジー消費ゼロ_x000D_いつでも好きなだけ遊ぶことができます</v>
      </c>
      <c r="M389" s="21" t="s">
        <v>23</v>
      </c>
      <c r="N389">
        <v>20</v>
      </c>
    </row>
    <row r="390" spans="1:14" x14ac:dyDescent="0.15">
      <c r="A390" s="26" t="s">
        <v>32</v>
      </c>
      <c r="B390" s="4">
        <v>20001</v>
      </c>
      <c r="C390" s="3" t="str">
        <f ca="1">VLOOKUP($B390,OFFSET([1]quests!$A$1,0,0,COUNTA([1]quests!$A:$A),MATCH(C$1,[1]quests!$1:$1,0)-MATCH($B$1,[1]quests!$1:$1,0)+1),MATCH(C$1,[1]quests!$1:$1,0)-MATCH($B$1,[1]quests!$1:$1,0)+1,FALSE)</f>
        <v>紅き執行者</v>
      </c>
      <c r="D390" s="3" t="str">
        <f ca="1">VLOOKUP($B390,OFFSET([1]quests!$A$1,0,0,COUNTA([1]quests!$A:$A),MATCH(D$1,[1]quests!$1:$1,0)-MATCH($B$1,[1]quests!$1:$1,0)+1),MATCH(D$1,[1]quests!$1:$1,0)-MATCH($B$1,[1]quests!$1:$1,0)+1,FALSE)</f>
        <v>ドロップイベント1-1</v>
      </c>
      <c r="E390" s="5">
        <v>2</v>
      </c>
      <c r="F390" s="3" t="str">
        <f ca="1">VLOOKUP($B390&amp;"_"&amp;$E390,OFFSET([1]stages!$A$1,0,0,COUNTA([1]stages!$A:$A),MATCH(F$1,[1]stages!$2:$2,0)-MATCH("temp_stage",[1]stages!$2:$2,0)+1),MATCH(F$1,[1]stages!$2:$2,0)-MATCH("temp_stage",[1]stages!$2:$2,0)+1,FALSE)</f>
        <v>【中級】紅き執行者</v>
      </c>
      <c r="G390" s="3" t="str">
        <f ca="1">VLOOKUP($B390&amp;"_"&amp;$E390,OFFSET([1]stages!$A$1,0,0,COUNTA([1]stages!$A:$A),MATCH(G$1,[1]stages!$2:$2,0)-MATCH("temp_stage",[1]stages!$2:$2,0)+1),MATCH(G$1,[1]stages!$2:$2,0)-MATCH("temp_stage",[1]stages!$2:$2,0)+1,FALSE)</f>
        <v>ドロップイベント1-1</v>
      </c>
      <c r="H390" s="18">
        <v>0</v>
      </c>
      <c r="I390">
        <v>21</v>
      </c>
      <c r="J390" s="5" t="s">
        <v>16</v>
      </c>
      <c r="K390" s="35" t="str">
        <f>VLOOKUP(I390,[2]stage_hints!$A:$C,3,FALSE)</f>
        <v>スキルを有効に</v>
      </c>
      <c r="L390" s="36" t="str">
        <f>VLOOKUP(I390,[2]stage_hints!$A:$D,4,FALSE)</f>
        <v>ターン経過でユニットのスキルが使えます_x000D_強力スキルでバトルを有利に進めましょう</v>
      </c>
      <c r="M390" s="21" t="s">
        <v>23</v>
      </c>
      <c r="N390">
        <v>21</v>
      </c>
    </row>
    <row r="391" spans="1:14" x14ac:dyDescent="0.15">
      <c r="A391" s="26" t="s">
        <v>32</v>
      </c>
      <c r="B391" s="4">
        <v>20001</v>
      </c>
      <c r="C391" s="3" t="str">
        <f ca="1">VLOOKUP($B391,OFFSET([1]quests!$A$1,0,0,COUNTA([1]quests!$A:$A),MATCH(C$1,[1]quests!$1:$1,0)-MATCH($B$1,[1]quests!$1:$1,0)+1),MATCH(C$1,[1]quests!$1:$1,0)-MATCH($B$1,[1]quests!$1:$1,0)+1,FALSE)</f>
        <v>紅き執行者</v>
      </c>
      <c r="D391" s="3" t="str">
        <f ca="1">VLOOKUP($B391,OFFSET([1]quests!$A$1,0,0,COUNTA([1]quests!$A:$A),MATCH(D$1,[1]quests!$1:$1,0)-MATCH($B$1,[1]quests!$1:$1,0)+1),MATCH(D$1,[1]quests!$1:$1,0)-MATCH($B$1,[1]quests!$1:$1,0)+1,FALSE)</f>
        <v>ドロップイベント1-1</v>
      </c>
      <c r="E391" s="5">
        <v>2</v>
      </c>
      <c r="F391" s="3" t="str">
        <f ca="1">VLOOKUP($B391&amp;"_"&amp;$E391,OFFSET([1]stages!$A$1,0,0,COUNTA([1]stages!$A:$A),MATCH(F$1,[1]stages!$2:$2,0)-MATCH("temp_stage",[1]stages!$2:$2,0)+1),MATCH(F$1,[1]stages!$2:$2,0)-MATCH("temp_stage",[1]stages!$2:$2,0)+1,FALSE)</f>
        <v>【中級】紅き執行者</v>
      </c>
      <c r="G391" s="3" t="str">
        <f ca="1">VLOOKUP($B391&amp;"_"&amp;$E391,OFFSET([1]stages!$A$1,0,0,COUNTA([1]stages!$A:$A),MATCH(G$1,[1]stages!$2:$2,0)-MATCH("temp_stage",[1]stages!$2:$2,0)+1),MATCH(G$1,[1]stages!$2:$2,0)-MATCH("temp_stage",[1]stages!$2:$2,0)+1,FALSE)</f>
        <v>ドロップイベント1-1</v>
      </c>
      <c r="H391" s="18">
        <v>0</v>
      </c>
      <c r="I391">
        <v>22</v>
      </c>
      <c r="J391" s="5" t="s">
        <v>16</v>
      </c>
      <c r="K391" s="35" t="str">
        <f>VLOOKUP(I391,[2]stage_hints!$A:$C,3,FALSE)</f>
        <v>フィーバーで一発逆転（その1）</v>
      </c>
      <c r="L391" s="36" t="str">
        <f>VLOOKUP(I391,[2]stage_hints!$A:$D,4,FALSE)</f>
        <v>フィーバーは攻撃と回復を兼ね備えます_x000D_ピンチからの一発逆転を狙いましょう</v>
      </c>
      <c r="M391" s="21" t="s">
        <v>23</v>
      </c>
      <c r="N391">
        <v>22</v>
      </c>
    </row>
    <row r="392" spans="1:14" x14ac:dyDescent="0.15">
      <c r="A392" s="26" t="s">
        <v>32</v>
      </c>
      <c r="B392" s="4">
        <v>20001</v>
      </c>
      <c r="C392" s="3" t="str">
        <f ca="1">VLOOKUP($B392,OFFSET([1]quests!$A$1,0,0,COUNTA([1]quests!$A:$A),MATCH(C$1,[1]quests!$1:$1,0)-MATCH($B$1,[1]quests!$1:$1,0)+1),MATCH(C$1,[1]quests!$1:$1,0)-MATCH($B$1,[1]quests!$1:$1,0)+1,FALSE)</f>
        <v>紅き執行者</v>
      </c>
      <c r="D392" s="3" t="str">
        <f ca="1">VLOOKUP($B392,OFFSET([1]quests!$A$1,0,0,COUNTA([1]quests!$A:$A),MATCH(D$1,[1]quests!$1:$1,0)-MATCH($B$1,[1]quests!$1:$1,0)+1),MATCH(D$1,[1]quests!$1:$1,0)-MATCH($B$1,[1]quests!$1:$1,0)+1,FALSE)</f>
        <v>ドロップイベント1-1</v>
      </c>
      <c r="E392" s="5">
        <v>2</v>
      </c>
      <c r="F392" s="3" t="str">
        <f ca="1">VLOOKUP($B392&amp;"_"&amp;$E392,OFFSET([1]stages!$A$1,0,0,COUNTA([1]stages!$A:$A),MATCH(F$1,[1]stages!$2:$2,0)-MATCH("temp_stage",[1]stages!$2:$2,0)+1),MATCH(F$1,[1]stages!$2:$2,0)-MATCH("temp_stage",[1]stages!$2:$2,0)+1,FALSE)</f>
        <v>【中級】紅き執行者</v>
      </c>
      <c r="G392" s="3" t="str">
        <f ca="1">VLOOKUP($B392&amp;"_"&amp;$E392,OFFSET([1]stages!$A$1,0,0,COUNTA([1]stages!$A:$A),MATCH(G$1,[1]stages!$2:$2,0)-MATCH("temp_stage",[1]stages!$2:$2,0)+1),MATCH(G$1,[1]stages!$2:$2,0)-MATCH("temp_stage",[1]stages!$2:$2,0)+1,FALSE)</f>
        <v>ドロップイベント1-1</v>
      </c>
      <c r="H392" s="18">
        <v>0</v>
      </c>
      <c r="I392">
        <v>23</v>
      </c>
      <c r="J392" s="5" t="s">
        <v>16</v>
      </c>
      <c r="K392" s="35" t="str">
        <f>VLOOKUP(I392,[2]stage_hints!$A:$C,3,FALSE)</f>
        <v>フィーバーで一発逆転（その2）</v>
      </c>
      <c r="L392" s="36" t="str">
        <f>VLOOKUP(I392,[2]stage_hints!$A:$D,4,FALSE)</f>
        <v>フィーバー中は虹色のボムパネルを狙って_x000D_画面上のパネルを一気に破壊しましょう</v>
      </c>
      <c r="M392" s="21" t="s">
        <v>23</v>
      </c>
      <c r="N392">
        <v>23</v>
      </c>
    </row>
    <row r="393" spans="1:14" x14ac:dyDescent="0.15">
      <c r="A393" s="26" t="s">
        <v>32</v>
      </c>
      <c r="B393" s="4">
        <v>20001</v>
      </c>
      <c r="C393" s="3" t="str">
        <f ca="1">VLOOKUP($B393,OFFSET([1]quests!$A$1,0,0,COUNTA([1]quests!$A:$A),MATCH(C$1,[1]quests!$1:$1,0)-MATCH($B$1,[1]quests!$1:$1,0)+1),MATCH(C$1,[1]quests!$1:$1,0)-MATCH($B$1,[1]quests!$1:$1,0)+1,FALSE)</f>
        <v>紅き執行者</v>
      </c>
      <c r="D393" s="3" t="str">
        <f ca="1">VLOOKUP($B393,OFFSET([1]quests!$A$1,0,0,COUNTA([1]quests!$A:$A),MATCH(D$1,[1]quests!$1:$1,0)-MATCH($B$1,[1]quests!$1:$1,0)+1),MATCH(D$1,[1]quests!$1:$1,0)-MATCH($B$1,[1]quests!$1:$1,0)+1,FALSE)</f>
        <v>ドロップイベント1-1</v>
      </c>
      <c r="E393" s="5">
        <v>2</v>
      </c>
      <c r="F393" s="3" t="str">
        <f ca="1">VLOOKUP($B393&amp;"_"&amp;$E393,OFFSET([1]stages!$A$1,0,0,COUNTA([1]stages!$A:$A),MATCH(F$1,[1]stages!$2:$2,0)-MATCH("temp_stage",[1]stages!$2:$2,0)+1),MATCH(F$1,[1]stages!$2:$2,0)-MATCH("temp_stage",[1]stages!$2:$2,0)+1,FALSE)</f>
        <v>【中級】紅き執行者</v>
      </c>
      <c r="G393" s="3" t="str">
        <f ca="1">VLOOKUP($B393&amp;"_"&amp;$E393,OFFSET([1]stages!$A$1,0,0,COUNTA([1]stages!$A:$A),MATCH(G$1,[1]stages!$2:$2,0)-MATCH("temp_stage",[1]stages!$2:$2,0)+1),MATCH(G$1,[1]stages!$2:$2,0)-MATCH("temp_stage",[1]stages!$2:$2,0)+1,FALSE)</f>
        <v>ドロップイベント1-1</v>
      </c>
      <c r="H393" s="18">
        <v>0</v>
      </c>
      <c r="I393">
        <v>24</v>
      </c>
      <c r="J393" s="5" t="s">
        <v>16</v>
      </c>
      <c r="K393" s="35" t="str">
        <f>VLOOKUP(I393,[2]stage_hints!$A:$C,3,FALSE)</f>
        <v>りんごを使って限界突破</v>
      </c>
      <c r="L393" s="36" t="str">
        <f>VLOOKUP(I393,[2]stage_hints!$A:$D,4,FALSE)</f>
        <v>赤りんご(攻撃力) 青りんご(回復力)_x000D_緑りんご(体力)をユニット強化に使うと_x000D_ステータスが限界突破します（計99個迄）</v>
      </c>
      <c r="M393" s="21" t="s">
        <v>23</v>
      </c>
      <c r="N393">
        <v>24</v>
      </c>
    </row>
    <row r="394" spans="1:14" x14ac:dyDescent="0.15">
      <c r="A394" s="26" t="s">
        <v>32</v>
      </c>
      <c r="B394" s="4">
        <v>20001</v>
      </c>
      <c r="C394" s="3" t="str">
        <f ca="1">VLOOKUP($B394,OFFSET([1]quests!$A$1,0,0,COUNTA([1]quests!$A:$A),MATCH(C$1,[1]quests!$1:$1,0)-MATCH($B$1,[1]quests!$1:$1,0)+1),MATCH(C$1,[1]quests!$1:$1,0)-MATCH($B$1,[1]quests!$1:$1,0)+1,FALSE)</f>
        <v>紅き執行者</v>
      </c>
      <c r="D394" s="3" t="str">
        <f ca="1">VLOOKUP($B394,OFFSET([1]quests!$A$1,0,0,COUNTA([1]quests!$A:$A),MATCH(D$1,[1]quests!$1:$1,0)-MATCH($B$1,[1]quests!$1:$1,0)+1),MATCH(D$1,[1]quests!$1:$1,0)-MATCH($B$1,[1]quests!$1:$1,0)+1,FALSE)</f>
        <v>ドロップイベント1-1</v>
      </c>
      <c r="E394" s="5">
        <v>2</v>
      </c>
      <c r="F394" s="3" t="str">
        <f ca="1">VLOOKUP($B394&amp;"_"&amp;$E394,OFFSET([1]stages!$A$1,0,0,COUNTA([1]stages!$A:$A),MATCH(F$1,[1]stages!$2:$2,0)-MATCH("temp_stage",[1]stages!$2:$2,0)+1),MATCH(F$1,[1]stages!$2:$2,0)-MATCH("temp_stage",[1]stages!$2:$2,0)+1,FALSE)</f>
        <v>【中級】紅き執行者</v>
      </c>
      <c r="G394" s="3" t="str">
        <f ca="1">VLOOKUP($B394&amp;"_"&amp;$E394,OFFSET([1]stages!$A$1,0,0,COUNTA([1]stages!$A:$A),MATCH(G$1,[1]stages!$2:$2,0)-MATCH("temp_stage",[1]stages!$2:$2,0)+1),MATCH(G$1,[1]stages!$2:$2,0)-MATCH("temp_stage",[1]stages!$2:$2,0)+1,FALSE)</f>
        <v>ドロップイベント1-1</v>
      </c>
      <c r="H394" s="18">
        <v>0</v>
      </c>
      <c r="I394">
        <v>25</v>
      </c>
      <c r="J394" s="5" t="s">
        <v>16</v>
      </c>
      <c r="K394" s="35" t="str">
        <f>VLOOKUP(I394,[2]stage_hints!$A:$C,3,FALSE)</f>
        <v>スキルレベルアップ</v>
      </c>
      <c r="L394" s="36" t="str">
        <f>VLOOKUP(I394,[2]stage_hints!$A:$D,4,FALSE)</f>
        <v>「クリスタルのりんご」を強化に使うと_x000D_スキルレベルを上げることができます</v>
      </c>
      <c r="M394" s="21" t="s">
        <v>23</v>
      </c>
      <c r="N394">
        <v>25</v>
      </c>
    </row>
    <row r="395" spans="1:14" x14ac:dyDescent="0.15">
      <c r="A395" s="26" t="s">
        <v>32</v>
      </c>
      <c r="B395" s="4">
        <v>20001</v>
      </c>
      <c r="C395" s="3" t="str">
        <f ca="1">VLOOKUP($B395,OFFSET([1]quests!$A$1,0,0,COUNTA([1]quests!$A:$A),MATCH(C$1,[1]quests!$1:$1,0)-MATCH($B$1,[1]quests!$1:$1,0)+1),MATCH(C$1,[1]quests!$1:$1,0)-MATCH($B$1,[1]quests!$1:$1,0)+1,FALSE)</f>
        <v>紅き執行者</v>
      </c>
      <c r="D395" s="3" t="str">
        <f ca="1">VLOOKUP($B395,OFFSET([1]quests!$A$1,0,0,COUNTA([1]quests!$A:$A),MATCH(D$1,[1]quests!$1:$1,0)-MATCH($B$1,[1]quests!$1:$1,0)+1),MATCH(D$1,[1]quests!$1:$1,0)-MATCH($B$1,[1]quests!$1:$1,0)+1,FALSE)</f>
        <v>ドロップイベント1-1</v>
      </c>
      <c r="E395" s="5">
        <v>2</v>
      </c>
      <c r="F395" s="3" t="str">
        <f ca="1">VLOOKUP($B395&amp;"_"&amp;$E395,OFFSET([1]stages!$A$1,0,0,COUNTA([1]stages!$A:$A),MATCH(F$1,[1]stages!$2:$2,0)-MATCH("temp_stage",[1]stages!$2:$2,0)+1),MATCH(F$1,[1]stages!$2:$2,0)-MATCH("temp_stage",[1]stages!$2:$2,0)+1,FALSE)</f>
        <v>【中級】紅き執行者</v>
      </c>
      <c r="G395" s="3" t="str">
        <f ca="1">VLOOKUP($B395&amp;"_"&amp;$E395,OFFSET([1]stages!$A$1,0,0,COUNTA([1]stages!$A:$A),MATCH(G$1,[1]stages!$2:$2,0)-MATCH("temp_stage",[1]stages!$2:$2,0)+1),MATCH(G$1,[1]stages!$2:$2,0)-MATCH("temp_stage",[1]stages!$2:$2,0)+1,FALSE)</f>
        <v>ドロップイベント1-1</v>
      </c>
      <c r="H395" s="18">
        <v>0</v>
      </c>
      <c r="I395">
        <v>26</v>
      </c>
      <c r="J395" s="5" t="s">
        <v>16</v>
      </c>
      <c r="K395" s="35" t="str">
        <f>VLOOKUP(I395,[2]stage_hints!$A:$C,3,FALSE)</f>
        <v>スキルレベルの効果</v>
      </c>
      <c r="L395" s="36" t="str">
        <f>VLOOKUP(I395,[2]stage_hints!$A:$D,4,FALSE)</f>
        <v>スキルレベルが上がると_x000D_短いターンでスキルを使うことができます</v>
      </c>
      <c r="M395" s="21" t="s">
        <v>23</v>
      </c>
      <c r="N395">
        <v>26</v>
      </c>
    </row>
    <row r="396" spans="1:14" x14ac:dyDescent="0.15">
      <c r="A396" s="26" t="s">
        <v>32</v>
      </c>
      <c r="B396" s="4">
        <v>20001</v>
      </c>
      <c r="C396" s="3" t="str">
        <f ca="1">VLOOKUP($B396,OFFSET([1]quests!$A$1,0,0,COUNTA([1]quests!$A:$A),MATCH(C$1,[1]quests!$1:$1,0)-MATCH($B$1,[1]quests!$1:$1,0)+1),MATCH(C$1,[1]quests!$1:$1,0)-MATCH($B$1,[1]quests!$1:$1,0)+1,FALSE)</f>
        <v>紅き執行者</v>
      </c>
      <c r="D396" s="3" t="str">
        <f ca="1">VLOOKUP($B396,OFFSET([1]quests!$A$1,0,0,COUNTA([1]quests!$A:$A),MATCH(D$1,[1]quests!$1:$1,0)-MATCH($B$1,[1]quests!$1:$1,0)+1),MATCH(D$1,[1]quests!$1:$1,0)-MATCH($B$1,[1]quests!$1:$1,0)+1,FALSE)</f>
        <v>ドロップイベント1-1</v>
      </c>
      <c r="E396" s="5">
        <v>2</v>
      </c>
      <c r="F396" s="3" t="str">
        <f ca="1">VLOOKUP($B396&amp;"_"&amp;$E396,OFFSET([1]stages!$A$1,0,0,COUNTA([1]stages!$A:$A),MATCH(F$1,[1]stages!$2:$2,0)-MATCH("temp_stage",[1]stages!$2:$2,0)+1),MATCH(F$1,[1]stages!$2:$2,0)-MATCH("temp_stage",[1]stages!$2:$2,0)+1,FALSE)</f>
        <v>【中級】紅き執行者</v>
      </c>
      <c r="G396" s="3" t="str">
        <f ca="1">VLOOKUP($B396&amp;"_"&amp;$E396,OFFSET([1]stages!$A$1,0,0,COUNTA([1]stages!$A:$A),MATCH(G$1,[1]stages!$2:$2,0)-MATCH("temp_stage",[1]stages!$2:$2,0)+1),MATCH(G$1,[1]stages!$2:$2,0)-MATCH("temp_stage",[1]stages!$2:$2,0)+1,FALSE)</f>
        <v>ドロップイベント1-1</v>
      </c>
      <c r="H396" s="18">
        <v>0</v>
      </c>
      <c r="I396">
        <v>27</v>
      </c>
      <c r="J396" s="5" t="s">
        <v>16</v>
      </c>
      <c r="K396" s="35" t="str">
        <f>VLOOKUP(I396,[2]stage_hints!$A:$C,3,FALSE)</f>
        <v>ホーム画面からデッキを編成</v>
      </c>
      <c r="L396" s="36" t="str">
        <f>VLOOKUP(I396,[2]stage_hints!$A:$D,4,FALSE)</f>
        <v>ホーム画面でユニットを長押しすると_x000D_すぐにパーティ編成に移動できます</v>
      </c>
      <c r="M396" s="21" t="s">
        <v>23</v>
      </c>
      <c r="N396">
        <v>27</v>
      </c>
    </row>
    <row r="397" spans="1:14" x14ac:dyDescent="0.15">
      <c r="A397" s="26" t="s">
        <v>32</v>
      </c>
      <c r="B397" s="4">
        <v>20001</v>
      </c>
      <c r="C397" s="3" t="str">
        <f ca="1">VLOOKUP($B397,OFFSET([1]quests!$A$1,0,0,COUNTA([1]quests!$A:$A),MATCH(C$1,[1]quests!$1:$1,0)-MATCH($B$1,[1]quests!$1:$1,0)+1),MATCH(C$1,[1]quests!$1:$1,0)-MATCH($B$1,[1]quests!$1:$1,0)+1,FALSE)</f>
        <v>紅き執行者</v>
      </c>
      <c r="D397" s="3" t="str">
        <f ca="1">VLOOKUP($B397,OFFSET([1]quests!$A$1,0,0,COUNTA([1]quests!$A:$A),MATCH(D$1,[1]quests!$1:$1,0)-MATCH($B$1,[1]quests!$1:$1,0)+1),MATCH(D$1,[1]quests!$1:$1,0)-MATCH($B$1,[1]quests!$1:$1,0)+1,FALSE)</f>
        <v>ドロップイベント1-1</v>
      </c>
      <c r="E397" s="5">
        <v>2</v>
      </c>
      <c r="F397" s="3" t="str">
        <f ca="1">VLOOKUP($B397&amp;"_"&amp;$E397,OFFSET([1]stages!$A$1,0,0,COUNTA([1]stages!$A:$A),MATCH(F$1,[1]stages!$2:$2,0)-MATCH("temp_stage",[1]stages!$2:$2,0)+1),MATCH(F$1,[1]stages!$2:$2,0)-MATCH("temp_stage",[1]stages!$2:$2,0)+1,FALSE)</f>
        <v>【中級】紅き執行者</v>
      </c>
      <c r="G397" s="3" t="str">
        <f ca="1">VLOOKUP($B397&amp;"_"&amp;$E397,OFFSET([1]stages!$A$1,0,0,COUNTA([1]stages!$A:$A),MATCH(G$1,[1]stages!$2:$2,0)-MATCH("temp_stage",[1]stages!$2:$2,0)+1),MATCH(G$1,[1]stages!$2:$2,0)-MATCH("temp_stage",[1]stages!$2:$2,0)+1,FALSE)</f>
        <v>ドロップイベント1-1</v>
      </c>
      <c r="H397" s="18">
        <v>0</v>
      </c>
      <c r="I397">
        <v>28</v>
      </c>
      <c r="J397" s="5" t="s">
        <v>16</v>
      </c>
      <c r="K397" s="35" t="str">
        <f>VLOOKUP(I397,[2]stage_hints!$A:$C,3,FALSE)</f>
        <v>ステータス情報は長押しで</v>
      </c>
      <c r="L397" s="36" t="str">
        <f>VLOOKUP(I397,[2]stage_hints!$A:$D,4,FALSE)</f>
        <v>ユニットのアイコンを長押しすると_x000D_ステータス情報を確認することができます</v>
      </c>
      <c r="M397" s="21" t="s">
        <v>23</v>
      </c>
      <c r="N397">
        <v>28</v>
      </c>
    </row>
    <row r="398" spans="1:14" x14ac:dyDescent="0.15">
      <c r="A398" s="26" t="s">
        <v>32</v>
      </c>
      <c r="B398" s="4">
        <v>20001</v>
      </c>
      <c r="C398" s="3" t="str">
        <f ca="1">VLOOKUP($B398,OFFSET([1]quests!$A$1,0,0,COUNTA([1]quests!$A:$A),MATCH(C$1,[1]quests!$1:$1,0)-MATCH($B$1,[1]quests!$1:$1,0)+1),MATCH(C$1,[1]quests!$1:$1,0)-MATCH($B$1,[1]quests!$1:$1,0)+1,FALSE)</f>
        <v>紅き執行者</v>
      </c>
      <c r="D398" s="3" t="str">
        <f ca="1">VLOOKUP($B398,OFFSET([1]quests!$A$1,0,0,COUNTA([1]quests!$A:$A),MATCH(D$1,[1]quests!$1:$1,0)-MATCH($B$1,[1]quests!$1:$1,0)+1),MATCH(D$1,[1]quests!$1:$1,0)-MATCH($B$1,[1]quests!$1:$1,0)+1,FALSE)</f>
        <v>ドロップイベント1-1</v>
      </c>
      <c r="E398" s="5">
        <v>2</v>
      </c>
      <c r="F398" s="3" t="str">
        <f ca="1">VLOOKUP($B398&amp;"_"&amp;$E398,OFFSET([1]stages!$A$1,0,0,COUNTA([1]stages!$A:$A),MATCH(F$1,[1]stages!$2:$2,0)-MATCH("temp_stage",[1]stages!$2:$2,0)+1),MATCH(F$1,[1]stages!$2:$2,0)-MATCH("temp_stage",[1]stages!$2:$2,0)+1,FALSE)</f>
        <v>【中級】紅き執行者</v>
      </c>
      <c r="G398" s="3" t="str">
        <f ca="1">VLOOKUP($B398&amp;"_"&amp;$E398,OFFSET([1]stages!$A$1,0,0,COUNTA([1]stages!$A:$A),MATCH(G$1,[1]stages!$2:$2,0)-MATCH("temp_stage",[1]stages!$2:$2,0)+1),MATCH(G$1,[1]stages!$2:$2,0)-MATCH("temp_stage",[1]stages!$2:$2,0)+1,FALSE)</f>
        <v>ドロップイベント1-1</v>
      </c>
      <c r="H398" s="18">
        <v>0</v>
      </c>
      <c r="I398">
        <v>29</v>
      </c>
      <c r="J398" s="5" t="s">
        <v>16</v>
      </c>
      <c r="K398" s="35" t="str">
        <f>VLOOKUP(I398,[2]stage_hints!$A:$C,3,FALSE)</f>
        <v>「バグ」のメリット</v>
      </c>
      <c r="L398" s="36" t="str">
        <f>VLOOKUP(I398,[2]stage_hints!$A:$D,4,FALSE)</f>
        <v>ユニットの「バグ」を増やすと_x000D_報酬をもらえる確率がアップします</v>
      </c>
      <c r="M398" s="21" t="s">
        <v>23</v>
      </c>
      <c r="N398">
        <v>29</v>
      </c>
    </row>
    <row r="399" spans="1:14" x14ac:dyDescent="0.15">
      <c r="A399" s="26" t="s">
        <v>32</v>
      </c>
      <c r="B399" s="4">
        <v>20001</v>
      </c>
      <c r="C399" s="3" t="str">
        <f ca="1">VLOOKUP($B399,OFFSET([1]quests!$A$1,0,0,COUNTA([1]quests!$A:$A),MATCH(C$1,[1]quests!$1:$1,0)-MATCH($B$1,[1]quests!$1:$1,0)+1),MATCH(C$1,[1]quests!$1:$1,0)-MATCH($B$1,[1]quests!$1:$1,0)+1,FALSE)</f>
        <v>紅き執行者</v>
      </c>
      <c r="D399" s="3" t="str">
        <f ca="1">VLOOKUP($B399,OFFSET([1]quests!$A$1,0,0,COUNTA([1]quests!$A:$A),MATCH(D$1,[1]quests!$1:$1,0)-MATCH($B$1,[1]quests!$1:$1,0)+1),MATCH(D$1,[1]quests!$1:$1,0)-MATCH($B$1,[1]quests!$1:$1,0)+1,FALSE)</f>
        <v>ドロップイベント1-1</v>
      </c>
      <c r="E399" s="5">
        <v>2</v>
      </c>
      <c r="F399" s="3" t="str">
        <f ca="1">VLOOKUP($B399&amp;"_"&amp;$E399,OFFSET([1]stages!$A$1,0,0,COUNTA([1]stages!$A:$A),MATCH(F$1,[1]stages!$2:$2,0)-MATCH("temp_stage",[1]stages!$2:$2,0)+1),MATCH(F$1,[1]stages!$2:$2,0)-MATCH("temp_stage",[1]stages!$2:$2,0)+1,FALSE)</f>
        <v>【中級】紅き執行者</v>
      </c>
      <c r="G399" s="3" t="str">
        <f ca="1">VLOOKUP($B399&amp;"_"&amp;$E399,OFFSET([1]stages!$A$1,0,0,COUNTA([1]stages!$A:$A),MATCH(G$1,[1]stages!$2:$2,0)-MATCH("temp_stage",[1]stages!$2:$2,0)+1),MATCH(G$1,[1]stages!$2:$2,0)-MATCH("temp_stage",[1]stages!$2:$2,0)+1,FALSE)</f>
        <v>ドロップイベント1-1</v>
      </c>
      <c r="H399" s="18">
        <v>0</v>
      </c>
      <c r="I399">
        <v>30</v>
      </c>
      <c r="J399" s="5" t="s">
        <v>16</v>
      </c>
      <c r="K399" s="35" t="str">
        <f>VLOOKUP(I399,[2]stage_hints!$A:$C,3,FALSE)</f>
        <v>「バグ」の増やし方</v>
      </c>
      <c r="L399" s="36" t="str">
        <f>VLOOKUP(I399,[2]stage_hints!$A:$D,4,FALSE)</f>
        <v>同じユニット同士を強化で合成すると_x000D_「バグ」を増やすことができます</v>
      </c>
      <c r="M399" s="21" t="s">
        <v>23</v>
      </c>
      <c r="N399">
        <v>30</v>
      </c>
    </row>
    <row r="400" spans="1:14" x14ac:dyDescent="0.15">
      <c r="A400" s="26" t="s">
        <v>32</v>
      </c>
      <c r="B400" s="4">
        <v>20001</v>
      </c>
      <c r="C400" s="3" t="str">
        <f ca="1">VLOOKUP($B400,OFFSET([1]quests!$A$1,0,0,COUNTA([1]quests!$A:$A),MATCH(C$1,[1]quests!$1:$1,0)-MATCH($B$1,[1]quests!$1:$1,0)+1),MATCH(C$1,[1]quests!$1:$1,0)-MATCH($B$1,[1]quests!$1:$1,0)+1,FALSE)</f>
        <v>紅き執行者</v>
      </c>
      <c r="D400" s="3" t="str">
        <f ca="1">VLOOKUP($B400,OFFSET([1]quests!$A$1,0,0,COUNTA([1]quests!$A:$A),MATCH(D$1,[1]quests!$1:$1,0)-MATCH($B$1,[1]quests!$1:$1,0)+1),MATCH(D$1,[1]quests!$1:$1,0)-MATCH($B$1,[1]quests!$1:$1,0)+1,FALSE)</f>
        <v>ドロップイベント1-1</v>
      </c>
      <c r="E400" s="5">
        <v>2</v>
      </c>
      <c r="F400" s="3" t="str">
        <f ca="1">VLOOKUP($B400&amp;"_"&amp;$E400,OFFSET([1]stages!$A$1,0,0,COUNTA([1]stages!$A:$A),MATCH(F$1,[1]stages!$2:$2,0)-MATCH("temp_stage",[1]stages!$2:$2,0)+1),MATCH(F$1,[1]stages!$2:$2,0)-MATCH("temp_stage",[1]stages!$2:$2,0)+1,FALSE)</f>
        <v>【中級】紅き執行者</v>
      </c>
      <c r="G400" s="3" t="str">
        <f ca="1">VLOOKUP($B400&amp;"_"&amp;$E400,OFFSET([1]stages!$A$1,0,0,COUNTA([1]stages!$A:$A),MATCH(G$1,[1]stages!$2:$2,0)-MATCH("temp_stage",[1]stages!$2:$2,0)+1),MATCH(G$1,[1]stages!$2:$2,0)-MATCH("temp_stage",[1]stages!$2:$2,0)+1,FALSE)</f>
        <v>ドロップイベント1-1</v>
      </c>
      <c r="H400" s="18">
        <v>0</v>
      </c>
      <c r="I400">
        <v>31</v>
      </c>
      <c r="J400" s="5" t="s">
        <v>16</v>
      </c>
      <c r="K400" s="35" t="str">
        <f>VLOOKUP(I400,[2]stage_hints!$A:$C,3,FALSE)</f>
        <v>イベントはお知らせでチェック</v>
      </c>
      <c r="L400" s="36" t="str">
        <f>VLOOKUP(I400,[2]stage_hints!$A:$D,4,FALSE)</f>
        <v>イベント限定ユニットを取り忘れないように_x000D_お知らせをこまめにチェックしましょう</v>
      </c>
      <c r="M400" s="21" t="s">
        <v>23</v>
      </c>
      <c r="N400">
        <v>31</v>
      </c>
    </row>
    <row r="401" spans="1:14" x14ac:dyDescent="0.15">
      <c r="A401" s="26" t="s">
        <v>32</v>
      </c>
      <c r="B401" s="4">
        <v>20001</v>
      </c>
      <c r="C401" s="3" t="str">
        <f ca="1">VLOOKUP($B401,OFFSET([1]quests!$A$1,0,0,COUNTA([1]quests!$A:$A),MATCH(C$1,[1]quests!$1:$1,0)-MATCH($B$1,[1]quests!$1:$1,0)+1),MATCH(C$1,[1]quests!$1:$1,0)-MATCH($B$1,[1]quests!$1:$1,0)+1,FALSE)</f>
        <v>紅き執行者</v>
      </c>
      <c r="D401" s="3" t="str">
        <f ca="1">VLOOKUP($B401,OFFSET([1]quests!$A$1,0,0,COUNTA([1]quests!$A:$A),MATCH(D$1,[1]quests!$1:$1,0)-MATCH($B$1,[1]quests!$1:$1,0)+1),MATCH(D$1,[1]quests!$1:$1,0)-MATCH($B$1,[1]quests!$1:$1,0)+1,FALSE)</f>
        <v>ドロップイベント1-1</v>
      </c>
      <c r="E401" s="5">
        <v>2</v>
      </c>
      <c r="F401" s="3" t="str">
        <f ca="1">VLOOKUP($B401&amp;"_"&amp;$E401,OFFSET([1]stages!$A$1,0,0,COUNTA([1]stages!$A:$A),MATCH(F$1,[1]stages!$2:$2,0)-MATCH("temp_stage",[1]stages!$2:$2,0)+1),MATCH(F$1,[1]stages!$2:$2,0)-MATCH("temp_stage",[1]stages!$2:$2,0)+1,FALSE)</f>
        <v>【中級】紅き執行者</v>
      </c>
      <c r="G401" s="3" t="str">
        <f ca="1">VLOOKUP($B401&amp;"_"&amp;$E401,OFFSET([1]stages!$A$1,0,0,COUNTA([1]stages!$A:$A),MATCH(G$1,[1]stages!$2:$2,0)-MATCH("temp_stage",[1]stages!$2:$2,0)+1),MATCH(G$1,[1]stages!$2:$2,0)-MATCH("temp_stage",[1]stages!$2:$2,0)+1,FALSE)</f>
        <v>ドロップイベント1-1</v>
      </c>
      <c r="H401" s="18">
        <v>0</v>
      </c>
      <c r="I401">
        <v>32</v>
      </c>
      <c r="J401" s="5" t="s">
        <v>16</v>
      </c>
      <c r="K401" s="35" t="str">
        <f>VLOOKUP(I401,[2]stage_hints!$A:$C,3,FALSE)</f>
        <v>敵の連続攻撃には</v>
      </c>
      <c r="L401" s="36" t="str">
        <f>VLOOKUP(I401,[2]stage_hints!$A:$D,4,FALSE)</f>
        <v>カウンタースキルを持つユニットがいれば_x000D_ダメージ回数分の反撃ができます</v>
      </c>
      <c r="M401" s="21" t="s">
        <v>23</v>
      </c>
      <c r="N401">
        <v>32</v>
      </c>
    </row>
    <row r="402" spans="1:14" x14ac:dyDescent="0.15">
      <c r="A402" s="26" t="s">
        <v>32</v>
      </c>
      <c r="B402" s="4">
        <v>20001</v>
      </c>
      <c r="C402" s="3" t="str">
        <f ca="1">VLOOKUP($B402,OFFSET([1]quests!$A$1,0,0,COUNTA([1]quests!$A:$A),MATCH(C$1,[1]quests!$1:$1,0)-MATCH($B$1,[1]quests!$1:$1,0)+1),MATCH(C$1,[1]quests!$1:$1,0)-MATCH($B$1,[1]quests!$1:$1,0)+1,FALSE)</f>
        <v>紅き執行者</v>
      </c>
      <c r="D402" s="3" t="str">
        <f ca="1">VLOOKUP($B402,OFFSET([1]quests!$A$1,0,0,COUNTA([1]quests!$A:$A),MATCH(D$1,[1]quests!$1:$1,0)-MATCH($B$1,[1]quests!$1:$1,0)+1),MATCH(D$1,[1]quests!$1:$1,0)-MATCH($B$1,[1]quests!$1:$1,0)+1,FALSE)</f>
        <v>ドロップイベント1-1</v>
      </c>
      <c r="E402" s="5">
        <v>2</v>
      </c>
      <c r="F402" s="3" t="str">
        <f ca="1">VLOOKUP($B402&amp;"_"&amp;$E402,OFFSET([1]stages!$A$1,0,0,COUNTA([1]stages!$A:$A),MATCH(F$1,[1]stages!$2:$2,0)-MATCH("temp_stage",[1]stages!$2:$2,0)+1),MATCH(F$1,[1]stages!$2:$2,0)-MATCH("temp_stage",[1]stages!$2:$2,0)+1,FALSE)</f>
        <v>【中級】紅き執行者</v>
      </c>
      <c r="G402" s="3" t="str">
        <f ca="1">VLOOKUP($B402&amp;"_"&amp;$E402,OFFSET([1]stages!$A$1,0,0,COUNTA([1]stages!$A:$A),MATCH(G$1,[1]stages!$2:$2,0)-MATCH("temp_stage",[1]stages!$2:$2,0)+1),MATCH(G$1,[1]stages!$2:$2,0)-MATCH("temp_stage",[1]stages!$2:$2,0)+1,FALSE)</f>
        <v>ドロップイベント1-1</v>
      </c>
      <c r="H402" s="18">
        <v>0</v>
      </c>
      <c r="I402">
        <v>33</v>
      </c>
      <c r="J402" s="5" t="s">
        <v>16</v>
      </c>
      <c r="K402" s="35" t="str">
        <f>VLOOKUP(I402,[2]stage_hints!$A:$C,3,FALSE)</f>
        <v>敵のカウンター攻撃には</v>
      </c>
      <c r="L402" s="36" t="str">
        <f>VLOOKUP(I402,[2]stage_hints!$A:$D,4,FALSE)</f>
        <v>カウンターブレイクスキルを持っていれば_x000D_敵のカウンターを解除して攻撃ができます</v>
      </c>
      <c r="M402" s="21" t="s">
        <v>23</v>
      </c>
      <c r="N402">
        <v>33</v>
      </c>
    </row>
    <row r="403" spans="1:14" x14ac:dyDescent="0.15">
      <c r="A403" s="26" t="s">
        <v>32</v>
      </c>
      <c r="B403" s="4">
        <v>20001</v>
      </c>
      <c r="C403" s="3" t="str">
        <f ca="1">VLOOKUP($B403,OFFSET([1]quests!$A$1,0,0,COUNTA([1]quests!$A:$A),MATCH(C$1,[1]quests!$1:$1,0)-MATCH($B$1,[1]quests!$1:$1,0)+1),MATCH(C$1,[1]quests!$1:$1,0)-MATCH($B$1,[1]quests!$1:$1,0)+1,FALSE)</f>
        <v>紅き執行者</v>
      </c>
      <c r="D403" s="3" t="str">
        <f ca="1">VLOOKUP($B403,OFFSET([1]quests!$A$1,0,0,COUNTA([1]quests!$A:$A),MATCH(D$1,[1]quests!$1:$1,0)-MATCH($B$1,[1]quests!$1:$1,0)+1),MATCH(D$1,[1]quests!$1:$1,0)-MATCH($B$1,[1]quests!$1:$1,0)+1,FALSE)</f>
        <v>ドロップイベント1-1</v>
      </c>
      <c r="E403" s="5">
        <v>2</v>
      </c>
      <c r="F403" s="3" t="str">
        <f ca="1">VLOOKUP($B403&amp;"_"&amp;$E403,OFFSET([1]stages!$A$1,0,0,COUNTA([1]stages!$A:$A),MATCH(F$1,[1]stages!$2:$2,0)-MATCH("temp_stage",[1]stages!$2:$2,0)+1),MATCH(F$1,[1]stages!$2:$2,0)-MATCH("temp_stage",[1]stages!$2:$2,0)+1,FALSE)</f>
        <v>【中級】紅き執行者</v>
      </c>
      <c r="G403" s="3" t="str">
        <f ca="1">VLOOKUP($B403&amp;"_"&amp;$E403,OFFSET([1]stages!$A$1,0,0,COUNTA([1]stages!$A:$A),MATCH(G$1,[1]stages!$2:$2,0)-MATCH("temp_stage",[1]stages!$2:$2,0)+1),MATCH(G$1,[1]stages!$2:$2,0)-MATCH("temp_stage",[1]stages!$2:$2,0)+1,FALSE)</f>
        <v>ドロップイベント1-1</v>
      </c>
      <c r="H403" s="18">
        <v>0</v>
      </c>
      <c r="I403">
        <v>34</v>
      </c>
      <c r="J403" s="5" t="s">
        <v>16</v>
      </c>
      <c r="K403" s="35" t="str">
        <f>VLOOKUP(I403,[2]stage_hints!$A:$C,3,FALSE)</f>
        <v>ステータスをスキルで下げられたら</v>
      </c>
      <c r="L403" s="36" t="str">
        <f>VLOOKUP(I403,[2]stage_hints!$A:$D,4,FALSE)</f>
        <v>ステータスダウンのスキルを受けたら_x000D_ステータスアップスキルで上書きしましょう</v>
      </c>
      <c r="M403" s="21" t="s">
        <v>23</v>
      </c>
      <c r="N403">
        <v>34</v>
      </c>
    </row>
    <row r="404" spans="1:14" x14ac:dyDescent="0.15">
      <c r="A404" s="26" t="s">
        <v>32</v>
      </c>
      <c r="B404" s="4">
        <v>20001</v>
      </c>
      <c r="C404" s="3" t="str">
        <f ca="1">VLOOKUP($B404,OFFSET([1]quests!$A$1,0,0,COUNTA([1]quests!$A:$A),MATCH(C$1,[1]quests!$1:$1,0)-MATCH($B$1,[1]quests!$1:$1,0)+1),MATCH(C$1,[1]quests!$1:$1,0)-MATCH($B$1,[1]quests!$1:$1,0)+1,FALSE)</f>
        <v>紅き執行者</v>
      </c>
      <c r="D404" s="3" t="str">
        <f ca="1">VLOOKUP($B404,OFFSET([1]quests!$A$1,0,0,COUNTA([1]quests!$A:$A),MATCH(D$1,[1]quests!$1:$1,0)-MATCH($B$1,[1]quests!$1:$1,0)+1),MATCH(D$1,[1]quests!$1:$1,0)-MATCH($B$1,[1]quests!$1:$1,0)+1,FALSE)</f>
        <v>ドロップイベント1-1</v>
      </c>
      <c r="E404" s="5">
        <v>2</v>
      </c>
      <c r="F404" s="3" t="str">
        <f ca="1">VLOOKUP($B404&amp;"_"&amp;$E404,OFFSET([1]stages!$A$1,0,0,COUNTA([1]stages!$A:$A),MATCH(F$1,[1]stages!$2:$2,0)-MATCH("temp_stage",[1]stages!$2:$2,0)+1),MATCH(F$1,[1]stages!$2:$2,0)-MATCH("temp_stage",[1]stages!$2:$2,0)+1,FALSE)</f>
        <v>【中級】紅き執行者</v>
      </c>
      <c r="G404" s="3" t="str">
        <f ca="1">VLOOKUP($B404&amp;"_"&amp;$E404,OFFSET([1]stages!$A$1,0,0,COUNTA([1]stages!$A:$A),MATCH(G$1,[1]stages!$2:$2,0)-MATCH("temp_stage",[1]stages!$2:$2,0)+1),MATCH(G$1,[1]stages!$2:$2,0)-MATCH("temp_stage",[1]stages!$2:$2,0)+1,FALSE)</f>
        <v>ドロップイベント1-1</v>
      </c>
      <c r="H404" s="18">
        <v>0</v>
      </c>
      <c r="I404">
        <v>35</v>
      </c>
      <c r="J404" s="5" t="s">
        <v>16</v>
      </c>
      <c r="K404" s="35" t="str">
        <f>VLOOKUP(I404,[2]stage_hints!$A:$C,3,FALSE)</f>
        <v>敵のステータスがスキルで上がったら</v>
      </c>
      <c r="L404" s="36" t="str">
        <f>VLOOKUP(I404,[2]stage_hints!$A:$D,4,FALSE)</f>
        <v>敵のステータスがスキルでアップしたときは_x000D_ステータスダウンスキルで上書きしましょう</v>
      </c>
      <c r="M404" s="21" t="s">
        <v>23</v>
      </c>
      <c r="N404">
        <v>35</v>
      </c>
    </row>
    <row r="405" spans="1:14" x14ac:dyDescent="0.15">
      <c r="A405" s="26" t="s">
        <v>32</v>
      </c>
      <c r="B405" s="4">
        <v>20002</v>
      </c>
      <c r="C405" s="3" t="str">
        <f ca="1">VLOOKUP($B405,OFFSET([1]quests!$A$1,0,0,COUNTA([1]quests!$A:$A),MATCH(C$1,[1]quests!$1:$1,0)-MATCH($B$1,[1]quests!$1:$1,0)+1),MATCH(C$1,[1]quests!$1:$1,0)-MATCH($B$1,[1]quests!$1:$1,0)+1,FALSE)</f>
        <v>孤高の一角獣</v>
      </c>
      <c r="D405" s="3" t="str">
        <f ca="1">VLOOKUP($B405,OFFSET([1]quests!$A$1,0,0,COUNTA([1]quests!$A:$A),MATCH(D$1,[1]quests!$1:$1,0)-MATCH($B$1,[1]quests!$1:$1,0)+1),MATCH(D$1,[1]quests!$1:$1,0)-MATCH($B$1,[1]quests!$1:$1,0)+1,FALSE)</f>
        <v>ドロップイベント1-2</v>
      </c>
      <c r="E405" s="5">
        <v>2</v>
      </c>
      <c r="F405" s="3" t="str">
        <f ca="1">VLOOKUP($B405&amp;"_"&amp;$E405,OFFSET([1]stages!$A$1,0,0,COUNTA([1]stages!$A:$A),MATCH(F$1,[1]stages!$2:$2,0)-MATCH("temp_stage",[1]stages!$2:$2,0)+1),MATCH(F$1,[1]stages!$2:$2,0)-MATCH("temp_stage",[1]stages!$2:$2,0)+1,FALSE)</f>
        <v>【中級】孤高の一角獣</v>
      </c>
      <c r="G405" s="3" t="str">
        <f ca="1">VLOOKUP($B405&amp;"_"&amp;$E405,OFFSET([1]stages!$A$1,0,0,COUNTA([1]stages!$A:$A),MATCH(G$1,[1]stages!$2:$2,0)-MATCH("temp_stage",[1]stages!$2:$2,0)+1),MATCH(G$1,[1]stages!$2:$2,0)-MATCH("temp_stage",[1]stages!$2:$2,0)+1,FALSE)</f>
        <v>ドロップイベント1-2</v>
      </c>
      <c r="H405" s="18">
        <v>0</v>
      </c>
      <c r="I405">
        <v>3</v>
      </c>
      <c r="J405" s="5" t="s">
        <v>16</v>
      </c>
      <c r="K405" s="35" t="str">
        <f>VLOOKUP(I405,[2]stage_hints!$A:$C,3,FALSE)</f>
        <v>ターゲット</v>
      </c>
      <c r="L405" s="36" t="str">
        <f>VLOOKUP(I405,[2]stage_hints!$A:$D,4,FALSE)</f>
        <v>敵ユニットをタップすると_x000D_その敵を狙い撃ちできます</v>
      </c>
      <c r="M405" s="21" t="s">
        <v>23</v>
      </c>
      <c r="N405">
        <v>3</v>
      </c>
    </row>
    <row r="406" spans="1:14" x14ac:dyDescent="0.15">
      <c r="A406" s="26" t="s">
        <v>32</v>
      </c>
      <c r="B406" s="4">
        <v>20002</v>
      </c>
      <c r="C406" s="3" t="str">
        <f ca="1">VLOOKUP($B406,OFFSET([1]quests!$A$1,0,0,COUNTA([1]quests!$A:$A),MATCH(C$1,[1]quests!$1:$1,0)-MATCH($B$1,[1]quests!$1:$1,0)+1),MATCH(C$1,[1]quests!$1:$1,0)-MATCH($B$1,[1]quests!$1:$1,0)+1,FALSE)</f>
        <v>孤高の一角獣</v>
      </c>
      <c r="D406" s="3" t="str">
        <f ca="1">VLOOKUP($B406,OFFSET([1]quests!$A$1,0,0,COUNTA([1]quests!$A:$A),MATCH(D$1,[1]quests!$1:$1,0)-MATCH($B$1,[1]quests!$1:$1,0)+1),MATCH(D$1,[1]quests!$1:$1,0)-MATCH($B$1,[1]quests!$1:$1,0)+1,FALSE)</f>
        <v>ドロップイベント1-2</v>
      </c>
      <c r="E406" s="5">
        <v>2</v>
      </c>
      <c r="F406" s="3" t="str">
        <f ca="1">VLOOKUP($B406&amp;"_"&amp;$E406,OFFSET([1]stages!$A$1,0,0,COUNTA([1]stages!$A:$A),MATCH(F$1,[1]stages!$2:$2,0)-MATCH("temp_stage",[1]stages!$2:$2,0)+1),MATCH(F$1,[1]stages!$2:$2,0)-MATCH("temp_stage",[1]stages!$2:$2,0)+1,FALSE)</f>
        <v>【中級】孤高の一角獣</v>
      </c>
      <c r="G406" s="3" t="str">
        <f ca="1">VLOOKUP($B406&amp;"_"&amp;$E406,OFFSET([1]stages!$A$1,0,0,COUNTA([1]stages!$A:$A),MATCH(G$1,[1]stages!$2:$2,0)-MATCH("temp_stage",[1]stages!$2:$2,0)+1),MATCH(G$1,[1]stages!$2:$2,0)-MATCH("temp_stage",[1]stages!$2:$2,0)+1,FALSE)</f>
        <v>ドロップイベント1-2</v>
      </c>
      <c r="H406" s="18">
        <v>0</v>
      </c>
      <c r="I406">
        <v>6</v>
      </c>
      <c r="J406" s="5" t="s">
        <v>16</v>
      </c>
      <c r="K406" s="35" t="str">
        <f>VLOOKUP(I406,[2]stage_hints!$A:$C,3,FALSE)</f>
        <v>ユニット強化の属性ボーナス</v>
      </c>
      <c r="L406" s="36" t="str">
        <f>VLOOKUP(I406,[2]stage_hints!$A:$D,4,FALSE)</f>
        <v>同属性ユニットを強化素材にすると_x000D_経験値が多くもらえます</v>
      </c>
      <c r="M406" s="21" t="s">
        <v>23</v>
      </c>
      <c r="N406">
        <v>6</v>
      </c>
    </row>
    <row r="407" spans="1:14" x14ac:dyDescent="0.15">
      <c r="A407" s="26" t="s">
        <v>32</v>
      </c>
      <c r="B407" s="4">
        <v>20002</v>
      </c>
      <c r="C407" s="3" t="str">
        <f ca="1">VLOOKUP($B407,OFFSET([1]quests!$A$1,0,0,COUNTA([1]quests!$A:$A),MATCH(C$1,[1]quests!$1:$1,0)-MATCH($B$1,[1]quests!$1:$1,0)+1),MATCH(C$1,[1]quests!$1:$1,0)-MATCH($B$1,[1]quests!$1:$1,0)+1,FALSE)</f>
        <v>孤高の一角獣</v>
      </c>
      <c r="D407" s="3" t="str">
        <f ca="1">VLOOKUP($B407,OFFSET([1]quests!$A$1,0,0,COUNTA([1]quests!$A:$A),MATCH(D$1,[1]quests!$1:$1,0)-MATCH($B$1,[1]quests!$1:$1,0)+1),MATCH(D$1,[1]quests!$1:$1,0)-MATCH($B$1,[1]quests!$1:$1,0)+1,FALSE)</f>
        <v>ドロップイベント1-2</v>
      </c>
      <c r="E407" s="5">
        <v>2</v>
      </c>
      <c r="F407" s="3" t="str">
        <f ca="1">VLOOKUP($B407&amp;"_"&amp;$E407,OFFSET([1]stages!$A$1,0,0,COUNTA([1]stages!$A:$A),MATCH(F$1,[1]stages!$2:$2,0)-MATCH("temp_stage",[1]stages!$2:$2,0)+1),MATCH(F$1,[1]stages!$2:$2,0)-MATCH("temp_stage",[1]stages!$2:$2,0)+1,FALSE)</f>
        <v>【中級】孤高の一角獣</v>
      </c>
      <c r="G407" s="3" t="str">
        <f ca="1">VLOOKUP($B407&amp;"_"&amp;$E407,OFFSET([1]stages!$A$1,0,0,COUNTA([1]stages!$A:$A),MATCH(G$1,[1]stages!$2:$2,0)-MATCH("temp_stage",[1]stages!$2:$2,0)+1),MATCH(G$1,[1]stages!$2:$2,0)-MATCH("temp_stage",[1]stages!$2:$2,0)+1,FALSE)</f>
        <v>ドロップイベント1-2</v>
      </c>
      <c r="H407" s="18">
        <v>0</v>
      </c>
      <c r="I407">
        <v>7</v>
      </c>
      <c r="J407" s="5" t="s">
        <v>16</v>
      </c>
      <c r="K407" s="35" t="str">
        <f>VLOOKUP(I407,[2]stage_hints!$A:$C,3,FALSE)</f>
        <v>メタルダックで経験値を獲得</v>
      </c>
      <c r="L407" s="36" t="str">
        <f>VLOOKUP(I407,[2]stage_hints!$A:$D,4,FALSE)</f>
        <v>「メタルなアヒル」を強化素材にすると_x000D_大量の経験値がもらえます</v>
      </c>
      <c r="M407" s="21" t="s">
        <v>23</v>
      </c>
      <c r="N407">
        <v>7</v>
      </c>
    </row>
    <row r="408" spans="1:14" x14ac:dyDescent="0.15">
      <c r="A408" s="26" t="s">
        <v>32</v>
      </c>
      <c r="B408" s="4">
        <v>20002</v>
      </c>
      <c r="C408" s="3" t="str">
        <f ca="1">VLOOKUP($B408,OFFSET([1]quests!$A$1,0,0,COUNTA([1]quests!$A:$A),MATCH(C$1,[1]quests!$1:$1,0)-MATCH($B$1,[1]quests!$1:$1,0)+1),MATCH(C$1,[1]quests!$1:$1,0)-MATCH($B$1,[1]quests!$1:$1,0)+1,FALSE)</f>
        <v>孤高の一角獣</v>
      </c>
      <c r="D408" s="3" t="str">
        <f ca="1">VLOOKUP($B408,OFFSET([1]quests!$A$1,0,0,COUNTA([1]quests!$A:$A),MATCH(D$1,[1]quests!$1:$1,0)-MATCH($B$1,[1]quests!$1:$1,0)+1),MATCH(D$1,[1]quests!$1:$1,0)-MATCH($B$1,[1]quests!$1:$1,0)+1,FALSE)</f>
        <v>ドロップイベント1-2</v>
      </c>
      <c r="E408" s="5">
        <v>2</v>
      </c>
      <c r="F408" s="3" t="str">
        <f ca="1">VLOOKUP($B408&amp;"_"&amp;$E408,OFFSET([1]stages!$A$1,0,0,COUNTA([1]stages!$A:$A),MATCH(F$1,[1]stages!$2:$2,0)-MATCH("temp_stage",[1]stages!$2:$2,0)+1),MATCH(F$1,[1]stages!$2:$2,0)-MATCH("temp_stage",[1]stages!$2:$2,0)+1,FALSE)</f>
        <v>【中級】孤高の一角獣</v>
      </c>
      <c r="G408" s="3" t="str">
        <f ca="1">VLOOKUP($B408&amp;"_"&amp;$E408,OFFSET([1]stages!$A$1,0,0,COUNTA([1]stages!$A:$A),MATCH(G$1,[1]stages!$2:$2,0)-MATCH("temp_stage",[1]stages!$2:$2,0)+1),MATCH(G$1,[1]stages!$2:$2,0)-MATCH("temp_stage",[1]stages!$2:$2,0)+1,FALSE)</f>
        <v>ドロップイベント1-2</v>
      </c>
      <c r="H408" s="18">
        <v>0</v>
      </c>
      <c r="I408">
        <v>8</v>
      </c>
      <c r="J408" s="5" t="s">
        <v>16</v>
      </c>
      <c r="K408" s="35" t="str">
        <f>VLOOKUP(I408,[2]stage_hints!$A:$C,3,FALSE)</f>
        <v>ゲリラクエストは要チェック</v>
      </c>
      <c r="L408" s="36" t="str">
        <f>VLOOKUP(I408,[2]stage_hints!$A:$D,4,FALSE)</f>
        <v>時間限定の「アヒル捕獲作戦」では_x000D_経験値素材ユニットが多く手に入ります</v>
      </c>
      <c r="M408" s="21" t="s">
        <v>23</v>
      </c>
      <c r="N408">
        <v>8</v>
      </c>
    </row>
    <row r="409" spans="1:14" x14ac:dyDescent="0.15">
      <c r="A409" s="26" t="s">
        <v>32</v>
      </c>
      <c r="B409" s="4">
        <v>20002</v>
      </c>
      <c r="C409" s="3" t="str">
        <f ca="1">VLOOKUP($B409,OFFSET([1]quests!$A$1,0,0,COUNTA([1]quests!$A:$A),MATCH(C$1,[1]quests!$1:$1,0)-MATCH($B$1,[1]quests!$1:$1,0)+1),MATCH(C$1,[1]quests!$1:$1,0)-MATCH($B$1,[1]quests!$1:$1,0)+1,FALSE)</f>
        <v>孤高の一角獣</v>
      </c>
      <c r="D409" s="3" t="str">
        <f ca="1">VLOOKUP($B409,OFFSET([1]quests!$A$1,0,0,COUNTA([1]quests!$A:$A),MATCH(D$1,[1]quests!$1:$1,0)-MATCH($B$1,[1]quests!$1:$1,0)+1),MATCH(D$1,[1]quests!$1:$1,0)-MATCH($B$1,[1]quests!$1:$1,0)+1,FALSE)</f>
        <v>ドロップイベント1-2</v>
      </c>
      <c r="E409" s="5">
        <v>2</v>
      </c>
      <c r="F409" s="3" t="str">
        <f ca="1">VLOOKUP($B409&amp;"_"&amp;$E409,OFFSET([1]stages!$A$1,0,0,COUNTA([1]stages!$A:$A),MATCH(F$1,[1]stages!$2:$2,0)-MATCH("temp_stage",[1]stages!$2:$2,0)+1),MATCH(F$1,[1]stages!$2:$2,0)-MATCH("temp_stage",[1]stages!$2:$2,0)+1,FALSE)</f>
        <v>【中級】孤高の一角獣</v>
      </c>
      <c r="G409" s="3" t="str">
        <f ca="1">VLOOKUP($B409&amp;"_"&amp;$E409,OFFSET([1]stages!$A$1,0,0,COUNTA([1]stages!$A:$A),MATCH(G$1,[1]stages!$2:$2,0)-MATCH("temp_stage",[1]stages!$2:$2,0)+1),MATCH(G$1,[1]stages!$2:$2,0)-MATCH("temp_stage",[1]stages!$2:$2,0)+1,FALSE)</f>
        <v>ドロップイベント1-2</v>
      </c>
      <c r="H409" s="18">
        <v>0</v>
      </c>
      <c r="I409">
        <v>9</v>
      </c>
      <c r="J409" s="5" t="s">
        <v>16</v>
      </c>
      <c r="K409" s="35" t="str">
        <f>VLOOKUP(I409,[2]stage_hints!$A:$C,3,FALSE)</f>
        <v>ゴールドダックでビットを獲得</v>
      </c>
      <c r="L409" s="36" t="str">
        <f>VLOOKUP(I409,[2]stage_hints!$A:$D,4,FALSE)</f>
        <v>「ゴールドなアヒル」を売却すると_x000D_大量のビットがもらえます</v>
      </c>
      <c r="M409" s="21" t="s">
        <v>23</v>
      </c>
      <c r="N409">
        <v>9</v>
      </c>
    </row>
    <row r="410" spans="1:14" x14ac:dyDescent="0.15">
      <c r="A410" s="26" t="s">
        <v>32</v>
      </c>
      <c r="B410" s="4">
        <v>20002</v>
      </c>
      <c r="C410" s="3" t="str">
        <f ca="1">VLOOKUP($B410,OFFSET([1]quests!$A$1,0,0,COUNTA([1]quests!$A:$A),MATCH(C$1,[1]quests!$1:$1,0)-MATCH($B$1,[1]quests!$1:$1,0)+1),MATCH(C$1,[1]quests!$1:$1,0)-MATCH($B$1,[1]quests!$1:$1,0)+1,FALSE)</f>
        <v>孤高の一角獣</v>
      </c>
      <c r="D410" s="3" t="str">
        <f ca="1">VLOOKUP($B410,OFFSET([1]quests!$A$1,0,0,COUNTA([1]quests!$A:$A),MATCH(D$1,[1]quests!$1:$1,0)-MATCH($B$1,[1]quests!$1:$1,0)+1),MATCH(D$1,[1]quests!$1:$1,0)-MATCH($B$1,[1]quests!$1:$1,0)+1,FALSE)</f>
        <v>ドロップイベント1-2</v>
      </c>
      <c r="E410" s="5">
        <v>2</v>
      </c>
      <c r="F410" s="3" t="str">
        <f ca="1">VLOOKUP($B410&amp;"_"&amp;$E410,OFFSET([1]stages!$A$1,0,0,COUNTA([1]stages!$A:$A),MATCH(F$1,[1]stages!$2:$2,0)-MATCH("temp_stage",[1]stages!$2:$2,0)+1),MATCH(F$1,[1]stages!$2:$2,0)-MATCH("temp_stage",[1]stages!$2:$2,0)+1,FALSE)</f>
        <v>【中級】孤高の一角獣</v>
      </c>
      <c r="G410" s="3" t="str">
        <f ca="1">VLOOKUP($B410&amp;"_"&amp;$E410,OFFSET([1]stages!$A$1,0,0,COUNTA([1]stages!$A:$A),MATCH(G$1,[1]stages!$2:$2,0)-MATCH("temp_stage",[1]stages!$2:$2,0)+1),MATCH(G$1,[1]stages!$2:$2,0)-MATCH("temp_stage",[1]stages!$2:$2,0)+1,FALSE)</f>
        <v>ドロップイベント1-2</v>
      </c>
      <c r="H410" s="18">
        <v>0</v>
      </c>
      <c r="I410">
        <v>10</v>
      </c>
      <c r="J410" s="5" t="s">
        <v>16</v>
      </c>
      <c r="K410" s="35" t="str">
        <f>VLOOKUP(I410,[2]stage_hints!$A:$C,3,FALSE)</f>
        <v>土日に大量のビットを獲得</v>
      </c>
      <c r="L410" s="36" t="str">
        <f>VLOOKUP(I410,[2]stage_hints!$A:$D,4,FALSE)</f>
        <v>土日限定の「ゴールドカジノ」では_x000D_売却素材ユニットが多く手に入ります</v>
      </c>
      <c r="M410" s="21" t="s">
        <v>23</v>
      </c>
      <c r="N410">
        <v>10</v>
      </c>
    </row>
    <row r="411" spans="1:14" x14ac:dyDescent="0.15">
      <c r="A411" s="26" t="s">
        <v>32</v>
      </c>
      <c r="B411" s="4">
        <v>20002</v>
      </c>
      <c r="C411" s="3" t="str">
        <f ca="1">VLOOKUP($B411,OFFSET([1]quests!$A$1,0,0,COUNTA([1]quests!$A:$A),MATCH(C$1,[1]quests!$1:$1,0)-MATCH($B$1,[1]quests!$1:$1,0)+1),MATCH(C$1,[1]quests!$1:$1,0)-MATCH($B$1,[1]quests!$1:$1,0)+1,FALSE)</f>
        <v>孤高の一角獣</v>
      </c>
      <c r="D411" s="3" t="str">
        <f ca="1">VLOOKUP($B411,OFFSET([1]quests!$A$1,0,0,COUNTA([1]quests!$A:$A),MATCH(D$1,[1]quests!$1:$1,0)-MATCH($B$1,[1]quests!$1:$1,0)+1),MATCH(D$1,[1]quests!$1:$1,0)-MATCH($B$1,[1]quests!$1:$1,0)+1,FALSE)</f>
        <v>ドロップイベント1-2</v>
      </c>
      <c r="E411" s="5">
        <v>2</v>
      </c>
      <c r="F411" s="3" t="str">
        <f ca="1">VLOOKUP($B411&amp;"_"&amp;$E411,OFFSET([1]stages!$A$1,0,0,COUNTA([1]stages!$A:$A),MATCH(F$1,[1]stages!$2:$2,0)-MATCH("temp_stage",[1]stages!$2:$2,0)+1),MATCH(F$1,[1]stages!$2:$2,0)-MATCH("temp_stage",[1]stages!$2:$2,0)+1,FALSE)</f>
        <v>【中級】孤高の一角獣</v>
      </c>
      <c r="G411" s="3" t="str">
        <f ca="1">VLOOKUP($B411&amp;"_"&amp;$E411,OFFSET([1]stages!$A$1,0,0,COUNTA([1]stages!$A:$A),MATCH(G$1,[1]stages!$2:$2,0)-MATCH("temp_stage",[1]stages!$2:$2,0)+1),MATCH(G$1,[1]stages!$2:$2,0)-MATCH("temp_stage",[1]stages!$2:$2,0)+1,FALSE)</f>
        <v>ドロップイベント1-2</v>
      </c>
      <c r="H411" s="18">
        <v>0</v>
      </c>
      <c r="I411">
        <v>11</v>
      </c>
      <c r="J411" s="5" t="s">
        <v>16</v>
      </c>
      <c r="K411" s="35" t="str">
        <f>VLOOKUP(I411,[2]stage_hints!$A:$C,3,FALSE)</f>
        <v>ランク解放クエスト</v>
      </c>
      <c r="L411" s="36" t="str">
        <f>VLOOKUP(I411,[2]stage_hints!$A:$D,4,FALSE)</f>
        <v>一定ランクに到達すると_x000D_報酬付きのランク開放クエストが現れます</v>
      </c>
      <c r="M411" s="21" t="s">
        <v>23</v>
      </c>
      <c r="N411">
        <v>11</v>
      </c>
    </row>
    <row r="412" spans="1:14" x14ac:dyDescent="0.15">
      <c r="A412" s="26" t="s">
        <v>32</v>
      </c>
      <c r="B412" s="4">
        <v>20002</v>
      </c>
      <c r="C412" s="3" t="str">
        <f ca="1">VLOOKUP($B412,OFFSET([1]quests!$A$1,0,0,COUNTA([1]quests!$A:$A),MATCH(C$1,[1]quests!$1:$1,0)-MATCH($B$1,[1]quests!$1:$1,0)+1),MATCH(C$1,[1]quests!$1:$1,0)-MATCH($B$1,[1]quests!$1:$1,0)+1,FALSE)</f>
        <v>孤高の一角獣</v>
      </c>
      <c r="D412" s="3" t="str">
        <f ca="1">VLOOKUP($B412,OFFSET([1]quests!$A$1,0,0,COUNTA([1]quests!$A:$A),MATCH(D$1,[1]quests!$1:$1,0)-MATCH($B$1,[1]quests!$1:$1,0)+1),MATCH(D$1,[1]quests!$1:$1,0)-MATCH($B$1,[1]quests!$1:$1,0)+1,FALSE)</f>
        <v>ドロップイベント1-2</v>
      </c>
      <c r="E412" s="5">
        <v>2</v>
      </c>
      <c r="F412" s="3" t="str">
        <f ca="1">VLOOKUP($B412&amp;"_"&amp;$E412,OFFSET([1]stages!$A$1,0,0,COUNTA([1]stages!$A:$A),MATCH(F$1,[1]stages!$2:$2,0)-MATCH("temp_stage",[1]stages!$2:$2,0)+1),MATCH(F$1,[1]stages!$2:$2,0)-MATCH("temp_stage",[1]stages!$2:$2,0)+1,FALSE)</f>
        <v>【中級】孤高の一角獣</v>
      </c>
      <c r="G412" s="3" t="str">
        <f ca="1">VLOOKUP($B412&amp;"_"&amp;$E412,OFFSET([1]stages!$A$1,0,0,COUNTA([1]stages!$A:$A),MATCH(G$1,[1]stages!$2:$2,0)-MATCH("temp_stage",[1]stages!$2:$2,0)+1),MATCH(G$1,[1]stages!$2:$2,0)-MATCH("temp_stage",[1]stages!$2:$2,0)+1,FALSE)</f>
        <v>ドロップイベント1-2</v>
      </c>
      <c r="H412" s="18">
        <v>0</v>
      </c>
      <c r="I412">
        <v>12</v>
      </c>
      <c r="J412" s="5" t="s">
        <v>16</v>
      </c>
      <c r="K412" s="35" t="str">
        <f>VLOOKUP(I412,[2]stage_hints!$A:$C,3,FALSE)</f>
        <v>ユニットのお気に入り登録</v>
      </c>
      <c r="L412" s="36" t="str">
        <f>VLOOKUP(I412,[2]stage_hints!$A:$D,4,FALSE)</f>
        <v>大事なユニットを誤って消さないように_x000D_フォルダから「お気に入り登録」しましょう</v>
      </c>
      <c r="M412" s="21" t="s">
        <v>23</v>
      </c>
      <c r="N412">
        <v>12</v>
      </c>
    </row>
    <row r="413" spans="1:14" x14ac:dyDescent="0.15">
      <c r="A413" s="26" t="s">
        <v>32</v>
      </c>
      <c r="B413" s="4">
        <v>20002</v>
      </c>
      <c r="C413" s="3" t="str">
        <f ca="1">VLOOKUP($B413,OFFSET([1]quests!$A$1,0,0,COUNTA([1]quests!$A:$A),MATCH(C$1,[1]quests!$1:$1,0)-MATCH($B$1,[1]quests!$1:$1,0)+1),MATCH(C$1,[1]quests!$1:$1,0)-MATCH($B$1,[1]quests!$1:$1,0)+1,FALSE)</f>
        <v>孤高の一角獣</v>
      </c>
      <c r="D413" s="3" t="str">
        <f ca="1">VLOOKUP($B413,OFFSET([1]quests!$A$1,0,0,COUNTA([1]quests!$A:$A),MATCH(D$1,[1]quests!$1:$1,0)-MATCH($B$1,[1]quests!$1:$1,0)+1),MATCH(D$1,[1]quests!$1:$1,0)-MATCH($B$1,[1]quests!$1:$1,0)+1,FALSE)</f>
        <v>ドロップイベント1-2</v>
      </c>
      <c r="E413" s="5">
        <v>2</v>
      </c>
      <c r="F413" s="3" t="str">
        <f ca="1">VLOOKUP($B413&amp;"_"&amp;$E413,OFFSET([1]stages!$A$1,0,0,COUNTA([1]stages!$A:$A),MATCH(F$1,[1]stages!$2:$2,0)-MATCH("temp_stage",[1]stages!$2:$2,0)+1),MATCH(F$1,[1]stages!$2:$2,0)-MATCH("temp_stage",[1]stages!$2:$2,0)+1,FALSE)</f>
        <v>【中級】孤高の一角獣</v>
      </c>
      <c r="G413" s="3" t="str">
        <f ca="1">VLOOKUP($B413&amp;"_"&amp;$E413,OFFSET([1]stages!$A$1,0,0,COUNTA([1]stages!$A:$A),MATCH(G$1,[1]stages!$2:$2,0)-MATCH("temp_stage",[1]stages!$2:$2,0)+1),MATCH(G$1,[1]stages!$2:$2,0)-MATCH("temp_stage",[1]stages!$2:$2,0)+1,FALSE)</f>
        <v>ドロップイベント1-2</v>
      </c>
      <c r="H413" s="18">
        <v>0</v>
      </c>
      <c r="I413">
        <v>13</v>
      </c>
      <c r="J413" s="5" t="s">
        <v>16</v>
      </c>
      <c r="K413" s="35" t="str">
        <f>VLOOKUP(I413,[2]stage_hints!$A:$C,3,FALSE)</f>
        <v>ユニットの覚醒</v>
      </c>
      <c r="L413" s="36" t="str">
        <f>VLOOKUP(I413,[2]stage_hints!$A:$D,4,FALSE)</f>
        <v>ユニットを覚醒させると_x000D_比べものにならない強さが手に入ります</v>
      </c>
      <c r="M413" s="21" t="s">
        <v>23</v>
      </c>
      <c r="N413">
        <v>13</v>
      </c>
    </row>
    <row r="414" spans="1:14" x14ac:dyDescent="0.15">
      <c r="A414" s="26" t="s">
        <v>32</v>
      </c>
      <c r="B414" s="4">
        <v>20002</v>
      </c>
      <c r="C414" s="3" t="str">
        <f ca="1">VLOOKUP($B414,OFFSET([1]quests!$A$1,0,0,COUNTA([1]quests!$A:$A),MATCH(C$1,[1]quests!$1:$1,0)-MATCH($B$1,[1]quests!$1:$1,0)+1),MATCH(C$1,[1]quests!$1:$1,0)-MATCH($B$1,[1]quests!$1:$1,0)+1,FALSE)</f>
        <v>孤高の一角獣</v>
      </c>
      <c r="D414" s="3" t="str">
        <f ca="1">VLOOKUP($B414,OFFSET([1]quests!$A$1,0,0,COUNTA([1]quests!$A:$A),MATCH(D$1,[1]quests!$1:$1,0)-MATCH($B$1,[1]quests!$1:$1,0)+1),MATCH(D$1,[1]quests!$1:$1,0)-MATCH($B$1,[1]quests!$1:$1,0)+1,FALSE)</f>
        <v>ドロップイベント1-2</v>
      </c>
      <c r="E414" s="5">
        <v>2</v>
      </c>
      <c r="F414" s="3" t="str">
        <f ca="1">VLOOKUP($B414&amp;"_"&amp;$E414,OFFSET([1]stages!$A$1,0,0,COUNTA([1]stages!$A:$A),MATCH(F$1,[1]stages!$2:$2,0)-MATCH("temp_stage",[1]stages!$2:$2,0)+1),MATCH(F$1,[1]stages!$2:$2,0)-MATCH("temp_stage",[1]stages!$2:$2,0)+1,FALSE)</f>
        <v>【中級】孤高の一角獣</v>
      </c>
      <c r="G414" s="3" t="str">
        <f ca="1">VLOOKUP($B414&amp;"_"&amp;$E414,OFFSET([1]stages!$A$1,0,0,COUNTA([1]stages!$A:$A),MATCH(G$1,[1]stages!$2:$2,0)-MATCH("temp_stage",[1]stages!$2:$2,0)+1),MATCH(G$1,[1]stages!$2:$2,0)-MATCH("temp_stage",[1]stages!$2:$2,0)+1,FALSE)</f>
        <v>ドロップイベント1-2</v>
      </c>
      <c r="H414" s="18">
        <v>0</v>
      </c>
      <c r="I414">
        <v>14</v>
      </c>
      <c r="J414" s="5" t="s">
        <v>16</v>
      </c>
      <c r="K414" s="35" t="str">
        <f>VLOOKUP(I414,[2]stage_hints!$A:$C,3,FALSE)</f>
        <v>覚醒するにはレベルを最大に</v>
      </c>
      <c r="L414" s="36" t="str">
        <f>VLOOKUP(I414,[2]stage_hints!$A:$D,4,FALSE)</f>
        <v>覚醒するにはユニットのレベルを_x000D_最大まで上げる必要があります</v>
      </c>
      <c r="M414" s="21" t="s">
        <v>23</v>
      </c>
      <c r="N414">
        <v>14</v>
      </c>
    </row>
    <row r="415" spans="1:14" x14ac:dyDescent="0.15">
      <c r="A415" s="26" t="s">
        <v>32</v>
      </c>
      <c r="B415" s="4">
        <v>20002</v>
      </c>
      <c r="C415" s="3" t="str">
        <f ca="1">VLOOKUP($B415,OFFSET([1]quests!$A$1,0,0,COUNTA([1]quests!$A:$A),MATCH(C$1,[1]quests!$1:$1,0)-MATCH($B$1,[1]quests!$1:$1,0)+1),MATCH(C$1,[1]quests!$1:$1,0)-MATCH($B$1,[1]quests!$1:$1,0)+1,FALSE)</f>
        <v>孤高の一角獣</v>
      </c>
      <c r="D415" s="3" t="str">
        <f ca="1">VLOOKUP($B415,OFFSET([1]quests!$A$1,0,0,COUNTA([1]quests!$A:$A),MATCH(D$1,[1]quests!$1:$1,0)-MATCH($B$1,[1]quests!$1:$1,0)+1),MATCH(D$1,[1]quests!$1:$1,0)-MATCH($B$1,[1]quests!$1:$1,0)+1,FALSE)</f>
        <v>ドロップイベント1-2</v>
      </c>
      <c r="E415" s="5">
        <v>2</v>
      </c>
      <c r="F415" s="3" t="str">
        <f ca="1">VLOOKUP($B415&amp;"_"&amp;$E415,OFFSET([1]stages!$A$1,0,0,COUNTA([1]stages!$A:$A),MATCH(F$1,[1]stages!$2:$2,0)-MATCH("temp_stage",[1]stages!$2:$2,0)+1),MATCH(F$1,[1]stages!$2:$2,0)-MATCH("temp_stage",[1]stages!$2:$2,0)+1,FALSE)</f>
        <v>【中級】孤高の一角獣</v>
      </c>
      <c r="G415" s="3" t="str">
        <f ca="1">VLOOKUP($B415&amp;"_"&amp;$E415,OFFSET([1]stages!$A$1,0,0,COUNTA([1]stages!$A:$A),MATCH(G$1,[1]stages!$2:$2,0)-MATCH("temp_stage",[1]stages!$2:$2,0)+1),MATCH(G$1,[1]stages!$2:$2,0)-MATCH("temp_stage",[1]stages!$2:$2,0)+1,FALSE)</f>
        <v>ドロップイベント1-2</v>
      </c>
      <c r="H415" s="18">
        <v>0</v>
      </c>
      <c r="I415">
        <v>15</v>
      </c>
      <c r="J415" s="5" t="s">
        <v>16</v>
      </c>
      <c r="K415" s="35" t="str">
        <f>VLOOKUP(I415,[2]stage_hints!$A:$C,3,FALSE)</f>
        <v>覚醒素材を獲得</v>
      </c>
      <c r="L415" s="36" t="str">
        <f>VLOOKUP(I415,[2]stage_hints!$A:$D,4,FALSE)</f>
        <v>「曜日クエスト」では_x000D_ユニットの覚醒に必要な素材が手に入ります</v>
      </c>
      <c r="M415" s="21" t="s">
        <v>23</v>
      </c>
      <c r="N415">
        <v>15</v>
      </c>
    </row>
    <row r="416" spans="1:14" x14ac:dyDescent="0.15">
      <c r="A416" s="26" t="s">
        <v>32</v>
      </c>
      <c r="B416" s="4">
        <v>20002</v>
      </c>
      <c r="C416" s="3" t="str">
        <f ca="1">VLOOKUP($B416,OFFSET([1]quests!$A$1,0,0,COUNTA([1]quests!$A:$A),MATCH(C$1,[1]quests!$1:$1,0)-MATCH($B$1,[1]quests!$1:$1,0)+1),MATCH(C$1,[1]quests!$1:$1,0)-MATCH($B$1,[1]quests!$1:$1,0)+1,FALSE)</f>
        <v>孤高の一角獣</v>
      </c>
      <c r="D416" s="3" t="str">
        <f ca="1">VLOOKUP($B416,OFFSET([1]quests!$A$1,0,0,COUNTA([1]quests!$A:$A),MATCH(D$1,[1]quests!$1:$1,0)-MATCH($B$1,[1]quests!$1:$1,0)+1),MATCH(D$1,[1]quests!$1:$1,0)-MATCH($B$1,[1]quests!$1:$1,0)+1,FALSE)</f>
        <v>ドロップイベント1-2</v>
      </c>
      <c r="E416" s="5">
        <v>2</v>
      </c>
      <c r="F416" s="3" t="str">
        <f ca="1">VLOOKUP($B416&amp;"_"&amp;$E416,OFFSET([1]stages!$A$1,0,0,COUNTA([1]stages!$A:$A),MATCH(F$1,[1]stages!$2:$2,0)-MATCH("temp_stage",[1]stages!$2:$2,0)+1),MATCH(F$1,[1]stages!$2:$2,0)-MATCH("temp_stage",[1]stages!$2:$2,0)+1,FALSE)</f>
        <v>【中級】孤高の一角獣</v>
      </c>
      <c r="G416" s="3" t="str">
        <f ca="1">VLOOKUP($B416&amp;"_"&amp;$E416,OFFSET([1]stages!$A$1,0,0,COUNTA([1]stages!$A:$A),MATCH(G$1,[1]stages!$2:$2,0)-MATCH("temp_stage",[1]stages!$2:$2,0)+1),MATCH(G$1,[1]stages!$2:$2,0)-MATCH("temp_stage",[1]stages!$2:$2,0)+1,FALSE)</f>
        <v>ドロップイベント1-2</v>
      </c>
      <c r="H416" s="18">
        <v>0</v>
      </c>
      <c r="I416">
        <v>16</v>
      </c>
      <c r="J416" s="5" t="s">
        <v>16</v>
      </c>
      <c r="K416" s="35" t="str">
        <f>VLOOKUP(I416,[2]stage_hints!$A:$C,3,FALSE)</f>
        <v>マルチプレイのメリット（その1）</v>
      </c>
      <c r="L416" s="36" t="str">
        <f>VLOOKUP(I416,[2]stage_hints!$A:$D,4,FALSE)</f>
        <v>他のプレイヤーとマルチプレイで遊ぶと_x000D_ポリゴンがもらえます（100人まで）</v>
      </c>
      <c r="M416" s="21" t="s">
        <v>23</v>
      </c>
      <c r="N416">
        <v>16</v>
      </c>
    </row>
    <row r="417" spans="1:14" x14ac:dyDescent="0.15">
      <c r="A417" s="26" t="s">
        <v>32</v>
      </c>
      <c r="B417" s="4">
        <v>20002</v>
      </c>
      <c r="C417" s="3" t="str">
        <f ca="1">VLOOKUP($B417,OFFSET([1]quests!$A$1,0,0,COUNTA([1]quests!$A:$A),MATCH(C$1,[1]quests!$1:$1,0)-MATCH($B$1,[1]quests!$1:$1,0)+1),MATCH(C$1,[1]quests!$1:$1,0)-MATCH($B$1,[1]quests!$1:$1,0)+1,FALSE)</f>
        <v>孤高の一角獣</v>
      </c>
      <c r="D417" s="3" t="str">
        <f ca="1">VLOOKUP($B417,OFFSET([1]quests!$A$1,0,0,COUNTA([1]quests!$A:$A),MATCH(D$1,[1]quests!$1:$1,0)-MATCH($B$1,[1]quests!$1:$1,0)+1),MATCH(D$1,[1]quests!$1:$1,0)-MATCH($B$1,[1]quests!$1:$1,0)+1,FALSE)</f>
        <v>ドロップイベント1-2</v>
      </c>
      <c r="E417" s="5">
        <v>2</v>
      </c>
      <c r="F417" s="3" t="str">
        <f ca="1">VLOOKUP($B417&amp;"_"&amp;$E417,OFFSET([1]stages!$A$1,0,0,COUNTA([1]stages!$A:$A),MATCH(F$1,[1]stages!$2:$2,0)-MATCH("temp_stage",[1]stages!$2:$2,0)+1),MATCH(F$1,[1]stages!$2:$2,0)-MATCH("temp_stage",[1]stages!$2:$2,0)+1,FALSE)</f>
        <v>【中級】孤高の一角獣</v>
      </c>
      <c r="G417" s="3" t="str">
        <f ca="1">VLOOKUP($B417&amp;"_"&amp;$E417,OFFSET([1]stages!$A$1,0,0,COUNTA([1]stages!$A:$A),MATCH(G$1,[1]stages!$2:$2,0)-MATCH("temp_stage",[1]stages!$2:$2,0)+1),MATCH(G$1,[1]stages!$2:$2,0)-MATCH("temp_stage",[1]stages!$2:$2,0)+1,FALSE)</f>
        <v>ドロップイベント1-2</v>
      </c>
      <c r="H417" s="18">
        <v>0</v>
      </c>
      <c r="I417">
        <v>17</v>
      </c>
      <c r="J417" s="5" t="s">
        <v>16</v>
      </c>
      <c r="K417" s="35" t="str">
        <f>VLOOKUP(I417,[2]stage_hints!$A:$C,3,FALSE)</f>
        <v>リンクガチャ</v>
      </c>
      <c r="L417" s="36" t="str">
        <f>VLOOKUP(I417,[2]stage_hints!$A:$D,4,FALSE)</f>
        <v>無料のリンクガチャを回して_x000D_経験値素材や売却素材を獲得しましょう</v>
      </c>
      <c r="M417" s="21" t="s">
        <v>23</v>
      </c>
      <c r="N417">
        <v>17</v>
      </c>
    </row>
    <row r="418" spans="1:14" x14ac:dyDescent="0.15">
      <c r="A418" s="26" t="s">
        <v>32</v>
      </c>
      <c r="B418" s="4">
        <v>20002</v>
      </c>
      <c r="C418" s="3" t="str">
        <f ca="1">VLOOKUP($B418,OFFSET([1]quests!$A$1,0,0,COUNTA([1]quests!$A:$A),MATCH(C$1,[1]quests!$1:$1,0)-MATCH($B$1,[1]quests!$1:$1,0)+1),MATCH(C$1,[1]quests!$1:$1,0)-MATCH($B$1,[1]quests!$1:$1,0)+1,FALSE)</f>
        <v>孤高の一角獣</v>
      </c>
      <c r="D418" s="3" t="str">
        <f ca="1">VLOOKUP($B418,OFFSET([1]quests!$A$1,0,0,COUNTA([1]quests!$A:$A),MATCH(D$1,[1]quests!$1:$1,0)-MATCH($B$1,[1]quests!$1:$1,0)+1),MATCH(D$1,[1]quests!$1:$1,0)-MATCH($B$1,[1]quests!$1:$1,0)+1,FALSE)</f>
        <v>ドロップイベント1-2</v>
      </c>
      <c r="E418" s="5">
        <v>2</v>
      </c>
      <c r="F418" s="3" t="str">
        <f ca="1">VLOOKUP($B418&amp;"_"&amp;$E418,OFFSET([1]stages!$A$1,0,0,COUNTA([1]stages!$A:$A),MATCH(F$1,[1]stages!$2:$2,0)-MATCH("temp_stage",[1]stages!$2:$2,0)+1),MATCH(F$1,[1]stages!$2:$2,0)-MATCH("temp_stage",[1]stages!$2:$2,0)+1,FALSE)</f>
        <v>【中級】孤高の一角獣</v>
      </c>
      <c r="G418" s="3" t="str">
        <f ca="1">VLOOKUP($B418&amp;"_"&amp;$E418,OFFSET([1]stages!$A$1,0,0,COUNTA([1]stages!$A:$A),MATCH(G$1,[1]stages!$2:$2,0)-MATCH("temp_stage",[1]stages!$2:$2,0)+1),MATCH(G$1,[1]stages!$2:$2,0)-MATCH("temp_stage",[1]stages!$2:$2,0)+1,FALSE)</f>
        <v>ドロップイベント1-2</v>
      </c>
      <c r="H418" s="18">
        <v>0</v>
      </c>
      <c r="I418">
        <v>18</v>
      </c>
      <c r="J418" s="5" t="s">
        <v>16</v>
      </c>
      <c r="K418" s="35" t="str">
        <f>VLOOKUP(I418,[2]stage_hints!$A:$C,3,FALSE)</f>
        <v>マルチプレイのメリット（その2）</v>
      </c>
      <c r="L418" s="36" t="str">
        <f>VLOOKUP(I418,[2]stage_hints!$A:$D,4,FALSE)</f>
        <v>マルチプレイならリンクが2倍もらえます_x000D_リンクガチャをたくさん回しましょう</v>
      </c>
      <c r="M418" s="21" t="s">
        <v>23</v>
      </c>
      <c r="N418">
        <v>18</v>
      </c>
    </row>
    <row r="419" spans="1:14" x14ac:dyDescent="0.15">
      <c r="A419" s="26" t="s">
        <v>32</v>
      </c>
      <c r="B419" s="4">
        <v>20002</v>
      </c>
      <c r="C419" s="3" t="str">
        <f ca="1">VLOOKUP($B419,OFFSET([1]quests!$A$1,0,0,COUNTA([1]quests!$A:$A),MATCH(C$1,[1]quests!$1:$1,0)-MATCH($B$1,[1]quests!$1:$1,0)+1),MATCH(C$1,[1]quests!$1:$1,0)-MATCH($B$1,[1]quests!$1:$1,0)+1,FALSE)</f>
        <v>孤高の一角獣</v>
      </c>
      <c r="D419" s="3" t="str">
        <f ca="1">VLOOKUP($B419,OFFSET([1]quests!$A$1,0,0,COUNTA([1]quests!$A:$A),MATCH(D$1,[1]quests!$1:$1,0)-MATCH($B$1,[1]quests!$1:$1,0)+1),MATCH(D$1,[1]quests!$1:$1,0)-MATCH($B$1,[1]quests!$1:$1,0)+1,FALSE)</f>
        <v>ドロップイベント1-2</v>
      </c>
      <c r="E419" s="5">
        <v>2</v>
      </c>
      <c r="F419" s="3" t="str">
        <f ca="1">VLOOKUP($B419&amp;"_"&amp;$E419,OFFSET([1]stages!$A$1,0,0,COUNTA([1]stages!$A:$A),MATCH(F$1,[1]stages!$2:$2,0)-MATCH("temp_stage",[1]stages!$2:$2,0)+1),MATCH(F$1,[1]stages!$2:$2,0)-MATCH("temp_stage",[1]stages!$2:$2,0)+1,FALSE)</f>
        <v>【中級】孤高の一角獣</v>
      </c>
      <c r="G419" s="3" t="str">
        <f ca="1">VLOOKUP($B419&amp;"_"&amp;$E419,OFFSET([1]stages!$A$1,0,0,COUNTA([1]stages!$A:$A),MATCH(G$1,[1]stages!$2:$2,0)-MATCH("temp_stage",[1]stages!$2:$2,0)+1),MATCH(G$1,[1]stages!$2:$2,0)-MATCH("temp_stage",[1]stages!$2:$2,0)+1,FALSE)</f>
        <v>ドロップイベント1-2</v>
      </c>
      <c r="H419" s="18">
        <v>0</v>
      </c>
      <c r="I419">
        <v>19</v>
      </c>
      <c r="J419" s="5" t="s">
        <v>16</v>
      </c>
      <c r="K419" s="35" t="str">
        <f>VLOOKUP(I419,[2]stage_hints!$A:$C,3,FALSE)</f>
        <v>ソロ専用チャレンジタワー</v>
      </c>
      <c r="L419" s="36" t="str">
        <f>VLOOKUP(I419,[2]stage_hints!$A:$D,4,FALSE)</f>
        <v>ソロ専用の「チャレンジタワー」では_x000D_各フロアごとにクリア報酬がもらえます</v>
      </c>
      <c r="M419" s="21" t="s">
        <v>23</v>
      </c>
      <c r="N419">
        <v>19</v>
      </c>
    </row>
    <row r="420" spans="1:14" x14ac:dyDescent="0.15">
      <c r="A420" s="26" t="s">
        <v>32</v>
      </c>
      <c r="B420" s="4">
        <v>20002</v>
      </c>
      <c r="C420" s="3" t="str">
        <f ca="1">VLOOKUP($B420,OFFSET([1]quests!$A$1,0,0,COUNTA([1]quests!$A:$A),MATCH(C$1,[1]quests!$1:$1,0)-MATCH($B$1,[1]quests!$1:$1,0)+1),MATCH(C$1,[1]quests!$1:$1,0)-MATCH($B$1,[1]quests!$1:$1,0)+1,FALSE)</f>
        <v>孤高の一角獣</v>
      </c>
      <c r="D420" s="3" t="str">
        <f ca="1">VLOOKUP($B420,OFFSET([1]quests!$A$1,0,0,COUNTA([1]quests!$A:$A),MATCH(D$1,[1]quests!$1:$1,0)-MATCH($B$1,[1]quests!$1:$1,0)+1),MATCH(D$1,[1]quests!$1:$1,0)-MATCH($B$1,[1]quests!$1:$1,0)+1,FALSE)</f>
        <v>ドロップイベント1-2</v>
      </c>
      <c r="E420" s="5">
        <v>2</v>
      </c>
      <c r="F420" s="3" t="str">
        <f ca="1">VLOOKUP($B420&amp;"_"&amp;$E420,OFFSET([1]stages!$A$1,0,0,COUNTA([1]stages!$A:$A),MATCH(F$1,[1]stages!$2:$2,0)-MATCH("temp_stage",[1]stages!$2:$2,0)+1),MATCH(F$1,[1]stages!$2:$2,0)-MATCH("temp_stage",[1]stages!$2:$2,0)+1,FALSE)</f>
        <v>【中級】孤高の一角獣</v>
      </c>
      <c r="G420" s="3" t="str">
        <f ca="1">VLOOKUP($B420&amp;"_"&amp;$E420,OFFSET([1]stages!$A$1,0,0,COUNTA([1]stages!$A:$A),MATCH(G$1,[1]stages!$2:$2,0)-MATCH("temp_stage",[1]stages!$2:$2,0)+1),MATCH(G$1,[1]stages!$2:$2,0)-MATCH("temp_stage",[1]stages!$2:$2,0)+1,FALSE)</f>
        <v>ドロップイベント1-2</v>
      </c>
      <c r="H420" s="18">
        <v>0</v>
      </c>
      <c r="I420">
        <v>20</v>
      </c>
      <c r="J420" s="5" t="s">
        <v>16</v>
      </c>
      <c r="K420" s="35" t="str">
        <f>VLOOKUP(I420,[2]stage_hints!$A:$C,3,FALSE)</f>
        <v>マルチプレイのメリット（その3）</v>
      </c>
      <c r="L420" s="36" t="str">
        <f>VLOOKUP(I420,[2]stage_hints!$A:$D,4,FALSE)</f>
        <v>マルチプレイへの参加はエナジー消費ゼロ_x000D_いつでも好きなだけ遊ぶことができます</v>
      </c>
      <c r="M420" s="21" t="s">
        <v>23</v>
      </c>
      <c r="N420">
        <v>20</v>
      </c>
    </row>
    <row r="421" spans="1:14" x14ac:dyDescent="0.15">
      <c r="A421" s="26" t="s">
        <v>32</v>
      </c>
      <c r="B421" s="4">
        <v>20002</v>
      </c>
      <c r="C421" s="3" t="str">
        <f ca="1">VLOOKUP($B421,OFFSET([1]quests!$A$1,0,0,COUNTA([1]quests!$A:$A),MATCH(C$1,[1]quests!$1:$1,0)-MATCH($B$1,[1]quests!$1:$1,0)+1),MATCH(C$1,[1]quests!$1:$1,0)-MATCH($B$1,[1]quests!$1:$1,0)+1,FALSE)</f>
        <v>孤高の一角獣</v>
      </c>
      <c r="D421" s="3" t="str">
        <f ca="1">VLOOKUP($B421,OFFSET([1]quests!$A$1,0,0,COUNTA([1]quests!$A:$A),MATCH(D$1,[1]quests!$1:$1,0)-MATCH($B$1,[1]quests!$1:$1,0)+1),MATCH(D$1,[1]quests!$1:$1,0)-MATCH($B$1,[1]quests!$1:$1,0)+1,FALSE)</f>
        <v>ドロップイベント1-2</v>
      </c>
      <c r="E421" s="5">
        <v>2</v>
      </c>
      <c r="F421" s="3" t="str">
        <f ca="1">VLOOKUP($B421&amp;"_"&amp;$E421,OFFSET([1]stages!$A$1,0,0,COUNTA([1]stages!$A:$A),MATCH(F$1,[1]stages!$2:$2,0)-MATCH("temp_stage",[1]stages!$2:$2,0)+1),MATCH(F$1,[1]stages!$2:$2,0)-MATCH("temp_stage",[1]stages!$2:$2,0)+1,FALSE)</f>
        <v>【中級】孤高の一角獣</v>
      </c>
      <c r="G421" s="3" t="str">
        <f ca="1">VLOOKUP($B421&amp;"_"&amp;$E421,OFFSET([1]stages!$A$1,0,0,COUNTA([1]stages!$A:$A),MATCH(G$1,[1]stages!$2:$2,0)-MATCH("temp_stage",[1]stages!$2:$2,0)+1),MATCH(G$1,[1]stages!$2:$2,0)-MATCH("temp_stage",[1]stages!$2:$2,0)+1,FALSE)</f>
        <v>ドロップイベント1-2</v>
      </c>
      <c r="H421" s="18">
        <v>0</v>
      </c>
      <c r="I421">
        <v>21</v>
      </c>
      <c r="J421" s="5" t="s">
        <v>16</v>
      </c>
      <c r="K421" s="35" t="str">
        <f>VLOOKUP(I421,[2]stage_hints!$A:$C,3,FALSE)</f>
        <v>スキルを有効に</v>
      </c>
      <c r="L421" s="36" t="str">
        <f>VLOOKUP(I421,[2]stage_hints!$A:$D,4,FALSE)</f>
        <v>ターン経過でユニットのスキルが使えます_x000D_強力スキルでバトルを有利に進めましょう</v>
      </c>
      <c r="M421" s="21" t="s">
        <v>23</v>
      </c>
      <c r="N421">
        <v>21</v>
      </c>
    </row>
    <row r="422" spans="1:14" x14ac:dyDescent="0.15">
      <c r="A422" s="26" t="s">
        <v>32</v>
      </c>
      <c r="B422" s="4">
        <v>20002</v>
      </c>
      <c r="C422" s="3" t="str">
        <f ca="1">VLOOKUP($B422,OFFSET([1]quests!$A$1,0,0,COUNTA([1]quests!$A:$A),MATCH(C$1,[1]quests!$1:$1,0)-MATCH($B$1,[1]quests!$1:$1,0)+1),MATCH(C$1,[1]quests!$1:$1,0)-MATCH($B$1,[1]quests!$1:$1,0)+1,FALSE)</f>
        <v>孤高の一角獣</v>
      </c>
      <c r="D422" s="3" t="str">
        <f ca="1">VLOOKUP($B422,OFFSET([1]quests!$A$1,0,0,COUNTA([1]quests!$A:$A),MATCH(D$1,[1]quests!$1:$1,0)-MATCH($B$1,[1]quests!$1:$1,0)+1),MATCH(D$1,[1]quests!$1:$1,0)-MATCH($B$1,[1]quests!$1:$1,0)+1,FALSE)</f>
        <v>ドロップイベント1-2</v>
      </c>
      <c r="E422" s="5">
        <v>2</v>
      </c>
      <c r="F422" s="3" t="str">
        <f ca="1">VLOOKUP($B422&amp;"_"&amp;$E422,OFFSET([1]stages!$A$1,0,0,COUNTA([1]stages!$A:$A),MATCH(F$1,[1]stages!$2:$2,0)-MATCH("temp_stage",[1]stages!$2:$2,0)+1),MATCH(F$1,[1]stages!$2:$2,0)-MATCH("temp_stage",[1]stages!$2:$2,0)+1,FALSE)</f>
        <v>【中級】孤高の一角獣</v>
      </c>
      <c r="G422" s="3" t="str">
        <f ca="1">VLOOKUP($B422&amp;"_"&amp;$E422,OFFSET([1]stages!$A$1,0,0,COUNTA([1]stages!$A:$A),MATCH(G$1,[1]stages!$2:$2,0)-MATCH("temp_stage",[1]stages!$2:$2,0)+1),MATCH(G$1,[1]stages!$2:$2,0)-MATCH("temp_stage",[1]stages!$2:$2,0)+1,FALSE)</f>
        <v>ドロップイベント1-2</v>
      </c>
      <c r="H422" s="18">
        <v>0</v>
      </c>
      <c r="I422">
        <v>22</v>
      </c>
      <c r="J422" s="5" t="s">
        <v>16</v>
      </c>
      <c r="K422" s="35" t="str">
        <f>VLOOKUP(I422,[2]stage_hints!$A:$C,3,FALSE)</f>
        <v>フィーバーで一発逆転（その1）</v>
      </c>
      <c r="L422" s="36" t="str">
        <f>VLOOKUP(I422,[2]stage_hints!$A:$D,4,FALSE)</f>
        <v>フィーバーは攻撃と回復を兼ね備えます_x000D_ピンチからの一発逆転を狙いましょう</v>
      </c>
      <c r="M422" s="21" t="s">
        <v>23</v>
      </c>
      <c r="N422">
        <v>22</v>
      </c>
    </row>
    <row r="423" spans="1:14" x14ac:dyDescent="0.15">
      <c r="A423" s="26" t="s">
        <v>32</v>
      </c>
      <c r="B423" s="4">
        <v>20002</v>
      </c>
      <c r="C423" s="3" t="str">
        <f ca="1">VLOOKUP($B423,OFFSET([1]quests!$A$1,0,0,COUNTA([1]quests!$A:$A),MATCH(C$1,[1]quests!$1:$1,0)-MATCH($B$1,[1]quests!$1:$1,0)+1),MATCH(C$1,[1]quests!$1:$1,0)-MATCH($B$1,[1]quests!$1:$1,0)+1,FALSE)</f>
        <v>孤高の一角獣</v>
      </c>
      <c r="D423" s="3" t="str">
        <f ca="1">VLOOKUP($B423,OFFSET([1]quests!$A$1,0,0,COUNTA([1]quests!$A:$A),MATCH(D$1,[1]quests!$1:$1,0)-MATCH($B$1,[1]quests!$1:$1,0)+1),MATCH(D$1,[1]quests!$1:$1,0)-MATCH($B$1,[1]quests!$1:$1,0)+1,FALSE)</f>
        <v>ドロップイベント1-2</v>
      </c>
      <c r="E423" s="5">
        <v>2</v>
      </c>
      <c r="F423" s="3" t="str">
        <f ca="1">VLOOKUP($B423&amp;"_"&amp;$E423,OFFSET([1]stages!$A$1,0,0,COUNTA([1]stages!$A:$A),MATCH(F$1,[1]stages!$2:$2,0)-MATCH("temp_stage",[1]stages!$2:$2,0)+1),MATCH(F$1,[1]stages!$2:$2,0)-MATCH("temp_stage",[1]stages!$2:$2,0)+1,FALSE)</f>
        <v>【中級】孤高の一角獣</v>
      </c>
      <c r="G423" s="3" t="str">
        <f ca="1">VLOOKUP($B423&amp;"_"&amp;$E423,OFFSET([1]stages!$A$1,0,0,COUNTA([1]stages!$A:$A),MATCH(G$1,[1]stages!$2:$2,0)-MATCH("temp_stage",[1]stages!$2:$2,0)+1),MATCH(G$1,[1]stages!$2:$2,0)-MATCH("temp_stage",[1]stages!$2:$2,0)+1,FALSE)</f>
        <v>ドロップイベント1-2</v>
      </c>
      <c r="H423" s="18">
        <v>0</v>
      </c>
      <c r="I423">
        <v>23</v>
      </c>
      <c r="J423" s="5" t="s">
        <v>16</v>
      </c>
      <c r="K423" s="35" t="str">
        <f>VLOOKUP(I423,[2]stage_hints!$A:$C,3,FALSE)</f>
        <v>フィーバーで一発逆転（その2）</v>
      </c>
      <c r="L423" s="36" t="str">
        <f>VLOOKUP(I423,[2]stage_hints!$A:$D,4,FALSE)</f>
        <v>フィーバー中は虹色のボムパネルを狙って_x000D_画面上のパネルを一気に破壊しましょう</v>
      </c>
      <c r="M423" s="21" t="s">
        <v>23</v>
      </c>
      <c r="N423">
        <v>23</v>
      </c>
    </row>
    <row r="424" spans="1:14" x14ac:dyDescent="0.15">
      <c r="A424" s="26" t="s">
        <v>32</v>
      </c>
      <c r="B424" s="4">
        <v>20002</v>
      </c>
      <c r="C424" s="3" t="str">
        <f ca="1">VLOOKUP($B424,OFFSET([1]quests!$A$1,0,0,COUNTA([1]quests!$A:$A),MATCH(C$1,[1]quests!$1:$1,0)-MATCH($B$1,[1]quests!$1:$1,0)+1),MATCH(C$1,[1]quests!$1:$1,0)-MATCH($B$1,[1]quests!$1:$1,0)+1,FALSE)</f>
        <v>孤高の一角獣</v>
      </c>
      <c r="D424" s="3" t="str">
        <f ca="1">VLOOKUP($B424,OFFSET([1]quests!$A$1,0,0,COUNTA([1]quests!$A:$A),MATCH(D$1,[1]quests!$1:$1,0)-MATCH($B$1,[1]quests!$1:$1,0)+1),MATCH(D$1,[1]quests!$1:$1,0)-MATCH($B$1,[1]quests!$1:$1,0)+1,FALSE)</f>
        <v>ドロップイベント1-2</v>
      </c>
      <c r="E424" s="5">
        <v>2</v>
      </c>
      <c r="F424" s="3" t="str">
        <f ca="1">VLOOKUP($B424&amp;"_"&amp;$E424,OFFSET([1]stages!$A$1,0,0,COUNTA([1]stages!$A:$A),MATCH(F$1,[1]stages!$2:$2,0)-MATCH("temp_stage",[1]stages!$2:$2,0)+1),MATCH(F$1,[1]stages!$2:$2,0)-MATCH("temp_stage",[1]stages!$2:$2,0)+1,FALSE)</f>
        <v>【中級】孤高の一角獣</v>
      </c>
      <c r="G424" s="3" t="str">
        <f ca="1">VLOOKUP($B424&amp;"_"&amp;$E424,OFFSET([1]stages!$A$1,0,0,COUNTA([1]stages!$A:$A),MATCH(G$1,[1]stages!$2:$2,0)-MATCH("temp_stage",[1]stages!$2:$2,0)+1),MATCH(G$1,[1]stages!$2:$2,0)-MATCH("temp_stage",[1]stages!$2:$2,0)+1,FALSE)</f>
        <v>ドロップイベント1-2</v>
      </c>
      <c r="H424" s="18">
        <v>0</v>
      </c>
      <c r="I424">
        <v>24</v>
      </c>
      <c r="J424" s="5" t="s">
        <v>16</v>
      </c>
      <c r="K424" s="35" t="str">
        <f>VLOOKUP(I424,[2]stage_hints!$A:$C,3,FALSE)</f>
        <v>りんごを使って限界突破</v>
      </c>
      <c r="L424" s="36" t="str">
        <f>VLOOKUP(I424,[2]stage_hints!$A:$D,4,FALSE)</f>
        <v>赤りんご(攻撃力) 青りんご(回復力)_x000D_緑りんご(体力)をユニット強化に使うと_x000D_ステータスが限界突破します（計99個迄）</v>
      </c>
      <c r="M424" s="21" t="s">
        <v>23</v>
      </c>
      <c r="N424">
        <v>24</v>
      </c>
    </row>
    <row r="425" spans="1:14" x14ac:dyDescent="0.15">
      <c r="A425" s="26" t="s">
        <v>32</v>
      </c>
      <c r="B425" s="4">
        <v>20002</v>
      </c>
      <c r="C425" s="3" t="str">
        <f ca="1">VLOOKUP($B425,OFFSET([1]quests!$A$1,0,0,COUNTA([1]quests!$A:$A),MATCH(C$1,[1]quests!$1:$1,0)-MATCH($B$1,[1]quests!$1:$1,0)+1),MATCH(C$1,[1]quests!$1:$1,0)-MATCH($B$1,[1]quests!$1:$1,0)+1,FALSE)</f>
        <v>孤高の一角獣</v>
      </c>
      <c r="D425" s="3" t="str">
        <f ca="1">VLOOKUP($B425,OFFSET([1]quests!$A$1,0,0,COUNTA([1]quests!$A:$A),MATCH(D$1,[1]quests!$1:$1,0)-MATCH($B$1,[1]quests!$1:$1,0)+1),MATCH(D$1,[1]quests!$1:$1,0)-MATCH($B$1,[1]quests!$1:$1,0)+1,FALSE)</f>
        <v>ドロップイベント1-2</v>
      </c>
      <c r="E425" s="5">
        <v>2</v>
      </c>
      <c r="F425" s="3" t="str">
        <f ca="1">VLOOKUP($B425&amp;"_"&amp;$E425,OFFSET([1]stages!$A$1,0,0,COUNTA([1]stages!$A:$A),MATCH(F$1,[1]stages!$2:$2,0)-MATCH("temp_stage",[1]stages!$2:$2,0)+1),MATCH(F$1,[1]stages!$2:$2,0)-MATCH("temp_stage",[1]stages!$2:$2,0)+1,FALSE)</f>
        <v>【中級】孤高の一角獣</v>
      </c>
      <c r="G425" s="3" t="str">
        <f ca="1">VLOOKUP($B425&amp;"_"&amp;$E425,OFFSET([1]stages!$A$1,0,0,COUNTA([1]stages!$A:$A),MATCH(G$1,[1]stages!$2:$2,0)-MATCH("temp_stage",[1]stages!$2:$2,0)+1),MATCH(G$1,[1]stages!$2:$2,0)-MATCH("temp_stage",[1]stages!$2:$2,0)+1,FALSE)</f>
        <v>ドロップイベント1-2</v>
      </c>
      <c r="H425" s="18">
        <v>0</v>
      </c>
      <c r="I425">
        <v>25</v>
      </c>
      <c r="J425" s="5" t="s">
        <v>16</v>
      </c>
      <c r="K425" s="35" t="str">
        <f>VLOOKUP(I425,[2]stage_hints!$A:$C,3,FALSE)</f>
        <v>スキルレベルアップ</v>
      </c>
      <c r="L425" s="36" t="str">
        <f>VLOOKUP(I425,[2]stage_hints!$A:$D,4,FALSE)</f>
        <v>「クリスタルのりんご」を強化に使うと_x000D_スキルレベルを上げることができます</v>
      </c>
      <c r="M425" s="21" t="s">
        <v>23</v>
      </c>
      <c r="N425">
        <v>25</v>
      </c>
    </row>
    <row r="426" spans="1:14" x14ac:dyDescent="0.15">
      <c r="A426" s="26" t="s">
        <v>32</v>
      </c>
      <c r="B426" s="4">
        <v>20002</v>
      </c>
      <c r="C426" s="3" t="str">
        <f ca="1">VLOOKUP($B426,OFFSET([1]quests!$A$1,0,0,COUNTA([1]quests!$A:$A),MATCH(C$1,[1]quests!$1:$1,0)-MATCH($B$1,[1]quests!$1:$1,0)+1),MATCH(C$1,[1]quests!$1:$1,0)-MATCH($B$1,[1]quests!$1:$1,0)+1,FALSE)</f>
        <v>孤高の一角獣</v>
      </c>
      <c r="D426" s="3" t="str">
        <f ca="1">VLOOKUP($B426,OFFSET([1]quests!$A$1,0,0,COUNTA([1]quests!$A:$A),MATCH(D$1,[1]quests!$1:$1,0)-MATCH($B$1,[1]quests!$1:$1,0)+1),MATCH(D$1,[1]quests!$1:$1,0)-MATCH($B$1,[1]quests!$1:$1,0)+1,FALSE)</f>
        <v>ドロップイベント1-2</v>
      </c>
      <c r="E426" s="5">
        <v>2</v>
      </c>
      <c r="F426" s="3" t="str">
        <f ca="1">VLOOKUP($B426&amp;"_"&amp;$E426,OFFSET([1]stages!$A$1,0,0,COUNTA([1]stages!$A:$A),MATCH(F$1,[1]stages!$2:$2,0)-MATCH("temp_stage",[1]stages!$2:$2,0)+1),MATCH(F$1,[1]stages!$2:$2,0)-MATCH("temp_stage",[1]stages!$2:$2,0)+1,FALSE)</f>
        <v>【中級】孤高の一角獣</v>
      </c>
      <c r="G426" s="3" t="str">
        <f ca="1">VLOOKUP($B426&amp;"_"&amp;$E426,OFFSET([1]stages!$A$1,0,0,COUNTA([1]stages!$A:$A),MATCH(G$1,[1]stages!$2:$2,0)-MATCH("temp_stage",[1]stages!$2:$2,0)+1),MATCH(G$1,[1]stages!$2:$2,0)-MATCH("temp_stage",[1]stages!$2:$2,0)+1,FALSE)</f>
        <v>ドロップイベント1-2</v>
      </c>
      <c r="H426" s="18">
        <v>0</v>
      </c>
      <c r="I426">
        <v>26</v>
      </c>
      <c r="J426" s="5" t="s">
        <v>16</v>
      </c>
      <c r="K426" s="35" t="str">
        <f>VLOOKUP(I426,[2]stage_hints!$A:$C,3,FALSE)</f>
        <v>スキルレベルの効果</v>
      </c>
      <c r="L426" s="36" t="str">
        <f>VLOOKUP(I426,[2]stage_hints!$A:$D,4,FALSE)</f>
        <v>スキルレベルが上がると_x000D_短いターンでスキルを使うことができます</v>
      </c>
      <c r="M426" s="21" t="s">
        <v>23</v>
      </c>
      <c r="N426">
        <v>26</v>
      </c>
    </row>
    <row r="427" spans="1:14" x14ac:dyDescent="0.15">
      <c r="A427" s="26" t="s">
        <v>32</v>
      </c>
      <c r="B427" s="4">
        <v>20002</v>
      </c>
      <c r="C427" s="3" t="str">
        <f ca="1">VLOOKUP($B427,OFFSET([1]quests!$A$1,0,0,COUNTA([1]quests!$A:$A),MATCH(C$1,[1]quests!$1:$1,0)-MATCH($B$1,[1]quests!$1:$1,0)+1),MATCH(C$1,[1]quests!$1:$1,0)-MATCH($B$1,[1]quests!$1:$1,0)+1,FALSE)</f>
        <v>孤高の一角獣</v>
      </c>
      <c r="D427" s="3" t="str">
        <f ca="1">VLOOKUP($B427,OFFSET([1]quests!$A$1,0,0,COUNTA([1]quests!$A:$A),MATCH(D$1,[1]quests!$1:$1,0)-MATCH($B$1,[1]quests!$1:$1,0)+1),MATCH(D$1,[1]quests!$1:$1,0)-MATCH($B$1,[1]quests!$1:$1,0)+1,FALSE)</f>
        <v>ドロップイベント1-2</v>
      </c>
      <c r="E427" s="5">
        <v>2</v>
      </c>
      <c r="F427" s="3" t="str">
        <f ca="1">VLOOKUP($B427&amp;"_"&amp;$E427,OFFSET([1]stages!$A$1,0,0,COUNTA([1]stages!$A:$A),MATCH(F$1,[1]stages!$2:$2,0)-MATCH("temp_stage",[1]stages!$2:$2,0)+1),MATCH(F$1,[1]stages!$2:$2,0)-MATCH("temp_stage",[1]stages!$2:$2,0)+1,FALSE)</f>
        <v>【中級】孤高の一角獣</v>
      </c>
      <c r="G427" s="3" t="str">
        <f ca="1">VLOOKUP($B427&amp;"_"&amp;$E427,OFFSET([1]stages!$A$1,0,0,COUNTA([1]stages!$A:$A),MATCH(G$1,[1]stages!$2:$2,0)-MATCH("temp_stage",[1]stages!$2:$2,0)+1),MATCH(G$1,[1]stages!$2:$2,0)-MATCH("temp_stage",[1]stages!$2:$2,0)+1,FALSE)</f>
        <v>ドロップイベント1-2</v>
      </c>
      <c r="H427" s="18">
        <v>0</v>
      </c>
      <c r="I427">
        <v>27</v>
      </c>
      <c r="J427" s="5" t="s">
        <v>16</v>
      </c>
      <c r="K427" s="35" t="str">
        <f>VLOOKUP(I427,[2]stage_hints!$A:$C,3,FALSE)</f>
        <v>ホーム画面からデッキを編成</v>
      </c>
      <c r="L427" s="36" t="str">
        <f>VLOOKUP(I427,[2]stage_hints!$A:$D,4,FALSE)</f>
        <v>ホーム画面でユニットを長押しすると_x000D_すぐにパーティ編成に移動できます</v>
      </c>
      <c r="M427" s="21" t="s">
        <v>23</v>
      </c>
      <c r="N427">
        <v>27</v>
      </c>
    </row>
    <row r="428" spans="1:14" x14ac:dyDescent="0.15">
      <c r="A428" s="26" t="s">
        <v>32</v>
      </c>
      <c r="B428" s="4">
        <v>20002</v>
      </c>
      <c r="C428" s="3" t="str">
        <f ca="1">VLOOKUP($B428,OFFSET([1]quests!$A$1,0,0,COUNTA([1]quests!$A:$A),MATCH(C$1,[1]quests!$1:$1,0)-MATCH($B$1,[1]quests!$1:$1,0)+1),MATCH(C$1,[1]quests!$1:$1,0)-MATCH($B$1,[1]quests!$1:$1,0)+1,FALSE)</f>
        <v>孤高の一角獣</v>
      </c>
      <c r="D428" s="3" t="str">
        <f ca="1">VLOOKUP($B428,OFFSET([1]quests!$A$1,0,0,COUNTA([1]quests!$A:$A),MATCH(D$1,[1]quests!$1:$1,0)-MATCH($B$1,[1]quests!$1:$1,0)+1),MATCH(D$1,[1]quests!$1:$1,0)-MATCH($B$1,[1]quests!$1:$1,0)+1,FALSE)</f>
        <v>ドロップイベント1-2</v>
      </c>
      <c r="E428" s="5">
        <v>2</v>
      </c>
      <c r="F428" s="3" t="str">
        <f ca="1">VLOOKUP($B428&amp;"_"&amp;$E428,OFFSET([1]stages!$A$1,0,0,COUNTA([1]stages!$A:$A),MATCH(F$1,[1]stages!$2:$2,0)-MATCH("temp_stage",[1]stages!$2:$2,0)+1),MATCH(F$1,[1]stages!$2:$2,0)-MATCH("temp_stage",[1]stages!$2:$2,0)+1,FALSE)</f>
        <v>【中級】孤高の一角獣</v>
      </c>
      <c r="G428" s="3" t="str">
        <f ca="1">VLOOKUP($B428&amp;"_"&amp;$E428,OFFSET([1]stages!$A$1,0,0,COUNTA([1]stages!$A:$A),MATCH(G$1,[1]stages!$2:$2,0)-MATCH("temp_stage",[1]stages!$2:$2,0)+1),MATCH(G$1,[1]stages!$2:$2,0)-MATCH("temp_stage",[1]stages!$2:$2,0)+1,FALSE)</f>
        <v>ドロップイベント1-2</v>
      </c>
      <c r="H428" s="18">
        <v>0</v>
      </c>
      <c r="I428">
        <v>28</v>
      </c>
      <c r="J428" s="5" t="s">
        <v>16</v>
      </c>
      <c r="K428" s="35" t="str">
        <f>VLOOKUP(I428,[2]stage_hints!$A:$C,3,FALSE)</f>
        <v>ステータス情報は長押しで</v>
      </c>
      <c r="L428" s="36" t="str">
        <f>VLOOKUP(I428,[2]stage_hints!$A:$D,4,FALSE)</f>
        <v>ユニットのアイコンを長押しすると_x000D_ステータス情報を確認することができます</v>
      </c>
      <c r="M428" s="21" t="s">
        <v>23</v>
      </c>
      <c r="N428">
        <v>28</v>
      </c>
    </row>
    <row r="429" spans="1:14" x14ac:dyDescent="0.15">
      <c r="A429" s="26" t="s">
        <v>32</v>
      </c>
      <c r="B429" s="4">
        <v>20002</v>
      </c>
      <c r="C429" s="3" t="str">
        <f ca="1">VLOOKUP($B429,OFFSET([1]quests!$A$1,0,0,COUNTA([1]quests!$A:$A),MATCH(C$1,[1]quests!$1:$1,0)-MATCH($B$1,[1]quests!$1:$1,0)+1),MATCH(C$1,[1]quests!$1:$1,0)-MATCH($B$1,[1]quests!$1:$1,0)+1,FALSE)</f>
        <v>孤高の一角獣</v>
      </c>
      <c r="D429" s="3" t="str">
        <f ca="1">VLOOKUP($B429,OFFSET([1]quests!$A$1,0,0,COUNTA([1]quests!$A:$A),MATCH(D$1,[1]quests!$1:$1,0)-MATCH($B$1,[1]quests!$1:$1,0)+1),MATCH(D$1,[1]quests!$1:$1,0)-MATCH($B$1,[1]quests!$1:$1,0)+1,FALSE)</f>
        <v>ドロップイベント1-2</v>
      </c>
      <c r="E429" s="5">
        <v>2</v>
      </c>
      <c r="F429" s="3" t="str">
        <f ca="1">VLOOKUP($B429&amp;"_"&amp;$E429,OFFSET([1]stages!$A$1,0,0,COUNTA([1]stages!$A:$A),MATCH(F$1,[1]stages!$2:$2,0)-MATCH("temp_stage",[1]stages!$2:$2,0)+1),MATCH(F$1,[1]stages!$2:$2,0)-MATCH("temp_stage",[1]stages!$2:$2,0)+1,FALSE)</f>
        <v>【中級】孤高の一角獣</v>
      </c>
      <c r="G429" s="3" t="str">
        <f ca="1">VLOOKUP($B429&amp;"_"&amp;$E429,OFFSET([1]stages!$A$1,0,0,COUNTA([1]stages!$A:$A),MATCH(G$1,[1]stages!$2:$2,0)-MATCH("temp_stage",[1]stages!$2:$2,0)+1),MATCH(G$1,[1]stages!$2:$2,0)-MATCH("temp_stage",[1]stages!$2:$2,0)+1,FALSE)</f>
        <v>ドロップイベント1-2</v>
      </c>
      <c r="H429" s="18">
        <v>0</v>
      </c>
      <c r="I429">
        <v>29</v>
      </c>
      <c r="J429" s="5" t="s">
        <v>16</v>
      </c>
      <c r="K429" s="35" t="str">
        <f>VLOOKUP(I429,[2]stage_hints!$A:$C,3,FALSE)</f>
        <v>「バグ」のメリット</v>
      </c>
      <c r="L429" s="36" t="str">
        <f>VLOOKUP(I429,[2]stage_hints!$A:$D,4,FALSE)</f>
        <v>ユニットの「バグ」を増やすと_x000D_報酬をもらえる確率がアップします</v>
      </c>
      <c r="M429" s="21" t="s">
        <v>23</v>
      </c>
      <c r="N429">
        <v>29</v>
      </c>
    </row>
    <row r="430" spans="1:14" x14ac:dyDescent="0.15">
      <c r="A430" s="26" t="s">
        <v>32</v>
      </c>
      <c r="B430" s="4">
        <v>20002</v>
      </c>
      <c r="C430" s="3" t="str">
        <f ca="1">VLOOKUP($B430,OFFSET([1]quests!$A$1,0,0,COUNTA([1]quests!$A:$A),MATCH(C$1,[1]quests!$1:$1,0)-MATCH($B$1,[1]quests!$1:$1,0)+1),MATCH(C$1,[1]quests!$1:$1,0)-MATCH($B$1,[1]quests!$1:$1,0)+1,FALSE)</f>
        <v>孤高の一角獣</v>
      </c>
      <c r="D430" s="3" t="str">
        <f ca="1">VLOOKUP($B430,OFFSET([1]quests!$A$1,0,0,COUNTA([1]quests!$A:$A),MATCH(D$1,[1]quests!$1:$1,0)-MATCH($B$1,[1]quests!$1:$1,0)+1),MATCH(D$1,[1]quests!$1:$1,0)-MATCH($B$1,[1]quests!$1:$1,0)+1,FALSE)</f>
        <v>ドロップイベント1-2</v>
      </c>
      <c r="E430" s="5">
        <v>2</v>
      </c>
      <c r="F430" s="3" t="str">
        <f ca="1">VLOOKUP($B430&amp;"_"&amp;$E430,OFFSET([1]stages!$A$1,0,0,COUNTA([1]stages!$A:$A),MATCH(F$1,[1]stages!$2:$2,0)-MATCH("temp_stage",[1]stages!$2:$2,0)+1),MATCH(F$1,[1]stages!$2:$2,0)-MATCH("temp_stage",[1]stages!$2:$2,0)+1,FALSE)</f>
        <v>【中級】孤高の一角獣</v>
      </c>
      <c r="G430" s="3" t="str">
        <f ca="1">VLOOKUP($B430&amp;"_"&amp;$E430,OFFSET([1]stages!$A$1,0,0,COUNTA([1]stages!$A:$A),MATCH(G$1,[1]stages!$2:$2,0)-MATCH("temp_stage",[1]stages!$2:$2,0)+1),MATCH(G$1,[1]stages!$2:$2,0)-MATCH("temp_stage",[1]stages!$2:$2,0)+1,FALSE)</f>
        <v>ドロップイベント1-2</v>
      </c>
      <c r="H430" s="18">
        <v>0</v>
      </c>
      <c r="I430">
        <v>30</v>
      </c>
      <c r="J430" s="5" t="s">
        <v>16</v>
      </c>
      <c r="K430" s="35" t="str">
        <f>VLOOKUP(I430,[2]stage_hints!$A:$C,3,FALSE)</f>
        <v>「バグ」の増やし方</v>
      </c>
      <c r="L430" s="36" t="str">
        <f>VLOOKUP(I430,[2]stage_hints!$A:$D,4,FALSE)</f>
        <v>同じユニット同士を強化で合成すると_x000D_「バグ」を増やすことができます</v>
      </c>
      <c r="M430" s="21" t="s">
        <v>23</v>
      </c>
      <c r="N430">
        <v>30</v>
      </c>
    </row>
    <row r="431" spans="1:14" x14ac:dyDescent="0.15">
      <c r="A431" s="26" t="s">
        <v>32</v>
      </c>
      <c r="B431" s="4">
        <v>20002</v>
      </c>
      <c r="C431" s="3" t="str">
        <f ca="1">VLOOKUP($B431,OFFSET([1]quests!$A$1,0,0,COUNTA([1]quests!$A:$A),MATCH(C$1,[1]quests!$1:$1,0)-MATCH($B$1,[1]quests!$1:$1,0)+1),MATCH(C$1,[1]quests!$1:$1,0)-MATCH($B$1,[1]quests!$1:$1,0)+1,FALSE)</f>
        <v>孤高の一角獣</v>
      </c>
      <c r="D431" s="3" t="str">
        <f ca="1">VLOOKUP($B431,OFFSET([1]quests!$A$1,0,0,COUNTA([1]quests!$A:$A),MATCH(D$1,[1]quests!$1:$1,0)-MATCH($B$1,[1]quests!$1:$1,0)+1),MATCH(D$1,[1]quests!$1:$1,0)-MATCH($B$1,[1]quests!$1:$1,0)+1,FALSE)</f>
        <v>ドロップイベント1-2</v>
      </c>
      <c r="E431" s="5">
        <v>2</v>
      </c>
      <c r="F431" s="3" t="str">
        <f ca="1">VLOOKUP($B431&amp;"_"&amp;$E431,OFFSET([1]stages!$A$1,0,0,COUNTA([1]stages!$A:$A),MATCH(F$1,[1]stages!$2:$2,0)-MATCH("temp_stage",[1]stages!$2:$2,0)+1),MATCH(F$1,[1]stages!$2:$2,0)-MATCH("temp_stage",[1]stages!$2:$2,0)+1,FALSE)</f>
        <v>【中級】孤高の一角獣</v>
      </c>
      <c r="G431" s="3" t="str">
        <f ca="1">VLOOKUP($B431&amp;"_"&amp;$E431,OFFSET([1]stages!$A$1,0,0,COUNTA([1]stages!$A:$A),MATCH(G$1,[1]stages!$2:$2,0)-MATCH("temp_stage",[1]stages!$2:$2,0)+1),MATCH(G$1,[1]stages!$2:$2,0)-MATCH("temp_stage",[1]stages!$2:$2,0)+1,FALSE)</f>
        <v>ドロップイベント1-2</v>
      </c>
      <c r="H431" s="18">
        <v>0</v>
      </c>
      <c r="I431">
        <v>31</v>
      </c>
      <c r="J431" s="5" t="s">
        <v>16</v>
      </c>
      <c r="K431" s="35" t="str">
        <f>VLOOKUP(I431,[2]stage_hints!$A:$C,3,FALSE)</f>
        <v>イベントはお知らせでチェック</v>
      </c>
      <c r="L431" s="36" t="str">
        <f>VLOOKUP(I431,[2]stage_hints!$A:$D,4,FALSE)</f>
        <v>イベント限定ユニットを取り忘れないように_x000D_お知らせをこまめにチェックしましょう</v>
      </c>
      <c r="M431" s="21" t="s">
        <v>23</v>
      </c>
      <c r="N431">
        <v>31</v>
      </c>
    </row>
    <row r="432" spans="1:14" x14ac:dyDescent="0.15">
      <c r="A432" s="26" t="s">
        <v>32</v>
      </c>
      <c r="B432" s="4">
        <v>20002</v>
      </c>
      <c r="C432" s="3" t="str">
        <f ca="1">VLOOKUP($B432,OFFSET([1]quests!$A$1,0,0,COUNTA([1]quests!$A:$A),MATCH(C$1,[1]quests!$1:$1,0)-MATCH($B$1,[1]quests!$1:$1,0)+1),MATCH(C$1,[1]quests!$1:$1,0)-MATCH($B$1,[1]quests!$1:$1,0)+1,FALSE)</f>
        <v>孤高の一角獣</v>
      </c>
      <c r="D432" s="3" t="str">
        <f ca="1">VLOOKUP($B432,OFFSET([1]quests!$A$1,0,0,COUNTA([1]quests!$A:$A),MATCH(D$1,[1]quests!$1:$1,0)-MATCH($B$1,[1]quests!$1:$1,0)+1),MATCH(D$1,[1]quests!$1:$1,0)-MATCH($B$1,[1]quests!$1:$1,0)+1,FALSE)</f>
        <v>ドロップイベント1-2</v>
      </c>
      <c r="E432" s="5">
        <v>2</v>
      </c>
      <c r="F432" s="3" t="str">
        <f ca="1">VLOOKUP($B432&amp;"_"&amp;$E432,OFFSET([1]stages!$A$1,0,0,COUNTA([1]stages!$A:$A),MATCH(F$1,[1]stages!$2:$2,0)-MATCH("temp_stage",[1]stages!$2:$2,0)+1),MATCH(F$1,[1]stages!$2:$2,0)-MATCH("temp_stage",[1]stages!$2:$2,0)+1,FALSE)</f>
        <v>【中級】孤高の一角獣</v>
      </c>
      <c r="G432" s="3" t="str">
        <f ca="1">VLOOKUP($B432&amp;"_"&amp;$E432,OFFSET([1]stages!$A$1,0,0,COUNTA([1]stages!$A:$A),MATCH(G$1,[1]stages!$2:$2,0)-MATCH("temp_stage",[1]stages!$2:$2,0)+1),MATCH(G$1,[1]stages!$2:$2,0)-MATCH("temp_stage",[1]stages!$2:$2,0)+1,FALSE)</f>
        <v>ドロップイベント1-2</v>
      </c>
      <c r="H432" s="18">
        <v>0</v>
      </c>
      <c r="I432">
        <v>32</v>
      </c>
      <c r="J432" s="5" t="s">
        <v>16</v>
      </c>
      <c r="K432" s="35" t="str">
        <f>VLOOKUP(I432,[2]stage_hints!$A:$C,3,FALSE)</f>
        <v>敵の連続攻撃には</v>
      </c>
      <c r="L432" s="36" t="str">
        <f>VLOOKUP(I432,[2]stage_hints!$A:$D,4,FALSE)</f>
        <v>カウンタースキルを持つユニットがいれば_x000D_ダメージ回数分の反撃ができます</v>
      </c>
      <c r="M432" s="21" t="s">
        <v>23</v>
      </c>
      <c r="N432">
        <v>32</v>
      </c>
    </row>
    <row r="433" spans="1:14" x14ac:dyDescent="0.15">
      <c r="A433" s="26" t="s">
        <v>32</v>
      </c>
      <c r="B433" s="4">
        <v>20002</v>
      </c>
      <c r="C433" s="3" t="str">
        <f ca="1">VLOOKUP($B433,OFFSET([1]quests!$A$1,0,0,COUNTA([1]quests!$A:$A),MATCH(C$1,[1]quests!$1:$1,0)-MATCH($B$1,[1]quests!$1:$1,0)+1),MATCH(C$1,[1]quests!$1:$1,0)-MATCH($B$1,[1]quests!$1:$1,0)+1,FALSE)</f>
        <v>孤高の一角獣</v>
      </c>
      <c r="D433" s="3" t="str">
        <f ca="1">VLOOKUP($B433,OFFSET([1]quests!$A$1,0,0,COUNTA([1]quests!$A:$A),MATCH(D$1,[1]quests!$1:$1,0)-MATCH($B$1,[1]quests!$1:$1,0)+1),MATCH(D$1,[1]quests!$1:$1,0)-MATCH($B$1,[1]quests!$1:$1,0)+1,FALSE)</f>
        <v>ドロップイベント1-2</v>
      </c>
      <c r="E433" s="5">
        <v>2</v>
      </c>
      <c r="F433" s="3" t="str">
        <f ca="1">VLOOKUP($B433&amp;"_"&amp;$E433,OFFSET([1]stages!$A$1,0,0,COUNTA([1]stages!$A:$A),MATCH(F$1,[1]stages!$2:$2,0)-MATCH("temp_stage",[1]stages!$2:$2,0)+1),MATCH(F$1,[1]stages!$2:$2,0)-MATCH("temp_stage",[1]stages!$2:$2,0)+1,FALSE)</f>
        <v>【中級】孤高の一角獣</v>
      </c>
      <c r="G433" s="3" t="str">
        <f ca="1">VLOOKUP($B433&amp;"_"&amp;$E433,OFFSET([1]stages!$A$1,0,0,COUNTA([1]stages!$A:$A),MATCH(G$1,[1]stages!$2:$2,0)-MATCH("temp_stage",[1]stages!$2:$2,0)+1),MATCH(G$1,[1]stages!$2:$2,0)-MATCH("temp_stage",[1]stages!$2:$2,0)+1,FALSE)</f>
        <v>ドロップイベント1-2</v>
      </c>
      <c r="H433" s="18">
        <v>0</v>
      </c>
      <c r="I433">
        <v>33</v>
      </c>
      <c r="J433" s="5" t="s">
        <v>16</v>
      </c>
      <c r="K433" s="35" t="str">
        <f>VLOOKUP(I433,[2]stage_hints!$A:$C,3,FALSE)</f>
        <v>敵のカウンター攻撃には</v>
      </c>
      <c r="L433" s="36" t="str">
        <f>VLOOKUP(I433,[2]stage_hints!$A:$D,4,FALSE)</f>
        <v>カウンターブレイクスキルを持っていれば_x000D_敵のカウンターを解除して攻撃ができます</v>
      </c>
      <c r="M433" s="21" t="s">
        <v>23</v>
      </c>
      <c r="N433">
        <v>33</v>
      </c>
    </row>
    <row r="434" spans="1:14" x14ac:dyDescent="0.15">
      <c r="A434" s="26" t="s">
        <v>32</v>
      </c>
      <c r="B434" s="4">
        <v>20002</v>
      </c>
      <c r="C434" s="3" t="str">
        <f ca="1">VLOOKUP($B434,OFFSET([1]quests!$A$1,0,0,COUNTA([1]quests!$A:$A),MATCH(C$1,[1]quests!$1:$1,0)-MATCH($B$1,[1]quests!$1:$1,0)+1),MATCH(C$1,[1]quests!$1:$1,0)-MATCH($B$1,[1]quests!$1:$1,0)+1,FALSE)</f>
        <v>孤高の一角獣</v>
      </c>
      <c r="D434" s="3" t="str">
        <f ca="1">VLOOKUP($B434,OFFSET([1]quests!$A$1,0,0,COUNTA([1]quests!$A:$A),MATCH(D$1,[1]quests!$1:$1,0)-MATCH($B$1,[1]quests!$1:$1,0)+1),MATCH(D$1,[1]quests!$1:$1,0)-MATCH($B$1,[1]quests!$1:$1,0)+1,FALSE)</f>
        <v>ドロップイベント1-2</v>
      </c>
      <c r="E434" s="5">
        <v>2</v>
      </c>
      <c r="F434" s="3" t="str">
        <f ca="1">VLOOKUP($B434&amp;"_"&amp;$E434,OFFSET([1]stages!$A$1,0,0,COUNTA([1]stages!$A:$A),MATCH(F$1,[1]stages!$2:$2,0)-MATCH("temp_stage",[1]stages!$2:$2,0)+1),MATCH(F$1,[1]stages!$2:$2,0)-MATCH("temp_stage",[1]stages!$2:$2,0)+1,FALSE)</f>
        <v>【中級】孤高の一角獣</v>
      </c>
      <c r="G434" s="3" t="str">
        <f ca="1">VLOOKUP($B434&amp;"_"&amp;$E434,OFFSET([1]stages!$A$1,0,0,COUNTA([1]stages!$A:$A),MATCH(G$1,[1]stages!$2:$2,0)-MATCH("temp_stage",[1]stages!$2:$2,0)+1),MATCH(G$1,[1]stages!$2:$2,0)-MATCH("temp_stage",[1]stages!$2:$2,0)+1,FALSE)</f>
        <v>ドロップイベント1-2</v>
      </c>
      <c r="H434" s="18">
        <v>0</v>
      </c>
      <c r="I434">
        <v>34</v>
      </c>
      <c r="J434" s="5" t="s">
        <v>16</v>
      </c>
      <c r="K434" s="35" t="str">
        <f>VLOOKUP(I434,[2]stage_hints!$A:$C,3,FALSE)</f>
        <v>ステータスをスキルで下げられたら</v>
      </c>
      <c r="L434" s="36" t="str">
        <f>VLOOKUP(I434,[2]stage_hints!$A:$D,4,FALSE)</f>
        <v>ステータスダウンのスキルを受けたら_x000D_ステータスアップスキルで上書きしましょう</v>
      </c>
      <c r="M434" s="21" t="s">
        <v>23</v>
      </c>
      <c r="N434">
        <v>34</v>
      </c>
    </row>
    <row r="435" spans="1:14" x14ac:dyDescent="0.15">
      <c r="A435" s="26" t="s">
        <v>32</v>
      </c>
      <c r="B435" s="4">
        <v>20002</v>
      </c>
      <c r="C435" s="3" t="str">
        <f ca="1">VLOOKUP($B435,OFFSET([1]quests!$A$1,0,0,COUNTA([1]quests!$A:$A),MATCH(C$1,[1]quests!$1:$1,0)-MATCH($B$1,[1]quests!$1:$1,0)+1),MATCH(C$1,[1]quests!$1:$1,0)-MATCH($B$1,[1]quests!$1:$1,0)+1,FALSE)</f>
        <v>孤高の一角獣</v>
      </c>
      <c r="D435" s="3" t="str">
        <f ca="1">VLOOKUP($B435,OFFSET([1]quests!$A$1,0,0,COUNTA([1]quests!$A:$A),MATCH(D$1,[1]quests!$1:$1,0)-MATCH($B$1,[1]quests!$1:$1,0)+1),MATCH(D$1,[1]quests!$1:$1,0)-MATCH($B$1,[1]quests!$1:$1,0)+1,FALSE)</f>
        <v>ドロップイベント1-2</v>
      </c>
      <c r="E435" s="5">
        <v>2</v>
      </c>
      <c r="F435" s="3" t="str">
        <f ca="1">VLOOKUP($B435&amp;"_"&amp;$E435,OFFSET([1]stages!$A$1,0,0,COUNTA([1]stages!$A:$A),MATCH(F$1,[1]stages!$2:$2,0)-MATCH("temp_stage",[1]stages!$2:$2,0)+1),MATCH(F$1,[1]stages!$2:$2,0)-MATCH("temp_stage",[1]stages!$2:$2,0)+1,FALSE)</f>
        <v>【中級】孤高の一角獣</v>
      </c>
      <c r="G435" s="3" t="str">
        <f ca="1">VLOOKUP($B435&amp;"_"&amp;$E435,OFFSET([1]stages!$A$1,0,0,COUNTA([1]stages!$A:$A),MATCH(G$1,[1]stages!$2:$2,0)-MATCH("temp_stage",[1]stages!$2:$2,0)+1),MATCH(G$1,[1]stages!$2:$2,0)-MATCH("temp_stage",[1]stages!$2:$2,0)+1,FALSE)</f>
        <v>ドロップイベント1-2</v>
      </c>
      <c r="H435" s="18">
        <v>0</v>
      </c>
      <c r="I435">
        <v>35</v>
      </c>
      <c r="J435" s="5" t="s">
        <v>16</v>
      </c>
      <c r="K435" s="35" t="str">
        <f>VLOOKUP(I435,[2]stage_hints!$A:$C,3,FALSE)</f>
        <v>敵のステータスがスキルで上がったら</v>
      </c>
      <c r="L435" s="36" t="str">
        <f>VLOOKUP(I435,[2]stage_hints!$A:$D,4,FALSE)</f>
        <v>敵のステータスがスキルでアップしたときは_x000D_ステータスダウンスキルで上書きしましょう</v>
      </c>
      <c r="M435" s="21" t="s">
        <v>23</v>
      </c>
      <c r="N435">
        <v>35</v>
      </c>
    </row>
    <row r="436" spans="1:14" x14ac:dyDescent="0.15">
      <c r="A436" s="26" t="s">
        <v>32</v>
      </c>
      <c r="B436" s="4">
        <v>20003</v>
      </c>
      <c r="C436" s="3" t="str">
        <f ca="1">VLOOKUP($B436,OFFSET([1]quests!$A$1,0,0,COUNTA([1]quests!$A:$A),MATCH(C$1,[1]quests!$1:$1,0)-MATCH($B$1,[1]quests!$1:$1,0)+1),MATCH(C$1,[1]quests!$1:$1,0)-MATCH($B$1,[1]quests!$1:$1,0)+1,FALSE)</f>
        <v>忍び寄る短剣</v>
      </c>
      <c r="D436" s="3" t="str">
        <f ca="1">VLOOKUP($B436,OFFSET([1]quests!$A$1,0,0,COUNTA([1]quests!$A:$A),MATCH(D$1,[1]quests!$1:$1,0)-MATCH($B$1,[1]quests!$1:$1,0)+1),MATCH(D$1,[1]quests!$1:$1,0)-MATCH($B$1,[1]quests!$1:$1,0)+1,FALSE)</f>
        <v>ドロップイベント1-3</v>
      </c>
      <c r="E436" s="5">
        <v>2</v>
      </c>
      <c r="F436" s="3" t="str">
        <f ca="1">VLOOKUP($B436&amp;"_"&amp;$E436,OFFSET([1]stages!$A$1,0,0,COUNTA([1]stages!$A:$A),MATCH(F$1,[1]stages!$2:$2,0)-MATCH("temp_stage",[1]stages!$2:$2,0)+1),MATCH(F$1,[1]stages!$2:$2,0)-MATCH("temp_stage",[1]stages!$2:$2,0)+1,FALSE)</f>
        <v xml:space="preserve">【中級】忍び寄る短剣 </v>
      </c>
      <c r="G436" s="3" t="str">
        <f ca="1">VLOOKUP($B436&amp;"_"&amp;$E436,OFFSET([1]stages!$A$1,0,0,COUNTA([1]stages!$A:$A),MATCH(G$1,[1]stages!$2:$2,0)-MATCH("temp_stage",[1]stages!$2:$2,0)+1),MATCH(G$1,[1]stages!$2:$2,0)-MATCH("temp_stage",[1]stages!$2:$2,0)+1,FALSE)</f>
        <v>ドロップイベント1-3</v>
      </c>
      <c r="H436" s="18">
        <v>0</v>
      </c>
      <c r="I436">
        <v>3</v>
      </c>
      <c r="J436" s="5" t="s">
        <v>16</v>
      </c>
      <c r="K436" s="35" t="str">
        <f>VLOOKUP(I436,[2]stage_hints!$A:$C,3,FALSE)</f>
        <v>ターゲット</v>
      </c>
      <c r="L436" s="36" t="str">
        <f>VLOOKUP(I436,[2]stage_hints!$A:$D,4,FALSE)</f>
        <v>敵ユニットをタップすると_x000D_その敵を狙い撃ちできます</v>
      </c>
      <c r="M436" s="21" t="s">
        <v>23</v>
      </c>
      <c r="N436">
        <v>3</v>
      </c>
    </row>
    <row r="437" spans="1:14" x14ac:dyDescent="0.15">
      <c r="A437" s="26" t="s">
        <v>32</v>
      </c>
      <c r="B437" s="4">
        <v>20003</v>
      </c>
      <c r="C437" s="3" t="str">
        <f ca="1">VLOOKUP($B437,OFFSET([1]quests!$A$1,0,0,COUNTA([1]quests!$A:$A),MATCH(C$1,[1]quests!$1:$1,0)-MATCH($B$1,[1]quests!$1:$1,0)+1),MATCH(C$1,[1]quests!$1:$1,0)-MATCH($B$1,[1]quests!$1:$1,0)+1,FALSE)</f>
        <v>忍び寄る短剣</v>
      </c>
      <c r="D437" s="3" t="str">
        <f ca="1">VLOOKUP($B437,OFFSET([1]quests!$A$1,0,0,COUNTA([1]quests!$A:$A),MATCH(D$1,[1]quests!$1:$1,0)-MATCH($B$1,[1]quests!$1:$1,0)+1),MATCH(D$1,[1]quests!$1:$1,0)-MATCH($B$1,[1]quests!$1:$1,0)+1,FALSE)</f>
        <v>ドロップイベント1-3</v>
      </c>
      <c r="E437" s="5">
        <v>2</v>
      </c>
      <c r="F437" s="3" t="str">
        <f ca="1">VLOOKUP($B437&amp;"_"&amp;$E437,OFFSET([1]stages!$A$1,0,0,COUNTA([1]stages!$A:$A),MATCH(F$1,[1]stages!$2:$2,0)-MATCH("temp_stage",[1]stages!$2:$2,0)+1),MATCH(F$1,[1]stages!$2:$2,0)-MATCH("temp_stage",[1]stages!$2:$2,0)+1,FALSE)</f>
        <v xml:space="preserve">【中級】忍び寄る短剣 </v>
      </c>
      <c r="G437" s="3" t="str">
        <f ca="1">VLOOKUP($B437&amp;"_"&amp;$E437,OFFSET([1]stages!$A$1,0,0,COUNTA([1]stages!$A:$A),MATCH(G$1,[1]stages!$2:$2,0)-MATCH("temp_stage",[1]stages!$2:$2,0)+1),MATCH(G$1,[1]stages!$2:$2,0)-MATCH("temp_stage",[1]stages!$2:$2,0)+1,FALSE)</f>
        <v>ドロップイベント1-3</v>
      </c>
      <c r="H437" s="18">
        <v>0</v>
      </c>
      <c r="I437">
        <v>6</v>
      </c>
      <c r="J437" s="5" t="s">
        <v>16</v>
      </c>
      <c r="K437" s="35" t="str">
        <f>VLOOKUP(I437,[2]stage_hints!$A:$C,3,FALSE)</f>
        <v>ユニット強化の属性ボーナス</v>
      </c>
      <c r="L437" s="36" t="str">
        <f>VLOOKUP(I437,[2]stage_hints!$A:$D,4,FALSE)</f>
        <v>同属性ユニットを強化素材にすると_x000D_経験値が多くもらえます</v>
      </c>
      <c r="M437" s="21" t="s">
        <v>23</v>
      </c>
      <c r="N437">
        <v>6</v>
      </c>
    </row>
    <row r="438" spans="1:14" x14ac:dyDescent="0.15">
      <c r="A438" s="26" t="s">
        <v>32</v>
      </c>
      <c r="B438" s="4">
        <v>20003</v>
      </c>
      <c r="C438" s="3" t="str">
        <f ca="1">VLOOKUP($B438,OFFSET([1]quests!$A$1,0,0,COUNTA([1]quests!$A:$A),MATCH(C$1,[1]quests!$1:$1,0)-MATCH($B$1,[1]quests!$1:$1,0)+1),MATCH(C$1,[1]quests!$1:$1,0)-MATCH($B$1,[1]quests!$1:$1,0)+1,FALSE)</f>
        <v>忍び寄る短剣</v>
      </c>
      <c r="D438" s="3" t="str">
        <f ca="1">VLOOKUP($B438,OFFSET([1]quests!$A$1,0,0,COUNTA([1]quests!$A:$A),MATCH(D$1,[1]quests!$1:$1,0)-MATCH($B$1,[1]quests!$1:$1,0)+1),MATCH(D$1,[1]quests!$1:$1,0)-MATCH($B$1,[1]quests!$1:$1,0)+1,FALSE)</f>
        <v>ドロップイベント1-3</v>
      </c>
      <c r="E438" s="5">
        <v>2</v>
      </c>
      <c r="F438" s="3" t="str">
        <f ca="1">VLOOKUP($B438&amp;"_"&amp;$E438,OFFSET([1]stages!$A$1,0,0,COUNTA([1]stages!$A:$A),MATCH(F$1,[1]stages!$2:$2,0)-MATCH("temp_stage",[1]stages!$2:$2,0)+1),MATCH(F$1,[1]stages!$2:$2,0)-MATCH("temp_stage",[1]stages!$2:$2,0)+1,FALSE)</f>
        <v xml:space="preserve">【中級】忍び寄る短剣 </v>
      </c>
      <c r="G438" s="3" t="str">
        <f ca="1">VLOOKUP($B438&amp;"_"&amp;$E438,OFFSET([1]stages!$A$1,0,0,COUNTA([1]stages!$A:$A),MATCH(G$1,[1]stages!$2:$2,0)-MATCH("temp_stage",[1]stages!$2:$2,0)+1),MATCH(G$1,[1]stages!$2:$2,0)-MATCH("temp_stage",[1]stages!$2:$2,0)+1,FALSE)</f>
        <v>ドロップイベント1-3</v>
      </c>
      <c r="H438" s="18">
        <v>0</v>
      </c>
      <c r="I438">
        <v>7</v>
      </c>
      <c r="J438" s="5" t="s">
        <v>16</v>
      </c>
      <c r="K438" s="35" t="str">
        <f>VLOOKUP(I438,[2]stage_hints!$A:$C,3,FALSE)</f>
        <v>メタルダックで経験値を獲得</v>
      </c>
      <c r="L438" s="36" t="str">
        <f>VLOOKUP(I438,[2]stage_hints!$A:$D,4,FALSE)</f>
        <v>「メタルなアヒル」を強化素材にすると_x000D_大量の経験値がもらえます</v>
      </c>
      <c r="M438" s="21" t="s">
        <v>23</v>
      </c>
      <c r="N438">
        <v>7</v>
      </c>
    </row>
    <row r="439" spans="1:14" x14ac:dyDescent="0.15">
      <c r="A439" s="26" t="s">
        <v>32</v>
      </c>
      <c r="B439" s="4">
        <v>20003</v>
      </c>
      <c r="C439" s="3" t="str">
        <f ca="1">VLOOKUP($B439,OFFSET([1]quests!$A$1,0,0,COUNTA([1]quests!$A:$A),MATCH(C$1,[1]quests!$1:$1,0)-MATCH($B$1,[1]quests!$1:$1,0)+1),MATCH(C$1,[1]quests!$1:$1,0)-MATCH($B$1,[1]quests!$1:$1,0)+1,FALSE)</f>
        <v>忍び寄る短剣</v>
      </c>
      <c r="D439" s="3" t="str">
        <f ca="1">VLOOKUP($B439,OFFSET([1]quests!$A$1,0,0,COUNTA([1]quests!$A:$A),MATCH(D$1,[1]quests!$1:$1,0)-MATCH($B$1,[1]quests!$1:$1,0)+1),MATCH(D$1,[1]quests!$1:$1,0)-MATCH($B$1,[1]quests!$1:$1,0)+1,FALSE)</f>
        <v>ドロップイベント1-3</v>
      </c>
      <c r="E439" s="5">
        <v>2</v>
      </c>
      <c r="F439" s="3" t="str">
        <f ca="1">VLOOKUP($B439&amp;"_"&amp;$E439,OFFSET([1]stages!$A$1,0,0,COUNTA([1]stages!$A:$A),MATCH(F$1,[1]stages!$2:$2,0)-MATCH("temp_stage",[1]stages!$2:$2,0)+1),MATCH(F$1,[1]stages!$2:$2,0)-MATCH("temp_stage",[1]stages!$2:$2,0)+1,FALSE)</f>
        <v xml:space="preserve">【中級】忍び寄る短剣 </v>
      </c>
      <c r="G439" s="3" t="str">
        <f ca="1">VLOOKUP($B439&amp;"_"&amp;$E439,OFFSET([1]stages!$A$1,0,0,COUNTA([1]stages!$A:$A),MATCH(G$1,[1]stages!$2:$2,0)-MATCH("temp_stage",[1]stages!$2:$2,0)+1),MATCH(G$1,[1]stages!$2:$2,0)-MATCH("temp_stage",[1]stages!$2:$2,0)+1,FALSE)</f>
        <v>ドロップイベント1-3</v>
      </c>
      <c r="H439" s="18">
        <v>0</v>
      </c>
      <c r="I439">
        <v>8</v>
      </c>
      <c r="J439" s="5" t="s">
        <v>16</v>
      </c>
      <c r="K439" s="35" t="str">
        <f>VLOOKUP(I439,[2]stage_hints!$A:$C,3,FALSE)</f>
        <v>ゲリラクエストは要チェック</v>
      </c>
      <c r="L439" s="36" t="str">
        <f>VLOOKUP(I439,[2]stage_hints!$A:$D,4,FALSE)</f>
        <v>時間限定の「アヒル捕獲作戦」では_x000D_経験値素材ユニットが多く手に入ります</v>
      </c>
      <c r="M439" s="21" t="s">
        <v>23</v>
      </c>
      <c r="N439">
        <v>8</v>
      </c>
    </row>
    <row r="440" spans="1:14" x14ac:dyDescent="0.15">
      <c r="A440" s="26" t="s">
        <v>32</v>
      </c>
      <c r="B440" s="4">
        <v>20003</v>
      </c>
      <c r="C440" s="3" t="str">
        <f ca="1">VLOOKUP($B440,OFFSET([1]quests!$A$1,0,0,COUNTA([1]quests!$A:$A),MATCH(C$1,[1]quests!$1:$1,0)-MATCH($B$1,[1]quests!$1:$1,0)+1),MATCH(C$1,[1]quests!$1:$1,0)-MATCH($B$1,[1]quests!$1:$1,0)+1,FALSE)</f>
        <v>忍び寄る短剣</v>
      </c>
      <c r="D440" s="3" t="str">
        <f ca="1">VLOOKUP($B440,OFFSET([1]quests!$A$1,0,0,COUNTA([1]quests!$A:$A),MATCH(D$1,[1]quests!$1:$1,0)-MATCH($B$1,[1]quests!$1:$1,0)+1),MATCH(D$1,[1]quests!$1:$1,0)-MATCH($B$1,[1]quests!$1:$1,0)+1,FALSE)</f>
        <v>ドロップイベント1-3</v>
      </c>
      <c r="E440" s="5">
        <v>2</v>
      </c>
      <c r="F440" s="3" t="str">
        <f ca="1">VLOOKUP($B440&amp;"_"&amp;$E440,OFFSET([1]stages!$A$1,0,0,COUNTA([1]stages!$A:$A),MATCH(F$1,[1]stages!$2:$2,0)-MATCH("temp_stage",[1]stages!$2:$2,0)+1),MATCH(F$1,[1]stages!$2:$2,0)-MATCH("temp_stage",[1]stages!$2:$2,0)+1,FALSE)</f>
        <v xml:space="preserve">【中級】忍び寄る短剣 </v>
      </c>
      <c r="G440" s="3" t="str">
        <f ca="1">VLOOKUP($B440&amp;"_"&amp;$E440,OFFSET([1]stages!$A$1,0,0,COUNTA([1]stages!$A:$A),MATCH(G$1,[1]stages!$2:$2,0)-MATCH("temp_stage",[1]stages!$2:$2,0)+1),MATCH(G$1,[1]stages!$2:$2,0)-MATCH("temp_stage",[1]stages!$2:$2,0)+1,FALSE)</f>
        <v>ドロップイベント1-3</v>
      </c>
      <c r="H440" s="18">
        <v>0</v>
      </c>
      <c r="I440">
        <v>9</v>
      </c>
      <c r="J440" s="5" t="s">
        <v>16</v>
      </c>
      <c r="K440" s="35" t="str">
        <f>VLOOKUP(I440,[2]stage_hints!$A:$C,3,FALSE)</f>
        <v>ゴールドダックでビットを獲得</v>
      </c>
      <c r="L440" s="36" t="str">
        <f>VLOOKUP(I440,[2]stage_hints!$A:$D,4,FALSE)</f>
        <v>「ゴールドなアヒル」を売却すると_x000D_大量のビットがもらえます</v>
      </c>
      <c r="M440" s="21" t="s">
        <v>23</v>
      </c>
      <c r="N440">
        <v>9</v>
      </c>
    </row>
    <row r="441" spans="1:14" x14ac:dyDescent="0.15">
      <c r="A441" s="26" t="s">
        <v>32</v>
      </c>
      <c r="B441" s="4">
        <v>20003</v>
      </c>
      <c r="C441" s="3" t="str">
        <f ca="1">VLOOKUP($B441,OFFSET([1]quests!$A$1,0,0,COUNTA([1]quests!$A:$A),MATCH(C$1,[1]quests!$1:$1,0)-MATCH($B$1,[1]quests!$1:$1,0)+1),MATCH(C$1,[1]quests!$1:$1,0)-MATCH($B$1,[1]quests!$1:$1,0)+1,FALSE)</f>
        <v>忍び寄る短剣</v>
      </c>
      <c r="D441" s="3" t="str">
        <f ca="1">VLOOKUP($B441,OFFSET([1]quests!$A$1,0,0,COUNTA([1]quests!$A:$A),MATCH(D$1,[1]quests!$1:$1,0)-MATCH($B$1,[1]quests!$1:$1,0)+1),MATCH(D$1,[1]quests!$1:$1,0)-MATCH($B$1,[1]quests!$1:$1,0)+1,FALSE)</f>
        <v>ドロップイベント1-3</v>
      </c>
      <c r="E441" s="5">
        <v>2</v>
      </c>
      <c r="F441" s="3" t="str">
        <f ca="1">VLOOKUP($B441&amp;"_"&amp;$E441,OFFSET([1]stages!$A$1,0,0,COUNTA([1]stages!$A:$A),MATCH(F$1,[1]stages!$2:$2,0)-MATCH("temp_stage",[1]stages!$2:$2,0)+1),MATCH(F$1,[1]stages!$2:$2,0)-MATCH("temp_stage",[1]stages!$2:$2,0)+1,FALSE)</f>
        <v xml:space="preserve">【中級】忍び寄る短剣 </v>
      </c>
      <c r="G441" s="3" t="str">
        <f ca="1">VLOOKUP($B441&amp;"_"&amp;$E441,OFFSET([1]stages!$A$1,0,0,COUNTA([1]stages!$A:$A),MATCH(G$1,[1]stages!$2:$2,0)-MATCH("temp_stage",[1]stages!$2:$2,0)+1),MATCH(G$1,[1]stages!$2:$2,0)-MATCH("temp_stage",[1]stages!$2:$2,0)+1,FALSE)</f>
        <v>ドロップイベント1-3</v>
      </c>
      <c r="H441" s="18">
        <v>0</v>
      </c>
      <c r="I441">
        <v>10</v>
      </c>
      <c r="J441" s="5" t="s">
        <v>16</v>
      </c>
      <c r="K441" s="35" t="str">
        <f>VLOOKUP(I441,[2]stage_hints!$A:$C,3,FALSE)</f>
        <v>土日に大量のビットを獲得</v>
      </c>
      <c r="L441" s="36" t="str">
        <f>VLOOKUP(I441,[2]stage_hints!$A:$D,4,FALSE)</f>
        <v>土日限定の「ゴールドカジノ」では_x000D_売却素材ユニットが多く手に入ります</v>
      </c>
      <c r="M441" s="21" t="s">
        <v>23</v>
      </c>
      <c r="N441">
        <v>10</v>
      </c>
    </row>
    <row r="442" spans="1:14" x14ac:dyDescent="0.15">
      <c r="A442" s="26" t="s">
        <v>32</v>
      </c>
      <c r="B442" s="4">
        <v>20003</v>
      </c>
      <c r="C442" s="3" t="str">
        <f ca="1">VLOOKUP($B442,OFFSET([1]quests!$A$1,0,0,COUNTA([1]quests!$A:$A),MATCH(C$1,[1]quests!$1:$1,0)-MATCH($B$1,[1]quests!$1:$1,0)+1),MATCH(C$1,[1]quests!$1:$1,0)-MATCH($B$1,[1]quests!$1:$1,0)+1,FALSE)</f>
        <v>忍び寄る短剣</v>
      </c>
      <c r="D442" s="3" t="str">
        <f ca="1">VLOOKUP($B442,OFFSET([1]quests!$A$1,0,0,COUNTA([1]quests!$A:$A),MATCH(D$1,[1]quests!$1:$1,0)-MATCH($B$1,[1]quests!$1:$1,0)+1),MATCH(D$1,[1]quests!$1:$1,0)-MATCH($B$1,[1]quests!$1:$1,0)+1,FALSE)</f>
        <v>ドロップイベント1-3</v>
      </c>
      <c r="E442" s="5">
        <v>2</v>
      </c>
      <c r="F442" s="3" t="str">
        <f ca="1">VLOOKUP($B442&amp;"_"&amp;$E442,OFFSET([1]stages!$A$1,0,0,COUNTA([1]stages!$A:$A),MATCH(F$1,[1]stages!$2:$2,0)-MATCH("temp_stage",[1]stages!$2:$2,0)+1),MATCH(F$1,[1]stages!$2:$2,0)-MATCH("temp_stage",[1]stages!$2:$2,0)+1,FALSE)</f>
        <v xml:space="preserve">【中級】忍び寄る短剣 </v>
      </c>
      <c r="G442" s="3" t="str">
        <f ca="1">VLOOKUP($B442&amp;"_"&amp;$E442,OFFSET([1]stages!$A$1,0,0,COUNTA([1]stages!$A:$A),MATCH(G$1,[1]stages!$2:$2,0)-MATCH("temp_stage",[1]stages!$2:$2,0)+1),MATCH(G$1,[1]stages!$2:$2,0)-MATCH("temp_stage",[1]stages!$2:$2,0)+1,FALSE)</f>
        <v>ドロップイベント1-3</v>
      </c>
      <c r="H442" s="18">
        <v>0</v>
      </c>
      <c r="I442">
        <v>11</v>
      </c>
      <c r="J442" s="5" t="s">
        <v>16</v>
      </c>
      <c r="K442" s="35" t="str">
        <f>VLOOKUP(I442,[2]stage_hints!$A:$C,3,FALSE)</f>
        <v>ランク解放クエスト</v>
      </c>
      <c r="L442" s="36" t="str">
        <f>VLOOKUP(I442,[2]stage_hints!$A:$D,4,FALSE)</f>
        <v>一定ランクに到達すると_x000D_報酬付きのランク開放クエストが現れます</v>
      </c>
      <c r="M442" s="21" t="s">
        <v>23</v>
      </c>
      <c r="N442">
        <v>11</v>
      </c>
    </row>
    <row r="443" spans="1:14" x14ac:dyDescent="0.15">
      <c r="A443" s="26" t="s">
        <v>32</v>
      </c>
      <c r="B443" s="4">
        <v>20003</v>
      </c>
      <c r="C443" s="3" t="str">
        <f ca="1">VLOOKUP($B443,OFFSET([1]quests!$A$1,0,0,COUNTA([1]quests!$A:$A),MATCH(C$1,[1]quests!$1:$1,0)-MATCH($B$1,[1]quests!$1:$1,0)+1),MATCH(C$1,[1]quests!$1:$1,0)-MATCH($B$1,[1]quests!$1:$1,0)+1,FALSE)</f>
        <v>忍び寄る短剣</v>
      </c>
      <c r="D443" s="3" t="str">
        <f ca="1">VLOOKUP($B443,OFFSET([1]quests!$A$1,0,0,COUNTA([1]quests!$A:$A),MATCH(D$1,[1]quests!$1:$1,0)-MATCH($B$1,[1]quests!$1:$1,0)+1),MATCH(D$1,[1]quests!$1:$1,0)-MATCH($B$1,[1]quests!$1:$1,0)+1,FALSE)</f>
        <v>ドロップイベント1-3</v>
      </c>
      <c r="E443" s="5">
        <v>2</v>
      </c>
      <c r="F443" s="3" t="str">
        <f ca="1">VLOOKUP($B443&amp;"_"&amp;$E443,OFFSET([1]stages!$A$1,0,0,COUNTA([1]stages!$A:$A),MATCH(F$1,[1]stages!$2:$2,0)-MATCH("temp_stage",[1]stages!$2:$2,0)+1),MATCH(F$1,[1]stages!$2:$2,0)-MATCH("temp_stage",[1]stages!$2:$2,0)+1,FALSE)</f>
        <v xml:space="preserve">【中級】忍び寄る短剣 </v>
      </c>
      <c r="G443" s="3" t="str">
        <f ca="1">VLOOKUP($B443&amp;"_"&amp;$E443,OFFSET([1]stages!$A$1,0,0,COUNTA([1]stages!$A:$A),MATCH(G$1,[1]stages!$2:$2,0)-MATCH("temp_stage",[1]stages!$2:$2,0)+1),MATCH(G$1,[1]stages!$2:$2,0)-MATCH("temp_stage",[1]stages!$2:$2,0)+1,FALSE)</f>
        <v>ドロップイベント1-3</v>
      </c>
      <c r="H443" s="18">
        <v>0</v>
      </c>
      <c r="I443">
        <v>12</v>
      </c>
      <c r="J443" s="5" t="s">
        <v>16</v>
      </c>
      <c r="K443" s="35" t="str">
        <f>VLOOKUP(I443,[2]stage_hints!$A:$C,3,FALSE)</f>
        <v>ユニットのお気に入り登録</v>
      </c>
      <c r="L443" s="36" t="str">
        <f>VLOOKUP(I443,[2]stage_hints!$A:$D,4,FALSE)</f>
        <v>大事なユニットを誤って消さないように_x000D_フォルダから「お気に入り登録」しましょう</v>
      </c>
      <c r="M443" s="21" t="s">
        <v>23</v>
      </c>
      <c r="N443">
        <v>12</v>
      </c>
    </row>
    <row r="444" spans="1:14" x14ac:dyDescent="0.15">
      <c r="A444" s="26" t="s">
        <v>32</v>
      </c>
      <c r="B444" s="4">
        <v>20003</v>
      </c>
      <c r="C444" s="3" t="str">
        <f ca="1">VLOOKUP($B444,OFFSET([1]quests!$A$1,0,0,COUNTA([1]quests!$A:$A),MATCH(C$1,[1]quests!$1:$1,0)-MATCH($B$1,[1]quests!$1:$1,0)+1),MATCH(C$1,[1]quests!$1:$1,0)-MATCH($B$1,[1]quests!$1:$1,0)+1,FALSE)</f>
        <v>忍び寄る短剣</v>
      </c>
      <c r="D444" s="3" t="str">
        <f ca="1">VLOOKUP($B444,OFFSET([1]quests!$A$1,0,0,COUNTA([1]quests!$A:$A),MATCH(D$1,[1]quests!$1:$1,0)-MATCH($B$1,[1]quests!$1:$1,0)+1),MATCH(D$1,[1]quests!$1:$1,0)-MATCH($B$1,[1]quests!$1:$1,0)+1,FALSE)</f>
        <v>ドロップイベント1-3</v>
      </c>
      <c r="E444" s="5">
        <v>2</v>
      </c>
      <c r="F444" s="3" t="str">
        <f ca="1">VLOOKUP($B444&amp;"_"&amp;$E444,OFFSET([1]stages!$A$1,0,0,COUNTA([1]stages!$A:$A),MATCH(F$1,[1]stages!$2:$2,0)-MATCH("temp_stage",[1]stages!$2:$2,0)+1),MATCH(F$1,[1]stages!$2:$2,0)-MATCH("temp_stage",[1]stages!$2:$2,0)+1,FALSE)</f>
        <v xml:space="preserve">【中級】忍び寄る短剣 </v>
      </c>
      <c r="G444" s="3" t="str">
        <f ca="1">VLOOKUP($B444&amp;"_"&amp;$E444,OFFSET([1]stages!$A$1,0,0,COUNTA([1]stages!$A:$A),MATCH(G$1,[1]stages!$2:$2,0)-MATCH("temp_stage",[1]stages!$2:$2,0)+1),MATCH(G$1,[1]stages!$2:$2,0)-MATCH("temp_stage",[1]stages!$2:$2,0)+1,FALSE)</f>
        <v>ドロップイベント1-3</v>
      </c>
      <c r="H444" s="18">
        <v>0</v>
      </c>
      <c r="I444">
        <v>13</v>
      </c>
      <c r="J444" s="5" t="s">
        <v>16</v>
      </c>
      <c r="K444" s="35" t="str">
        <f>VLOOKUP(I444,[2]stage_hints!$A:$C,3,FALSE)</f>
        <v>ユニットの覚醒</v>
      </c>
      <c r="L444" s="36" t="str">
        <f>VLOOKUP(I444,[2]stage_hints!$A:$D,4,FALSE)</f>
        <v>ユニットを覚醒させると_x000D_比べものにならない強さが手に入ります</v>
      </c>
      <c r="M444" s="21" t="s">
        <v>23</v>
      </c>
      <c r="N444">
        <v>13</v>
      </c>
    </row>
    <row r="445" spans="1:14" x14ac:dyDescent="0.15">
      <c r="A445" s="26" t="s">
        <v>32</v>
      </c>
      <c r="B445" s="4">
        <v>20003</v>
      </c>
      <c r="C445" s="3" t="str">
        <f ca="1">VLOOKUP($B445,OFFSET([1]quests!$A$1,0,0,COUNTA([1]quests!$A:$A),MATCH(C$1,[1]quests!$1:$1,0)-MATCH($B$1,[1]quests!$1:$1,0)+1),MATCH(C$1,[1]quests!$1:$1,0)-MATCH($B$1,[1]quests!$1:$1,0)+1,FALSE)</f>
        <v>忍び寄る短剣</v>
      </c>
      <c r="D445" s="3" t="str">
        <f ca="1">VLOOKUP($B445,OFFSET([1]quests!$A$1,0,0,COUNTA([1]quests!$A:$A),MATCH(D$1,[1]quests!$1:$1,0)-MATCH($B$1,[1]quests!$1:$1,0)+1),MATCH(D$1,[1]quests!$1:$1,0)-MATCH($B$1,[1]quests!$1:$1,0)+1,FALSE)</f>
        <v>ドロップイベント1-3</v>
      </c>
      <c r="E445" s="5">
        <v>2</v>
      </c>
      <c r="F445" s="3" t="str">
        <f ca="1">VLOOKUP($B445&amp;"_"&amp;$E445,OFFSET([1]stages!$A$1,0,0,COUNTA([1]stages!$A:$A),MATCH(F$1,[1]stages!$2:$2,0)-MATCH("temp_stage",[1]stages!$2:$2,0)+1),MATCH(F$1,[1]stages!$2:$2,0)-MATCH("temp_stage",[1]stages!$2:$2,0)+1,FALSE)</f>
        <v xml:space="preserve">【中級】忍び寄る短剣 </v>
      </c>
      <c r="G445" s="3" t="str">
        <f ca="1">VLOOKUP($B445&amp;"_"&amp;$E445,OFFSET([1]stages!$A$1,0,0,COUNTA([1]stages!$A:$A),MATCH(G$1,[1]stages!$2:$2,0)-MATCH("temp_stage",[1]stages!$2:$2,0)+1),MATCH(G$1,[1]stages!$2:$2,0)-MATCH("temp_stage",[1]stages!$2:$2,0)+1,FALSE)</f>
        <v>ドロップイベント1-3</v>
      </c>
      <c r="H445" s="18">
        <v>0</v>
      </c>
      <c r="I445">
        <v>14</v>
      </c>
      <c r="J445" s="5" t="s">
        <v>16</v>
      </c>
      <c r="K445" s="35" t="str">
        <f>VLOOKUP(I445,[2]stage_hints!$A:$C,3,FALSE)</f>
        <v>覚醒するにはレベルを最大に</v>
      </c>
      <c r="L445" s="36" t="str">
        <f>VLOOKUP(I445,[2]stage_hints!$A:$D,4,FALSE)</f>
        <v>覚醒するにはユニットのレベルを_x000D_最大まで上げる必要があります</v>
      </c>
      <c r="M445" s="21" t="s">
        <v>23</v>
      </c>
      <c r="N445">
        <v>14</v>
      </c>
    </row>
    <row r="446" spans="1:14" x14ac:dyDescent="0.15">
      <c r="A446" s="26" t="s">
        <v>32</v>
      </c>
      <c r="B446" s="4">
        <v>20003</v>
      </c>
      <c r="C446" s="3" t="str">
        <f ca="1">VLOOKUP($B446,OFFSET([1]quests!$A$1,0,0,COUNTA([1]quests!$A:$A),MATCH(C$1,[1]quests!$1:$1,0)-MATCH($B$1,[1]quests!$1:$1,0)+1),MATCH(C$1,[1]quests!$1:$1,0)-MATCH($B$1,[1]quests!$1:$1,0)+1,FALSE)</f>
        <v>忍び寄る短剣</v>
      </c>
      <c r="D446" s="3" t="str">
        <f ca="1">VLOOKUP($B446,OFFSET([1]quests!$A$1,0,0,COUNTA([1]quests!$A:$A),MATCH(D$1,[1]quests!$1:$1,0)-MATCH($B$1,[1]quests!$1:$1,0)+1),MATCH(D$1,[1]quests!$1:$1,0)-MATCH($B$1,[1]quests!$1:$1,0)+1,FALSE)</f>
        <v>ドロップイベント1-3</v>
      </c>
      <c r="E446" s="5">
        <v>2</v>
      </c>
      <c r="F446" s="3" t="str">
        <f ca="1">VLOOKUP($B446&amp;"_"&amp;$E446,OFFSET([1]stages!$A$1,0,0,COUNTA([1]stages!$A:$A),MATCH(F$1,[1]stages!$2:$2,0)-MATCH("temp_stage",[1]stages!$2:$2,0)+1),MATCH(F$1,[1]stages!$2:$2,0)-MATCH("temp_stage",[1]stages!$2:$2,0)+1,FALSE)</f>
        <v xml:space="preserve">【中級】忍び寄る短剣 </v>
      </c>
      <c r="G446" s="3" t="str">
        <f ca="1">VLOOKUP($B446&amp;"_"&amp;$E446,OFFSET([1]stages!$A$1,0,0,COUNTA([1]stages!$A:$A),MATCH(G$1,[1]stages!$2:$2,0)-MATCH("temp_stage",[1]stages!$2:$2,0)+1),MATCH(G$1,[1]stages!$2:$2,0)-MATCH("temp_stage",[1]stages!$2:$2,0)+1,FALSE)</f>
        <v>ドロップイベント1-3</v>
      </c>
      <c r="H446" s="18">
        <v>0</v>
      </c>
      <c r="I446">
        <v>15</v>
      </c>
      <c r="J446" s="5" t="s">
        <v>16</v>
      </c>
      <c r="K446" s="35" t="str">
        <f>VLOOKUP(I446,[2]stage_hints!$A:$C,3,FALSE)</f>
        <v>覚醒素材を獲得</v>
      </c>
      <c r="L446" s="36" t="str">
        <f>VLOOKUP(I446,[2]stage_hints!$A:$D,4,FALSE)</f>
        <v>「曜日クエスト」では_x000D_ユニットの覚醒に必要な素材が手に入ります</v>
      </c>
      <c r="M446" s="21" t="s">
        <v>23</v>
      </c>
      <c r="N446">
        <v>15</v>
      </c>
    </row>
    <row r="447" spans="1:14" x14ac:dyDescent="0.15">
      <c r="A447" s="26" t="s">
        <v>32</v>
      </c>
      <c r="B447" s="4">
        <v>20003</v>
      </c>
      <c r="C447" s="3" t="str">
        <f ca="1">VLOOKUP($B447,OFFSET([1]quests!$A$1,0,0,COUNTA([1]quests!$A:$A),MATCH(C$1,[1]quests!$1:$1,0)-MATCH($B$1,[1]quests!$1:$1,0)+1),MATCH(C$1,[1]quests!$1:$1,0)-MATCH($B$1,[1]quests!$1:$1,0)+1,FALSE)</f>
        <v>忍び寄る短剣</v>
      </c>
      <c r="D447" s="3" t="str">
        <f ca="1">VLOOKUP($B447,OFFSET([1]quests!$A$1,0,0,COUNTA([1]quests!$A:$A),MATCH(D$1,[1]quests!$1:$1,0)-MATCH($B$1,[1]quests!$1:$1,0)+1),MATCH(D$1,[1]quests!$1:$1,0)-MATCH($B$1,[1]quests!$1:$1,0)+1,FALSE)</f>
        <v>ドロップイベント1-3</v>
      </c>
      <c r="E447" s="5">
        <v>2</v>
      </c>
      <c r="F447" s="3" t="str">
        <f ca="1">VLOOKUP($B447&amp;"_"&amp;$E447,OFFSET([1]stages!$A$1,0,0,COUNTA([1]stages!$A:$A),MATCH(F$1,[1]stages!$2:$2,0)-MATCH("temp_stage",[1]stages!$2:$2,0)+1),MATCH(F$1,[1]stages!$2:$2,0)-MATCH("temp_stage",[1]stages!$2:$2,0)+1,FALSE)</f>
        <v xml:space="preserve">【中級】忍び寄る短剣 </v>
      </c>
      <c r="G447" s="3" t="str">
        <f ca="1">VLOOKUP($B447&amp;"_"&amp;$E447,OFFSET([1]stages!$A$1,0,0,COUNTA([1]stages!$A:$A),MATCH(G$1,[1]stages!$2:$2,0)-MATCH("temp_stage",[1]stages!$2:$2,0)+1),MATCH(G$1,[1]stages!$2:$2,0)-MATCH("temp_stage",[1]stages!$2:$2,0)+1,FALSE)</f>
        <v>ドロップイベント1-3</v>
      </c>
      <c r="H447" s="18">
        <v>0</v>
      </c>
      <c r="I447">
        <v>16</v>
      </c>
      <c r="J447" s="5" t="s">
        <v>16</v>
      </c>
      <c r="K447" s="35" t="str">
        <f>VLOOKUP(I447,[2]stage_hints!$A:$C,3,FALSE)</f>
        <v>マルチプレイのメリット（その1）</v>
      </c>
      <c r="L447" s="36" t="str">
        <f>VLOOKUP(I447,[2]stage_hints!$A:$D,4,FALSE)</f>
        <v>他のプレイヤーとマルチプレイで遊ぶと_x000D_ポリゴンがもらえます（100人まで）</v>
      </c>
      <c r="M447" s="21" t="s">
        <v>23</v>
      </c>
      <c r="N447">
        <v>16</v>
      </c>
    </row>
    <row r="448" spans="1:14" x14ac:dyDescent="0.15">
      <c r="A448" s="26" t="s">
        <v>32</v>
      </c>
      <c r="B448" s="4">
        <v>20003</v>
      </c>
      <c r="C448" s="3" t="str">
        <f ca="1">VLOOKUP($B448,OFFSET([1]quests!$A$1,0,0,COUNTA([1]quests!$A:$A),MATCH(C$1,[1]quests!$1:$1,0)-MATCH($B$1,[1]quests!$1:$1,0)+1),MATCH(C$1,[1]quests!$1:$1,0)-MATCH($B$1,[1]quests!$1:$1,0)+1,FALSE)</f>
        <v>忍び寄る短剣</v>
      </c>
      <c r="D448" s="3" t="str">
        <f ca="1">VLOOKUP($B448,OFFSET([1]quests!$A$1,0,0,COUNTA([1]quests!$A:$A),MATCH(D$1,[1]quests!$1:$1,0)-MATCH($B$1,[1]quests!$1:$1,0)+1),MATCH(D$1,[1]quests!$1:$1,0)-MATCH($B$1,[1]quests!$1:$1,0)+1,FALSE)</f>
        <v>ドロップイベント1-3</v>
      </c>
      <c r="E448" s="5">
        <v>2</v>
      </c>
      <c r="F448" s="3" t="str">
        <f ca="1">VLOOKUP($B448&amp;"_"&amp;$E448,OFFSET([1]stages!$A$1,0,0,COUNTA([1]stages!$A:$A),MATCH(F$1,[1]stages!$2:$2,0)-MATCH("temp_stage",[1]stages!$2:$2,0)+1),MATCH(F$1,[1]stages!$2:$2,0)-MATCH("temp_stage",[1]stages!$2:$2,0)+1,FALSE)</f>
        <v xml:space="preserve">【中級】忍び寄る短剣 </v>
      </c>
      <c r="G448" s="3" t="str">
        <f ca="1">VLOOKUP($B448&amp;"_"&amp;$E448,OFFSET([1]stages!$A$1,0,0,COUNTA([1]stages!$A:$A),MATCH(G$1,[1]stages!$2:$2,0)-MATCH("temp_stage",[1]stages!$2:$2,0)+1),MATCH(G$1,[1]stages!$2:$2,0)-MATCH("temp_stage",[1]stages!$2:$2,0)+1,FALSE)</f>
        <v>ドロップイベント1-3</v>
      </c>
      <c r="H448" s="18">
        <v>0</v>
      </c>
      <c r="I448">
        <v>17</v>
      </c>
      <c r="J448" s="5" t="s">
        <v>16</v>
      </c>
      <c r="K448" s="35" t="str">
        <f>VLOOKUP(I448,[2]stage_hints!$A:$C,3,FALSE)</f>
        <v>リンクガチャ</v>
      </c>
      <c r="L448" s="36" t="str">
        <f>VLOOKUP(I448,[2]stage_hints!$A:$D,4,FALSE)</f>
        <v>無料のリンクガチャを回して_x000D_経験値素材や売却素材を獲得しましょう</v>
      </c>
      <c r="M448" s="21" t="s">
        <v>23</v>
      </c>
      <c r="N448">
        <v>17</v>
      </c>
    </row>
    <row r="449" spans="1:14" x14ac:dyDescent="0.15">
      <c r="A449" s="26" t="s">
        <v>32</v>
      </c>
      <c r="B449" s="4">
        <v>20003</v>
      </c>
      <c r="C449" s="3" t="str">
        <f ca="1">VLOOKUP($B449,OFFSET([1]quests!$A$1,0,0,COUNTA([1]quests!$A:$A),MATCH(C$1,[1]quests!$1:$1,0)-MATCH($B$1,[1]quests!$1:$1,0)+1),MATCH(C$1,[1]quests!$1:$1,0)-MATCH($B$1,[1]quests!$1:$1,0)+1,FALSE)</f>
        <v>忍び寄る短剣</v>
      </c>
      <c r="D449" s="3" t="str">
        <f ca="1">VLOOKUP($B449,OFFSET([1]quests!$A$1,0,0,COUNTA([1]quests!$A:$A),MATCH(D$1,[1]quests!$1:$1,0)-MATCH($B$1,[1]quests!$1:$1,0)+1),MATCH(D$1,[1]quests!$1:$1,0)-MATCH($B$1,[1]quests!$1:$1,0)+1,FALSE)</f>
        <v>ドロップイベント1-3</v>
      </c>
      <c r="E449" s="5">
        <v>2</v>
      </c>
      <c r="F449" s="3" t="str">
        <f ca="1">VLOOKUP($B449&amp;"_"&amp;$E449,OFFSET([1]stages!$A$1,0,0,COUNTA([1]stages!$A:$A),MATCH(F$1,[1]stages!$2:$2,0)-MATCH("temp_stage",[1]stages!$2:$2,0)+1),MATCH(F$1,[1]stages!$2:$2,0)-MATCH("temp_stage",[1]stages!$2:$2,0)+1,FALSE)</f>
        <v xml:space="preserve">【中級】忍び寄る短剣 </v>
      </c>
      <c r="G449" s="3" t="str">
        <f ca="1">VLOOKUP($B449&amp;"_"&amp;$E449,OFFSET([1]stages!$A$1,0,0,COUNTA([1]stages!$A:$A),MATCH(G$1,[1]stages!$2:$2,0)-MATCH("temp_stage",[1]stages!$2:$2,0)+1),MATCH(G$1,[1]stages!$2:$2,0)-MATCH("temp_stage",[1]stages!$2:$2,0)+1,FALSE)</f>
        <v>ドロップイベント1-3</v>
      </c>
      <c r="H449" s="18">
        <v>0</v>
      </c>
      <c r="I449">
        <v>18</v>
      </c>
      <c r="J449" s="5" t="s">
        <v>16</v>
      </c>
      <c r="K449" s="35" t="str">
        <f>VLOOKUP(I449,[2]stage_hints!$A:$C,3,FALSE)</f>
        <v>マルチプレイのメリット（その2）</v>
      </c>
      <c r="L449" s="36" t="str">
        <f>VLOOKUP(I449,[2]stage_hints!$A:$D,4,FALSE)</f>
        <v>マルチプレイならリンクが2倍もらえます_x000D_リンクガチャをたくさん回しましょう</v>
      </c>
      <c r="M449" s="21" t="s">
        <v>23</v>
      </c>
      <c r="N449">
        <v>18</v>
      </c>
    </row>
    <row r="450" spans="1:14" x14ac:dyDescent="0.15">
      <c r="A450" s="26" t="s">
        <v>32</v>
      </c>
      <c r="B450" s="4">
        <v>20003</v>
      </c>
      <c r="C450" s="3" t="str">
        <f ca="1">VLOOKUP($B450,OFFSET([1]quests!$A$1,0,0,COUNTA([1]quests!$A:$A),MATCH(C$1,[1]quests!$1:$1,0)-MATCH($B$1,[1]quests!$1:$1,0)+1),MATCH(C$1,[1]quests!$1:$1,0)-MATCH($B$1,[1]quests!$1:$1,0)+1,FALSE)</f>
        <v>忍び寄る短剣</v>
      </c>
      <c r="D450" s="3" t="str">
        <f ca="1">VLOOKUP($B450,OFFSET([1]quests!$A$1,0,0,COUNTA([1]quests!$A:$A),MATCH(D$1,[1]quests!$1:$1,0)-MATCH($B$1,[1]quests!$1:$1,0)+1),MATCH(D$1,[1]quests!$1:$1,0)-MATCH($B$1,[1]quests!$1:$1,0)+1,FALSE)</f>
        <v>ドロップイベント1-3</v>
      </c>
      <c r="E450" s="5">
        <v>2</v>
      </c>
      <c r="F450" s="3" t="str">
        <f ca="1">VLOOKUP($B450&amp;"_"&amp;$E450,OFFSET([1]stages!$A$1,0,0,COUNTA([1]stages!$A:$A),MATCH(F$1,[1]stages!$2:$2,0)-MATCH("temp_stage",[1]stages!$2:$2,0)+1),MATCH(F$1,[1]stages!$2:$2,0)-MATCH("temp_stage",[1]stages!$2:$2,0)+1,FALSE)</f>
        <v xml:space="preserve">【中級】忍び寄る短剣 </v>
      </c>
      <c r="G450" s="3" t="str">
        <f ca="1">VLOOKUP($B450&amp;"_"&amp;$E450,OFFSET([1]stages!$A$1,0,0,COUNTA([1]stages!$A:$A),MATCH(G$1,[1]stages!$2:$2,0)-MATCH("temp_stage",[1]stages!$2:$2,0)+1),MATCH(G$1,[1]stages!$2:$2,0)-MATCH("temp_stage",[1]stages!$2:$2,0)+1,FALSE)</f>
        <v>ドロップイベント1-3</v>
      </c>
      <c r="H450" s="18">
        <v>0</v>
      </c>
      <c r="I450">
        <v>19</v>
      </c>
      <c r="J450" s="5" t="s">
        <v>16</v>
      </c>
      <c r="K450" s="35" t="str">
        <f>VLOOKUP(I450,[2]stage_hints!$A:$C,3,FALSE)</f>
        <v>ソロ専用チャレンジタワー</v>
      </c>
      <c r="L450" s="36" t="str">
        <f>VLOOKUP(I450,[2]stage_hints!$A:$D,4,FALSE)</f>
        <v>ソロ専用の「チャレンジタワー」では_x000D_各フロアごとにクリア報酬がもらえます</v>
      </c>
      <c r="M450" s="21" t="s">
        <v>23</v>
      </c>
      <c r="N450">
        <v>19</v>
      </c>
    </row>
    <row r="451" spans="1:14" x14ac:dyDescent="0.15">
      <c r="A451" s="26" t="s">
        <v>32</v>
      </c>
      <c r="B451" s="4">
        <v>20003</v>
      </c>
      <c r="C451" s="3" t="str">
        <f ca="1">VLOOKUP($B451,OFFSET([1]quests!$A$1,0,0,COUNTA([1]quests!$A:$A),MATCH(C$1,[1]quests!$1:$1,0)-MATCH($B$1,[1]quests!$1:$1,0)+1),MATCH(C$1,[1]quests!$1:$1,0)-MATCH($B$1,[1]quests!$1:$1,0)+1,FALSE)</f>
        <v>忍び寄る短剣</v>
      </c>
      <c r="D451" s="3" t="str">
        <f ca="1">VLOOKUP($B451,OFFSET([1]quests!$A$1,0,0,COUNTA([1]quests!$A:$A),MATCH(D$1,[1]quests!$1:$1,0)-MATCH($B$1,[1]quests!$1:$1,0)+1),MATCH(D$1,[1]quests!$1:$1,0)-MATCH($B$1,[1]quests!$1:$1,0)+1,FALSE)</f>
        <v>ドロップイベント1-3</v>
      </c>
      <c r="E451" s="5">
        <v>2</v>
      </c>
      <c r="F451" s="3" t="str">
        <f ca="1">VLOOKUP($B451&amp;"_"&amp;$E451,OFFSET([1]stages!$A$1,0,0,COUNTA([1]stages!$A:$A),MATCH(F$1,[1]stages!$2:$2,0)-MATCH("temp_stage",[1]stages!$2:$2,0)+1),MATCH(F$1,[1]stages!$2:$2,0)-MATCH("temp_stage",[1]stages!$2:$2,0)+1,FALSE)</f>
        <v xml:space="preserve">【中級】忍び寄る短剣 </v>
      </c>
      <c r="G451" s="3" t="str">
        <f ca="1">VLOOKUP($B451&amp;"_"&amp;$E451,OFFSET([1]stages!$A$1,0,0,COUNTA([1]stages!$A:$A),MATCH(G$1,[1]stages!$2:$2,0)-MATCH("temp_stage",[1]stages!$2:$2,0)+1),MATCH(G$1,[1]stages!$2:$2,0)-MATCH("temp_stage",[1]stages!$2:$2,0)+1,FALSE)</f>
        <v>ドロップイベント1-3</v>
      </c>
      <c r="H451" s="18">
        <v>0</v>
      </c>
      <c r="I451">
        <v>20</v>
      </c>
      <c r="J451" s="5" t="s">
        <v>16</v>
      </c>
      <c r="K451" s="35" t="str">
        <f>VLOOKUP(I451,[2]stage_hints!$A:$C,3,FALSE)</f>
        <v>マルチプレイのメリット（その3）</v>
      </c>
      <c r="L451" s="36" t="str">
        <f>VLOOKUP(I451,[2]stage_hints!$A:$D,4,FALSE)</f>
        <v>マルチプレイへの参加はエナジー消費ゼロ_x000D_いつでも好きなだけ遊ぶことができます</v>
      </c>
      <c r="M451" s="21" t="s">
        <v>23</v>
      </c>
      <c r="N451">
        <v>20</v>
      </c>
    </row>
    <row r="452" spans="1:14" x14ac:dyDescent="0.15">
      <c r="A452" s="26" t="s">
        <v>32</v>
      </c>
      <c r="B452" s="4">
        <v>20003</v>
      </c>
      <c r="C452" s="3" t="str">
        <f ca="1">VLOOKUP($B452,OFFSET([1]quests!$A$1,0,0,COUNTA([1]quests!$A:$A),MATCH(C$1,[1]quests!$1:$1,0)-MATCH($B$1,[1]quests!$1:$1,0)+1),MATCH(C$1,[1]quests!$1:$1,0)-MATCH($B$1,[1]quests!$1:$1,0)+1,FALSE)</f>
        <v>忍び寄る短剣</v>
      </c>
      <c r="D452" s="3" t="str">
        <f ca="1">VLOOKUP($B452,OFFSET([1]quests!$A$1,0,0,COUNTA([1]quests!$A:$A),MATCH(D$1,[1]quests!$1:$1,0)-MATCH($B$1,[1]quests!$1:$1,0)+1),MATCH(D$1,[1]quests!$1:$1,0)-MATCH($B$1,[1]quests!$1:$1,0)+1,FALSE)</f>
        <v>ドロップイベント1-3</v>
      </c>
      <c r="E452" s="5">
        <v>2</v>
      </c>
      <c r="F452" s="3" t="str">
        <f ca="1">VLOOKUP($B452&amp;"_"&amp;$E452,OFFSET([1]stages!$A$1,0,0,COUNTA([1]stages!$A:$A),MATCH(F$1,[1]stages!$2:$2,0)-MATCH("temp_stage",[1]stages!$2:$2,0)+1),MATCH(F$1,[1]stages!$2:$2,0)-MATCH("temp_stage",[1]stages!$2:$2,0)+1,FALSE)</f>
        <v xml:space="preserve">【中級】忍び寄る短剣 </v>
      </c>
      <c r="G452" s="3" t="str">
        <f ca="1">VLOOKUP($B452&amp;"_"&amp;$E452,OFFSET([1]stages!$A$1,0,0,COUNTA([1]stages!$A:$A),MATCH(G$1,[1]stages!$2:$2,0)-MATCH("temp_stage",[1]stages!$2:$2,0)+1),MATCH(G$1,[1]stages!$2:$2,0)-MATCH("temp_stage",[1]stages!$2:$2,0)+1,FALSE)</f>
        <v>ドロップイベント1-3</v>
      </c>
      <c r="H452" s="18">
        <v>0</v>
      </c>
      <c r="I452">
        <v>21</v>
      </c>
      <c r="J452" s="5" t="s">
        <v>16</v>
      </c>
      <c r="K452" s="35" t="str">
        <f>VLOOKUP(I452,[2]stage_hints!$A:$C,3,FALSE)</f>
        <v>スキルを有効に</v>
      </c>
      <c r="L452" s="36" t="str">
        <f>VLOOKUP(I452,[2]stage_hints!$A:$D,4,FALSE)</f>
        <v>ターン経過でユニットのスキルが使えます_x000D_強力スキルでバトルを有利に進めましょう</v>
      </c>
      <c r="M452" s="21" t="s">
        <v>23</v>
      </c>
      <c r="N452">
        <v>21</v>
      </c>
    </row>
    <row r="453" spans="1:14" x14ac:dyDescent="0.15">
      <c r="A453" s="26" t="s">
        <v>32</v>
      </c>
      <c r="B453" s="4">
        <v>20003</v>
      </c>
      <c r="C453" s="3" t="str">
        <f ca="1">VLOOKUP($B453,OFFSET([1]quests!$A$1,0,0,COUNTA([1]quests!$A:$A),MATCH(C$1,[1]quests!$1:$1,0)-MATCH($B$1,[1]quests!$1:$1,0)+1),MATCH(C$1,[1]quests!$1:$1,0)-MATCH($B$1,[1]quests!$1:$1,0)+1,FALSE)</f>
        <v>忍び寄る短剣</v>
      </c>
      <c r="D453" s="3" t="str">
        <f ca="1">VLOOKUP($B453,OFFSET([1]quests!$A$1,0,0,COUNTA([1]quests!$A:$A),MATCH(D$1,[1]quests!$1:$1,0)-MATCH($B$1,[1]quests!$1:$1,0)+1),MATCH(D$1,[1]quests!$1:$1,0)-MATCH($B$1,[1]quests!$1:$1,0)+1,FALSE)</f>
        <v>ドロップイベント1-3</v>
      </c>
      <c r="E453" s="5">
        <v>2</v>
      </c>
      <c r="F453" s="3" t="str">
        <f ca="1">VLOOKUP($B453&amp;"_"&amp;$E453,OFFSET([1]stages!$A$1,0,0,COUNTA([1]stages!$A:$A),MATCH(F$1,[1]stages!$2:$2,0)-MATCH("temp_stage",[1]stages!$2:$2,0)+1),MATCH(F$1,[1]stages!$2:$2,0)-MATCH("temp_stage",[1]stages!$2:$2,0)+1,FALSE)</f>
        <v xml:space="preserve">【中級】忍び寄る短剣 </v>
      </c>
      <c r="G453" s="3" t="str">
        <f ca="1">VLOOKUP($B453&amp;"_"&amp;$E453,OFFSET([1]stages!$A$1,0,0,COUNTA([1]stages!$A:$A),MATCH(G$1,[1]stages!$2:$2,0)-MATCH("temp_stage",[1]stages!$2:$2,0)+1),MATCH(G$1,[1]stages!$2:$2,0)-MATCH("temp_stage",[1]stages!$2:$2,0)+1,FALSE)</f>
        <v>ドロップイベント1-3</v>
      </c>
      <c r="H453" s="18">
        <v>0</v>
      </c>
      <c r="I453">
        <v>22</v>
      </c>
      <c r="J453" s="5" t="s">
        <v>16</v>
      </c>
      <c r="K453" s="35" t="str">
        <f>VLOOKUP(I453,[2]stage_hints!$A:$C,3,FALSE)</f>
        <v>フィーバーで一発逆転（その1）</v>
      </c>
      <c r="L453" s="36" t="str">
        <f>VLOOKUP(I453,[2]stage_hints!$A:$D,4,FALSE)</f>
        <v>フィーバーは攻撃と回復を兼ね備えます_x000D_ピンチからの一発逆転を狙いましょう</v>
      </c>
      <c r="M453" s="21" t="s">
        <v>23</v>
      </c>
      <c r="N453">
        <v>22</v>
      </c>
    </row>
    <row r="454" spans="1:14" x14ac:dyDescent="0.15">
      <c r="A454" s="26" t="s">
        <v>32</v>
      </c>
      <c r="B454" s="4">
        <v>20003</v>
      </c>
      <c r="C454" s="3" t="str">
        <f ca="1">VLOOKUP($B454,OFFSET([1]quests!$A$1,0,0,COUNTA([1]quests!$A:$A),MATCH(C$1,[1]quests!$1:$1,0)-MATCH($B$1,[1]quests!$1:$1,0)+1),MATCH(C$1,[1]quests!$1:$1,0)-MATCH($B$1,[1]quests!$1:$1,0)+1,FALSE)</f>
        <v>忍び寄る短剣</v>
      </c>
      <c r="D454" s="3" t="str">
        <f ca="1">VLOOKUP($B454,OFFSET([1]quests!$A$1,0,0,COUNTA([1]quests!$A:$A),MATCH(D$1,[1]quests!$1:$1,0)-MATCH($B$1,[1]quests!$1:$1,0)+1),MATCH(D$1,[1]quests!$1:$1,0)-MATCH($B$1,[1]quests!$1:$1,0)+1,FALSE)</f>
        <v>ドロップイベント1-3</v>
      </c>
      <c r="E454" s="5">
        <v>2</v>
      </c>
      <c r="F454" s="3" t="str">
        <f ca="1">VLOOKUP($B454&amp;"_"&amp;$E454,OFFSET([1]stages!$A$1,0,0,COUNTA([1]stages!$A:$A),MATCH(F$1,[1]stages!$2:$2,0)-MATCH("temp_stage",[1]stages!$2:$2,0)+1),MATCH(F$1,[1]stages!$2:$2,0)-MATCH("temp_stage",[1]stages!$2:$2,0)+1,FALSE)</f>
        <v xml:space="preserve">【中級】忍び寄る短剣 </v>
      </c>
      <c r="G454" s="3" t="str">
        <f ca="1">VLOOKUP($B454&amp;"_"&amp;$E454,OFFSET([1]stages!$A$1,0,0,COUNTA([1]stages!$A:$A),MATCH(G$1,[1]stages!$2:$2,0)-MATCH("temp_stage",[1]stages!$2:$2,0)+1),MATCH(G$1,[1]stages!$2:$2,0)-MATCH("temp_stage",[1]stages!$2:$2,0)+1,FALSE)</f>
        <v>ドロップイベント1-3</v>
      </c>
      <c r="H454" s="18">
        <v>0</v>
      </c>
      <c r="I454">
        <v>23</v>
      </c>
      <c r="J454" s="5" t="s">
        <v>16</v>
      </c>
      <c r="K454" s="35" t="str">
        <f>VLOOKUP(I454,[2]stage_hints!$A:$C,3,FALSE)</f>
        <v>フィーバーで一発逆転（その2）</v>
      </c>
      <c r="L454" s="36" t="str">
        <f>VLOOKUP(I454,[2]stage_hints!$A:$D,4,FALSE)</f>
        <v>フィーバー中は虹色のボムパネルを狙って_x000D_画面上のパネルを一気に破壊しましょう</v>
      </c>
      <c r="M454" s="21" t="s">
        <v>23</v>
      </c>
      <c r="N454">
        <v>23</v>
      </c>
    </row>
    <row r="455" spans="1:14" x14ac:dyDescent="0.15">
      <c r="A455" s="26" t="s">
        <v>32</v>
      </c>
      <c r="B455" s="4">
        <v>20003</v>
      </c>
      <c r="C455" s="3" t="str">
        <f ca="1">VLOOKUP($B455,OFFSET([1]quests!$A$1,0,0,COUNTA([1]quests!$A:$A),MATCH(C$1,[1]quests!$1:$1,0)-MATCH($B$1,[1]quests!$1:$1,0)+1),MATCH(C$1,[1]quests!$1:$1,0)-MATCH($B$1,[1]quests!$1:$1,0)+1,FALSE)</f>
        <v>忍び寄る短剣</v>
      </c>
      <c r="D455" s="3" t="str">
        <f ca="1">VLOOKUP($B455,OFFSET([1]quests!$A$1,0,0,COUNTA([1]quests!$A:$A),MATCH(D$1,[1]quests!$1:$1,0)-MATCH($B$1,[1]quests!$1:$1,0)+1),MATCH(D$1,[1]quests!$1:$1,0)-MATCH($B$1,[1]quests!$1:$1,0)+1,FALSE)</f>
        <v>ドロップイベント1-3</v>
      </c>
      <c r="E455" s="5">
        <v>2</v>
      </c>
      <c r="F455" s="3" t="str">
        <f ca="1">VLOOKUP($B455&amp;"_"&amp;$E455,OFFSET([1]stages!$A$1,0,0,COUNTA([1]stages!$A:$A),MATCH(F$1,[1]stages!$2:$2,0)-MATCH("temp_stage",[1]stages!$2:$2,0)+1),MATCH(F$1,[1]stages!$2:$2,0)-MATCH("temp_stage",[1]stages!$2:$2,0)+1,FALSE)</f>
        <v xml:space="preserve">【中級】忍び寄る短剣 </v>
      </c>
      <c r="G455" s="3" t="str">
        <f ca="1">VLOOKUP($B455&amp;"_"&amp;$E455,OFFSET([1]stages!$A$1,0,0,COUNTA([1]stages!$A:$A),MATCH(G$1,[1]stages!$2:$2,0)-MATCH("temp_stage",[1]stages!$2:$2,0)+1),MATCH(G$1,[1]stages!$2:$2,0)-MATCH("temp_stage",[1]stages!$2:$2,0)+1,FALSE)</f>
        <v>ドロップイベント1-3</v>
      </c>
      <c r="H455" s="18">
        <v>0</v>
      </c>
      <c r="I455">
        <v>24</v>
      </c>
      <c r="J455" s="5" t="s">
        <v>16</v>
      </c>
      <c r="K455" s="35" t="str">
        <f>VLOOKUP(I455,[2]stage_hints!$A:$C,3,FALSE)</f>
        <v>りんごを使って限界突破</v>
      </c>
      <c r="L455" s="36" t="str">
        <f>VLOOKUP(I455,[2]stage_hints!$A:$D,4,FALSE)</f>
        <v>赤りんご(攻撃力) 青りんご(回復力)_x000D_緑りんご(体力)をユニット強化に使うと_x000D_ステータスが限界突破します（計99個迄）</v>
      </c>
      <c r="M455" s="21" t="s">
        <v>23</v>
      </c>
      <c r="N455">
        <v>24</v>
      </c>
    </row>
    <row r="456" spans="1:14" x14ac:dyDescent="0.15">
      <c r="A456" s="26" t="s">
        <v>32</v>
      </c>
      <c r="B456" s="4">
        <v>20003</v>
      </c>
      <c r="C456" s="3" t="str">
        <f ca="1">VLOOKUP($B456,OFFSET([1]quests!$A$1,0,0,COUNTA([1]quests!$A:$A),MATCH(C$1,[1]quests!$1:$1,0)-MATCH($B$1,[1]quests!$1:$1,0)+1),MATCH(C$1,[1]quests!$1:$1,0)-MATCH($B$1,[1]quests!$1:$1,0)+1,FALSE)</f>
        <v>忍び寄る短剣</v>
      </c>
      <c r="D456" s="3" t="str">
        <f ca="1">VLOOKUP($B456,OFFSET([1]quests!$A$1,0,0,COUNTA([1]quests!$A:$A),MATCH(D$1,[1]quests!$1:$1,0)-MATCH($B$1,[1]quests!$1:$1,0)+1),MATCH(D$1,[1]quests!$1:$1,0)-MATCH($B$1,[1]quests!$1:$1,0)+1,FALSE)</f>
        <v>ドロップイベント1-3</v>
      </c>
      <c r="E456" s="5">
        <v>2</v>
      </c>
      <c r="F456" s="3" t="str">
        <f ca="1">VLOOKUP($B456&amp;"_"&amp;$E456,OFFSET([1]stages!$A$1,0,0,COUNTA([1]stages!$A:$A),MATCH(F$1,[1]stages!$2:$2,0)-MATCH("temp_stage",[1]stages!$2:$2,0)+1),MATCH(F$1,[1]stages!$2:$2,0)-MATCH("temp_stage",[1]stages!$2:$2,0)+1,FALSE)</f>
        <v xml:space="preserve">【中級】忍び寄る短剣 </v>
      </c>
      <c r="G456" s="3" t="str">
        <f ca="1">VLOOKUP($B456&amp;"_"&amp;$E456,OFFSET([1]stages!$A$1,0,0,COUNTA([1]stages!$A:$A),MATCH(G$1,[1]stages!$2:$2,0)-MATCH("temp_stage",[1]stages!$2:$2,0)+1),MATCH(G$1,[1]stages!$2:$2,0)-MATCH("temp_stage",[1]stages!$2:$2,0)+1,FALSE)</f>
        <v>ドロップイベント1-3</v>
      </c>
      <c r="H456" s="18">
        <v>0</v>
      </c>
      <c r="I456">
        <v>25</v>
      </c>
      <c r="J456" s="5" t="s">
        <v>16</v>
      </c>
      <c r="K456" s="35" t="str">
        <f>VLOOKUP(I456,[2]stage_hints!$A:$C,3,FALSE)</f>
        <v>スキルレベルアップ</v>
      </c>
      <c r="L456" s="36" t="str">
        <f>VLOOKUP(I456,[2]stage_hints!$A:$D,4,FALSE)</f>
        <v>「クリスタルのりんご」を強化に使うと_x000D_スキルレベルを上げることができます</v>
      </c>
      <c r="M456" s="21" t="s">
        <v>23</v>
      </c>
      <c r="N456">
        <v>25</v>
      </c>
    </row>
    <row r="457" spans="1:14" x14ac:dyDescent="0.15">
      <c r="A457" s="26" t="s">
        <v>32</v>
      </c>
      <c r="B457" s="4">
        <v>20003</v>
      </c>
      <c r="C457" s="3" t="str">
        <f ca="1">VLOOKUP($B457,OFFSET([1]quests!$A$1,0,0,COUNTA([1]quests!$A:$A),MATCH(C$1,[1]quests!$1:$1,0)-MATCH($B$1,[1]quests!$1:$1,0)+1),MATCH(C$1,[1]quests!$1:$1,0)-MATCH($B$1,[1]quests!$1:$1,0)+1,FALSE)</f>
        <v>忍び寄る短剣</v>
      </c>
      <c r="D457" s="3" t="str">
        <f ca="1">VLOOKUP($B457,OFFSET([1]quests!$A$1,0,0,COUNTA([1]quests!$A:$A),MATCH(D$1,[1]quests!$1:$1,0)-MATCH($B$1,[1]quests!$1:$1,0)+1),MATCH(D$1,[1]quests!$1:$1,0)-MATCH($B$1,[1]quests!$1:$1,0)+1,FALSE)</f>
        <v>ドロップイベント1-3</v>
      </c>
      <c r="E457" s="5">
        <v>2</v>
      </c>
      <c r="F457" s="3" t="str">
        <f ca="1">VLOOKUP($B457&amp;"_"&amp;$E457,OFFSET([1]stages!$A$1,0,0,COUNTA([1]stages!$A:$A),MATCH(F$1,[1]stages!$2:$2,0)-MATCH("temp_stage",[1]stages!$2:$2,0)+1),MATCH(F$1,[1]stages!$2:$2,0)-MATCH("temp_stage",[1]stages!$2:$2,0)+1,FALSE)</f>
        <v xml:space="preserve">【中級】忍び寄る短剣 </v>
      </c>
      <c r="G457" s="3" t="str">
        <f ca="1">VLOOKUP($B457&amp;"_"&amp;$E457,OFFSET([1]stages!$A$1,0,0,COUNTA([1]stages!$A:$A),MATCH(G$1,[1]stages!$2:$2,0)-MATCH("temp_stage",[1]stages!$2:$2,0)+1),MATCH(G$1,[1]stages!$2:$2,0)-MATCH("temp_stage",[1]stages!$2:$2,0)+1,FALSE)</f>
        <v>ドロップイベント1-3</v>
      </c>
      <c r="H457" s="18">
        <v>0</v>
      </c>
      <c r="I457">
        <v>26</v>
      </c>
      <c r="J457" s="5" t="s">
        <v>16</v>
      </c>
      <c r="K457" s="35" t="str">
        <f>VLOOKUP(I457,[2]stage_hints!$A:$C,3,FALSE)</f>
        <v>スキルレベルの効果</v>
      </c>
      <c r="L457" s="36" t="str">
        <f>VLOOKUP(I457,[2]stage_hints!$A:$D,4,FALSE)</f>
        <v>スキルレベルが上がると_x000D_短いターンでスキルを使うことができます</v>
      </c>
      <c r="M457" s="21" t="s">
        <v>23</v>
      </c>
      <c r="N457">
        <v>26</v>
      </c>
    </row>
    <row r="458" spans="1:14" x14ac:dyDescent="0.15">
      <c r="A458" s="26" t="s">
        <v>32</v>
      </c>
      <c r="B458" s="4">
        <v>20003</v>
      </c>
      <c r="C458" s="3" t="str">
        <f ca="1">VLOOKUP($B458,OFFSET([1]quests!$A$1,0,0,COUNTA([1]quests!$A:$A),MATCH(C$1,[1]quests!$1:$1,0)-MATCH($B$1,[1]quests!$1:$1,0)+1),MATCH(C$1,[1]quests!$1:$1,0)-MATCH($B$1,[1]quests!$1:$1,0)+1,FALSE)</f>
        <v>忍び寄る短剣</v>
      </c>
      <c r="D458" s="3" t="str">
        <f ca="1">VLOOKUP($B458,OFFSET([1]quests!$A$1,0,0,COUNTA([1]quests!$A:$A),MATCH(D$1,[1]quests!$1:$1,0)-MATCH($B$1,[1]quests!$1:$1,0)+1),MATCH(D$1,[1]quests!$1:$1,0)-MATCH($B$1,[1]quests!$1:$1,0)+1,FALSE)</f>
        <v>ドロップイベント1-3</v>
      </c>
      <c r="E458" s="5">
        <v>2</v>
      </c>
      <c r="F458" s="3" t="str">
        <f ca="1">VLOOKUP($B458&amp;"_"&amp;$E458,OFFSET([1]stages!$A$1,0,0,COUNTA([1]stages!$A:$A),MATCH(F$1,[1]stages!$2:$2,0)-MATCH("temp_stage",[1]stages!$2:$2,0)+1),MATCH(F$1,[1]stages!$2:$2,0)-MATCH("temp_stage",[1]stages!$2:$2,0)+1,FALSE)</f>
        <v xml:space="preserve">【中級】忍び寄る短剣 </v>
      </c>
      <c r="G458" s="3" t="str">
        <f ca="1">VLOOKUP($B458&amp;"_"&amp;$E458,OFFSET([1]stages!$A$1,0,0,COUNTA([1]stages!$A:$A),MATCH(G$1,[1]stages!$2:$2,0)-MATCH("temp_stage",[1]stages!$2:$2,0)+1),MATCH(G$1,[1]stages!$2:$2,0)-MATCH("temp_stage",[1]stages!$2:$2,0)+1,FALSE)</f>
        <v>ドロップイベント1-3</v>
      </c>
      <c r="H458" s="18">
        <v>0</v>
      </c>
      <c r="I458">
        <v>27</v>
      </c>
      <c r="J458" s="5" t="s">
        <v>16</v>
      </c>
      <c r="K458" s="35" t="str">
        <f>VLOOKUP(I458,[2]stage_hints!$A:$C,3,FALSE)</f>
        <v>ホーム画面からデッキを編成</v>
      </c>
      <c r="L458" s="36" t="str">
        <f>VLOOKUP(I458,[2]stage_hints!$A:$D,4,FALSE)</f>
        <v>ホーム画面でユニットを長押しすると_x000D_すぐにパーティ編成に移動できます</v>
      </c>
      <c r="M458" s="21" t="s">
        <v>23</v>
      </c>
      <c r="N458">
        <v>27</v>
      </c>
    </row>
    <row r="459" spans="1:14" x14ac:dyDescent="0.15">
      <c r="A459" s="26" t="s">
        <v>32</v>
      </c>
      <c r="B459" s="4">
        <v>20003</v>
      </c>
      <c r="C459" s="3" t="str">
        <f ca="1">VLOOKUP($B459,OFFSET([1]quests!$A$1,0,0,COUNTA([1]quests!$A:$A),MATCH(C$1,[1]quests!$1:$1,0)-MATCH($B$1,[1]quests!$1:$1,0)+1),MATCH(C$1,[1]quests!$1:$1,0)-MATCH($B$1,[1]quests!$1:$1,0)+1,FALSE)</f>
        <v>忍び寄る短剣</v>
      </c>
      <c r="D459" s="3" t="str">
        <f ca="1">VLOOKUP($B459,OFFSET([1]quests!$A$1,0,0,COUNTA([1]quests!$A:$A),MATCH(D$1,[1]quests!$1:$1,0)-MATCH($B$1,[1]quests!$1:$1,0)+1),MATCH(D$1,[1]quests!$1:$1,0)-MATCH($B$1,[1]quests!$1:$1,0)+1,FALSE)</f>
        <v>ドロップイベント1-3</v>
      </c>
      <c r="E459" s="5">
        <v>2</v>
      </c>
      <c r="F459" s="3" t="str">
        <f ca="1">VLOOKUP($B459&amp;"_"&amp;$E459,OFFSET([1]stages!$A$1,0,0,COUNTA([1]stages!$A:$A),MATCH(F$1,[1]stages!$2:$2,0)-MATCH("temp_stage",[1]stages!$2:$2,0)+1),MATCH(F$1,[1]stages!$2:$2,0)-MATCH("temp_stage",[1]stages!$2:$2,0)+1,FALSE)</f>
        <v xml:space="preserve">【中級】忍び寄る短剣 </v>
      </c>
      <c r="G459" s="3" t="str">
        <f ca="1">VLOOKUP($B459&amp;"_"&amp;$E459,OFFSET([1]stages!$A$1,0,0,COUNTA([1]stages!$A:$A),MATCH(G$1,[1]stages!$2:$2,0)-MATCH("temp_stage",[1]stages!$2:$2,0)+1),MATCH(G$1,[1]stages!$2:$2,0)-MATCH("temp_stage",[1]stages!$2:$2,0)+1,FALSE)</f>
        <v>ドロップイベント1-3</v>
      </c>
      <c r="H459" s="18">
        <v>0</v>
      </c>
      <c r="I459">
        <v>28</v>
      </c>
      <c r="J459" s="5" t="s">
        <v>16</v>
      </c>
      <c r="K459" s="35" t="str">
        <f>VLOOKUP(I459,[2]stage_hints!$A:$C,3,FALSE)</f>
        <v>ステータス情報は長押しで</v>
      </c>
      <c r="L459" s="36" t="str">
        <f>VLOOKUP(I459,[2]stage_hints!$A:$D,4,FALSE)</f>
        <v>ユニットのアイコンを長押しすると_x000D_ステータス情報を確認することができます</v>
      </c>
      <c r="M459" s="21" t="s">
        <v>23</v>
      </c>
      <c r="N459">
        <v>28</v>
      </c>
    </row>
    <row r="460" spans="1:14" x14ac:dyDescent="0.15">
      <c r="A460" s="26" t="s">
        <v>32</v>
      </c>
      <c r="B460" s="4">
        <v>20003</v>
      </c>
      <c r="C460" s="3" t="str">
        <f ca="1">VLOOKUP($B460,OFFSET([1]quests!$A$1,0,0,COUNTA([1]quests!$A:$A),MATCH(C$1,[1]quests!$1:$1,0)-MATCH($B$1,[1]quests!$1:$1,0)+1),MATCH(C$1,[1]quests!$1:$1,0)-MATCH($B$1,[1]quests!$1:$1,0)+1,FALSE)</f>
        <v>忍び寄る短剣</v>
      </c>
      <c r="D460" s="3" t="str">
        <f ca="1">VLOOKUP($B460,OFFSET([1]quests!$A$1,0,0,COUNTA([1]quests!$A:$A),MATCH(D$1,[1]quests!$1:$1,0)-MATCH($B$1,[1]quests!$1:$1,0)+1),MATCH(D$1,[1]quests!$1:$1,0)-MATCH($B$1,[1]quests!$1:$1,0)+1,FALSE)</f>
        <v>ドロップイベント1-3</v>
      </c>
      <c r="E460" s="5">
        <v>2</v>
      </c>
      <c r="F460" s="3" t="str">
        <f ca="1">VLOOKUP($B460&amp;"_"&amp;$E460,OFFSET([1]stages!$A$1,0,0,COUNTA([1]stages!$A:$A),MATCH(F$1,[1]stages!$2:$2,0)-MATCH("temp_stage",[1]stages!$2:$2,0)+1),MATCH(F$1,[1]stages!$2:$2,0)-MATCH("temp_stage",[1]stages!$2:$2,0)+1,FALSE)</f>
        <v xml:space="preserve">【中級】忍び寄る短剣 </v>
      </c>
      <c r="G460" s="3" t="str">
        <f ca="1">VLOOKUP($B460&amp;"_"&amp;$E460,OFFSET([1]stages!$A$1,0,0,COUNTA([1]stages!$A:$A),MATCH(G$1,[1]stages!$2:$2,0)-MATCH("temp_stage",[1]stages!$2:$2,0)+1),MATCH(G$1,[1]stages!$2:$2,0)-MATCH("temp_stage",[1]stages!$2:$2,0)+1,FALSE)</f>
        <v>ドロップイベント1-3</v>
      </c>
      <c r="H460" s="18">
        <v>0</v>
      </c>
      <c r="I460">
        <v>29</v>
      </c>
      <c r="J460" s="5" t="s">
        <v>16</v>
      </c>
      <c r="K460" s="35" t="str">
        <f>VLOOKUP(I460,[2]stage_hints!$A:$C,3,FALSE)</f>
        <v>「バグ」のメリット</v>
      </c>
      <c r="L460" s="36" t="str">
        <f>VLOOKUP(I460,[2]stage_hints!$A:$D,4,FALSE)</f>
        <v>ユニットの「バグ」を増やすと_x000D_報酬をもらえる確率がアップします</v>
      </c>
      <c r="M460" s="21" t="s">
        <v>23</v>
      </c>
      <c r="N460">
        <v>29</v>
      </c>
    </row>
    <row r="461" spans="1:14" x14ac:dyDescent="0.15">
      <c r="A461" s="26" t="s">
        <v>32</v>
      </c>
      <c r="B461" s="4">
        <v>20003</v>
      </c>
      <c r="C461" s="3" t="str">
        <f ca="1">VLOOKUP($B461,OFFSET([1]quests!$A$1,0,0,COUNTA([1]quests!$A:$A),MATCH(C$1,[1]quests!$1:$1,0)-MATCH($B$1,[1]quests!$1:$1,0)+1),MATCH(C$1,[1]quests!$1:$1,0)-MATCH($B$1,[1]quests!$1:$1,0)+1,FALSE)</f>
        <v>忍び寄る短剣</v>
      </c>
      <c r="D461" s="3" t="str">
        <f ca="1">VLOOKUP($B461,OFFSET([1]quests!$A$1,0,0,COUNTA([1]quests!$A:$A),MATCH(D$1,[1]quests!$1:$1,0)-MATCH($B$1,[1]quests!$1:$1,0)+1),MATCH(D$1,[1]quests!$1:$1,0)-MATCH($B$1,[1]quests!$1:$1,0)+1,FALSE)</f>
        <v>ドロップイベント1-3</v>
      </c>
      <c r="E461" s="5">
        <v>2</v>
      </c>
      <c r="F461" s="3" t="str">
        <f ca="1">VLOOKUP($B461&amp;"_"&amp;$E461,OFFSET([1]stages!$A$1,0,0,COUNTA([1]stages!$A:$A),MATCH(F$1,[1]stages!$2:$2,0)-MATCH("temp_stage",[1]stages!$2:$2,0)+1),MATCH(F$1,[1]stages!$2:$2,0)-MATCH("temp_stage",[1]stages!$2:$2,0)+1,FALSE)</f>
        <v xml:space="preserve">【中級】忍び寄る短剣 </v>
      </c>
      <c r="G461" s="3" t="str">
        <f ca="1">VLOOKUP($B461&amp;"_"&amp;$E461,OFFSET([1]stages!$A$1,0,0,COUNTA([1]stages!$A:$A),MATCH(G$1,[1]stages!$2:$2,0)-MATCH("temp_stage",[1]stages!$2:$2,0)+1),MATCH(G$1,[1]stages!$2:$2,0)-MATCH("temp_stage",[1]stages!$2:$2,0)+1,FALSE)</f>
        <v>ドロップイベント1-3</v>
      </c>
      <c r="H461" s="18">
        <v>0</v>
      </c>
      <c r="I461">
        <v>30</v>
      </c>
      <c r="J461" s="5" t="s">
        <v>16</v>
      </c>
      <c r="K461" s="35" t="str">
        <f>VLOOKUP(I461,[2]stage_hints!$A:$C,3,FALSE)</f>
        <v>「バグ」の増やし方</v>
      </c>
      <c r="L461" s="36" t="str">
        <f>VLOOKUP(I461,[2]stage_hints!$A:$D,4,FALSE)</f>
        <v>同じユニット同士を強化で合成すると_x000D_「バグ」を増やすことができます</v>
      </c>
      <c r="M461" s="21" t="s">
        <v>23</v>
      </c>
      <c r="N461">
        <v>30</v>
      </c>
    </row>
    <row r="462" spans="1:14" x14ac:dyDescent="0.15">
      <c r="A462" s="26" t="s">
        <v>32</v>
      </c>
      <c r="B462" s="4">
        <v>20003</v>
      </c>
      <c r="C462" s="3" t="str">
        <f ca="1">VLOOKUP($B462,OFFSET([1]quests!$A$1,0,0,COUNTA([1]quests!$A:$A),MATCH(C$1,[1]quests!$1:$1,0)-MATCH($B$1,[1]quests!$1:$1,0)+1),MATCH(C$1,[1]quests!$1:$1,0)-MATCH($B$1,[1]quests!$1:$1,0)+1,FALSE)</f>
        <v>忍び寄る短剣</v>
      </c>
      <c r="D462" s="3" t="str">
        <f ca="1">VLOOKUP($B462,OFFSET([1]quests!$A$1,0,0,COUNTA([1]quests!$A:$A),MATCH(D$1,[1]quests!$1:$1,0)-MATCH($B$1,[1]quests!$1:$1,0)+1),MATCH(D$1,[1]quests!$1:$1,0)-MATCH($B$1,[1]quests!$1:$1,0)+1,FALSE)</f>
        <v>ドロップイベント1-3</v>
      </c>
      <c r="E462" s="5">
        <v>2</v>
      </c>
      <c r="F462" s="3" t="str">
        <f ca="1">VLOOKUP($B462&amp;"_"&amp;$E462,OFFSET([1]stages!$A$1,0,0,COUNTA([1]stages!$A:$A),MATCH(F$1,[1]stages!$2:$2,0)-MATCH("temp_stage",[1]stages!$2:$2,0)+1),MATCH(F$1,[1]stages!$2:$2,0)-MATCH("temp_stage",[1]stages!$2:$2,0)+1,FALSE)</f>
        <v xml:space="preserve">【中級】忍び寄る短剣 </v>
      </c>
      <c r="G462" s="3" t="str">
        <f ca="1">VLOOKUP($B462&amp;"_"&amp;$E462,OFFSET([1]stages!$A$1,0,0,COUNTA([1]stages!$A:$A),MATCH(G$1,[1]stages!$2:$2,0)-MATCH("temp_stage",[1]stages!$2:$2,0)+1),MATCH(G$1,[1]stages!$2:$2,0)-MATCH("temp_stage",[1]stages!$2:$2,0)+1,FALSE)</f>
        <v>ドロップイベント1-3</v>
      </c>
      <c r="H462" s="18">
        <v>0</v>
      </c>
      <c r="I462">
        <v>31</v>
      </c>
      <c r="J462" s="5" t="s">
        <v>16</v>
      </c>
      <c r="K462" s="35" t="str">
        <f>VLOOKUP(I462,[2]stage_hints!$A:$C,3,FALSE)</f>
        <v>イベントはお知らせでチェック</v>
      </c>
      <c r="L462" s="36" t="str">
        <f>VLOOKUP(I462,[2]stage_hints!$A:$D,4,FALSE)</f>
        <v>イベント限定ユニットを取り忘れないように_x000D_お知らせをこまめにチェックしましょう</v>
      </c>
      <c r="M462" s="21" t="s">
        <v>23</v>
      </c>
      <c r="N462">
        <v>31</v>
      </c>
    </row>
    <row r="463" spans="1:14" x14ac:dyDescent="0.15">
      <c r="A463" s="26" t="s">
        <v>32</v>
      </c>
      <c r="B463" s="4">
        <v>20003</v>
      </c>
      <c r="C463" s="3" t="str">
        <f ca="1">VLOOKUP($B463,OFFSET([1]quests!$A$1,0,0,COUNTA([1]quests!$A:$A),MATCH(C$1,[1]quests!$1:$1,0)-MATCH($B$1,[1]quests!$1:$1,0)+1),MATCH(C$1,[1]quests!$1:$1,0)-MATCH($B$1,[1]quests!$1:$1,0)+1,FALSE)</f>
        <v>忍び寄る短剣</v>
      </c>
      <c r="D463" s="3" t="str">
        <f ca="1">VLOOKUP($B463,OFFSET([1]quests!$A$1,0,0,COUNTA([1]quests!$A:$A),MATCH(D$1,[1]quests!$1:$1,0)-MATCH($B$1,[1]quests!$1:$1,0)+1),MATCH(D$1,[1]quests!$1:$1,0)-MATCH($B$1,[1]quests!$1:$1,0)+1,FALSE)</f>
        <v>ドロップイベント1-3</v>
      </c>
      <c r="E463" s="5">
        <v>2</v>
      </c>
      <c r="F463" s="3" t="str">
        <f ca="1">VLOOKUP($B463&amp;"_"&amp;$E463,OFFSET([1]stages!$A$1,0,0,COUNTA([1]stages!$A:$A),MATCH(F$1,[1]stages!$2:$2,0)-MATCH("temp_stage",[1]stages!$2:$2,0)+1),MATCH(F$1,[1]stages!$2:$2,0)-MATCH("temp_stage",[1]stages!$2:$2,0)+1,FALSE)</f>
        <v xml:space="preserve">【中級】忍び寄る短剣 </v>
      </c>
      <c r="G463" s="3" t="str">
        <f ca="1">VLOOKUP($B463&amp;"_"&amp;$E463,OFFSET([1]stages!$A$1,0,0,COUNTA([1]stages!$A:$A),MATCH(G$1,[1]stages!$2:$2,0)-MATCH("temp_stage",[1]stages!$2:$2,0)+1),MATCH(G$1,[1]stages!$2:$2,0)-MATCH("temp_stage",[1]stages!$2:$2,0)+1,FALSE)</f>
        <v>ドロップイベント1-3</v>
      </c>
      <c r="H463" s="18">
        <v>0</v>
      </c>
      <c r="I463">
        <v>32</v>
      </c>
      <c r="J463" s="5" t="s">
        <v>16</v>
      </c>
      <c r="K463" s="35" t="str">
        <f>VLOOKUP(I463,[2]stage_hints!$A:$C,3,FALSE)</f>
        <v>敵の連続攻撃には</v>
      </c>
      <c r="L463" s="36" t="str">
        <f>VLOOKUP(I463,[2]stage_hints!$A:$D,4,FALSE)</f>
        <v>カウンタースキルを持つユニットがいれば_x000D_ダメージ回数分の反撃ができます</v>
      </c>
      <c r="M463" s="21" t="s">
        <v>23</v>
      </c>
      <c r="N463">
        <v>32</v>
      </c>
    </row>
    <row r="464" spans="1:14" x14ac:dyDescent="0.15">
      <c r="A464" s="26" t="s">
        <v>32</v>
      </c>
      <c r="B464" s="4">
        <v>20003</v>
      </c>
      <c r="C464" s="3" t="str">
        <f ca="1">VLOOKUP($B464,OFFSET([1]quests!$A$1,0,0,COUNTA([1]quests!$A:$A),MATCH(C$1,[1]quests!$1:$1,0)-MATCH($B$1,[1]quests!$1:$1,0)+1),MATCH(C$1,[1]quests!$1:$1,0)-MATCH($B$1,[1]quests!$1:$1,0)+1,FALSE)</f>
        <v>忍び寄る短剣</v>
      </c>
      <c r="D464" s="3" t="str">
        <f ca="1">VLOOKUP($B464,OFFSET([1]quests!$A$1,0,0,COUNTA([1]quests!$A:$A),MATCH(D$1,[1]quests!$1:$1,0)-MATCH($B$1,[1]quests!$1:$1,0)+1),MATCH(D$1,[1]quests!$1:$1,0)-MATCH($B$1,[1]quests!$1:$1,0)+1,FALSE)</f>
        <v>ドロップイベント1-3</v>
      </c>
      <c r="E464" s="5">
        <v>2</v>
      </c>
      <c r="F464" s="3" t="str">
        <f ca="1">VLOOKUP($B464&amp;"_"&amp;$E464,OFFSET([1]stages!$A$1,0,0,COUNTA([1]stages!$A:$A),MATCH(F$1,[1]stages!$2:$2,0)-MATCH("temp_stage",[1]stages!$2:$2,0)+1),MATCH(F$1,[1]stages!$2:$2,0)-MATCH("temp_stage",[1]stages!$2:$2,0)+1,FALSE)</f>
        <v xml:space="preserve">【中級】忍び寄る短剣 </v>
      </c>
      <c r="G464" s="3" t="str">
        <f ca="1">VLOOKUP($B464&amp;"_"&amp;$E464,OFFSET([1]stages!$A$1,0,0,COUNTA([1]stages!$A:$A),MATCH(G$1,[1]stages!$2:$2,0)-MATCH("temp_stage",[1]stages!$2:$2,0)+1),MATCH(G$1,[1]stages!$2:$2,0)-MATCH("temp_stage",[1]stages!$2:$2,0)+1,FALSE)</f>
        <v>ドロップイベント1-3</v>
      </c>
      <c r="H464" s="18">
        <v>0</v>
      </c>
      <c r="I464">
        <v>33</v>
      </c>
      <c r="J464" s="5" t="s">
        <v>16</v>
      </c>
      <c r="K464" s="35" t="str">
        <f>VLOOKUP(I464,[2]stage_hints!$A:$C,3,FALSE)</f>
        <v>敵のカウンター攻撃には</v>
      </c>
      <c r="L464" s="36" t="str">
        <f>VLOOKUP(I464,[2]stage_hints!$A:$D,4,FALSE)</f>
        <v>カウンターブレイクスキルを持っていれば_x000D_敵のカウンターを解除して攻撃ができます</v>
      </c>
      <c r="M464" s="21" t="s">
        <v>23</v>
      </c>
      <c r="N464">
        <v>33</v>
      </c>
    </row>
    <row r="465" spans="1:14" x14ac:dyDescent="0.15">
      <c r="A465" s="26" t="s">
        <v>32</v>
      </c>
      <c r="B465" s="4">
        <v>20003</v>
      </c>
      <c r="C465" s="3" t="str">
        <f ca="1">VLOOKUP($B465,OFFSET([1]quests!$A$1,0,0,COUNTA([1]quests!$A:$A),MATCH(C$1,[1]quests!$1:$1,0)-MATCH($B$1,[1]quests!$1:$1,0)+1),MATCH(C$1,[1]quests!$1:$1,0)-MATCH($B$1,[1]quests!$1:$1,0)+1,FALSE)</f>
        <v>忍び寄る短剣</v>
      </c>
      <c r="D465" s="3" t="str">
        <f ca="1">VLOOKUP($B465,OFFSET([1]quests!$A$1,0,0,COUNTA([1]quests!$A:$A),MATCH(D$1,[1]quests!$1:$1,0)-MATCH($B$1,[1]quests!$1:$1,0)+1),MATCH(D$1,[1]quests!$1:$1,0)-MATCH($B$1,[1]quests!$1:$1,0)+1,FALSE)</f>
        <v>ドロップイベント1-3</v>
      </c>
      <c r="E465" s="5">
        <v>2</v>
      </c>
      <c r="F465" s="3" t="str">
        <f ca="1">VLOOKUP($B465&amp;"_"&amp;$E465,OFFSET([1]stages!$A$1,0,0,COUNTA([1]stages!$A:$A),MATCH(F$1,[1]stages!$2:$2,0)-MATCH("temp_stage",[1]stages!$2:$2,0)+1),MATCH(F$1,[1]stages!$2:$2,0)-MATCH("temp_stage",[1]stages!$2:$2,0)+1,FALSE)</f>
        <v xml:space="preserve">【中級】忍び寄る短剣 </v>
      </c>
      <c r="G465" s="3" t="str">
        <f ca="1">VLOOKUP($B465&amp;"_"&amp;$E465,OFFSET([1]stages!$A$1,0,0,COUNTA([1]stages!$A:$A),MATCH(G$1,[1]stages!$2:$2,0)-MATCH("temp_stage",[1]stages!$2:$2,0)+1),MATCH(G$1,[1]stages!$2:$2,0)-MATCH("temp_stage",[1]stages!$2:$2,0)+1,FALSE)</f>
        <v>ドロップイベント1-3</v>
      </c>
      <c r="H465" s="18">
        <v>0</v>
      </c>
      <c r="I465">
        <v>34</v>
      </c>
      <c r="J465" s="5" t="s">
        <v>16</v>
      </c>
      <c r="K465" s="35" t="str">
        <f>VLOOKUP(I465,[2]stage_hints!$A:$C,3,FALSE)</f>
        <v>ステータスをスキルで下げられたら</v>
      </c>
      <c r="L465" s="36" t="str">
        <f>VLOOKUP(I465,[2]stage_hints!$A:$D,4,FALSE)</f>
        <v>ステータスダウンのスキルを受けたら_x000D_ステータスアップスキルで上書きしましょう</v>
      </c>
      <c r="M465" s="21" t="s">
        <v>23</v>
      </c>
      <c r="N465">
        <v>34</v>
      </c>
    </row>
    <row r="466" spans="1:14" x14ac:dyDescent="0.15">
      <c r="A466" s="26" t="s">
        <v>32</v>
      </c>
      <c r="B466" s="4">
        <v>20003</v>
      </c>
      <c r="C466" s="3" t="str">
        <f ca="1">VLOOKUP($B466,OFFSET([1]quests!$A$1,0,0,COUNTA([1]quests!$A:$A),MATCH(C$1,[1]quests!$1:$1,0)-MATCH($B$1,[1]quests!$1:$1,0)+1),MATCH(C$1,[1]quests!$1:$1,0)-MATCH($B$1,[1]quests!$1:$1,0)+1,FALSE)</f>
        <v>忍び寄る短剣</v>
      </c>
      <c r="D466" s="3" t="str">
        <f ca="1">VLOOKUP($B466,OFFSET([1]quests!$A$1,0,0,COUNTA([1]quests!$A:$A),MATCH(D$1,[1]quests!$1:$1,0)-MATCH($B$1,[1]quests!$1:$1,0)+1),MATCH(D$1,[1]quests!$1:$1,0)-MATCH($B$1,[1]quests!$1:$1,0)+1,FALSE)</f>
        <v>ドロップイベント1-3</v>
      </c>
      <c r="E466" s="5">
        <v>2</v>
      </c>
      <c r="F466" s="3" t="str">
        <f ca="1">VLOOKUP($B466&amp;"_"&amp;$E466,OFFSET([1]stages!$A$1,0,0,COUNTA([1]stages!$A:$A),MATCH(F$1,[1]stages!$2:$2,0)-MATCH("temp_stage",[1]stages!$2:$2,0)+1),MATCH(F$1,[1]stages!$2:$2,0)-MATCH("temp_stage",[1]stages!$2:$2,0)+1,FALSE)</f>
        <v xml:space="preserve">【中級】忍び寄る短剣 </v>
      </c>
      <c r="G466" s="3" t="str">
        <f ca="1">VLOOKUP($B466&amp;"_"&amp;$E466,OFFSET([1]stages!$A$1,0,0,COUNTA([1]stages!$A:$A),MATCH(G$1,[1]stages!$2:$2,0)-MATCH("temp_stage",[1]stages!$2:$2,0)+1),MATCH(G$1,[1]stages!$2:$2,0)-MATCH("temp_stage",[1]stages!$2:$2,0)+1,FALSE)</f>
        <v>ドロップイベント1-3</v>
      </c>
      <c r="H466" s="18">
        <v>0</v>
      </c>
      <c r="I466">
        <v>35</v>
      </c>
      <c r="J466" s="5" t="s">
        <v>16</v>
      </c>
      <c r="K466" s="35" t="str">
        <f>VLOOKUP(I466,[2]stage_hints!$A:$C,3,FALSE)</f>
        <v>敵のステータスがスキルで上がったら</v>
      </c>
      <c r="L466" s="36" t="str">
        <f>VLOOKUP(I466,[2]stage_hints!$A:$D,4,FALSE)</f>
        <v>敵のステータスがスキルでアップしたときは_x000D_ステータスダウンスキルで上書きしましょう</v>
      </c>
      <c r="M466" s="21" t="s">
        <v>23</v>
      </c>
      <c r="N466">
        <v>35</v>
      </c>
    </row>
    <row r="467" spans="1:14" x14ac:dyDescent="0.15">
      <c r="A467" s="26" t="s">
        <v>32</v>
      </c>
      <c r="B467" s="4">
        <v>20004</v>
      </c>
      <c r="C467" s="3" t="str">
        <f ca="1">VLOOKUP($B467,OFFSET([1]quests!$A$1,0,0,COUNTA([1]quests!$A:$A),MATCH(C$1,[1]quests!$1:$1,0)-MATCH($B$1,[1]quests!$1:$1,0)+1),MATCH(C$1,[1]quests!$1:$1,0)-MATCH($B$1,[1]quests!$1:$1,0)+1,FALSE)</f>
        <v>雷雲からの刺客</v>
      </c>
      <c r="D467" s="3" t="str">
        <f ca="1">VLOOKUP($B467,OFFSET([1]quests!$A$1,0,0,COUNTA([1]quests!$A:$A),MATCH(D$1,[1]quests!$1:$1,0)-MATCH($B$1,[1]quests!$1:$1,0)+1),MATCH(D$1,[1]quests!$1:$1,0)-MATCH($B$1,[1]quests!$1:$1,0)+1,FALSE)</f>
        <v>ドロップイベント1-4</v>
      </c>
      <c r="E467" s="5">
        <v>2</v>
      </c>
      <c r="F467" s="3" t="str">
        <f ca="1">VLOOKUP($B467&amp;"_"&amp;$E467,OFFSET([1]stages!$A$1,0,0,COUNTA([1]stages!$A:$A),MATCH(F$1,[1]stages!$2:$2,0)-MATCH("temp_stage",[1]stages!$2:$2,0)+1),MATCH(F$1,[1]stages!$2:$2,0)-MATCH("temp_stage",[1]stages!$2:$2,0)+1,FALSE)</f>
        <v>【中級】雷雲からの刺客</v>
      </c>
      <c r="G467" s="3" t="str">
        <f ca="1">VLOOKUP($B467&amp;"_"&amp;$E467,OFFSET([1]stages!$A$1,0,0,COUNTA([1]stages!$A:$A),MATCH(G$1,[1]stages!$2:$2,0)-MATCH("temp_stage",[1]stages!$2:$2,0)+1),MATCH(G$1,[1]stages!$2:$2,0)-MATCH("temp_stage",[1]stages!$2:$2,0)+1,FALSE)</f>
        <v>ドロップイベント1-4</v>
      </c>
      <c r="H467" s="18">
        <v>0</v>
      </c>
      <c r="I467">
        <v>3</v>
      </c>
      <c r="J467" s="5" t="s">
        <v>16</v>
      </c>
      <c r="K467" s="35" t="str">
        <f>VLOOKUP(I467,[2]stage_hints!$A:$C,3,FALSE)</f>
        <v>ターゲット</v>
      </c>
      <c r="L467" s="36" t="str">
        <f>VLOOKUP(I467,[2]stage_hints!$A:$D,4,FALSE)</f>
        <v>敵ユニットをタップすると_x000D_その敵を狙い撃ちできます</v>
      </c>
      <c r="M467" s="21" t="s">
        <v>23</v>
      </c>
      <c r="N467">
        <v>3</v>
      </c>
    </row>
    <row r="468" spans="1:14" x14ac:dyDescent="0.15">
      <c r="A468" s="26" t="s">
        <v>32</v>
      </c>
      <c r="B468" s="4">
        <v>20004</v>
      </c>
      <c r="C468" s="3" t="str">
        <f ca="1">VLOOKUP($B468,OFFSET([1]quests!$A$1,0,0,COUNTA([1]quests!$A:$A),MATCH(C$1,[1]quests!$1:$1,0)-MATCH($B$1,[1]quests!$1:$1,0)+1),MATCH(C$1,[1]quests!$1:$1,0)-MATCH($B$1,[1]quests!$1:$1,0)+1,FALSE)</f>
        <v>雷雲からの刺客</v>
      </c>
      <c r="D468" s="3" t="str">
        <f ca="1">VLOOKUP($B468,OFFSET([1]quests!$A$1,0,0,COUNTA([1]quests!$A:$A),MATCH(D$1,[1]quests!$1:$1,0)-MATCH($B$1,[1]quests!$1:$1,0)+1),MATCH(D$1,[1]quests!$1:$1,0)-MATCH($B$1,[1]quests!$1:$1,0)+1,FALSE)</f>
        <v>ドロップイベント1-4</v>
      </c>
      <c r="E468" s="5">
        <v>2</v>
      </c>
      <c r="F468" s="3" t="str">
        <f ca="1">VLOOKUP($B468&amp;"_"&amp;$E468,OFFSET([1]stages!$A$1,0,0,COUNTA([1]stages!$A:$A),MATCH(F$1,[1]stages!$2:$2,0)-MATCH("temp_stage",[1]stages!$2:$2,0)+1),MATCH(F$1,[1]stages!$2:$2,0)-MATCH("temp_stage",[1]stages!$2:$2,0)+1,FALSE)</f>
        <v>【中級】雷雲からの刺客</v>
      </c>
      <c r="G468" s="3" t="str">
        <f ca="1">VLOOKUP($B468&amp;"_"&amp;$E468,OFFSET([1]stages!$A$1,0,0,COUNTA([1]stages!$A:$A),MATCH(G$1,[1]stages!$2:$2,0)-MATCH("temp_stage",[1]stages!$2:$2,0)+1),MATCH(G$1,[1]stages!$2:$2,0)-MATCH("temp_stage",[1]stages!$2:$2,0)+1,FALSE)</f>
        <v>ドロップイベント1-4</v>
      </c>
      <c r="H468" s="18">
        <v>0</v>
      </c>
      <c r="I468">
        <v>6</v>
      </c>
      <c r="J468" s="5" t="s">
        <v>16</v>
      </c>
      <c r="K468" s="35" t="str">
        <f>VLOOKUP(I468,[2]stage_hints!$A:$C,3,FALSE)</f>
        <v>ユニット強化の属性ボーナス</v>
      </c>
      <c r="L468" s="36" t="str">
        <f>VLOOKUP(I468,[2]stage_hints!$A:$D,4,FALSE)</f>
        <v>同属性ユニットを強化素材にすると_x000D_経験値が多くもらえます</v>
      </c>
      <c r="M468" s="21" t="s">
        <v>23</v>
      </c>
      <c r="N468">
        <v>6</v>
      </c>
    </row>
    <row r="469" spans="1:14" x14ac:dyDescent="0.15">
      <c r="A469" s="26" t="s">
        <v>32</v>
      </c>
      <c r="B469" s="4">
        <v>20004</v>
      </c>
      <c r="C469" s="3" t="str">
        <f ca="1">VLOOKUP($B469,OFFSET([1]quests!$A$1,0,0,COUNTA([1]quests!$A:$A),MATCH(C$1,[1]quests!$1:$1,0)-MATCH($B$1,[1]quests!$1:$1,0)+1),MATCH(C$1,[1]quests!$1:$1,0)-MATCH($B$1,[1]quests!$1:$1,0)+1,FALSE)</f>
        <v>雷雲からの刺客</v>
      </c>
      <c r="D469" s="3" t="str">
        <f ca="1">VLOOKUP($B469,OFFSET([1]quests!$A$1,0,0,COUNTA([1]quests!$A:$A),MATCH(D$1,[1]quests!$1:$1,0)-MATCH($B$1,[1]quests!$1:$1,0)+1),MATCH(D$1,[1]quests!$1:$1,0)-MATCH($B$1,[1]quests!$1:$1,0)+1,FALSE)</f>
        <v>ドロップイベント1-4</v>
      </c>
      <c r="E469" s="5">
        <v>2</v>
      </c>
      <c r="F469" s="3" t="str">
        <f ca="1">VLOOKUP($B469&amp;"_"&amp;$E469,OFFSET([1]stages!$A$1,0,0,COUNTA([1]stages!$A:$A),MATCH(F$1,[1]stages!$2:$2,0)-MATCH("temp_stage",[1]stages!$2:$2,0)+1),MATCH(F$1,[1]stages!$2:$2,0)-MATCH("temp_stage",[1]stages!$2:$2,0)+1,FALSE)</f>
        <v>【中級】雷雲からの刺客</v>
      </c>
      <c r="G469" s="3" t="str">
        <f ca="1">VLOOKUP($B469&amp;"_"&amp;$E469,OFFSET([1]stages!$A$1,0,0,COUNTA([1]stages!$A:$A),MATCH(G$1,[1]stages!$2:$2,0)-MATCH("temp_stage",[1]stages!$2:$2,0)+1),MATCH(G$1,[1]stages!$2:$2,0)-MATCH("temp_stage",[1]stages!$2:$2,0)+1,FALSE)</f>
        <v>ドロップイベント1-4</v>
      </c>
      <c r="H469" s="18">
        <v>0</v>
      </c>
      <c r="I469">
        <v>7</v>
      </c>
      <c r="J469" s="5" t="s">
        <v>16</v>
      </c>
      <c r="K469" s="35" t="str">
        <f>VLOOKUP(I469,[2]stage_hints!$A:$C,3,FALSE)</f>
        <v>メタルダックで経験値を獲得</v>
      </c>
      <c r="L469" s="36" t="str">
        <f>VLOOKUP(I469,[2]stage_hints!$A:$D,4,FALSE)</f>
        <v>「メタルなアヒル」を強化素材にすると_x000D_大量の経験値がもらえます</v>
      </c>
      <c r="M469" s="21" t="s">
        <v>23</v>
      </c>
      <c r="N469">
        <v>7</v>
      </c>
    </row>
    <row r="470" spans="1:14" x14ac:dyDescent="0.15">
      <c r="A470" s="26" t="s">
        <v>32</v>
      </c>
      <c r="B470" s="4">
        <v>20004</v>
      </c>
      <c r="C470" s="3" t="str">
        <f ca="1">VLOOKUP($B470,OFFSET([1]quests!$A$1,0,0,COUNTA([1]quests!$A:$A),MATCH(C$1,[1]quests!$1:$1,0)-MATCH($B$1,[1]quests!$1:$1,0)+1),MATCH(C$1,[1]quests!$1:$1,0)-MATCH($B$1,[1]quests!$1:$1,0)+1,FALSE)</f>
        <v>雷雲からの刺客</v>
      </c>
      <c r="D470" s="3" t="str">
        <f ca="1">VLOOKUP($B470,OFFSET([1]quests!$A$1,0,0,COUNTA([1]quests!$A:$A),MATCH(D$1,[1]quests!$1:$1,0)-MATCH($B$1,[1]quests!$1:$1,0)+1),MATCH(D$1,[1]quests!$1:$1,0)-MATCH($B$1,[1]quests!$1:$1,0)+1,FALSE)</f>
        <v>ドロップイベント1-4</v>
      </c>
      <c r="E470" s="5">
        <v>2</v>
      </c>
      <c r="F470" s="3" t="str">
        <f ca="1">VLOOKUP($B470&amp;"_"&amp;$E470,OFFSET([1]stages!$A$1,0,0,COUNTA([1]stages!$A:$A),MATCH(F$1,[1]stages!$2:$2,0)-MATCH("temp_stage",[1]stages!$2:$2,0)+1),MATCH(F$1,[1]stages!$2:$2,0)-MATCH("temp_stage",[1]stages!$2:$2,0)+1,FALSE)</f>
        <v>【中級】雷雲からの刺客</v>
      </c>
      <c r="G470" s="3" t="str">
        <f ca="1">VLOOKUP($B470&amp;"_"&amp;$E470,OFFSET([1]stages!$A$1,0,0,COUNTA([1]stages!$A:$A),MATCH(G$1,[1]stages!$2:$2,0)-MATCH("temp_stage",[1]stages!$2:$2,0)+1),MATCH(G$1,[1]stages!$2:$2,0)-MATCH("temp_stage",[1]stages!$2:$2,0)+1,FALSE)</f>
        <v>ドロップイベント1-4</v>
      </c>
      <c r="H470" s="18">
        <v>0</v>
      </c>
      <c r="I470">
        <v>8</v>
      </c>
      <c r="J470" s="5" t="s">
        <v>16</v>
      </c>
      <c r="K470" s="35" t="str">
        <f>VLOOKUP(I470,[2]stage_hints!$A:$C,3,FALSE)</f>
        <v>ゲリラクエストは要チェック</v>
      </c>
      <c r="L470" s="36" t="str">
        <f>VLOOKUP(I470,[2]stage_hints!$A:$D,4,FALSE)</f>
        <v>時間限定の「アヒル捕獲作戦」では_x000D_経験値素材ユニットが多く手に入ります</v>
      </c>
      <c r="M470" s="21" t="s">
        <v>23</v>
      </c>
      <c r="N470">
        <v>8</v>
      </c>
    </row>
    <row r="471" spans="1:14" x14ac:dyDescent="0.15">
      <c r="A471" s="26" t="s">
        <v>32</v>
      </c>
      <c r="B471" s="4">
        <v>20004</v>
      </c>
      <c r="C471" s="3" t="str">
        <f ca="1">VLOOKUP($B471,OFFSET([1]quests!$A$1,0,0,COUNTA([1]quests!$A:$A),MATCH(C$1,[1]quests!$1:$1,0)-MATCH($B$1,[1]quests!$1:$1,0)+1),MATCH(C$1,[1]quests!$1:$1,0)-MATCH($B$1,[1]quests!$1:$1,0)+1,FALSE)</f>
        <v>雷雲からの刺客</v>
      </c>
      <c r="D471" s="3" t="str">
        <f ca="1">VLOOKUP($B471,OFFSET([1]quests!$A$1,0,0,COUNTA([1]quests!$A:$A),MATCH(D$1,[1]quests!$1:$1,0)-MATCH($B$1,[1]quests!$1:$1,0)+1),MATCH(D$1,[1]quests!$1:$1,0)-MATCH($B$1,[1]quests!$1:$1,0)+1,FALSE)</f>
        <v>ドロップイベント1-4</v>
      </c>
      <c r="E471" s="5">
        <v>2</v>
      </c>
      <c r="F471" s="3" t="str">
        <f ca="1">VLOOKUP($B471&amp;"_"&amp;$E471,OFFSET([1]stages!$A$1,0,0,COUNTA([1]stages!$A:$A),MATCH(F$1,[1]stages!$2:$2,0)-MATCH("temp_stage",[1]stages!$2:$2,0)+1),MATCH(F$1,[1]stages!$2:$2,0)-MATCH("temp_stage",[1]stages!$2:$2,0)+1,FALSE)</f>
        <v>【中級】雷雲からの刺客</v>
      </c>
      <c r="G471" s="3" t="str">
        <f ca="1">VLOOKUP($B471&amp;"_"&amp;$E471,OFFSET([1]stages!$A$1,0,0,COUNTA([1]stages!$A:$A),MATCH(G$1,[1]stages!$2:$2,0)-MATCH("temp_stage",[1]stages!$2:$2,0)+1),MATCH(G$1,[1]stages!$2:$2,0)-MATCH("temp_stage",[1]stages!$2:$2,0)+1,FALSE)</f>
        <v>ドロップイベント1-4</v>
      </c>
      <c r="H471" s="18">
        <v>0</v>
      </c>
      <c r="I471">
        <v>9</v>
      </c>
      <c r="J471" s="5" t="s">
        <v>16</v>
      </c>
      <c r="K471" s="35" t="str">
        <f>VLOOKUP(I471,[2]stage_hints!$A:$C,3,FALSE)</f>
        <v>ゴールドダックでビットを獲得</v>
      </c>
      <c r="L471" s="36" t="str">
        <f>VLOOKUP(I471,[2]stage_hints!$A:$D,4,FALSE)</f>
        <v>「ゴールドなアヒル」を売却すると_x000D_大量のビットがもらえます</v>
      </c>
      <c r="M471" s="21" t="s">
        <v>23</v>
      </c>
      <c r="N471">
        <v>9</v>
      </c>
    </row>
    <row r="472" spans="1:14" x14ac:dyDescent="0.15">
      <c r="A472" s="26" t="s">
        <v>32</v>
      </c>
      <c r="B472" s="4">
        <v>20004</v>
      </c>
      <c r="C472" s="3" t="str">
        <f ca="1">VLOOKUP($B472,OFFSET([1]quests!$A$1,0,0,COUNTA([1]quests!$A:$A),MATCH(C$1,[1]quests!$1:$1,0)-MATCH($B$1,[1]quests!$1:$1,0)+1),MATCH(C$1,[1]quests!$1:$1,0)-MATCH($B$1,[1]quests!$1:$1,0)+1,FALSE)</f>
        <v>雷雲からの刺客</v>
      </c>
      <c r="D472" s="3" t="str">
        <f ca="1">VLOOKUP($B472,OFFSET([1]quests!$A$1,0,0,COUNTA([1]quests!$A:$A),MATCH(D$1,[1]quests!$1:$1,0)-MATCH($B$1,[1]quests!$1:$1,0)+1),MATCH(D$1,[1]quests!$1:$1,0)-MATCH($B$1,[1]quests!$1:$1,0)+1,FALSE)</f>
        <v>ドロップイベント1-4</v>
      </c>
      <c r="E472" s="5">
        <v>2</v>
      </c>
      <c r="F472" s="3" t="str">
        <f ca="1">VLOOKUP($B472&amp;"_"&amp;$E472,OFFSET([1]stages!$A$1,0,0,COUNTA([1]stages!$A:$A),MATCH(F$1,[1]stages!$2:$2,0)-MATCH("temp_stage",[1]stages!$2:$2,0)+1),MATCH(F$1,[1]stages!$2:$2,0)-MATCH("temp_stage",[1]stages!$2:$2,0)+1,FALSE)</f>
        <v>【中級】雷雲からの刺客</v>
      </c>
      <c r="G472" s="3" t="str">
        <f ca="1">VLOOKUP($B472&amp;"_"&amp;$E472,OFFSET([1]stages!$A$1,0,0,COUNTA([1]stages!$A:$A),MATCH(G$1,[1]stages!$2:$2,0)-MATCH("temp_stage",[1]stages!$2:$2,0)+1),MATCH(G$1,[1]stages!$2:$2,0)-MATCH("temp_stage",[1]stages!$2:$2,0)+1,FALSE)</f>
        <v>ドロップイベント1-4</v>
      </c>
      <c r="H472" s="18">
        <v>0</v>
      </c>
      <c r="I472">
        <v>10</v>
      </c>
      <c r="J472" s="5" t="s">
        <v>16</v>
      </c>
      <c r="K472" s="35" t="str">
        <f>VLOOKUP(I472,[2]stage_hints!$A:$C,3,FALSE)</f>
        <v>土日に大量のビットを獲得</v>
      </c>
      <c r="L472" s="36" t="str">
        <f>VLOOKUP(I472,[2]stage_hints!$A:$D,4,FALSE)</f>
        <v>土日限定の「ゴールドカジノ」では_x000D_売却素材ユニットが多く手に入ります</v>
      </c>
      <c r="M472" s="21" t="s">
        <v>23</v>
      </c>
      <c r="N472">
        <v>10</v>
      </c>
    </row>
    <row r="473" spans="1:14" x14ac:dyDescent="0.15">
      <c r="A473" s="26" t="s">
        <v>32</v>
      </c>
      <c r="B473" s="4">
        <v>20004</v>
      </c>
      <c r="C473" s="3" t="str">
        <f ca="1">VLOOKUP($B473,OFFSET([1]quests!$A$1,0,0,COUNTA([1]quests!$A:$A),MATCH(C$1,[1]quests!$1:$1,0)-MATCH($B$1,[1]quests!$1:$1,0)+1),MATCH(C$1,[1]quests!$1:$1,0)-MATCH($B$1,[1]quests!$1:$1,0)+1,FALSE)</f>
        <v>雷雲からの刺客</v>
      </c>
      <c r="D473" s="3" t="str">
        <f ca="1">VLOOKUP($B473,OFFSET([1]quests!$A$1,0,0,COUNTA([1]quests!$A:$A),MATCH(D$1,[1]quests!$1:$1,0)-MATCH($B$1,[1]quests!$1:$1,0)+1),MATCH(D$1,[1]quests!$1:$1,0)-MATCH($B$1,[1]quests!$1:$1,0)+1,FALSE)</f>
        <v>ドロップイベント1-4</v>
      </c>
      <c r="E473" s="5">
        <v>2</v>
      </c>
      <c r="F473" s="3" t="str">
        <f ca="1">VLOOKUP($B473&amp;"_"&amp;$E473,OFFSET([1]stages!$A$1,0,0,COUNTA([1]stages!$A:$A),MATCH(F$1,[1]stages!$2:$2,0)-MATCH("temp_stage",[1]stages!$2:$2,0)+1),MATCH(F$1,[1]stages!$2:$2,0)-MATCH("temp_stage",[1]stages!$2:$2,0)+1,FALSE)</f>
        <v>【中級】雷雲からの刺客</v>
      </c>
      <c r="G473" s="3" t="str">
        <f ca="1">VLOOKUP($B473&amp;"_"&amp;$E473,OFFSET([1]stages!$A$1,0,0,COUNTA([1]stages!$A:$A),MATCH(G$1,[1]stages!$2:$2,0)-MATCH("temp_stage",[1]stages!$2:$2,0)+1),MATCH(G$1,[1]stages!$2:$2,0)-MATCH("temp_stage",[1]stages!$2:$2,0)+1,FALSE)</f>
        <v>ドロップイベント1-4</v>
      </c>
      <c r="H473" s="18">
        <v>0</v>
      </c>
      <c r="I473">
        <v>11</v>
      </c>
      <c r="J473" s="5" t="s">
        <v>16</v>
      </c>
      <c r="K473" s="35" t="str">
        <f>VLOOKUP(I473,[2]stage_hints!$A:$C,3,FALSE)</f>
        <v>ランク解放クエスト</v>
      </c>
      <c r="L473" s="36" t="str">
        <f>VLOOKUP(I473,[2]stage_hints!$A:$D,4,FALSE)</f>
        <v>一定ランクに到達すると_x000D_報酬付きのランク開放クエストが現れます</v>
      </c>
      <c r="M473" s="21" t="s">
        <v>23</v>
      </c>
      <c r="N473">
        <v>11</v>
      </c>
    </row>
    <row r="474" spans="1:14" x14ac:dyDescent="0.15">
      <c r="A474" s="26" t="s">
        <v>32</v>
      </c>
      <c r="B474" s="4">
        <v>20004</v>
      </c>
      <c r="C474" s="3" t="str">
        <f ca="1">VLOOKUP($B474,OFFSET([1]quests!$A$1,0,0,COUNTA([1]quests!$A:$A),MATCH(C$1,[1]quests!$1:$1,0)-MATCH($B$1,[1]quests!$1:$1,0)+1),MATCH(C$1,[1]quests!$1:$1,0)-MATCH($B$1,[1]quests!$1:$1,0)+1,FALSE)</f>
        <v>雷雲からの刺客</v>
      </c>
      <c r="D474" s="3" t="str">
        <f ca="1">VLOOKUP($B474,OFFSET([1]quests!$A$1,0,0,COUNTA([1]quests!$A:$A),MATCH(D$1,[1]quests!$1:$1,0)-MATCH($B$1,[1]quests!$1:$1,0)+1),MATCH(D$1,[1]quests!$1:$1,0)-MATCH($B$1,[1]quests!$1:$1,0)+1,FALSE)</f>
        <v>ドロップイベント1-4</v>
      </c>
      <c r="E474" s="5">
        <v>2</v>
      </c>
      <c r="F474" s="3" t="str">
        <f ca="1">VLOOKUP($B474&amp;"_"&amp;$E474,OFFSET([1]stages!$A$1,0,0,COUNTA([1]stages!$A:$A),MATCH(F$1,[1]stages!$2:$2,0)-MATCH("temp_stage",[1]stages!$2:$2,0)+1),MATCH(F$1,[1]stages!$2:$2,0)-MATCH("temp_stage",[1]stages!$2:$2,0)+1,FALSE)</f>
        <v>【中級】雷雲からの刺客</v>
      </c>
      <c r="G474" s="3" t="str">
        <f ca="1">VLOOKUP($B474&amp;"_"&amp;$E474,OFFSET([1]stages!$A$1,0,0,COUNTA([1]stages!$A:$A),MATCH(G$1,[1]stages!$2:$2,0)-MATCH("temp_stage",[1]stages!$2:$2,0)+1),MATCH(G$1,[1]stages!$2:$2,0)-MATCH("temp_stage",[1]stages!$2:$2,0)+1,FALSE)</f>
        <v>ドロップイベント1-4</v>
      </c>
      <c r="H474" s="18">
        <v>0</v>
      </c>
      <c r="I474">
        <v>12</v>
      </c>
      <c r="J474" s="5" t="s">
        <v>16</v>
      </c>
      <c r="K474" s="35" t="str">
        <f>VLOOKUP(I474,[2]stage_hints!$A:$C,3,FALSE)</f>
        <v>ユニットのお気に入り登録</v>
      </c>
      <c r="L474" s="36" t="str">
        <f>VLOOKUP(I474,[2]stage_hints!$A:$D,4,FALSE)</f>
        <v>大事なユニットを誤って消さないように_x000D_フォルダから「お気に入り登録」しましょう</v>
      </c>
      <c r="M474" s="21" t="s">
        <v>23</v>
      </c>
      <c r="N474">
        <v>12</v>
      </c>
    </row>
    <row r="475" spans="1:14" x14ac:dyDescent="0.15">
      <c r="A475" s="26" t="s">
        <v>32</v>
      </c>
      <c r="B475" s="4">
        <v>20004</v>
      </c>
      <c r="C475" s="3" t="str">
        <f ca="1">VLOOKUP($B475,OFFSET([1]quests!$A$1,0,0,COUNTA([1]quests!$A:$A),MATCH(C$1,[1]quests!$1:$1,0)-MATCH($B$1,[1]quests!$1:$1,0)+1),MATCH(C$1,[1]quests!$1:$1,0)-MATCH($B$1,[1]quests!$1:$1,0)+1,FALSE)</f>
        <v>雷雲からの刺客</v>
      </c>
      <c r="D475" s="3" t="str">
        <f ca="1">VLOOKUP($B475,OFFSET([1]quests!$A$1,0,0,COUNTA([1]quests!$A:$A),MATCH(D$1,[1]quests!$1:$1,0)-MATCH($B$1,[1]quests!$1:$1,0)+1),MATCH(D$1,[1]quests!$1:$1,0)-MATCH($B$1,[1]quests!$1:$1,0)+1,FALSE)</f>
        <v>ドロップイベント1-4</v>
      </c>
      <c r="E475" s="5">
        <v>2</v>
      </c>
      <c r="F475" s="3" t="str">
        <f ca="1">VLOOKUP($B475&amp;"_"&amp;$E475,OFFSET([1]stages!$A$1,0,0,COUNTA([1]stages!$A:$A),MATCH(F$1,[1]stages!$2:$2,0)-MATCH("temp_stage",[1]stages!$2:$2,0)+1),MATCH(F$1,[1]stages!$2:$2,0)-MATCH("temp_stage",[1]stages!$2:$2,0)+1,FALSE)</f>
        <v>【中級】雷雲からの刺客</v>
      </c>
      <c r="G475" s="3" t="str">
        <f ca="1">VLOOKUP($B475&amp;"_"&amp;$E475,OFFSET([1]stages!$A$1,0,0,COUNTA([1]stages!$A:$A),MATCH(G$1,[1]stages!$2:$2,0)-MATCH("temp_stage",[1]stages!$2:$2,0)+1),MATCH(G$1,[1]stages!$2:$2,0)-MATCH("temp_stage",[1]stages!$2:$2,0)+1,FALSE)</f>
        <v>ドロップイベント1-4</v>
      </c>
      <c r="H475" s="18">
        <v>0</v>
      </c>
      <c r="I475">
        <v>13</v>
      </c>
      <c r="J475" s="5" t="s">
        <v>16</v>
      </c>
      <c r="K475" s="35" t="str">
        <f>VLOOKUP(I475,[2]stage_hints!$A:$C,3,FALSE)</f>
        <v>ユニットの覚醒</v>
      </c>
      <c r="L475" s="36" t="str">
        <f>VLOOKUP(I475,[2]stage_hints!$A:$D,4,FALSE)</f>
        <v>ユニットを覚醒させると_x000D_比べものにならない強さが手に入ります</v>
      </c>
      <c r="M475" s="21" t="s">
        <v>23</v>
      </c>
      <c r="N475">
        <v>13</v>
      </c>
    </row>
    <row r="476" spans="1:14" x14ac:dyDescent="0.15">
      <c r="A476" s="26" t="s">
        <v>32</v>
      </c>
      <c r="B476" s="4">
        <v>20004</v>
      </c>
      <c r="C476" s="3" t="str">
        <f ca="1">VLOOKUP($B476,OFFSET([1]quests!$A$1,0,0,COUNTA([1]quests!$A:$A),MATCH(C$1,[1]quests!$1:$1,0)-MATCH($B$1,[1]quests!$1:$1,0)+1),MATCH(C$1,[1]quests!$1:$1,0)-MATCH($B$1,[1]quests!$1:$1,0)+1,FALSE)</f>
        <v>雷雲からの刺客</v>
      </c>
      <c r="D476" s="3" t="str">
        <f ca="1">VLOOKUP($B476,OFFSET([1]quests!$A$1,0,0,COUNTA([1]quests!$A:$A),MATCH(D$1,[1]quests!$1:$1,0)-MATCH($B$1,[1]quests!$1:$1,0)+1),MATCH(D$1,[1]quests!$1:$1,0)-MATCH($B$1,[1]quests!$1:$1,0)+1,FALSE)</f>
        <v>ドロップイベント1-4</v>
      </c>
      <c r="E476" s="5">
        <v>2</v>
      </c>
      <c r="F476" s="3" t="str">
        <f ca="1">VLOOKUP($B476&amp;"_"&amp;$E476,OFFSET([1]stages!$A$1,0,0,COUNTA([1]stages!$A:$A),MATCH(F$1,[1]stages!$2:$2,0)-MATCH("temp_stage",[1]stages!$2:$2,0)+1),MATCH(F$1,[1]stages!$2:$2,0)-MATCH("temp_stage",[1]stages!$2:$2,0)+1,FALSE)</f>
        <v>【中級】雷雲からの刺客</v>
      </c>
      <c r="G476" s="3" t="str">
        <f ca="1">VLOOKUP($B476&amp;"_"&amp;$E476,OFFSET([1]stages!$A$1,0,0,COUNTA([1]stages!$A:$A),MATCH(G$1,[1]stages!$2:$2,0)-MATCH("temp_stage",[1]stages!$2:$2,0)+1),MATCH(G$1,[1]stages!$2:$2,0)-MATCH("temp_stage",[1]stages!$2:$2,0)+1,FALSE)</f>
        <v>ドロップイベント1-4</v>
      </c>
      <c r="H476" s="18">
        <v>0</v>
      </c>
      <c r="I476">
        <v>14</v>
      </c>
      <c r="J476" s="5" t="s">
        <v>16</v>
      </c>
      <c r="K476" s="35" t="str">
        <f>VLOOKUP(I476,[2]stage_hints!$A:$C,3,FALSE)</f>
        <v>覚醒するにはレベルを最大に</v>
      </c>
      <c r="L476" s="36" t="str">
        <f>VLOOKUP(I476,[2]stage_hints!$A:$D,4,FALSE)</f>
        <v>覚醒するにはユニットのレベルを_x000D_最大まで上げる必要があります</v>
      </c>
      <c r="M476" s="21" t="s">
        <v>23</v>
      </c>
      <c r="N476">
        <v>14</v>
      </c>
    </row>
    <row r="477" spans="1:14" x14ac:dyDescent="0.15">
      <c r="A477" s="26" t="s">
        <v>32</v>
      </c>
      <c r="B477" s="4">
        <v>20004</v>
      </c>
      <c r="C477" s="3" t="str">
        <f ca="1">VLOOKUP($B477,OFFSET([1]quests!$A$1,0,0,COUNTA([1]quests!$A:$A),MATCH(C$1,[1]quests!$1:$1,0)-MATCH($B$1,[1]quests!$1:$1,0)+1),MATCH(C$1,[1]quests!$1:$1,0)-MATCH($B$1,[1]quests!$1:$1,0)+1,FALSE)</f>
        <v>雷雲からの刺客</v>
      </c>
      <c r="D477" s="3" t="str">
        <f ca="1">VLOOKUP($B477,OFFSET([1]quests!$A$1,0,0,COUNTA([1]quests!$A:$A),MATCH(D$1,[1]quests!$1:$1,0)-MATCH($B$1,[1]quests!$1:$1,0)+1),MATCH(D$1,[1]quests!$1:$1,0)-MATCH($B$1,[1]quests!$1:$1,0)+1,FALSE)</f>
        <v>ドロップイベント1-4</v>
      </c>
      <c r="E477" s="5">
        <v>2</v>
      </c>
      <c r="F477" s="3" t="str">
        <f ca="1">VLOOKUP($B477&amp;"_"&amp;$E477,OFFSET([1]stages!$A$1,0,0,COUNTA([1]stages!$A:$A),MATCH(F$1,[1]stages!$2:$2,0)-MATCH("temp_stage",[1]stages!$2:$2,0)+1),MATCH(F$1,[1]stages!$2:$2,0)-MATCH("temp_stage",[1]stages!$2:$2,0)+1,FALSE)</f>
        <v>【中級】雷雲からの刺客</v>
      </c>
      <c r="G477" s="3" t="str">
        <f ca="1">VLOOKUP($B477&amp;"_"&amp;$E477,OFFSET([1]stages!$A$1,0,0,COUNTA([1]stages!$A:$A),MATCH(G$1,[1]stages!$2:$2,0)-MATCH("temp_stage",[1]stages!$2:$2,0)+1),MATCH(G$1,[1]stages!$2:$2,0)-MATCH("temp_stage",[1]stages!$2:$2,0)+1,FALSE)</f>
        <v>ドロップイベント1-4</v>
      </c>
      <c r="H477" s="18">
        <v>0</v>
      </c>
      <c r="I477">
        <v>15</v>
      </c>
      <c r="J477" s="5" t="s">
        <v>16</v>
      </c>
      <c r="K477" s="35" t="str">
        <f>VLOOKUP(I477,[2]stage_hints!$A:$C,3,FALSE)</f>
        <v>覚醒素材を獲得</v>
      </c>
      <c r="L477" s="36" t="str">
        <f>VLOOKUP(I477,[2]stage_hints!$A:$D,4,FALSE)</f>
        <v>「曜日クエスト」では_x000D_ユニットの覚醒に必要な素材が手に入ります</v>
      </c>
      <c r="M477" s="21" t="s">
        <v>23</v>
      </c>
      <c r="N477">
        <v>15</v>
      </c>
    </row>
    <row r="478" spans="1:14" x14ac:dyDescent="0.15">
      <c r="A478" s="26" t="s">
        <v>32</v>
      </c>
      <c r="B478" s="4">
        <v>20004</v>
      </c>
      <c r="C478" s="3" t="str">
        <f ca="1">VLOOKUP($B478,OFFSET([1]quests!$A$1,0,0,COUNTA([1]quests!$A:$A),MATCH(C$1,[1]quests!$1:$1,0)-MATCH($B$1,[1]quests!$1:$1,0)+1),MATCH(C$1,[1]quests!$1:$1,0)-MATCH($B$1,[1]quests!$1:$1,0)+1,FALSE)</f>
        <v>雷雲からの刺客</v>
      </c>
      <c r="D478" s="3" t="str">
        <f ca="1">VLOOKUP($B478,OFFSET([1]quests!$A$1,0,0,COUNTA([1]quests!$A:$A),MATCH(D$1,[1]quests!$1:$1,0)-MATCH($B$1,[1]quests!$1:$1,0)+1),MATCH(D$1,[1]quests!$1:$1,0)-MATCH($B$1,[1]quests!$1:$1,0)+1,FALSE)</f>
        <v>ドロップイベント1-4</v>
      </c>
      <c r="E478" s="5">
        <v>2</v>
      </c>
      <c r="F478" s="3" t="str">
        <f ca="1">VLOOKUP($B478&amp;"_"&amp;$E478,OFFSET([1]stages!$A$1,0,0,COUNTA([1]stages!$A:$A),MATCH(F$1,[1]stages!$2:$2,0)-MATCH("temp_stage",[1]stages!$2:$2,0)+1),MATCH(F$1,[1]stages!$2:$2,0)-MATCH("temp_stage",[1]stages!$2:$2,0)+1,FALSE)</f>
        <v>【中級】雷雲からの刺客</v>
      </c>
      <c r="G478" s="3" t="str">
        <f ca="1">VLOOKUP($B478&amp;"_"&amp;$E478,OFFSET([1]stages!$A$1,0,0,COUNTA([1]stages!$A:$A),MATCH(G$1,[1]stages!$2:$2,0)-MATCH("temp_stage",[1]stages!$2:$2,0)+1),MATCH(G$1,[1]stages!$2:$2,0)-MATCH("temp_stage",[1]stages!$2:$2,0)+1,FALSE)</f>
        <v>ドロップイベント1-4</v>
      </c>
      <c r="H478" s="18">
        <v>0</v>
      </c>
      <c r="I478">
        <v>16</v>
      </c>
      <c r="J478" s="5" t="s">
        <v>16</v>
      </c>
      <c r="K478" s="35" t="str">
        <f>VLOOKUP(I478,[2]stage_hints!$A:$C,3,FALSE)</f>
        <v>マルチプレイのメリット（その1）</v>
      </c>
      <c r="L478" s="36" t="str">
        <f>VLOOKUP(I478,[2]stage_hints!$A:$D,4,FALSE)</f>
        <v>他のプレイヤーとマルチプレイで遊ぶと_x000D_ポリゴンがもらえます（100人まで）</v>
      </c>
      <c r="M478" s="21" t="s">
        <v>23</v>
      </c>
      <c r="N478">
        <v>16</v>
      </c>
    </row>
    <row r="479" spans="1:14" x14ac:dyDescent="0.15">
      <c r="A479" s="26" t="s">
        <v>32</v>
      </c>
      <c r="B479" s="4">
        <v>20004</v>
      </c>
      <c r="C479" s="3" t="str">
        <f ca="1">VLOOKUP($B479,OFFSET([1]quests!$A$1,0,0,COUNTA([1]quests!$A:$A),MATCH(C$1,[1]quests!$1:$1,0)-MATCH($B$1,[1]quests!$1:$1,0)+1),MATCH(C$1,[1]quests!$1:$1,0)-MATCH($B$1,[1]quests!$1:$1,0)+1,FALSE)</f>
        <v>雷雲からの刺客</v>
      </c>
      <c r="D479" s="3" t="str">
        <f ca="1">VLOOKUP($B479,OFFSET([1]quests!$A$1,0,0,COUNTA([1]quests!$A:$A),MATCH(D$1,[1]quests!$1:$1,0)-MATCH($B$1,[1]quests!$1:$1,0)+1),MATCH(D$1,[1]quests!$1:$1,0)-MATCH($B$1,[1]quests!$1:$1,0)+1,FALSE)</f>
        <v>ドロップイベント1-4</v>
      </c>
      <c r="E479" s="5">
        <v>2</v>
      </c>
      <c r="F479" s="3" t="str">
        <f ca="1">VLOOKUP($B479&amp;"_"&amp;$E479,OFFSET([1]stages!$A$1,0,0,COUNTA([1]stages!$A:$A),MATCH(F$1,[1]stages!$2:$2,0)-MATCH("temp_stage",[1]stages!$2:$2,0)+1),MATCH(F$1,[1]stages!$2:$2,0)-MATCH("temp_stage",[1]stages!$2:$2,0)+1,FALSE)</f>
        <v>【中級】雷雲からの刺客</v>
      </c>
      <c r="G479" s="3" t="str">
        <f ca="1">VLOOKUP($B479&amp;"_"&amp;$E479,OFFSET([1]stages!$A$1,0,0,COUNTA([1]stages!$A:$A),MATCH(G$1,[1]stages!$2:$2,0)-MATCH("temp_stage",[1]stages!$2:$2,0)+1),MATCH(G$1,[1]stages!$2:$2,0)-MATCH("temp_stage",[1]stages!$2:$2,0)+1,FALSE)</f>
        <v>ドロップイベント1-4</v>
      </c>
      <c r="H479" s="18">
        <v>0</v>
      </c>
      <c r="I479">
        <v>17</v>
      </c>
      <c r="J479" s="5" t="s">
        <v>16</v>
      </c>
      <c r="K479" s="35" t="str">
        <f>VLOOKUP(I479,[2]stage_hints!$A:$C,3,FALSE)</f>
        <v>リンクガチャ</v>
      </c>
      <c r="L479" s="36" t="str">
        <f>VLOOKUP(I479,[2]stage_hints!$A:$D,4,FALSE)</f>
        <v>無料のリンクガチャを回して_x000D_経験値素材や売却素材を獲得しましょう</v>
      </c>
      <c r="M479" s="21" t="s">
        <v>23</v>
      </c>
      <c r="N479">
        <v>17</v>
      </c>
    </row>
    <row r="480" spans="1:14" x14ac:dyDescent="0.15">
      <c r="A480" s="26" t="s">
        <v>32</v>
      </c>
      <c r="B480" s="4">
        <v>20004</v>
      </c>
      <c r="C480" s="3" t="str">
        <f ca="1">VLOOKUP($B480,OFFSET([1]quests!$A$1,0,0,COUNTA([1]quests!$A:$A),MATCH(C$1,[1]quests!$1:$1,0)-MATCH($B$1,[1]quests!$1:$1,0)+1),MATCH(C$1,[1]quests!$1:$1,0)-MATCH($B$1,[1]quests!$1:$1,0)+1,FALSE)</f>
        <v>雷雲からの刺客</v>
      </c>
      <c r="D480" s="3" t="str">
        <f ca="1">VLOOKUP($B480,OFFSET([1]quests!$A$1,0,0,COUNTA([1]quests!$A:$A),MATCH(D$1,[1]quests!$1:$1,0)-MATCH($B$1,[1]quests!$1:$1,0)+1),MATCH(D$1,[1]quests!$1:$1,0)-MATCH($B$1,[1]quests!$1:$1,0)+1,FALSE)</f>
        <v>ドロップイベント1-4</v>
      </c>
      <c r="E480" s="5">
        <v>2</v>
      </c>
      <c r="F480" s="3" t="str">
        <f ca="1">VLOOKUP($B480&amp;"_"&amp;$E480,OFFSET([1]stages!$A$1,0,0,COUNTA([1]stages!$A:$A),MATCH(F$1,[1]stages!$2:$2,0)-MATCH("temp_stage",[1]stages!$2:$2,0)+1),MATCH(F$1,[1]stages!$2:$2,0)-MATCH("temp_stage",[1]stages!$2:$2,0)+1,FALSE)</f>
        <v>【中級】雷雲からの刺客</v>
      </c>
      <c r="G480" s="3" t="str">
        <f ca="1">VLOOKUP($B480&amp;"_"&amp;$E480,OFFSET([1]stages!$A$1,0,0,COUNTA([1]stages!$A:$A),MATCH(G$1,[1]stages!$2:$2,0)-MATCH("temp_stage",[1]stages!$2:$2,0)+1),MATCH(G$1,[1]stages!$2:$2,0)-MATCH("temp_stage",[1]stages!$2:$2,0)+1,FALSE)</f>
        <v>ドロップイベント1-4</v>
      </c>
      <c r="H480" s="18">
        <v>0</v>
      </c>
      <c r="I480">
        <v>18</v>
      </c>
      <c r="J480" s="5" t="s">
        <v>16</v>
      </c>
      <c r="K480" s="35" t="str">
        <f>VLOOKUP(I480,[2]stage_hints!$A:$C,3,FALSE)</f>
        <v>マルチプレイのメリット（その2）</v>
      </c>
      <c r="L480" s="36" t="str">
        <f>VLOOKUP(I480,[2]stage_hints!$A:$D,4,FALSE)</f>
        <v>マルチプレイならリンクが2倍もらえます_x000D_リンクガチャをたくさん回しましょう</v>
      </c>
      <c r="M480" s="21" t="s">
        <v>23</v>
      </c>
      <c r="N480">
        <v>18</v>
      </c>
    </row>
    <row r="481" spans="1:14" x14ac:dyDescent="0.15">
      <c r="A481" s="26" t="s">
        <v>32</v>
      </c>
      <c r="B481" s="4">
        <v>20004</v>
      </c>
      <c r="C481" s="3" t="str">
        <f ca="1">VLOOKUP($B481,OFFSET([1]quests!$A$1,0,0,COUNTA([1]quests!$A:$A),MATCH(C$1,[1]quests!$1:$1,0)-MATCH($B$1,[1]quests!$1:$1,0)+1),MATCH(C$1,[1]quests!$1:$1,0)-MATCH($B$1,[1]quests!$1:$1,0)+1,FALSE)</f>
        <v>雷雲からの刺客</v>
      </c>
      <c r="D481" s="3" t="str">
        <f ca="1">VLOOKUP($B481,OFFSET([1]quests!$A$1,0,0,COUNTA([1]quests!$A:$A),MATCH(D$1,[1]quests!$1:$1,0)-MATCH($B$1,[1]quests!$1:$1,0)+1),MATCH(D$1,[1]quests!$1:$1,0)-MATCH($B$1,[1]quests!$1:$1,0)+1,FALSE)</f>
        <v>ドロップイベント1-4</v>
      </c>
      <c r="E481" s="5">
        <v>2</v>
      </c>
      <c r="F481" s="3" t="str">
        <f ca="1">VLOOKUP($B481&amp;"_"&amp;$E481,OFFSET([1]stages!$A$1,0,0,COUNTA([1]stages!$A:$A),MATCH(F$1,[1]stages!$2:$2,0)-MATCH("temp_stage",[1]stages!$2:$2,0)+1),MATCH(F$1,[1]stages!$2:$2,0)-MATCH("temp_stage",[1]stages!$2:$2,0)+1,FALSE)</f>
        <v>【中級】雷雲からの刺客</v>
      </c>
      <c r="G481" s="3" t="str">
        <f ca="1">VLOOKUP($B481&amp;"_"&amp;$E481,OFFSET([1]stages!$A$1,0,0,COUNTA([1]stages!$A:$A),MATCH(G$1,[1]stages!$2:$2,0)-MATCH("temp_stage",[1]stages!$2:$2,0)+1),MATCH(G$1,[1]stages!$2:$2,0)-MATCH("temp_stage",[1]stages!$2:$2,0)+1,FALSE)</f>
        <v>ドロップイベント1-4</v>
      </c>
      <c r="H481" s="18">
        <v>0</v>
      </c>
      <c r="I481">
        <v>19</v>
      </c>
      <c r="J481" s="5" t="s">
        <v>16</v>
      </c>
      <c r="K481" s="35" t="str">
        <f>VLOOKUP(I481,[2]stage_hints!$A:$C,3,FALSE)</f>
        <v>ソロ専用チャレンジタワー</v>
      </c>
      <c r="L481" s="36" t="str">
        <f>VLOOKUP(I481,[2]stage_hints!$A:$D,4,FALSE)</f>
        <v>ソロ専用の「チャレンジタワー」では_x000D_各フロアごとにクリア報酬がもらえます</v>
      </c>
      <c r="M481" s="21" t="s">
        <v>23</v>
      </c>
      <c r="N481">
        <v>19</v>
      </c>
    </row>
    <row r="482" spans="1:14" x14ac:dyDescent="0.15">
      <c r="A482" s="26" t="s">
        <v>32</v>
      </c>
      <c r="B482" s="4">
        <v>20004</v>
      </c>
      <c r="C482" s="3" t="str">
        <f ca="1">VLOOKUP($B482,OFFSET([1]quests!$A$1,0,0,COUNTA([1]quests!$A:$A),MATCH(C$1,[1]quests!$1:$1,0)-MATCH($B$1,[1]quests!$1:$1,0)+1),MATCH(C$1,[1]quests!$1:$1,0)-MATCH($B$1,[1]quests!$1:$1,0)+1,FALSE)</f>
        <v>雷雲からの刺客</v>
      </c>
      <c r="D482" s="3" t="str">
        <f ca="1">VLOOKUP($B482,OFFSET([1]quests!$A$1,0,0,COUNTA([1]quests!$A:$A),MATCH(D$1,[1]quests!$1:$1,0)-MATCH($B$1,[1]quests!$1:$1,0)+1),MATCH(D$1,[1]quests!$1:$1,0)-MATCH($B$1,[1]quests!$1:$1,0)+1,FALSE)</f>
        <v>ドロップイベント1-4</v>
      </c>
      <c r="E482" s="5">
        <v>2</v>
      </c>
      <c r="F482" s="3" t="str">
        <f ca="1">VLOOKUP($B482&amp;"_"&amp;$E482,OFFSET([1]stages!$A$1,0,0,COUNTA([1]stages!$A:$A),MATCH(F$1,[1]stages!$2:$2,0)-MATCH("temp_stage",[1]stages!$2:$2,0)+1),MATCH(F$1,[1]stages!$2:$2,0)-MATCH("temp_stage",[1]stages!$2:$2,0)+1,FALSE)</f>
        <v>【中級】雷雲からの刺客</v>
      </c>
      <c r="G482" s="3" t="str">
        <f ca="1">VLOOKUP($B482&amp;"_"&amp;$E482,OFFSET([1]stages!$A$1,0,0,COUNTA([1]stages!$A:$A),MATCH(G$1,[1]stages!$2:$2,0)-MATCH("temp_stage",[1]stages!$2:$2,0)+1),MATCH(G$1,[1]stages!$2:$2,0)-MATCH("temp_stage",[1]stages!$2:$2,0)+1,FALSE)</f>
        <v>ドロップイベント1-4</v>
      </c>
      <c r="H482" s="18">
        <v>0</v>
      </c>
      <c r="I482">
        <v>20</v>
      </c>
      <c r="J482" s="5" t="s">
        <v>16</v>
      </c>
      <c r="K482" s="35" t="str">
        <f>VLOOKUP(I482,[2]stage_hints!$A:$C,3,FALSE)</f>
        <v>マルチプレイのメリット（その3）</v>
      </c>
      <c r="L482" s="36" t="str">
        <f>VLOOKUP(I482,[2]stage_hints!$A:$D,4,FALSE)</f>
        <v>マルチプレイへの参加はエナジー消費ゼロ_x000D_いつでも好きなだけ遊ぶことができます</v>
      </c>
      <c r="M482" s="21" t="s">
        <v>23</v>
      </c>
      <c r="N482">
        <v>20</v>
      </c>
    </row>
    <row r="483" spans="1:14" x14ac:dyDescent="0.15">
      <c r="A483" s="26" t="s">
        <v>32</v>
      </c>
      <c r="B483" s="4">
        <v>20004</v>
      </c>
      <c r="C483" s="3" t="str">
        <f ca="1">VLOOKUP($B483,OFFSET([1]quests!$A$1,0,0,COUNTA([1]quests!$A:$A),MATCH(C$1,[1]quests!$1:$1,0)-MATCH($B$1,[1]quests!$1:$1,0)+1),MATCH(C$1,[1]quests!$1:$1,0)-MATCH($B$1,[1]quests!$1:$1,0)+1,FALSE)</f>
        <v>雷雲からの刺客</v>
      </c>
      <c r="D483" s="3" t="str">
        <f ca="1">VLOOKUP($B483,OFFSET([1]quests!$A$1,0,0,COUNTA([1]quests!$A:$A),MATCH(D$1,[1]quests!$1:$1,0)-MATCH($B$1,[1]quests!$1:$1,0)+1),MATCH(D$1,[1]quests!$1:$1,0)-MATCH($B$1,[1]quests!$1:$1,0)+1,FALSE)</f>
        <v>ドロップイベント1-4</v>
      </c>
      <c r="E483" s="5">
        <v>2</v>
      </c>
      <c r="F483" s="3" t="str">
        <f ca="1">VLOOKUP($B483&amp;"_"&amp;$E483,OFFSET([1]stages!$A$1,0,0,COUNTA([1]stages!$A:$A),MATCH(F$1,[1]stages!$2:$2,0)-MATCH("temp_stage",[1]stages!$2:$2,0)+1),MATCH(F$1,[1]stages!$2:$2,0)-MATCH("temp_stage",[1]stages!$2:$2,0)+1,FALSE)</f>
        <v>【中級】雷雲からの刺客</v>
      </c>
      <c r="G483" s="3" t="str">
        <f ca="1">VLOOKUP($B483&amp;"_"&amp;$E483,OFFSET([1]stages!$A$1,0,0,COUNTA([1]stages!$A:$A),MATCH(G$1,[1]stages!$2:$2,0)-MATCH("temp_stage",[1]stages!$2:$2,0)+1),MATCH(G$1,[1]stages!$2:$2,0)-MATCH("temp_stage",[1]stages!$2:$2,0)+1,FALSE)</f>
        <v>ドロップイベント1-4</v>
      </c>
      <c r="H483" s="18">
        <v>0</v>
      </c>
      <c r="I483">
        <v>21</v>
      </c>
      <c r="J483" s="5" t="s">
        <v>16</v>
      </c>
      <c r="K483" s="35" t="str">
        <f>VLOOKUP(I483,[2]stage_hints!$A:$C,3,FALSE)</f>
        <v>スキルを有効に</v>
      </c>
      <c r="L483" s="36" t="str">
        <f>VLOOKUP(I483,[2]stage_hints!$A:$D,4,FALSE)</f>
        <v>ターン経過でユニットのスキルが使えます_x000D_強力スキルでバトルを有利に進めましょう</v>
      </c>
      <c r="M483" s="21" t="s">
        <v>23</v>
      </c>
      <c r="N483">
        <v>21</v>
      </c>
    </row>
    <row r="484" spans="1:14" x14ac:dyDescent="0.15">
      <c r="A484" s="26" t="s">
        <v>32</v>
      </c>
      <c r="B484" s="4">
        <v>20004</v>
      </c>
      <c r="C484" s="3" t="str">
        <f ca="1">VLOOKUP($B484,OFFSET([1]quests!$A$1,0,0,COUNTA([1]quests!$A:$A),MATCH(C$1,[1]quests!$1:$1,0)-MATCH($B$1,[1]quests!$1:$1,0)+1),MATCH(C$1,[1]quests!$1:$1,0)-MATCH($B$1,[1]quests!$1:$1,0)+1,FALSE)</f>
        <v>雷雲からの刺客</v>
      </c>
      <c r="D484" s="3" t="str">
        <f ca="1">VLOOKUP($B484,OFFSET([1]quests!$A$1,0,0,COUNTA([1]quests!$A:$A),MATCH(D$1,[1]quests!$1:$1,0)-MATCH($B$1,[1]quests!$1:$1,0)+1),MATCH(D$1,[1]quests!$1:$1,0)-MATCH($B$1,[1]quests!$1:$1,0)+1,FALSE)</f>
        <v>ドロップイベント1-4</v>
      </c>
      <c r="E484" s="5">
        <v>2</v>
      </c>
      <c r="F484" s="3" t="str">
        <f ca="1">VLOOKUP($B484&amp;"_"&amp;$E484,OFFSET([1]stages!$A$1,0,0,COUNTA([1]stages!$A:$A),MATCH(F$1,[1]stages!$2:$2,0)-MATCH("temp_stage",[1]stages!$2:$2,0)+1),MATCH(F$1,[1]stages!$2:$2,0)-MATCH("temp_stage",[1]stages!$2:$2,0)+1,FALSE)</f>
        <v>【中級】雷雲からの刺客</v>
      </c>
      <c r="G484" s="3" t="str">
        <f ca="1">VLOOKUP($B484&amp;"_"&amp;$E484,OFFSET([1]stages!$A$1,0,0,COUNTA([1]stages!$A:$A),MATCH(G$1,[1]stages!$2:$2,0)-MATCH("temp_stage",[1]stages!$2:$2,0)+1),MATCH(G$1,[1]stages!$2:$2,0)-MATCH("temp_stage",[1]stages!$2:$2,0)+1,FALSE)</f>
        <v>ドロップイベント1-4</v>
      </c>
      <c r="H484" s="18">
        <v>0</v>
      </c>
      <c r="I484">
        <v>22</v>
      </c>
      <c r="J484" s="5" t="s">
        <v>16</v>
      </c>
      <c r="K484" s="35" t="str">
        <f>VLOOKUP(I484,[2]stage_hints!$A:$C,3,FALSE)</f>
        <v>フィーバーで一発逆転（その1）</v>
      </c>
      <c r="L484" s="36" t="str">
        <f>VLOOKUP(I484,[2]stage_hints!$A:$D,4,FALSE)</f>
        <v>フィーバーは攻撃と回復を兼ね備えます_x000D_ピンチからの一発逆転を狙いましょう</v>
      </c>
      <c r="M484" s="21" t="s">
        <v>23</v>
      </c>
      <c r="N484">
        <v>22</v>
      </c>
    </row>
    <row r="485" spans="1:14" x14ac:dyDescent="0.15">
      <c r="A485" s="26" t="s">
        <v>32</v>
      </c>
      <c r="B485" s="4">
        <v>20004</v>
      </c>
      <c r="C485" s="3" t="str">
        <f ca="1">VLOOKUP($B485,OFFSET([1]quests!$A$1,0,0,COUNTA([1]quests!$A:$A),MATCH(C$1,[1]quests!$1:$1,0)-MATCH($B$1,[1]quests!$1:$1,0)+1),MATCH(C$1,[1]quests!$1:$1,0)-MATCH($B$1,[1]quests!$1:$1,0)+1,FALSE)</f>
        <v>雷雲からの刺客</v>
      </c>
      <c r="D485" s="3" t="str">
        <f ca="1">VLOOKUP($B485,OFFSET([1]quests!$A$1,0,0,COUNTA([1]quests!$A:$A),MATCH(D$1,[1]quests!$1:$1,0)-MATCH($B$1,[1]quests!$1:$1,0)+1),MATCH(D$1,[1]quests!$1:$1,0)-MATCH($B$1,[1]quests!$1:$1,0)+1,FALSE)</f>
        <v>ドロップイベント1-4</v>
      </c>
      <c r="E485" s="5">
        <v>2</v>
      </c>
      <c r="F485" s="3" t="str">
        <f ca="1">VLOOKUP($B485&amp;"_"&amp;$E485,OFFSET([1]stages!$A$1,0,0,COUNTA([1]stages!$A:$A),MATCH(F$1,[1]stages!$2:$2,0)-MATCH("temp_stage",[1]stages!$2:$2,0)+1),MATCH(F$1,[1]stages!$2:$2,0)-MATCH("temp_stage",[1]stages!$2:$2,0)+1,FALSE)</f>
        <v>【中級】雷雲からの刺客</v>
      </c>
      <c r="G485" s="3" t="str">
        <f ca="1">VLOOKUP($B485&amp;"_"&amp;$E485,OFFSET([1]stages!$A$1,0,0,COUNTA([1]stages!$A:$A),MATCH(G$1,[1]stages!$2:$2,0)-MATCH("temp_stage",[1]stages!$2:$2,0)+1),MATCH(G$1,[1]stages!$2:$2,0)-MATCH("temp_stage",[1]stages!$2:$2,0)+1,FALSE)</f>
        <v>ドロップイベント1-4</v>
      </c>
      <c r="H485" s="18">
        <v>0</v>
      </c>
      <c r="I485">
        <v>23</v>
      </c>
      <c r="J485" s="5" t="s">
        <v>16</v>
      </c>
      <c r="K485" s="35" t="str">
        <f>VLOOKUP(I485,[2]stage_hints!$A:$C,3,FALSE)</f>
        <v>フィーバーで一発逆転（その2）</v>
      </c>
      <c r="L485" s="36" t="str">
        <f>VLOOKUP(I485,[2]stage_hints!$A:$D,4,FALSE)</f>
        <v>フィーバー中は虹色のボムパネルを狙って_x000D_画面上のパネルを一気に破壊しましょう</v>
      </c>
      <c r="M485" s="21" t="s">
        <v>23</v>
      </c>
      <c r="N485">
        <v>23</v>
      </c>
    </row>
    <row r="486" spans="1:14" x14ac:dyDescent="0.15">
      <c r="A486" s="26" t="s">
        <v>32</v>
      </c>
      <c r="B486" s="4">
        <v>20004</v>
      </c>
      <c r="C486" s="3" t="str">
        <f ca="1">VLOOKUP($B486,OFFSET([1]quests!$A$1,0,0,COUNTA([1]quests!$A:$A),MATCH(C$1,[1]quests!$1:$1,0)-MATCH($B$1,[1]quests!$1:$1,0)+1),MATCH(C$1,[1]quests!$1:$1,0)-MATCH($B$1,[1]quests!$1:$1,0)+1,FALSE)</f>
        <v>雷雲からの刺客</v>
      </c>
      <c r="D486" s="3" t="str">
        <f ca="1">VLOOKUP($B486,OFFSET([1]quests!$A$1,0,0,COUNTA([1]quests!$A:$A),MATCH(D$1,[1]quests!$1:$1,0)-MATCH($B$1,[1]quests!$1:$1,0)+1),MATCH(D$1,[1]quests!$1:$1,0)-MATCH($B$1,[1]quests!$1:$1,0)+1,FALSE)</f>
        <v>ドロップイベント1-4</v>
      </c>
      <c r="E486" s="5">
        <v>2</v>
      </c>
      <c r="F486" s="3" t="str">
        <f ca="1">VLOOKUP($B486&amp;"_"&amp;$E486,OFFSET([1]stages!$A$1,0,0,COUNTA([1]stages!$A:$A),MATCH(F$1,[1]stages!$2:$2,0)-MATCH("temp_stage",[1]stages!$2:$2,0)+1),MATCH(F$1,[1]stages!$2:$2,0)-MATCH("temp_stage",[1]stages!$2:$2,0)+1,FALSE)</f>
        <v>【中級】雷雲からの刺客</v>
      </c>
      <c r="G486" s="3" t="str">
        <f ca="1">VLOOKUP($B486&amp;"_"&amp;$E486,OFFSET([1]stages!$A$1,0,0,COUNTA([1]stages!$A:$A),MATCH(G$1,[1]stages!$2:$2,0)-MATCH("temp_stage",[1]stages!$2:$2,0)+1),MATCH(G$1,[1]stages!$2:$2,0)-MATCH("temp_stage",[1]stages!$2:$2,0)+1,FALSE)</f>
        <v>ドロップイベント1-4</v>
      </c>
      <c r="H486" s="18">
        <v>0</v>
      </c>
      <c r="I486">
        <v>24</v>
      </c>
      <c r="J486" s="5" t="s">
        <v>16</v>
      </c>
      <c r="K486" s="35" t="str">
        <f>VLOOKUP(I486,[2]stage_hints!$A:$C,3,FALSE)</f>
        <v>りんごを使って限界突破</v>
      </c>
      <c r="L486" s="36" t="str">
        <f>VLOOKUP(I486,[2]stage_hints!$A:$D,4,FALSE)</f>
        <v>赤りんご(攻撃力) 青りんご(回復力)_x000D_緑りんご(体力)をユニット強化に使うと_x000D_ステータスが限界突破します（計99個迄）</v>
      </c>
      <c r="M486" s="21" t="s">
        <v>23</v>
      </c>
      <c r="N486">
        <v>24</v>
      </c>
    </row>
    <row r="487" spans="1:14" x14ac:dyDescent="0.15">
      <c r="A487" s="26" t="s">
        <v>32</v>
      </c>
      <c r="B487" s="4">
        <v>20004</v>
      </c>
      <c r="C487" s="3" t="str">
        <f ca="1">VLOOKUP($B487,OFFSET([1]quests!$A$1,0,0,COUNTA([1]quests!$A:$A),MATCH(C$1,[1]quests!$1:$1,0)-MATCH($B$1,[1]quests!$1:$1,0)+1),MATCH(C$1,[1]quests!$1:$1,0)-MATCH($B$1,[1]quests!$1:$1,0)+1,FALSE)</f>
        <v>雷雲からの刺客</v>
      </c>
      <c r="D487" s="3" t="str">
        <f ca="1">VLOOKUP($B487,OFFSET([1]quests!$A$1,0,0,COUNTA([1]quests!$A:$A),MATCH(D$1,[1]quests!$1:$1,0)-MATCH($B$1,[1]quests!$1:$1,0)+1),MATCH(D$1,[1]quests!$1:$1,0)-MATCH($B$1,[1]quests!$1:$1,0)+1,FALSE)</f>
        <v>ドロップイベント1-4</v>
      </c>
      <c r="E487" s="5">
        <v>2</v>
      </c>
      <c r="F487" s="3" t="str">
        <f ca="1">VLOOKUP($B487&amp;"_"&amp;$E487,OFFSET([1]stages!$A$1,0,0,COUNTA([1]stages!$A:$A),MATCH(F$1,[1]stages!$2:$2,0)-MATCH("temp_stage",[1]stages!$2:$2,0)+1),MATCH(F$1,[1]stages!$2:$2,0)-MATCH("temp_stage",[1]stages!$2:$2,0)+1,FALSE)</f>
        <v>【中級】雷雲からの刺客</v>
      </c>
      <c r="G487" s="3" t="str">
        <f ca="1">VLOOKUP($B487&amp;"_"&amp;$E487,OFFSET([1]stages!$A$1,0,0,COUNTA([1]stages!$A:$A),MATCH(G$1,[1]stages!$2:$2,0)-MATCH("temp_stage",[1]stages!$2:$2,0)+1),MATCH(G$1,[1]stages!$2:$2,0)-MATCH("temp_stage",[1]stages!$2:$2,0)+1,FALSE)</f>
        <v>ドロップイベント1-4</v>
      </c>
      <c r="H487" s="18">
        <v>0</v>
      </c>
      <c r="I487">
        <v>25</v>
      </c>
      <c r="J487" s="5" t="s">
        <v>16</v>
      </c>
      <c r="K487" s="35" t="str">
        <f>VLOOKUP(I487,[2]stage_hints!$A:$C,3,FALSE)</f>
        <v>スキルレベルアップ</v>
      </c>
      <c r="L487" s="36" t="str">
        <f>VLOOKUP(I487,[2]stage_hints!$A:$D,4,FALSE)</f>
        <v>「クリスタルのりんご」を強化に使うと_x000D_スキルレベルを上げることができます</v>
      </c>
      <c r="M487" s="21" t="s">
        <v>23</v>
      </c>
      <c r="N487">
        <v>25</v>
      </c>
    </row>
    <row r="488" spans="1:14" x14ac:dyDescent="0.15">
      <c r="A488" s="26" t="s">
        <v>32</v>
      </c>
      <c r="B488" s="4">
        <v>20004</v>
      </c>
      <c r="C488" s="3" t="str">
        <f ca="1">VLOOKUP($B488,OFFSET([1]quests!$A$1,0,0,COUNTA([1]quests!$A:$A),MATCH(C$1,[1]quests!$1:$1,0)-MATCH($B$1,[1]quests!$1:$1,0)+1),MATCH(C$1,[1]quests!$1:$1,0)-MATCH($B$1,[1]quests!$1:$1,0)+1,FALSE)</f>
        <v>雷雲からの刺客</v>
      </c>
      <c r="D488" s="3" t="str">
        <f ca="1">VLOOKUP($B488,OFFSET([1]quests!$A$1,0,0,COUNTA([1]quests!$A:$A),MATCH(D$1,[1]quests!$1:$1,0)-MATCH($B$1,[1]quests!$1:$1,0)+1),MATCH(D$1,[1]quests!$1:$1,0)-MATCH($B$1,[1]quests!$1:$1,0)+1,FALSE)</f>
        <v>ドロップイベント1-4</v>
      </c>
      <c r="E488" s="5">
        <v>2</v>
      </c>
      <c r="F488" s="3" t="str">
        <f ca="1">VLOOKUP($B488&amp;"_"&amp;$E488,OFFSET([1]stages!$A$1,0,0,COUNTA([1]stages!$A:$A),MATCH(F$1,[1]stages!$2:$2,0)-MATCH("temp_stage",[1]stages!$2:$2,0)+1),MATCH(F$1,[1]stages!$2:$2,0)-MATCH("temp_stage",[1]stages!$2:$2,0)+1,FALSE)</f>
        <v>【中級】雷雲からの刺客</v>
      </c>
      <c r="G488" s="3" t="str">
        <f ca="1">VLOOKUP($B488&amp;"_"&amp;$E488,OFFSET([1]stages!$A$1,0,0,COUNTA([1]stages!$A:$A),MATCH(G$1,[1]stages!$2:$2,0)-MATCH("temp_stage",[1]stages!$2:$2,0)+1),MATCH(G$1,[1]stages!$2:$2,0)-MATCH("temp_stage",[1]stages!$2:$2,0)+1,FALSE)</f>
        <v>ドロップイベント1-4</v>
      </c>
      <c r="H488" s="18">
        <v>0</v>
      </c>
      <c r="I488">
        <v>26</v>
      </c>
      <c r="J488" s="5" t="s">
        <v>16</v>
      </c>
      <c r="K488" s="35" t="str">
        <f>VLOOKUP(I488,[2]stage_hints!$A:$C,3,FALSE)</f>
        <v>スキルレベルの効果</v>
      </c>
      <c r="L488" s="36" t="str">
        <f>VLOOKUP(I488,[2]stage_hints!$A:$D,4,FALSE)</f>
        <v>スキルレベルが上がると_x000D_短いターンでスキルを使うことができます</v>
      </c>
      <c r="M488" s="21" t="s">
        <v>23</v>
      </c>
      <c r="N488">
        <v>26</v>
      </c>
    </row>
    <row r="489" spans="1:14" x14ac:dyDescent="0.15">
      <c r="A489" s="26" t="s">
        <v>32</v>
      </c>
      <c r="B489" s="4">
        <v>20004</v>
      </c>
      <c r="C489" s="3" t="str">
        <f ca="1">VLOOKUP($B489,OFFSET([1]quests!$A$1,0,0,COUNTA([1]quests!$A:$A),MATCH(C$1,[1]quests!$1:$1,0)-MATCH($B$1,[1]quests!$1:$1,0)+1),MATCH(C$1,[1]quests!$1:$1,0)-MATCH($B$1,[1]quests!$1:$1,0)+1,FALSE)</f>
        <v>雷雲からの刺客</v>
      </c>
      <c r="D489" s="3" t="str">
        <f ca="1">VLOOKUP($B489,OFFSET([1]quests!$A$1,0,0,COUNTA([1]quests!$A:$A),MATCH(D$1,[1]quests!$1:$1,0)-MATCH($B$1,[1]quests!$1:$1,0)+1),MATCH(D$1,[1]quests!$1:$1,0)-MATCH($B$1,[1]quests!$1:$1,0)+1,FALSE)</f>
        <v>ドロップイベント1-4</v>
      </c>
      <c r="E489" s="5">
        <v>2</v>
      </c>
      <c r="F489" s="3" t="str">
        <f ca="1">VLOOKUP($B489&amp;"_"&amp;$E489,OFFSET([1]stages!$A$1,0,0,COUNTA([1]stages!$A:$A),MATCH(F$1,[1]stages!$2:$2,0)-MATCH("temp_stage",[1]stages!$2:$2,0)+1),MATCH(F$1,[1]stages!$2:$2,0)-MATCH("temp_stage",[1]stages!$2:$2,0)+1,FALSE)</f>
        <v>【中級】雷雲からの刺客</v>
      </c>
      <c r="G489" s="3" t="str">
        <f ca="1">VLOOKUP($B489&amp;"_"&amp;$E489,OFFSET([1]stages!$A$1,0,0,COUNTA([1]stages!$A:$A),MATCH(G$1,[1]stages!$2:$2,0)-MATCH("temp_stage",[1]stages!$2:$2,0)+1),MATCH(G$1,[1]stages!$2:$2,0)-MATCH("temp_stage",[1]stages!$2:$2,0)+1,FALSE)</f>
        <v>ドロップイベント1-4</v>
      </c>
      <c r="H489" s="18">
        <v>0</v>
      </c>
      <c r="I489">
        <v>27</v>
      </c>
      <c r="J489" s="5" t="s">
        <v>16</v>
      </c>
      <c r="K489" s="35" t="str">
        <f>VLOOKUP(I489,[2]stage_hints!$A:$C,3,FALSE)</f>
        <v>ホーム画面からデッキを編成</v>
      </c>
      <c r="L489" s="36" t="str">
        <f>VLOOKUP(I489,[2]stage_hints!$A:$D,4,FALSE)</f>
        <v>ホーム画面でユニットを長押しすると_x000D_すぐにパーティ編成に移動できます</v>
      </c>
      <c r="M489" s="21" t="s">
        <v>23</v>
      </c>
      <c r="N489">
        <v>27</v>
      </c>
    </row>
    <row r="490" spans="1:14" x14ac:dyDescent="0.15">
      <c r="A490" s="26" t="s">
        <v>32</v>
      </c>
      <c r="B490" s="4">
        <v>20004</v>
      </c>
      <c r="C490" s="3" t="str">
        <f ca="1">VLOOKUP($B490,OFFSET([1]quests!$A$1,0,0,COUNTA([1]quests!$A:$A),MATCH(C$1,[1]quests!$1:$1,0)-MATCH($B$1,[1]quests!$1:$1,0)+1),MATCH(C$1,[1]quests!$1:$1,0)-MATCH($B$1,[1]quests!$1:$1,0)+1,FALSE)</f>
        <v>雷雲からの刺客</v>
      </c>
      <c r="D490" s="3" t="str">
        <f ca="1">VLOOKUP($B490,OFFSET([1]quests!$A$1,0,0,COUNTA([1]quests!$A:$A),MATCH(D$1,[1]quests!$1:$1,0)-MATCH($B$1,[1]quests!$1:$1,0)+1),MATCH(D$1,[1]quests!$1:$1,0)-MATCH($B$1,[1]quests!$1:$1,0)+1,FALSE)</f>
        <v>ドロップイベント1-4</v>
      </c>
      <c r="E490" s="5">
        <v>2</v>
      </c>
      <c r="F490" s="3" t="str">
        <f ca="1">VLOOKUP($B490&amp;"_"&amp;$E490,OFFSET([1]stages!$A$1,0,0,COUNTA([1]stages!$A:$A),MATCH(F$1,[1]stages!$2:$2,0)-MATCH("temp_stage",[1]stages!$2:$2,0)+1),MATCH(F$1,[1]stages!$2:$2,0)-MATCH("temp_stage",[1]stages!$2:$2,0)+1,FALSE)</f>
        <v>【中級】雷雲からの刺客</v>
      </c>
      <c r="G490" s="3" t="str">
        <f ca="1">VLOOKUP($B490&amp;"_"&amp;$E490,OFFSET([1]stages!$A$1,0,0,COUNTA([1]stages!$A:$A),MATCH(G$1,[1]stages!$2:$2,0)-MATCH("temp_stage",[1]stages!$2:$2,0)+1),MATCH(G$1,[1]stages!$2:$2,0)-MATCH("temp_stage",[1]stages!$2:$2,0)+1,FALSE)</f>
        <v>ドロップイベント1-4</v>
      </c>
      <c r="H490" s="18">
        <v>0</v>
      </c>
      <c r="I490">
        <v>28</v>
      </c>
      <c r="J490" s="5" t="s">
        <v>16</v>
      </c>
      <c r="K490" s="35" t="str">
        <f>VLOOKUP(I490,[2]stage_hints!$A:$C,3,FALSE)</f>
        <v>ステータス情報は長押しで</v>
      </c>
      <c r="L490" s="36" t="str">
        <f>VLOOKUP(I490,[2]stage_hints!$A:$D,4,FALSE)</f>
        <v>ユニットのアイコンを長押しすると_x000D_ステータス情報を確認することができます</v>
      </c>
      <c r="M490" s="21" t="s">
        <v>23</v>
      </c>
      <c r="N490">
        <v>28</v>
      </c>
    </row>
    <row r="491" spans="1:14" x14ac:dyDescent="0.15">
      <c r="A491" s="26" t="s">
        <v>32</v>
      </c>
      <c r="B491" s="4">
        <v>20004</v>
      </c>
      <c r="C491" s="3" t="str">
        <f ca="1">VLOOKUP($B491,OFFSET([1]quests!$A$1,0,0,COUNTA([1]quests!$A:$A),MATCH(C$1,[1]quests!$1:$1,0)-MATCH($B$1,[1]quests!$1:$1,0)+1),MATCH(C$1,[1]quests!$1:$1,0)-MATCH($B$1,[1]quests!$1:$1,0)+1,FALSE)</f>
        <v>雷雲からの刺客</v>
      </c>
      <c r="D491" s="3" t="str">
        <f ca="1">VLOOKUP($B491,OFFSET([1]quests!$A$1,0,0,COUNTA([1]quests!$A:$A),MATCH(D$1,[1]quests!$1:$1,0)-MATCH($B$1,[1]quests!$1:$1,0)+1),MATCH(D$1,[1]quests!$1:$1,0)-MATCH($B$1,[1]quests!$1:$1,0)+1,FALSE)</f>
        <v>ドロップイベント1-4</v>
      </c>
      <c r="E491" s="5">
        <v>2</v>
      </c>
      <c r="F491" s="3" t="str">
        <f ca="1">VLOOKUP($B491&amp;"_"&amp;$E491,OFFSET([1]stages!$A$1,0,0,COUNTA([1]stages!$A:$A),MATCH(F$1,[1]stages!$2:$2,0)-MATCH("temp_stage",[1]stages!$2:$2,0)+1),MATCH(F$1,[1]stages!$2:$2,0)-MATCH("temp_stage",[1]stages!$2:$2,0)+1,FALSE)</f>
        <v>【中級】雷雲からの刺客</v>
      </c>
      <c r="G491" s="3" t="str">
        <f ca="1">VLOOKUP($B491&amp;"_"&amp;$E491,OFFSET([1]stages!$A$1,0,0,COUNTA([1]stages!$A:$A),MATCH(G$1,[1]stages!$2:$2,0)-MATCH("temp_stage",[1]stages!$2:$2,0)+1),MATCH(G$1,[1]stages!$2:$2,0)-MATCH("temp_stage",[1]stages!$2:$2,0)+1,FALSE)</f>
        <v>ドロップイベント1-4</v>
      </c>
      <c r="H491" s="18">
        <v>0</v>
      </c>
      <c r="I491">
        <v>29</v>
      </c>
      <c r="J491" s="5" t="s">
        <v>16</v>
      </c>
      <c r="K491" s="35" t="str">
        <f>VLOOKUP(I491,[2]stage_hints!$A:$C,3,FALSE)</f>
        <v>「バグ」のメリット</v>
      </c>
      <c r="L491" s="36" t="str">
        <f>VLOOKUP(I491,[2]stage_hints!$A:$D,4,FALSE)</f>
        <v>ユニットの「バグ」を増やすと_x000D_報酬をもらえる確率がアップします</v>
      </c>
      <c r="M491" s="21" t="s">
        <v>23</v>
      </c>
      <c r="N491">
        <v>29</v>
      </c>
    </row>
    <row r="492" spans="1:14" x14ac:dyDescent="0.15">
      <c r="A492" s="26" t="s">
        <v>32</v>
      </c>
      <c r="B492" s="4">
        <v>20004</v>
      </c>
      <c r="C492" s="3" t="str">
        <f ca="1">VLOOKUP($B492,OFFSET([1]quests!$A$1,0,0,COUNTA([1]quests!$A:$A),MATCH(C$1,[1]quests!$1:$1,0)-MATCH($B$1,[1]quests!$1:$1,0)+1),MATCH(C$1,[1]quests!$1:$1,0)-MATCH($B$1,[1]quests!$1:$1,0)+1,FALSE)</f>
        <v>雷雲からの刺客</v>
      </c>
      <c r="D492" s="3" t="str">
        <f ca="1">VLOOKUP($B492,OFFSET([1]quests!$A$1,0,0,COUNTA([1]quests!$A:$A),MATCH(D$1,[1]quests!$1:$1,0)-MATCH($B$1,[1]quests!$1:$1,0)+1),MATCH(D$1,[1]quests!$1:$1,0)-MATCH($B$1,[1]quests!$1:$1,0)+1,FALSE)</f>
        <v>ドロップイベント1-4</v>
      </c>
      <c r="E492" s="5">
        <v>2</v>
      </c>
      <c r="F492" s="3" t="str">
        <f ca="1">VLOOKUP($B492&amp;"_"&amp;$E492,OFFSET([1]stages!$A$1,0,0,COUNTA([1]stages!$A:$A),MATCH(F$1,[1]stages!$2:$2,0)-MATCH("temp_stage",[1]stages!$2:$2,0)+1),MATCH(F$1,[1]stages!$2:$2,0)-MATCH("temp_stage",[1]stages!$2:$2,0)+1,FALSE)</f>
        <v>【中級】雷雲からの刺客</v>
      </c>
      <c r="G492" s="3" t="str">
        <f ca="1">VLOOKUP($B492&amp;"_"&amp;$E492,OFFSET([1]stages!$A$1,0,0,COUNTA([1]stages!$A:$A),MATCH(G$1,[1]stages!$2:$2,0)-MATCH("temp_stage",[1]stages!$2:$2,0)+1),MATCH(G$1,[1]stages!$2:$2,0)-MATCH("temp_stage",[1]stages!$2:$2,0)+1,FALSE)</f>
        <v>ドロップイベント1-4</v>
      </c>
      <c r="H492" s="18">
        <v>0</v>
      </c>
      <c r="I492">
        <v>30</v>
      </c>
      <c r="J492" s="5" t="s">
        <v>16</v>
      </c>
      <c r="K492" s="35" t="str">
        <f>VLOOKUP(I492,[2]stage_hints!$A:$C,3,FALSE)</f>
        <v>「バグ」の増やし方</v>
      </c>
      <c r="L492" s="36" t="str">
        <f>VLOOKUP(I492,[2]stage_hints!$A:$D,4,FALSE)</f>
        <v>同じユニット同士を強化で合成すると_x000D_「バグ」を増やすことができます</v>
      </c>
      <c r="M492" s="21" t="s">
        <v>23</v>
      </c>
      <c r="N492">
        <v>30</v>
      </c>
    </row>
    <row r="493" spans="1:14" x14ac:dyDescent="0.15">
      <c r="A493" s="26" t="s">
        <v>32</v>
      </c>
      <c r="B493" s="4">
        <v>20004</v>
      </c>
      <c r="C493" s="3" t="str">
        <f ca="1">VLOOKUP($B493,OFFSET([1]quests!$A$1,0,0,COUNTA([1]quests!$A:$A),MATCH(C$1,[1]quests!$1:$1,0)-MATCH($B$1,[1]quests!$1:$1,0)+1),MATCH(C$1,[1]quests!$1:$1,0)-MATCH($B$1,[1]quests!$1:$1,0)+1,FALSE)</f>
        <v>雷雲からの刺客</v>
      </c>
      <c r="D493" s="3" t="str">
        <f ca="1">VLOOKUP($B493,OFFSET([1]quests!$A$1,0,0,COUNTA([1]quests!$A:$A),MATCH(D$1,[1]quests!$1:$1,0)-MATCH($B$1,[1]quests!$1:$1,0)+1),MATCH(D$1,[1]quests!$1:$1,0)-MATCH($B$1,[1]quests!$1:$1,0)+1,FALSE)</f>
        <v>ドロップイベント1-4</v>
      </c>
      <c r="E493" s="5">
        <v>2</v>
      </c>
      <c r="F493" s="3" t="str">
        <f ca="1">VLOOKUP($B493&amp;"_"&amp;$E493,OFFSET([1]stages!$A$1,0,0,COUNTA([1]stages!$A:$A),MATCH(F$1,[1]stages!$2:$2,0)-MATCH("temp_stage",[1]stages!$2:$2,0)+1),MATCH(F$1,[1]stages!$2:$2,0)-MATCH("temp_stage",[1]stages!$2:$2,0)+1,FALSE)</f>
        <v>【中級】雷雲からの刺客</v>
      </c>
      <c r="G493" s="3" t="str">
        <f ca="1">VLOOKUP($B493&amp;"_"&amp;$E493,OFFSET([1]stages!$A$1,0,0,COUNTA([1]stages!$A:$A),MATCH(G$1,[1]stages!$2:$2,0)-MATCH("temp_stage",[1]stages!$2:$2,0)+1),MATCH(G$1,[1]stages!$2:$2,0)-MATCH("temp_stage",[1]stages!$2:$2,0)+1,FALSE)</f>
        <v>ドロップイベント1-4</v>
      </c>
      <c r="H493" s="18">
        <v>0</v>
      </c>
      <c r="I493">
        <v>31</v>
      </c>
      <c r="J493" s="5" t="s">
        <v>16</v>
      </c>
      <c r="K493" s="35" t="str">
        <f>VLOOKUP(I493,[2]stage_hints!$A:$C,3,FALSE)</f>
        <v>イベントはお知らせでチェック</v>
      </c>
      <c r="L493" s="36" t="str">
        <f>VLOOKUP(I493,[2]stage_hints!$A:$D,4,FALSE)</f>
        <v>イベント限定ユニットを取り忘れないように_x000D_お知らせをこまめにチェックしましょう</v>
      </c>
      <c r="M493" s="21" t="s">
        <v>23</v>
      </c>
      <c r="N493">
        <v>31</v>
      </c>
    </row>
    <row r="494" spans="1:14" x14ac:dyDescent="0.15">
      <c r="A494" s="26" t="s">
        <v>32</v>
      </c>
      <c r="B494" s="4">
        <v>20004</v>
      </c>
      <c r="C494" s="3" t="str">
        <f ca="1">VLOOKUP($B494,OFFSET([1]quests!$A$1,0,0,COUNTA([1]quests!$A:$A),MATCH(C$1,[1]quests!$1:$1,0)-MATCH($B$1,[1]quests!$1:$1,0)+1),MATCH(C$1,[1]quests!$1:$1,0)-MATCH($B$1,[1]quests!$1:$1,0)+1,FALSE)</f>
        <v>雷雲からの刺客</v>
      </c>
      <c r="D494" s="3" t="str">
        <f ca="1">VLOOKUP($B494,OFFSET([1]quests!$A$1,0,0,COUNTA([1]quests!$A:$A),MATCH(D$1,[1]quests!$1:$1,0)-MATCH($B$1,[1]quests!$1:$1,0)+1),MATCH(D$1,[1]quests!$1:$1,0)-MATCH($B$1,[1]quests!$1:$1,0)+1,FALSE)</f>
        <v>ドロップイベント1-4</v>
      </c>
      <c r="E494" s="5">
        <v>2</v>
      </c>
      <c r="F494" s="3" t="str">
        <f ca="1">VLOOKUP($B494&amp;"_"&amp;$E494,OFFSET([1]stages!$A$1,0,0,COUNTA([1]stages!$A:$A),MATCH(F$1,[1]stages!$2:$2,0)-MATCH("temp_stage",[1]stages!$2:$2,0)+1),MATCH(F$1,[1]stages!$2:$2,0)-MATCH("temp_stage",[1]stages!$2:$2,0)+1,FALSE)</f>
        <v>【中級】雷雲からの刺客</v>
      </c>
      <c r="G494" s="3" t="str">
        <f ca="1">VLOOKUP($B494&amp;"_"&amp;$E494,OFFSET([1]stages!$A$1,0,0,COUNTA([1]stages!$A:$A),MATCH(G$1,[1]stages!$2:$2,0)-MATCH("temp_stage",[1]stages!$2:$2,0)+1),MATCH(G$1,[1]stages!$2:$2,0)-MATCH("temp_stage",[1]stages!$2:$2,0)+1,FALSE)</f>
        <v>ドロップイベント1-4</v>
      </c>
      <c r="H494" s="18">
        <v>0</v>
      </c>
      <c r="I494">
        <v>32</v>
      </c>
      <c r="J494" s="5" t="s">
        <v>16</v>
      </c>
      <c r="K494" s="35" t="str">
        <f>VLOOKUP(I494,[2]stage_hints!$A:$C,3,FALSE)</f>
        <v>敵の連続攻撃には</v>
      </c>
      <c r="L494" s="36" t="str">
        <f>VLOOKUP(I494,[2]stage_hints!$A:$D,4,FALSE)</f>
        <v>カウンタースキルを持つユニットがいれば_x000D_ダメージ回数分の反撃ができます</v>
      </c>
      <c r="M494" s="21" t="s">
        <v>23</v>
      </c>
      <c r="N494">
        <v>32</v>
      </c>
    </row>
    <row r="495" spans="1:14" x14ac:dyDescent="0.15">
      <c r="A495" s="26" t="s">
        <v>32</v>
      </c>
      <c r="B495" s="4">
        <v>20004</v>
      </c>
      <c r="C495" s="3" t="str">
        <f ca="1">VLOOKUP($B495,OFFSET([1]quests!$A$1,0,0,COUNTA([1]quests!$A:$A),MATCH(C$1,[1]quests!$1:$1,0)-MATCH($B$1,[1]quests!$1:$1,0)+1),MATCH(C$1,[1]quests!$1:$1,0)-MATCH($B$1,[1]quests!$1:$1,0)+1,FALSE)</f>
        <v>雷雲からの刺客</v>
      </c>
      <c r="D495" s="3" t="str">
        <f ca="1">VLOOKUP($B495,OFFSET([1]quests!$A$1,0,0,COUNTA([1]quests!$A:$A),MATCH(D$1,[1]quests!$1:$1,0)-MATCH($B$1,[1]quests!$1:$1,0)+1),MATCH(D$1,[1]quests!$1:$1,0)-MATCH($B$1,[1]quests!$1:$1,0)+1,FALSE)</f>
        <v>ドロップイベント1-4</v>
      </c>
      <c r="E495" s="5">
        <v>2</v>
      </c>
      <c r="F495" s="3" t="str">
        <f ca="1">VLOOKUP($B495&amp;"_"&amp;$E495,OFFSET([1]stages!$A$1,0,0,COUNTA([1]stages!$A:$A),MATCH(F$1,[1]stages!$2:$2,0)-MATCH("temp_stage",[1]stages!$2:$2,0)+1),MATCH(F$1,[1]stages!$2:$2,0)-MATCH("temp_stage",[1]stages!$2:$2,0)+1,FALSE)</f>
        <v>【中級】雷雲からの刺客</v>
      </c>
      <c r="G495" s="3" t="str">
        <f ca="1">VLOOKUP($B495&amp;"_"&amp;$E495,OFFSET([1]stages!$A$1,0,0,COUNTA([1]stages!$A:$A),MATCH(G$1,[1]stages!$2:$2,0)-MATCH("temp_stage",[1]stages!$2:$2,0)+1),MATCH(G$1,[1]stages!$2:$2,0)-MATCH("temp_stage",[1]stages!$2:$2,0)+1,FALSE)</f>
        <v>ドロップイベント1-4</v>
      </c>
      <c r="H495" s="18">
        <v>0</v>
      </c>
      <c r="I495">
        <v>33</v>
      </c>
      <c r="J495" s="5" t="s">
        <v>16</v>
      </c>
      <c r="K495" s="35" t="str">
        <f>VLOOKUP(I495,[2]stage_hints!$A:$C,3,FALSE)</f>
        <v>敵のカウンター攻撃には</v>
      </c>
      <c r="L495" s="36" t="str">
        <f>VLOOKUP(I495,[2]stage_hints!$A:$D,4,FALSE)</f>
        <v>カウンターブレイクスキルを持っていれば_x000D_敵のカウンターを解除して攻撃ができます</v>
      </c>
      <c r="M495" s="21" t="s">
        <v>23</v>
      </c>
      <c r="N495">
        <v>33</v>
      </c>
    </row>
    <row r="496" spans="1:14" x14ac:dyDescent="0.15">
      <c r="A496" s="26" t="s">
        <v>32</v>
      </c>
      <c r="B496" s="4">
        <v>20004</v>
      </c>
      <c r="C496" s="3" t="str">
        <f ca="1">VLOOKUP($B496,OFFSET([1]quests!$A$1,0,0,COUNTA([1]quests!$A:$A),MATCH(C$1,[1]quests!$1:$1,0)-MATCH($B$1,[1]quests!$1:$1,0)+1),MATCH(C$1,[1]quests!$1:$1,0)-MATCH($B$1,[1]quests!$1:$1,0)+1,FALSE)</f>
        <v>雷雲からの刺客</v>
      </c>
      <c r="D496" s="3" t="str">
        <f ca="1">VLOOKUP($B496,OFFSET([1]quests!$A$1,0,0,COUNTA([1]quests!$A:$A),MATCH(D$1,[1]quests!$1:$1,0)-MATCH($B$1,[1]quests!$1:$1,0)+1),MATCH(D$1,[1]quests!$1:$1,0)-MATCH($B$1,[1]quests!$1:$1,0)+1,FALSE)</f>
        <v>ドロップイベント1-4</v>
      </c>
      <c r="E496" s="5">
        <v>2</v>
      </c>
      <c r="F496" s="3" t="str">
        <f ca="1">VLOOKUP($B496&amp;"_"&amp;$E496,OFFSET([1]stages!$A$1,0,0,COUNTA([1]stages!$A:$A),MATCH(F$1,[1]stages!$2:$2,0)-MATCH("temp_stage",[1]stages!$2:$2,0)+1),MATCH(F$1,[1]stages!$2:$2,0)-MATCH("temp_stage",[1]stages!$2:$2,0)+1,FALSE)</f>
        <v>【中級】雷雲からの刺客</v>
      </c>
      <c r="G496" s="3" t="str">
        <f ca="1">VLOOKUP($B496&amp;"_"&amp;$E496,OFFSET([1]stages!$A$1,0,0,COUNTA([1]stages!$A:$A),MATCH(G$1,[1]stages!$2:$2,0)-MATCH("temp_stage",[1]stages!$2:$2,0)+1),MATCH(G$1,[1]stages!$2:$2,0)-MATCH("temp_stage",[1]stages!$2:$2,0)+1,FALSE)</f>
        <v>ドロップイベント1-4</v>
      </c>
      <c r="H496" s="18">
        <v>0</v>
      </c>
      <c r="I496">
        <v>34</v>
      </c>
      <c r="J496" s="5" t="s">
        <v>16</v>
      </c>
      <c r="K496" s="35" t="str">
        <f>VLOOKUP(I496,[2]stage_hints!$A:$C,3,FALSE)</f>
        <v>ステータスをスキルで下げられたら</v>
      </c>
      <c r="L496" s="36" t="str">
        <f>VLOOKUP(I496,[2]stage_hints!$A:$D,4,FALSE)</f>
        <v>ステータスダウンのスキルを受けたら_x000D_ステータスアップスキルで上書きしましょう</v>
      </c>
      <c r="M496" s="21" t="s">
        <v>23</v>
      </c>
      <c r="N496">
        <v>34</v>
      </c>
    </row>
    <row r="497" spans="1:14" x14ac:dyDescent="0.15">
      <c r="A497" s="26" t="s">
        <v>32</v>
      </c>
      <c r="B497" s="4">
        <v>20004</v>
      </c>
      <c r="C497" s="3" t="str">
        <f ca="1">VLOOKUP($B497,OFFSET([1]quests!$A$1,0,0,COUNTA([1]quests!$A:$A),MATCH(C$1,[1]quests!$1:$1,0)-MATCH($B$1,[1]quests!$1:$1,0)+1),MATCH(C$1,[1]quests!$1:$1,0)-MATCH($B$1,[1]quests!$1:$1,0)+1,FALSE)</f>
        <v>雷雲からの刺客</v>
      </c>
      <c r="D497" s="3" t="str">
        <f ca="1">VLOOKUP($B497,OFFSET([1]quests!$A$1,0,0,COUNTA([1]quests!$A:$A),MATCH(D$1,[1]quests!$1:$1,0)-MATCH($B$1,[1]quests!$1:$1,0)+1),MATCH(D$1,[1]quests!$1:$1,0)-MATCH($B$1,[1]quests!$1:$1,0)+1,FALSE)</f>
        <v>ドロップイベント1-4</v>
      </c>
      <c r="E497" s="5">
        <v>2</v>
      </c>
      <c r="F497" s="3" t="str">
        <f ca="1">VLOOKUP($B497&amp;"_"&amp;$E497,OFFSET([1]stages!$A$1,0,0,COUNTA([1]stages!$A:$A),MATCH(F$1,[1]stages!$2:$2,0)-MATCH("temp_stage",[1]stages!$2:$2,0)+1),MATCH(F$1,[1]stages!$2:$2,0)-MATCH("temp_stage",[1]stages!$2:$2,0)+1,FALSE)</f>
        <v>【中級】雷雲からの刺客</v>
      </c>
      <c r="G497" s="3" t="str">
        <f ca="1">VLOOKUP($B497&amp;"_"&amp;$E497,OFFSET([1]stages!$A$1,0,0,COUNTA([1]stages!$A:$A),MATCH(G$1,[1]stages!$2:$2,0)-MATCH("temp_stage",[1]stages!$2:$2,0)+1),MATCH(G$1,[1]stages!$2:$2,0)-MATCH("temp_stage",[1]stages!$2:$2,0)+1,FALSE)</f>
        <v>ドロップイベント1-4</v>
      </c>
      <c r="H497" s="18">
        <v>0</v>
      </c>
      <c r="I497">
        <v>35</v>
      </c>
      <c r="J497" s="5" t="s">
        <v>16</v>
      </c>
      <c r="K497" s="35" t="str">
        <f>VLOOKUP(I497,[2]stage_hints!$A:$C,3,FALSE)</f>
        <v>敵のステータスがスキルで上がったら</v>
      </c>
      <c r="L497" s="36" t="str">
        <f>VLOOKUP(I497,[2]stage_hints!$A:$D,4,FALSE)</f>
        <v>敵のステータスがスキルでアップしたときは_x000D_ステータスダウンスキルで上書きしましょう</v>
      </c>
      <c r="M497" s="21" t="s">
        <v>23</v>
      </c>
      <c r="N497">
        <v>35</v>
      </c>
    </row>
    <row r="498" spans="1:14" x14ac:dyDescent="0.15">
      <c r="A498" s="26" t="s">
        <v>32</v>
      </c>
      <c r="B498" s="4">
        <v>20005</v>
      </c>
      <c r="C498" s="3" t="str">
        <f ca="1">VLOOKUP($B498,OFFSET([1]quests!$A$1,0,0,COUNTA([1]quests!$A:$A),MATCH(C$1,[1]quests!$1:$1,0)-MATCH($B$1,[1]quests!$1:$1,0)+1),MATCH(C$1,[1]quests!$1:$1,0)-MATCH($B$1,[1]quests!$1:$1,0)+1,FALSE)</f>
        <v>ザ・キャノン</v>
      </c>
      <c r="D498" s="3" t="str">
        <f ca="1">VLOOKUP($B498,OFFSET([1]quests!$A$1,0,0,COUNTA([1]quests!$A:$A),MATCH(D$1,[1]quests!$1:$1,0)-MATCH($B$1,[1]quests!$1:$1,0)+1),MATCH(D$1,[1]quests!$1:$1,0)-MATCH($B$1,[1]quests!$1:$1,0)+1,FALSE)</f>
        <v>ドロップイベント2-2</v>
      </c>
      <c r="E498" s="5">
        <v>2</v>
      </c>
      <c r="F498" s="3" t="str">
        <f ca="1">VLOOKUP($B498&amp;"_"&amp;$E498,OFFSET([1]stages!$A$1,0,0,COUNTA([1]stages!$A:$A),MATCH(F$1,[1]stages!$2:$2,0)-MATCH("temp_stage",[1]stages!$2:$2,0)+1),MATCH(F$1,[1]stages!$2:$2,0)-MATCH("temp_stage",[1]stages!$2:$2,0)+1,FALSE)</f>
        <v>【中級】ザ・キャノン(4タップ)</v>
      </c>
      <c r="G498" s="3" t="str">
        <f ca="1">VLOOKUP($B498&amp;"_"&amp;$E498,OFFSET([1]stages!$A$1,0,0,COUNTA([1]stages!$A:$A),MATCH(G$1,[1]stages!$2:$2,0)-MATCH("temp_stage",[1]stages!$2:$2,0)+1),MATCH(G$1,[1]stages!$2:$2,0)-MATCH("temp_stage",[1]stages!$2:$2,0)+1,FALSE)</f>
        <v>ドロップイベント2-2</v>
      </c>
      <c r="H498" s="18">
        <v>0</v>
      </c>
      <c r="I498">
        <v>3</v>
      </c>
      <c r="J498" s="5" t="s">
        <v>16</v>
      </c>
      <c r="K498" s="35" t="str">
        <f>VLOOKUP(I498,[2]stage_hints!$A:$C,3,FALSE)</f>
        <v>ターゲット</v>
      </c>
      <c r="L498" s="36" t="str">
        <f>VLOOKUP(I498,[2]stage_hints!$A:$D,4,FALSE)</f>
        <v>敵ユニットをタップすると_x000D_その敵を狙い撃ちできます</v>
      </c>
      <c r="M498" s="21" t="s">
        <v>23</v>
      </c>
      <c r="N498">
        <v>3</v>
      </c>
    </row>
    <row r="499" spans="1:14" x14ac:dyDescent="0.15">
      <c r="A499" s="26" t="s">
        <v>32</v>
      </c>
      <c r="B499" s="4">
        <v>20005</v>
      </c>
      <c r="C499" s="3" t="str">
        <f ca="1">VLOOKUP($B499,OFFSET([1]quests!$A$1,0,0,COUNTA([1]quests!$A:$A),MATCH(C$1,[1]quests!$1:$1,0)-MATCH($B$1,[1]quests!$1:$1,0)+1),MATCH(C$1,[1]quests!$1:$1,0)-MATCH($B$1,[1]quests!$1:$1,0)+1,FALSE)</f>
        <v>ザ・キャノン</v>
      </c>
      <c r="D499" s="3" t="str">
        <f ca="1">VLOOKUP($B499,OFFSET([1]quests!$A$1,0,0,COUNTA([1]quests!$A:$A),MATCH(D$1,[1]quests!$1:$1,0)-MATCH($B$1,[1]quests!$1:$1,0)+1),MATCH(D$1,[1]quests!$1:$1,0)-MATCH($B$1,[1]quests!$1:$1,0)+1,FALSE)</f>
        <v>ドロップイベント2-2</v>
      </c>
      <c r="E499" s="5">
        <v>2</v>
      </c>
      <c r="F499" s="3" t="str">
        <f ca="1">VLOOKUP($B499&amp;"_"&amp;$E499,OFFSET([1]stages!$A$1,0,0,COUNTA([1]stages!$A:$A),MATCH(F$1,[1]stages!$2:$2,0)-MATCH("temp_stage",[1]stages!$2:$2,0)+1),MATCH(F$1,[1]stages!$2:$2,0)-MATCH("temp_stage",[1]stages!$2:$2,0)+1,FALSE)</f>
        <v>【中級】ザ・キャノン(4タップ)</v>
      </c>
      <c r="G499" s="3" t="str">
        <f ca="1">VLOOKUP($B499&amp;"_"&amp;$E499,OFFSET([1]stages!$A$1,0,0,COUNTA([1]stages!$A:$A),MATCH(G$1,[1]stages!$2:$2,0)-MATCH("temp_stage",[1]stages!$2:$2,0)+1),MATCH(G$1,[1]stages!$2:$2,0)-MATCH("temp_stage",[1]stages!$2:$2,0)+1,FALSE)</f>
        <v>ドロップイベント2-2</v>
      </c>
      <c r="H499" s="18">
        <v>0</v>
      </c>
      <c r="I499">
        <v>6</v>
      </c>
      <c r="J499" s="5" t="s">
        <v>16</v>
      </c>
      <c r="K499" s="35" t="str">
        <f>VLOOKUP(I499,[2]stage_hints!$A:$C,3,FALSE)</f>
        <v>ユニット強化の属性ボーナス</v>
      </c>
      <c r="L499" s="36" t="str">
        <f>VLOOKUP(I499,[2]stage_hints!$A:$D,4,FALSE)</f>
        <v>同属性ユニットを強化素材にすると_x000D_経験値が多くもらえます</v>
      </c>
      <c r="M499" s="21" t="s">
        <v>23</v>
      </c>
      <c r="N499">
        <v>6</v>
      </c>
    </row>
    <row r="500" spans="1:14" x14ac:dyDescent="0.15">
      <c r="A500" s="26" t="s">
        <v>32</v>
      </c>
      <c r="B500" s="4">
        <v>20005</v>
      </c>
      <c r="C500" s="3" t="str">
        <f ca="1">VLOOKUP($B500,OFFSET([1]quests!$A$1,0,0,COUNTA([1]quests!$A:$A),MATCH(C$1,[1]quests!$1:$1,0)-MATCH($B$1,[1]quests!$1:$1,0)+1),MATCH(C$1,[1]quests!$1:$1,0)-MATCH($B$1,[1]quests!$1:$1,0)+1,FALSE)</f>
        <v>ザ・キャノン</v>
      </c>
      <c r="D500" s="3" t="str">
        <f ca="1">VLOOKUP($B500,OFFSET([1]quests!$A$1,0,0,COUNTA([1]quests!$A:$A),MATCH(D$1,[1]quests!$1:$1,0)-MATCH($B$1,[1]quests!$1:$1,0)+1),MATCH(D$1,[1]quests!$1:$1,0)-MATCH($B$1,[1]quests!$1:$1,0)+1,FALSE)</f>
        <v>ドロップイベント2-2</v>
      </c>
      <c r="E500" s="5">
        <v>2</v>
      </c>
      <c r="F500" s="3" t="str">
        <f ca="1">VLOOKUP($B500&amp;"_"&amp;$E500,OFFSET([1]stages!$A$1,0,0,COUNTA([1]stages!$A:$A),MATCH(F$1,[1]stages!$2:$2,0)-MATCH("temp_stage",[1]stages!$2:$2,0)+1),MATCH(F$1,[1]stages!$2:$2,0)-MATCH("temp_stage",[1]stages!$2:$2,0)+1,FALSE)</f>
        <v>【中級】ザ・キャノン(4タップ)</v>
      </c>
      <c r="G500" s="3" t="str">
        <f ca="1">VLOOKUP($B500&amp;"_"&amp;$E500,OFFSET([1]stages!$A$1,0,0,COUNTA([1]stages!$A:$A),MATCH(G$1,[1]stages!$2:$2,0)-MATCH("temp_stage",[1]stages!$2:$2,0)+1),MATCH(G$1,[1]stages!$2:$2,0)-MATCH("temp_stage",[1]stages!$2:$2,0)+1,FALSE)</f>
        <v>ドロップイベント2-2</v>
      </c>
      <c r="H500" s="18">
        <v>0</v>
      </c>
      <c r="I500">
        <v>7</v>
      </c>
      <c r="J500" s="5" t="s">
        <v>16</v>
      </c>
      <c r="K500" s="35" t="str">
        <f>VLOOKUP(I500,[2]stage_hints!$A:$C,3,FALSE)</f>
        <v>メタルダックで経験値を獲得</v>
      </c>
      <c r="L500" s="36" t="str">
        <f>VLOOKUP(I500,[2]stage_hints!$A:$D,4,FALSE)</f>
        <v>「メタルなアヒル」を強化素材にすると_x000D_大量の経験値がもらえます</v>
      </c>
      <c r="M500" s="21" t="s">
        <v>23</v>
      </c>
      <c r="N500">
        <v>7</v>
      </c>
    </row>
    <row r="501" spans="1:14" x14ac:dyDescent="0.15">
      <c r="A501" s="26" t="s">
        <v>32</v>
      </c>
      <c r="B501" s="4">
        <v>20005</v>
      </c>
      <c r="C501" s="3" t="str">
        <f ca="1">VLOOKUP($B501,OFFSET([1]quests!$A$1,0,0,COUNTA([1]quests!$A:$A),MATCH(C$1,[1]quests!$1:$1,0)-MATCH($B$1,[1]quests!$1:$1,0)+1),MATCH(C$1,[1]quests!$1:$1,0)-MATCH($B$1,[1]quests!$1:$1,0)+1,FALSE)</f>
        <v>ザ・キャノン</v>
      </c>
      <c r="D501" s="3" t="str">
        <f ca="1">VLOOKUP($B501,OFFSET([1]quests!$A$1,0,0,COUNTA([1]quests!$A:$A),MATCH(D$1,[1]quests!$1:$1,0)-MATCH($B$1,[1]quests!$1:$1,0)+1),MATCH(D$1,[1]quests!$1:$1,0)-MATCH($B$1,[1]quests!$1:$1,0)+1,FALSE)</f>
        <v>ドロップイベント2-2</v>
      </c>
      <c r="E501" s="5">
        <v>2</v>
      </c>
      <c r="F501" s="3" t="str">
        <f ca="1">VLOOKUP($B501&amp;"_"&amp;$E501,OFFSET([1]stages!$A$1,0,0,COUNTA([1]stages!$A:$A),MATCH(F$1,[1]stages!$2:$2,0)-MATCH("temp_stage",[1]stages!$2:$2,0)+1),MATCH(F$1,[1]stages!$2:$2,0)-MATCH("temp_stage",[1]stages!$2:$2,0)+1,FALSE)</f>
        <v>【中級】ザ・キャノン(4タップ)</v>
      </c>
      <c r="G501" s="3" t="str">
        <f ca="1">VLOOKUP($B501&amp;"_"&amp;$E501,OFFSET([1]stages!$A$1,0,0,COUNTA([1]stages!$A:$A),MATCH(G$1,[1]stages!$2:$2,0)-MATCH("temp_stage",[1]stages!$2:$2,0)+1),MATCH(G$1,[1]stages!$2:$2,0)-MATCH("temp_stage",[1]stages!$2:$2,0)+1,FALSE)</f>
        <v>ドロップイベント2-2</v>
      </c>
      <c r="H501" s="18">
        <v>0</v>
      </c>
      <c r="I501">
        <v>8</v>
      </c>
      <c r="J501" s="5" t="s">
        <v>16</v>
      </c>
      <c r="K501" s="35" t="str">
        <f>VLOOKUP(I501,[2]stage_hints!$A:$C,3,FALSE)</f>
        <v>ゲリラクエストは要チェック</v>
      </c>
      <c r="L501" s="36" t="str">
        <f>VLOOKUP(I501,[2]stage_hints!$A:$D,4,FALSE)</f>
        <v>時間限定の「アヒル捕獲作戦」では_x000D_経験値素材ユニットが多く手に入ります</v>
      </c>
      <c r="M501" s="21" t="s">
        <v>23</v>
      </c>
      <c r="N501">
        <v>8</v>
      </c>
    </row>
    <row r="502" spans="1:14" x14ac:dyDescent="0.15">
      <c r="A502" s="26" t="s">
        <v>32</v>
      </c>
      <c r="B502" s="4">
        <v>20005</v>
      </c>
      <c r="C502" s="3" t="str">
        <f ca="1">VLOOKUP($B502,OFFSET([1]quests!$A$1,0,0,COUNTA([1]quests!$A:$A),MATCH(C$1,[1]quests!$1:$1,0)-MATCH($B$1,[1]quests!$1:$1,0)+1),MATCH(C$1,[1]quests!$1:$1,0)-MATCH($B$1,[1]quests!$1:$1,0)+1,FALSE)</f>
        <v>ザ・キャノン</v>
      </c>
      <c r="D502" s="3" t="str">
        <f ca="1">VLOOKUP($B502,OFFSET([1]quests!$A$1,0,0,COUNTA([1]quests!$A:$A),MATCH(D$1,[1]quests!$1:$1,0)-MATCH($B$1,[1]quests!$1:$1,0)+1),MATCH(D$1,[1]quests!$1:$1,0)-MATCH($B$1,[1]quests!$1:$1,0)+1,FALSE)</f>
        <v>ドロップイベント2-2</v>
      </c>
      <c r="E502" s="5">
        <v>2</v>
      </c>
      <c r="F502" s="3" t="str">
        <f ca="1">VLOOKUP($B502&amp;"_"&amp;$E502,OFFSET([1]stages!$A$1,0,0,COUNTA([1]stages!$A:$A),MATCH(F$1,[1]stages!$2:$2,0)-MATCH("temp_stage",[1]stages!$2:$2,0)+1),MATCH(F$1,[1]stages!$2:$2,0)-MATCH("temp_stage",[1]stages!$2:$2,0)+1,FALSE)</f>
        <v>【中級】ザ・キャノン(4タップ)</v>
      </c>
      <c r="G502" s="3" t="str">
        <f ca="1">VLOOKUP($B502&amp;"_"&amp;$E502,OFFSET([1]stages!$A$1,0,0,COUNTA([1]stages!$A:$A),MATCH(G$1,[1]stages!$2:$2,0)-MATCH("temp_stage",[1]stages!$2:$2,0)+1),MATCH(G$1,[1]stages!$2:$2,0)-MATCH("temp_stage",[1]stages!$2:$2,0)+1,FALSE)</f>
        <v>ドロップイベント2-2</v>
      </c>
      <c r="H502" s="18">
        <v>0</v>
      </c>
      <c r="I502">
        <v>9</v>
      </c>
      <c r="J502" s="5" t="s">
        <v>16</v>
      </c>
      <c r="K502" s="35" t="str">
        <f>VLOOKUP(I502,[2]stage_hints!$A:$C,3,FALSE)</f>
        <v>ゴールドダックでビットを獲得</v>
      </c>
      <c r="L502" s="36" t="str">
        <f>VLOOKUP(I502,[2]stage_hints!$A:$D,4,FALSE)</f>
        <v>「ゴールドなアヒル」を売却すると_x000D_大量のビットがもらえます</v>
      </c>
      <c r="M502" s="21" t="s">
        <v>23</v>
      </c>
      <c r="N502">
        <v>9</v>
      </c>
    </row>
    <row r="503" spans="1:14" x14ac:dyDescent="0.15">
      <c r="A503" s="26" t="s">
        <v>32</v>
      </c>
      <c r="B503" s="4">
        <v>20005</v>
      </c>
      <c r="C503" s="3" t="str">
        <f ca="1">VLOOKUP($B503,OFFSET([1]quests!$A$1,0,0,COUNTA([1]quests!$A:$A),MATCH(C$1,[1]quests!$1:$1,0)-MATCH($B$1,[1]quests!$1:$1,0)+1),MATCH(C$1,[1]quests!$1:$1,0)-MATCH($B$1,[1]quests!$1:$1,0)+1,FALSE)</f>
        <v>ザ・キャノン</v>
      </c>
      <c r="D503" s="3" t="str">
        <f ca="1">VLOOKUP($B503,OFFSET([1]quests!$A$1,0,0,COUNTA([1]quests!$A:$A),MATCH(D$1,[1]quests!$1:$1,0)-MATCH($B$1,[1]quests!$1:$1,0)+1),MATCH(D$1,[1]quests!$1:$1,0)-MATCH($B$1,[1]quests!$1:$1,0)+1,FALSE)</f>
        <v>ドロップイベント2-2</v>
      </c>
      <c r="E503" s="5">
        <v>2</v>
      </c>
      <c r="F503" s="3" t="str">
        <f ca="1">VLOOKUP($B503&amp;"_"&amp;$E503,OFFSET([1]stages!$A$1,0,0,COUNTA([1]stages!$A:$A),MATCH(F$1,[1]stages!$2:$2,0)-MATCH("temp_stage",[1]stages!$2:$2,0)+1),MATCH(F$1,[1]stages!$2:$2,0)-MATCH("temp_stage",[1]stages!$2:$2,0)+1,FALSE)</f>
        <v>【中級】ザ・キャノン(4タップ)</v>
      </c>
      <c r="G503" s="3" t="str">
        <f ca="1">VLOOKUP($B503&amp;"_"&amp;$E503,OFFSET([1]stages!$A$1,0,0,COUNTA([1]stages!$A:$A),MATCH(G$1,[1]stages!$2:$2,0)-MATCH("temp_stage",[1]stages!$2:$2,0)+1),MATCH(G$1,[1]stages!$2:$2,0)-MATCH("temp_stage",[1]stages!$2:$2,0)+1,FALSE)</f>
        <v>ドロップイベント2-2</v>
      </c>
      <c r="H503" s="18">
        <v>0</v>
      </c>
      <c r="I503">
        <v>10</v>
      </c>
      <c r="J503" s="5" t="s">
        <v>16</v>
      </c>
      <c r="K503" s="35" t="str">
        <f>VLOOKUP(I503,[2]stage_hints!$A:$C,3,FALSE)</f>
        <v>土日に大量のビットを獲得</v>
      </c>
      <c r="L503" s="36" t="str">
        <f>VLOOKUP(I503,[2]stage_hints!$A:$D,4,FALSE)</f>
        <v>土日限定の「ゴールドカジノ」では_x000D_売却素材ユニットが多く手に入ります</v>
      </c>
      <c r="M503" s="21" t="s">
        <v>23</v>
      </c>
      <c r="N503">
        <v>10</v>
      </c>
    </row>
    <row r="504" spans="1:14" x14ac:dyDescent="0.15">
      <c r="A504" s="26" t="s">
        <v>32</v>
      </c>
      <c r="B504" s="4">
        <v>20005</v>
      </c>
      <c r="C504" s="3" t="str">
        <f ca="1">VLOOKUP($B504,OFFSET([1]quests!$A$1,0,0,COUNTA([1]quests!$A:$A),MATCH(C$1,[1]quests!$1:$1,0)-MATCH($B$1,[1]quests!$1:$1,0)+1),MATCH(C$1,[1]quests!$1:$1,0)-MATCH($B$1,[1]quests!$1:$1,0)+1,FALSE)</f>
        <v>ザ・キャノン</v>
      </c>
      <c r="D504" s="3" t="str">
        <f ca="1">VLOOKUP($B504,OFFSET([1]quests!$A$1,0,0,COUNTA([1]quests!$A:$A),MATCH(D$1,[1]quests!$1:$1,0)-MATCH($B$1,[1]quests!$1:$1,0)+1),MATCH(D$1,[1]quests!$1:$1,0)-MATCH($B$1,[1]quests!$1:$1,0)+1,FALSE)</f>
        <v>ドロップイベント2-2</v>
      </c>
      <c r="E504" s="5">
        <v>2</v>
      </c>
      <c r="F504" s="3" t="str">
        <f ca="1">VLOOKUP($B504&amp;"_"&amp;$E504,OFFSET([1]stages!$A$1,0,0,COUNTA([1]stages!$A:$A),MATCH(F$1,[1]stages!$2:$2,0)-MATCH("temp_stage",[1]stages!$2:$2,0)+1),MATCH(F$1,[1]stages!$2:$2,0)-MATCH("temp_stage",[1]stages!$2:$2,0)+1,FALSE)</f>
        <v>【中級】ザ・キャノン(4タップ)</v>
      </c>
      <c r="G504" s="3" t="str">
        <f ca="1">VLOOKUP($B504&amp;"_"&amp;$E504,OFFSET([1]stages!$A$1,0,0,COUNTA([1]stages!$A:$A),MATCH(G$1,[1]stages!$2:$2,0)-MATCH("temp_stage",[1]stages!$2:$2,0)+1),MATCH(G$1,[1]stages!$2:$2,0)-MATCH("temp_stage",[1]stages!$2:$2,0)+1,FALSE)</f>
        <v>ドロップイベント2-2</v>
      </c>
      <c r="H504" s="18">
        <v>0</v>
      </c>
      <c r="I504">
        <v>11</v>
      </c>
      <c r="J504" s="5" t="s">
        <v>16</v>
      </c>
      <c r="K504" s="35" t="str">
        <f>VLOOKUP(I504,[2]stage_hints!$A:$C,3,FALSE)</f>
        <v>ランク解放クエスト</v>
      </c>
      <c r="L504" s="36" t="str">
        <f>VLOOKUP(I504,[2]stage_hints!$A:$D,4,FALSE)</f>
        <v>一定ランクに到達すると_x000D_報酬付きのランク開放クエストが現れます</v>
      </c>
      <c r="M504" s="21" t="s">
        <v>23</v>
      </c>
      <c r="N504">
        <v>11</v>
      </c>
    </row>
    <row r="505" spans="1:14" x14ac:dyDescent="0.15">
      <c r="A505" s="26" t="s">
        <v>32</v>
      </c>
      <c r="B505" s="4">
        <v>20005</v>
      </c>
      <c r="C505" s="3" t="str">
        <f ca="1">VLOOKUP($B505,OFFSET([1]quests!$A$1,0,0,COUNTA([1]quests!$A:$A),MATCH(C$1,[1]quests!$1:$1,0)-MATCH($B$1,[1]quests!$1:$1,0)+1),MATCH(C$1,[1]quests!$1:$1,0)-MATCH($B$1,[1]quests!$1:$1,0)+1,FALSE)</f>
        <v>ザ・キャノン</v>
      </c>
      <c r="D505" s="3" t="str">
        <f ca="1">VLOOKUP($B505,OFFSET([1]quests!$A$1,0,0,COUNTA([1]quests!$A:$A),MATCH(D$1,[1]quests!$1:$1,0)-MATCH($B$1,[1]quests!$1:$1,0)+1),MATCH(D$1,[1]quests!$1:$1,0)-MATCH($B$1,[1]quests!$1:$1,0)+1,FALSE)</f>
        <v>ドロップイベント2-2</v>
      </c>
      <c r="E505" s="5">
        <v>2</v>
      </c>
      <c r="F505" s="3" t="str">
        <f ca="1">VLOOKUP($B505&amp;"_"&amp;$E505,OFFSET([1]stages!$A$1,0,0,COUNTA([1]stages!$A:$A),MATCH(F$1,[1]stages!$2:$2,0)-MATCH("temp_stage",[1]stages!$2:$2,0)+1),MATCH(F$1,[1]stages!$2:$2,0)-MATCH("temp_stage",[1]stages!$2:$2,0)+1,FALSE)</f>
        <v>【中級】ザ・キャノン(4タップ)</v>
      </c>
      <c r="G505" s="3" t="str">
        <f ca="1">VLOOKUP($B505&amp;"_"&amp;$E505,OFFSET([1]stages!$A$1,0,0,COUNTA([1]stages!$A:$A),MATCH(G$1,[1]stages!$2:$2,0)-MATCH("temp_stage",[1]stages!$2:$2,0)+1),MATCH(G$1,[1]stages!$2:$2,0)-MATCH("temp_stage",[1]stages!$2:$2,0)+1,FALSE)</f>
        <v>ドロップイベント2-2</v>
      </c>
      <c r="H505" s="18">
        <v>0</v>
      </c>
      <c r="I505">
        <v>12</v>
      </c>
      <c r="J505" s="5" t="s">
        <v>16</v>
      </c>
      <c r="K505" s="35" t="str">
        <f>VLOOKUP(I505,[2]stage_hints!$A:$C,3,FALSE)</f>
        <v>ユニットのお気に入り登録</v>
      </c>
      <c r="L505" s="36" t="str">
        <f>VLOOKUP(I505,[2]stage_hints!$A:$D,4,FALSE)</f>
        <v>大事なユニットを誤って消さないように_x000D_フォルダから「お気に入り登録」しましょう</v>
      </c>
      <c r="M505" s="21" t="s">
        <v>23</v>
      </c>
      <c r="N505">
        <v>12</v>
      </c>
    </row>
    <row r="506" spans="1:14" x14ac:dyDescent="0.15">
      <c r="A506" s="26" t="s">
        <v>32</v>
      </c>
      <c r="B506" s="4">
        <v>20005</v>
      </c>
      <c r="C506" s="3" t="str">
        <f ca="1">VLOOKUP($B506,OFFSET([1]quests!$A$1,0,0,COUNTA([1]quests!$A:$A),MATCH(C$1,[1]quests!$1:$1,0)-MATCH($B$1,[1]quests!$1:$1,0)+1),MATCH(C$1,[1]quests!$1:$1,0)-MATCH($B$1,[1]quests!$1:$1,0)+1,FALSE)</f>
        <v>ザ・キャノン</v>
      </c>
      <c r="D506" s="3" t="str">
        <f ca="1">VLOOKUP($B506,OFFSET([1]quests!$A$1,0,0,COUNTA([1]quests!$A:$A),MATCH(D$1,[1]quests!$1:$1,0)-MATCH($B$1,[1]quests!$1:$1,0)+1),MATCH(D$1,[1]quests!$1:$1,0)-MATCH($B$1,[1]quests!$1:$1,0)+1,FALSE)</f>
        <v>ドロップイベント2-2</v>
      </c>
      <c r="E506" s="5">
        <v>2</v>
      </c>
      <c r="F506" s="3" t="str">
        <f ca="1">VLOOKUP($B506&amp;"_"&amp;$E506,OFFSET([1]stages!$A$1,0,0,COUNTA([1]stages!$A:$A),MATCH(F$1,[1]stages!$2:$2,0)-MATCH("temp_stage",[1]stages!$2:$2,0)+1),MATCH(F$1,[1]stages!$2:$2,0)-MATCH("temp_stage",[1]stages!$2:$2,0)+1,FALSE)</f>
        <v>【中級】ザ・キャノン(4タップ)</v>
      </c>
      <c r="G506" s="3" t="str">
        <f ca="1">VLOOKUP($B506&amp;"_"&amp;$E506,OFFSET([1]stages!$A$1,0,0,COUNTA([1]stages!$A:$A),MATCH(G$1,[1]stages!$2:$2,0)-MATCH("temp_stage",[1]stages!$2:$2,0)+1),MATCH(G$1,[1]stages!$2:$2,0)-MATCH("temp_stage",[1]stages!$2:$2,0)+1,FALSE)</f>
        <v>ドロップイベント2-2</v>
      </c>
      <c r="H506" s="18">
        <v>0</v>
      </c>
      <c r="I506">
        <v>13</v>
      </c>
      <c r="J506" s="5" t="s">
        <v>16</v>
      </c>
      <c r="K506" s="35" t="str">
        <f>VLOOKUP(I506,[2]stage_hints!$A:$C,3,FALSE)</f>
        <v>ユニットの覚醒</v>
      </c>
      <c r="L506" s="36" t="str">
        <f>VLOOKUP(I506,[2]stage_hints!$A:$D,4,FALSE)</f>
        <v>ユニットを覚醒させると_x000D_比べものにならない強さが手に入ります</v>
      </c>
      <c r="M506" s="21" t="s">
        <v>23</v>
      </c>
      <c r="N506">
        <v>13</v>
      </c>
    </row>
    <row r="507" spans="1:14" x14ac:dyDescent="0.15">
      <c r="A507" s="26" t="s">
        <v>32</v>
      </c>
      <c r="B507" s="4">
        <v>20005</v>
      </c>
      <c r="C507" s="3" t="str">
        <f ca="1">VLOOKUP($B507,OFFSET([1]quests!$A$1,0,0,COUNTA([1]quests!$A:$A),MATCH(C$1,[1]quests!$1:$1,0)-MATCH($B$1,[1]quests!$1:$1,0)+1),MATCH(C$1,[1]quests!$1:$1,0)-MATCH($B$1,[1]quests!$1:$1,0)+1,FALSE)</f>
        <v>ザ・キャノン</v>
      </c>
      <c r="D507" s="3" t="str">
        <f ca="1">VLOOKUP($B507,OFFSET([1]quests!$A$1,0,0,COUNTA([1]quests!$A:$A),MATCH(D$1,[1]quests!$1:$1,0)-MATCH($B$1,[1]quests!$1:$1,0)+1),MATCH(D$1,[1]quests!$1:$1,0)-MATCH($B$1,[1]quests!$1:$1,0)+1,FALSE)</f>
        <v>ドロップイベント2-2</v>
      </c>
      <c r="E507" s="5">
        <v>2</v>
      </c>
      <c r="F507" s="3" t="str">
        <f ca="1">VLOOKUP($B507&amp;"_"&amp;$E507,OFFSET([1]stages!$A$1,0,0,COUNTA([1]stages!$A:$A),MATCH(F$1,[1]stages!$2:$2,0)-MATCH("temp_stage",[1]stages!$2:$2,0)+1),MATCH(F$1,[1]stages!$2:$2,0)-MATCH("temp_stage",[1]stages!$2:$2,0)+1,FALSE)</f>
        <v>【中級】ザ・キャノン(4タップ)</v>
      </c>
      <c r="G507" s="3" t="str">
        <f ca="1">VLOOKUP($B507&amp;"_"&amp;$E507,OFFSET([1]stages!$A$1,0,0,COUNTA([1]stages!$A:$A),MATCH(G$1,[1]stages!$2:$2,0)-MATCH("temp_stage",[1]stages!$2:$2,0)+1),MATCH(G$1,[1]stages!$2:$2,0)-MATCH("temp_stage",[1]stages!$2:$2,0)+1,FALSE)</f>
        <v>ドロップイベント2-2</v>
      </c>
      <c r="H507" s="18">
        <v>0</v>
      </c>
      <c r="I507">
        <v>14</v>
      </c>
      <c r="J507" s="5" t="s">
        <v>16</v>
      </c>
      <c r="K507" s="35" t="str">
        <f>VLOOKUP(I507,[2]stage_hints!$A:$C,3,FALSE)</f>
        <v>覚醒するにはレベルを最大に</v>
      </c>
      <c r="L507" s="36" t="str">
        <f>VLOOKUP(I507,[2]stage_hints!$A:$D,4,FALSE)</f>
        <v>覚醒するにはユニットのレベルを_x000D_最大まで上げる必要があります</v>
      </c>
      <c r="M507" s="21" t="s">
        <v>23</v>
      </c>
      <c r="N507">
        <v>14</v>
      </c>
    </row>
    <row r="508" spans="1:14" x14ac:dyDescent="0.15">
      <c r="A508" s="26" t="s">
        <v>32</v>
      </c>
      <c r="B508" s="4">
        <v>20005</v>
      </c>
      <c r="C508" s="3" t="str">
        <f ca="1">VLOOKUP($B508,OFFSET([1]quests!$A$1,0,0,COUNTA([1]quests!$A:$A),MATCH(C$1,[1]quests!$1:$1,0)-MATCH($B$1,[1]quests!$1:$1,0)+1),MATCH(C$1,[1]quests!$1:$1,0)-MATCH($B$1,[1]quests!$1:$1,0)+1,FALSE)</f>
        <v>ザ・キャノン</v>
      </c>
      <c r="D508" s="3" t="str">
        <f ca="1">VLOOKUP($B508,OFFSET([1]quests!$A$1,0,0,COUNTA([1]quests!$A:$A),MATCH(D$1,[1]quests!$1:$1,0)-MATCH($B$1,[1]quests!$1:$1,0)+1),MATCH(D$1,[1]quests!$1:$1,0)-MATCH($B$1,[1]quests!$1:$1,0)+1,FALSE)</f>
        <v>ドロップイベント2-2</v>
      </c>
      <c r="E508" s="5">
        <v>2</v>
      </c>
      <c r="F508" s="3" t="str">
        <f ca="1">VLOOKUP($B508&amp;"_"&amp;$E508,OFFSET([1]stages!$A$1,0,0,COUNTA([1]stages!$A:$A),MATCH(F$1,[1]stages!$2:$2,0)-MATCH("temp_stage",[1]stages!$2:$2,0)+1),MATCH(F$1,[1]stages!$2:$2,0)-MATCH("temp_stage",[1]stages!$2:$2,0)+1,FALSE)</f>
        <v>【中級】ザ・キャノン(4タップ)</v>
      </c>
      <c r="G508" s="3" t="str">
        <f ca="1">VLOOKUP($B508&amp;"_"&amp;$E508,OFFSET([1]stages!$A$1,0,0,COUNTA([1]stages!$A:$A),MATCH(G$1,[1]stages!$2:$2,0)-MATCH("temp_stage",[1]stages!$2:$2,0)+1),MATCH(G$1,[1]stages!$2:$2,0)-MATCH("temp_stage",[1]stages!$2:$2,0)+1,FALSE)</f>
        <v>ドロップイベント2-2</v>
      </c>
      <c r="H508" s="18">
        <v>0</v>
      </c>
      <c r="I508">
        <v>15</v>
      </c>
      <c r="J508" s="5" t="s">
        <v>16</v>
      </c>
      <c r="K508" s="35" t="str">
        <f>VLOOKUP(I508,[2]stage_hints!$A:$C,3,FALSE)</f>
        <v>覚醒素材を獲得</v>
      </c>
      <c r="L508" s="36" t="str">
        <f>VLOOKUP(I508,[2]stage_hints!$A:$D,4,FALSE)</f>
        <v>「曜日クエスト」では_x000D_ユニットの覚醒に必要な素材が手に入ります</v>
      </c>
      <c r="M508" s="21" t="s">
        <v>23</v>
      </c>
      <c r="N508">
        <v>15</v>
      </c>
    </row>
    <row r="509" spans="1:14" x14ac:dyDescent="0.15">
      <c r="A509" s="26" t="s">
        <v>32</v>
      </c>
      <c r="B509" s="4">
        <v>20005</v>
      </c>
      <c r="C509" s="3" t="str">
        <f ca="1">VLOOKUP($B509,OFFSET([1]quests!$A$1,0,0,COUNTA([1]quests!$A:$A),MATCH(C$1,[1]quests!$1:$1,0)-MATCH($B$1,[1]quests!$1:$1,0)+1),MATCH(C$1,[1]quests!$1:$1,0)-MATCH($B$1,[1]quests!$1:$1,0)+1,FALSE)</f>
        <v>ザ・キャノン</v>
      </c>
      <c r="D509" s="3" t="str">
        <f ca="1">VLOOKUP($B509,OFFSET([1]quests!$A$1,0,0,COUNTA([1]quests!$A:$A),MATCH(D$1,[1]quests!$1:$1,0)-MATCH($B$1,[1]quests!$1:$1,0)+1),MATCH(D$1,[1]quests!$1:$1,0)-MATCH($B$1,[1]quests!$1:$1,0)+1,FALSE)</f>
        <v>ドロップイベント2-2</v>
      </c>
      <c r="E509" s="5">
        <v>2</v>
      </c>
      <c r="F509" s="3" t="str">
        <f ca="1">VLOOKUP($B509&amp;"_"&amp;$E509,OFFSET([1]stages!$A$1,0,0,COUNTA([1]stages!$A:$A),MATCH(F$1,[1]stages!$2:$2,0)-MATCH("temp_stage",[1]stages!$2:$2,0)+1),MATCH(F$1,[1]stages!$2:$2,0)-MATCH("temp_stage",[1]stages!$2:$2,0)+1,FALSE)</f>
        <v>【中級】ザ・キャノン(4タップ)</v>
      </c>
      <c r="G509" s="3" t="str">
        <f ca="1">VLOOKUP($B509&amp;"_"&amp;$E509,OFFSET([1]stages!$A$1,0,0,COUNTA([1]stages!$A:$A),MATCH(G$1,[1]stages!$2:$2,0)-MATCH("temp_stage",[1]stages!$2:$2,0)+1),MATCH(G$1,[1]stages!$2:$2,0)-MATCH("temp_stage",[1]stages!$2:$2,0)+1,FALSE)</f>
        <v>ドロップイベント2-2</v>
      </c>
      <c r="H509" s="18">
        <v>0</v>
      </c>
      <c r="I509">
        <v>16</v>
      </c>
      <c r="J509" s="5" t="s">
        <v>16</v>
      </c>
      <c r="K509" s="35" t="str">
        <f>VLOOKUP(I509,[2]stage_hints!$A:$C,3,FALSE)</f>
        <v>マルチプレイのメリット（その1）</v>
      </c>
      <c r="L509" s="36" t="str">
        <f>VLOOKUP(I509,[2]stage_hints!$A:$D,4,FALSE)</f>
        <v>他のプレイヤーとマルチプレイで遊ぶと_x000D_ポリゴンがもらえます（100人まで）</v>
      </c>
      <c r="M509" s="21" t="s">
        <v>23</v>
      </c>
      <c r="N509">
        <v>16</v>
      </c>
    </row>
    <row r="510" spans="1:14" x14ac:dyDescent="0.15">
      <c r="A510" s="26" t="s">
        <v>32</v>
      </c>
      <c r="B510" s="4">
        <v>20005</v>
      </c>
      <c r="C510" s="3" t="str">
        <f ca="1">VLOOKUP($B510,OFFSET([1]quests!$A$1,0,0,COUNTA([1]quests!$A:$A),MATCH(C$1,[1]quests!$1:$1,0)-MATCH($B$1,[1]quests!$1:$1,0)+1),MATCH(C$1,[1]quests!$1:$1,0)-MATCH($B$1,[1]quests!$1:$1,0)+1,FALSE)</f>
        <v>ザ・キャノン</v>
      </c>
      <c r="D510" s="3" t="str">
        <f ca="1">VLOOKUP($B510,OFFSET([1]quests!$A$1,0,0,COUNTA([1]quests!$A:$A),MATCH(D$1,[1]quests!$1:$1,0)-MATCH($B$1,[1]quests!$1:$1,0)+1),MATCH(D$1,[1]quests!$1:$1,0)-MATCH($B$1,[1]quests!$1:$1,0)+1,FALSE)</f>
        <v>ドロップイベント2-2</v>
      </c>
      <c r="E510" s="5">
        <v>2</v>
      </c>
      <c r="F510" s="3" t="str">
        <f ca="1">VLOOKUP($B510&amp;"_"&amp;$E510,OFFSET([1]stages!$A$1,0,0,COUNTA([1]stages!$A:$A),MATCH(F$1,[1]stages!$2:$2,0)-MATCH("temp_stage",[1]stages!$2:$2,0)+1),MATCH(F$1,[1]stages!$2:$2,0)-MATCH("temp_stage",[1]stages!$2:$2,0)+1,FALSE)</f>
        <v>【中級】ザ・キャノン(4タップ)</v>
      </c>
      <c r="G510" s="3" t="str">
        <f ca="1">VLOOKUP($B510&amp;"_"&amp;$E510,OFFSET([1]stages!$A$1,0,0,COUNTA([1]stages!$A:$A),MATCH(G$1,[1]stages!$2:$2,0)-MATCH("temp_stage",[1]stages!$2:$2,0)+1),MATCH(G$1,[1]stages!$2:$2,0)-MATCH("temp_stage",[1]stages!$2:$2,0)+1,FALSE)</f>
        <v>ドロップイベント2-2</v>
      </c>
      <c r="H510" s="18">
        <v>0</v>
      </c>
      <c r="I510">
        <v>17</v>
      </c>
      <c r="J510" s="5" t="s">
        <v>16</v>
      </c>
      <c r="K510" s="35" t="str">
        <f>VLOOKUP(I510,[2]stage_hints!$A:$C,3,FALSE)</f>
        <v>リンクガチャ</v>
      </c>
      <c r="L510" s="36" t="str">
        <f>VLOOKUP(I510,[2]stage_hints!$A:$D,4,FALSE)</f>
        <v>無料のリンクガチャを回して_x000D_経験値素材や売却素材を獲得しましょう</v>
      </c>
      <c r="M510" s="21" t="s">
        <v>23</v>
      </c>
      <c r="N510">
        <v>17</v>
      </c>
    </row>
    <row r="511" spans="1:14" x14ac:dyDescent="0.15">
      <c r="A511" s="26" t="s">
        <v>32</v>
      </c>
      <c r="B511" s="4">
        <v>20005</v>
      </c>
      <c r="C511" s="3" t="str">
        <f ca="1">VLOOKUP($B511,OFFSET([1]quests!$A$1,0,0,COUNTA([1]quests!$A:$A),MATCH(C$1,[1]quests!$1:$1,0)-MATCH($B$1,[1]quests!$1:$1,0)+1),MATCH(C$1,[1]quests!$1:$1,0)-MATCH($B$1,[1]quests!$1:$1,0)+1,FALSE)</f>
        <v>ザ・キャノン</v>
      </c>
      <c r="D511" s="3" t="str">
        <f ca="1">VLOOKUP($B511,OFFSET([1]quests!$A$1,0,0,COUNTA([1]quests!$A:$A),MATCH(D$1,[1]quests!$1:$1,0)-MATCH($B$1,[1]quests!$1:$1,0)+1),MATCH(D$1,[1]quests!$1:$1,0)-MATCH($B$1,[1]quests!$1:$1,0)+1,FALSE)</f>
        <v>ドロップイベント2-2</v>
      </c>
      <c r="E511" s="5">
        <v>2</v>
      </c>
      <c r="F511" s="3" t="str">
        <f ca="1">VLOOKUP($B511&amp;"_"&amp;$E511,OFFSET([1]stages!$A$1,0,0,COUNTA([1]stages!$A:$A),MATCH(F$1,[1]stages!$2:$2,0)-MATCH("temp_stage",[1]stages!$2:$2,0)+1),MATCH(F$1,[1]stages!$2:$2,0)-MATCH("temp_stage",[1]stages!$2:$2,0)+1,FALSE)</f>
        <v>【中級】ザ・キャノン(4タップ)</v>
      </c>
      <c r="G511" s="3" t="str">
        <f ca="1">VLOOKUP($B511&amp;"_"&amp;$E511,OFFSET([1]stages!$A$1,0,0,COUNTA([1]stages!$A:$A),MATCH(G$1,[1]stages!$2:$2,0)-MATCH("temp_stage",[1]stages!$2:$2,0)+1),MATCH(G$1,[1]stages!$2:$2,0)-MATCH("temp_stage",[1]stages!$2:$2,0)+1,FALSE)</f>
        <v>ドロップイベント2-2</v>
      </c>
      <c r="H511" s="18">
        <v>0</v>
      </c>
      <c r="I511">
        <v>18</v>
      </c>
      <c r="J511" s="5" t="s">
        <v>16</v>
      </c>
      <c r="K511" s="35" t="str">
        <f>VLOOKUP(I511,[2]stage_hints!$A:$C,3,FALSE)</f>
        <v>マルチプレイのメリット（その2）</v>
      </c>
      <c r="L511" s="36" t="str">
        <f>VLOOKUP(I511,[2]stage_hints!$A:$D,4,FALSE)</f>
        <v>マルチプレイならリンクが2倍もらえます_x000D_リンクガチャをたくさん回しましょう</v>
      </c>
      <c r="M511" s="21" t="s">
        <v>23</v>
      </c>
      <c r="N511">
        <v>18</v>
      </c>
    </row>
    <row r="512" spans="1:14" x14ac:dyDescent="0.15">
      <c r="A512" s="26" t="s">
        <v>32</v>
      </c>
      <c r="B512" s="4">
        <v>20005</v>
      </c>
      <c r="C512" s="3" t="str">
        <f ca="1">VLOOKUP($B512,OFFSET([1]quests!$A$1,0,0,COUNTA([1]quests!$A:$A),MATCH(C$1,[1]quests!$1:$1,0)-MATCH($B$1,[1]quests!$1:$1,0)+1),MATCH(C$1,[1]quests!$1:$1,0)-MATCH($B$1,[1]quests!$1:$1,0)+1,FALSE)</f>
        <v>ザ・キャノン</v>
      </c>
      <c r="D512" s="3" t="str">
        <f ca="1">VLOOKUP($B512,OFFSET([1]quests!$A$1,0,0,COUNTA([1]quests!$A:$A),MATCH(D$1,[1]quests!$1:$1,0)-MATCH($B$1,[1]quests!$1:$1,0)+1),MATCH(D$1,[1]quests!$1:$1,0)-MATCH($B$1,[1]quests!$1:$1,0)+1,FALSE)</f>
        <v>ドロップイベント2-2</v>
      </c>
      <c r="E512" s="5">
        <v>2</v>
      </c>
      <c r="F512" s="3" t="str">
        <f ca="1">VLOOKUP($B512&amp;"_"&amp;$E512,OFFSET([1]stages!$A$1,0,0,COUNTA([1]stages!$A:$A),MATCH(F$1,[1]stages!$2:$2,0)-MATCH("temp_stage",[1]stages!$2:$2,0)+1),MATCH(F$1,[1]stages!$2:$2,0)-MATCH("temp_stage",[1]stages!$2:$2,0)+1,FALSE)</f>
        <v>【中級】ザ・キャノン(4タップ)</v>
      </c>
      <c r="G512" s="3" t="str">
        <f ca="1">VLOOKUP($B512&amp;"_"&amp;$E512,OFFSET([1]stages!$A$1,0,0,COUNTA([1]stages!$A:$A),MATCH(G$1,[1]stages!$2:$2,0)-MATCH("temp_stage",[1]stages!$2:$2,0)+1),MATCH(G$1,[1]stages!$2:$2,0)-MATCH("temp_stage",[1]stages!$2:$2,0)+1,FALSE)</f>
        <v>ドロップイベント2-2</v>
      </c>
      <c r="H512" s="18">
        <v>0</v>
      </c>
      <c r="I512">
        <v>19</v>
      </c>
      <c r="J512" s="5" t="s">
        <v>16</v>
      </c>
      <c r="K512" s="35" t="str">
        <f>VLOOKUP(I512,[2]stage_hints!$A:$C,3,FALSE)</f>
        <v>ソロ専用チャレンジタワー</v>
      </c>
      <c r="L512" s="36" t="str">
        <f>VLOOKUP(I512,[2]stage_hints!$A:$D,4,FALSE)</f>
        <v>ソロ専用の「チャレンジタワー」では_x000D_各フロアごとにクリア報酬がもらえます</v>
      </c>
      <c r="M512" s="21" t="s">
        <v>23</v>
      </c>
      <c r="N512">
        <v>19</v>
      </c>
    </row>
    <row r="513" spans="1:14" x14ac:dyDescent="0.15">
      <c r="A513" s="26" t="s">
        <v>32</v>
      </c>
      <c r="B513" s="4">
        <v>20005</v>
      </c>
      <c r="C513" s="3" t="str">
        <f ca="1">VLOOKUP($B513,OFFSET([1]quests!$A$1,0,0,COUNTA([1]quests!$A:$A),MATCH(C$1,[1]quests!$1:$1,0)-MATCH($B$1,[1]quests!$1:$1,0)+1),MATCH(C$1,[1]quests!$1:$1,0)-MATCH($B$1,[1]quests!$1:$1,0)+1,FALSE)</f>
        <v>ザ・キャノン</v>
      </c>
      <c r="D513" s="3" t="str">
        <f ca="1">VLOOKUP($B513,OFFSET([1]quests!$A$1,0,0,COUNTA([1]quests!$A:$A),MATCH(D$1,[1]quests!$1:$1,0)-MATCH($B$1,[1]quests!$1:$1,0)+1),MATCH(D$1,[1]quests!$1:$1,0)-MATCH($B$1,[1]quests!$1:$1,0)+1,FALSE)</f>
        <v>ドロップイベント2-2</v>
      </c>
      <c r="E513" s="5">
        <v>2</v>
      </c>
      <c r="F513" s="3" t="str">
        <f ca="1">VLOOKUP($B513&amp;"_"&amp;$E513,OFFSET([1]stages!$A$1,0,0,COUNTA([1]stages!$A:$A),MATCH(F$1,[1]stages!$2:$2,0)-MATCH("temp_stage",[1]stages!$2:$2,0)+1),MATCH(F$1,[1]stages!$2:$2,0)-MATCH("temp_stage",[1]stages!$2:$2,0)+1,FALSE)</f>
        <v>【中級】ザ・キャノン(4タップ)</v>
      </c>
      <c r="G513" s="3" t="str">
        <f ca="1">VLOOKUP($B513&amp;"_"&amp;$E513,OFFSET([1]stages!$A$1,0,0,COUNTA([1]stages!$A:$A),MATCH(G$1,[1]stages!$2:$2,0)-MATCH("temp_stage",[1]stages!$2:$2,0)+1),MATCH(G$1,[1]stages!$2:$2,0)-MATCH("temp_stage",[1]stages!$2:$2,0)+1,FALSE)</f>
        <v>ドロップイベント2-2</v>
      </c>
      <c r="H513" s="18">
        <v>0</v>
      </c>
      <c r="I513">
        <v>20</v>
      </c>
      <c r="J513" s="5" t="s">
        <v>16</v>
      </c>
      <c r="K513" s="35" t="str">
        <f>VLOOKUP(I513,[2]stage_hints!$A:$C,3,FALSE)</f>
        <v>マルチプレイのメリット（その3）</v>
      </c>
      <c r="L513" s="36" t="str">
        <f>VLOOKUP(I513,[2]stage_hints!$A:$D,4,FALSE)</f>
        <v>マルチプレイへの参加はエナジー消費ゼロ_x000D_いつでも好きなだけ遊ぶことができます</v>
      </c>
      <c r="M513" s="21" t="s">
        <v>23</v>
      </c>
      <c r="N513">
        <v>20</v>
      </c>
    </row>
    <row r="514" spans="1:14" x14ac:dyDescent="0.15">
      <c r="A514" s="26" t="s">
        <v>32</v>
      </c>
      <c r="B514" s="4">
        <v>20005</v>
      </c>
      <c r="C514" s="3" t="str">
        <f ca="1">VLOOKUP($B514,OFFSET([1]quests!$A$1,0,0,COUNTA([1]quests!$A:$A),MATCH(C$1,[1]quests!$1:$1,0)-MATCH($B$1,[1]quests!$1:$1,0)+1),MATCH(C$1,[1]quests!$1:$1,0)-MATCH($B$1,[1]quests!$1:$1,0)+1,FALSE)</f>
        <v>ザ・キャノン</v>
      </c>
      <c r="D514" s="3" t="str">
        <f ca="1">VLOOKUP($B514,OFFSET([1]quests!$A$1,0,0,COUNTA([1]quests!$A:$A),MATCH(D$1,[1]quests!$1:$1,0)-MATCH($B$1,[1]quests!$1:$1,0)+1),MATCH(D$1,[1]quests!$1:$1,0)-MATCH($B$1,[1]quests!$1:$1,0)+1,FALSE)</f>
        <v>ドロップイベント2-2</v>
      </c>
      <c r="E514" s="5">
        <v>2</v>
      </c>
      <c r="F514" s="3" t="str">
        <f ca="1">VLOOKUP($B514&amp;"_"&amp;$E514,OFFSET([1]stages!$A$1,0,0,COUNTA([1]stages!$A:$A),MATCH(F$1,[1]stages!$2:$2,0)-MATCH("temp_stage",[1]stages!$2:$2,0)+1),MATCH(F$1,[1]stages!$2:$2,0)-MATCH("temp_stage",[1]stages!$2:$2,0)+1,FALSE)</f>
        <v>【中級】ザ・キャノン(4タップ)</v>
      </c>
      <c r="G514" s="3" t="str">
        <f ca="1">VLOOKUP($B514&amp;"_"&amp;$E514,OFFSET([1]stages!$A$1,0,0,COUNTA([1]stages!$A:$A),MATCH(G$1,[1]stages!$2:$2,0)-MATCH("temp_stage",[1]stages!$2:$2,0)+1),MATCH(G$1,[1]stages!$2:$2,0)-MATCH("temp_stage",[1]stages!$2:$2,0)+1,FALSE)</f>
        <v>ドロップイベント2-2</v>
      </c>
      <c r="H514" s="18">
        <v>0</v>
      </c>
      <c r="I514">
        <v>21</v>
      </c>
      <c r="J514" s="5" t="s">
        <v>16</v>
      </c>
      <c r="K514" s="35" t="str">
        <f>VLOOKUP(I514,[2]stage_hints!$A:$C,3,FALSE)</f>
        <v>スキルを有効に</v>
      </c>
      <c r="L514" s="36" t="str">
        <f>VLOOKUP(I514,[2]stage_hints!$A:$D,4,FALSE)</f>
        <v>ターン経過でユニットのスキルが使えます_x000D_強力スキルでバトルを有利に進めましょう</v>
      </c>
      <c r="M514" s="21" t="s">
        <v>23</v>
      </c>
      <c r="N514">
        <v>21</v>
      </c>
    </row>
    <row r="515" spans="1:14" x14ac:dyDescent="0.15">
      <c r="A515" s="26" t="s">
        <v>32</v>
      </c>
      <c r="B515" s="4">
        <v>20005</v>
      </c>
      <c r="C515" s="3" t="str">
        <f ca="1">VLOOKUP($B515,OFFSET([1]quests!$A$1,0,0,COUNTA([1]quests!$A:$A),MATCH(C$1,[1]quests!$1:$1,0)-MATCH($B$1,[1]quests!$1:$1,0)+1),MATCH(C$1,[1]quests!$1:$1,0)-MATCH($B$1,[1]quests!$1:$1,0)+1,FALSE)</f>
        <v>ザ・キャノン</v>
      </c>
      <c r="D515" s="3" t="str">
        <f ca="1">VLOOKUP($B515,OFFSET([1]quests!$A$1,0,0,COUNTA([1]quests!$A:$A),MATCH(D$1,[1]quests!$1:$1,0)-MATCH($B$1,[1]quests!$1:$1,0)+1),MATCH(D$1,[1]quests!$1:$1,0)-MATCH($B$1,[1]quests!$1:$1,0)+1,FALSE)</f>
        <v>ドロップイベント2-2</v>
      </c>
      <c r="E515" s="5">
        <v>2</v>
      </c>
      <c r="F515" s="3" t="str">
        <f ca="1">VLOOKUP($B515&amp;"_"&amp;$E515,OFFSET([1]stages!$A$1,0,0,COUNTA([1]stages!$A:$A),MATCH(F$1,[1]stages!$2:$2,0)-MATCH("temp_stage",[1]stages!$2:$2,0)+1),MATCH(F$1,[1]stages!$2:$2,0)-MATCH("temp_stage",[1]stages!$2:$2,0)+1,FALSE)</f>
        <v>【中級】ザ・キャノン(4タップ)</v>
      </c>
      <c r="G515" s="3" t="str">
        <f ca="1">VLOOKUP($B515&amp;"_"&amp;$E515,OFFSET([1]stages!$A$1,0,0,COUNTA([1]stages!$A:$A),MATCH(G$1,[1]stages!$2:$2,0)-MATCH("temp_stage",[1]stages!$2:$2,0)+1),MATCH(G$1,[1]stages!$2:$2,0)-MATCH("temp_stage",[1]stages!$2:$2,0)+1,FALSE)</f>
        <v>ドロップイベント2-2</v>
      </c>
      <c r="H515" s="18">
        <v>0</v>
      </c>
      <c r="I515">
        <v>22</v>
      </c>
      <c r="J515" s="5" t="s">
        <v>16</v>
      </c>
      <c r="K515" s="35" t="str">
        <f>VLOOKUP(I515,[2]stage_hints!$A:$C,3,FALSE)</f>
        <v>フィーバーで一発逆転（その1）</v>
      </c>
      <c r="L515" s="36" t="str">
        <f>VLOOKUP(I515,[2]stage_hints!$A:$D,4,FALSE)</f>
        <v>フィーバーは攻撃と回復を兼ね備えます_x000D_ピンチからの一発逆転を狙いましょう</v>
      </c>
      <c r="M515" s="21" t="s">
        <v>23</v>
      </c>
      <c r="N515">
        <v>22</v>
      </c>
    </row>
    <row r="516" spans="1:14" x14ac:dyDescent="0.15">
      <c r="A516" s="26" t="s">
        <v>32</v>
      </c>
      <c r="B516" s="4">
        <v>20005</v>
      </c>
      <c r="C516" s="3" t="str">
        <f ca="1">VLOOKUP($B516,OFFSET([1]quests!$A$1,0,0,COUNTA([1]quests!$A:$A),MATCH(C$1,[1]quests!$1:$1,0)-MATCH($B$1,[1]quests!$1:$1,0)+1),MATCH(C$1,[1]quests!$1:$1,0)-MATCH($B$1,[1]quests!$1:$1,0)+1,FALSE)</f>
        <v>ザ・キャノン</v>
      </c>
      <c r="D516" s="3" t="str">
        <f ca="1">VLOOKUP($B516,OFFSET([1]quests!$A$1,0,0,COUNTA([1]quests!$A:$A),MATCH(D$1,[1]quests!$1:$1,0)-MATCH($B$1,[1]quests!$1:$1,0)+1),MATCH(D$1,[1]quests!$1:$1,0)-MATCH($B$1,[1]quests!$1:$1,0)+1,FALSE)</f>
        <v>ドロップイベント2-2</v>
      </c>
      <c r="E516" s="5">
        <v>2</v>
      </c>
      <c r="F516" s="3" t="str">
        <f ca="1">VLOOKUP($B516&amp;"_"&amp;$E516,OFFSET([1]stages!$A$1,0,0,COUNTA([1]stages!$A:$A),MATCH(F$1,[1]stages!$2:$2,0)-MATCH("temp_stage",[1]stages!$2:$2,0)+1),MATCH(F$1,[1]stages!$2:$2,0)-MATCH("temp_stage",[1]stages!$2:$2,0)+1,FALSE)</f>
        <v>【中級】ザ・キャノン(4タップ)</v>
      </c>
      <c r="G516" s="3" t="str">
        <f ca="1">VLOOKUP($B516&amp;"_"&amp;$E516,OFFSET([1]stages!$A$1,0,0,COUNTA([1]stages!$A:$A),MATCH(G$1,[1]stages!$2:$2,0)-MATCH("temp_stage",[1]stages!$2:$2,0)+1),MATCH(G$1,[1]stages!$2:$2,0)-MATCH("temp_stage",[1]stages!$2:$2,0)+1,FALSE)</f>
        <v>ドロップイベント2-2</v>
      </c>
      <c r="H516" s="18">
        <v>0</v>
      </c>
      <c r="I516">
        <v>23</v>
      </c>
      <c r="J516" s="5" t="s">
        <v>16</v>
      </c>
      <c r="K516" s="35" t="str">
        <f>VLOOKUP(I516,[2]stage_hints!$A:$C,3,FALSE)</f>
        <v>フィーバーで一発逆転（その2）</v>
      </c>
      <c r="L516" s="36" t="str">
        <f>VLOOKUP(I516,[2]stage_hints!$A:$D,4,FALSE)</f>
        <v>フィーバー中は虹色のボムパネルを狙って_x000D_画面上のパネルを一気に破壊しましょう</v>
      </c>
      <c r="M516" s="21" t="s">
        <v>23</v>
      </c>
      <c r="N516">
        <v>23</v>
      </c>
    </row>
    <row r="517" spans="1:14" x14ac:dyDescent="0.15">
      <c r="A517" s="26" t="s">
        <v>32</v>
      </c>
      <c r="B517" s="4">
        <v>20005</v>
      </c>
      <c r="C517" s="3" t="str">
        <f ca="1">VLOOKUP($B517,OFFSET([1]quests!$A$1,0,0,COUNTA([1]quests!$A:$A),MATCH(C$1,[1]quests!$1:$1,0)-MATCH($B$1,[1]quests!$1:$1,0)+1),MATCH(C$1,[1]quests!$1:$1,0)-MATCH($B$1,[1]quests!$1:$1,0)+1,FALSE)</f>
        <v>ザ・キャノン</v>
      </c>
      <c r="D517" s="3" t="str">
        <f ca="1">VLOOKUP($B517,OFFSET([1]quests!$A$1,0,0,COUNTA([1]quests!$A:$A),MATCH(D$1,[1]quests!$1:$1,0)-MATCH($B$1,[1]quests!$1:$1,0)+1),MATCH(D$1,[1]quests!$1:$1,0)-MATCH($B$1,[1]quests!$1:$1,0)+1,FALSE)</f>
        <v>ドロップイベント2-2</v>
      </c>
      <c r="E517" s="5">
        <v>2</v>
      </c>
      <c r="F517" s="3" t="str">
        <f ca="1">VLOOKUP($B517&amp;"_"&amp;$E517,OFFSET([1]stages!$A$1,0,0,COUNTA([1]stages!$A:$A),MATCH(F$1,[1]stages!$2:$2,0)-MATCH("temp_stage",[1]stages!$2:$2,0)+1),MATCH(F$1,[1]stages!$2:$2,0)-MATCH("temp_stage",[1]stages!$2:$2,0)+1,FALSE)</f>
        <v>【中級】ザ・キャノン(4タップ)</v>
      </c>
      <c r="G517" s="3" t="str">
        <f ca="1">VLOOKUP($B517&amp;"_"&amp;$E517,OFFSET([1]stages!$A$1,0,0,COUNTA([1]stages!$A:$A),MATCH(G$1,[1]stages!$2:$2,0)-MATCH("temp_stage",[1]stages!$2:$2,0)+1),MATCH(G$1,[1]stages!$2:$2,0)-MATCH("temp_stage",[1]stages!$2:$2,0)+1,FALSE)</f>
        <v>ドロップイベント2-2</v>
      </c>
      <c r="H517" s="18">
        <v>0</v>
      </c>
      <c r="I517">
        <v>24</v>
      </c>
      <c r="J517" s="5" t="s">
        <v>16</v>
      </c>
      <c r="K517" s="35" t="str">
        <f>VLOOKUP(I517,[2]stage_hints!$A:$C,3,FALSE)</f>
        <v>りんごを使って限界突破</v>
      </c>
      <c r="L517" s="36" t="str">
        <f>VLOOKUP(I517,[2]stage_hints!$A:$D,4,FALSE)</f>
        <v>赤りんご(攻撃力) 青りんご(回復力)_x000D_緑りんご(体力)をユニット強化に使うと_x000D_ステータスが限界突破します（計99個迄）</v>
      </c>
      <c r="M517" s="21" t="s">
        <v>23</v>
      </c>
      <c r="N517">
        <v>24</v>
      </c>
    </row>
    <row r="518" spans="1:14" x14ac:dyDescent="0.15">
      <c r="A518" s="26" t="s">
        <v>32</v>
      </c>
      <c r="B518" s="4">
        <v>20005</v>
      </c>
      <c r="C518" s="3" t="str">
        <f ca="1">VLOOKUP($B518,OFFSET([1]quests!$A$1,0,0,COUNTA([1]quests!$A:$A),MATCH(C$1,[1]quests!$1:$1,0)-MATCH($B$1,[1]quests!$1:$1,0)+1),MATCH(C$1,[1]quests!$1:$1,0)-MATCH($B$1,[1]quests!$1:$1,0)+1,FALSE)</f>
        <v>ザ・キャノン</v>
      </c>
      <c r="D518" s="3" t="str">
        <f ca="1">VLOOKUP($B518,OFFSET([1]quests!$A$1,0,0,COUNTA([1]quests!$A:$A),MATCH(D$1,[1]quests!$1:$1,0)-MATCH($B$1,[1]quests!$1:$1,0)+1),MATCH(D$1,[1]quests!$1:$1,0)-MATCH($B$1,[1]quests!$1:$1,0)+1,FALSE)</f>
        <v>ドロップイベント2-2</v>
      </c>
      <c r="E518" s="5">
        <v>2</v>
      </c>
      <c r="F518" s="3" t="str">
        <f ca="1">VLOOKUP($B518&amp;"_"&amp;$E518,OFFSET([1]stages!$A$1,0,0,COUNTA([1]stages!$A:$A),MATCH(F$1,[1]stages!$2:$2,0)-MATCH("temp_stage",[1]stages!$2:$2,0)+1),MATCH(F$1,[1]stages!$2:$2,0)-MATCH("temp_stage",[1]stages!$2:$2,0)+1,FALSE)</f>
        <v>【中級】ザ・キャノン(4タップ)</v>
      </c>
      <c r="G518" s="3" t="str">
        <f ca="1">VLOOKUP($B518&amp;"_"&amp;$E518,OFFSET([1]stages!$A$1,0,0,COUNTA([1]stages!$A:$A),MATCH(G$1,[1]stages!$2:$2,0)-MATCH("temp_stage",[1]stages!$2:$2,0)+1),MATCH(G$1,[1]stages!$2:$2,0)-MATCH("temp_stage",[1]stages!$2:$2,0)+1,FALSE)</f>
        <v>ドロップイベント2-2</v>
      </c>
      <c r="H518" s="18">
        <v>0</v>
      </c>
      <c r="I518">
        <v>25</v>
      </c>
      <c r="J518" s="5" t="s">
        <v>16</v>
      </c>
      <c r="K518" s="35" t="str">
        <f>VLOOKUP(I518,[2]stage_hints!$A:$C,3,FALSE)</f>
        <v>スキルレベルアップ</v>
      </c>
      <c r="L518" s="36" t="str">
        <f>VLOOKUP(I518,[2]stage_hints!$A:$D,4,FALSE)</f>
        <v>「クリスタルのりんご」を強化に使うと_x000D_スキルレベルを上げることができます</v>
      </c>
      <c r="M518" s="21" t="s">
        <v>23</v>
      </c>
      <c r="N518">
        <v>25</v>
      </c>
    </row>
    <row r="519" spans="1:14" x14ac:dyDescent="0.15">
      <c r="A519" s="26" t="s">
        <v>32</v>
      </c>
      <c r="B519" s="4">
        <v>20005</v>
      </c>
      <c r="C519" s="3" t="str">
        <f ca="1">VLOOKUP($B519,OFFSET([1]quests!$A$1,0,0,COUNTA([1]quests!$A:$A),MATCH(C$1,[1]quests!$1:$1,0)-MATCH($B$1,[1]quests!$1:$1,0)+1),MATCH(C$1,[1]quests!$1:$1,0)-MATCH($B$1,[1]quests!$1:$1,0)+1,FALSE)</f>
        <v>ザ・キャノン</v>
      </c>
      <c r="D519" s="3" t="str">
        <f ca="1">VLOOKUP($B519,OFFSET([1]quests!$A$1,0,0,COUNTA([1]quests!$A:$A),MATCH(D$1,[1]quests!$1:$1,0)-MATCH($B$1,[1]quests!$1:$1,0)+1),MATCH(D$1,[1]quests!$1:$1,0)-MATCH($B$1,[1]quests!$1:$1,0)+1,FALSE)</f>
        <v>ドロップイベント2-2</v>
      </c>
      <c r="E519" s="5">
        <v>2</v>
      </c>
      <c r="F519" s="3" t="str">
        <f ca="1">VLOOKUP($B519&amp;"_"&amp;$E519,OFFSET([1]stages!$A$1,0,0,COUNTA([1]stages!$A:$A),MATCH(F$1,[1]stages!$2:$2,0)-MATCH("temp_stage",[1]stages!$2:$2,0)+1),MATCH(F$1,[1]stages!$2:$2,0)-MATCH("temp_stage",[1]stages!$2:$2,0)+1,FALSE)</f>
        <v>【中級】ザ・キャノン(4タップ)</v>
      </c>
      <c r="G519" s="3" t="str">
        <f ca="1">VLOOKUP($B519&amp;"_"&amp;$E519,OFFSET([1]stages!$A$1,0,0,COUNTA([1]stages!$A:$A),MATCH(G$1,[1]stages!$2:$2,0)-MATCH("temp_stage",[1]stages!$2:$2,0)+1),MATCH(G$1,[1]stages!$2:$2,0)-MATCH("temp_stage",[1]stages!$2:$2,0)+1,FALSE)</f>
        <v>ドロップイベント2-2</v>
      </c>
      <c r="H519" s="18">
        <v>0</v>
      </c>
      <c r="I519">
        <v>26</v>
      </c>
      <c r="J519" s="5" t="s">
        <v>16</v>
      </c>
      <c r="K519" s="35" t="str">
        <f>VLOOKUP(I519,[2]stage_hints!$A:$C,3,FALSE)</f>
        <v>スキルレベルの効果</v>
      </c>
      <c r="L519" s="36" t="str">
        <f>VLOOKUP(I519,[2]stage_hints!$A:$D,4,FALSE)</f>
        <v>スキルレベルが上がると_x000D_短いターンでスキルを使うことができます</v>
      </c>
      <c r="M519" s="21" t="s">
        <v>23</v>
      </c>
      <c r="N519">
        <v>26</v>
      </c>
    </row>
    <row r="520" spans="1:14" x14ac:dyDescent="0.15">
      <c r="A520" s="26" t="s">
        <v>32</v>
      </c>
      <c r="B520" s="4">
        <v>20005</v>
      </c>
      <c r="C520" s="3" t="str">
        <f ca="1">VLOOKUP($B520,OFFSET([1]quests!$A$1,0,0,COUNTA([1]quests!$A:$A),MATCH(C$1,[1]quests!$1:$1,0)-MATCH($B$1,[1]quests!$1:$1,0)+1),MATCH(C$1,[1]quests!$1:$1,0)-MATCH($B$1,[1]quests!$1:$1,0)+1,FALSE)</f>
        <v>ザ・キャノン</v>
      </c>
      <c r="D520" s="3" t="str">
        <f ca="1">VLOOKUP($B520,OFFSET([1]quests!$A$1,0,0,COUNTA([1]quests!$A:$A),MATCH(D$1,[1]quests!$1:$1,0)-MATCH($B$1,[1]quests!$1:$1,0)+1),MATCH(D$1,[1]quests!$1:$1,0)-MATCH($B$1,[1]quests!$1:$1,0)+1,FALSE)</f>
        <v>ドロップイベント2-2</v>
      </c>
      <c r="E520" s="5">
        <v>2</v>
      </c>
      <c r="F520" s="3" t="str">
        <f ca="1">VLOOKUP($B520&amp;"_"&amp;$E520,OFFSET([1]stages!$A$1,0,0,COUNTA([1]stages!$A:$A),MATCH(F$1,[1]stages!$2:$2,0)-MATCH("temp_stage",[1]stages!$2:$2,0)+1),MATCH(F$1,[1]stages!$2:$2,0)-MATCH("temp_stage",[1]stages!$2:$2,0)+1,FALSE)</f>
        <v>【中級】ザ・キャノン(4タップ)</v>
      </c>
      <c r="G520" s="3" t="str">
        <f ca="1">VLOOKUP($B520&amp;"_"&amp;$E520,OFFSET([1]stages!$A$1,0,0,COUNTA([1]stages!$A:$A),MATCH(G$1,[1]stages!$2:$2,0)-MATCH("temp_stage",[1]stages!$2:$2,0)+1),MATCH(G$1,[1]stages!$2:$2,0)-MATCH("temp_stage",[1]stages!$2:$2,0)+1,FALSE)</f>
        <v>ドロップイベント2-2</v>
      </c>
      <c r="H520" s="18">
        <v>0</v>
      </c>
      <c r="I520">
        <v>27</v>
      </c>
      <c r="J520" s="5" t="s">
        <v>16</v>
      </c>
      <c r="K520" s="35" t="str">
        <f>VLOOKUP(I520,[2]stage_hints!$A:$C,3,FALSE)</f>
        <v>ホーム画面からデッキを編成</v>
      </c>
      <c r="L520" s="36" t="str">
        <f>VLOOKUP(I520,[2]stage_hints!$A:$D,4,FALSE)</f>
        <v>ホーム画面でユニットを長押しすると_x000D_すぐにパーティ編成に移動できます</v>
      </c>
      <c r="M520" s="21" t="s">
        <v>23</v>
      </c>
      <c r="N520">
        <v>27</v>
      </c>
    </row>
    <row r="521" spans="1:14" x14ac:dyDescent="0.15">
      <c r="A521" s="26" t="s">
        <v>32</v>
      </c>
      <c r="B521" s="4">
        <v>20005</v>
      </c>
      <c r="C521" s="3" t="str">
        <f ca="1">VLOOKUP($B521,OFFSET([1]quests!$A$1,0,0,COUNTA([1]quests!$A:$A),MATCH(C$1,[1]quests!$1:$1,0)-MATCH($B$1,[1]quests!$1:$1,0)+1),MATCH(C$1,[1]quests!$1:$1,0)-MATCH($B$1,[1]quests!$1:$1,0)+1,FALSE)</f>
        <v>ザ・キャノン</v>
      </c>
      <c r="D521" s="3" t="str">
        <f ca="1">VLOOKUP($B521,OFFSET([1]quests!$A$1,0,0,COUNTA([1]quests!$A:$A),MATCH(D$1,[1]quests!$1:$1,0)-MATCH($B$1,[1]quests!$1:$1,0)+1),MATCH(D$1,[1]quests!$1:$1,0)-MATCH($B$1,[1]quests!$1:$1,0)+1,FALSE)</f>
        <v>ドロップイベント2-2</v>
      </c>
      <c r="E521" s="5">
        <v>2</v>
      </c>
      <c r="F521" s="3" t="str">
        <f ca="1">VLOOKUP($B521&amp;"_"&amp;$E521,OFFSET([1]stages!$A$1,0,0,COUNTA([1]stages!$A:$A),MATCH(F$1,[1]stages!$2:$2,0)-MATCH("temp_stage",[1]stages!$2:$2,0)+1),MATCH(F$1,[1]stages!$2:$2,0)-MATCH("temp_stage",[1]stages!$2:$2,0)+1,FALSE)</f>
        <v>【中級】ザ・キャノン(4タップ)</v>
      </c>
      <c r="G521" s="3" t="str">
        <f ca="1">VLOOKUP($B521&amp;"_"&amp;$E521,OFFSET([1]stages!$A$1,0,0,COUNTA([1]stages!$A:$A),MATCH(G$1,[1]stages!$2:$2,0)-MATCH("temp_stage",[1]stages!$2:$2,0)+1),MATCH(G$1,[1]stages!$2:$2,0)-MATCH("temp_stage",[1]stages!$2:$2,0)+1,FALSE)</f>
        <v>ドロップイベント2-2</v>
      </c>
      <c r="H521" s="18">
        <v>0</v>
      </c>
      <c r="I521">
        <v>28</v>
      </c>
      <c r="J521" s="5" t="s">
        <v>16</v>
      </c>
      <c r="K521" s="35" t="str">
        <f>VLOOKUP(I521,[2]stage_hints!$A:$C,3,FALSE)</f>
        <v>ステータス情報は長押しで</v>
      </c>
      <c r="L521" s="36" t="str">
        <f>VLOOKUP(I521,[2]stage_hints!$A:$D,4,FALSE)</f>
        <v>ユニットのアイコンを長押しすると_x000D_ステータス情報を確認することができます</v>
      </c>
      <c r="M521" s="21" t="s">
        <v>23</v>
      </c>
      <c r="N521">
        <v>28</v>
      </c>
    </row>
    <row r="522" spans="1:14" x14ac:dyDescent="0.15">
      <c r="A522" s="26" t="s">
        <v>32</v>
      </c>
      <c r="B522" s="4">
        <v>20005</v>
      </c>
      <c r="C522" s="3" t="str">
        <f ca="1">VLOOKUP($B522,OFFSET([1]quests!$A$1,0,0,COUNTA([1]quests!$A:$A),MATCH(C$1,[1]quests!$1:$1,0)-MATCH($B$1,[1]quests!$1:$1,0)+1),MATCH(C$1,[1]quests!$1:$1,0)-MATCH($B$1,[1]quests!$1:$1,0)+1,FALSE)</f>
        <v>ザ・キャノン</v>
      </c>
      <c r="D522" s="3" t="str">
        <f ca="1">VLOOKUP($B522,OFFSET([1]quests!$A$1,0,0,COUNTA([1]quests!$A:$A),MATCH(D$1,[1]quests!$1:$1,0)-MATCH($B$1,[1]quests!$1:$1,0)+1),MATCH(D$1,[1]quests!$1:$1,0)-MATCH($B$1,[1]quests!$1:$1,0)+1,FALSE)</f>
        <v>ドロップイベント2-2</v>
      </c>
      <c r="E522" s="5">
        <v>2</v>
      </c>
      <c r="F522" s="3" t="str">
        <f ca="1">VLOOKUP($B522&amp;"_"&amp;$E522,OFFSET([1]stages!$A$1,0,0,COUNTA([1]stages!$A:$A),MATCH(F$1,[1]stages!$2:$2,0)-MATCH("temp_stage",[1]stages!$2:$2,0)+1),MATCH(F$1,[1]stages!$2:$2,0)-MATCH("temp_stage",[1]stages!$2:$2,0)+1,FALSE)</f>
        <v>【中級】ザ・キャノン(4タップ)</v>
      </c>
      <c r="G522" s="3" t="str">
        <f ca="1">VLOOKUP($B522&amp;"_"&amp;$E522,OFFSET([1]stages!$A$1,0,0,COUNTA([1]stages!$A:$A),MATCH(G$1,[1]stages!$2:$2,0)-MATCH("temp_stage",[1]stages!$2:$2,0)+1),MATCH(G$1,[1]stages!$2:$2,0)-MATCH("temp_stage",[1]stages!$2:$2,0)+1,FALSE)</f>
        <v>ドロップイベント2-2</v>
      </c>
      <c r="H522" s="18">
        <v>0</v>
      </c>
      <c r="I522">
        <v>29</v>
      </c>
      <c r="J522" s="5" t="s">
        <v>16</v>
      </c>
      <c r="K522" s="35" t="str">
        <f>VLOOKUP(I522,[2]stage_hints!$A:$C,3,FALSE)</f>
        <v>「バグ」のメリット</v>
      </c>
      <c r="L522" s="36" t="str">
        <f>VLOOKUP(I522,[2]stage_hints!$A:$D,4,FALSE)</f>
        <v>ユニットの「バグ」を増やすと_x000D_報酬をもらえる確率がアップします</v>
      </c>
      <c r="M522" s="21" t="s">
        <v>23</v>
      </c>
      <c r="N522">
        <v>29</v>
      </c>
    </row>
    <row r="523" spans="1:14" x14ac:dyDescent="0.15">
      <c r="A523" s="26" t="s">
        <v>32</v>
      </c>
      <c r="B523" s="4">
        <v>20005</v>
      </c>
      <c r="C523" s="3" t="str">
        <f ca="1">VLOOKUP($B523,OFFSET([1]quests!$A$1,0,0,COUNTA([1]quests!$A:$A),MATCH(C$1,[1]quests!$1:$1,0)-MATCH($B$1,[1]quests!$1:$1,0)+1),MATCH(C$1,[1]quests!$1:$1,0)-MATCH($B$1,[1]quests!$1:$1,0)+1,FALSE)</f>
        <v>ザ・キャノン</v>
      </c>
      <c r="D523" s="3" t="str">
        <f ca="1">VLOOKUP($B523,OFFSET([1]quests!$A$1,0,0,COUNTA([1]quests!$A:$A),MATCH(D$1,[1]quests!$1:$1,0)-MATCH($B$1,[1]quests!$1:$1,0)+1),MATCH(D$1,[1]quests!$1:$1,0)-MATCH($B$1,[1]quests!$1:$1,0)+1,FALSE)</f>
        <v>ドロップイベント2-2</v>
      </c>
      <c r="E523" s="5">
        <v>2</v>
      </c>
      <c r="F523" s="3" t="str">
        <f ca="1">VLOOKUP($B523&amp;"_"&amp;$E523,OFFSET([1]stages!$A$1,0,0,COUNTA([1]stages!$A:$A),MATCH(F$1,[1]stages!$2:$2,0)-MATCH("temp_stage",[1]stages!$2:$2,0)+1),MATCH(F$1,[1]stages!$2:$2,0)-MATCH("temp_stage",[1]stages!$2:$2,0)+1,FALSE)</f>
        <v>【中級】ザ・キャノン(4タップ)</v>
      </c>
      <c r="G523" s="3" t="str">
        <f ca="1">VLOOKUP($B523&amp;"_"&amp;$E523,OFFSET([1]stages!$A$1,0,0,COUNTA([1]stages!$A:$A),MATCH(G$1,[1]stages!$2:$2,0)-MATCH("temp_stage",[1]stages!$2:$2,0)+1),MATCH(G$1,[1]stages!$2:$2,0)-MATCH("temp_stage",[1]stages!$2:$2,0)+1,FALSE)</f>
        <v>ドロップイベント2-2</v>
      </c>
      <c r="H523" s="18">
        <v>0</v>
      </c>
      <c r="I523">
        <v>30</v>
      </c>
      <c r="J523" s="5" t="s">
        <v>16</v>
      </c>
      <c r="K523" s="35" t="str">
        <f>VLOOKUP(I523,[2]stage_hints!$A:$C,3,FALSE)</f>
        <v>「バグ」の増やし方</v>
      </c>
      <c r="L523" s="36" t="str">
        <f>VLOOKUP(I523,[2]stage_hints!$A:$D,4,FALSE)</f>
        <v>同じユニット同士を強化で合成すると_x000D_「バグ」を増やすことができます</v>
      </c>
      <c r="M523" s="21" t="s">
        <v>23</v>
      </c>
      <c r="N523">
        <v>30</v>
      </c>
    </row>
    <row r="524" spans="1:14" x14ac:dyDescent="0.15">
      <c r="A524" s="26" t="s">
        <v>32</v>
      </c>
      <c r="B524" s="4">
        <v>20005</v>
      </c>
      <c r="C524" s="3" t="str">
        <f ca="1">VLOOKUP($B524,OFFSET([1]quests!$A$1,0,0,COUNTA([1]quests!$A:$A),MATCH(C$1,[1]quests!$1:$1,0)-MATCH($B$1,[1]quests!$1:$1,0)+1),MATCH(C$1,[1]quests!$1:$1,0)-MATCH($B$1,[1]quests!$1:$1,0)+1,FALSE)</f>
        <v>ザ・キャノン</v>
      </c>
      <c r="D524" s="3" t="str">
        <f ca="1">VLOOKUP($B524,OFFSET([1]quests!$A$1,0,0,COUNTA([1]quests!$A:$A),MATCH(D$1,[1]quests!$1:$1,0)-MATCH($B$1,[1]quests!$1:$1,0)+1),MATCH(D$1,[1]quests!$1:$1,0)-MATCH($B$1,[1]quests!$1:$1,0)+1,FALSE)</f>
        <v>ドロップイベント2-2</v>
      </c>
      <c r="E524" s="5">
        <v>2</v>
      </c>
      <c r="F524" s="3" t="str">
        <f ca="1">VLOOKUP($B524&amp;"_"&amp;$E524,OFFSET([1]stages!$A$1,0,0,COUNTA([1]stages!$A:$A),MATCH(F$1,[1]stages!$2:$2,0)-MATCH("temp_stage",[1]stages!$2:$2,0)+1),MATCH(F$1,[1]stages!$2:$2,0)-MATCH("temp_stage",[1]stages!$2:$2,0)+1,FALSE)</f>
        <v>【中級】ザ・キャノン(4タップ)</v>
      </c>
      <c r="G524" s="3" t="str">
        <f ca="1">VLOOKUP($B524&amp;"_"&amp;$E524,OFFSET([1]stages!$A$1,0,0,COUNTA([1]stages!$A:$A),MATCH(G$1,[1]stages!$2:$2,0)-MATCH("temp_stage",[1]stages!$2:$2,0)+1),MATCH(G$1,[1]stages!$2:$2,0)-MATCH("temp_stage",[1]stages!$2:$2,0)+1,FALSE)</f>
        <v>ドロップイベント2-2</v>
      </c>
      <c r="H524" s="18">
        <v>0</v>
      </c>
      <c r="I524">
        <v>31</v>
      </c>
      <c r="J524" s="5" t="s">
        <v>16</v>
      </c>
      <c r="K524" s="35" t="str">
        <f>VLOOKUP(I524,[2]stage_hints!$A:$C,3,FALSE)</f>
        <v>イベントはお知らせでチェック</v>
      </c>
      <c r="L524" s="36" t="str">
        <f>VLOOKUP(I524,[2]stage_hints!$A:$D,4,FALSE)</f>
        <v>イベント限定ユニットを取り忘れないように_x000D_お知らせをこまめにチェックしましょう</v>
      </c>
      <c r="M524" s="21" t="s">
        <v>23</v>
      </c>
      <c r="N524">
        <v>31</v>
      </c>
    </row>
    <row r="525" spans="1:14" x14ac:dyDescent="0.15">
      <c r="A525" s="26" t="s">
        <v>32</v>
      </c>
      <c r="B525" s="4">
        <v>20005</v>
      </c>
      <c r="C525" s="3" t="str">
        <f ca="1">VLOOKUP($B525,OFFSET([1]quests!$A$1,0,0,COUNTA([1]quests!$A:$A),MATCH(C$1,[1]quests!$1:$1,0)-MATCH($B$1,[1]quests!$1:$1,0)+1),MATCH(C$1,[1]quests!$1:$1,0)-MATCH($B$1,[1]quests!$1:$1,0)+1,FALSE)</f>
        <v>ザ・キャノン</v>
      </c>
      <c r="D525" s="3" t="str">
        <f ca="1">VLOOKUP($B525,OFFSET([1]quests!$A$1,0,0,COUNTA([1]quests!$A:$A),MATCH(D$1,[1]quests!$1:$1,0)-MATCH($B$1,[1]quests!$1:$1,0)+1),MATCH(D$1,[1]quests!$1:$1,0)-MATCH($B$1,[1]quests!$1:$1,0)+1,FALSE)</f>
        <v>ドロップイベント2-2</v>
      </c>
      <c r="E525" s="5">
        <v>2</v>
      </c>
      <c r="F525" s="3" t="str">
        <f ca="1">VLOOKUP($B525&amp;"_"&amp;$E525,OFFSET([1]stages!$A$1,0,0,COUNTA([1]stages!$A:$A),MATCH(F$1,[1]stages!$2:$2,0)-MATCH("temp_stage",[1]stages!$2:$2,0)+1),MATCH(F$1,[1]stages!$2:$2,0)-MATCH("temp_stage",[1]stages!$2:$2,0)+1,FALSE)</f>
        <v>【中級】ザ・キャノン(4タップ)</v>
      </c>
      <c r="G525" s="3" t="str">
        <f ca="1">VLOOKUP($B525&amp;"_"&amp;$E525,OFFSET([1]stages!$A$1,0,0,COUNTA([1]stages!$A:$A),MATCH(G$1,[1]stages!$2:$2,0)-MATCH("temp_stage",[1]stages!$2:$2,0)+1),MATCH(G$1,[1]stages!$2:$2,0)-MATCH("temp_stage",[1]stages!$2:$2,0)+1,FALSE)</f>
        <v>ドロップイベント2-2</v>
      </c>
      <c r="H525" s="18">
        <v>0</v>
      </c>
      <c r="I525">
        <v>32</v>
      </c>
      <c r="J525" s="5" t="s">
        <v>16</v>
      </c>
      <c r="K525" s="35" t="str">
        <f>VLOOKUP(I525,[2]stage_hints!$A:$C,3,FALSE)</f>
        <v>敵の連続攻撃には</v>
      </c>
      <c r="L525" s="36" t="str">
        <f>VLOOKUP(I525,[2]stage_hints!$A:$D,4,FALSE)</f>
        <v>カウンタースキルを持つユニットがいれば_x000D_ダメージ回数分の反撃ができます</v>
      </c>
      <c r="M525" s="21" t="s">
        <v>23</v>
      </c>
      <c r="N525">
        <v>32</v>
      </c>
    </row>
    <row r="526" spans="1:14" x14ac:dyDescent="0.15">
      <c r="A526" s="26" t="s">
        <v>32</v>
      </c>
      <c r="B526" s="4">
        <v>20005</v>
      </c>
      <c r="C526" s="3" t="str">
        <f ca="1">VLOOKUP($B526,OFFSET([1]quests!$A$1,0,0,COUNTA([1]quests!$A:$A),MATCH(C$1,[1]quests!$1:$1,0)-MATCH($B$1,[1]quests!$1:$1,0)+1),MATCH(C$1,[1]quests!$1:$1,0)-MATCH($B$1,[1]quests!$1:$1,0)+1,FALSE)</f>
        <v>ザ・キャノン</v>
      </c>
      <c r="D526" s="3" t="str">
        <f ca="1">VLOOKUP($B526,OFFSET([1]quests!$A$1,0,0,COUNTA([1]quests!$A:$A),MATCH(D$1,[1]quests!$1:$1,0)-MATCH($B$1,[1]quests!$1:$1,0)+1),MATCH(D$1,[1]quests!$1:$1,0)-MATCH($B$1,[1]quests!$1:$1,0)+1,FALSE)</f>
        <v>ドロップイベント2-2</v>
      </c>
      <c r="E526" s="5">
        <v>2</v>
      </c>
      <c r="F526" s="3" t="str">
        <f ca="1">VLOOKUP($B526&amp;"_"&amp;$E526,OFFSET([1]stages!$A$1,0,0,COUNTA([1]stages!$A:$A),MATCH(F$1,[1]stages!$2:$2,0)-MATCH("temp_stage",[1]stages!$2:$2,0)+1),MATCH(F$1,[1]stages!$2:$2,0)-MATCH("temp_stage",[1]stages!$2:$2,0)+1,FALSE)</f>
        <v>【中級】ザ・キャノン(4タップ)</v>
      </c>
      <c r="G526" s="3" t="str">
        <f ca="1">VLOOKUP($B526&amp;"_"&amp;$E526,OFFSET([1]stages!$A$1,0,0,COUNTA([1]stages!$A:$A),MATCH(G$1,[1]stages!$2:$2,0)-MATCH("temp_stage",[1]stages!$2:$2,0)+1),MATCH(G$1,[1]stages!$2:$2,0)-MATCH("temp_stage",[1]stages!$2:$2,0)+1,FALSE)</f>
        <v>ドロップイベント2-2</v>
      </c>
      <c r="H526" s="18">
        <v>0</v>
      </c>
      <c r="I526">
        <v>33</v>
      </c>
      <c r="J526" s="5" t="s">
        <v>16</v>
      </c>
      <c r="K526" s="35" t="str">
        <f>VLOOKUP(I526,[2]stage_hints!$A:$C,3,FALSE)</f>
        <v>敵のカウンター攻撃には</v>
      </c>
      <c r="L526" s="36" t="str">
        <f>VLOOKUP(I526,[2]stage_hints!$A:$D,4,FALSE)</f>
        <v>カウンターブレイクスキルを持っていれば_x000D_敵のカウンターを解除して攻撃ができます</v>
      </c>
      <c r="M526" s="21" t="s">
        <v>23</v>
      </c>
      <c r="N526">
        <v>33</v>
      </c>
    </row>
    <row r="527" spans="1:14" x14ac:dyDescent="0.15">
      <c r="A527" s="26" t="s">
        <v>32</v>
      </c>
      <c r="B527" s="4">
        <v>20005</v>
      </c>
      <c r="C527" s="3" t="str">
        <f ca="1">VLOOKUP($B527,OFFSET([1]quests!$A$1,0,0,COUNTA([1]quests!$A:$A),MATCH(C$1,[1]quests!$1:$1,0)-MATCH($B$1,[1]quests!$1:$1,0)+1),MATCH(C$1,[1]quests!$1:$1,0)-MATCH($B$1,[1]quests!$1:$1,0)+1,FALSE)</f>
        <v>ザ・キャノン</v>
      </c>
      <c r="D527" s="3" t="str">
        <f ca="1">VLOOKUP($B527,OFFSET([1]quests!$A$1,0,0,COUNTA([1]quests!$A:$A),MATCH(D$1,[1]quests!$1:$1,0)-MATCH($B$1,[1]quests!$1:$1,0)+1),MATCH(D$1,[1]quests!$1:$1,0)-MATCH($B$1,[1]quests!$1:$1,0)+1,FALSE)</f>
        <v>ドロップイベント2-2</v>
      </c>
      <c r="E527" s="5">
        <v>2</v>
      </c>
      <c r="F527" s="3" t="str">
        <f ca="1">VLOOKUP($B527&amp;"_"&amp;$E527,OFFSET([1]stages!$A$1,0,0,COUNTA([1]stages!$A:$A),MATCH(F$1,[1]stages!$2:$2,0)-MATCH("temp_stage",[1]stages!$2:$2,0)+1),MATCH(F$1,[1]stages!$2:$2,0)-MATCH("temp_stage",[1]stages!$2:$2,0)+1,FALSE)</f>
        <v>【中級】ザ・キャノン(4タップ)</v>
      </c>
      <c r="G527" s="3" t="str">
        <f ca="1">VLOOKUP($B527&amp;"_"&amp;$E527,OFFSET([1]stages!$A$1,0,0,COUNTA([1]stages!$A:$A),MATCH(G$1,[1]stages!$2:$2,0)-MATCH("temp_stage",[1]stages!$2:$2,0)+1),MATCH(G$1,[1]stages!$2:$2,0)-MATCH("temp_stage",[1]stages!$2:$2,0)+1,FALSE)</f>
        <v>ドロップイベント2-2</v>
      </c>
      <c r="H527" s="18">
        <v>0</v>
      </c>
      <c r="I527">
        <v>34</v>
      </c>
      <c r="J527" s="5" t="s">
        <v>16</v>
      </c>
      <c r="K527" s="35" t="str">
        <f>VLOOKUP(I527,[2]stage_hints!$A:$C,3,FALSE)</f>
        <v>ステータスをスキルで下げられたら</v>
      </c>
      <c r="L527" s="36" t="str">
        <f>VLOOKUP(I527,[2]stage_hints!$A:$D,4,FALSE)</f>
        <v>ステータスダウンのスキルを受けたら_x000D_ステータスアップスキルで上書きしましょう</v>
      </c>
      <c r="M527" s="21" t="s">
        <v>23</v>
      </c>
      <c r="N527">
        <v>34</v>
      </c>
    </row>
    <row r="528" spans="1:14" x14ac:dyDescent="0.15">
      <c r="A528" s="26" t="s">
        <v>32</v>
      </c>
      <c r="B528" s="4">
        <v>20005</v>
      </c>
      <c r="C528" s="3" t="str">
        <f ca="1">VLOOKUP($B528,OFFSET([1]quests!$A$1,0,0,COUNTA([1]quests!$A:$A),MATCH(C$1,[1]quests!$1:$1,0)-MATCH($B$1,[1]quests!$1:$1,0)+1),MATCH(C$1,[1]quests!$1:$1,0)-MATCH($B$1,[1]quests!$1:$1,0)+1,FALSE)</f>
        <v>ザ・キャノン</v>
      </c>
      <c r="D528" s="3" t="str">
        <f ca="1">VLOOKUP($B528,OFFSET([1]quests!$A$1,0,0,COUNTA([1]quests!$A:$A),MATCH(D$1,[1]quests!$1:$1,0)-MATCH($B$1,[1]quests!$1:$1,0)+1),MATCH(D$1,[1]quests!$1:$1,0)-MATCH($B$1,[1]quests!$1:$1,0)+1,FALSE)</f>
        <v>ドロップイベント2-2</v>
      </c>
      <c r="E528" s="5">
        <v>2</v>
      </c>
      <c r="F528" s="3" t="str">
        <f ca="1">VLOOKUP($B528&amp;"_"&amp;$E528,OFFSET([1]stages!$A$1,0,0,COUNTA([1]stages!$A:$A),MATCH(F$1,[1]stages!$2:$2,0)-MATCH("temp_stage",[1]stages!$2:$2,0)+1),MATCH(F$1,[1]stages!$2:$2,0)-MATCH("temp_stage",[1]stages!$2:$2,0)+1,FALSE)</f>
        <v>【中級】ザ・キャノン(4タップ)</v>
      </c>
      <c r="G528" s="3" t="str">
        <f ca="1">VLOOKUP($B528&amp;"_"&amp;$E528,OFFSET([1]stages!$A$1,0,0,COUNTA([1]stages!$A:$A),MATCH(G$1,[1]stages!$2:$2,0)-MATCH("temp_stage",[1]stages!$2:$2,0)+1),MATCH(G$1,[1]stages!$2:$2,0)-MATCH("temp_stage",[1]stages!$2:$2,0)+1,FALSE)</f>
        <v>ドロップイベント2-2</v>
      </c>
      <c r="H528" s="18">
        <v>0</v>
      </c>
      <c r="I528">
        <v>35</v>
      </c>
      <c r="J528" s="5" t="s">
        <v>16</v>
      </c>
      <c r="K528" s="35" t="str">
        <f>VLOOKUP(I528,[2]stage_hints!$A:$C,3,FALSE)</f>
        <v>敵のステータスがスキルで上がったら</v>
      </c>
      <c r="L528" s="36" t="str">
        <f>VLOOKUP(I528,[2]stage_hints!$A:$D,4,FALSE)</f>
        <v>敵のステータスがスキルでアップしたときは_x000D_ステータスダウンスキルで上書きしましょう</v>
      </c>
      <c r="M528" s="21" t="s">
        <v>23</v>
      </c>
      <c r="N528">
        <v>35</v>
      </c>
    </row>
    <row r="529" spans="1:14" x14ac:dyDescent="0.15">
      <c r="A529" s="26" t="s">
        <v>32</v>
      </c>
      <c r="B529" s="4">
        <v>20006</v>
      </c>
      <c r="C529" s="3" t="str">
        <f ca="1">VLOOKUP($B529,OFFSET([1]quests!$A$1,0,0,COUNTA([1]quests!$A:$A),MATCH(C$1,[1]quests!$1:$1,0)-MATCH($B$1,[1]quests!$1:$1,0)+1),MATCH(C$1,[1]quests!$1:$1,0)-MATCH($B$1,[1]quests!$1:$1,0)+1,FALSE)</f>
        <v>スチール・プレデター</v>
      </c>
      <c r="D529" s="3" t="str">
        <f ca="1">VLOOKUP($B529,OFFSET([1]quests!$A$1,0,0,COUNTA([1]quests!$A:$A),MATCH(D$1,[1]quests!$1:$1,0)-MATCH($B$1,[1]quests!$1:$1,0)+1),MATCH(D$1,[1]quests!$1:$1,0)-MATCH($B$1,[1]quests!$1:$1,0)+1,FALSE)</f>
        <v>ドロップイベント2-3</v>
      </c>
      <c r="E529" s="5">
        <v>2</v>
      </c>
      <c r="F529" s="3" t="str">
        <f ca="1">VLOOKUP($B529&amp;"_"&amp;$E529,OFFSET([1]stages!$A$1,0,0,COUNTA([1]stages!$A:$A),MATCH(F$1,[1]stages!$2:$2,0)-MATCH("temp_stage",[1]stages!$2:$2,0)+1),MATCH(F$1,[1]stages!$2:$2,0)-MATCH("temp_stage",[1]stages!$2:$2,0)+1,FALSE)</f>
        <v>【中級】スチール・プレデター</v>
      </c>
      <c r="G529" s="3" t="str">
        <f ca="1">VLOOKUP($B529&amp;"_"&amp;$E529,OFFSET([1]stages!$A$1,0,0,COUNTA([1]stages!$A:$A),MATCH(G$1,[1]stages!$2:$2,0)-MATCH("temp_stage",[1]stages!$2:$2,0)+1),MATCH(G$1,[1]stages!$2:$2,0)-MATCH("temp_stage",[1]stages!$2:$2,0)+1,FALSE)</f>
        <v>ドロップイベント2-3</v>
      </c>
      <c r="H529" s="18">
        <v>0</v>
      </c>
      <c r="I529">
        <v>3</v>
      </c>
      <c r="J529" s="5" t="s">
        <v>16</v>
      </c>
      <c r="K529" s="35" t="str">
        <f>VLOOKUP(I529,[2]stage_hints!$A:$C,3,FALSE)</f>
        <v>ターゲット</v>
      </c>
      <c r="L529" s="36" t="str">
        <f>VLOOKUP(I529,[2]stage_hints!$A:$D,4,FALSE)</f>
        <v>敵ユニットをタップすると_x000D_その敵を狙い撃ちできます</v>
      </c>
      <c r="M529" s="21" t="s">
        <v>23</v>
      </c>
      <c r="N529">
        <v>3</v>
      </c>
    </row>
    <row r="530" spans="1:14" x14ac:dyDescent="0.15">
      <c r="A530" s="26" t="s">
        <v>32</v>
      </c>
      <c r="B530" s="4">
        <v>20006</v>
      </c>
      <c r="C530" s="3" t="str">
        <f ca="1">VLOOKUP($B530,OFFSET([1]quests!$A$1,0,0,COUNTA([1]quests!$A:$A),MATCH(C$1,[1]quests!$1:$1,0)-MATCH($B$1,[1]quests!$1:$1,0)+1),MATCH(C$1,[1]quests!$1:$1,0)-MATCH($B$1,[1]quests!$1:$1,0)+1,FALSE)</f>
        <v>スチール・プレデター</v>
      </c>
      <c r="D530" s="3" t="str">
        <f ca="1">VLOOKUP($B530,OFFSET([1]quests!$A$1,0,0,COUNTA([1]quests!$A:$A),MATCH(D$1,[1]quests!$1:$1,0)-MATCH($B$1,[1]quests!$1:$1,0)+1),MATCH(D$1,[1]quests!$1:$1,0)-MATCH($B$1,[1]quests!$1:$1,0)+1,FALSE)</f>
        <v>ドロップイベント2-3</v>
      </c>
      <c r="E530" s="5">
        <v>2</v>
      </c>
      <c r="F530" s="3" t="str">
        <f ca="1">VLOOKUP($B530&amp;"_"&amp;$E530,OFFSET([1]stages!$A$1,0,0,COUNTA([1]stages!$A:$A),MATCH(F$1,[1]stages!$2:$2,0)-MATCH("temp_stage",[1]stages!$2:$2,0)+1),MATCH(F$1,[1]stages!$2:$2,0)-MATCH("temp_stage",[1]stages!$2:$2,0)+1,FALSE)</f>
        <v>【中級】スチール・プレデター</v>
      </c>
      <c r="G530" s="3" t="str">
        <f ca="1">VLOOKUP($B530&amp;"_"&amp;$E530,OFFSET([1]stages!$A$1,0,0,COUNTA([1]stages!$A:$A),MATCH(G$1,[1]stages!$2:$2,0)-MATCH("temp_stage",[1]stages!$2:$2,0)+1),MATCH(G$1,[1]stages!$2:$2,0)-MATCH("temp_stage",[1]stages!$2:$2,0)+1,FALSE)</f>
        <v>ドロップイベント2-3</v>
      </c>
      <c r="H530" s="18">
        <v>0</v>
      </c>
      <c r="I530">
        <v>6</v>
      </c>
      <c r="J530" s="5" t="s">
        <v>16</v>
      </c>
      <c r="K530" s="35" t="str">
        <f>VLOOKUP(I530,[2]stage_hints!$A:$C,3,FALSE)</f>
        <v>ユニット強化の属性ボーナス</v>
      </c>
      <c r="L530" s="36" t="str">
        <f>VLOOKUP(I530,[2]stage_hints!$A:$D,4,FALSE)</f>
        <v>同属性ユニットを強化素材にすると_x000D_経験値が多くもらえます</v>
      </c>
      <c r="M530" s="21" t="s">
        <v>23</v>
      </c>
      <c r="N530">
        <v>6</v>
      </c>
    </row>
    <row r="531" spans="1:14" x14ac:dyDescent="0.15">
      <c r="A531" s="26" t="s">
        <v>32</v>
      </c>
      <c r="B531" s="4">
        <v>20006</v>
      </c>
      <c r="C531" s="3" t="str">
        <f ca="1">VLOOKUP($B531,OFFSET([1]quests!$A$1,0,0,COUNTA([1]quests!$A:$A),MATCH(C$1,[1]quests!$1:$1,0)-MATCH($B$1,[1]quests!$1:$1,0)+1),MATCH(C$1,[1]quests!$1:$1,0)-MATCH($B$1,[1]quests!$1:$1,0)+1,FALSE)</f>
        <v>スチール・プレデター</v>
      </c>
      <c r="D531" s="3" t="str">
        <f ca="1">VLOOKUP($B531,OFFSET([1]quests!$A$1,0,0,COUNTA([1]quests!$A:$A),MATCH(D$1,[1]quests!$1:$1,0)-MATCH($B$1,[1]quests!$1:$1,0)+1),MATCH(D$1,[1]quests!$1:$1,0)-MATCH($B$1,[1]quests!$1:$1,0)+1,FALSE)</f>
        <v>ドロップイベント2-3</v>
      </c>
      <c r="E531" s="5">
        <v>2</v>
      </c>
      <c r="F531" s="3" t="str">
        <f ca="1">VLOOKUP($B531&amp;"_"&amp;$E531,OFFSET([1]stages!$A$1,0,0,COUNTA([1]stages!$A:$A),MATCH(F$1,[1]stages!$2:$2,0)-MATCH("temp_stage",[1]stages!$2:$2,0)+1),MATCH(F$1,[1]stages!$2:$2,0)-MATCH("temp_stage",[1]stages!$2:$2,0)+1,FALSE)</f>
        <v>【中級】スチール・プレデター</v>
      </c>
      <c r="G531" s="3" t="str">
        <f ca="1">VLOOKUP($B531&amp;"_"&amp;$E531,OFFSET([1]stages!$A$1,0,0,COUNTA([1]stages!$A:$A),MATCH(G$1,[1]stages!$2:$2,0)-MATCH("temp_stage",[1]stages!$2:$2,0)+1),MATCH(G$1,[1]stages!$2:$2,0)-MATCH("temp_stage",[1]stages!$2:$2,0)+1,FALSE)</f>
        <v>ドロップイベント2-3</v>
      </c>
      <c r="H531" s="18">
        <v>0</v>
      </c>
      <c r="I531">
        <v>7</v>
      </c>
      <c r="J531" s="5" t="s">
        <v>16</v>
      </c>
      <c r="K531" s="35" t="str">
        <f>VLOOKUP(I531,[2]stage_hints!$A:$C,3,FALSE)</f>
        <v>メタルダックで経験値を獲得</v>
      </c>
      <c r="L531" s="36" t="str">
        <f>VLOOKUP(I531,[2]stage_hints!$A:$D,4,FALSE)</f>
        <v>「メタルなアヒル」を強化素材にすると_x000D_大量の経験値がもらえます</v>
      </c>
      <c r="M531" s="21" t="s">
        <v>23</v>
      </c>
      <c r="N531">
        <v>7</v>
      </c>
    </row>
    <row r="532" spans="1:14" x14ac:dyDescent="0.15">
      <c r="A532" s="26" t="s">
        <v>32</v>
      </c>
      <c r="B532" s="4">
        <v>20006</v>
      </c>
      <c r="C532" s="3" t="str">
        <f ca="1">VLOOKUP($B532,OFFSET([1]quests!$A$1,0,0,COUNTA([1]quests!$A:$A),MATCH(C$1,[1]quests!$1:$1,0)-MATCH($B$1,[1]quests!$1:$1,0)+1),MATCH(C$1,[1]quests!$1:$1,0)-MATCH($B$1,[1]quests!$1:$1,0)+1,FALSE)</f>
        <v>スチール・プレデター</v>
      </c>
      <c r="D532" s="3" t="str">
        <f ca="1">VLOOKUP($B532,OFFSET([1]quests!$A$1,0,0,COUNTA([1]quests!$A:$A),MATCH(D$1,[1]quests!$1:$1,0)-MATCH($B$1,[1]quests!$1:$1,0)+1),MATCH(D$1,[1]quests!$1:$1,0)-MATCH($B$1,[1]quests!$1:$1,0)+1,FALSE)</f>
        <v>ドロップイベント2-3</v>
      </c>
      <c r="E532" s="5">
        <v>2</v>
      </c>
      <c r="F532" s="3" t="str">
        <f ca="1">VLOOKUP($B532&amp;"_"&amp;$E532,OFFSET([1]stages!$A$1,0,0,COUNTA([1]stages!$A:$A),MATCH(F$1,[1]stages!$2:$2,0)-MATCH("temp_stage",[1]stages!$2:$2,0)+1),MATCH(F$1,[1]stages!$2:$2,0)-MATCH("temp_stage",[1]stages!$2:$2,0)+1,FALSE)</f>
        <v>【中級】スチール・プレデター</v>
      </c>
      <c r="G532" s="3" t="str">
        <f ca="1">VLOOKUP($B532&amp;"_"&amp;$E532,OFFSET([1]stages!$A$1,0,0,COUNTA([1]stages!$A:$A),MATCH(G$1,[1]stages!$2:$2,0)-MATCH("temp_stage",[1]stages!$2:$2,0)+1),MATCH(G$1,[1]stages!$2:$2,0)-MATCH("temp_stage",[1]stages!$2:$2,0)+1,FALSE)</f>
        <v>ドロップイベント2-3</v>
      </c>
      <c r="H532" s="18">
        <v>0</v>
      </c>
      <c r="I532">
        <v>8</v>
      </c>
      <c r="J532" s="5" t="s">
        <v>16</v>
      </c>
      <c r="K532" s="35" t="str">
        <f>VLOOKUP(I532,[2]stage_hints!$A:$C,3,FALSE)</f>
        <v>ゲリラクエストは要チェック</v>
      </c>
      <c r="L532" s="36" t="str">
        <f>VLOOKUP(I532,[2]stage_hints!$A:$D,4,FALSE)</f>
        <v>時間限定の「アヒル捕獲作戦」では_x000D_経験値素材ユニットが多く手に入ります</v>
      </c>
      <c r="M532" s="21" t="s">
        <v>23</v>
      </c>
      <c r="N532">
        <v>8</v>
      </c>
    </row>
    <row r="533" spans="1:14" x14ac:dyDescent="0.15">
      <c r="A533" s="26" t="s">
        <v>32</v>
      </c>
      <c r="B533" s="4">
        <v>20006</v>
      </c>
      <c r="C533" s="3" t="str">
        <f ca="1">VLOOKUP($B533,OFFSET([1]quests!$A$1,0,0,COUNTA([1]quests!$A:$A),MATCH(C$1,[1]quests!$1:$1,0)-MATCH($B$1,[1]quests!$1:$1,0)+1),MATCH(C$1,[1]quests!$1:$1,0)-MATCH($B$1,[1]quests!$1:$1,0)+1,FALSE)</f>
        <v>スチール・プレデター</v>
      </c>
      <c r="D533" s="3" t="str">
        <f ca="1">VLOOKUP($B533,OFFSET([1]quests!$A$1,0,0,COUNTA([1]quests!$A:$A),MATCH(D$1,[1]quests!$1:$1,0)-MATCH($B$1,[1]quests!$1:$1,0)+1),MATCH(D$1,[1]quests!$1:$1,0)-MATCH($B$1,[1]quests!$1:$1,0)+1,FALSE)</f>
        <v>ドロップイベント2-3</v>
      </c>
      <c r="E533" s="5">
        <v>2</v>
      </c>
      <c r="F533" s="3" t="str">
        <f ca="1">VLOOKUP($B533&amp;"_"&amp;$E533,OFFSET([1]stages!$A$1,0,0,COUNTA([1]stages!$A:$A),MATCH(F$1,[1]stages!$2:$2,0)-MATCH("temp_stage",[1]stages!$2:$2,0)+1),MATCH(F$1,[1]stages!$2:$2,0)-MATCH("temp_stage",[1]stages!$2:$2,0)+1,FALSE)</f>
        <v>【中級】スチール・プレデター</v>
      </c>
      <c r="G533" s="3" t="str">
        <f ca="1">VLOOKUP($B533&amp;"_"&amp;$E533,OFFSET([1]stages!$A$1,0,0,COUNTA([1]stages!$A:$A),MATCH(G$1,[1]stages!$2:$2,0)-MATCH("temp_stage",[1]stages!$2:$2,0)+1),MATCH(G$1,[1]stages!$2:$2,0)-MATCH("temp_stage",[1]stages!$2:$2,0)+1,FALSE)</f>
        <v>ドロップイベント2-3</v>
      </c>
      <c r="H533" s="18">
        <v>0</v>
      </c>
      <c r="I533">
        <v>9</v>
      </c>
      <c r="J533" s="5" t="s">
        <v>16</v>
      </c>
      <c r="K533" s="35" t="str">
        <f>VLOOKUP(I533,[2]stage_hints!$A:$C,3,FALSE)</f>
        <v>ゴールドダックでビットを獲得</v>
      </c>
      <c r="L533" s="36" t="str">
        <f>VLOOKUP(I533,[2]stage_hints!$A:$D,4,FALSE)</f>
        <v>「ゴールドなアヒル」を売却すると_x000D_大量のビットがもらえます</v>
      </c>
      <c r="M533" s="21" t="s">
        <v>23</v>
      </c>
      <c r="N533">
        <v>9</v>
      </c>
    </row>
    <row r="534" spans="1:14" x14ac:dyDescent="0.15">
      <c r="A534" s="26" t="s">
        <v>32</v>
      </c>
      <c r="B534" s="4">
        <v>20006</v>
      </c>
      <c r="C534" s="3" t="str">
        <f ca="1">VLOOKUP($B534,OFFSET([1]quests!$A$1,0,0,COUNTA([1]quests!$A:$A),MATCH(C$1,[1]quests!$1:$1,0)-MATCH($B$1,[1]quests!$1:$1,0)+1),MATCH(C$1,[1]quests!$1:$1,0)-MATCH($B$1,[1]quests!$1:$1,0)+1,FALSE)</f>
        <v>スチール・プレデター</v>
      </c>
      <c r="D534" s="3" t="str">
        <f ca="1">VLOOKUP($B534,OFFSET([1]quests!$A$1,0,0,COUNTA([1]quests!$A:$A),MATCH(D$1,[1]quests!$1:$1,0)-MATCH($B$1,[1]quests!$1:$1,0)+1),MATCH(D$1,[1]quests!$1:$1,0)-MATCH($B$1,[1]quests!$1:$1,0)+1,FALSE)</f>
        <v>ドロップイベント2-3</v>
      </c>
      <c r="E534" s="5">
        <v>2</v>
      </c>
      <c r="F534" s="3" t="str">
        <f ca="1">VLOOKUP($B534&amp;"_"&amp;$E534,OFFSET([1]stages!$A$1,0,0,COUNTA([1]stages!$A:$A),MATCH(F$1,[1]stages!$2:$2,0)-MATCH("temp_stage",[1]stages!$2:$2,0)+1),MATCH(F$1,[1]stages!$2:$2,0)-MATCH("temp_stage",[1]stages!$2:$2,0)+1,FALSE)</f>
        <v>【中級】スチール・プレデター</v>
      </c>
      <c r="G534" s="3" t="str">
        <f ca="1">VLOOKUP($B534&amp;"_"&amp;$E534,OFFSET([1]stages!$A$1,0,0,COUNTA([1]stages!$A:$A),MATCH(G$1,[1]stages!$2:$2,0)-MATCH("temp_stage",[1]stages!$2:$2,0)+1),MATCH(G$1,[1]stages!$2:$2,0)-MATCH("temp_stage",[1]stages!$2:$2,0)+1,FALSE)</f>
        <v>ドロップイベント2-3</v>
      </c>
      <c r="H534" s="18">
        <v>0</v>
      </c>
      <c r="I534">
        <v>10</v>
      </c>
      <c r="J534" s="5" t="s">
        <v>16</v>
      </c>
      <c r="K534" s="35" t="str">
        <f>VLOOKUP(I534,[2]stage_hints!$A:$C,3,FALSE)</f>
        <v>土日に大量のビットを獲得</v>
      </c>
      <c r="L534" s="36" t="str">
        <f>VLOOKUP(I534,[2]stage_hints!$A:$D,4,FALSE)</f>
        <v>土日限定の「ゴールドカジノ」では_x000D_売却素材ユニットが多く手に入ります</v>
      </c>
      <c r="M534" s="21" t="s">
        <v>23</v>
      </c>
      <c r="N534">
        <v>10</v>
      </c>
    </row>
    <row r="535" spans="1:14" x14ac:dyDescent="0.15">
      <c r="A535" s="26" t="s">
        <v>32</v>
      </c>
      <c r="B535" s="4">
        <v>20006</v>
      </c>
      <c r="C535" s="3" t="str">
        <f ca="1">VLOOKUP($B535,OFFSET([1]quests!$A$1,0,0,COUNTA([1]quests!$A:$A),MATCH(C$1,[1]quests!$1:$1,0)-MATCH($B$1,[1]quests!$1:$1,0)+1),MATCH(C$1,[1]quests!$1:$1,0)-MATCH($B$1,[1]quests!$1:$1,0)+1,FALSE)</f>
        <v>スチール・プレデター</v>
      </c>
      <c r="D535" s="3" t="str">
        <f ca="1">VLOOKUP($B535,OFFSET([1]quests!$A$1,0,0,COUNTA([1]quests!$A:$A),MATCH(D$1,[1]quests!$1:$1,0)-MATCH($B$1,[1]quests!$1:$1,0)+1),MATCH(D$1,[1]quests!$1:$1,0)-MATCH($B$1,[1]quests!$1:$1,0)+1,FALSE)</f>
        <v>ドロップイベント2-3</v>
      </c>
      <c r="E535" s="5">
        <v>2</v>
      </c>
      <c r="F535" s="3" t="str">
        <f ca="1">VLOOKUP($B535&amp;"_"&amp;$E535,OFFSET([1]stages!$A$1,0,0,COUNTA([1]stages!$A:$A),MATCH(F$1,[1]stages!$2:$2,0)-MATCH("temp_stage",[1]stages!$2:$2,0)+1),MATCH(F$1,[1]stages!$2:$2,0)-MATCH("temp_stage",[1]stages!$2:$2,0)+1,FALSE)</f>
        <v>【中級】スチール・プレデター</v>
      </c>
      <c r="G535" s="3" t="str">
        <f ca="1">VLOOKUP($B535&amp;"_"&amp;$E535,OFFSET([1]stages!$A$1,0,0,COUNTA([1]stages!$A:$A),MATCH(G$1,[1]stages!$2:$2,0)-MATCH("temp_stage",[1]stages!$2:$2,0)+1),MATCH(G$1,[1]stages!$2:$2,0)-MATCH("temp_stage",[1]stages!$2:$2,0)+1,FALSE)</f>
        <v>ドロップイベント2-3</v>
      </c>
      <c r="H535" s="18">
        <v>0</v>
      </c>
      <c r="I535">
        <v>11</v>
      </c>
      <c r="J535" s="5" t="s">
        <v>16</v>
      </c>
      <c r="K535" s="35" t="str">
        <f>VLOOKUP(I535,[2]stage_hints!$A:$C,3,FALSE)</f>
        <v>ランク解放クエスト</v>
      </c>
      <c r="L535" s="36" t="str">
        <f>VLOOKUP(I535,[2]stage_hints!$A:$D,4,FALSE)</f>
        <v>一定ランクに到達すると_x000D_報酬付きのランク開放クエストが現れます</v>
      </c>
      <c r="M535" s="21" t="s">
        <v>23</v>
      </c>
      <c r="N535">
        <v>11</v>
      </c>
    </row>
    <row r="536" spans="1:14" x14ac:dyDescent="0.15">
      <c r="A536" s="26" t="s">
        <v>32</v>
      </c>
      <c r="B536" s="4">
        <v>20006</v>
      </c>
      <c r="C536" s="3" t="str">
        <f ca="1">VLOOKUP($B536,OFFSET([1]quests!$A$1,0,0,COUNTA([1]quests!$A:$A),MATCH(C$1,[1]quests!$1:$1,0)-MATCH($B$1,[1]quests!$1:$1,0)+1),MATCH(C$1,[1]quests!$1:$1,0)-MATCH($B$1,[1]quests!$1:$1,0)+1,FALSE)</f>
        <v>スチール・プレデター</v>
      </c>
      <c r="D536" s="3" t="str">
        <f ca="1">VLOOKUP($B536,OFFSET([1]quests!$A$1,0,0,COUNTA([1]quests!$A:$A),MATCH(D$1,[1]quests!$1:$1,0)-MATCH($B$1,[1]quests!$1:$1,0)+1),MATCH(D$1,[1]quests!$1:$1,0)-MATCH($B$1,[1]quests!$1:$1,0)+1,FALSE)</f>
        <v>ドロップイベント2-3</v>
      </c>
      <c r="E536" s="5">
        <v>2</v>
      </c>
      <c r="F536" s="3" t="str">
        <f ca="1">VLOOKUP($B536&amp;"_"&amp;$E536,OFFSET([1]stages!$A$1,0,0,COUNTA([1]stages!$A:$A),MATCH(F$1,[1]stages!$2:$2,0)-MATCH("temp_stage",[1]stages!$2:$2,0)+1),MATCH(F$1,[1]stages!$2:$2,0)-MATCH("temp_stage",[1]stages!$2:$2,0)+1,FALSE)</f>
        <v>【中級】スチール・プレデター</v>
      </c>
      <c r="G536" s="3" t="str">
        <f ca="1">VLOOKUP($B536&amp;"_"&amp;$E536,OFFSET([1]stages!$A$1,0,0,COUNTA([1]stages!$A:$A),MATCH(G$1,[1]stages!$2:$2,0)-MATCH("temp_stage",[1]stages!$2:$2,0)+1),MATCH(G$1,[1]stages!$2:$2,0)-MATCH("temp_stage",[1]stages!$2:$2,0)+1,FALSE)</f>
        <v>ドロップイベント2-3</v>
      </c>
      <c r="H536" s="18">
        <v>0</v>
      </c>
      <c r="I536">
        <v>12</v>
      </c>
      <c r="J536" s="5" t="s">
        <v>16</v>
      </c>
      <c r="K536" s="35" t="str">
        <f>VLOOKUP(I536,[2]stage_hints!$A:$C,3,FALSE)</f>
        <v>ユニットのお気に入り登録</v>
      </c>
      <c r="L536" s="36" t="str">
        <f>VLOOKUP(I536,[2]stage_hints!$A:$D,4,FALSE)</f>
        <v>大事なユニットを誤って消さないように_x000D_フォルダから「お気に入り登録」しましょう</v>
      </c>
      <c r="M536" s="21" t="s">
        <v>23</v>
      </c>
      <c r="N536">
        <v>12</v>
      </c>
    </row>
    <row r="537" spans="1:14" x14ac:dyDescent="0.15">
      <c r="A537" s="26" t="s">
        <v>32</v>
      </c>
      <c r="B537" s="4">
        <v>20006</v>
      </c>
      <c r="C537" s="3" t="str">
        <f ca="1">VLOOKUP($B537,OFFSET([1]quests!$A$1,0,0,COUNTA([1]quests!$A:$A),MATCH(C$1,[1]quests!$1:$1,0)-MATCH($B$1,[1]quests!$1:$1,0)+1),MATCH(C$1,[1]quests!$1:$1,0)-MATCH($B$1,[1]quests!$1:$1,0)+1,FALSE)</f>
        <v>スチール・プレデター</v>
      </c>
      <c r="D537" s="3" t="str">
        <f ca="1">VLOOKUP($B537,OFFSET([1]quests!$A$1,0,0,COUNTA([1]quests!$A:$A),MATCH(D$1,[1]quests!$1:$1,0)-MATCH($B$1,[1]quests!$1:$1,0)+1),MATCH(D$1,[1]quests!$1:$1,0)-MATCH($B$1,[1]quests!$1:$1,0)+1,FALSE)</f>
        <v>ドロップイベント2-3</v>
      </c>
      <c r="E537" s="5">
        <v>2</v>
      </c>
      <c r="F537" s="3" t="str">
        <f ca="1">VLOOKUP($B537&amp;"_"&amp;$E537,OFFSET([1]stages!$A$1,0,0,COUNTA([1]stages!$A:$A),MATCH(F$1,[1]stages!$2:$2,0)-MATCH("temp_stage",[1]stages!$2:$2,0)+1),MATCH(F$1,[1]stages!$2:$2,0)-MATCH("temp_stage",[1]stages!$2:$2,0)+1,FALSE)</f>
        <v>【中級】スチール・プレデター</v>
      </c>
      <c r="G537" s="3" t="str">
        <f ca="1">VLOOKUP($B537&amp;"_"&amp;$E537,OFFSET([1]stages!$A$1,0,0,COUNTA([1]stages!$A:$A),MATCH(G$1,[1]stages!$2:$2,0)-MATCH("temp_stage",[1]stages!$2:$2,0)+1),MATCH(G$1,[1]stages!$2:$2,0)-MATCH("temp_stage",[1]stages!$2:$2,0)+1,FALSE)</f>
        <v>ドロップイベント2-3</v>
      </c>
      <c r="H537" s="18">
        <v>0</v>
      </c>
      <c r="I537">
        <v>13</v>
      </c>
      <c r="J537" s="5" t="s">
        <v>16</v>
      </c>
      <c r="K537" s="35" t="str">
        <f>VLOOKUP(I537,[2]stage_hints!$A:$C,3,FALSE)</f>
        <v>ユニットの覚醒</v>
      </c>
      <c r="L537" s="36" t="str">
        <f>VLOOKUP(I537,[2]stage_hints!$A:$D,4,FALSE)</f>
        <v>ユニットを覚醒させると_x000D_比べものにならない強さが手に入ります</v>
      </c>
      <c r="M537" s="21" t="s">
        <v>23</v>
      </c>
      <c r="N537">
        <v>13</v>
      </c>
    </row>
    <row r="538" spans="1:14" x14ac:dyDescent="0.15">
      <c r="A538" s="26" t="s">
        <v>32</v>
      </c>
      <c r="B538" s="4">
        <v>20006</v>
      </c>
      <c r="C538" s="3" t="str">
        <f ca="1">VLOOKUP($B538,OFFSET([1]quests!$A$1,0,0,COUNTA([1]quests!$A:$A),MATCH(C$1,[1]quests!$1:$1,0)-MATCH($B$1,[1]quests!$1:$1,0)+1),MATCH(C$1,[1]quests!$1:$1,0)-MATCH($B$1,[1]quests!$1:$1,0)+1,FALSE)</f>
        <v>スチール・プレデター</v>
      </c>
      <c r="D538" s="3" t="str">
        <f ca="1">VLOOKUP($B538,OFFSET([1]quests!$A$1,0,0,COUNTA([1]quests!$A:$A),MATCH(D$1,[1]quests!$1:$1,0)-MATCH($B$1,[1]quests!$1:$1,0)+1),MATCH(D$1,[1]quests!$1:$1,0)-MATCH($B$1,[1]quests!$1:$1,0)+1,FALSE)</f>
        <v>ドロップイベント2-3</v>
      </c>
      <c r="E538" s="5">
        <v>2</v>
      </c>
      <c r="F538" s="3" t="str">
        <f ca="1">VLOOKUP($B538&amp;"_"&amp;$E538,OFFSET([1]stages!$A$1,0,0,COUNTA([1]stages!$A:$A),MATCH(F$1,[1]stages!$2:$2,0)-MATCH("temp_stage",[1]stages!$2:$2,0)+1),MATCH(F$1,[1]stages!$2:$2,0)-MATCH("temp_stage",[1]stages!$2:$2,0)+1,FALSE)</f>
        <v>【中級】スチール・プレデター</v>
      </c>
      <c r="G538" s="3" t="str">
        <f ca="1">VLOOKUP($B538&amp;"_"&amp;$E538,OFFSET([1]stages!$A$1,0,0,COUNTA([1]stages!$A:$A),MATCH(G$1,[1]stages!$2:$2,0)-MATCH("temp_stage",[1]stages!$2:$2,0)+1),MATCH(G$1,[1]stages!$2:$2,0)-MATCH("temp_stage",[1]stages!$2:$2,0)+1,FALSE)</f>
        <v>ドロップイベント2-3</v>
      </c>
      <c r="H538" s="18">
        <v>0</v>
      </c>
      <c r="I538">
        <v>14</v>
      </c>
      <c r="J538" s="5" t="s">
        <v>16</v>
      </c>
      <c r="K538" s="35" t="str">
        <f>VLOOKUP(I538,[2]stage_hints!$A:$C,3,FALSE)</f>
        <v>覚醒するにはレベルを最大に</v>
      </c>
      <c r="L538" s="36" t="str">
        <f>VLOOKUP(I538,[2]stage_hints!$A:$D,4,FALSE)</f>
        <v>覚醒するにはユニットのレベルを_x000D_最大まで上げる必要があります</v>
      </c>
      <c r="M538" s="21" t="s">
        <v>23</v>
      </c>
      <c r="N538">
        <v>14</v>
      </c>
    </row>
    <row r="539" spans="1:14" x14ac:dyDescent="0.15">
      <c r="A539" s="26" t="s">
        <v>32</v>
      </c>
      <c r="B539" s="4">
        <v>20006</v>
      </c>
      <c r="C539" s="3" t="str">
        <f ca="1">VLOOKUP($B539,OFFSET([1]quests!$A$1,0,0,COUNTA([1]quests!$A:$A),MATCH(C$1,[1]quests!$1:$1,0)-MATCH($B$1,[1]quests!$1:$1,0)+1),MATCH(C$1,[1]quests!$1:$1,0)-MATCH($B$1,[1]quests!$1:$1,0)+1,FALSE)</f>
        <v>スチール・プレデター</v>
      </c>
      <c r="D539" s="3" t="str">
        <f ca="1">VLOOKUP($B539,OFFSET([1]quests!$A$1,0,0,COUNTA([1]quests!$A:$A),MATCH(D$1,[1]quests!$1:$1,0)-MATCH($B$1,[1]quests!$1:$1,0)+1),MATCH(D$1,[1]quests!$1:$1,0)-MATCH($B$1,[1]quests!$1:$1,0)+1,FALSE)</f>
        <v>ドロップイベント2-3</v>
      </c>
      <c r="E539" s="5">
        <v>2</v>
      </c>
      <c r="F539" s="3" t="str">
        <f ca="1">VLOOKUP($B539&amp;"_"&amp;$E539,OFFSET([1]stages!$A$1,0,0,COUNTA([1]stages!$A:$A),MATCH(F$1,[1]stages!$2:$2,0)-MATCH("temp_stage",[1]stages!$2:$2,0)+1),MATCH(F$1,[1]stages!$2:$2,0)-MATCH("temp_stage",[1]stages!$2:$2,0)+1,FALSE)</f>
        <v>【中級】スチール・プレデター</v>
      </c>
      <c r="G539" s="3" t="str">
        <f ca="1">VLOOKUP($B539&amp;"_"&amp;$E539,OFFSET([1]stages!$A$1,0,0,COUNTA([1]stages!$A:$A),MATCH(G$1,[1]stages!$2:$2,0)-MATCH("temp_stage",[1]stages!$2:$2,0)+1),MATCH(G$1,[1]stages!$2:$2,0)-MATCH("temp_stage",[1]stages!$2:$2,0)+1,FALSE)</f>
        <v>ドロップイベント2-3</v>
      </c>
      <c r="H539" s="18">
        <v>0</v>
      </c>
      <c r="I539">
        <v>15</v>
      </c>
      <c r="J539" s="5" t="s">
        <v>16</v>
      </c>
      <c r="K539" s="35" t="str">
        <f>VLOOKUP(I539,[2]stage_hints!$A:$C,3,FALSE)</f>
        <v>覚醒素材を獲得</v>
      </c>
      <c r="L539" s="36" t="str">
        <f>VLOOKUP(I539,[2]stage_hints!$A:$D,4,FALSE)</f>
        <v>「曜日クエスト」では_x000D_ユニットの覚醒に必要な素材が手に入ります</v>
      </c>
      <c r="M539" s="21" t="s">
        <v>23</v>
      </c>
      <c r="N539">
        <v>15</v>
      </c>
    </row>
    <row r="540" spans="1:14" x14ac:dyDescent="0.15">
      <c r="A540" s="26" t="s">
        <v>32</v>
      </c>
      <c r="B540" s="4">
        <v>20006</v>
      </c>
      <c r="C540" s="3" t="str">
        <f ca="1">VLOOKUP($B540,OFFSET([1]quests!$A$1,0,0,COUNTA([1]quests!$A:$A),MATCH(C$1,[1]quests!$1:$1,0)-MATCH($B$1,[1]quests!$1:$1,0)+1),MATCH(C$1,[1]quests!$1:$1,0)-MATCH($B$1,[1]quests!$1:$1,0)+1,FALSE)</f>
        <v>スチール・プレデター</v>
      </c>
      <c r="D540" s="3" t="str">
        <f ca="1">VLOOKUP($B540,OFFSET([1]quests!$A$1,0,0,COUNTA([1]quests!$A:$A),MATCH(D$1,[1]quests!$1:$1,0)-MATCH($B$1,[1]quests!$1:$1,0)+1),MATCH(D$1,[1]quests!$1:$1,0)-MATCH($B$1,[1]quests!$1:$1,0)+1,FALSE)</f>
        <v>ドロップイベント2-3</v>
      </c>
      <c r="E540" s="5">
        <v>2</v>
      </c>
      <c r="F540" s="3" t="str">
        <f ca="1">VLOOKUP($B540&amp;"_"&amp;$E540,OFFSET([1]stages!$A$1,0,0,COUNTA([1]stages!$A:$A),MATCH(F$1,[1]stages!$2:$2,0)-MATCH("temp_stage",[1]stages!$2:$2,0)+1),MATCH(F$1,[1]stages!$2:$2,0)-MATCH("temp_stage",[1]stages!$2:$2,0)+1,FALSE)</f>
        <v>【中級】スチール・プレデター</v>
      </c>
      <c r="G540" s="3" t="str">
        <f ca="1">VLOOKUP($B540&amp;"_"&amp;$E540,OFFSET([1]stages!$A$1,0,0,COUNTA([1]stages!$A:$A),MATCH(G$1,[1]stages!$2:$2,0)-MATCH("temp_stage",[1]stages!$2:$2,0)+1),MATCH(G$1,[1]stages!$2:$2,0)-MATCH("temp_stage",[1]stages!$2:$2,0)+1,FALSE)</f>
        <v>ドロップイベント2-3</v>
      </c>
      <c r="H540" s="18">
        <v>0</v>
      </c>
      <c r="I540">
        <v>16</v>
      </c>
      <c r="J540" s="5" t="s">
        <v>16</v>
      </c>
      <c r="K540" s="35" t="str">
        <f>VLOOKUP(I540,[2]stage_hints!$A:$C,3,FALSE)</f>
        <v>マルチプレイのメリット（その1）</v>
      </c>
      <c r="L540" s="36" t="str">
        <f>VLOOKUP(I540,[2]stage_hints!$A:$D,4,FALSE)</f>
        <v>他のプレイヤーとマルチプレイで遊ぶと_x000D_ポリゴンがもらえます（100人まで）</v>
      </c>
      <c r="M540" s="21" t="s">
        <v>23</v>
      </c>
      <c r="N540">
        <v>16</v>
      </c>
    </row>
    <row r="541" spans="1:14" x14ac:dyDescent="0.15">
      <c r="A541" s="26" t="s">
        <v>32</v>
      </c>
      <c r="B541" s="4">
        <v>20006</v>
      </c>
      <c r="C541" s="3" t="str">
        <f ca="1">VLOOKUP($B541,OFFSET([1]quests!$A$1,0,0,COUNTA([1]quests!$A:$A),MATCH(C$1,[1]quests!$1:$1,0)-MATCH($B$1,[1]quests!$1:$1,0)+1),MATCH(C$1,[1]quests!$1:$1,0)-MATCH($B$1,[1]quests!$1:$1,0)+1,FALSE)</f>
        <v>スチール・プレデター</v>
      </c>
      <c r="D541" s="3" t="str">
        <f ca="1">VLOOKUP($B541,OFFSET([1]quests!$A$1,0,0,COUNTA([1]quests!$A:$A),MATCH(D$1,[1]quests!$1:$1,0)-MATCH($B$1,[1]quests!$1:$1,0)+1),MATCH(D$1,[1]quests!$1:$1,0)-MATCH($B$1,[1]quests!$1:$1,0)+1,FALSE)</f>
        <v>ドロップイベント2-3</v>
      </c>
      <c r="E541" s="5">
        <v>2</v>
      </c>
      <c r="F541" s="3" t="str">
        <f ca="1">VLOOKUP($B541&amp;"_"&amp;$E541,OFFSET([1]stages!$A$1,0,0,COUNTA([1]stages!$A:$A),MATCH(F$1,[1]stages!$2:$2,0)-MATCH("temp_stage",[1]stages!$2:$2,0)+1),MATCH(F$1,[1]stages!$2:$2,0)-MATCH("temp_stage",[1]stages!$2:$2,0)+1,FALSE)</f>
        <v>【中級】スチール・プレデター</v>
      </c>
      <c r="G541" s="3" t="str">
        <f ca="1">VLOOKUP($B541&amp;"_"&amp;$E541,OFFSET([1]stages!$A$1,0,0,COUNTA([1]stages!$A:$A),MATCH(G$1,[1]stages!$2:$2,0)-MATCH("temp_stage",[1]stages!$2:$2,0)+1),MATCH(G$1,[1]stages!$2:$2,0)-MATCH("temp_stage",[1]stages!$2:$2,0)+1,FALSE)</f>
        <v>ドロップイベント2-3</v>
      </c>
      <c r="H541" s="18">
        <v>0</v>
      </c>
      <c r="I541">
        <v>17</v>
      </c>
      <c r="J541" s="5" t="s">
        <v>16</v>
      </c>
      <c r="K541" s="35" t="str">
        <f>VLOOKUP(I541,[2]stage_hints!$A:$C,3,FALSE)</f>
        <v>リンクガチャ</v>
      </c>
      <c r="L541" s="36" t="str">
        <f>VLOOKUP(I541,[2]stage_hints!$A:$D,4,FALSE)</f>
        <v>無料のリンクガチャを回して_x000D_経験値素材や売却素材を獲得しましょう</v>
      </c>
      <c r="M541" s="21" t="s">
        <v>23</v>
      </c>
      <c r="N541">
        <v>17</v>
      </c>
    </row>
    <row r="542" spans="1:14" x14ac:dyDescent="0.15">
      <c r="A542" s="26" t="s">
        <v>32</v>
      </c>
      <c r="B542" s="4">
        <v>20006</v>
      </c>
      <c r="C542" s="3" t="str">
        <f ca="1">VLOOKUP($B542,OFFSET([1]quests!$A$1,0,0,COUNTA([1]quests!$A:$A),MATCH(C$1,[1]quests!$1:$1,0)-MATCH($B$1,[1]quests!$1:$1,0)+1),MATCH(C$1,[1]quests!$1:$1,0)-MATCH($B$1,[1]quests!$1:$1,0)+1,FALSE)</f>
        <v>スチール・プレデター</v>
      </c>
      <c r="D542" s="3" t="str">
        <f ca="1">VLOOKUP($B542,OFFSET([1]quests!$A$1,0,0,COUNTA([1]quests!$A:$A),MATCH(D$1,[1]quests!$1:$1,0)-MATCH($B$1,[1]quests!$1:$1,0)+1),MATCH(D$1,[1]quests!$1:$1,0)-MATCH($B$1,[1]quests!$1:$1,0)+1,FALSE)</f>
        <v>ドロップイベント2-3</v>
      </c>
      <c r="E542" s="5">
        <v>2</v>
      </c>
      <c r="F542" s="3" t="str">
        <f ca="1">VLOOKUP($B542&amp;"_"&amp;$E542,OFFSET([1]stages!$A$1,0,0,COUNTA([1]stages!$A:$A),MATCH(F$1,[1]stages!$2:$2,0)-MATCH("temp_stage",[1]stages!$2:$2,0)+1),MATCH(F$1,[1]stages!$2:$2,0)-MATCH("temp_stage",[1]stages!$2:$2,0)+1,FALSE)</f>
        <v>【中級】スチール・プレデター</v>
      </c>
      <c r="G542" s="3" t="str">
        <f ca="1">VLOOKUP($B542&amp;"_"&amp;$E542,OFFSET([1]stages!$A$1,0,0,COUNTA([1]stages!$A:$A),MATCH(G$1,[1]stages!$2:$2,0)-MATCH("temp_stage",[1]stages!$2:$2,0)+1),MATCH(G$1,[1]stages!$2:$2,0)-MATCH("temp_stage",[1]stages!$2:$2,0)+1,FALSE)</f>
        <v>ドロップイベント2-3</v>
      </c>
      <c r="H542" s="18">
        <v>0</v>
      </c>
      <c r="I542">
        <v>18</v>
      </c>
      <c r="J542" s="5" t="s">
        <v>16</v>
      </c>
      <c r="K542" s="35" t="str">
        <f>VLOOKUP(I542,[2]stage_hints!$A:$C,3,FALSE)</f>
        <v>マルチプレイのメリット（その2）</v>
      </c>
      <c r="L542" s="36" t="str">
        <f>VLOOKUP(I542,[2]stage_hints!$A:$D,4,FALSE)</f>
        <v>マルチプレイならリンクが2倍もらえます_x000D_リンクガチャをたくさん回しましょう</v>
      </c>
      <c r="M542" s="21" t="s">
        <v>23</v>
      </c>
      <c r="N542">
        <v>18</v>
      </c>
    </row>
    <row r="543" spans="1:14" x14ac:dyDescent="0.15">
      <c r="A543" s="26" t="s">
        <v>32</v>
      </c>
      <c r="B543" s="4">
        <v>20006</v>
      </c>
      <c r="C543" s="3" t="str">
        <f ca="1">VLOOKUP($B543,OFFSET([1]quests!$A$1,0,0,COUNTA([1]quests!$A:$A),MATCH(C$1,[1]quests!$1:$1,0)-MATCH($B$1,[1]quests!$1:$1,0)+1),MATCH(C$1,[1]quests!$1:$1,0)-MATCH($B$1,[1]quests!$1:$1,0)+1,FALSE)</f>
        <v>スチール・プレデター</v>
      </c>
      <c r="D543" s="3" t="str">
        <f ca="1">VLOOKUP($B543,OFFSET([1]quests!$A$1,0,0,COUNTA([1]quests!$A:$A),MATCH(D$1,[1]quests!$1:$1,0)-MATCH($B$1,[1]quests!$1:$1,0)+1),MATCH(D$1,[1]quests!$1:$1,0)-MATCH($B$1,[1]quests!$1:$1,0)+1,FALSE)</f>
        <v>ドロップイベント2-3</v>
      </c>
      <c r="E543" s="5">
        <v>2</v>
      </c>
      <c r="F543" s="3" t="str">
        <f ca="1">VLOOKUP($B543&amp;"_"&amp;$E543,OFFSET([1]stages!$A$1,0,0,COUNTA([1]stages!$A:$A),MATCH(F$1,[1]stages!$2:$2,0)-MATCH("temp_stage",[1]stages!$2:$2,0)+1),MATCH(F$1,[1]stages!$2:$2,0)-MATCH("temp_stage",[1]stages!$2:$2,0)+1,FALSE)</f>
        <v>【中級】スチール・プレデター</v>
      </c>
      <c r="G543" s="3" t="str">
        <f ca="1">VLOOKUP($B543&amp;"_"&amp;$E543,OFFSET([1]stages!$A$1,0,0,COUNTA([1]stages!$A:$A),MATCH(G$1,[1]stages!$2:$2,0)-MATCH("temp_stage",[1]stages!$2:$2,0)+1),MATCH(G$1,[1]stages!$2:$2,0)-MATCH("temp_stage",[1]stages!$2:$2,0)+1,FALSE)</f>
        <v>ドロップイベント2-3</v>
      </c>
      <c r="H543" s="18">
        <v>0</v>
      </c>
      <c r="I543">
        <v>19</v>
      </c>
      <c r="J543" s="5" t="s">
        <v>16</v>
      </c>
      <c r="K543" s="35" t="str">
        <f>VLOOKUP(I543,[2]stage_hints!$A:$C,3,FALSE)</f>
        <v>ソロ専用チャレンジタワー</v>
      </c>
      <c r="L543" s="36" t="str">
        <f>VLOOKUP(I543,[2]stage_hints!$A:$D,4,FALSE)</f>
        <v>ソロ専用の「チャレンジタワー」では_x000D_各フロアごとにクリア報酬がもらえます</v>
      </c>
      <c r="M543" s="21" t="s">
        <v>23</v>
      </c>
      <c r="N543">
        <v>19</v>
      </c>
    </row>
    <row r="544" spans="1:14" x14ac:dyDescent="0.15">
      <c r="A544" s="26" t="s">
        <v>32</v>
      </c>
      <c r="B544" s="4">
        <v>20006</v>
      </c>
      <c r="C544" s="3" t="str">
        <f ca="1">VLOOKUP($B544,OFFSET([1]quests!$A$1,0,0,COUNTA([1]quests!$A:$A),MATCH(C$1,[1]quests!$1:$1,0)-MATCH($B$1,[1]quests!$1:$1,0)+1),MATCH(C$1,[1]quests!$1:$1,0)-MATCH($B$1,[1]quests!$1:$1,0)+1,FALSE)</f>
        <v>スチール・プレデター</v>
      </c>
      <c r="D544" s="3" t="str">
        <f ca="1">VLOOKUP($B544,OFFSET([1]quests!$A$1,0,0,COUNTA([1]quests!$A:$A),MATCH(D$1,[1]quests!$1:$1,0)-MATCH($B$1,[1]quests!$1:$1,0)+1),MATCH(D$1,[1]quests!$1:$1,0)-MATCH($B$1,[1]quests!$1:$1,0)+1,FALSE)</f>
        <v>ドロップイベント2-3</v>
      </c>
      <c r="E544" s="5">
        <v>2</v>
      </c>
      <c r="F544" s="3" t="str">
        <f ca="1">VLOOKUP($B544&amp;"_"&amp;$E544,OFFSET([1]stages!$A$1,0,0,COUNTA([1]stages!$A:$A),MATCH(F$1,[1]stages!$2:$2,0)-MATCH("temp_stage",[1]stages!$2:$2,0)+1),MATCH(F$1,[1]stages!$2:$2,0)-MATCH("temp_stage",[1]stages!$2:$2,0)+1,FALSE)</f>
        <v>【中級】スチール・プレデター</v>
      </c>
      <c r="G544" s="3" t="str">
        <f ca="1">VLOOKUP($B544&amp;"_"&amp;$E544,OFFSET([1]stages!$A$1,0,0,COUNTA([1]stages!$A:$A),MATCH(G$1,[1]stages!$2:$2,0)-MATCH("temp_stage",[1]stages!$2:$2,0)+1),MATCH(G$1,[1]stages!$2:$2,0)-MATCH("temp_stage",[1]stages!$2:$2,0)+1,FALSE)</f>
        <v>ドロップイベント2-3</v>
      </c>
      <c r="H544" s="18">
        <v>0</v>
      </c>
      <c r="I544">
        <v>20</v>
      </c>
      <c r="J544" s="5" t="s">
        <v>16</v>
      </c>
      <c r="K544" s="35" t="str">
        <f>VLOOKUP(I544,[2]stage_hints!$A:$C,3,FALSE)</f>
        <v>マルチプレイのメリット（その3）</v>
      </c>
      <c r="L544" s="36" t="str">
        <f>VLOOKUP(I544,[2]stage_hints!$A:$D,4,FALSE)</f>
        <v>マルチプレイへの参加はエナジー消費ゼロ_x000D_いつでも好きなだけ遊ぶことができます</v>
      </c>
      <c r="M544" s="21" t="s">
        <v>23</v>
      </c>
      <c r="N544">
        <v>20</v>
      </c>
    </row>
    <row r="545" spans="1:14" x14ac:dyDescent="0.15">
      <c r="A545" s="26" t="s">
        <v>32</v>
      </c>
      <c r="B545" s="4">
        <v>20006</v>
      </c>
      <c r="C545" s="3" t="str">
        <f ca="1">VLOOKUP($B545,OFFSET([1]quests!$A$1,0,0,COUNTA([1]quests!$A:$A),MATCH(C$1,[1]quests!$1:$1,0)-MATCH($B$1,[1]quests!$1:$1,0)+1),MATCH(C$1,[1]quests!$1:$1,0)-MATCH($B$1,[1]quests!$1:$1,0)+1,FALSE)</f>
        <v>スチール・プレデター</v>
      </c>
      <c r="D545" s="3" t="str">
        <f ca="1">VLOOKUP($B545,OFFSET([1]quests!$A$1,0,0,COUNTA([1]quests!$A:$A),MATCH(D$1,[1]quests!$1:$1,0)-MATCH($B$1,[1]quests!$1:$1,0)+1),MATCH(D$1,[1]quests!$1:$1,0)-MATCH($B$1,[1]quests!$1:$1,0)+1,FALSE)</f>
        <v>ドロップイベント2-3</v>
      </c>
      <c r="E545" s="5">
        <v>2</v>
      </c>
      <c r="F545" s="3" t="str">
        <f ca="1">VLOOKUP($B545&amp;"_"&amp;$E545,OFFSET([1]stages!$A$1,0,0,COUNTA([1]stages!$A:$A),MATCH(F$1,[1]stages!$2:$2,0)-MATCH("temp_stage",[1]stages!$2:$2,0)+1),MATCH(F$1,[1]stages!$2:$2,0)-MATCH("temp_stage",[1]stages!$2:$2,0)+1,FALSE)</f>
        <v>【中級】スチール・プレデター</v>
      </c>
      <c r="G545" s="3" t="str">
        <f ca="1">VLOOKUP($B545&amp;"_"&amp;$E545,OFFSET([1]stages!$A$1,0,0,COUNTA([1]stages!$A:$A),MATCH(G$1,[1]stages!$2:$2,0)-MATCH("temp_stage",[1]stages!$2:$2,0)+1),MATCH(G$1,[1]stages!$2:$2,0)-MATCH("temp_stage",[1]stages!$2:$2,0)+1,FALSE)</f>
        <v>ドロップイベント2-3</v>
      </c>
      <c r="H545" s="18">
        <v>0</v>
      </c>
      <c r="I545">
        <v>21</v>
      </c>
      <c r="J545" s="5" t="s">
        <v>16</v>
      </c>
      <c r="K545" s="35" t="str">
        <f>VLOOKUP(I545,[2]stage_hints!$A:$C,3,FALSE)</f>
        <v>スキルを有効に</v>
      </c>
      <c r="L545" s="36" t="str">
        <f>VLOOKUP(I545,[2]stage_hints!$A:$D,4,FALSE)</f>
        <v>ターン経過でユニットのスキルが使えます_x000D_強力スキルでバトルを有利に進めましょう</v>
      </c>
      <c r="M545" s="21" t="s">
        <v>23</v>
      </c>
      <c r="N545">
        <v>21</v>
      </c>
    </row>
    <row r="546" spans="1:14" x14ac:dyDescent="0.15">
      <c r="A546" s="26" t="s">
        <v>32</v>
      </c>
      <c r="B546" s="4">
        <v>20006</v>
      </c>
      <c r="C546" s="3" t="str">
        <f ca="1">VLOOKUP($B546,OFFSET([1]quests!$A$1,0,0,COUNTA([1]quests!$A:$A),MATCH(C$1,[1]quests!$1:$1,0)-MATCH($B$1,[1]quests!$1:$1,0)+1),MATCH(C$1,[1]quests!$1:$1,0)-MATCH($B$1,[1]quests!$1:$1,0)+1,FALSE)</f>
        <v>スチール・プレデター</v>
      </c>
      <c r="D546" s="3" t="str">
        <f ca="1">VLOOKUP($B546,OFFSET([1]quests!$A$1,0,0,COUNTA([1]quests!$A:$A),MATCH(D$1,[1]quests!$1:$1,0)-MATCH($B$1,[1]quests!$1:$1,0)+1),MATCH(D$1,[1]quests!$1:$1,0)-MATCH($B$1,[1]quests!$1:$1,0)+1,FALSE)</f>
        <v>ドロップイベント2-3</v>
      </c>
      <c r="E546" s="5">
        <v>2</v>
      </c>
      <c r="F546" s="3" t="str">
        <f ca="1">VLOOKUP($B546&amp;"_"&amp;$E546,OFFSET([1]stages!$A$1,0,0,COUNTA([1]stages!$A:$A),MATCH(F$1,[1]stages!$2:$2,0)-MATCH("temp_stage",[1]stages!$2:$2,0)+1),MATCH(F$1,[1]stages!$2:$2,0)-MATCH("temp_stage",[1]stages!$2:$2,0)+1,FALSE)</f>
        <v>【中級】スチール・プレデター</v>
      </c>
      <c r="G546" s="3" t="str">
        <f ca="1">VLOOKUP($B546&amp;"_"&amp;$E546,OFFSET([1]stages!$A$1,0,0,COUNTA([1]stages!$A:$A),MATCH(G$1,[1]stages!$2:$2,0)-MATCH("temp_stage",[1]stages!$2:$2,0)+1),MATCH(G$1,[1]stages!$2:$2,0)-MATCH("temp_stage",[1]stages!$2:$2,0)+1,FALSE)</f>
        <v>ドロップイベント2-3</v>
      </c>
      <c r="H546" s="18">
        <v>0</v>
      </c>
      <c r="I546">
        <v>22</v>
      </c>
      <c r="J546" s="5" t="s">
        <v>16</v>
      </c>
      <c r="K546" s="35" t="str">
        <f>VLOOKUP(I546,[2]stage_hints!$A:$C,3,FALSE)</f>
        <v>フィーバーで一発逆転（その1）</v>
      </c>
      <c r="L546" s="36" t="str">
        <f>VLOOKUP(I546,[2]stage_hints!$A:$D,4,FALSE)</f>
        <v>フィーバーは攻撃と回復を兼ね備えます_x000D_ピンチからの一発逆転を狙いましょう</v>
      </c>
      <c r="M546" s="21" t="s">
        <v>23</v>
      </c>
      <c r="N546">
        <v>22</v>
      </c>
    </row>
    <row r="547" spans="1:14" x14ac:dyDescent="0.15">
      <c r="A547" s="26" t="s">
        <v>32</v>
      </c>
      <c r="B547" s="4">
        <v>20006</v>
      </c>
      <c r="C547" s="3" t="str">
        <f ca="1">VLOOKUP($B547,OFFSET([1]quests!$A$1,0,0,COUNTA([1]quests!$A:$A),MATCH(C$1,[1]quests!$1:$1,0)-MATCH($B$1,[1]quests!$1:$1,0)+1),MATCH(C$1,[1]quests!$1:$1,0)-MATCH($B$1,[1]quests!$1:$1,0)+1,FALSE)</f>
        <v>スチール・プレデター</v>
      </c>
      <c r="D547" s="3" t="str">
        <f ca="1">VLOOKUP($B547,OFFSET([1]quests!$A$1,0,0,COUNTA([1]quests!$A:$A),MATCH(D$1,[1]quests!$1:$1,0)-MATCH($B$1,[1]quests!$1:$1,0)+1),MATCH(D$1,[1]quests!$1:$1,0)-MATCH($B$1,[1]quests!$1:$1,0)+1,FALSE)</f>
        <v>ドロップイベント2-3</v>
      </c>
      <c r="E547" s="5">
        <v>2</v>
      </c>
      <c r="F547" s="3" t="str">
        <f ca="1">VLOOKUP($B547&amp;"_"&amp;$E547,OFFSET([1]stages!$A$1,0,0,COUNTA([1]stages!$A:$A),MATCH(F$1,[1]stages!$2:$2,0)-MATCH("temp_stage",[1]stages!$2:$2,0)+1),MATCH(F$1,[1]stages!$2:$2,0)-MATCH("temp_stage",[1]stages!$2:$2,0)+1,FALSE)</f>
        <v>【中級】スチール・プレデター</v>
      </c>
      <c r="G547" s="3" t="str">
        <f ca="1">VLOOKUP($B547&amp;"_"&amp;$E547,OFFSET([1]stages!$A$1,0,0,COUNTA([1]stages!$A:$A),MATCH(G$1,[1]stages!$2:$2,0)-MATCH("temp_stage",[1]stages!$2:$2,0)+1),MATCH(G$1,[1]stages!$2:$2,0)-MATCH("temp_stage",[1]stages!$2:$2,0)+1,FALSE)</f>
        <v>ドロップイベント2-3</v>
      </c>
      <c r="H547" s="18">
        <v>0</v>
      </c>
      <c r="I547">
        <v>23</v>
      </c>
      <c r="J547" s="5" t="s">
        <v>16</v>
      </c>
      <c r="K547" s="35" t="str">
        <f>VLOOKUP(I547,[2]stage_hints!$A:$C,3,FALSE)</f>
        <v>フィーバーで一発逆転（その2）</v>
      </c>
      <c r="L547" s="36" t="str">
        <f>VLOOKUP(I547,[2]stage_hints!$A:$D,4,FALSE)</f>
        <v>フィーバー中は虹色のボムパネルを狙って_x000D_画面上のパネルを一気に破壊しましょう</v>
      </c>
      <c r="M547" s="21" t="s">
        <v>23</v>
      </c>
      <c r="N547">
        <v>23</v>
      </c>
    </row>
    <row r="548" spans="1:14" x14ac:dyDescent="0.15">
      <c r="A548" s="26" t="s">
        <v>32</v>
      </c>
      <c r="B548" s="4">
        <v>20006</v>
      </c>
      <c r="C548" s="3" t="str">
        <f ca="1">VLOOKUP($B548,OFFSET([1]quests!$A$1,0,0,COUNTA([1]quests!$A:$A),MATCH(C$1,[1]quests!$1:$1,0)-MATCH($B$1,[1]quests!$1:$1,0)+1),MATCH(C$1,[1]quests!$1:$1,0)-MATCH($B$1,[1]quests!$1:$1,0)+1,FALSE)</f>
        <v>スチール・プレデター</v>
      </c>
      <c r="D548" s="3" t="str">
        <f ca="1">VLOOKUP($B548,OFFSET([1]quests!$A$1,0,0,COUNTA([1]quests!$A:$A),MATCH(D$1,[1]quests!$1:$1,0)-MATCH($B$1,[1]quests!$1:$1,0)+1),MATCH(D$1,[1]quests!$1:$1,0)-MATCH($B$1,[1]quests!$1:$1,0)+1,FALSE)</f>
        <v>ドロップイベント2-3</v>
      </c>
      <c r="E548" s="5">
        <v>2</v>
      </c>
      <c r="F548" s="3" t="str">
        <f ca="1">VLOOKUP($B548&amp;"_"&amp;$E548,OFFSET([1]stages!$A$1,0,0,COUNTA([1]stages!$A:$A),MATCH(F$1,[1]stages!$2:$2,0)-MATCH("temp_stage",[1]stages!$2:$2,0)+1),MATCH(F$1,[1]stages!$2:$2,0)-MATCH("temp_stage",[1]stages!$2:$2,0)+1,FALSE)</f>
        <v>【中級】スチール・プレデター</v>
      </c>
      <c r="G548" s="3" t="str">
        <f ca="1">VLOOKUP($B548&amp;"_"&amp;$E548,OFFSET([1]stages!$A$1,0,0,COUNTA([1]stages!$A:$A),MATCH(G$1,[1]stages!$2:$2,0)-MATCH("temp_stage",[1]stages!$2:$2,0)+1),MATCH(G$1,[1]stages!$2:$2,0)-MATCH("temp_stage",[1]stages!$2:$2,0)+1,FALSE)</f>
        <v>ドロップイベント2-3</v>
      </c>
      <c r="H548" s="18">
        <v>0</v>
      </c>
      <c r="I548">
        <v>24</v>
      </c>
      <c r="J548" s="5" t="s">
        <v>16</v>
      </c>
      <c r="K548" s="35" t="str">
        <f>VLOOKUP(I548,[2]stage_hints!$A:$C,3,FALSE)</f>
        <v>りんごを使って限界突破</v>
      </c>
      <c r="L548" s="36" t="str">
        <f>VLOOKUP(I548,[2]stage_hints!$A:$D,4,FALSE)</f>
        <v>赤りんご(攻撃力) 青りんご(回復力)_x000D_緑りんご(体力)をユニット強化に使うと_x000D_ステータスが限界突破します（計99個迄）</v>
      </c>
      <c r="M548" s="21" t="s">
        <v>23</v>
      </c>
      <c r="N548">
        <v>24</v>
      </c>
    </row>
    <row r="549" spans="1:14" x14ac:dyDescent="0.15">
      <c r="A549" s="26" t="s">
        <v>32</v>
      </c>
      <c r="B549" s="4">
        <v>20006</v>
      </c>
      <c r="C549" s="3" t="str">
        <f ca="1">VLOOKUP($B549,OFFSET([1]quests!$A$1,0,0,COUNTA([1]quests!$A:$A),MATCH(C$1,[1]quests!$1:$1,0)-MATCH($B$1,[1]quests!$1:$1,0)+1),MATCH(C$1,[1]quests!$1:$1,0)-MATCH($B$1,[1]quests!$1:$1,0)+1,FALSE)</f>
        <v>スチール・プレデター</v>
      </c>
      <c r="D549" s="3" t="str">
        <f ca="1">VLOOKUP($B549,OFFSET([1]quests!$A$1,0,0,COUNTA([1]quests!$A:$A),MATCH(D$1,[1]quests!$1:$1,0)-MATCH($B$1,[1]quests!$1:$1,0)+1),MATCH(D$1,[1]quests!$1:$1,0)-MATCH($B$1,[1]quests!$1:$1,0)+1,FALSE)</f>
        <v>ドロップイベント2-3</v>
      </c>
      <c r="E549" s="5">
        <v>2</v>
      </c>
      <c r="F549" s="3" t="str">
        <f ca="1">VLOOKUP($B549&amp;"_"&amp;$E549,OFFSET([1]stages!$A$1,0,0,COUNTA([1]stages!$A:$A),MATCH(F$1,[1]stages!$2:$2,0)-MATCH("temp_stage",[1]stages!$2:$2,0)+1),MATCH(F$1,[1]stages!$2:$2,0)-MATCH("temp_stage",[1]stages!$2:$2,0)+1,FALSE)</f>
        <v>【中級】スチール・プレデター</v>
      </c>
      <c r="G549" s="3" t="str">
        <f ca="1">VLOOKUP($B549&amp;"_"&amp;$E549,OFFSET([1]stages!$A$1,0,0,COUNTA([1]stages!$A:$A),MATCH(G$1,[1]stages!$2:$2,0)-MATCH("temp_stage",[1]stages!$2:$2,0)+1),MATCH(G$1,[1]stages!$2:$2,0)-MATCH("temp_stage",[1]stages!$2:$2,0)+1,FALSE)</f>
        <v>ドロップイベント2-3</v>
      </c>
      <c r="H549" s="18">
        <v>0</v>
      </c>
      <c r="I549">
        <v>25</v>
      </c>
      <c r="J549" s="5" t="s">
        <v>16</v>
      </c>
      <c r="K549" s="35" t="str">
        <f>VLOOKUP(I549,[2]stage_hints!$A:$C,3,FALSE)</f>
        <v>スキルレベルアップ</v>
      </c>
      <c r="L549" s="36" t="str">
        <f>VLOOKUP(I549,[2]stage_hints!$A:$D,4,FALSE)</f>
        <v>「クリスタルのりんご」を強化に使うと_x000D_スキルレベルを上げることができます</v>
      </c>
      <c r="M549" s="21" t="s">
        <v>23</v>
      </c>
      <c r="N549">
        <v>25</v>
      </c>
    </row>
    <row r="550" spans="1:14" x14ac:dyDescent="0.15">
      <c r="A550" s="26" t="s">
        <v>32</v>
      </c>
      <c r="B550" s="4">
        <v>20006</v>
      </c>
      <c r="C550" s="3" t="str">
        <f ca="1">VLOOKUP($B550,OFFSET([1]quests!$A$1,0,0,COUNTA([1]quests!$A:$A),MATCH(C$1,[1]quests!$1:$1,0)-MATCH($B$1,[1]quests!$1:$1,0)+1),MATCH(C$1,[1]quests!$1:$1,0)-MATCH($B$1,[1]quests!$1:$1,0)+1,FALSE)</f>
        <v>スチール・プレデター</v>
      </c>
      <c r="D550" s="3" t="str">
        <f ca="1">VLOOKUP($B550,OFFSET([1]quests!$A$1,0,0,COUNTA([1]quests!$A:$A),MATCH(D$1,[1]quests!$1:$1,0)-MATCH($B$1,[1]quests!$1:$1,0)+1),MATCH(D$1,[1]quests!$1:$1,0)-MATCH($B$1,[1]quests!$1:$1,0)+1,FALSE)</f>
        <v>ドロップイベント2-3</v>
      </c>
      <c r="E550" s="5">
        <v>2</v>
      </c>
      <c r="F550" s="3" t="str">
        <f ca="1">VLOOKUP($B550&amp;"_"&amp;$E550,OFFSET([1]stages!$A$1,0,0,COUNTA([1]stages!$A:$A),MATCH(F$1,[1]stages!$2:$2,0)-MATCH("temp_stage",[1]stages!$2:$2,0)+1),MATCH(F$1,[1]stages!$2:$2,0)-MATCH("temp_stage",[1]stages!$2:$2,0)+1,FALSE)</f>
        <v>【中級】スチール・プレデター</v>
      </c>
      <c r="G550" s="3" t="str">
        <f ca="1">VLOOKUP($B550&amp;"_"&amp;$E550,OFFSET([1]stages!$A$1,0,0,COUNTA([1]stages!$A:$A),MATCH(G$1,[1]stages!$2:$2,0)-MATCH("temp_stage",[1]stages!$2:$2,0)+1),MATCH(G$1,[1]stages!$2:$2,0)-MATCH("temp_stage",[1]stages!$2:$2,0)+1,FALSE)</f>
        <v>ドロップイベント2-3</v>
      </c>
      <c r="H550" s="18">
        <v>0</v>
      </c>
      <c r="I550">
        <v>26</v>
      </c>
      <c r="J550" s="5" t="s">
        <v>16</v>
      </c>
      <c r="K550" s="35" t="str">
        <f>VLOOKUP(I550,[2]stage_hints!$A:$C,3,FALSE)</f>
        <v>スキルレベルの効果</v>
      </c>
      <c r="L550" s="36" t="str">
        <f>VLOOKUP(I550,[2]stage_hints!$A:$D,4,FALSE)</f>
        <v>スキルレベルが上がると_x000D_短いターンでスキルを使うことができます</v>
      </c>
      <c r="M550" s="21" t="s">
        <v>23</v>
      </c>
      <c r="N550">
        <v>26</v>
      </c>
    </row>
    <row r="551" spans="1:14" x14ac:dyDescent="0.15">
      <c r="A551" s="26" t="s">
        <v>32</v>
      </c>
      <c r="B551" s="4">
        <v>20006</v>
      </c>
      <c r="C551" s="3" t="str">
        <f ca="1">VLOOKUP($B551,OFFSET([1]quests!$A$1,0,0,COUNTA([1]quests!$A:$A),MATCH(C$1,[1]quests!$1:$1,0)-MATCH($B$1,[1]quests!$1:$1,0)+1),MATCH(C$1,[1]quests!$1:$1,0)-MATCH($B$1,[1]quests!$1:$1,0)+1,FALSE)</f>
        <v>スチール・プレデター</v>
      </c>
      <c r="D551" s="3" t="str">
        <f ca="1">VLOOKUP($B551,OFFSET([1]quests!$A$1,0,0,COUNTA([1]quests!$A:$A),MATCH(D$1,[1]quests!$1:$1,0)-MATCH($B$1,[1]quests!$1:$1,0)+1),MATCH(D$1,[1]quests!$1:$1,0)-MATCH($B$1,[1]quests!$1:$1,0)+1,FALSE)</f>
        <v>ドロップイベント2-3</v>
      </c>
      <c r="E551" s="5">
        <v>2</v>
      </c>
      <c r="F551" s="3" t="str">
        <f ca="1">VLOOKUP($B551&amp;"_"&amp;$E551,OFFSET([1]stages!$A$1,0,0,COUNTA([1]stages!$A:$A),MATCH(F$1,[1]stages!$2:$2,0)-MATCH("temp_stage",[1]stages!$2:$2,0)+1),MATCH(F$1,[1]stages!$2:$2,0)-MATCH("temp_stage",[1]stages!$2:$2,0)+1,FALSE)</f>
        <v>【中級】スチール・プレデター</v>
      </c>
      <c r="G551" s="3" t="str">
        <f ca="1">VLOOKUP($B551&amp;"_"&amp;$E551,OFFSET([1]stages!$A$1,0,0,COUNTA([1]stages!$A:$A),MATCH(G$1,[1]stages!$2:$2,0)-MATCH("temp_stage",[1]stages!$2:$2,0)+1),MATCH(G$1,[1]stages!$2:$2,0)-MATCH("temp_stage",[1]stages!$2:$2,0)+1,FALSE)</f>
        <v>ドロップイベント2-3</v>
      </c>
      <c r="H551" s="18">
        <v>0</v>
      </c>
      <c r="I551">
        <v>27</v>
      </c>
      <c r="J551" s="5" t="s">
        <v>16</v>
      </c>
      <c r="K551" s="35" t="str">
        <f>VLOOKUP(I551,[2]stage_hints!$A:$C,3,FALSE)</f>
        <v>ホーム画面からデッキを編成</v>
      </c>
      <c r="L551" s="36" t="str">
        <f>VLOOKUP(I551,[2]stage_hints!$A:$D,4,FALSE)</f>
        <v>ホーム画面でユニットを長押しすると_x000D_すぐにパーティ編成に移動できます</v>
      </c>
      <c r="M551" s="21" t="s">
        <v>23</v>
      </c>
      <c r="N551">
        <v>27</v>
      </c>
    </row>
    <row r="552" spans="1:14" x14ac:dyDescent="0.15">
      <c r="A552" s="26" t="s">
        <v>32</v>
      </c>
      <c r="B552" s="4">
        <v>20006</v>
      </c>
      <c r="C552" s="3" t="str">
        <f ca="1">VLOOKUP($B552,OFFSET([1]quests!$A$1,0,0,COUNTA([1]quests!$A:$A),MATCH(C$1,[1]quests!$1:$1,0)-MATCH($B$1,[1]quests!$1:$1,0)+1),MATCH(C$1,[1]quests!$1:$1,0)-MATCH($B$1,[1]quests!$1:$1,0)+1,FALSE)</f>
        <v>スチール・プレデター</v>
      </c>
      <c r="D552" s="3" t="str">
        <f ca="1">VLOOKUP($B552,OFFSET([1]quests!$A$1,0,0,COUNTA([1]quests!$A:$A),MATCH(D$1,[1]quests!$1:$1,0)-MATCH($B$1,[1]quests!$1:$1,0)+1),MATCH(D$1,[1]quests!$1:$1,0)-MATCH($B$1,[1]quests!$1:$1,0)+1,FALSE)</f>
        <v>ドロップイベント2-3</v>
      </c>
      <c r="E552" s="5">
        <v>2</v>
      </c>
      <c r="F552" s="3" t="str">
        <f ca="1">VLOOKUP($B552&amp;"_"&amp;$E552,OFFSET([1]stages!$A$1,0,0,COUNTA([1]stages!$A:$A),MATCH(F$1,[1]stages!$2:$2,0)-MATCH("temp_stage",[1]stages!$2:$2,0)+1),MATCH(F$1,[1]stages!$2:$2,0)-MATCH("temp_stage",[1]stages!$2:$2,0)+1,FALSE)</f>
        <v>【中級】スチール・プレデター</v>
      </c>
      <c r="G552" s="3" t="str">
        <f ca="1">VLOOKUP($B552&amp;"_"&amp;$E552,OFFSET([1]stages!$A$1,0,0,COUNTA([1]stages!$A:$A),MATCH(G$1,[1]stages!$2:$2,0)-MATCH("temp_stage",[1]stages!$2:$2,0)+1),MATCH(G$1,[1]stages!$2:$2,0)-MATCH("temp_stage",[1]stages!$2:$2,0)+1,FALSE)</f>
        <v>ドロップイベント2-3</v>
      </c>
      <c r="H552" s="18">
        <v>0</v>
      </c>
      <c r="I552">
        <v>28</v>
      </c>
      <c r="J552" s="5" t="s">
        <v>16</v>
      </c>
      <c r="K552" s="35" t="str">
        <f>VLOOKUP(I552,[2]stage_hints!$A:$C,3,FALSE)</f>
        <v>ステータス情報は長押しで</v>
      </c>
      <c r="L552" s="36" t="str">
        <f>VLOOKUP(I552,[2]stage_hints!$A:$D,4,FALSE)</f>
        <v>ユニットのアイコンを長押しすると_x000D_ステータス情報を確認することができます</v>
      </c>
      <c r="M552" s="21" t="s">
        <v>23</v>
      </c>
      <c r="N552">
        <v>28</v>
      </c>
    </row>
    <row r="553" spans="1:14" x14ac:dyDescent="0.15">
      <c r="A553" s="26" t="s">
        <v>32</v>
      </c>
      <c r="B553" s="4">
        <v>20006</v>
      </c>
      <c r="C553" s="3" t="str">
        <f ca="1">VLOOKUP($B553,OFFSET([1]quests!$A$1,0,0,COUNTA([1]quests!$A:$A),MATCH(C$1,[1]quests!$1:$1,0)-MATCH($B$1,[1]quests!$1:$1,0)+1),MATCH(C$1,[1]quests!$1:$1,0)-MATCH($B$1,[1]quests!$1:$1,0)+1,FALSE)</f>
        <v>スチール・プレデター</v>
      </c>
      <c r="D553" s="3" t="str">
        <f ca="1">VLOOKUP($B553,OFFSET([1]quests!$A$1,0,0,COUNTA([1]quests!$A:$A),MATCH(D$1,[1]quests!$1:$1,0)-MATCH($B$1,[1]quests!$1:$1,0)+1),MATCH(D$1,[1]quests!$1:$1,0)-MATCH($B$1,[1]quests!$1:$1,0)+1,FALSE)</f>
        <v>ドロップイベント2-3</v>
      </c>
      <c r="E553" s="5">
        <v>2</v>
      </c>
      <c r="F553" s="3" t="str">
        <f ca="1">VLOOKUP($B553&amp;"_"&amp;$E553,OFFSET([1]stages!$A$1,0,0,COUNTA([1]stages!$A:$A),MATCH(F$1,[1]stages!$2:$2,0)-MATCH("temp_stage",[1]stages!$2:$2,0)+1),MATCH(F$1,[1]stages!$2:$2,0)-MATCH("temp_stage",[1]stages!$2:$2,0)+1,FALSE)</f>
        <v>【中級】スチール・プレデター</v>
      </c>
      <c r="G553" s="3" t="str">
        <f ca="1">VLOOKUP($B553&amp;"_"&amp;$E553,OFFSET([1]stages!$A$1,0,0,COUNTA([1]stages!$A:$A),MATCH(G$1,[1]stages!$2:$2,0)-MATCH("temp_stage",[1]stages!$2:$2,0)+1),MATCH(G$1,[1]stages!$2:$2,0)-MATCH("temp_stage",[1]stages!$2:$2,0)+1,FALSE)</f>
        <v>ドロップイベント2-3</v>
      </c>
      <c r="H553" s="18">
        <v>0</v>
      </c>
      <c r="I553">
        <v>29</v>
      </c>
      <c r="J553" s="5" t="s">
        <v>16</v>
      </c>
      <c r="K553" s="35" t="str">
        <f>VLOOKUP(I553,[2]stage_hints!$A:$C,3,FALSE)</f>
        <v>「バグ」のメリット</v>
      </c>
      <c r="L553" s="36" t="str">
        <f>VLOOKUP(I553,[2]stage_hints!$A:$D,4,FALSE)</f>
        <v>ユニットの「バグ」を増やすと_x000D_報酬をもらえる確率がアップします</v>
      </c>
      <c r="M553" s="21" t="s">
        <v>23</v>
      </c>
      <c r="N553">
        <v>29</v>
      </c>
    </row>
    <row r="554" spans="1:14" x14ac:dyDescent="0.15">
      <c r="A554" s="26" t="s">
        <v>32</v>
      </c>
      <c r="B554" s="4">
        <v>20006</v>
      </c>
      <c r="C554" s="3" t="str">
        <f ca="1">VLOOKUP($B554,OFFSET([1]quests!$A$1,0,0,COUNTA([1]quests!$A:$A),MATCH(C$1,[1]quests!$1:$1,0)-MATCH($B$1,[1]quests!$1:$1,0)+1),MATCH(C$1,[1]quests!$1:$1,0)-MATCH($B$1,[1]quests!$1:$1,0)+1,FALSE)</f>
        <v>スチール・プレデター</v>
      </c>
      <c r="D554" s="3" t="str">
        <f ca="1">VLOOKUP($B554,OFFSET([1]quests!$A$1,0,0,COUNTA([1]quests!$A:$A),MATCH(D$1,[1]quests!$1:$1,0)-MATCH($B$1,[1]quests!$1:$1,0)+1),MATCH(D$1,[1]quests!$1:$1,0)-MATCH($B$1,[1]quests!$1:$1,0)+1,FALSE)</f>
        <v>ドロップイベント2-3</v>
      </c>
      <c r="E554" s="5">
        <v>2</v>
      </c>
      <c r="F554" s="3" t="str">
        <f ca="1">VLOOKUP($B554&amp;"_"&amp;$E554,OFFSET([1]stages!$A$1,0,0,COUNTA([1]stages!$A:$A),MATCH(F$1,[1]stages!$2:$2,0)-MATCH("temp_stage",[1]stages!$2:$2,0)+1),MATCH(F$1,[1]stages!$2:$2,0)-MATCH("temp_stage",[1]stages!$2:$2,0)+1,FALSE)</f>
        <v>【中級】スチール・プレデター</v>
      </c>
      <c r="G554" s="3" t="str">
        <f ca="1">VLOOKUP($B554&amp;"_"&amp;$E554,OFFSET([1]stages!$A$1,0,0,COUNTA([1]stages!$A:$A),MATCH(G$1,[1]stages!$2:$2,0)-MATCH("temp_stage",[1]stages!$2:$2,0)+1),MATCH(G$1,[1]stages!$2:$2,0)-MATCH("temp_stage",[1]stages!$2:$2,0)+1,FALSE)</f>
        <v>ドロップイベント2-3</v>
      </c>
      <c r="H554" s="18">
        <v>0</v>
      </c>
      <c r="I554">
        <v>30</v>
      </c>
      <c r="J554" s="5" t="s">
        <v>16</v>
      </c>
      <c r="K554" s="35" t="str">
        <f>VLOOKUP(I554,[2]stage_hints!$A:$C,3,FALSE)</f>
        <v>「バグ」の増やし方</v>
      </c>
      <c r="L554" s="36" t="str">
        <f>VLOOKUP(I554,[2]stage_hints!$A:$D,4,FALSE)</f>
        <v>同じユニット同士を強化で合成すると_x000D_「バグ」を増やすことができます</v>
      </c>
      <c r="M554" s="21" t="s">
        <v>23</v>
      </c>
      <c r="N554">
        <v>30</v>
      </c>
    </row>
    <row r="555" spans="1:14" x14ac:dyDescent="0.15">
      <c r="A555" s="26" t="s">
        <v>32</v>
      </c>
      <c r="B555" s="4">
        <v>20006</v>
      </c>
      <c r="C555" s="3" t="str">
        <f ca="1">VLOOKUP($B555,OFFSET([1]quests!$A$1,0,0,COUNTA([1]quests!$A:$A),MATCH(C$1,[1]quests!$1:$1,0)-MATCH($B$1,[1]quests!$1:$1,0)+1),MATCH(C$1,[1]quests!$1:$1,0)-MATCH($B$1,[1]quests!$1:$1,0)+1,FALSE)</f>
        <v>スチール・プレデター</v>
      </c>
      <c r="D555" s="3" t="str">
        <f ca="1">VLOOKUP($B555,OFFSET([1]quests!$A$1,0,0,COUNTA([1]quests!$A:$A),MATCH(D$1,[1]quests!$1:$1,0)-MATCH($B$1,[1]quests!$1:$1,0)+1),MATCH(D$1,[1]quests!$1:$1,0)-MATCH($B$1,[1]quests!$1:$1,0)+1,FALSE)</f>
        <v>ドロップイベント2-3</v>
      </c>
      <c r="E555" s="5">
        <v>2</v>
      </c>
      <c r="F555" s="3" t="str">
        <f ca="1">VLOOKUP($B555&amp;"_"&amp;$E555,OFFSET([1]stages!$A$1,0,0,COUNTA([1]stages!$A:$A),MATCH(F$1,[1]stages!$2:$2,0)-MATCH("temp_stage",[1]stages!$2:$2,0)+1),MATCH(F$1,[1]stages!$2:$2,0)-MATCH("temp_stage",[1]stages!$2:$2,0)+1,FALSE)</f>
        <v>【中級】スチール・プレデター</v>
      </c>
      <c r="G555" s="3" t="str">
        <f ca="1">VLOOKUP($B555&amp;"_"&amp;$E555,OFFSET([1]stages!$A$1,0,0,COUNTA([1]stages!$A:$A),MATCH(G$1,[1]stages!$2:$2,0)-MATCH("temp_stage",[1]stages!$2:$2,0)+1),MATCH(G$1,[1]stages!$2:$2,0)-MATCH("temp_stage",[1]stages!$2:$2,0)+1,FALSE)</f>
        <v>ドロップイベント2-3</v>
      </c>
      <c r="H555" s="18">
        <v>0</v>
      </c>
      <c r="I555">
        <v>31</v>
      </c>
      <c r="J555" s="5" t="s">
        <v>16</v>
      </c>
      <c r="K555" s="35" t="str">
        <f>VLOOKUP(I555,[2]stage_hints!$A:$C,3,FALSE)</f>
        <v>イベントはお知らせでチェック</v>
      </c>
      <c r="L555" s="36" t="str">
        <f>VLOOKUP(I555,[2]stage_hints!$A:$D,4,FALSE)</f>
        <v>イベント限定ユニットを取り忘れないように_x000D_お知らせをこまめにチェックしましょう</v>
      </c>
      <c r="M555" s="21" t="s">
        <v>23</v>
      </c>
      <c r="N555">
        <v>31</v>
      </c>
    </row>
    <row r="556" spans="1:14" x14ac:dyDescent="0.15">
      <c r="A556" s="26" t="s">
        <v>32</v>
      </c>
      <c r="B556" s="4">
        <v>20006</v>
      </c>
      <c r="C556" s="3" t="str">
        <f ca="1">VLOOKUP($B556,OFFSET([1]quests!$A$1,0,0,COUNTA([1]quests!$A:$A),MATCH(C$1,[1]quests!$1:$1,0)-MATCH($B$1,[1]quests!$1:$1,0)+1),MATCH(C$1,[1]quests!$1:$1,0)-MATCH($B$1,[1]quests!$1:$1,0)+1,FALSE)</f>
        <v>スチール・プレデター</v>
      </c>
      <c r="D556" s="3" t="str">
        <f ca="1">VLOOKUP($B556,OFFSET([1]quests!$A$1,0,0,COUNTA([1]quests!$A:$A),MATCH(D$1,[1]quests!$1:$1,0)-MATCH($B$1,[1]quests!$1:$1,0)+1),MATCH(D$1,[1]quests!$1:$1,0)-MATCH($B$1,[1]quests!$1:$1,0)+1,FALSE)</f>
        <v>ドロップイベント2-3</v>
      </c>
      <c r="E556" s="5">
        <v>2</v>
      </c>
      <c r="F556" s="3" t="str">
        <f ca="1">VLOOKUP($B556&amp;"_"&amp;$E556,OFFSET([1]stages!$A$1,0,0,COUNTA([1]stages!$A:$A),MATCH(F$1,[1]stages!$2:$2,0)-MATCH("temp_stage",[1]stages!$2:$2,0)+1),MATCH(F$1,[1]stages!$2:$2,0)-MATCH("temp_stage",[1]stages!$2:$2,0)+1,FALSE)</f>
        <v>【中級】スチール・プレデター</v>
      </c>
      <c r="G556" s="3" t="str">
        <f ca="1">VLOOKUP($B556&amp;"_"&amp;$E556,OFFSET([1]stages!$A$1,0,0,COUNTA([1]stages!$A:$A),MATCH(G$1,[1]stages!$2:$2,0)-MATCH("temp_stage",[1]stages!$2:$2,0)+1),MATCH(G$1,[1]stages!$2:$2,0)-MATCH("temp_stage",[1]stages!$2:$2,0)+1,FALSE)</f>
        <v>ドロップイベント2-3</v>
      </c>
      <c r="H556" s="18">
        <v>0</v>
      </c>
      <c r="I556">
        <v>32</v>
      </c>
      <c r="J556" s="5" t="s">
        <v>16</v>
      </c>
      <c r="K556" s="35" t="str">
        <f>VLOOKUP(I556,[2]stage_hints!$A:$C,3,FALSE)</f>
        <v>敵の連続攻撃には</v>
      </c>
      <c r="L556" s="36" t="str">
        <f>VLOOKUP(I556,[2]stage_hints!$A:$D,4,FALSE)</f>
        <v>カウンタースキルを持つユニットがいれば_x000D_ダメージ回数分の反撃ができます</v>
      </c>
      <c r="M556" s="21" t="s">
        <v>23</v>
      </c>
      <c r="N556">
        <v>32</v>
      </c>
    </row>
    <row r="557" spans="1:14" x14ac:dyDescent="0.15">
      <c r="A557" s="26" t="s">
        <v>32</v>
      </c>
      <c r="B557" s="4">
        <v>20006</v>
      </c>
      <c r="C557" s="3" t="str">
        <f ca="1">VLOOKUP($B557,OFFSET([1]quests!$A$1,0,0,COUNTA([1]quests!$A:$A),MATCH(C$1,[1]quests!$1:$1,0)-MATCH($B$1,[1]quests!$1:$1,0)+1),MATCH(C$1,[1]quests!$1:$1,0)-MATCH($B$1,[1]quests!$1:$1,0)+1,FALSE)</f>
        <v>スチール・プレデター</v>
      </c>
      <c r="D557" s="3" t="str">
        <f ca="1">VLOOKUP($B557,OFFSET([1]quests!$A$1,0,0,COUNTA([1]quests!$A:$A),MATCH(D$1,[1]quests!$1:$1,0)-MATCH($B$1,[1]quests!$1:$1,0)+1),MATCH(D$1,[1]quests!$1:$1,0)-MATCH($B$1,[1]quests!$1:$1,0)+1,FALSE)</f>
        <v>ドロップイベント2-3</v>
      </c>
      <c r="E557" s="5">
        <v>2</v>
      </c>
      <c r="F557" s="3" t="str">
        <f ca="1">VLOOKUP($B557&amp;"_"&amp;$E557,OFFSET([1]stages!$A$1,0,0,COUNTA([1]stages!$A:$A),MATCH(F$1,[1]stages!$2:$2,0)-MATCH("temp_stage",[1]stages!$2:$2,0)+1),MATCH(F$1,[1]stages!$2:$2,0)-MATCH("temp_stage",[1]stages!$2:$2,0)+1,FALSE)</f>
        <v>【中級】スチール・プレデター</v>
      </c>
      <c r="G557" s="3" t="str">
        <f ca="1">VLOOKUP($B557&amp;"_"&amp;$E557,OFFSET([1]stages!$A$1,0,0,COUNTA([1]stages!$A:$A),MATCH(G$1,[1]stages!$2:$2,0)-MATCH("temp_stage",[1]stages!$2:$2,0)+1),MATCH(G$1,[1]stages!$2:$2,0)-MATCH("temp_stage",[1]stages!$2:$2,0)+1,FALSE)</f>
        <v>ドロップイベント2-3</v>
      </c>
      <c r="H557" s="18">
        <v>0</v>
      </c>
      <c r="I557">
        <v>33</v>
      </c>
      <c r="J557" s="5" t="s">
        <v>16</v>
      </c>
      <c r="K557" s="35" t="str">
        <f>VLOOKUP(I557,[2]stage_hints!$A:$C,3,FALSE)</f>
        <v>敵のカウンター攻撃には</v>
      </c>
      <c r="L557" s="36" t="str">
        <f>VLOOKUP(I557,[2]stage_hints!$A:$D,4,FALSE)</f>
        <v>カウンターブレイクスキルを持っていれば_x000D_敵のカウンターを解除して攻撃ができます</v>
      </c>
      <c r="M557" s="21" t="s">
        <v>23</v>
      </c>
      <c r="N557">
        <v>33</v>
      </c>
    </row>
    <row r="558" spans="1:14" x14ac:dyDescent="0.15">
      <c r="A558" s="26" t="s">
        <v>32</v>
      </c>
      <c r="B558" s="4">
        <v>20006</v>
      </c>
      <c r="C558" s="3" t="str">
        <f ca="1">VLOOKUP($B558,OFFSET([1]quests!$A$1,0,0,COUNTA([1]quests!$A:$A),MATCH(C$1,[1]quests!$1:$1,0)-MATCH($B$1,[1]quests!$1:$1,0)+1),MATCH(C$1,[1]quests!$1:$1,0)-MATCH($B$1,[1]quests!$1:$1,0)+1,FALSE)</f>
        <v>スチール・プレデター</v>
      </c>
      <c r="D558" s="3" t="str">
        <f ca="1">VLOOKUP($B558,OFFSET([1]quests!$A$1,0,0,COUNTA([1]quests!$A:$A),MATCH(D$1,[1]quests!$1:$1,0)-MATCH($B$1,[1]quests!$1:$1,0)+1),MATCH(D$1,[1]quests!$1:$1,0)-MATCH($B$1,[1]quests!$1:$1,0)+1,FALSE)</f>
        <v>ドロップイベント2-3</v>
      </c>
      <c r="E558" s="5">
        <v>2</v>
      </c>
      <c r="F558" s="3" t="str">
        <f ca="1">VLOOKUP($B558&amp;"_"&amp;$E558,OFFSET([1]stages!$A$1,0,0,COUNTA([1]stages!$A:$A),MATCH(F$1,[1]stages!$2:$2,0)-MATCH("temp_stage",[1]stages!$2:$2,0)+1),MATCH(F$1,[1]stages!$2:$2,0)-MATCH("temp_stage",[1]stages!$2:$2,0)+1,FALSE)</f>
        <v>【中級】スチール・プレデター</v>
      </c>
      <c r="G558" s="3" t="str">
        <f ca="1">VLOOKUP($B558&amp;"_"&amp;$E558,OFFSET([1]stages!$A$1,0,0,COUNTA([1]stages!$A:$A),MATCH(G$1,[1]stages!$2:$2,0)-MATCH("temp_stage",[1]stages!$2:$2,0)+1),MATCH(G$1,[1]stages!$2:$2,0)-MATCH("temp_stage",[1]stages!$2:$2,0)+1,FALSE)</f>
        <v>ドロップイベント2-3</v>
      </c>
      <c r="H558" s="18">
        <v>0</v>
      </c>
      <c r="I558">
        <v>34</v>
      </c>
      <c r="J558" s="5" t="s">
        <v>16</v>
      </c>
      <c r="K558" s="35" t="str">
        <f>VLOOKUP(I558,[2]stage_hints!$A:$C,3,FALSE)</f>
        <v>ステータスをスキルで下げられたら</v>
      </c>
      <c r="L558" s="36" t="str">
        <f>VLOOKUP(I558,[2]stage_hints!$A:$D,4,FALSE)</f>
        <v>ステータスダウンのスキルを受けたら_x000D_ステータスアップスキルで上書きしましょう</v>
      </c>
      <c r="M558" s="21" t="s">
        <v>23</v>
      </c>
      <c r="N558">
        <v>34</v>
      </c>
    </row>
    <row r="559" spans="1:14" x14ac:dyDescent="0.15">
      <c r="A559" s="26" t="s">
        <v>32</v>
      </c>
      <c r="B559" s="4">
        <v>20006</v>
      </c>
      <c r="C559" s="3" t="str">
        <f ca="1">VLOOKUP($B559,OFFSET([1]quests!$A$1,0,0,COUNTA([1]quests!$A:$A),MATCH(C$1,[1]quests!$1:$1,0)-MATCH($B$1,[1]quests!$1:$1,0)+1),MATCH(C$1,[1]quests!$1:$1,0)-MATCH($B$1,[1]quests!$1:$1,0)+1,FALSE)</f>
        <v>スチール・プレデター</v>
      </c>
      <c r="D559" s="3" t="str">
        <f ca="1">VLOOKUP($B559,OFFSET([1]quests!$A$1,0,0,COUNTA([1]quests!$A:$A),MATCH(D$1,[1]quests!$1:$1,0)-MATCH($B$1,[1]quests!$1:$1,0)+1),MATCH(D$1,[1]quests!$1:$1,0)-MATCH($B$1,[1]quests!$1:$1,0)+1,FALSE)</f>
        <v>ドロップイベント2-3</v>
      </c>
      <c r="E559" s="5">
        <v>2</v>
      </c>
      <c r="F559" s="3" t="str">
        <f ca="1">VLOOKUP($B559&amp;"_"&amp;$E559,OFFSET([1]stages!$A$1,0,0,COUNTA([1]stages!$A:$A),MATCH(F$1,[1]stages!$2:$2,0)-MATCH("temp_stage",[1]stages!$2:$2,0)+1),MATCH(F$1,[1]stages!$2:$2,0)-MATCH("temp_stage",[1]stages!$2:$2,0)+1,FALSE)</f>
        <v>【中級】スチール・プレデター</v>
      </c>
      <c r="G559" s="3" t="str">
        <f ca="1">VLOOKUP($B559&amp;"_"&amp;$E559,OFFSET([1]stages!$A$1,0,0,COUNTA([1]stages!$A:$A),MATCH(G$1,[1]stages!$2:$2,0)-MATCH("temp_stage",[1]stages!$2:$2,0)+1),MATCH(G$1,[1]stages!$2:$2,0)-MATCH("temp_stage",[1]stages!$2:$2,0)+1,FALSE)</f>
        <v>ドロップイベント2-3</v>
      </c>
      <c r="H559" s="18">
        <v>0</v>
      </c>
      <c r="I559">
        <v>35</v>
      </c>
      <c r="J559" s="5" t="s">
        <v>16</v>
      </c>
      <c r="K559" s="35" t="str">
        <f>VLOOKUP(I559,[2]stage_hints!$A:$C,3,FALSE)</f>
        <v>敵のステータスがスキルで上がったら</v>
      </c>
      <c r="L559" s="36" t="str">
        <f>VLOOKUP(I559,[2]stage_hints!$A:$D,4,FALSE)</f>
        <v>敵のステータスがスキルでアップしたときは_x000D_ステータスダウンスキルで上書きしましょう</v>
      </c>
      <c r="M559" s="21" t="s">
        <v>23</v>
      </c>
      <c r="N559">
        <v>35</v>
      </c>
    </row>
    <row r="560" spans="1:14" x14ac:dyDescent="0.15">
      <c r="A560" s="26" t="s">
        <v>32</v>
      </c>
      <c r="B560" s="4">
        <v>20007</v>
      </c>
      <c r="C560" s="3" t="str">
        <f ca="1">VLOOKUP($B560,OFFSET([1]quests!$A$1,0,0,COUNTA([1]quests!$A:$A),MATCH(C$1,[1]quests!$1:$1,0)-MATCH($B$1,[1]quests!$1:$1,0)+1),MATCH(C$1,[1]quests!$1:$1,0)-MATCH($B$1,[1]quests!$1:$1,0)+1,FALSE)</f>
        <v>女王陛下の処刑龍</v>
      </c>
      <c r="D560" s="3" t="str">
        <f ca="1">VLOOKUP($B560,OFFSET([1]quests!$A$1,0,0,COUNTA([1]quests!$A:$A),MATCH(D$1,[1]quests!$1:$1,0)-MATCH($B$1,[1]quests!$1:$1,0)+1),MATCH(D$1,[1]quests!$1:$1,0)-MATCH($B$1,[1]quests!$1:$1,0)+1,FALSE)</f>
        <v>ドロップイベント2-1</v>
      </c>
      <c r="E560" s="5">
        <v>2</v>
      </c>
      <c r="F560" s="3" t="str">
        <f ca="1">VLOOKUP($B560&amp;"_"&amp;$E560,OFFSET([1]stages!$A$1,0,0,COUNTA([1]stages!$A:$A),MATCH(F$1,[1]stages!$2:$2,0)-MATCH("temp_stage",[1]stages!$2:$2,0)+1),MATCH(F$1,[1]stages!$2:$2,0)-MATCH("temp_stage",[1]stages!$2:$2,0)+1,FALSE)</f>
        <v>【中級】女王陛下の処刑龍</v>
      </c>
      <c r="G560" s="3" t="str">
        <f ca="1">VLOOKUP($B560&amp;"_"&amp;$E560,OFFSET([1]stages!$A$1,0,0,COUNTA([1]stages!$A:$A),MATCH(G$1,[1]stages!$2:$2,0)-MATCH("temp_stage",[1]stages!$2:$2,0)+1),MATCH(G$1,[1]stages!$2:$2,0)-MATCH("temp_stage",[1]stages!$2:$2,0)+1,FALSE)</f>
        <v>ドロップイベント2-1</v>
      </c>
      <c r="H560" s="18">
        <v>0</v>
      </c>
      <c r="I560">
        <v>3</v>
      </c>
      <c r="J560" s="5" t="s">
        <v>16</v>
      </c>
      <c r="K560" s="35" t="str">
        <f>VLOOKUP(I560,[2]stage_hints!$A:$C,3,FALSE)</f>
        <v>ターゲット</v>
      </c>
      <c r="L560" s="36" t="str">
        <f>VLOOKUP(I560,[2]stage_hints!$A:$D,4,FALSE)</f>
        <v>敵ユニットをタップすると_x000D_その敵を狙い撃ちできます</v>
      </c>
      <c r="M560" s="21" t="s">
        <v>23</v>
      </c>
      <c r="N560">
        <v>3</v>
      </c>
    </row>
    <row r="561" spans="1:14" x14ac:dyDescent="0.15">
      <c r="A561" s="26" t="s">
        <v>32</v>
      </c>
      <c r="B561" s="4">
        <v>20007</v>
      </c>
      <c r="C561" s="3" t="str">
        <f ca="1">VLOOKUP($B561,OFFSET([1]quests!$A$1,0,0,COUNTA([1]quests!$A:$A),MATCH(C$1,[1]quests!$1:$1,0)-MATCH($B$1,[1]quests!$1:$1,0)+1),MATCH(C$1,[1]quests!$1:$1,0)-MATCH($B$1,[1]quests!$1:$1,0)+1,FALSE)</f>
        <v>女王陛下の処刑龍</v>
      </c>
      <c r="D561" s="3" t="str">
        <f ca="1">VLOOKUP($B561,OFFSET([1]quests!$A$1,0,0,COUNTA([1]quests!$A:$A),MATCH(D$1,[1]quests!$1:$1,0)-MATCH($B$1,[1]quests!$1:$1,0)+1),MATCH(D$1,[1]quests!$1:$1,0)-MATCH($B$1,[1]quests!$1:$1,0)+1,FALSE)</f>
        <v>ドロップイベント2-1</v>
      </c>
      <c r="E561" s="5">
        <v>2</v>
      </c>
      <c r="F561" s="3" t="str">
        <f ca="1">VLOOKUP($B561&amp;"_"&amp;$E561,OFFSET([1]stages!$A$1,0,0,COUNTA([1]stages!$A:$A),MATCH(F$1,[1]stages!$2:$2,0)-MATCH("temp_stage",[1]stages!$2:$2,0)+1),MATCH(F$1,[1]stages!$2:$2,0)-MATCH("temp_stage",[1]stages!$2:$2,0)+1,FALSE)</f>
        <v>【中級】女王陛下の処刑龍</v>
      </c>
      <c r="G561" s="3" t="str">
        <f ca="1">VLOOKUP($B561&amp;"_"&amp;$E561,OFFSET([1]stages!$A$1,0,0,COUNTA([1]stages!$A:$A),MATCH(G$1,[1]stages!$2:$2,0)-MATCH("temp_stage",[1]stages!$2:$2,0)+1),MATCH(G$1,[1]stages!$2:$2,0)-MATCH("temp_stage",[1]stages!$2:$2,0)+1,FALSE)</f>
        <v>ドロップイベント2-1</v>
      </c>
      <c r="H561" s="18">
        <v>0</v>
      </c>
      <c r="I561">
        <v>6</v>
      </c>
      <c r="J561" s="5" t="s">
        <v>16</v>
      </c>
      <c r="K561" s="35" t="str">
        <f>VLOOKUP(I561,[2]stage_hints!$A:$C,3,FALSE)</f>
        <v>ユニット強化の属性ボーナス</v>
      </c>
      <c r="L561" s="36" t="str">
        <f>VLOOKUP(I561,[2]stage_hints!$A:$D,4,FALSE)</f>
        <v>同属性ユニットを強化素材にすると_x000D_経験値が多くもらえます</v>
      </c>
      <c r="M561" s="21" t="s">
        <v>23</v>
      </c>
      <c r="N561">
        <v>6</v>
      </c>
    </row>
    <row r="562" spans="1:14" x14ac:dyDescent="0.15">
      <c r="A562" s="26" t="s">
        <v>32</v>
      </c>
      <c r="B562" s="4">
        <v>20007</v>
      </c>
      <c r="C562" s="3" t="str">
        <f ca="1">VLOOKUP($B562,OFFSET([1]quests!$A$1,0,0,COUNTA([1]quests!$A:$A),MATCH(C$1,[1]quests!$1:$1,0)-MATCH($B$1,[1]quests!$1:$1,0)+1),MATCH(C$1,[1]quests!$1:$1,0)-MATCH($B$1,[1]quests!$1:$1,0)+1,FALSE)</f>
        <v>女王陛下の処刑龍</v>
      </c>
      <c r="D562" s="3" t="str">
        <f ca="1">VLOOKUP($B562,OFFSET([1]quests!$A$1,0,0,COUNTA([1]quests!$A:$A),MATCH(D$1,[1]quests!$1:$1,0)-MATCH($B$1,[1]quests!$1:$1,0)+1),MATCH(D$1,[1]quests!$1:$1,0)-MATCH($B$1,[1]quests!$1:$1,0)+1,FALSE)</f>
        <v>ドロップイベント2-1</v>
      </c>
      <c r="E562" s="5">
        <v>2</v>
      </c>
      <c r="F562" s="3" t="str">
        <f ca="1">VLOOKUP($B562&amp;"_"&amp;$E562,OFFSET([1]stages!$A$1,0,0,COUNTA([1]stages!$A:$A),MATCH(F$1,[1]stages!$2:$2,0)-MATCH("temp_stage",[1]stages!$2:$2,0)+1),MATCH(F$1,[1]stages!$2:$2,0)-MATCH("temp_stage",[1]stages!$2:$2,0)+1,FALSE)</f>
        <v>【中級】女王陛下の処刑龍</v>
      </c>
      <c r="G562" s="3" t="str">
        <f ca="1">VLOOKUP($B562&amp;"_"&amp;$E562,OFFSET([1]stages!$A$1,0,0,COUNTA([1]stages!$A:$A),MATCH(G$1,[1]stages!$2:$2,0)-MATCH("temp_stage",[1]stages!$2:$2,0)+1),MATCH(G$1,[1]stages!$2:$2,0)-MATCH("temp_stage",[1]stages!$2:$2,0)+1,FALSE)</f>
        <v>ドロップイベント2-1</v>
      </c>
      <c r="H562" s="18">
        <v>0</v>
      </c>
      <c r="I562">
        <v>7</v>
      </c>
      <c r="J562" s="5" t="s">
        <v>16</v>
      </c>
      <c r="K562" s="35" t="str">
        <f>VLOOKUP(I562,[2]stage_hints!$A:$C,3,FALSE)</f>
        <v>メタルダックで経験値を獲得</v>
      </c>
      <c r="L562" s="36" t="str">
        <f>VLOOKUP(I562,[2]stage_hints!$A:$D,4,FALSE)</f>
        <v>「メタルなアヒル」を強化素材にすると_x000D_大量の経験値がもらえます</v>
      </c>
      <c r="M562" s="21" t="s">
        <v>23</v>
      </c>
      <c r="N562">
        <v>7</v>
      </c>
    </row>
    <row r="563" spans="1:14" x14ac:dyDescent="0.15">
      <c r="A563" s="26" t="s">
        <v>32</v>
      </c>
      <c r="B563" s="4">
        <v>20007</v>
      </c>
      <c r="C563" s="3" t="str">
        <f ca="1">VLOOKUP($B563,OFFSET([1]quests!$A$1,0,0,COUNTA([1]quests!$A:$A),MATCH(C$1,[1]quests!$1:$1,0)-MATCH($B$1,[1]quests!$1:$1,0)+1),MATCH(C$1,[1]quests!$1:$1,0)-MATCH($B$1,[1]quests!$1:$1,0)+1,FALSE)</f>
        <v>女王陛下の処刑龍</v>
      </c>
      <c r="D563" s="3" t="str">
        <f ca="1">VLOOKUP($B563,OFFSET([1]quests!$A$1,0,0,COUNTA([1]quests!$A:$A),MATCH(D$1,[1]quests!$1:$1,0)-MATCH($B$1,[1]quests!$1:$1,0)+1),MATCH(D$1,[1]quests!$1:$1,0)-MATCH($B$1,[1]quests!$1:$1,0)+1,FALSE)</f>
        <v>ドロップイベント2-1</v>
      </c>
      <c r="E563" s="5">
        <v>2</v>
      </c>
      <c r="F563" s="3" t="str">
        <f ca="1">VLOOKUP($B563&amp;"_"&amp;$E563,OFFSET([1]stages!$A$1,0,0,COUNTA([1]stages!$A:$A),MATCH(F$1,[1]stages!$2:$2,0)-MATCH("temp_stage",[1]stages!$2:$2,0)+1),MATCH(F$1,[1]stages!$2:$2,0)-MATCH("temp_stage",[1]stages!$2:$2,0)+1,FALSE)</f>
        <v>【中級】女王陛下の処刑龍</v>
      </c>
      <c r="G563" s="3" t="str">
        <f ca="1">VLOOKUP($B563&amp;"_"&amp;$E563,OFFSET([1]stages!$A$1,0,0,COUNTA([1]stages!$A:$A),MATCH(G$1,[1]stages!$2:$2,0)-MATCH("temp_stage",[1]stages!$2:$2,0)+1),MATCH(G$1,[1]stages!$2:$2,0)-MATCH("temp_stage",[1]stages!$2:$2,0)+1,FALSE)</f>
        <v>ドロップイベント2-1</v>
      </c>
      <c r="H563" s="18">
        <v>0</v>
      </c>
      <c r="I563">
        <v>8</v>
      </c>
      <c r="J563" s="5" t="s">
        <v>16</v>
      </c>
      <c r="K563" s="35" t="str">
        <f>VLOOKUP(I563,[2]stage_hints!$A:$C,3,FALSE)</f>
        <v>ゲリラクエストは要チェック</v>
      </c>
      <c r="L563" s="36" t="str">
        <f>VLOOKUP(I563,[2]stage_hints!$A:$D,4,FALSE)</f>
        <v>時間限定の「アヒル捕獲作戦」では_x000D_経験値素材ユニットが多く手に入ります</v>
      </c>
      <c r="M563" s="21" t="s">
        <v>23</v>
      </c>
      <c r="N563">
        <v>8</v>
      </c>
    </row>
    <row r="564" spans="1:14" x14ac:dyDescent="0.15">
      <c r="A564" s="26" t="s">
        <v>32</v>
      </c>
      <c r="B564" s="4">
        <v>20007</v>
      </c>
      <c r="C564" s="3" t="str">
        <f ca="1">VLOOKUP($B564,OFFSET([1]quests!$A$1,0,0,COUNTA([1]quests!$A:$A),MATCH(C$1,[1]quests!$1:$1,0)-MATCH($B$1,[1]quests!$1:$1,0)+1),MATCH(C$1,[1]quests!$1:$1,0)-MATCH($B$1,[1]quests!$1:$1,0)+1,FALSE)</f>
        <v>女王陛下の処刑龍</v>
      </c>
      <c r="D564" s="3" t="str">
        <f ca="1">VLOOKUP($B564,OFFSET([1]quests!$A$1,0,0,COUNTA([1]quests!$A:$A),MATCH(D$1,[1]quests!$1:$1,0)-MATCH($B$1,[1]quests!$1:$1,0)+1),MATCH(D$1,[1]quests!$1:$1,0)-MATCH($B$1,[1]quests!$1:$1,0)+1,FALSE)</f>
        <v>ドロップイベント2-1</v>
      </c>
      <c r="E564" s="5">
        <v>2</v>
      </c>
      <c r="F564" s="3" t="str">
        <f ca="1">VLOOKUP($B564&amp;"_"&amp;$E564,OFFSET([1]stages!$A$1,0,0,COUNTA([1]stages!$A:$A),MATCH(F$1,[1]stages!$2:$2,0)-MATCH("temp_stage",[1]stages!$2:$2,0)+1),MATCH(F$1,[1]stages!$2:$2,0)-MATCH("temp_stage",[1]stages!$2:$2,0)+1,FALSE)</f>
        <v>【中級】女王陛下の処刑龍</v>
      </c>
      <c r="G564" s="3" t="str">
        <f ca="1">VLOOKUP($B564&amp;"_"&amp;$E564,OFFSET([1]stages!$A$1,0,0,COUNTA([1]stages!$A:$A),MATCH(G$1,[1]stages!$2:$2,0)-MATCH("temp_stage",[1]stages!$2:$2,0)+1),MATCH(G$1,[1]stages!$2:$2,0)-MATCH("temp_stage",[1]stages!$2:$2,0)+1,FALSE)</f>
        <v>ドロップイベント2-1</v>
      </c>
      <c r="H564" s="18">
        <v>0</v>
      </c>
      <c r="I564">
        <v>9</v>
      </c>
      <c r="J564" s="5" t="s">
        <v>16</v>
      </c>
      <c r="K564" s="35" t="str">
        <f>VLOOKUP(I564,[2]stage_hints!$A:$C,3,FALSE)</f>
        <v>ゴールドダックでビットを獲得</v>
      </c>
      <c r="L564" s="36" t="str">
        <f>VLOOKUP(I564,[2]stage_hints!$A:$D,4,FALSE)</f>
        <v>「ゴールドなアヒル」を売却すると_x000D_大量のビットがもらえます</v>
      </c>
      <c r="M564" s="21" t="s">
        <v>23</v>
      </c>
      <c r="N564">
        <v>9</v>
      </c>
    </row>
    <row r="565" spans="1:14" x14ac:dyDescent="0.15">
      <c r="A565" s="26" t="s">
        <v>32</v>
      </c>
      <c r="B565" s="4">
        <v>20007</v>
      </c>
      <c r="C565" s="3" t="str">
        <f ca="1">VLOOKUP($B565,OFFSET([1]quests!$A$1,0,0,COUNTA([1]quests!$A:$A),MATCH(C$1,[1]quests!$1:$1,0)-MATCH($B$1,[1]quests!$1:$1,0)+1),MATCH(C$1,[1]quests!$1:$1,0)-MATCH($B$1,[1]quests!$1:$1,0)+1,FALSE)</f>
        <v>女王陛下の処刑龍</v>
      </c>
      <c r="D565" s="3" t="str">
        <f ca="1">VLOOKUP($B565,OFFSET([1]quests!$A$1,0,0,COUNTA([1]quests!$A:$A),MATCH(D$1,[1]quests!$1:$1,0)-MATCH($B$1,[1]quests!$1:$1,0)+1),MATCH(D$1,[1]quests!$1:$1,0)-MATCH($B$1,[1]quests!$1:$1,0)+1,FALSE)</f>
        <v>ドロップイベント2-1</v>
      </c>
      <c r="E565" s="5">
        <v>2</v>
      </c>
      <c r="F565" s="3" t="str">
        <f ca="1">VLOOKUP($B565&amp;"_"&amp;$E565,OFFSET([1]stages!$A$1,0,0,COUNTA([1]stages!$A:$A),MATCH(F$1,[1]stages!$2:$2,0)-MATCH("temp_stage",[1]stages!$2:$2,0)+1),MATCH(F$1,[1]stages!$2:$2,0)-MATCH("temp_stage",[1]stages!$2:$2,0)+1,FALSE)</f>
        <v>【中級】女王陛下の処刑龍</v>
      </c>
      <c r="G565" s="3" t="str">
        <f ca="1">VLOOKUP($B565&amp;"_"&amp;$E565,OFFSET([1]stages!$A$1,0,0,COUNTA([1]stages!$A:$A),MATCH(G$1,[1]stages!$2:$2,0)-MATCH("temp_stage",[1]stages!$2:$2,0)+1),MATCH(G$1,[1]stages!$2:$2,0)-MATCH("temp_stage",[1]stages!$2:$2,0)+1,FALSE)</f>
        <v>ドロップイベント2-1</v>
      </c>
      <c r="H565" s="18">
        <v>0</v>
      </c>
      <c r="I565">
        <v>10</v>
      </c>
      <c r="J565" s="5" t="s">
        <v>16</v>
      </c>
      <c r="K565" s="35" t="str">
        <f>VLOOKUP(I565,[2]stage_hints!$A:$C,3,FALSE)</f>
        <v>土日に大量のビットを獲得</v>
      </c>
      <c r="L565" s="36" t="str">
        <f>VLOOKUP(I565,[2]stage_hints!$A:$D,4,FALSE)</f>
        <v>土日限定の「ゴールドカジノ」では_x000D_売却素材ユニットが多く手に入ります</v>
      </c>
      <c r="M565" s="21" t="s">
        <v>23</v>
      </c>
      <c r="N565">
        <v>10</v>
      </c>
    </row>
    <row r="566" spans="1:14" x14ac:dyDescent="0.15">
      <c r="A566" s="26" t="s">
        <v>32</v>
      </c>
      <c r="B566" s="4">
        <v>20007</v>
      </c>
      <c r="C566" s="3" t="str">
        <f ca="1">VLOOKUP($B566,OFFSET([1]quests!$A$1,0,0,COUNTA([1]quests!$A:$A),MATCH(C$1,[1]quests!$1:$1,0)-MATCH($B$1,[1]quests!$1:$1,0)+1),MATCH(C$1,[1]quests!$1:$1,0)-MATCH($B$1,[1]quests!$1:$1,0)+1,FALSE)</f>
        <v>女王陛下の処刑龍</v>
      </c>
      <c r="D566" s="3" t="str">
        <f ca="1">VLOOKUP($B566,OFFSET([1]quests!$A$1,0,0,COUNTA([1]quests!$A:$A),MATCH(D$1,[1]quests!$1:$1,0)-MATCH($B$1,[1]quests!$1:$1,0)+1),MATCH(D$1,[1]quests!$1:$1,0)-MATCH($B$1,[1]quests!$1:$1,0)+1,FALSE)</f>
        <v>ドロップイベント2-1</v>
      </c>
      <c r="E566" s="5">
        <v>2</v>
      </c>
      <c r="F566" s="3" t="str">
        <f ca="1">VLOOKUP($B566&amp;"_"&amp;$E566,OFFSET([1]stages!$A$1,0,0,COUNTA([1]stages!$A:$A),MATCH(F$1,[1]stages!$2:$2,0)-MATCH("temp_stage",[1]stages!$2:$2,0)+1),MATCH(F$1,[1]stages!$2:$2,0)-MATCH("temp_stage",[1]stages!$2:$2,0)+1,FALSE)</f>
        <v>【中級】女王陛下の処刑龍</v>
      </c>
      <c r="G566" s="3" t="str">
        <f ca="1">VLOOKUP($B566&amp;"_"&amp;$E566,OFFSET([1]stages!$A$1,0,0,COUNTA([1]stages!$A:$A),MATCH(G$1,[1]stages!$2:$2,0)-MATCH("temp_stage",[1]stages!$2:$2,0)+1),MATCH(G$1,[1]stages!$2:$2,0)-MATCH("temp_stage",[1]stages!$2:$2,0)+1,FALSE)</f>
        <v>ドロップイベント2-1</v>
      </c>
      <c r="H566" s="18">
        <v>0</v>
      </c>
      <c r="I566">
        <v>11</v>
      </c>
      <c r="J566" s="5" t="s">
        <v>16</v>
      </c>
      <c r="K566" s="35" t="str">
        <f>VLOOKUP(I566,[2]stage_hints!$A:$C,3,FALSE)</f>
        <v>ランク解放クエスト</v>
      </c>
      <c r="L566" s="36" t="str">
        <f>VLOOKUP(I566,[2]stage_hints!$A:$D,4,FALSE)</f>
        <v>一定ランクに到達すると_x000D_報酬付きのランク開放クエストが現れます</v>
      </c>
      <c r="M566" s="21" t="s">
        <v>23</v>
      </c>
      <c r="N566">
        <v>11</v>
      </c>
    </row>
    <row r="567" spans="1:14" x14ac:dyDescent="0.15">
      <c r="A567" s="26" t="s">
        <v>32</v>
      </c>
      <c r="B567" s="4">
        <v>20007</v>
      </c>
      <c r="C567" s="3" t="str">
        <f ca="1">VLOOKUP($B567,OFFSET([1]quests!$A$1,0,0,COUNTA([1]quests!$A:$A),MATCH(C$1,[1]quests!$1:$1,0)-MATCH($B$1,[1]quests!$1:$1,0)+1),MATCH(C$1,[1]quests!$1:$1,0)-MATCH($B$1,[1]quests!$1:$1,0)+1,FALSE)</f>
        <v>女王陛下の処刑龍</v>
      </c>
      <c r="D567" s="3" t="str">
        <f ca="1">VLOOKUP($B567,OFFSET([1]quests!$A$1,0,0,COUNTA([1]quests!$A:$A),MATCH(D$1,[1]quests!$1:$1,0)-MATCH($B$1,[1]quests!$1:$1,0)+1),MATCH(D$1,[1]quests!$1:$1,0)-MATCH($B$1,[1]quests!$1:$1,0)+1,FALSE)</f>
        <v>ドロップイベント2-1</v>
      </c>
      <c r="E567" s="5">
        <v>2</v>
      </c>
      <c r="F567" s="3" t="str">
        <f ca="1">VLOOKUP($B567&amp;"_"&amp;$E567,OFFSET([1]stages!$A$1,0,0,COUNTA([1]stages!$A:$A),MATCH(F$1,[1]stages!$2:$2,0)-MATCH("temp_stage",[1]stages!$2:$2,0)+1),MATCH(F$1,[1]stages!$2:$2,0)-MATCH("temp_stage",[1]stages!$2:$2,0)+1,FALSE)</f>
        <v>【中級】女王陛下の処刑龍</v>
      </c>
      <c r="G567" s="3" t="str">
        <f ca="1">VLOOKUP($B567&amp;"_"&amp;$E567,OFFSET([1]stages!$A$1,0,0,COUNTA([1]stages!$A:$A),MATCH(G$1,[1]stages!$2:$2,0)-MATCH("temp_stage",[1]stages!$2:$2,0)+1),MATCH(G$1,[1]stages!$2:$2,0)-MATCH("temp_stage",[1]stages!$2:$2,0)+1,FALSE)</f>
        <v>ドロップイベント2-1</v>
      </c>
      <c r="H567" s="18">
        <v>0</v>
      </c>
      <c r="I567">
        <v>12</v>
      </c>
      <c r="J567" s="5" t="s">
        <v>16</v>
      </c>
      <c r="K567" s="35" t="str">
        <f>VLOOKUP(I567,[2]stage_hints!$A:$C,3,FALSE)</f>
        <v>ユニットのお気に入り登録</v>
      </c>
      <c r="L567" s="36" t="str">
        <f>VLOOKUP(I567,[2]stage_hints!$A:$D,4,FALSE)</f>
        <v>大事なユニットを誤って消さないように_x000D_フォルダから「お気に入り登録」しましょう</v>
      </c>
      <c r="M567" s="21" t="s">
        <v>23</v>
      </c>
      <c r="N567">
        <v>12</v>
      </c>
    </row>
    <row r="568" spans="1:14" x14ac:dyDescent="0.15">
      <c r="A568" s="26" t="s">
        <v>32</v>
      </c>
      <c r="B568" s="4">
        <v>20007</v>
      </c>
      <c r="C568" s="3" t="str">
        <f ca="1">VLOOKUP($B568,OFFSET([1]quests!$A$1,0,0,COUNTA([1]quests!$A:$A),MATCH(C$1,[1]quests!$1:$1,0)-MATCH($B$1,[1]quests!$1:$1,0)+1),MATCH(C$1,[1]quests!$1:$1,0)-MATCH($B$1,[1]quests!$1:$1,0)+1,FALSE)</f>
        <v>女王陛下の処刑龍</v>
      </c>
      <c r="D568" s="3" t="str">
        <f ca="1">VLOOKUP($B568,OFFSET([1]quests!$A$1,0,0,COUNTA([1]quests!$A:$A),MATCH(D$1,[1]quests!$1:$1,0)-MATCH($B$1,[1]quests!$1:$1,0)+1),MATCH(D$1,[1]quests!$1:$1,0)-MATCH($B$1,[1]quests!$1:$1,0)+1,FALSE)</f>
        <v>ドロップイベント2-1</v>
      </c>
      <c r="E568" s="5">
        <v>2</v>
      </c>
      <c r="F568" s="3" t="str">
        <f ca="1">VLOOKUP($B568&amp;"_"&amp;$E568,OFFSET([1]stages!$A$1,0,0,COUNTA([1]stages!$A:$A),MATCH(F$1,[1]stages!$2:$2,0)-MATCH("temp_stage",[1]stages!$2:$2,0)+1),MATCH(F$1,[1]stages!$2:$2,0)-MATCH("temp_stage",[1]stages!$2:$2,0)+1,FALSE)</f>
        <v>【中級】女王陛下の処刑龍</v>
      </c>
      <c r="G568" s="3" t="str">
        <f ca="1">VLOOKUP($B568&amp;"_"&amp;$E568,OFFSET([1]stages!$A$1,0,0,COUNTA([1]stages!$A:$A),MATCH(G$1,[1]stages!$2:$2,0)-MATCH("temp_stage",[1]stages!$2:$2,0)+1),MATCH(G$1,[1]stages!$2:$2,0)-MATCH("temp_stage",[1]stages!$2:$2,0)+1,FALSE)</f>
        <v>ドロップイベント2-1</v>
      </c>
      <c r="H568" s="18">
        <v>0</v>
      </c>
      <c r="I568">
        <v>13</v>
      </c>
      <c r="J568" s="5" t="s">
        <v>16</v>
      </c>
      <c r="K568" s="35" t="str">
        <f>VLOOKUP(I568,[2]stage_hints!$A:$C,3,FALSE)</f>
        <v>ユニットの覚醒</v>
      </c>
      <c r="L568" s="36" t="str">
        <f>VLOOKUP(I568,[2]stage_hints!$A:$D,4,FALSE)</f>
        <v>ユニットを覚醒させると_x000D_比べものにならない強さが手に入ります</v>
      </c>
      <c r="M568" s="21" t="s">
        <v>23</v>
      </c>
      <c r="N568">
        <v>13</v>
      </c>
    </row>
    <row r="569" spans="1:14" x14ac:dyDescent="0.15">
      <c r="A569" s="26" t="s">
        <v>32</v>
      </c>
      <c r="B569" s="4">
        <v>20007</v>
      </c>
      <c r="C569" s="3" t="str">
        <f ca="1">VLOOKUP($B569,OFFSET([1]quests!$A$1,0,0,COUNTA([1]quests!$A:$A),MATCH(C$1,[1]quests!$1:$1,0)-MATCH($B$1,[1]quests!$1:$1,0)+1),MATCH(C$1,[1]quests!$1:$1,0)-MATCH($B$1,[1]quests!$1:$1,0)+1,FALSE)</f>
        <v>女王陛下の処刑龍</v>
      </c>
      <c r="D569" s="3" t="str">
        <f ca="1">VLOOKUP($B569,OFFSET([1]quests!$A$1,0,0,COUNTA([1]quests!$A:$A),MATCH(D$1,[1]quests!$1:$1,0)-MATCH($B$1,[1]quests!$1:$1,0)+1),MATCH(D$1,[1]quests!$1:$1,0)-MATCH($B$1,[1]quests!$1:$1,0)+1,FALSE)</f>
        <v>ドロップイベント2-1</v>
      </c>
      <c r="E569" s="5">
        <v>2</v>
      </c>
      <c r="F569" s="3" t="str">
        <f ca="1">VLOOKUP($B569&amp;"_"&amp;$E569,OFFSET([1]stages!$A$1,0,0,COUNTA([1]stages!$A:$A),MATCH(F$1,[1]stages!$2:$2,0)-MATCH("temp_stage",[1]stages!$2:$2,0)+1),MATCH(F$1,[1]stages!$2:$2,0)-MATCH("temp_stage",[1]stages!$2:$2,0)+1,FALSE)</f>
        <v>【中級】女王陛下の処刑龍</v>
      </c>
      <c r="G569" s="3" t="str">
        <f ca="1">VLOOKUP($B569&amp;"_"&amp;$E569,OFFSET([1]stages!$A$1,0,0,COUNTA([1]stages!$A:$A),MATCH(G$1,[1]stages!$2:$2,0)-MATCH("temp_stage",[1]stages!$2:$2,0)+1),MATCH(G$1,[1]stages!$2:$2,0)-MATCH("temp_stage",[1]stages!$2:$2,0)+1,FALSE)</f>
        <v>ドロップイベント2-1</v>
      </c>
      <c r="H569" s="18">
        <v>0</v>
      </c>
      <c r="I569">
        <v>14</v>
      </c>
      <c r="J569" s="5" t="s">
        <v>16</v>
      </c>
      <c r="K569" s="35" t="str">
        <f>VLOOKUP(I569,[2]stage_hints!$A:$C,3,FALSE)</f>
        <v>覚醒するにはレベルを最大に</v>
      </c>
      <c r="L569" s="36" t="str">
        <f>VLOOKUP(I569,[2]stage_hints!$A:$D,4,FALSE)</f>
        <v>覚醒するにはユニットのレベルを_x000D_最大まで上げる必要があります</v>
      </c>
      <c r="M569" s="21" t="s">
        <v>23</v>
      </c>
      <c r="N569">
        <v>14</v>
      </c>
    </row>
    <row r="570" spans="1:14" x14ac:dyDescent="0.15">
      <c r="A570" s="26" t="s">
        <v>32</v>
      </c>
      <c r="B570" s="4">
        <v>20007</v>
      </c>
      <c r="C570" s="3" t="str">
        <f ca="1">VLOOKUP($B570,OFFSET([1]quests!$A$1,0,0,COUNTA([1]quests!$A:$A),MATCH(C$1,[1]quests!$1:$1,0)-MATCH($B$1,[1]quests!$1:$1,0)+1),MATCH(C$1,[1]quests!$1:$1,0)-MATCH($B$1,[1]quests!$1:$1,0)+1,FALSE)</f>
        <v>女王陛下の処刑龍</v>
      </c>
      <c r="D570" s="3" t="str">
        <f ca="1">VLOOKUP($B570,OFFSET([1]quests!$A$1,0,0,COUNTA([1]quests!$A:$A),MATCH(D$1,[1]quests!$1:$1,0)-MATCH($B$1,[1]quests!$1:$1,0)+1),MATCH(D$1,[1]quests!$1:$1,0)-MATCH($B$1,[1]quests!$1:$1,0)+1,FALSE)</f>
        <v>ドロップイベント2-1</v>
      </c>
      <c r="E570" s="5">
        <v>2</v>
      </c>
      <c r="F570" s="3" t="str">
        <f ca="1">VLOOKUP($B570&amp;"_"&amp;$E570,OFFSET([1]stages!$A$1,0,0,COUNTA([1]stages!$A:$A),MATCH(F$1,[1]stages!$2:$2,0)-MATCH("temp_stage",[1]stages!$2:$2,0)+1),MATCH(F$1,[1]stages!$2:$2,0)-MATCH("temp_stage",[1]stages!$2:$2,0)+1,FALSE)</f>
        <v>【中級】女王陛下の処刑龍</v>
      </c>
      <c r="G570" s="3" t="str">
        <f ca="1">VLOOKUP($B570&amp;"_"&amp;$E570,OFFSET([1]stages!$A$1,0,0,COUNTA([1]stages!$A:$A),MATCH(G$1,[1]stages!$2:$2,0)-MATCH("temp_stage",[1]stages!$2:$2,0)+1),MATCH(G$1,[1]stages!$2:$2,0)-MATCH("temp_stage",[1]stages!$2:$2,0)+1,FALSE)</f>
        <v>ドロップイベント2-1</v>
      </c>
      <c r="H570" s="18">
        <v>0</v>
      </c>
      <c r="I570">
        <v>15</v>
      </c>
      <c r="J570" s="5" t="s">
        <v>16</v>
      </c>
      <c r="K570" s="35" t="str">
        <f>VLOOKUP(I570,[2]stage_hints!$A:$C,3,FALSE)</f>
        <v>覚醒素材を獲得</v>
      </c>
      <c r="L570" s="36" t="str">
        <f>VLOOKUP(I570,[2]stage_hints!$A:$D,4,FALSE)</f>
        <v>「曜日クエスト」では_x000D_ユニットの覚醒に必要な素材が手に入ります</v>
      </c>
      <c r="M570" s="21" t="s">
        <v>23</v>
      </c>
      <c r="N570">
        <v>15</v>
      </c>
    </row>
    <row r="571" spans="1:14" x14ac:dyDescent="0.15">
      <c r="A571" s="26" t="s">
        <v>32</v>
      </c>
      <c r="B571" s="4">
        <v>20007</v>
      </c>
      <c r="C571" s="3" t="str">
        <f ca="1">VLOOKUP($B571,OFFSET([1]quests!$A$1,0,0,COUNTA([1]quests!$A:$A),MATCH(C$1,[1]quests!$1:$1,0)-MATCH($B$1,[1]quests!$1:$1,0)+1),MATCH(C$1,[1]quests!$1:$1,0)-MATCH($B$1,[1]quests!$1:$1,0)+1,FALSE)</f>
        <v>女王陛下の処刑龍</v>
      </c>
      <c r="D571" s="3" t="str">
        <f ca="1">VLOOKUP($B571,OFFSET([1]quests!$A$1,0,0,COUNTA([1]quests!$A:$A),MATCH(D$1,[1]quests!$1:$1,0)-MATCH($B$1,[1]quests!$1:$1,0)+1),MATCH(D$1,[1]quests!$1:$1,0)-MATCH($B$1,[1]quests!$1:$1,0)+1,FALSE)</f>
        <v>ドロップイベント2-1</v>
      </c>
      <c r="E571" s="5">
        <v>2</v>
      </c>
      <c r="F571" s="3" t="str">
        <f ca="1">VLOOKUP($B571&amp;"_"&amp;$E571,OFFSET([1]stages!$A$1,0,0,COUNTA([1]stages!$A:$A),MATCH(F$1,[1]stages!$2:$2,0)-MATCH("temp_stage",[1]stages!$2:$2,0)+1),MATCH(F$1,[1]stages!$2:$2,0)-MATCH("temp_stage",[1]stages!$2:$2,0)+1,FALSE)</f>
        <v>【中級】女王陛下の処刑龍</v>
      </c>
      <c r="G571" s="3" t="str">
        <f ca="1">VLOOKUP($B571&amp;"_"&amp;$E571,OFFSET([1]stages!$A$1,0,0,COUNTA([1]stages!$A:$A),MATCH(G$1,[1]stages!$2:$2,0)-MATCH("temp_stage",[1]stages!$2:$2,0)+1),MATCH(G$1,[1]stages!$2:$2,0)-MATCH("temp_stage",[1]stages!$2:$2,0)+1,FALSE)</f>
        <v>ドロップイベント2-1</v>
      </c>
      <c r="H571" s="18">
        <v>0</v>
      </c>
      <c r="I571">
        <v>16</v>
      </c>
      <c r="J571" s="5" t="s">
        <v>16</v>
      </c>
      <c r="K571" s="35" t="str">
        <f>VLOOKUP(I571,[2]stage_hints!$A:$C,3,FALSE)</f>
        <v>マルチプレイのメリット（その1）</v>
      </c>
      <c r="L571" s="36" t="str">
        <f>VLOOKUP(I571,[2]stage_hints!$A:$D,4,FALSE)</f>
        <v>他のプレイヤーとマルチプレイで遊ぶと_x000D_ポリゴンがもらえます（100人まで）</v>
      </c>
      <c r="M571" s="21" t="s">
        <v>23</v>
      </c>
      <c r="N571">
        <v>16</v>
      </c>
    </row>
    <row r="572" spans="1:14" x14ac:dyDescent="0.15">
      <c r="A572" s="26" t="s">
        <v>32</v>
      </c>
      <c r="B572" s="4">
        <v>20007</v>
      </c>
      <c r="C572" s="3" t="str">
        <f ca="1">VLOOKUP($B572,OFFSET([1]quests!$A$1,0,0,COUNTA([1]quests!$A:$A),MATCH(C$1,[1]quests!$1:$1,0)-MATCH($B$1,[1]quests!$1:$1,0)+1),MATCH(C$1,[1]quests!$1:$1,0)-MATCH($B$1,[1]quests!$1:$1,0)+1,FALSE)</f>
        <v>女王陛下の処刑龍</v>
      </c>
      <c r="D572" s="3" t="str">
        <f ca="1">VLOOKUP($B572,OFFSET([1]quests!$A$1,0,0,COUNTA([1]quests!$A:$A),MATCH(D$1,[1]quests!$1:$1,0)-MATCH($B$1,[1]quests!$1:$1,0)+1),MATCH(D$1,[1]quests!$1:$1,0)-MATCH($B$1,[1]quests!$1:$1,0)+1,FALSE)</f>
        <v>ドロップイベント2-1</v>
      </c>
      <c r="E572" s="5">
        <v>2</v>
      </c>
      <c r="F572" s="3" t="str">
        <f ca="1">VLOOKUP($B572&amp;"_"&amp;$E572,OFFSET([1]stages!$A$1,0,0,COUNTA([1]stages!$A:$A),MATCH(F$1,[1]stages!$2:$2,0)-MATCH("temp_stage",[1]stages!$2:$2,0)+1),MATCH(F$1,[1]stages!$2:$2,0)-MATCH("temp_stage",[1]stages!$2:$2,0)+1,FALSE)</f>
        <v>【中級】女王陛下の処刑龍</v>
      </c>
      <c r="G572" s="3" t="str">
        <f ca="1">VLOOKUP($B572&amp;"_"&amp;$E572,OFFSET([1]stages!$A$1,0,0,COUNTA([1]stages!$A:$A),MATCH(G$1,[1]stages!$2:$2,0)-MATCH("temp_stage",[1]stages!$2:$2,0)+1),MATCH(G$1,[1]stages!$2:$2,0)-MATCH("temp_stage",[1]stages!$2:$2,0)+1,FALSE)</f>
        <v>ドロップイベント2-1</v>
      </c>
      <c r="H572" s="18">
        <v>0</v>
      </c>
      <c r="I572">
        <v>17</v>
      </c>
      <c r="J572" s="5" t="s">
        <v>16</v>
      </c>
      <c r="K572" s="35" t="str">
        <f>VLOOKUP(I572,[2]stage_hints!$A:$C,3,FALSE)</f>
        <v>リンクガチャ</v>
      </c>
      <c r="L572" s="36" t="str">
        <f>VLOOKUP(I572,[2]stage_hints!$A:$D,4,FALSE)</f>
        <v>無料のリンクガチャを回して_x000D_経験値素材や売却素材を獲得しましょう</v>
      </c>
      <c r="M572" s="21" t="s">
        <v>23</v>
      </c>
      <c r="N572">
        <v>17</v>
      </c>
    </row>
    <row r="573" spans="1:14" x14ac:dyDescent="0.15">
      <c r="A573" s="26" t="s">
        <v>32</v>
      </c>
      <c r="B573" s="4">
        <v>20007</v>
      </c>
      <c r="C573" s="3" t="str">
        <f ca="1">VLOOKUP($B573,OFFSET([1]quests!$A$1,0,0,COUNTA([1]quests!$A:$A),MATCH(C$1,[1]quests!$1:$1,0)-MATCH($B$1,[1]quests!$1:$1,0)+1),MATCH(C$1,[1]quests!$1:$1,0)-MATCH($B$1,[1]quests!$1:$1,0)+1,FALSE)</f>
        <v>女王陛下の処刑龍</v>
      </c>
      <c r="D573" s="3" t="str">
        <f ca="1">VLOOKUP($B573,OFFSET([1]quests!$A$1,0,0,COUNTA([1]quests!$A:$A),MATCH(D$1,[1]quests!$1:$1,0)-MATCH($B$1,[1]quests!$1:$1,0)+1),MATCH(D$1,[1]quests!$1:$1,0)-MATCH($B$1,[1]quests!$1:$1,0)+1,FALSE)</f>
        <v>ドロップイベント2-1</v>
      </c>
      <c r="E573" s="5">
        <v>2</v>
      </c>
      <c r="F573" s="3" t="str">
        <f ca="1">VLOOKUP($B573&amp;"_"&amp;$E573,OFFSET([1]stages!$A$1,0,0,COUNTA([1]stages!$A:$A),MATCH(F$1,[1]stages!$2:$2,0)-MATCH("temp_stage",[1]stages!$2:$2,0)+1),MATCH(F$1,[1]stages!$2:$2,0)-MATCH("temp_stage",[1]stages!$2:$2,0)+1,FALSE)</f>
        <v>【中級】女王陛下の処刑龍</v>
      </c>
      <c r="G573" s="3" t="str">
        <f ca="1">VLOOKUP($B573&amp;"_"&amp;$E573,OFFSET([1]stages!$A$1,0,0,COUNTA([1]stages!$A:$A),MATCH(G$1,[1]stages!$2:$2,0)-MATCH("temp_stage",[1]stages!$2:$2,0)+1),MATCH(G$1,[1]stages!$2:$2,0)-MATCH("temp_stage",[1]stages!$2:$2,0)+1,FALSE)</f>
        <v>ドロップイベント2-1</v>
      </c>
      <c r="H573" s="18">
        <v>0</v>
      </c>
      <c r="I573">
        <v>18</v>
      </c>
      <c r="J573" s="5" t="s">
        <v>16</v>
      </c>
      <c r="K573" s="35" t="str">
        <f>VLOOKUP(I573,[2]stage_hints!$A:$C,3,FALSE)</f>
        <v>マルチプレイのメリット（その2）</v>
      </c>
      <c r="L573" s="36" t="str">
        <f>VLOOKUP(I573,[2]stage_hints!$A:$D,4,FALSE)</f>
        <v>マルチプレイならリンクが2倍もらえます_x000D_リンクガチャをたくさん回しましょう</v>
      </c>
      <c r="M573" s="21" t="s">
        <v>23</v>
      </c>
      <c r="N573">
        <v>18</v>
      </c>
    </row>
    <row r="574" spans="1:14" x14ac:dyDescent="0.15">
      <c r="A574" s="26" t="s">
        <v>32</v>
      </c>
      <c r="B574" s="4">
        <v>20007</v>
      </c>
      <c r="C574" s="3" t="str">
        <f ca="1">VLOOKUP($B574,OFFSET([1]quests!$A$1,0,0,COUNTA([1]quests!$A:$A),MATCH(C$1,[1]quests!$1:$1,0)-MATCH($B$1,[1]quests!$1:$1,0)+1),MATCH(C$1,[1]quests!$1:$1,0)-MATCH($B$1,[1]quests!$1:$1,0)+1,FALSE)</f>
        <v>女王陛下の処刑龍</v>
      </c>
      <c r="D574" s="3" t="str">
        <f ca="1">VLOOKUP($B574,OFFSET([1]quests!$A$1,0,0,COUNTA([1]quests!$A:$A),MATCH(D$1,[1]quests!$1:$1,0)-MATCH($B$1,[1]quests!$1:$1,0)+1),MATCH(D$1,[1]quests!$1:$1,0)-MATCH($B$1,[1]quests!$1:$1,0)+1,FALSE)</f>
        <v>ドロップイベント2-1</v>
      </c>
      <c r="E574" s="5">
        <v>2</v>
      </c>
      <c r="F574" s="3" t="str">
        <f ca="1">VLOOKUP($B574&amp;"_"&amp;$E574,OFFSET([1]stages!$A$1,0,0,COUNTA([1]stages!$A:$A),MATCH(F$1,[1]stages!$2:$2,0)-MATCH("temp_stage",[1]stages!$2:$2,0)+1),MATCH(F$1,[1]stages!$2:$2,0)-MATCH("temp_stage",[1]stages!$2:$2,0)+1,FALSE)</f>
        <v>【中級】女王陛下の処刑龍</v>
      </c>
      <c r="G574" s="3" t="str">
        <f ca="1">VLOOKUP($B574&amp;"_"&amp;$E574,OFFSET([1]stages!$A$1,0,0,COUNTA([1]stages!$A:$A),MATCH(G$1,[1]stages!$2:$2,0)-MATCH("temp_stage",[1]stages!$2:$2,0)+1),MATCH(G$1,[1]stages!$2:$2,0)-MATCH("temp_stage",[1]stages!$2:$2,0)+1,FALSE)</f>
        <v>ドロップイベント2-1</v>
      </c>
      <c r="H574" s="18">
        <v>0</v>
      </c>
      <c r="I574">
        <v>19</v>
      </c>
      <c r="J574" s="5" t="s">
        <v>16</v>
      </c>
      <c r="K574" s="35" t="str">
        <f>VLOOKUP(I574,[2]stage_hints!$A:$C,3,FALSE)</f>
        <v>ソロ専用チャレンジタワー</v>
      </c>
      <c r="L574" s="36" t="str">
        <f>VLOOKUP(I574,[2]stage_hints!$A:$D,4,FALSE)</f>
        <v>ソロ専用の「チャレンジタワー」では_x000D_各フロアごとにクリア報酬がもらえます</v>
      </c>
      <c r="M574" s="21" t="s">
        <v>23</v>
      </c>
      <c r="N574">
        <v>19</v>
      </c>
    </row>
    <row r="575" spans="1:14" x14ac:dyDescent="0.15">
      <c r="A575" s="26" t="s">
        <v>32</v>
      </c>
      <c r="B575" s="4">
        <v>20007</v>
      </c>
      <c r="C575" s="3" t="str">
        <f ca="1">VLOOKUP($B575,OFFSET([1]quests!$A$1,0,0,COUNTA([1]quests!$A:$A),MATCH(C$1,[1]quests!$1:$1,0)-MATCH($B$1,[1]quests!$1:$1,0)+1),MATCH(C$1,[1]quests!$1:$1,0)-MATCH($B$1,[1]quests!$1:$1,0)+1,FALSE)</f>
        <v>女王陛下の処刑龍</v>
      </c>
      <c r="D575" s="3" t="str">
        <f ca="1">VLOOKUP($B575,OFFSET([1]quests!$A$1,0,0,COUNTA([1]quests!$A:$A),MATCH(D$1,[1]quests!$1:$1,0)-MATCH($B$1,[1]quests!$1:$1,0)+1),MATCH(D$1,[1]quests!$1:$1,0)-MATCH($B$1,[1]quests!$1:$1,0)+1,FALSE)</f>
        <v>ドロップイベント2-1</v>
      </c>
      <c r="E575" s="5">
        <v>2</v>
      </c>
      <c r="F575" s="3" t="str">
        <f ca="1">VLOOKUP($B575&amp;"_"&amp;$E575,OFFSET([1]stages!$A$1,0,0,COUNTA([1]stages!$A:$A),MATCH(F$1,[1]stages!$2:$2,0)-MATCH("temp_stage",[1]stages!$2:$2,0)+1),MATCH(F$1,[1]stages!$2:$2,0)-MATCH("temp_stage",[1]stages!$2:$2,0)+1,FALSE)</f>
        <v>【中級】女王陛下の処刑龍</v>
      </c>
      <c r="G575" s="3" t="str">
        <f ca="1">VLOOKUP($B575&amp;"_"&amp;$E575,OFFSET([1]stages!$A$1,0,0,COUNTA([1]stages!$A:$A),MATCH(G$1,[1]stages!$2:$2,0)-MATCH("temp_stage",[1]stages!$2:$2,0)+1),MATCH(G$1,[1]stages!$2:$2,0)-MATCH("temp_stage",[1]stages!$2:$2,0)+1,FALSE)</f>
        <v>ドロップイベント2-1</v>
      </c>
      <c r="H575" s="18">
        <v>0</v>
      </c>
      <c r="I575">
        <v>20</v>
      </c>
      <c r="J575" s="5" t="s">
        <v>16</v>
      </c>
      <c r="K575" s="35" t="str">
        <f>VLOOKUP(I575,[2]stage_hints!$A:$C,3,FALSE)</f>
        <v>マルチプレイのメリット（その3）</v>
      </c>
      <c r="L575" s="36" t="str">
        <f>VLOOKUP(I575,[2]stage_hints!$A:$D,4,FALSE)</f>
        <v>マルチプレイへの参加はエナジー消費ゼロ_x000D_いつでも好きなだけ遊ぶことができます</v>
      </c>
      <c r="M575" s="21" t="s">
        <v>23</v>
      </c>
      <c r="N575">
        <v>20</v>
      </c>
    </row>
    <row r="576" spans="1:14" x14ac:dyDescent="0.15">
      <c r="A576" s="26" t="s">
        <v>32</v>
      </c>
      <c r="B576" s="4">
        <v>20007</v>
      </c>
      <c r="C576" s="3" t="str">
        <f ca="1">VLOOKUP($B576,OFFSET([1]quests!$A$1,0,0,COUNTA([1]quests!$A:$A),MATCH(C$1,[1]quests!$1:$1,0)-MATCH($B$1,[1]quests!$1:$1,0)+1),MATCH(C$1,[1]quests!$1:$1,0)-MATCH($B$1,[1]quests!$1:$1,0)+1,FALSE)</f>
        <v>女王陛下の処刑龍</v>
      </c>
      <c r="D576" s="3" t="str">
        <f ca="1">VLOOKUP($B576,OFFSET([1]quests!$A$1,0,0,COUNTA([1]quests!$A:$A),MATCH(D$1,[1]quests!$1:$1,0)-MATCH($B$1,[1]quests!$1:$1,0)+1),MATCH(D$1,[1]quests!$1:$1,0)-MATCH($B$1,[1]quests!$1:$1,0)+1,FALSE)</f>
        <v>ドロップイベント2-1</v>
      </c>
      <c r="E576" s="5">
        <v>2</v>
      </c>
      <c r="F576" s="3" t="str">
        <f ca="1">VLOOKUP($B576&amp;"_"&amp;$E576,OFFSET([1]stages!$A$1,0,0,COUNTA([1]stages!$A:$A),MATCH(F$1,[1]stages!$2:$2,0)-MATCH("temp_stage",[1]stages!$2:$2,0)+1),MATCH(F$1,[1]stages!$2:$2,0)-MATCH("temp_stage",[1]stages!$2:$2,0)+1,FALSE)</f>
        <v>【中級】女王陛下の処刑龍</v>
      </c>
      <c r="G576" s="3" t="str">
        <f ca="1">VLOOKUP($B576&amp;"_"&amp;$E576,OFFSET([1]stages!$A$1,0,0,COUNTA([1]stages!$A:$A),MATCH(G$1,[1]stages!$2:$2,0)-MATCH("temp_stage",[1]stages!$2:$2,0)+1),MATCH(G$1,[1]stages!$2:$2,0)-MATCH("temp_stage",[1]stages!$2:$2,0)+1,FALSE)</f>
        <v>ドロップイベント2-1</v>
      </c>
      <c r="H576" s="18">
        <v>0</v>
      </c>
      <c r="I576">
        <v>21</v>
      </c>
      <c r="J576" s="5" t="s">
        <v>16</v>
      </c>
      <c r="K576" s="35" t="str">
        <f>VLOOKUP(I576,[2]stage_hints!$A:$C,3,FALSE)</f>
        <v>スキルを有効に</v>
      </c>
      <c r="L576" s="36" t="str">
        <f>VLOOKUP(I576,[2]stage_hints!$A:$D,4,FALSE)</f>
        <v>ターン経過でユニットのスキルが使えます_x000D_強力スキルでバトルを有利に進めましょう</v>
      </c>
      <c r="M576" s="21" t="s">
        <v>23</v>
      </c>
      <c r="N576">
        <v>21</v>
      </c>
    </row>
    <row r="577" spans="1:14" x14ac:dyDescent="0.15">
      <c r="A577" s="26" t="s">
        <v>32</v>
      </c>
      <c r="B577" s="4">
        <v>20007</v>
      </c>
      <c r="C577" s="3" t="str">
        <f ca="1">VLOOKUP($B577,OFFSET([1]quests!$A$1,0,0,COUNTA([1]quests!$A:$A),MATCH(C$1,[1]quests!$1:$1,0)-MATCH($B$1,[1]quests!$1:$1,0)+1),MATCH(C$1,[1]quests!$1:$1,0)-MATCH($B$1,[1]quests!$1:$1,0)+1,FALSE)</f>
        <v>女王陛下の処刑龍</v>
      </c>
      <c r="D577" s="3" t="str">
        <f ca="1">VLOOKUP($B577,OFFSET([1]quests!$A$1,0,0,COUNTA([1]quests!$A:$A),MATCH(D$1,[1]quests!$1:$1,0)-MATCH($B$1,[1]quests!$1:$1,0)+1),MATCH(D$1,[1]quests!$1:$1,0)-MATCH($B$1,[1]quests!$1:$1,0)+1,FALSE)</f>
        <v>ドロップイベント2-1</v>
      </c>
      <c r="E577" s="5">
        <v>2</v>
      </c>
      <c r="F577" s="3" t="str">
        <f ca="1">VLOOKUP($B577&amp;"_"&amp;$E577,OFFSET([1]stages!$A$1,0,0,COUNTA([1]stages!$A:$A),MATCH(F$1,[1]stages!$2:$2,0)-MATCH("temp_stage",[1]stages!$2:$2,0)+1),MATCH(F$1,[1]stages!$2:$2,0)-MATCH("temp_stage",[1]stages!$2:$2,0)+1,FALSE)</f>
        <v>【中級】女王陛下の処刑龍</v>
      </c>
      <c r="G577" s="3" t="str">
        <f ca="1">VLOOKUP($B577&amp;"_"&amp;$E577,OFFSET([1]stages!$A$1,0,0,COUNTA([1]stages!$A:$A),MATCH(G$1,[1]stages!$2:$2,0)-MATCH("temp_stage",[1]stages!$2:$2,0)+1),MATCH(G$1,[1]stages!$2:$2,0)-MATCH("temp_stage",[1]stages!$2:$2,0)+1,FALSE)</f>
        <v>ドロップイベント2-1</v>
      </c>
      <c r="H577" s="18">
        <v>0</v>
      </c>
      <c r="I577">
        <v>22</v>
      </c>
      <c r="J577" s="5" t="s">
        <v>16</v>
      </c>
      <c r="K577" s="35" t="str">
        <f>VLOOKUP(I577,[2]stage_hints!$A:$C,3,FALSE)</f>
        <v>フィーバーで一発逆転（その1）</v>
      </c>
      <c r="L577" s="36" t="str">
        <f>VLOOKUP(I577,[2]stage_hints!$A:$D,4,FALSE)</f>
        <v>フィーバーは攻撃と回復を兼ね備えます_x000D_ピンチからの一発逆転を狙いましょう</v>
      </c>
      <c r="M577" s="21" t="s">
        <v>23</v>
      </c>
      <c r="N577">
        <v>22</v>
      </c>
    </row>
    <row r="578" spans="1:14" x14ac:dyDescent="0.15">
      <c r="A578" s="26" t="s">
        <v>32</v>
      </c>
      <c r="B578" s="4">
        <v>20007</v>
      </c>
      <c r="C578" s="3" t="str">
        <f ca="1">VLOOKUP($B578,OFFSET([1]quests!$A$1,0,0,COUNTA([1]quests!$A:$A),MATCH(C$1,[1]quests!$1:$1,0)-MATCH($B$1,[1]quests!$1:$1,0)+1),MATCH(C$1,[1]quests!$1:$1,0)-MATCH($B$1,[1]quests!$1:$1,0)+1,FALSE)</f>
        <v>女王陛下の処刑龍</v>
      </c>
      <c r="D578" s="3" t="str">
        <f ca="1">VLOOKUP($B578,OFFSET([1]quests!$A$1,0,0,COUNTA([1]quests!$A:$A),MATCH(D$1,[1]quests!$1:$1,0)-MATCH($B$1,[1]quests!$1:$1,0)+1),MATCH(D$1,[1]quests!$1:$1,0)-MATCH($B$1,[1]quests!$1:$1,0)+1,FALSE)</f>
        <v>ドロップイベント2-1</v>
      </c>
      <c r="E578" s="5">
        <v>2</v>
      </c>
      <c r="F578" s="3" t="str">
        <f ca="1">VLOOKUP($B578&amp;"_"&amp;$E578,OFFSET([1]stages!$A$1,0,0,COUNTA([1]stages!$A:$A),MATCH(F$1,[1]stages!$2:$2,0)-MATCH("temp_stage",[1]stages!$2:$2,0)+1),MATCH(F$1,[1]stages!$2:$2,0)-MATCH("temp_stage",[1]stages!$2:$2,0)+1,FALSE)</f>
        <v>【中級】女王陛下の処刑龍</v>
      </c>
      <c r="G578" s="3" t="str">
        <f ca="1">VLOOKUP($B578&amp;"_"&amp;$E578,OFFSET([1]stages!$A$1,0,0,COUNTA([1]stages!$A:$A),MATCH(G$1,[1]stages!$2:$2,0)-MATCH("temp_stage",[1]stages!$2:$2,0)+1),MATCH(G$1,[1]stages!$2:$2,0)-MATCH("temp_stage",[1]stages!$2:$2,0)+1,FALSE)</f>
        <v>ドロップイベント2-1</v>
      </c>
      <c r="H578" s="18">
        <v>0</v>
      </c>
      <c r="I578">
        <v>23</v>
      </c>
      <c r="J578" s="5" t="s">
        <v>16</v>
      </c>
      <c r="K578" s="35" t="str">
        <f>VLOOKUP(I578,[2]stage_hints!$A:$C,3,FALSE)</f>
        <v>フィーバーで一発逆転（その2）</v>
      </c>
      <c r="L578" s="36" t="str">
        <f>VLOOKUP(I578,[2]stage_hints!$A:$D,4,FALSE)</f>
        <v>フィーバー中は虹色のボムパネルを狙って_x000D_画面上のパネルを一気に破壊しましょう</v>
      </c>
      <c r="M578" s="21" t="s">
        <v>23</v>
      </c>
      <c r="N578">
        <v>23</v>
      </c>
    </row>
    <row r="579" spans="1:14" x14ac:dyDescent="0.15">
      <c r="A579" s="26" t="s">
        <v>32</v>
      </c>
      <c r="B579" s="4">
        <v>20007</v>
      </c>
      <c r="C579" s="3" t="str">
        <f ca="1">VLOOKUP($B579,OFFSET([1]quests!$A$1,0,0,COUNTA([1]quests!$A:$A),MATCH(C$1,[1]quests!$1:$1,0)-MATCH($B$1,[1]quests!$1:$1,0)+1),MATCH(C$1,[1]quests!$1:$1,0)-MATCH($B$1,[1]quests!$1:$1,0)+1,FALSE)</f>
        <v>女王陛下の処刑龍</v>
      </c>
      <c r="D579" s="3" t="str">
        <f ca="1">VLOOKUP($B579,OFFSET([1]quests!$A$1,0,0,COUNTA([1]quests!$A:$A),MATCH(D$1,[1]quests!$1:$1,0)-MATCH($B$1,[1]quests!$1:$1,0)+1),MATCH(D$1,[1]quests!$1:$1,0)-MATCH($B$1,[1]quests!$1:$1,0)+1,FALSE)</f>
        <v>ドロップイベント2-1</v>
      </c>
      <c r="E579" s="5">
        <v>2</v>
      </c>
      <c r="F579" s="3" t="str">
        <f ca="1">VLOOKUP($B579&amp;"_"&amp;$E579,OFFSET([1]stages!$A$1,0,0,COUNTA([1]stages!$A:$A),MATCH(F$1,[1]stages!$2:$2,0)-MATCH("temp_stage",[1]stages!$2:$2,0)+1),MATCH(F$1,[1]stages!$2:$2,0)-MATCH("temp_stage",[1]stages!$2:$2,0)+1,FALSE)</f>
        <v>【中級】女王陛下の処刑龍</v>
      </c>
      <c r="G579" s="3" t="str">
        <f ca="1">VLOOKUP($B579&amp;"_"&amp;$E579,OFFSET([1]stages!$A$1,0,0,COUNTA([1]stages!$A:$A),MATCH(G$1,[1]stages!$2:$2,0)-MATCH("temp_stage",[1]stages!$2:$2,0)+1),MATCH(G$1,[1]stages!$2:$2,0)-MATCH("temp_stage",[1]stages!$2:$2,0)+1,FALSE)</f>
        <v>ドロップイベント2-1</v>
      </c>
      <c r="H579" s="18">
        <v>0</v>
      </c>
      <c r="I579">
        <v>24</v>
      </c>
      <c r="J579" s="5" t="s">
        <v>16</v>
      </c>
      <c r="K579" s="35" t="str">
        <f>VLOOKUP(I579,[2]stage_hints!$A:$C,3,FALSE)</f>
        <v>りんごを使って限界突破</v>
      </c>
      <c r="L579" s="36" t="str">
        <f>VLOOKUP(I579,[2]stage_hints!$A:$D,4,FALSE)</f>
        <v>赤りんご(攻撃力) 青りんご(回復力)_x000D_緑りんご(体力)をユニット強化に使うと_x000D_ステータスが限界突破します（計99個迄）</v>
      </c>
      <c r="M579" s="21" t="s">
        <v>23</v>
      </c>
      <c r="N579">
        <v>24</v>
      </c>
    </row>
    <row r="580" spans="1:14" x14ac:dyDescent="0.15">
      <c r="A580" s="26" t="s">
        <v>32</v>
      </c>
      <c r="B580" s="4">
        <v>20007</v>
      </c>
      <c r="C580" s="3" t="str">
        <f ca="1">VLOOKUP($B580,OFFSET([1]quests!$A$1,0,0,COUNTA([1]quests!$A:$A),MATCH(C$1,[1]quests!$1:$1,0)-MATCH($B$1,[1]quests!$1:$1,0)+1),MATCH(C$1,[1]quests!$1:$1,0)-MATCH($B$1,[1]quests!$1:$1,0)+1,FALSE)</f>
        <v>女王陛下の処刑龍</v>
      </c>
      <c r="D580" s="3" t="str">
        <f ca="1">VLOOKUP($B580,OFFSET([1]quests!$A$1,0,0,COUNTA([1]quests!$A:$A),MATCH(D$1,[1]quests!$1:$1,0)-MATCH($B$1,[1]quests!$1:$1,0)+1),MATCH(D$1,[1]quests!$1:$1,0)-MATCH($B$1,[1]quests!$1:$1,0)+1,FALSE)</f>
        <v>ドロップイベント2-1</v>
      </c>
      <c r="E580" s="5">
        <v>2</v>
      </c>
      <c r="F580" s="3" t="str">
        <f ca="1">VLOOKUP($B580&amp;"_"&amp;$E580,OFFSET([1]stages!$A$1,0,0,COUNTA([1]stages!$A:$A),MATCH(F$1,[1]stages!$2:$2,0)-MATCH("temp_stage",[1]stages!$2:$2,0)+1),MATCH(F$1,[1]stages!$2:$2,0)-MATCH("temp_stage",[1]stages!$2:$2,0)+1,FALSE)</f>
        <v>【中級】女王陛下の処刑龍</v>
      </c>
      <c r="G580" s="3" t="str">
        <f ca="1">VLOOKUP($B580&amp;"_"&amp;$E580,OFFSET([1]stages!$A$1,0,0,COUNTA([1]stages!$A:$A),MATCH(G$1,[1]stages!$2:$2,0)-MATCH("temp_stage",[1]stages!$2:$2,0)+1),MATCH(G$1,[1]stages!$2:$2,0)-MATCH("temp_stage",[1]stages!$2:$2,0)+1,FALSE)</f>
        <v>ドロップイベント2-1</v>
      </c>
      <c r="H580" s="18">
        <v>0</v>
      </c>
      <c r="I580">
        <v>25</v>
      </c>
      <c r="J580" s="5" t="s">
        <v>16</v>
      </c>
      <c r="K580" s="35" t="str">
        <f>VLOOKUP(I580,[2]stage_hints!$A:$C,3,FALSE)</f>
        <v>スキルレベルアップ</v>
      </c>
      <c r="L580" s="36" t="str">
        <f>VLOOKUP(I580,[2]stage_hints!$A:$D,4,FALSE)</f>
        <v>「クリスタルのりんご」を強化に使うと_x000D_スキルレベルを上げることができます</v>
      </c>
      <c r="M580" s="21" t="s">
        <v>23</v>
      </c>
      <c r="N580">
        <v>25</v>
      </c>
    </row>
    <row r="581" spans="1:14" x14ac:dyDescent="0.15">
      <c r="A581" s="26" t="s">
        <v>32</v>
      </c>
      <c r="B581" s="4">
        <v>20007</v>
      </c>
      <c r="C581" s="3" t="str">
        <f ca="1">VLOOKUP($B581,OFFSET([1]quests!$A$1,0,0,COUNTA([1]quests!$A:$A),MATCH(C$1,[1]quests!$1:$1,0)-MATCH($B$1,[1]quests!$1:$1,0)+1),MATCH(C$1,[1]quests!$1:$1,0)-MATCH($B$1,[1]quests!$1:$1,0)+1,FALSE)</f>
        <v>女王陛下の処刑龍</v>
      </c>
      <c r="D581" s="3" t="str">
        <f ca="1">VLOOKUP($B581,OFFSET([1]quests!$A$1,0,0,COUNTA([1]quests!$A:$A),MATCH(D$1,[1]quests!$1:$1,0)-MATCH($B$1,[1]quests!$1:$1,0)+1),MATCH(D$1,[1]quests!$1:$1,0)-MATCH($B$1,[1]quests!$1:$1,0)+1,FALSE)</f>
        <v>ドロップイベント2-1</v>
      </c>
      <c r="E581" s="5">
        <v>2</v>
      </c>
      <c r="F581" s="3" t="str">
        <f ca="1">VLOOKUP($B581&amp;"_"&amp;$E581,OFFSET([1]stages!$A$1,0,0,COUNTA([1]stages!$A:$A),MATCH(F$1,[1]stages!$2:$2,0)-MATCH("temp_stage",[1]stages!$2:$2,0)+1),MATCH(F$1,[1]stages!$2:$2,0)-MATCH("temp_stage",[1]stages!$2:$2,0)+1,FALSE)</f>
        <v>【中級】女王陛下の処刑龍</v>
      </c>
      <c r="G581" s="3" t="str">
        <f ca="1">VLOOKUP($B581&amp;"_"&amp;$E581,OFFSET([1]stages!$A$1,0,0,COUNTA([1]stages!$A:$A),MATCH(G$1,[1]stages!$2:$2,0)-MATCH("temp_stage",[1]stages!$2:$2,0)+1),MATCH(G$1,[1]stages!$2:$2,0)-MATCH("temp_stage",[1]stages!$2:$2,0)+1,FALSE)</f>
        <v>ドロップイベント2-1</v>
      </c>
      <c r="H581" s="18">
        <v>0</v>
      </c>
      <c r="I581">
        <v>26</v>
      </c>
      <c r="J581" s="5" t="s">
        <v>16</v>
      </c>
      <c r="K581" s="35" t="str">
        <f>VLOOKUP(I581,[2]stage_hints!$A:$C,3,FALSE)</f>
        <v>スキルレベルの効果</v>
      </c>
      <c r="L581" s="36" t="str">
        <f>VLOOKUP(I581,[2]stage_hints!$A:$D,4,FALSE)</f>
        <v>スキルレベルが上がると_x000D_短いターンでスキルを使うことができます</v>
      </c>
      <c r="M581" s="21" t="s">
        <v>23</v>
      </c>
      <c r="N581">
        <v>26</v>
      </c>
    </row>
    <row r="582" spans="1:14" x14ac:dyDescent="0.15">
      <c r="A582" s="26" t="s">
        <v>32</v>
      </c>
      <c r="B582" s="4">
        <v>20007</v>
      </c>
      <c r="C582" s="3" t="str">
        <f ca="1">VLOOKUP($B582,OFFSET([1]quests!$A$1,0,0,COUNTA([1]quests!$A:$A),MATCH(C$1,[1]quests!$1:$1,0)-MATCH($B$1,[1]quests!$1:$1,0)+1),MATCH(C$1,[1]quests!$1:$1,0)-MATCH($B$1,[1]quests!$1:$1,0)+1,FALSE)</f>
        <v>女王陛下の処刑龍</v>
      </c>
      <c r="D582" s="3" t="str">
        <f ca="1">VLOOKUP($B582,OFFSET([1]quests!$A$1,0,0,COUNTA([1]quests!$A:$A),MATCH(D$1,[1]quests!$1:$1,0)-MATCH($B$1,[1]quests!$1:$1,0)+1),MATCH(D$1,[1]quests!$1:$1,0)-MATCH($B$1,[1]quests!$1:$1,0)+1,FALSE)</f>
        <v>ドロップイベント2-1</v>
      </c>
      <c r="E582" s="5">
        <v>2</v>
      </c>
      <c r="F582" s="3" t="str">
        <f ca="1">VLOOKUP($B582&amp;"_"&amp;$E582,OFFSET([1]stages!$A$1,0,0,COUNTA([1]stages!$A:$A),MATCH(F$1,[1]stages!$2:$2,0)-MATCH("temp_stage",[1]stages!$2:$2,0)+1),MATCH(F$1,[1]stages!$2:$2,0)-MATCH("temp_stage",[1]stages!$2:$2,0)+1,FALSE)</f>
        <v>【中級】女王陛下の処刑龍</v>
      </c>
      <c r="G582" s="3" t="str">
        <f ca="1">VLOOKUP($B582&amp;"_"&amp;$E582,OFFSET([1]stages!$A$1,0,0,COUNTA([1]stages!$A:$A),MATCH(G$1,[1]stages!$2:$2,0)-MATCH("temp_stage",[1]stages!$2:$2,0)+1),MATCH(G$1,[1]stages!$2:$2,0)-MATCH("temp_stage",[1]stages!$2:$2,0)+1,FALSE)</f>
        <v>ドロップイベント2-1</v>
      </c>
      <c r="H582" s="18">
        <v>0</v>
      </c>
      <c r="I582">
        <v>27</v>
      </c>
      <c r="J582" s="5" t="s">
        <v>16</v>
      </c>
      <c r="K582" s="35" t="str">
        <f>VLOOKUP(I582,[2]stage_hints!$A:$C,3,FALSE)</f>
        <v>ホーム画面からデッキを編成</v>
      </c>
      <c r="L582" s="36" t="str">
        <f>VLOOKUP(I582,[2]stage_hints!$A:$D,4,FALSE)</f>
        <v>ホーム画面でユニットを長押しすると_x000D_すぐにパーティ編成に移動できます</v>
      </c>
      <c r="M582" s="21" t="s">
        <v>23</v>
      </c>
      <c r="N582">
        <v>27</v>
      </c>
    </row>
    <row r="583" spans="1:14" x14ac:dyDescent="0.15">
      <c r="A583" s="26" t="s">
        <v>32</v>
      </c>
      <c r="B583" s="4">
        <v>20007</v>
      </c>
      <c r="C583" s="3" t="str">
        <f ca="1">VLOOKUP($B583,OFFSET([1]quests!$A$1,0,0,COUNTA([1]quests!$A:$A),MATCH(C$1,[1]quests!$1:$1,0)-MATCH($B$1,[1]quests!$1:$1,0)+1),MATCH(C$1,[1]quests!$1:$1,0)-MATCH($B$1,[1]quests!$1:$1,0)+1,FALSE)</f>
        <v>女王陛下の処刑龍</v>
      </c>
      <c r="D583" s="3" t="str">
        <f ca="1">VLOOKUP($B583,OFFSET([1]quests!$A$1,0,0,COUNTA([1]quests!$A:$A),MATCH(D$1,[1]quests!$1:$1,0)-MATCH($B$1,[1]quests!$1:$1,0)+1),MATCH(D$1,[1]quests!$1:$1,0)-MATCH($B$1,[1]quests!$1:$1,0)+1,FALSE)</f>
        <v>ドロップイベント2-1</v>
      </c>
      <c r="E583" s="5">
        <v>2</v>
      </c>
      <c r="F583" s="3" t="str">
        <f ca="1">VLOOKUP($B583&amp;"_"&amp;$E583,OFFSET([1]stages!$A$1,0,0,COUNTA([1]stages!$A:$A),MATCH(F$1,[1]stages!$2:$2,0)-MATCH("temp_stage",[1]stages!$2:$2,0)+1),MATCH(F$1,[1]stages!$2:$2,0)-MATCH("temp_stage",[1]stages!$2:$2,0)+1,FALSE)</f>
        <v>【中級】女王陛下の処刑龍</v>
      </c>
      <c r="G583" s="3" t="str">
        <f ca="1">VLOOKUP($B583&amp;"_"&amp;$E583,OFFSET([1]stages!$A$1,0,0,COUNTA([1]stages!$A:$A),MATCH(G$1,[1]stages!$2:$2,0)-MATCH("temp_stage",[1]stages!$2:$2,0)+1),MATCH(G$1,[1]stages!$2:$2,0)-MATCH("temp_stage",[1]stages!$2:$2,0)+1,FALSE)</f>
        <v>ドロップイベント2-1</v>
      </c>
      <c r="H583" s="18">
        <v>0</v>
      </c>
      <c r="I583">
        <v>28</v>
      </c>
      <c r="J583" s="5" t="s">
        <v>16</v>
      </c>
      <c r="K583" s="35" t="str">
        <f>VLOOKUP(I583,[2]stage_hints!$A:$C,3,FALSE)</f>
        <v>ステータス情報は長押しで</v>
      </c>
      <c r="L583" s="36" t="str">
        <f>VLOOKUP(I583,[2]stage_hints!$A:$D,4,FALSE)</f>
        <v>ユニットのアイコンを長押しすると_x000D_ステータス情報を確認することができます</v>
      </c>
      <c r="M583" s="21" t="s">
        <v>23</v>
      </c>
      <c r="N583">
        <v>28</v>
      </c>
    </row>
    <row r="584" spans="1:14" x14ac:dyDescent="0.15">
      <c r="A584" s="26" t="s">
        <v>32</v>
      </c>
      <c r="B584" s="4">
        <v>20007</v>
      </c>
      <c r="C584" s="3" t="str">
        <f ca="1">VLOOKUP($B584,OFFSET([1]quests!$A$1,0,0,COUNTA([1]quests!$A:$A),MATCH(C$1,[1]quests!$1:$1,0)-MATCH($B$1,[1]quests!$1:$1,0)+1),MATCH(C$1,[1]quests!$1:$1,0)-MATCH($B$1,[1]quests!$1:$1,0)+1,FALSE)</f>
        <v>女王陛下の処刑龍</v>
      </c>
      <c r="D584" s="3" t="str">
        <f ca="1">VLOOKUP($B584,OFFSET([1]quests!$A$1,0,0,COUNTA([1]quests!$A:$A),MATCH(D$1,[1]quests!$1:$1,0)-MATCH($B$1,[1]quests!$1:$1,0)+1),MATCH(D$1,[1]quests!$1:$1,0)-MATCH($B$1,[1]quests!$1:$1,0)+1,FALSE)</f>
        <v>ドロップイベント2-1</v>
      </c>
      <c r="E584" s="5">
        <v>2</v>
      </c>
      <c r="F584" s="3" t="str">
        <f ca="1">VLOOKUP($B584&amp;"_"&amp;$E584,OFFSET([1]stages!$A$1,0,0,COUNTA([1]stages!$A:$A),MATCH(F$1,[1]stages!$2:$2,0)-MATCH("temp_stage",[1]stages!$2:$2,0)+1),MATCH(F$1,[1]stages!$2:$2,0)-MATCH("temp_stage",[1]stages!$2:$2,0)+1,FALSE)</f>
        <v>【中級】女王陛下の処刑龍</v>
      </c>
      <c r="G584" s="3" t="str">
        <f ca="1">VLOOKUP($B584&amp;"_"&amp;$E584,OFFSET([1]stages!$A$1,0,0,COUNTA([1]stages!$A:$A),MATCH(G$1,[1]stages!$2:$2,0)-MATCH("temp_stage",[1]stages!$2:$2,0)+1),MATCH(G$1,[1]stages!$2:$2,0)-MATCH("temp_stage",[1]stages!$2:$2,0)+1,FALSE)</f>
        <v>ドロップイベント2-1</v>
      </c>
      <c r="H584" s="18">
        <v>0</v>
      </c>
      <c r="I584">
        <v>29</v>
      </c>
      <c r="J584" s="5" t="s">
        <v>16</v>
      </c>
      <c r="K584" s="35" t="str">
        <f>VLOOKUP(I584,[2]stage_hints!$A:$C,3,FALSE)</f>
        <v>「バグ」のメリット</v>
      </c>
      <c r="L584" s="36" t="str">
        <f>VLOOKUP(I584,[2]stage_hints!$A:$D,4,FALSE)</f>
        <v>ユニットの「バグ」を増やすと_x000D_報酬をもらえる確率がアップします</v>
      </c>
      <c r="M584" s="21" t="s">
        <v>23</v>
      </c>
      <c r="N584">
        <v>29</v>
      </c>
    </row>
    <row r="585" spans="1:14" x14ac:dyDescent="0.15">
      <c r="A585" s="26" t="s">
        <v>32</v>
      </c>
      <c r="B585" s="4">
        <v>20007</v>
      </c>
      <c r="C585" s="3" t="str">
        <f ca="1">VLOOKUP($B585,OFFSET([1]quests!$A$1,0,0,COUNTA([1]quests!$A:$A),MATCH(C$1,[1]quests!$1:$1,0)-MATCH($B$1,[1]quests!$1:$1,0)+1),MATCH(C$1,[1]quests!$1:$1,0)-MATCH($B$1,[1]quests!$1:$1,0)+1,FALSE)</f>
        <v>女王陛下の処刑龍</v>
      </c>
      <c r="D585" s="3" t="str">
        <f ca="1">VLOOKUP($B585,OFFSET([1]quests!$A$1,0,0,COUNTA([1]quests!$A:$A),MATCH(D$1,[1]quests!$1:$1,0)-MATCH($B$1,[1]quests!$1:$1,0)+1),MATCH(D$1,[1]quests!$1:$1,0)-MATCH($B$1,[1]quests!$1:$1,0)+1,FALSE)</f>
        <v>ドロップイベント2-1</v>
      </c>
      <c r="E585" s="5">
        <v>2</v>
      </c>
      <c r="F585" s="3" t="str">
        <f ca="1">VLOOKUP($B585&amp;"_"&amp;$E585,OFFSET([1]stages!$A$1,0,0,COUNTA([1]stages!$A:$A),MATCH(F$1,[1]stages!$2:$2,0)-MATCH("temp_stage",[1]stages!$2:$2,0)+1),MATCH(F$1,[1]stages!$2:$2,0)-MATCH("temp_stage",[1]stages!$2:$2,0)+1,FALSE)</f>
        <v>【中級】女王陛下の処刑龍</v>
      </c>
      <c r="G585" s="3" t="str">
        <f ca="1">VLOOKUP($B585&amp;"_"&amp;$E585,OFFSET([1]stages!$A$1,0,0,COUNTA([1]stages!$A:$A),MATCH(G$1,[1]stages!$2:$2,0)-MATCH("temp_stage",[1]stages!$2:$2,0)+1),MATCH(G$1,[1]stages!$2:$2,0)-MATCH("temp_stage",[1]stages!$2:$2,0)+1,FALSE)</f>
        <v>ドロップイベント2-1</v>
      </c>
      <c r="H585" s="18">
        <v>0</v>
      </c>
      <c r="I585">
        <v>30</v>
      </c>
      <c r="J585" s="5" t="s">
        <v>16</v>
      </c>
      <c r="K585" s="35" t="str">
        <f>VLOOKUP(I585,[2]stage_hints!$A:$C,3,FALSE)</f>
        <v>「バグ」の増やし方</v>
      </c>
      <c r="L585" s="36" t="str">
        <f>VLOOKUP(I585,[2]stage_hints!$A:$D,4,FALSE)</f>
        <v>同じユニット同士を強化で合成すると_x000D_「バグ」を増やすことができます</v>
      </c>
      <c r="M585" s="21" t="s">
        <v>23</v>
      </c>
      <c r="N585">
        <v>30</v>
      </c>
    </row>
    <row r="586" spans="1:14" x14ac:dyDescent="0.15">
      <c r="A586" s="26" t="s">
        <v>32</v>
      </c>
      <c r="B586" s="4">
        <v>20007</v>
      </c>
      <c r="C586" s="3" t="str">
        <f ca="1">VLOOKUP($B586,OFFSET([1]quests!$A$1,0,0,COUNTA([1]quests!$A:$A),MATCH(C$1,[1]quests!$1:$1,0)-MATCH($B$1,[1]quests!$1:$1,0)+1),MATCH(C$1,[1]quests!$1:$1,0)-MATCH($B$1,[1]quests!$1:$1,0)+1,FALSE)</f>
        <v>女王陛下の処刑龍</v>
      </c>
      <c r="D586" s="3" t="str">
        <f ca="1">VLOOKUP($B586,OFFSET([1]quests!$A$1,0,0,COUNTA([1]quests!$A:$A),MATCH(D$1,[1]quests!$1:$1,0)-MATCH($B$1,[1]quests!$1:$1,0)+1),MATCH(D$1,[1]quests!$1:$1,0)-MATCH($B$1,[1]quests!$1:$1,0)+1,FALSE)</f>
        <v>ドロップイベント2-1</v>
      </c>
      <c r="E586" s="5">
        <v>2</v>
      </c>
      <c r="F586" s="3" t="str">
        <f ca="1">VLOOKUP($B586&amp;"_"&amp;$E586,OFFSET([1]stages!$A$1,0,0,COUNTA([1]stages!$A:$A),MATCH(F$1,[1]stages!$2:$2,0)-MATCH("temp_stage",[1]stages!$2:$2,0)+1),MATCH(F$1,[1]stages!$2:$2,0)-MATCH("temp_stage",[1]stages!$2:$2,0)+1,FALSE)</f>
        <v>【中級】女王陛下の処刑龍</v>
      </c>
      <c r="G586" s="3" t="str">
        <f ca="1">VLOOKUP($B586&amp;"_"&amp;$E586,OFFSET([1]stages!$A$1,0,0,COUNTA([1]stages!$A:$A),MATCH(G$1,[1]stages!$2:$2,0)-MATCH("temp_stage",[1]stages!$2:$2,0)+1),MATCH(G$1,[1]stages!$2:$2,0)-MATCH("temp_stage",[1]stages!$2:$2,0)+1,FALSE)</f>
        <v>ドロップイベント2-1</v>
      </c>
      <c r="H586" s="18">
        <v>0</v>
      </c>
      <c r="I586">
        <v>31</v>
      </c>
      <c r="J586" s="5" t="s">
        <v>16</v>
      </c>
      <c r="K586" s="35" t="str">
        <f>VLOOKUP(I586,[2]stage_hints!$A:$C,3,FALSE)</f>
        <v>イベントはお知らせでチェック</v>
      </c>
      <c r="L586" s="36" t="str">
        <f>VLOOKUP(I586,[2]stage_hints!$A:$D,4,FALSE)</f>
        <v>イベント限定ユニットを取り忘れないように_x000D_お知らせをこまめにチェックしましょう</v>
      </c>
      <c r="M586" s="21" t="s">
        <v>23</v>
      </c>
      <c r="N586">
        <v>31</v>
      </c>
    </row>
    <row r="587" spans="1:14" x14ac:dyDescent="0.15">
      <c r="A587" s="26" t="s">
        <v>32</v>
      </c>
      <c r="B587" s="4">
        <v>20007</v>
      </c>
      <c r="C587" s="3" t="str">
        <f ca="1">VLOOKUP($B587,OFFSET([1]quests!$A$1,0,0,COUNTA([1]quests!$A:$A),MATCH(C$1,[1]quests!$1:$1,0)-MATCH($B$1,[1]quests!$1:$1,0)+1),MATCH(C$1,[1]quests!$1:$1,0)-MATCH($B$1,[1]quests!$1:$1,0)+1,FALSE)</f>
        <v>女王陛下の処刑龍</v>
      </c>
      <c r="D587" s="3" t="str">
        <f ca="1">VLOOKUP($B587,OFFSET([1]quests!$A$1,0,0,COUNTA([1]quests!$A:$A),MATCH(D$1,[1]quests!$1:$1,0)-MATCH($B$1,[1]quests!$1:$1,0)+1),MATCH(D$1,[1]quests!$1:$1,0)-MATCH($B$1,[1]quests!$1:$1,0)+1,FALSE)</f>
        <v>ドロップイベント2-1</v>
      </c>
      <c r="E587" s="5">
        <v>2</v>
      </c>
      <c r="F587" s="3" t="str">
        <f ca="1">VLOOKUP($B587&amp;"_"&amp;$E587,OFFSET([1]stages!$A$1,0,0,COUNTA([1]stages!$A:$A),MATCH(F$1,[1]stages!$2:$2,0)-MATCH("temp_stage",[1]stages!$2:$2,0)+1),MATCH(F$1,[1]stages!$2:$2,0)-MATCH("temp_stage",[1]stages!$2:$2,0)+1,FALSE)</f>
        <v>【中級】女王陛下の処刑龍</v>
      </c>
      <c r="G587" s="3" t="str">
        <f ca="1">VLOOKUP($B587&amp;"_"&amp;$E587,OFFSET([1]stages!$A$1,0,0,COUNTA([1]stages!$A:$A),MATCH(G$1,[1]stages!$2:$2,0)-MATCH("temp_stage",[1]stages!$2:$2,0)+1),MATCH(G$1,[1]stages!$2:$2,0)-MATCH("temp_stage",[1]stages!$2:$2,0)+1,FALSE)</f>
        <v>ドロップイベント2-1</v>
      </c>
      <c r="H587" s="18">
        <v>0</v>
      </c>
      <c r="I587">
        <v>32</v>
      </c>
      <c r="J587" s="5" t="s">
        <v>16</v>
      </c>
      <c r="K587" s="35" t="str">
        <f>VLOOKUP(I587,[2]stage_hints!$A:$C,3,FALSE)</f>
        <v>敵の連続攻撃には</v>
      </c>
      <c r="L587" s="36" t="str">
        <f>VLOOKUP(I587,[2]stage_hints!$A:$D,4,FALSE)</f>
        <v>カウンタースキルを持つユニットがいれば_x000D_ダメージ回数分の反撃ができます</v>
      </c>
      <c r="M587" s="21" t="s">
        <v>23</v>
      </c>
      <c r="N587">
        <v>32</v>
      </c>
    </row>
    <row r="588" spans="1:14" x14ac:dyDescent="0.15">
      <c r="A588" s="26" t="s">
        <v>32</v>
      </c>
      <c r="B588" s="4">
        <v>20007</v>
      </c>
      <c r="C588" s="3" t="str">
        <f ca="1">VLOOKUP($B588,OFFSET([1]quests!$A$1,0,0,COUNTA([1]quests!$A:$A),MATCH(C$1,[1]quests!$1:$1,0)-MATCH($B$1,[1]quests!$1:$1,0)+1),MATCH(C$1,[1]quests!$1:$1,0)-MATCH($B$1,[1]quests!$1:$1,0)+1,FALSE)</f>
        <v>女王陛下の処刑龍</v>
      </c>
      <c r="D588" s="3" t="str">
        <f ca="1">VLOOKUP($B588,OFFSET([1]quests!$A$1,0,0,COUNTA([1]quests!$A:$A),MATCH(D$1,[1]quests!$1:$1,0)-MATCH($B$1,[1]quests!$1:$1,0)+1),MATCH(D$1,[1]quests!$1:$1,0)-MATCH($B$1,[1]quests!$1:$1,0)+1,FALSE)</f>
        <v>ドロップイベント2-1</v>
      </c>
      <c r="E588" s="5">
        <v>2</v>
      </c>
      <c r="F588" s="3" t="str">
        <f ca="1">VLOOKUP($B588&amp;"_"&amp;$E588,OFFSET([1]stages!$A$1,0,0,COUNTA([1]stages!$A:$A),MATCH(F$1,[1]stages!$2:$2,0)-MATCH("temp_stage",[1]stages!$2:$2,0)+1),MATCH(F$1,[1]stages!$2:$2,0)-MATCH("temp_stage",[1]stages!$2:$2,0)+1,FALSE)</f>
        <v>【中級】女王陛下の処刑龍</v>
      </c>
      <c r="G588" s="3" t="str">
        <f ca="1">VLOOKUP($B588&amp;"_"&amp;$E588,OFFSET([1]stages!$A$1,0,0,COUNTA([1]stages!$A:$A),MATCH(G$1,[1]stages!$2:$2,0)-MATCH("temp_stage",[1]stages!$2:$2,0)+1),MATCH(G$1,[1]stages!$2:$2,0)-MATCH("temp_stage",[1]stages!$2:$2,0)+1,FALSE)</f>
        <v>ドロップイベント2-1</v>
      </c>
      <c r="H588" s="18">
        <v>0</v>
      </c>
      <c r="I588">
        <v>33</v>
      </c>
      <c r="J588" s="5" t="s">
        <v>16</v>
      </c>
      <c r="K588" s="35" t="str">
        <f>VLOOKUP(I588,[2]stage_hints!$A:$C,3,FALSE)</f>
        <v>敵のカウンター攻撃には</v>
      </c>
      <c r="L588" s="36" t="str">
        <f>VLOOKUP(I588,[2]stage_hints!$A:$D,4,FALSE)</f>
        <v>カウンターブレイクスキルを持っていれば_x000D_敵のカウンターを解除して攻撃ができます</v>
      </c>
      <c r="M588" s="21" t="s">
        <v>23</v>
      </c>
      <c r="N588">
        <v>33</v>
      </c>
    </row>
    <row r="589" spans="1:14" x14ac:dyDescent="0.15">
      <c r="A589" s="26" t="s">
        <v>32</v>
      </c>
      <c r="B589" s="4">
        <v>20007</v>
      </c>
      <c r="C589" s="3" t="str">
        <f ca="1">VLOOKUP($B589,OFFSET([1]quests!$A$1,0,0,COUNTA([1]quests!$A:$A),MATCH(C$1,[1]quests!$1:$1,0)-MATCH($B$1,[1]quests!$1:$1,0)+1),MATCH(C$1,[1]quests!$1:$1,0)-MATCH($B$1,[1]quests!$1:$1,0)+1,FALSE)</f>
        <v>女王陛下の処刑龍</v>
      </c>
      <c r="D589" s="3" t="str">
        <f ca="1">VLOOKUP($B589,OFFSET([1]quests!$A$1,0,0,COUNTA([1]quests!$A:$A),MATCH(D$1,[1]quests!$1:$1,0)-MATCH($B$1,[1]quests!$1:$1,0)+1),MATCH(D$1,[1]quests!$1:$1,0)-MATCH($B$1,[1]quests!$1:$1,0)+1,FALSE)</f>
        <v>ドロップイベント2-1</v>
      </c>
      <c r="E589" s="5">
        <v>2</v>
      </c>
      <c r="F589" s="3" t="str">
        <f ca="1">VLOOKUP($B589&amp;"_"&amp;$E589,OFFSET([1]stages!$A$1,0,0,COUNTA([1]stages!$A:$A),MATCH(F$1,[1]stages!$2:$2,0)-MATCH("temp_stage",[1]stages!$2:$2,0)+1),MATCH(F$1,[1]stages!$2:$2,0)-MATCH("temp_stage",[1]stages!$2:$2,0)+1,FALSE)</f>
        <v>【中級】女王陛下の処刑龍</v>
      </c>
      <c r="G589" s="3" t="str">
        <f ca="1">VLOOKUP($B589&amp;"_"&amp;$E589,OFFSET([1]stages!$A$1,0,0,COUNTA([1]stages!$A:$A),MATCH(G$1,[1]stages!$2:$2,0)-MATCH("temp_stage",[1]stages!$2:$2,0)+1),MATCH(G$1,[1]stages!$2:$2,0)-MATCH("temp_stage",[1]stages!$2:$2,0)+1,FALSE)</f>
        <v>ドロップイベント2-1</v>
      </c>
      <c r="H589" s="18">
        <v>0</v>
      </c>
      <c r="I589">
        <v>34</v>
      </c>
      <c r="J589" s="5" t="s">
        <v>16</v>
      </c>
      <c r="K589" s="35" t="str">
        <f>VLOOKUP(I589,[2]stage_hints!$A:$C,3,FALSE)</f>
        <v>ステータスをスキルで下げられたら</v>
      </c>
      <c r="L589" s="36" t="str">
        <f>VLOOKUP(I589,[2]stage_hints!$A:$D,4,FALSE)</f>
        <v>ステータスダウンのスキルを受けたら_x000D_ステータスアップスキルで上書きしましょう</v>
      </c>
      <c r="M589" s="21" t="s">
        <v>23</v>
      </c>
      <c r="N589">
        <v>34</v>
      </c>
    </row>
    <row r="590" spans="1:14" x14ac:dyDescent="0.15">
      <c r="A590" s="26" t="s">
        <v>32</v>
      </c>
      <c r="B590" s="4">
        <v>20007</v>
      </c>
      <c r="C590" s="3" t="str">
        <f ca="1">VLOOKUP($B590,OFFSET([1]quests!$A$1,0,0,COUNTA([1]quests!$A:$A),MATCH(C$1,[1]quests!$1:$1,0)-MATCH($B$1,[1]quests!$1:$1,0)+1),MATCH(C$1,[1]quests!$1:$1,0)-MATCH($B$1,[1]quests!$1:$1,0)+1,FALSE)</f>
        <v>女王陛下の処刑龍</v>
      </c>
      <c r="D590" s="3" t="str">
        <f ca="1">VLOOKUP($B590,OFFSET([1]quests!$A$1,0,0,COUNTA([1]quests!$A:$A),MATCH(D$1,[1]quests!$1:$1,0)-MATCH($B$1,[1]quests!$1:$1,0)+1),MATCH(D$1,[1]quests!$1:$1,0)-MATCH($B$1,[1]quests!$1:$1,0)+1,FALSE)</f>
        <v>ドロップイベント2-1</v>
      </c>
      <c r="E590" s="5">
        <v>2</v>
      </c>
      <c r="F590" s="3" t="str">
        <f ca="1">VLOOKUP($B590&amp;"_"&amp;$E590,OFFSET([1]stages!$A$1,0,0,COUNTA([1]stages!$A:$A),MATCH(F$1,[1]stages!$2:$2,0)-MATCH("temp_stage",[1]stages!$2:$2,0)+1),MATCH(F$1,[1]stages!$2:$2,0)-MATCH("temp_stage",[1]stages!$2:$2,0)+1,FALSE)</f>
        <v>【中級】女王陛下の処刑龍</v>
      </c>
      <c r="G590" s="3" t="str">
        <f ca="1">VLOOKUP($B590&amp;"_"&amp;$E590,OFFSET([1]stages!$A$1,0,0,COUNTA([1]stages!$A:$A),MATCH(G$1,[1]stages!$2:$2,0)-MATCH("temp_stage",[1]stages!$2:$2,0)+1),MATCH(G$1,[1]stages!$2:$2,0)-MATCH("temp_stage",[1]stages!$2:$2,0)+1,FALSE)</f>
        <v>ドロップイベント2-1</v>
      </c>
      <c r="H590" s="18">
        <v>0</v>
      </c>
      <c r="I590">
        <v>35</v>
      </c>
      <c r="J590" s="5" t="s">
        <v>16</v>
      </c>
      <c r="K590" s="35" t="str">
        <f>VLOOKUP(I590,[2]stage_hints!$A:$C,3,FALSE)</f>
        <v>敵のステータスがスキルで上がったら</v>
      </c>
      <c r="L590" s="36" t="str">
        <f>VLOOKUP(I590,[2]stage_hints!$A:$D,4,FALSE)</f>
        <v>敵のステータスがスキルでアップしたときは_x000D_ステータスダウンスキルで上書きしましょう</v>
      </c>
      <c r="M590" s="21" t="s">
        <v>23</v>
      </c>
      <c r="N590">
        <v>35</v>
      </c>
    </row>
    <row r="591" spans="1:14" x14ac:dyDescent="0.15">
      <c r="A591" s="26" t="s">
        <v>32</v>
      </c>
      <c r="B591" s="4">
        <v>20008</v>
      </c>
      <c r="C591" s="3" t="str">
        <f ca="1">VLOOKUP($B591,OFFSET([1]quests!$A$1,0,0,COUNTA([1]quests!$A:$A),MATCH(C$1,[1]quests!$1:$1,0)-MATCH($B$1,[1]quests!$1:$1,0)+1),MATCH(C$1,[1]quests!$1:$1,0)-MATCH($B$1,[1]quests!$1:$1,0)+1,FALSE)</f>
        <v>天翔ける金轟機龍</v>
      </c>
      <c r="D591" s="3" t="str">
        <f ca="1">VLOOKUP($B591,OFFSET([1]quests!$A$1,0,0,COUNTA([1]quests!$A:$A),MATCH(D$1,[1]quests!$1:$1,0)-MATCH($B$1,[1]quests!$1:$1,0)+1),MATCH(D$1,[1]quests!$1:$1,0)-MATCH($B$1,[1]quests!$1:$1,0)+1,FALSE)</f>
        <v>ドロップイベント2-4</v>
      </c>
      <c r="E591" s="5">
        <v>2</v>
      </c>
      <c r="F591" s="3" t="str">
        <f ca="1">VLOOKUP($B591&amp;"_"&amp;$E591,OFFSET([1]stages!$A$1,0,0,COUNTA([1]stages!$A:$A),MATCH(F$1,[1]stages!$2:$2,0)-MATCH("temp_stage",[1]stages!$2:$2,0)+1),MATCH(F$1,[1]stages!$2:$2,0)-MATCH("temp_stage",[1]stages!$2:$2,0)+1,FALSE)</f>
        <v>【中級】天翔ける金轟機龍</v>
      </c>
      <c r="G591" s="3" t="str">
        <f ca="1">VLOOKUP($B591&amp;"_"&amp;$E591,OFFSET([1]stages!$A$1,0,0,COUNTA([1]stages!$A:$A),MATCH(G$1,[1]stages!$2:$2,0)-MATCH("temp_stage",[1]stages!$2:$2,0)+1),MATCH(G$1,[1]stages!$2:$2,0)-MATCH("temp_stage",[1]stages!$2:$2,0)+1,FALSE)</f>
        <v>ドロップイベント2-4</v>
      </c>
      <c r="H591" s="18">
        <v>0</v>
      </c>
      <c r="I591">
        <v>3</v>
      </c>
      <c r="J591" s="5" t="s">
        <v>16</v>
      </c>
      <c r="K591" s="35" t="str">
        <f>VLOOKUP(I591,[2]stage_hints!$A:$C,3,FALSE)</f>
        <v>ターゲット</v>
      </c>
      <c r="L591" s="36" t="str">
        <f>VLOOKUP(I591,[2]stage_hints!$A:$D,4,FALSE)</f>
        <v>敵ユニットをタップすると_x000D_その敵を狙い撃ちできます</v>
      </c>
      <c r="M591" s="21" t="s">
        <v>23</v>
      </c>
      <c r="N591">
        <v>3</v>
      </c>
    </row>
    <row r="592" spans="1:14" x14ac:dyDescent="0.15">
      <c r="A592" s="26" t="s">
        <v>32</v>
      </c>
      <c r="B592" s="4">
        <v>20008</v>
      </c>
      <c r="C592" s="3" t="str">
        <f ca="1">VLOOKUP($B592,OFFSET([1]quests!$A$1,0,0,COUNTA([1]quests!$A:$A),MATCH(C$1,[1]quests!$1:$1,0)-MATCH($B$1,[1]quests!$1:$1,0)+1),MATCH(C$1,[1]quests!$1:$1,0)-MATCH($B$1,[1]quests!$1:$1,0)+1,FALSE)</f>
        <v>天翔ける金轟機龍</v>
      </c>
      <c r="D592" s="3" t="str">
        <f ca="1">VLOOKUP($B592,OFFSET([1]quests!$A$1,0,0,COUNTA([1]quests!$A:$A),MATCH(D$1,[1]quests!$1:$1,0)-MATCH($B$1,[1]quests!$1:$1,0)+1),MATCH(D$1,[1]quests!$1:$1,0)-MATCH($B$1,[1]quests!$1:$1,0)+1,FALSE)</f>
        <v>ドロップイベント2-4</v>
      </c>
      <c r="E592" s="5">
        <v>2</v>
      </c>
      <c r="F592" s="3" t="str">
        <f ca="1">VLOOKUP($B592&amp;"_"&amp;$E592,OFFSET([1]stages!$A$1,0,0,COUNTA([1]stages!$A:$A),MATCH(F$1,[1]stages!$2:$2,0)-MATCH("temp_stage",[1]stages!$2:$2,0)+1),MATCH(F$1,[1]stages!$2:$2,0)-MATCH("temp_stage",[1]stages!$2:$2,0)+1,FALSE)</f>
        <v>【中級】天翔ける金轟機龍</v>
      </c>
      <c r="G592" s="3" t="str">
        <f ca="1">VLOOKUP($B592&amp;"_"&amp;$E592,OFFSET([1]stages!$A$1,0,0,COUNTA([1]stages!$A:$A),MATCH(G$1,[1]stages!$2:$2,0)-MATCH("temp_stage",[1]stages!$2:$2,0)+1),MATCH(G$1,[1]stages!$2:$2,0)-MATCH("temp_stage",[1]stages!$2:$2,0)+1,FALSE)</f>
        <v>ドロップイベント2-4</v>
      </c>
      <c r="H592" s="18">
        <v>0</v>
      </c>
      <c r="I592">
        <v>6</v>
      </c>
      <c r="J592" s="5" t="s">
        <v>16</v>
      </c>
      <c r="K592" s="35" t="str">
        <f>VLOOKUP(I592,[2]stage_hints!$A:$C,3,FALSE)</f>
        <v>ユニット強化の属性ボーナス</v>
      </c>
      <c r="L592" s="36" t="str">
        <f>VLOOKUP(I592,[2]stage_hints!$A:$D,4,FALSE)</f>
        <v>同属性ユニットを強化素材にすると_x000D_経験値が多くもらえます</v>
      </c>
      <c r="M592" s="21" t="s">
        <v>23</v>
      </c>
      <c r="N592">
        <v>6</v>
      </c>
    </row>
    <row r="593" spans="1:14" x14ac:dyDescent="0.15">
      <c r="A593" s="26" t="s">
        <v>32</v>
      </c>
      <c r="B593" s="4">
        <v>20008</v>
      </c>
      <c r="C593" s="3" t="str">
        <f ca="1">VLOOKUP($B593,OFFSET([1]quests!$A$1,0,0,COUNTA([1]quests!$A:$A),MATCH(C$1,[1]quests!$1:$1,0)-MATCH($B$1,[1]quests!$1:$1,0)+1),MATCH(C$1,[1]quests!$1:$1,0)-MATCH($B$1,[1]quests!$1:$1,0)+1,FALSE)</f>
        <v>天翔ける金轟機龍</v>
      </c>
      <c r="D593" s="3" t="str">
        <f ca="1">VLOOKUP($B593,OFFSET([1]quests!$A$1,0,0,COUNTA([1]quests!$A:$A),MATCH(D$1,[1]quests!$1:$1,0)-MATCH($B$1,[1]quests!$1:$1,0)+1),MATCH(D$1,[1]quests!$1:$1,0)-MATCH($B$1,[1]quests!$1:$1,0)+1,FALSE)</f>
        <v>ドロップイベント2-4</v>
      </c>
      <c r="E593" s="5">
        <v>2</v>
      </c>
      <c r="F593" s="3" t="str">
        <f ca="1">VLOOKUP($B593&amp;"_"&amp;$E593,OFFSET([1]stages!$A$1,0,0,COUNTA([1]stages!$A:$A),MATCH(F$1,[1]stages!$2:$2,0)-MATCH("temp_stage",[1]stages!$2:$2,0)+1),MATCH(F$1,[1]stages!$2:$2,0)-MATCH("temp_stage",[1]stages!$2:$2,0)+1,FALSE)</f>
        <v>【中級】天翔ける金轟機龍</v>
      </c>
      <c r="G593" s="3" t="str">
        <f ca="1">VLOOKUP($B593&amp;"_"&amp;$E593,OFFSET([1]stages!$A$1,0,0,COUNTA([1]stages!$A:$A),MATCH(G$1,[1]stages!$2:$2,0)-MATCH("temp_stage",[1]stages!$2:$2,0)+1),MATCH(G$1,[1]stages!$2:$2,0)-MATCH("temp_stage",[1]stages!$2:$2,0)+1,FALSE)</f>
        <v>ドロップイベント2-4</v>
      </c>
      <c r="H593" s="18">
        <v>0</v>
      </c>
      <c r="I593">
        <v>7</v>
      </c>
      <c r="J593" s="5" t="s">
        <v>16</v>
      </c>
      <c r="K593" s="35" t="str">
        <f>VLOOKUP(I593,[2]stage_hints!$A:$C,3,FALSE)</f>
        <v>メタルダックで経験値を獲得</v>
      </c>
      <c r="L593" s="36" t="str">
        <f>VLOOKUP(I593,[2]stage_hints!$A:$D,4,FALSE)</f>
        <v>「メタルなアヒル」を強化素材にすると_x000D_大量の経験値がもらえます</v>
      </c>
      <c r="M593" s="21" t="s">
        <v>23</v>
      </c>
      <c r="N593">
        <v>7</v>
      </c>
    </row>
    <row r="594" spans="1:14" x14ac:dyDescent="0.15">
      <c r="A594" s="26" t="s">
        <v>32</v>
      </c>
      <c r="B594" s="4">
        <v>20008</v>
      </c>
      <c r="C594" s="3" t="str">
        <f ca="1">VLOOKUP($B594,OFFSET([1]quests!$A$1,0,0,COUNTA([1]quests!$A:$A),MATCH(C$1,[1]quests!$1:$1,0)-MATCH($B$1,[1]quests!$1:$1,0)+1),MATCH(C$1,[1]quests!$1:$1,0)-MATCH($B$1,[1]quests!$1:$1,0)+1,FALSE)</f>
        <v>天翔ける金轟機龍</v>
      </c>
      <c r="D594" s="3" t="str">
        <f ca="1">VLOOKUP($B594,OFFSET([1]quests!$A$1,0,0,COUNTA([1]quests!$A:$A),MATCH(D$1,[1]quests!$1:$1,0)-MATCH($B$1,[1]quests!$1:$1,0)+1),MATCH(D$1,[1]quests!$1:$1,0)-MATCH($B$1,[1]quests!$1:$1,0)+1,FALSE)</f>
        <v>ドロップイベント2-4</v>
      </c>
      <c r="E594" s="5">
        <v>2</v>
      </c>
      <c r="F594" s="3" t="str">
        <f ca="1">VLOOKUP($B594&amp;"_"&amp;$E594,OFFSET([1]stages!$A$1,0,0,COUNTA([1]stages!$A:$A),MATCH(F$1,[1]stages!$2:$2,0)-MATCH("temp_stage",[1]stages!$2:$2,0)+1),MATCH(F$1,[1]stages!$2:$2,0)-MATCH("temp_stage",[1]stages!$2:$2,0)+1,FALSE)</f>
        <v>【中級】天翔ける金轟機龍</v>
      </c>
      <c r="G594" s="3" t="str">
        <f ca="1">VLOOKUP($B594&amp;"_"&amp;$E594,OFFSET([1]stages!$A$1,0,0,COUNTA([1]stages!$A:$A),MATCH(G$1,[1]stages!$2:$2,0)-MATCH("temp_stage",[1]stages!$2:$2,0)+1),MATCH(G$1,[1]stages!$2:$2,0)-MATCH("temp_stage",[1]stages!$2:$2,0)+1,FALSE)</f>
        <v>ドロップイベント2-4</v>
      </c>
      <c r="H594" s="18">
        <v>0</v>
      </c>
      <c r="I594">
        <v>8</v>
      </c>
      <c r="J594" s="5" t="s">
        <v>16</v>
      </c>
      <c r="K594" s="35" t="str">
        <f>VLOOKUP(I594,[2]stage_hints!$A:$C,3,FALSE)</f>
        <v>ゲリラクエストは要チェック</v>
      </c>
      <c r="L594" s="36" t="str">
        <f>VLOOKUP(I594,[2]stage_hints!$A:$D,4,FALSE)</f>
        <v>時間限定の「アヒル捕獲作戦」では_x000D_経験値素材ユニットが多く手に入ります</v>
      </c>
      <c r="M594" s="21" t="s">
        <v>23</v>
      </c>
      <c r="N594">
        <v>8</v>
      </c>
    </row>
    <row r="595" spans="1:14" x14ac:dyDescent="0.15">
      <c r="A595" s="26" t="s">
        <v>32</v>
      </c>
      <c r="B595" s="4">
        <v>20008</v>
      </c>
      <c r="C595" s="3" t="str">
        <f ca="1">VLOOKUP($B595,OFFSET([1]quests!$A$1,0,0,COUNTA([1]quests!$A:$A),MATCH(C$1,[1]quests!$1:$1,0)-MATCH($B$1,[1]quests!$1:$1,0)+1),MATCH(C$1,[1]quests!$1:$1,0)-MATCH($B$1,[1]quests!$1:$1,0)+1,FALSE)</f>
        <v>天翔ける金轟機龍</v>
      </c>
      <c r="D595" s="3" t="str">
        <f ca="1">VLOOKUP($B595,OFFSET([1]quests!$A$1,0,0,COUNTA([1]quests!$A:$A),MATCH(D$1,[1]quests!$1:$1,0)-MATCH($B$1,[1]quests!$1:$1,0)+1),MATCH(D$1,[1]quests!$1:$1,0)-MATCH($B$1,[1]quests!$1:$1,0)+1,FALSE)</f>
        <v>ドロップイベント2-4</v>
      </c>
      <c r="E595" s="5">
        <v>2</v>
      </c>
      <c r="F595" s="3" t="str">
        <f ca="1">VLOOKUP($B595&amp;"_"&amp;$E595,OFFSET([1]stages!$A$1,0,0,COUNTA([1]stages!$A:$A),MATCH(F$1,[1]stages!$2:$2,0)-MATCH("temp_stage",[1]stages!$2:$2,0)+1),MATCH(F$1,[1]stages!$2:$2,0)-MATCH("temp_stage",[1]stages!$2:$2,0)+1,FALSE)</f>
        <v>【中級】天翔ける金轟機龍</v>
      </c>
      <c r="G595" s="3" t="str">
        <f ca="1">VLOOKUP($B595&amp;"_"&amp;$E595,OFFSET([1]stages!$A$1,0,0,COUNTA([1]stages!$A:$A),MATCH(G$1,[1]stages!$2:$2,0)-MATCH("temp_stage",[1]stages!$2:$2,0)+1),MATCH(G$1,[1]stages!$2:$2,0)-MATCH("temp_stage",[1]stages!$2:$2,0)+1,FALSE)</f>
        <v>ドロップイベント2-4</v>
      </c>
      <c r="H595" s="18">
        <v>0</v>
      </c>
      <c r="I595">
        <v>9</v>
      </c>
      <c r="J595" s="5" t="s">
        <v>16</v>
      </c>
      <c r="K595" s="35" t="str">
        <f>VLOOKUP(I595,[2]stage_hints!$A:$C,3,FALSE)</f>
        <v>ゴールドダックでビットを獲得</v>
      </c>
      <c r="L595" s="36" t="str">
        <f>VLOOKUP(I595,[2]stage_hints!$A:$D,4,FALSE)</f>
        <v>「ゴールドなアヒル」を売却すると_x000D_大量のビットがもらえます</v>
      </c>
      <c r="M595" s="21" t="s">
        <v>23</v>
      </c>
      <c r="N595">
        <v>9</v>
      </c>
    </row>
    <row r="596" spans="1:14" x14ac:dyDescent="0.15">
      <c r="A596" s="26" t="s">
        <v>32</v>
      </c>
      <c r="B596" s="4">
        <v>20008</v>
      </c>
      <c r="C596" s="3" t="str">
        <f ca="1">VLOOKUP($B596,OFFSET([1]quests!$A$1,0,0,COUNTA([1]quests!$A:$A),MATCH(C$1,[1]quests!$1:$1,0)-MATCH($B$1,[1]quests!$1:$1,0)+1),MATCH(C$1,[1]quests!$1:$1,0)-MATCH($B$1,[1]quests!$1:$1,0)+1,FALSE)</f>
        <v>天翔ける金轟機龍</v>
      </c>
      <c r="D596" s="3" t="str">
        <f ca="1">VLOOKUP($B596,OFFSET([1]quests!$A$1,0,0,COUNTA([1]quests!$A:$A),MATCH(D$1,[1]quests!$1:$1,0)-MATCH($B$1,[1]quests!$1:$1,0)+1),MATCH(D$1,[1]quests!$1:$1,0)-MATCH($B$1,[1]quests!$1:$1,0)+1,FALSE)</f>
        <v>ドロップイベント2-4</v>
      </c>
      <c r="E596" s="5">
        <v>2</v>
      </c>
      <c r="F596" s="3" t="str">
        <f ca="1">VLOOKUP($B596&amp;"_"&amp;$E596,OFFSET([1]stages!$A$1,0,0,COUNTA([1]stages!$A:$A),MATCH(F$1,[1]stages!$2:$2,0)-MATCH("temp_stage",[1]stages!$2:$2,0)+1),MATCH(F$1,[1]stages!$2:$2,0)-MATCH("temp_stage",[1]stages!$2:$2,0)+1,FALSE)</f>
        <v>【中級】天翔ける金轟機龍</v>
      </c>
      <c r="G596" s="3" t="str">
        <f ca="1">VLOOKUP($B596&amp;"_"&amp;$E596,OFFSET([1]stages!$A$1,0,0,COUNTA([1]stages!$A:$A),MATCH(G$1,[1]stages!$2:$2,0)-MATCH("temp_stage",[1]stages!$2:$2,0)+1),MATCH(G$1,[1]stages!$2:$2,0)-MATCH("temp_stage",[1]stages!$2:$2,0)+1,FALSE)</f>
        <v>ドロップイベント2-4</v>
      </c>
      <c r="H596" s="18">
        <v>0</v>
      </c>
      <c r="I596">
        <v>10</v>
      </c>
      <c r="J596" s="5" t="s">
        <v>16</v>
      </c>
      <c r="K596" s="35" t="str">
        <f>VLOOKUP(I596,[2]stage_hints!$A:$C,3,FALSE)</f>
        <v>土日に大量のビットを獲得</v>
      </c>
      <c r="L596" s="36" t="str">
        <f>VLOOKUP(I596,[2]stage_hints!$A:$D,4,FALSE)</f>
        <v>土日限定の「ゴールドカジノ」では_x000D_売却素材ユニットが多く手に入ります</v>
      </c>
      <c r="M596" s="21" t="s">
        <v>23</v>
      </c>
      <c r="N596">
        <v>10</v>
      </c>
    </row>
    <row r="597" spans="1:14" x14ac:dyDescent="0.15">
      <c r="A597" s="26" t="s">
        <v>32</v>
      </c>
      <c r="B597" s="4">
        <v>20008</v>
      </c>
      <c r="C597" s="3" t="str">
        <f ca="1">VLOOKUP($B597,OFFSET([1]quests!$A$1,0,0,COUNTA([1]quests!$A:$A),MATCH(C$1,[1]quests!$1:$1,0)-MATCH($B$1,[1]quests!$1:$1,0)+1),MATCH(C$1,[1]quests!$1:$1,0)-MATCH($B$1,[1]quests!$1:$1,0)+1,FALSE)</f>
        <v>天翔ける金轟機龍</v>
      </c>
      <c r="D597" s="3" t="str">
        <f ca="1">VLOOKUP($B597,OFFSET([1]quests!$A$1,0,0,COUNTA([1]quests!$A:$A),MATCH(D$1,[1]quests!$1:$1,0)-MATCH($B$1,[1]quests!$1:$1,0)+1),MATCH(D$1,[1]quests!$1:$1,0)-MATCH($B$1,[1]quests!$1:$1,0)+1,FALSE)</f>
        <v>ドロップイベント2-4</v>
      </c>
      <c r="E597" s="5">
        <v>2</v>
      </c>
      <c r="F597" s="3" t="str">
        <f ca="1">VLOOKUP($B597&amp;"_"&amp;$E597,OFFSET([1]stages!$A$1,0,0,COUNTA([1]stages!$A:$A),MATCH(F$1,[1]stages!$2:$2,0)-MATCH("temp_stage",[1]stages!$2:$2,0)+1),MATCH(F$1,[1]stages!$2:$2,0)-MATCH("temp_stage",[1]stages!$2:$2,0)+1,FALSE)</f>
        <v>【中級】天翔ける金轟機龍</v>
      </c>
      <c r="G597" s="3" t="str">
        <f ca="1">VLOOKUP($B597&amp;"_"&amp;$E597,OFFSET([1]stages!$A$1,0,0,COUNTA([1]stages!$A:$A),MATCH(G$1,[1]stages!$2:$2,0)-MATCH("temp_stage",[1]stages!$2:$2,0)+1),MATCH(G$1,[1]stages!$2:$2,0)-MATCH("temp_stage",[1]stages!$2:$2,0)+1,FALSE)</f>
        <v>ドロップイベント2-4</v>
      </c>
      <c r="H597" s="18">
        <v>0</v>
      </c>
      <c r="I597">
        <v>11</v>
      </c>
      <c r="J597" s="5" t="s">
        <v>16</v>
      </c>
      <c r="K597" s="35" t="str">
        <f>VLOOKUP(I597,[2]stage_hints!$A:$C,3,FALSE)</f>
        <v>ランク解放クエスト</v>
      </c>
      <c r="L597" s="36" t="str">
        <f>VLOOKUP(I597,[2]stage_hints!$A:$D,4,FALSE)</f>
        <v>一定ランクに到達すると_x000D_報酬付きのランク開放クエストが現れます</v>
      </c>
      <c r="M597" s="21" t="s">
        <v>23</v>
      </c>
      <c r="N597">
        <v>11</v>
      </c>
    </row>
    <row r="598" spans="1:14" x14ac:dyDescent="0.15">
      <c r="A598" s="26" t="s">
        <v>32</v>
      </c>
      <c r="B598" s="4">
        <v>20008</v>
      </c>
      <c r="C598" s="3" t="str">
        <f ca="1">VLOOKUP($B598,OFFSET([1]quests!$A$1,0,0,COUNTA([1]quests!$A:$A),MATCH(C$1,[1]quests!$1:$1,0)-MATCH($B$1,[1]quests!$1:$1,0)+1),MATCH(C$1,[1]quests!$1:$1,0)-MATCH($B$1,[1]quests!$1:$1,0)+1,FALSE)</f>
        <v>天翔ける金轟機龍</v>
      </c>
      <c r="D598" s="3" t="str">
        <f ca="1">VLOOKUP($B598,OFFSET([1]quests!$A$1,0,0,COUNTA([1]quests!$A:$A),MATCH(D$1,[1]quests!$1:$1,0)-MATCH($B$1,[1]quests!$1:$1,0)+1),MATCH(D$1,[1]quests!$1:$1,0)-MATCH($B$1,[1]quests!$1:$1,0)+1,FALSE)</f>
        <v>ドロップイベント2-4</v>
      </c>
      <c r="E598" s="5">
        <v>2</v>
      </c>
      <c r="F598" s="3" t="str">
        <f ca="1">VLOOKUP($B598&amp;"_"&amp;$E598,OFFSET([1]stages!$A$1,0,0,COUNTA([1]stages!$A:$A),MATCH(F$1,[1]stages!$2:$2,0)-MATCH("temp_stage",[1]stages!$2:$2,0)+1),MATCH(F$1,[1]stages!$2:$2,0)-MATCH("temp_stage",[1]stages!$2:$2,0)+1,FALSE)</f>
        <v>【中級】天翔ける金轟機龍</v>
      </c>
      <c r="G598" s="3" t="str">
        <f ca="1">VLOOKUP($B598&amp;"_"&amp;$E598,OFFSET([1]stages!$A$1,0,0,COUNTA([1]stages!$A:$A),MATCH(G$1,[1]stages!$2:$2,0)-MATCH("temp_stage",[1]stages!$2:$2,0)+1),MATCH(G$1,[1]stages!$2:$2,0)-MATCH("temp_stage",[1]stages!$2:$2,0)+1,FALSE)</f>
        <v>ドロップイベント2-4</v>
      </c>
      <c r="H598" s="18">
        <v>0</v>
      </c>
      <c r="I598">
        <v>12</v>
      </c>
      <c r="J598" s="5" t="s">
        <v>16</v>
      </c>
      <c r="K598" s="35" t="str">
        <f>VLOOKUP(I598,[2]stage_hints!$A:$C,3,FALSE)</f>
        <v>ユニットのお気に入り登録</v>
      </c>
      <c r="L598" s="36" t="str">
        <f>VLOOKUP(I598,[2]stage_hints!$A:$D,4,FALSE)</f>
        <v>大事なユニットを誤って消さないように_x000D_フォルダから「お気に入り登録」しましょう</v>
      </c>
      <c r="M598" s="21" t="s">
        <v>23</v>
      </c>
      <c r="N598">
        <v>12</v>
      </c>
    </row>
    <row r="599" spans="1:14" x14ac:dyDescent="0.15">
      <c r="A599" s="26" t="s">
        <v>32</v>
      </c>
      <c r="B599" s="4">
        <v>20008</v>
      </c>
      <c r="C599" s="3" t="str">
        <f ca="1">VLOOKUP($B599,OFFSET([1]quests!$A$1,0,0,COUNTA([1]quests!$A:$A),MATCH(C$1,[1]quests!$1:$1,0)-MATCH($B$1,[1]quests!$1:$1,0)+1),MATCH(C$1,[1]quests!$1:$1,0)-MATCH($B$1,[1]quests!$1:$1,0)+1,FALSE)</f>
        <v>天翔ける金轟機龍</v>
      </c>
      <c r="D599" s="3" t="str">
        <f ca="1">VLOOKUP($B599,OFFSET([1]quests!$A$1,0,0,COUNTA([1]quests!$A:$A),MATCH(D$1,[1]quests!$1:$1,0)-MATCH($B$1,[1]quests!$1:$1,0)+1),MATCH(D$1,[1]quests!$1:$1,0)-MATCH($B$1,[1]quests!$1:$1,0)+1,FALSE)</f>
        <v>ドロップイベント2-4</v>
      </c>
      <c r="E599" s="5">
        <v>2</v>
      </c>
      <c r="F599" s="3" t="str">
        <f ca="1">VLOOKUP($B599&amp;"_"&amp;$E599,OFFSET([1]stages!$A$1,0,0,COUNTA([1]stages!$A:$A),MATCH(F$1,[1]stages!$2:$2,0)-MATCH("temp_stage",[1]stages!$2:$2,0)+1),MATCH(F$1,[1]stages!$2:$2,0)-MATCH("temp_stage",[1]stages!$2:$2,0)+1,FALSE)</f>
        <v>【中級】天翔ける金轟機龍</v>
      </c>
      <c r="G599" s="3" t="str">
        <f ca="1">VLOOKUP($B599&amp;"_"&amp;$E599,OFFSET([1]stages!$A$1,0,0,COUNTA([1]stages!$A:$A),MATCH(G$1,[1]stages!$2:$2,0)-MATCH("temp_stage",[1]stages!$2:$2,0)+1),MATCH(G$1,[1]stages!$2:$2,0)-MATCH("temp_stage",[1]stages!$2:$2,0)+1,FALSE)</f>
        <v>ドロップイベント2-4</v>
      </c>
      <c r="H599" s="18">
        <v>0</v>
      </c>
      <c r="I599">
        <v>13</v>
      </c>
      <c r="J599" s="5" t="s">
        <v>16</v>
      </c>
      <c r="K599" s="35" t="str">
        <f>VLOOKUP(I599,[2]stage_hints!$A:$C,3,FALSE)</f>
        <v>ユニットの覚醒</v>
      </c>
      <c r="L599" s="36" t="str">
        <f>VLOOKUP(I599,[2]stage_hints!$A:$D,4,FALSE)</f>
        <v>ユニットを覚醒させると_x000D_比べものにならない強さが手に入ります</v>
      </c>
      <c r="M599" s="21" t="s">
        <v>23</v>
      </c>
      <c r="N599">
        <v>13</v>
      </c>
    </row>
    <row r="600" spans="1:14" x14ac:dyDescent="0.15">
      <c r="A600" s="26" t="s">
        <v>32</v>
      </c>
      <c r="B600" s="4">
        <v>20008</v>
      </c>
      <c r="C600" s="3" t="str">
        <f ca="1">VLOOKUP($B600,OFFSET([1]quests!$A$1,0,0,COUNTA([1]quests!$A:$A),MATCH(C$1,[1]quests!$1:$1,0)-MATCH($B$1,[1]quests!$1:$1,0)+1),MATCH(C$1,[1]quests!$1:$1,0)-MATCH($B$1,[1]quests!$1:$1,0)+1,FALSE)</f>
        <v>天翔ける金轟機龍</v>
      </c>
      <c r="D600" s="3" t="str">
        <f ca="1">VLOOKUP($B600,OFFSET([1]quests!$A$1,0,0,COUNTA([1]quests!$A:$A),MATCH(D$1,[1]quests!$1:$1,0)-MATCH($B$1,[1]quests!$1:$1,0)+1),MATCH(D$1,[1]quests!$1:$1,0)-MATCH($B$1,[1]quests!$1:$1,0)+1,FALSE)</f>
        <v>ドロップイベント2-4</v>
      </c>
      <c r="E600" s="5">
        <v>2</v>
      </c>
      <c r="F600" s="3" t="str">
        <f ca="1">VLOOKUP($B600&amp;"_"&amp;$E600,OFFSET([1]stages!$A$1,0,0,COUNTA([1]stages!$A:$A),MATCH(F$1,[1]stages!$2:$2,0)-MATCH("temp_stage",[1]stages!$2:$2,0)+1),MATCH(F$1,[1]stages!$2:$2,0)-MATCH("temp_stage",[1]stages!$2:$2,0)+1,FALSE)</f>
        <v>【中級】天翔ける金轟機龍</v>
      </c>
      <c r="G600" s="3" t="str">
        <f ca="1">VLOOKUP($B600&amp;"_"&amp;$E600,OFFSET([1]stages!$A$1,0,0,COUNTA([1]stages!$A:$A),MATCH(G$1,[1]stages!$2:$2,0)-MATCH("temp_stage",[1]stages!$2:$2,0)+1),MATCH(G$1,[1]stages!$2:$2,0)-MATCH("temp_stage",[1]stages!$2:$2,0)+1,FALSE)</f>
        <v>ドロップイベント2-4</v>
      </c>
      <c r="H600" s="18">
        <v>0</v>
      </c>
      <c r="I600">
        <v>14</v>
      </c>
      <c r="J600" s="5" t="s">
        <v>16</v>
      </c>
      <c r="K600" s="35" t="str">
        <f>VLOOKUP(I600,[2]stage_hints!$A:$C,3,FALSE)</f>
        <v>覚醒するにはレベルを最大に</v>
      </c>
      <c r="L600" s="36" t="str">
        <f>VLOOKUP(I600,[2]stage_hints!$A:$D,4,FALSE)</f>
        <v>覚醒するにはユニットのレベルを_x000D_最大まで上げる必要があります</v>
      </c>
      <c r="M600" s="21" t="s">
        <v>23</v>
      </c>
      <c r="N600">
        <v>14</v>
      </c>
    </row>
    <row r="601" spans="1:14" x14ac:dyDescent="0.15">
      <c r="A601" s="26" t="s">
        <v>32</v>
      </c>
      <c r="B601" s="4">
        <v>20008</v>
      </c>
      <c r="C601" s="3" t="str">
        <f ca="1">VLOOKUP($B601,OFFSET([1]quests!$A$1,0,0,COUNTA([1]quests!$A:$A),MATCH(C$1,[1]quests!$1:$1,0)-MATCH($B$1,[1]quests!$1:$1,0)+1),MATCH(C$1,[1]quests!$1:$1,0)-MATCH($B$1,[1]quests!$1:$1,0)+1,FALSE)</f>
        <v>天翔ける金轟機龍</v>
      </c>
      <c r="D601" s="3" t="str">
        <f ca="1">VLOOKUP($B601,OFFSET([1]quests!$A$1,0,0,COUNTA([1]quests!$A:$A),MATCH(D$1,[1]quests!$1:$1,0)-MATCH($B$1,[1]quests!$1:$1,0)+1),MATCH(D$1,[1]quests!$1:$1,0)-MATCH($B$1,[1]quests!$1:$1,0)+1,FALSE)</f>
        <v>ドロップイベント2-4</v>
      </c>
      <c r="E601" s="5">
        <v>2</v>
      </c>
      <c r="F601" s="3" t="str">
        <f ca="1">VLOOKUP($B601&amp;"_"&amp;$E601,OFFSET([1]stages!$A$1,0,0,COUNTA([1]stages!$A:$A),MATCH(F$1,[1]stages!$2:$2,0)-MATCH("temp_stage",[1]stages!$2:$2,0)+1),MATCH(F$1,[1]stages!$2:$2,0)-MATCH("temp_stage",[1]stages!$2:$2,0)+1,FALSE)</f>
        <v>【中級】天翔ける金轟機龍</v>
      </c>
      <c r="G601" s="3" t="str">
        <f ca="1">VLOOKUP($B601&amp;"_"&amp;$E601,OFFSET([1]stages!$A$1,0,0,COUNTA([1]stages!$A:$A),MATCH(G$1,[1]stages!$2:$2,0)-MATCH("temp_stage",[1]stages!$2:$2,0)+1),MATCH(G$1,[1]stages!$2:$2,0)-MATCH("temp_stage",[1]stages!$2:$2,0)+1,FALSE)</f>
        <v>ドロップイベント2-4</v>
      </c>
      <c r="H601" s="18">
        <v>0</v>
      </c>
      <c r="I601">
        <v>15</v>
      </c>
      <c r="J601" s="5" t="s">
        <v>16</v>
      </c>
      <c r="K601" s="35" t="str">
        <f>VLOOKUP(I601,[2]stage_hints!$A:$C,3,FALSE)</f>
        <v>覚醒素材を獲得</v>
      </c>
      <c r="L601" s="36" t="str">
        <f>VLOOKUP(I601,[2]stage_hints!$A:$D,4,FALSE)</f>
        <v>「曜日クエスト」では_x000D_ユニットの覚醒に必要な素材が手に入ります</v>
      </c>
      <c r="M601" s="21" t="s">
        <v>23</v>
      </c>
      <c r="N601">
        <v>15</v>
      </c>
    </row>
    <row r="602" spans="1:14" x14ac:dyDescent="0.15">
      <c r="A602" s="26" t="s">
        <v>32</v>
      </c>
      <c r="B602" s="4">
        <v>20008</v>
      </c>
      <c r="C602" s="3" t="str">
        <f ca="1">VLOOKUP($B602,OFFSET([1]quests!$A$1,0,0,COUNTA([1]quests!$A:$A),MATCH(C$1,[1]quests!$1:$1,0)-MATCH($B$1,[1]quests!$1:$1,0)+1),MATCH(C$1,[1]quests!$1:$1,0)-MATCH($B$1,[1]quests!$1:$1,0)+1,FALSE)</f>
        <v>天翔ける金轟機龍</v>
      </c>
      <c r="D602" s="3" t="str">
        <f ca="1">VLOOKUP($B602,OFFSET([1]quests!$A$1,0,0,COUNTA([1]quests!$A:$A),MATCH(D$1,[1]quests!$1:$1,0)-MATCH($B$1,[1]quests!$1:$1,0)+1),MATCH(D$1,[1]quests!$1:$1,0)-MATCH($B$1,[1]quests!$1:$1,0)+1,FALSE)</f>
        <v>ドロップイベント2-4</v>
      </c>
      <c r="E602" s="5">
        <v>2</v>
      </c>
      <c r="F602" s="3" t="str">
        <f ca="1">VLOOKUP($B602&amp;"_"&amp;$E602,OFFSET([1]stages!$A$1,0,0,COUNTA([1]stages!$A:$A),MATCH(F$1,[1]stages!$2:$2,0)-MATCH("temp_stage",[1]stages!$2:$2,0)+1),MATCH(F$1,[1]stages!$2:$2,0)-MATCH("temp_stage",[1]stages!$2:$2,0)+1,FALSE)</f>
        <v>【中級】天翔ける金轟機龍</v>
      </c>
      <c r="G602" s="3" t="str">
        <f ca="1">VLOOKUP($B602&amp;"_"&amp;$E602,OFFSET([1]stages!$A$1,0,0,COUNTA([1]stages!$A:$A),MATCH(G$1,[1]stages!$2:$2,0)-MATCH("temp_stage",[1]stages!$2:$2,0)+1),MATCH(G$1,[1]stages!$2:$2,0)-MATCH("temp_stage",[1]stages!$2:$2,0)+1,FALSE)</f>
        <v>ドロップイベント2-4</v>
      </c>
      <c r="H602" s="18">
        <v>0</v>
      </c>
      <c r="I602">
        <v>16</v>
      </c>
      <c r="J602" s="5" t="s">
        <v>16</v>
      </c>
      <c r="K602" s="35" t="str">
        <f>VLOOKUP(I602,[2]stage_hints!$A:$C,3,FALSE)</f>
        <v>マルチプレイのメリット（その1）</v>
      </c>
      <c r="L602" s="36" t="str">
        <f>VLOOKUP(I602,[2]stage_hints!$A:$D,4,FALSE)</f>
        <v>他のプレイヤーとマルチプレイで遊ぶと_x000D_ポリゴンがもらえます（100人まで）</v>
      </c>
      <c r="M602" s="21" t="s">
        <v>23</v>
      </c>
      <c r="N602">
        <v>16</v>
      </c>
    </row>
    <row r="603" spans="1:14" x14ac:dyDescent="0.15">
      <c r="A603" s="26" t="s">
        <v>32</v>
      </c>
      <c r="B603" s="4">
        <v>20008</v>
      </c>
      <c r="C603" s="3" t="str">
        <f ca="1">VLOOKUP($B603,OFFSET([1]quests!$A$1,0,0,COUNTA([1]quests!$A:$A),MATCH(C$1,[1]quests!$1:$1,0)-MATCH($B$1,[1]quests!$1:$1,0)+1),MATCH(C$1,[1]quests!$1:$1,0)-MATCH($B$1,[1]quests!$1:$1,0)+1,FALSE)</f>
        <v>天翔ける金轟機龍</v>
      </c>
      <c r="D603" s="3" t="str">
        <f ca="1">VLOOKUP($B603,OFFSET([1]quests!$A$1,0,0,COUNTA([1]quests!$A:$A),MATCH(D$1,[1]quests!$1:$1,0)-MATCH($B$1,[1]quests!$1:$1,0)+1),MATCH(D$1,[1]quests!$1:$1,0)-MATCH($B$1,[1]quests!$1:$1,0)+1,FALSE)</f>
        <v>ドロップイベント2-4</v>
      </c>
      <c r="E603" s="5">
        <v>2</v>
      </c>
      <c r="F603" s="3" t="str">
        <f ca="1">VLOOKUP($B603&amp;"_"&amp;$E603,OFFSET([1]stages!$A$1,0,0,COUNTA([1]stages!$A:$A),MATCH(F$1,[1]stages!$2:$2,0)-MATCH("temp_stage",[1]stages!$2:$2,0)+1),MATCH(F$1,[1]stages!$2:$2,0)-MATCH("temp_stage",[1]stages!$2:$2,0)+1,FALSE)</f>
        <v>【中級】天翔ける金轟機龍</v>
      </c>
      <c r="G603" s="3" t="str">
        <f ca="1">VLOOKUP($B603&amp;"_"&amp;$E603,OFFSET([1]stages!$A$1,0,0,COUNTA([1]stages!$A:$A),MATCH(G$1,[1]stages!$2:$2,0)-MATCH("temp_stage",[1]stages!$2:$2,0)+1),MATCH(G$1,[1]stages!$2:$2,0)-MATCH("temp_stage",[1]stages!$2:$2,0)+1,FALSE)</f>
        <v>ドロップイベント2-4</v>
      </c>
      <c r="H603" s="18">
        <v>0</v>
      </c>
      <c r="I603">
        <v>17</v>
      </c>
      <c r="J603" s="5" t="s">
        <v>16</v>
      </c>
      <c r="K603" s="35" t="str">
        <f>VLOOKUP(I603,[2]stage_hints!$A:$C,3,FALSE)</f>
        <v>リンクガチャ</v>
      </c>
      <c r="L603" s="36" t="str">
        <f>VLOOKUP(I603,[2]stage_hints!$A:$D,4,FALSE)</f>
        <v>無料のリンクガチャを回して_x000D_経験値素材や売却素材を獲得しましょう</v>
      </c>
      <c r="M603" s="21" t="s">
        <v>23</v>
      </c>
      <c r="N603">
        <v>17</v>
      </c>
    </row>
    <row r="604" spans="1:14" x14ac:dyDescent="0.15">
      <c r="A604" s="26" t="s">
        <v>32</v>
      </c>
      <c r="B604" s="4">
        <v>20008</v>
      </c>
      <c r="C604" s="3" t="str">
        <f ca="1">VLOOKUP($B604,OFFSET([1]quests!$A$1,0,0,COUNTA([1]quests!$A:$A),MATCH(C$1,[1]quests!$1:$1,0)-MATCH($B$1,[1]quests!$1:$1,0)+1),MATCH(C$1,[1]quests!$1:$1,0)-MATCH($B$1,[1]quests!$1:$1,0)+1,FALSE)</f>
        <v>天翔ける金轟機龍</v>
      </c>
      <c r="D604" s="3" t="str">
        <f ca="1">VLOOKUP($B604,OFFSET([1]quests!$A$1,0,0,COUNTA([1]quests!$A:$A),MATCH(D$1,[1]quests!$1:$1,0)-MATCH($B$1,[1]quests!$1:$1,0)+1),MATCH(D$1,[1]quests!$1:$1,0)-MATCH($B$1,[1]quests!$1:$1,0)+1,FALSE)</f>
        <v>ドロップイベント2-4</v>
      </c>
      <c r="E604" s="5">
        <v>2</v>
      </c>
      <c r="F604" s="3" t="str">
        <f ca="1">VLOOKUP($B604&amp;"_"&amp;$E604,OFFSET([1]stages!$A$1,0,0,COUNTA([1]stages!$A:$A),MATCH(F$1,[1]stages!$2:$2,0)-MATCH("temp_stage",[1]stages!$2:$2,0)+1),MATCH(F$1,[1]stages!$2:$2,0)-MATCH("temp_stage",[1]stages!$2:$2,0)+1,FALSE)</f>
        <v>【中級】天翔ける金轟機龍</v>
      </c>
      <c r="G604" s="3" t="str">
        <f ca="1">VLOOKUP($B604&amp;"_"&amp;$E604,OFFSET([1]stages!$A$1,0,0,COUNTA([1]stages!$A:$A),MATCH(G$1,[1]stages!$2:$2,0)-MATCH("temp_stage",[1]stages!$2:$2,0)+1),MATCH(G$1,[1]stages!$2:$2,0)-MATCH("temp_stage",[1]stages!$2:$2,0)+1,FALSE)</f>
        <v>ドロップイベント2-4</v>
      </c>
      <c r="H604" s="18">
        <v>0</v>
      </c>
      <c r="I604">
        <v>18</v>
      </c>
      <c r="J604" s="5" t="s">
        <v>16</v>
      </c>
      <c r="K604" s="35" t="str">
        <f>VLOOKUP(I604,[2]stage_hints!$A:$C,3,FALSE)</f>
        <v>マルチプレイのメリット（その2）</v>
      </c>
      <c r="L604" s="36" t="str">
        <f>VLOOKUP(I604,[2]stage_hints!$A:$D,4,FALSE)</f>
        <v>マルチプレイならリンクが2倍もらえます_x000D_リンクガチャをたくさん回しましょう</v>
      </c>
      <c r="M604" s="21" t="s">
        <v>23</v>
      </c>
      <c r="N604">
        <v>18</v>
      </c>
    </row>
    <row r="605" spans="1:14" x14ac:dyDescent="0.15">
      <c r="A605" s="26" t="s">
        <v>32</v>
      </c>
      <c r="B605" s="4">
        <v>20008</v>
      </c>
      <c r="C605" s="3" t="str">
        <f ca="1">VLOOKUP($B605,OFFSET([1]quests!$A$1,0,0,COUNTA([1]quests!$A:$A),MATCH(C$1,[1]quests!$1:$1,0)-MATCH($B$1,[1]quests!$1:$1,0)+1),MATCH(C$1,[1]quests!$1:$1,0)-MATCH($B$1,[1]quests!$1:$1,0)+1,FALSE)</f>
        <v>天翔ける金轟機龍</v>
      </c>
      <c r="D605" s="3" t="str">
        <f ca="1">VLOOKUP($B605,OFFSET([1]quests!$A$1,0,0,COUNTA([1]quests!$A:$A),MATCH(D$1,[1]quests!$1:$1,0)-MATCH($B$1,[1]quests!$1:$1,0)+1),MATCH(D$1,[1]quests!$1:$1,0)-MATCH($B$1,[1]quests!$1:$1,0)+1,FALSE)</f>
        <v>ドロップイベント2-4</v>
      </c>
      <c r="E605" s="5">
        <v>2</v>
      </c>
      <c r="F605" s="3" t="str">
        <f ca="1">VLOOKUP($B605&amp;"_"&amp;$E605,OFFSET([1]stages!$A$1,0,0,COUNTA([1]stages!$A:$A),MATCH(F$1,[1]stages!$2:$2,0)-MATCH("temp_stage",[1]stages!$2:$2,0)+1),MATCH(F$1,[1]stages!$2:$2,0)-MATCH("temp_stage",[1]stages!$2:$2,0)+1,FALSE)</f>
        <v>【中級】天翔ける金轟機龍</v>
      </c>
      <c r="G605" s="3" t="str">
        <f ca="1">VLOOKUP($B605&amp;"_"&amp;$E605,OFFSET([1]stages!$A$1,0,0,COUNTA([1]stages!$A:$A),MATCH(G$1,[1]stages!$2:$2,0)-MATCH("temp_stage",[1]stages!$2:$2,0)+1),MATCH(G$1,[1]stages!$2:$2,0)-MATCH("temp_stage",[1]stages!$2:$2,0)+1,FALSE)</f>
        <v>ドロップイベント2-4</v>
      </c>
      <c r="H605" s="18">
        <v>0</v>
      </c>
      <c r="I605">
        <v>19</v>
      </c>
      <c r="J605" s="5" t="s">
        <v>16</v>
      </c>
      <c r="K605" s="35" t="str">
        <f>VLOOKUP(I605,[2]stage_hints!$A:$C,3,FALSE)</f>
        <v>ソロ専用チャレンジタワー</v>
      </c>
      <c r="L605" s="36" t="str">
        <f>VLOOKUP(I605,[2]stage_hints!$A:$D,4,FALSE)</f>
        <v>ソロ専用の「チャレンジタワー」では_x000D_各フロアごとにクリア報酬がもらえます</v>
      </c>
      <c r="M605" s="21" t="s">
        <v>23</v>
      </c>
      <c r="N605">
        <v>19</v>
      </c>
    </row>
    <row r="606" spans="1:14" x14ac:dyDescent="0.15">
      <c r="A606" s="26" t="s">
        <v>32</v>
      </c>
      <c r="B606" s="4">
        <v>20008</v>
      </c>
      <c r="C606" s="3" t="str">
        <f ca="1">VLOOKUP($B606,OFFSET([1]quests!$A$1,0,0,COUNTA([1]quests!$A:$A),MATCH(C$1,[1]quests!$1:$1,0)-MATCH($B$1,[1]quests!$1:$1,0)+1),MATCH(C$1,[1]quests!$1:$1,0)-MATCH($B$1,[1]quests!$1:$1,0)+1,FALSE)</f>
        <v>天翔ける金轟機龍</v>
      </c>
      <c r="D606" s="3" t="str">
        <f ca="1">VLOOKUP($B606,OFFSET([1]quests!$A$1,0,0,COUNTA([1]quests!$A:$A),MATCH(D$1,[1]quests!$1:$1,0)-MATCH($B$1,[1]quests!$1:$1,0)+1),MATCH(D$1,[1]quests!$1:$1,0)-MATCH($B$1,[1]quests!$1:$1,0)+1,FALSE)</f>
        <v>ドロップイベント2-4</v>
      </c>
      <c r="E606" s="5">
        <v>2</v>
      </c>
      <c r="F606" s="3" t="str">
        <f ca="1">VLOOKUP($B606&amp;"_"&amp;$E606,OFFSET([1]stages!$A$1,0,0,COUNTA([1]stages!$A:$A),MATCH(F$1,[1]stages!$2:$2,0)-MATCH("temp_stage",[1]stages!$2:$2,0)+1),MATCH(F$1,[1]stages!$2:$2,0)-MATCH("temp_stage",[1]stages!$2:$2,0)+1,FALSE)</f>
        <v>【中級】天翔ける金轟機龍</v>
      </c>
      <c r="G606" s="3" t="str">
        <f ca="1">VLOOKUP($B606&amp;"_"&amp;$E606,OFFSET([1]stages!$A$1,0,0,COUNTA([1]stages!$A:$A),MATCH(G$1,[1]stages!$2:$2,0)-MATCH("temp_stage",[1]stages!$2:$2,0)+1),MATCH(G$1,[1]stages!$2:$2,0)-MATCH("temp_stage",[1]stages!$2:$2,0)+1,FALSE)</f>
        <v>ドロップイベント2-4</v>
      </c>
      <c r="H606" s="18">
        <v>0</v>
      </c>
      <c r="I606">
        <v>20</v>
      </c>
      <c r="J606" s="5" t="s">
        <v>16</v>
      </c>
      <c r="K606" s="35" t="str">
        <f>VLOOKUP(I606,[2]stage_hints!$A:$C,3,FALSE)</f>
        <v>マルチプレイのメリット（その3）</v>
      </c>
      <c r="L606" s="36" t="str">
        <f>VLOOKUP(I606,[2]stage_hints!$A:$D,4,FALSE)</f>
        <v>マルチプレイへの参加はエナジー消費ゼロ_x000D_いつでも好きなだけ遊ぶことができます</v>
      </c>
      <c r="M606" s="21" t="s">
        <v>23</v>
      </c>
      <c r="N606">
        <v>20</v>
      </c>
    </row>
    <row r="607" spans="1:14" x14ac:dyDescent="0.15">
      <c r="A607" s="26" t="s">
        <v>32</v>
      </c>
      <c r="B607" s="4">
        <v>20008</v>
      </c>
      <c r="C607" s="3" t="str">
        <f ca="1">VLOOKUP($B607,OFFSET([1]quests!$A$1,0,0,COUNTA([1]quests!$A:$A),MATCH(C$1,[1]quests!$1:$1,0)-MATCH($B$1,[1]quests!$1:$1,0)+1),MATCH(C$1,[1]quests!$1:$1,0)-MATCH($B$1,[1]quests!$1:$1,0)+1,FALSE)</f>
        <v>天翔ける金轟機龍</v>
      </c>
      <c r="D607" s="3" t="str">
        <f ca="1">VLOOKUP($B607,OFFSET([1]quests!$A$1,0,0,COUNTA([1]quests!$A:$A),MATCH(D$1,[1]quests!$1:$1,0)-MATCH($B$1,[1]quests!$1:$1,0)+1),MATCH(D$1,[1]quests!$1:$1,0)-MATCH($B$1,[1]quests!$1:$1,0)+1,FALSE)</f>
        <v>ドロップイベント2-4</v>
      </c>
      <c r="E607" s="5">
        <v>2</v>
      </c>
      <c r="F607" s="3" t="str">
        <f ca="1">VLOOKUP($B607&amp;"_"&amp;$E607,OFFSET([1]stages!$A$1,0,0,COUNTA([1]stages!$A:$A),MATCH(F$1,[1]stages!$2:$2,0)-MATCH("temp_stage",[1]stages!$2:$2,0)+1),MATCH(F$1,[1]stages!$2:$2,0)-MATCH("temp_stage",[1]stages!$2:$2,0)+1,FALSE)</f>
        <v>【中級】天翔ける金轟機龍</v>
      </c>
      <c r="G607" s="3" t="str">
        <f ca="1">VLOOKUP($B607&amp;"_"&amp;$E607,OFFSET([1]stages!$A$1,0,0,COUNTA([1]stages!$A:$A),MATCH(G$1,[1]stages!$2:$2,0)-MATCH("temp_stage",[1]stages!$2:$2,0)+1),MATCH(G$1,[1]stages!$2:$2,0)-MATCH("temp_stage",[1]stages!$2:$2,0)+1,FALSE)</f>
        <v>ドロップイベント2-4</v>
      </c>
      <c r="H607" s="18">
        <v>0</v>
      </c>
      <c r="I607">
        <v>21</v>
      </c>
      <c r="J607" s="5" t="s">
        <v>16</v>
      </c>
      <c r="K607" s="35" t="str">
        <f>VLOOKUP(I607,[2]stage_hints!$A:$C,3,FALSE)</f>
        <v>スキルを有効に</v>
      </c>
      <c r="L607" s="36" t="str">
        <f>VLOOKUP(I607,[2]stage_hints!$A:$D,4,FALSE)</f>
        <v>ターン経過でユニットのスキルが使えます_x000D_強力スキルでバトルを有利に進めましょう</v>
      </c>
      <c r="M607" s="21" t="s">
        <v>23</v>
      </c>
      <c r="N607">
        <v>21</v>
      </c>
    </row>
    <row r="608" spans="1:14" x14ac:dyDescent="0.15">
      <c r="A608" s="26" t="s">
        <v>32</v>
      </c>
      <c r="B608" s="4">
        <v>20008</v>
      </c>
      <c r="C608" s="3" t="str">
        <f ca="1">VLOOKUP($B608,OFFSET([1]quests!$A$1,0,0,COUNTA([1]quests!$A:$A),MATCH(C$1,[1]quests!$1:$1,0)-MATCH($B$1,[1]quests!$1:$1,0)+1),MATCH(C$1,[1]quests!$1:$1,0)-MATCH($B$1,[1]quests!$1:$1,0)+1,FALSE)</f>
        <v>天翔ける金轟機龍</v>
      </c>
      <c r="D608" s="3" t="str">
        <f ca="1">VLOOKUP($B608,OFFSET([1]quests!$A$1,0,0,COUNTA([1]quests!$A:$A),MATCH(D$1,[1]quests!$1:$1,0)-MATCH($B$1,[1]quests!$1:$1,0)+1),MATCH(D$1,[1]quests!$1:$1,0)-MATCH($B$1,[1]quests!$1:$1,0)+1,FALSE)</f>
        <v>ドロップイベント2-4</v>
      </c>
      <c r="E608" s="5">
        <v>2</v>
      </c>
      <c r="F608" s="3" t="str">
        <f ca="1">VLOOKUP($B608&amp;"_"&amp;$E608,OFFSET([1]stages!$A$1,0,0,COUNTA([1]stages!$A:$A),MATCH(F$1,[1]stages!$2:$2,0)-MATCH("temp_stage",[1]stages!$2:$2,0)+1),MATCH(F$1,[1]stages!$2:$2,0)-MATCH("temp_stage",[1]stages!$2:$2,0)+1,FALSE)</f>
        <v>【中級】天翔ける金轟機龍</v>
      </c>
      <c r="G608" s="3" t="str">
        <f ca="1">VLOOKUP($B608&amp;"_"&amp;$E608,OFFSET([1]stages!$A$1,0,0,COUNTA([1]stages!$A:$A),MATCH(G$1,[1]stages!$2:$2,0)-MATCH("temp_stage",[1]stages!$2:$2,0)+1),MATCH(G$1,[1]stages!$2:$2,0)-MATCH("temp_stage",[1]stages!$2:$2,0)+1,FALSE)</f>
        <v>ドロップイベント2-4</v>
      </c>
      <c r="H608" s="18">
        <v>0</v>
      </c>
      <c r="I608">
        <v>22</v>
      </c>
      <c r="J608" s="5" t="s">
        <v>16</v>
      </c>
      <c r="K608" s="35" t="str">
        <f>VLOOKUP(I608,[2]stage_hints!$A:$C,3,FALSE)</f>
        <v>フィーバーで一発逆転（その1）</v>
      </c>
      <c r="L608" s="36" t="str">
        <f>VLOOKUP(I608,[2]stage_hints!$A:$D,4,FALSE)</f>
        <v>フィーバーは攻撃と回復を兼ね備えます_x000D_ピンチからの一発逆転を狙いましょう</v>
      </c>
      <c r="M608" s="21" t="s">
        <v>23</v>
      </c>
      <c r="N608">
        <v>22</v>
      </c>
    </row>
    <row r="609" spans="1:14" x14ac:dyDescent="0.15">
      <c r="A609" s="26" t="s">
        <v>32</v>
      </c>
      <c r="B609" s="4">
        <v>20008</v>
      </c>
      <c r="C609" s="3" t="str">
        <f ca="1">VLOOKUP($B609,OFFSET([1]quests!$A$1,0,0,COUNTA([1]quests!$A:$A),MATCH(C$1,[1]quests!$1:$1,0)-MATCH($B$1,[1]quests!$1:$1,0)+1),MATCH(C$1,[1]quests!$1:$1,0)-MATCH($B$1,[1]quests!$1:$1,0)+1,FALSE)</f>
        <v>天翔ける金轟機龍</v>
      </c>
      <c r="D609" s="3" t="str">
        <f ca="1">VLOOKUP($B609,OFFSET([1]quests!$A$1,0,0,COUNTA([1]quests!$A:$A),MATCH(D$1,[1]quests!$1:$1,0)-MATCH($B$1,[1]quests!$1:$1,0)+1),MATCH(D$1,[1]quests!$1:$1,0)-MATCH($B$1,[1]quests!$1:$1,0)+1,FALSE)</f>
        <v>ドロップイベント2-4</v>
      </c>
      <c r="E609" s="5">
        <v>2</v>
      </c>
      <c r="F609" s="3" t="str">
        <f ca="1">VLOOKUP($B609&amp;"_"&amp;$E609,OFFSET([1]stages!$A$1,0,0,COUNTA([1]stages!$A:$A),MATCH(F$1,[1]stages!$2:$2,0)-MATCH("temp_stage",[1]stages!$2:$2,0)+1),MATCH(F$1,[1]stages!$2:$2,0)-MATCH("temp_stage",[1]stages!$2:$2,0)+1,FALSE)</f>
        <v>【中級】天翔ける金轟機龍</v>
      </c>
      <c r="G609" s="3" t="str">
        <f ca="1">VLOOKUP($B609&amp;"_"&amp;$E609,OFFSET([1]stages!$A$1,0,0,COUNTA([1]stages!$A:$A),MATCH(G$1,[1]stages!$2:$2,0)-MATCH("temp_stage",[1]stages!$2:$2,0)+1),MATCH(G$1,[1]stages!$2:$2,0)-MATCH("temp_stage",[1]stages!$2:$2,0)+1,FALSE)</f>
        <v>ドロップイベント2-4</v>
      </c>
      <c r="H609" s="18">
        <v>0</v>
      </c>
      <c r="I609">
        <v>23</v>
      </c>
      <c r="J609" s="5" t="s">
        <v>16</v>
      </c>
      <c r="K609" s="35" t="str">
        <f>VLOOKUP(I609,[2]stage_hints!$A:$C,3,FALSE)</f>
        <v>フィーバーで一発逆転（その2）</v>
      </c>
      <c r="L609" s="36" t="str">
        <f>VLOOKUP(I609,[2]stage_hints!$A:$D,4,FALSE)</f>
        <v>フィーバー中は虹色のボムパネルを狙って_x000D_画面上のパネルを一気に破壊しましょう</v>
      </c>
      <c r="M609" s="21" t="s">
        <v>23</v>
      </c>
      <c r="N609">
        <v>23</v>
      </c>
    </row>
    <row r="610" spans="1:14" x14ac:dyDescent="0.15">
      <c r="A610" s="26" t="s">
        <v>32</v>
      </c>
      <c r="B610" s="4">
        <v>20008</v>
      </c>
      <c r="C610" s="3" t="str">
        <f ca="1">VLOOKUP($B610,OFFSET([1]quests!$A$1,0,0,COUNTA([1]quests!$A:$A),MATCH(C$1,[1]quests!$1:$1,0)-MATCH($B$1,[1]quests!$1:$1,0)+1),MATCH(C$1,[1]quests!$1:$1,0)-MATCH($B$1,[1]quests!$1:$1,0)+1,FALSE)</f>
        <v>天翔ける金轟機龍</v>
      </c>
      <c r="D610" s="3" t="str">
        <f ca="1">VLOOKUP($B610,OFFSET([1]quests!$A$1,0,0,COUNTA([1]quests!$A:$A),MATCH(D$1,[1]quests!$1:$1,0)-MATCH($B$1,[1]quests!$1:$1,0)+1),MATCH(D$1,[1]quests!$1:$1,0)-MATCH($B$1,[1]quests!$1:$1,0)+1,FALSE)</f>
        <v>ドロップイベント2-4</v>
      </c>
      <c r="E610" s="5">
        <v>2</v>
      </c>
      <c r="F610" s="3" t="str">
        <f ca="1">VLOOKUP($B610&amp;"_"&amp;$E610,OFFSET([1]stages!$A$1,0,0,COUNTA([1]stages!$A:$A),MATCH(F$1,[1]stages!$2:$2,0)-MATCH("temp_stage",[1]stages!$2:$2,0)+1),MATCH(F$1,[1]stages!$2:$2,0)-MATCH("temp_stage",[1]stages!$2:$2,0)+1,FALSE)</f>
        <v>【中級】天翔ける金轟機龍</v>
      </c>
      <c r="G610" s="3" t="str">
        <f ca="1">VLOOKUP($B610&amp;"_"&amp;$E610,OFFSET([1]stages!$A$1,0,0,COUNTA([1]stages!$A:$A),MATCH(G$1,[1]stages!$2:$2,0)-MATCH("temp_stage",[1]stages!$2:$2,0)+1),MATCH(G$1,[1]stages!$2:$2,0)-MATCH("temp_stage",[1]stages!$2:$2,0)+1,FALSE)</f>
        <v>ドロップイベント2-4</v>
      </c>
      <c r="H610" s="18">
        <v>0</v>
      </c>
      <c r="I610">
        <v>24</v>
      </c>
      <c r="J610" s="5" t="s">
        <v>16</v>
      </c>
      <c r="K610" s="35" t="str">
        <f>VLOOKUP(I610,[2]stage_hints!$A:$C,3,FALSE)</f>
        <v>りんごを使って限界突破</v>
      </c>
      <c r="L610" s="36" t="str">
        <f>VLOOKUP(I610,[2]stage_hints!$A:$D,4,FALSE)</f>
        <v>赤りんご(攻撃力) 青りんご(回復力)_x000D_緑りんご(体力)をユニット強化に使うと_x000D_ステータスが限界突破します（計99個迄）</v>
      </c>
      <c r="M610" s="21" t="s">
        <v>23</v>
      </c>
      <c r="N610">
        <v>24</v>
      </c>
    </row>
    <row r="611" spans="1:14" x14ac:dyDescent="0.15">
      <c r="A611" s="26" t="s">
        <v>32</v>
      </c>
      <c r="B611" s="4">
        <v>20008</v>
      </c>
      <c r="C611" s="3" t="str">
        <f ca="1">VLOOKUP($B611,OFFSET([1]quests!$A$1,0,0,COUNTA([1]quests!$A:$A),MATCH(C$1,[1]quests!$1:$1,0)-MATCH($B$1,[1]quests!$1:$1,0)+1),MATCH(C$1,[1]quests!$1:$1,0)-MATCH($B$1,[1]quests!$1:$1,0)+1,FALSE)</f>
        <v>天翔ける金轟機龍</v>
      </c>
      <c r="D611" s="3" t="str">
        <f ca="1">VLOOKUP($B611,OFFSET([1]quests!$A$1,0,0,COUNTA([1]quests!$A:$A),MATCH(D$1,[1]quests!$1:$1,0)-MATCH($B$1,[1]quests!$1:$1,0)+1),MATCH(D$1,[1]quests!$1:$1,0)-MATCH($B$1,[1]quests!$1:$1,0)+1,FALSE)</f>
        <v>ドロップイベント2-4</v>
      </c>
      <c r="E611" s="5">
        <v>2</v>
      </c>
      <c r="F611" s="3" t="str">
        <f ca="1">VLOOKUP($B611&amp;"_"&amp;$E611,OFFSET([1]stages!$A$1,0,0,COUNTA([1]stages!$A:$A),MATCH(F$1,[1]stages!$2:$2,0)-MATCH("temp_stage",[1]stages!$2:$2,0)+1),MATCH(F$1,[1]stages!$2:$2,0)-MATCH("temp_stage",[1]stages!$2:$2,0)+1,FALSE)</f>
        <v>【中級】天翔ける金轟機龍</v>
      </c>
      <c r="G611" s="3" t="str">
        <f ca="1">VLOOKUP($B611&amp;"_"&amp;$E611,OFFSET([1]stages!$A$1,0,0,COUNTA([1]stages!$A:$A),MATCH(G$1,[1]stages!$2:$2,0)-MATCH("temp_stage",[1]stages!$2:$2,0)+1),MATCH(G$1,[1]stages!$2:$2,0)-MATCH("temp_stage",[1]stages!$2:$2,0)+1,FALSE)</f>
        <v>ドロップイベント2-4</v>
      </c>
      <c r="H611" s="18">
        <v>0</v>
      </c>
      <c r="I611">
        <v>25</v>
      </c>
      <c r="J611" s="5" t="s">
        <v>16</v>
      </c>
      <c r="K611" s="35" t="str">
        <f>VLOOKUP(I611,[2]stage_hints!$A:$C,3,FALSE)</f>
        <v>スキルレベルアップ</v>
      </c>
      <c r="L611" s="36" t="str">
        <f>VLOOKUP(I611,[2]stage_hints!$A:$D,4,FALSE)</f>
        <v>「クリスタルのりんご」を強化に使うと_x000D_スキルレベルを上げることができます</v>
      </c>
      <c r="M611" s="21" t="s">
        <v>23</v>
      </c>
      <c r="N611">
        <v>25</v>
      </c>
    </row>
    <row r="612" spans="1:14" x14ac:dyDescent="0.15">
      <c r="A612" s="26" t="s">
        <v>32</v>
      </c>
      <c r="B612" s="4">
        <v>20008</v>
      </c>
      <c r="C612" s="3" t="str">
        <f ca="1">VLOOKUP($B612,OFFSET([1]quests!$A$1,0,0,COUNTA([1]quests!$A:$A),MATCH(C$1,[1]quests!$1:$1,0)-MATCH($B$1,[1]quests!$1:$1,0)+1),MATCH(C$1,[1]quests!$1:$1,0)-MATCH($B$1,[1]quests!$1:$1,0)+1,FALSE)</f>
        <v>天翔ける金轟機龍</v>
      </c>
      <c r="D612" s="3" t="str">
        <f ca="1">VLOOKUP($B612,OFFSET([1]quests!$A$1,0,0,COUNTA([1]quests!$A:$A),MATCH(D$1,[1]quests!$1:$1,0)-MATCH($B$1,[1]quests!$1:$1,0)+1),MATCH(D$1,[1]quests!$1:$1,0)-MATCH($B$1,[1]quests!$1:$1,0)+1,FALSE)</f>
        <v>ドロップイベント2-4</v>
      </c>
      <c r="E612" s="5">
        <v>2</v>
      </c>
      <c r="F612" s="3" t="str">
        <f ca="1">VLOOKUP($B612&amp;"_"&amp;$E612,OFFSET([1]stages!$A$1,0,0,COUNTA([1]stages!$A:$A),MATCH(F$1,[1]stages!$2:$2,0)-MATCH("temp_stage",[1]stages!$2:$2,0)+1),MATCH(F$1,[1]stages!$2:$2,0)-MATCH("temp_stage",[1]stages!$2:$2,0)+1,FALSE)</f>
        <v>【中級】天翔ける金轟機龍</v>
      </c>
      <c r="G612" s="3" t="str">
        <f ca="1">VLOOKUP($B612&amp;"_"&amp;$E612,OFFSET([1]stages!$A$1,0,0,COUNTA([1]stages!$A:$A),MATCH(G$1,[1]stages!$2:$2,0)-MATCH("temp_stage",[1]stages!$2:$2,0)+1),MATCH(G$1,[1]stages!$2:$2,0)-MATCH("temp_stage",[1]stages!$2:$2,0)+1,FALSE)</f>
        <v>ドロップイベント2-4</v>
      </c>
      <c r="H612" s="18">
        <v>0</v>
      </c>
      <c r="I612">
        <v>26</v>
      </c>
      <c r="J612" s="5" t="s">
        <v>16</v>
      </c>
      <c r="K612" s="35" t="str">
        <f>VLOOKUP(I612,[2]stage_hints!$A:$C,3,FALSE)</f>
        <v>スキルレベルの効果</v>
      </c>
      <c r="L612" s="36" t="str">
        <f>VLOOKUP(I612,[2]stage_hints!$A:$D,4,FALSE)</f>
        <v>スキルレベルが上がると_x000D_短いターンでスキルを使うことができます</v>
      </c>
      <c r="M612" s="21" t="s">
        <v>23</v>
      </c>
      <c r="N612">
        <v>26</v>
      </c>
    </row>
    <row r="613" spans="1:14" x14ac:dyDescent="0.15">
      <c r="A613" s="26" t="s">
        <v>32</v>
      </c>
      <c r="B613" s="4">
        <v>20008</v>
      </c>
      <c r="C613" s="3" t="str">
        <f ca="1">VLOOKUP($B613,OFFSET([1]quests!$A$1,0,0,COUNTA([1]quests!$A:$A),MATCH(C$1,[1]quests!$1:$1,0)-MATCH($B$1,[1]quests!$1:$1,0)+1),MATCH(C$1,[1]quests!$1:$1,0)-MATCH($B$1,[1]quests!$1:$1,0)+1,FALSE)</f>
        <v>天翔ける金轟機龍</v>
      </c>
      <c r="D613" s="3" t="str">
        <f ca="1">VLOOKUP($B613,OFFSET([1]quests!$A$1,0,0,COUNTA([1]quests!$A:$A),MATCH(D$1,[1]quests!$1:$1,0)-MATCH($B$1,[1]quests!$1:$1,0)+1),MATCH(D$1,[1]quests!$1:$1,0)-MATCH($B$1,[1]quests!$1:$1,0)+1,FALSE)</f>
        <v>ドロップイベント2-4</v>
      </c>
      <c r="E613" s="5">
        <v>2</v>
      </c>
      <c r="F613" s="3" t="str">
        <f ca="1">VLOOKUP($B613&amp;"_"&amp;$E613,OFFSET([1]stages!$A$1,0,0,COUNTA([1]stages!$A:$A),MATCH(F$1,[1]stages!$2:$2,0)-MATCH("temp_stage",[1]stages!$2:$2,0)+1),MATCH(F$1,[1]stages!$2:$2,0)-MATCH("temp_stage",[1]stages!$2:$2,0)+1,FALSE)</f>
        <v>【中級】天翔ける金轟機龍</v>
      </c>
      <c r="G613" s="3" t="str">
        <f ca="1">VLOOKUP($B613&amp;"_"&amp;$E613,OFFSET([1]stages!$A$1,0,0,COUNTA([1]stages!$A:$A),MATCH(G$1,[1]stages!$2:$2,0)-MATCH("temp_stage",[1]stages!$2:$2,0)+1),MATCH(G$1,[1]stages!$2:$2,0)-MATCH("temp_stage",[1]stages!$2:$2,0)+1,FALSE)</f>
        <v>ドロップイベント2-4</v>
      </c>
      <c r="H613" s="18">
        <v>0</v>
      </c>
      <c r="I613">
        <v>27</v>
      </c>
      <c r="J613" s="5" t="s">
        <v>16</v>
      </c>
      <c r="K613" s="35" t="str">
        <f>VLOOKUP(I613,[2]stage_hints!$A:$C,3,FALSE)</f>
        <v>ホーム画面からデッキを編成</v>
      </c>
      <c r="L613" s="36" t="str">
        <f>VLOOKUP(I613,[2]stage_hints!$A:$D,4,FALSE)</f>
        <v>ホーム画面でユニットを長押しすると_x000D_すぐにパーティ編成に移動できます</v>
      </c>
      <c r="M613" s="21" t="s">
        <v>23</v>
      </c>
      <c r="N613">
        <v>27</v>
      </c>
    </row>
    <row r="614" spans="1:14" x14ac:dyDescent="0.15">
      <c r="A614" s="26" t="s">
        <v>32</v>
      </c>
      <c r="B614" s="4">
        <v>20008</v>
      </c>
      <c r="C614" s="3" t="str">
        <f ca="1">VLOOKUP($B614,OFFSET([1]quests!$A$1,0,0,COUNTA([1]quests!$A:$A),MATCH(C$1,[1]quests!$1:$1,0)-MATCH($B$1,[1]quests!$1:$1,0)+1),MATCH(C$1,[1]quests!$1:$1,0)-MATCH($B$1,[1]quests!$1:$1,0)+1,FALSE)</f>
        <v>天翔ける金轟機龍</v>
      </c>
      <c r="D614" s="3" t="str">
        <f ca="1">VLOOKUP($B614,OFFSET([1]quests!$A$1,0,0,COUNTA([1]quests!$A:$A),MATCH(D$1,[1]quests!$1:$1,0)-MATCH($B$1,[1]quests!$1:$1,0)+1),MATCH(D$1,[1]quests!$1:$1,0)-MATCH($B$1,[1]quests!$1:$1,0)+1,FALSE)</f>
        <v>ドロップイベント2-4</v>
      </c>
      <c r="E614" s="5">
        <v>2</v>
      </c>
      <c r="F614" s="3" t="str">
        <f ca="1">VLOOKUP($B614&amp;"_"&amp;$E614,OFFSET([1]stages!$A$1,0,0,COUNTA([1]stages!$A:$A),MATCH(F$1,[1]stages!$2:$2,0)-MATCH("temp_stage",[1]stages!$2:$2,0)+1),MATCH(F$1,[1]stages!$2:$2,0)-MATCH("temp_stage",[1]stages!$2:$2,0)+1,FALSE)</f>
        <v>【中級】天翔ける金轟機龍</v>
      </c>
      <c r="G614" s="3" t="str">
        <f ca="1">VLOOKUP($B614&amp;"_"&amp;$E614,OFFSET([1]stages!$A$1,0,0,COUNTA([1]stages!$A:$A),MATCH(G$1,[1]stages!$2:$2,0)-MATCH("temp_stage",[1]stages!$2:$2,0)+1),MATCH(G$1,[1]stages!$2:$2,0)-MATCH("temp_stage",[1]stages!$2:$2,0)+1,FALSE)</f>
        <v>ドロップイベント2-4</v>
      </c>
      <c r="H614" s="18">
        <v>0</v>
      </c>
      <c r="I614">
        <v>28</v>
      </c>
      <c r="J614" s="5" t="s">
        <v>16</v>
      </c>
      <c r="K614" s="35" t="str">
        <f>VLOOKUP(I614,[2]stage_hints!$A:$C,3,FALSE)</f>
        <v>ステータス情報は長押しで</v>
      </c>
      <c r="L614" s="36" t="str">
        <f>VLOOKUP(I614,[2]stage_hints!$A:$D,4,FALSE)</f>
        <v>ユニットのアイコンを長押しすると_x000D_ステータス情報を確認することができます</v>
      </c>
      <c r="M614" s="21" t="s">
        <v>23</v>
      </c>
      <c r="N614">
        <v>28</v>
      </c>
    </row>
    <row r="615" spans="1:14" x14ac:dyDescent="0.15">
      <c r="A615" s="26" t="s">
        <v>32</v>
      </c>
      <c r="B615" s="4">
        <v>20008</v>
      </c>
      <c r="C615" s="3" t="str">
        <f ca="1">VLOOKUP($B615,OFFSET([1]quests!$A$1,0,0,COUNTA([1]quests!$A:$A),MATCH(C$1,[1]quests!$1:$1,0)-MATCH($B$1,[1]quests!$1:$1,0)+1),MATCH(C$1,[1]quests!$1:$1,0)-MATCH($B$1,[1]quests!$1:$1,0)+1,FALSE)</f>
        <v>天翔ける金轟機龍</v>
      </c>
      <c r="D615" s="3" t="str">
        <f ca="1">VLOOKUP($B615,OFFSET([1]quests!$A$1,0,0,COUNTA([1]quests!$A:$A),MATCH(D$1,[1]quests!$1:$1,0)-MATCH($B$1,[1]quests!$1:$1,0)+1),MATCH(D$1,[1]quests!$1:$1,0)-MATCH($B$1,[1]quests!$1:$1,0)+1,FALSE)</f>
        <v>ドロップイベント2-4</v>
      </c>
      <c r="E615" s="5">
        <v>2</v>
      </c>
      <c r="F615" s="3" t="str">
        <f ca="1">VLOOKUP($B615&amp;"_"&amp;$E615,OFFSET([1]stages!$A$1,0,0,COUNTA([1]stages!$A:$A),MATCH(F$1,[1]stages!$2:$2,0)-MATCH("temp_stage",[1]stages!$2:$2,0)+1),MATCH(F$1,[1]stages!$2:$2,0)-MATCH("temp_stage",[1]stages!$2:$2,0)+1,FALSE)</f>
        <v>【中級】天翔ける金轟機龍</v>
      </c>
      <c r="G615" s="3" t="str">
        <f ca="1">VLOOKUP($B615&amp;"_"&amp;$E615,OFFSET([1]stages!$A$1,0,0,COUNTA([1]stages!$A:$A),MATCH(G$1,[1]stages!$2:$2,0)-MATCH("temp_stage",[1]stages!$2:$2,0)+1),MATCH(G$1,[1]stages!$2:$2,0)-MATCH("temp_stage",[1]stages!$2:$2,0)+1,FALSE)</f>
        <v>ドロップイベント2-4</v>
      </c>
      <c r="H615" s="18">
        <v>0</v>
      </c>
      <c r="I615">
        <v>29</v>
      </c>
      <c r="J615" s="5" t="s">
        <v>16</v>
      </c>
      <c r="K615" s="35" t="str">
        <f>VLOOKUP(I615,[2]stage_hints!$A:$C,3,FALSE)</f>
        <v>「バグ」のメリット</v>
      </c>
      <c r="L615" s="36" t="str">
        <f>VLOOKUP(I615,[2]stage_hints!$A:$D,4,FALSE)</f>
        <v>ユニットの「バグ」を増やすと_x000D_報酬をもらえる確率がアップします</v>
      </c>
      <c r="M615" s="21" t="s">
        <v>23</v>
      </c>
      <c r="N615">
        <v>29</v>
      </c>
    </row>
    <row r="616" spans="1:14" x14ac:dyDescent="0.15">
      <c r="A616" s="26" t="s">
        <v>32</v>
      </c>
      <c r="B616" s="4">
        <v>20008</v>
      </c>
      <c r="C616" s="3" t="str">
        <f ca="1">VLOOKUP($B616,OFFSET([1]quests!$A$1,0,0,COUNTA([1]quests!$A:$A),MATCH(C$1,[1]quests!$1:$1,0)-MATCH($B$1,[1]quests!$1:$1,0)+1),MATCH(C$1,[1]quests!$1:$1,0)-MATCH($B$1,[1]quests!$1:$1,0)+1,FALSE)</f>
        <v>天翔ける金轟機龍</v>
      </c>
      <c r="D616" s="3" t="str">
        <f ca="1">VLOOKUP($B616,OFFSET([1]quests!$A$1,0,0,COUNTA([1]quests!$A:$A),MATCH(D$1,[1]quests!$1:$1,0)-MATCH($B$1,[1]quests!$1:$1,0)+1),MATCH(D$1,[1]quests!$1:$1,0)-MATCH($B$1,[1]quests!$1:$1,0)+1,FALSE)</f>
        <v>ドロップイベント2-4</v>
      </c>
      <c r="E616" s="5">
        <v>2</v>
      </c>
      <c r="F616" s="3" t="str">
        <f ca="1">VLOOKUP($B616&amp;"_"&amp;$E616,OFFSET([1]stages!$A$1,0,0,COUNTA([1]stages!$A:$A),MATCH(F$1,[1]stages!$2:$2,0)-MATCH("temp_stage",[1]stages!$2:$2,0)+1),MATCH(F$1,[1]stages!$2:$2,0)-MATCH("temp_stage",[1]stages!$2:$2,0)+1,FALSE)</f>
        <v>【中級】天翔ける金轟機龍</v>
      </c>
      <c r="G616" s="3" t="str">
        <f ca="1">VLOOKUP($B616&amp;"_"&amp;$E616,OFFSET([1]stages!$A$1,0,0,COUNTA([1]stages!$A:$A),MATCH(G$1,[1]stages!$2:$2,0)-MATCH("temp_stage",[1]stages!$2:$2,0)+1),MATCH(G$1,[1]stages!$2:$2,0)-MATCH("temp_stage",[1]stages!$2:$2,0)+1,FALSE)</f>
        <v>ドロップイベント2-4</v>
      </c>
      <c r="H616" s="18">
        <v>0</v>
      </c>
      <c r="I616">
        <v>30</v>
      </c>
      <c r="J616" s="5" t="s">
        <v>16</v>
      </c>
      <c r="K616" s="35" t="str">
        <f>VLOOKUP(I616,[2]stage_hints!$A:$C,3,FALSE)</f>
        <v>「バグ」の増やし方</v>
      </c>
      <c r="L616" s="36" t="str">
        <f>VLOOKUP(I616,[2]stage_hints!$A:$D,4,FALSE)</f>
        <v>同じユニット同士を強化で合成すると_x000D_「バグ」を増やすことができます</v>
      </c>
      <c r="M616" s="21" t="s">
        <v>23</v>
      </c>
      <c r="N616">
        <v>30</v>
      </c>
    </row>
    <row r="617" spans="1:14" x14ac:dyDescent="0.15">
      <c r="A617" s="26" t="s">
        <v>32</v>
      </c>
      <c r="B617" s="4">
        <v>20008</v>
      </c>
      <c r="C617" s="3" t="str">
        <f ca="1">VLOOKUP($B617,OFFSET([1]quests!$A$1,0,0,COUNTA([1]quests!$A:$A),MATCH(C$1,[1]quests!$1:$1,0)-MATCH($B$1,[1]quests!$1:$1,0)+1),MATCH(C$1,[1]quests!$1:$1,0)-MATCH($B$1,[1]quests!$1:$1,0)+1,FALSE)</f>
        <v>天翔ける金轟機龍</v>
      </c>
      <c r="D617" s="3" t="str">
        <f ca="1">VLOOKUP($B617,OFFSET([1]quests!$A$1,0,0,COUNTA([1]quests!$A:$A),MATCH(D$1,[1]quests!$1:$1,0)-MATCH($B$1,[1]quests!$1:$1,0)+1),MATCH(D$1,[1]quests!$1:$1,0)-MATCH($B$1,[1]quests!$1:$1,0)+1,FALSE)</f>
        <v>ドロップイベント2-4</v>
      </c>
      <c r="E617" s="5">
        <v>2</v>
      </c>
      <c r="F617" s="3" t="str">
        <f ca="1">VLOOKUP($B617&amp;"_"&amp;$E617,OFFSET([1]stages!$A$1,0,0,COUNTA([1]stages!$A:$A),MATCH(F$1,[1]stages!$2:$2,0)-MATCH("temp_stage",[1]stages!$2:$2,0)+1),MATCH(F$1,[1]stages!$2:$2,0)-MATCH("temp_stage",[1]stages!$2:$2,0)+1,FALSE)</f>
        <v>【中級】天翔ける金轟機龍</v>
      </c>
      <c r="G617" s="3" t="str">
        <f ca="1">VLOOKUP($B617&amp;"_"&amp;$E617,OFFSET([1]stages!$A$1,0,0,COUNTA([1]stages!$A:$A),MATCH(G$1,[1]stages!$2:$2,0)-MATCH("temp_stage",[1]stages!$2:$2,0)+1),MATCH(G$1,[1]stages!$2:$2,0)-MATCH("temp_stage",[1]stages!$2:$2,0)+1,FALSE)</f>
        <v>ドロップイベント2-4</v>
      </c>
      <c r="H617" s="18">
        <v>0</v>
      </c>
      <c r="I617">
        <v>31</v>
      </c>
      <c r="J617" s="5" t="s">
        <v>16</v>
      </c>
      <c r="K617" s="35" t="str">
        <f>VLOOKUP(I617,[2]stage_hints!$A:$C,3,FALSE)</f>
        <v>イベントはお知らせでチェック</v>
      </c>
      <c r="L617" s="36" t="str">
        <f>VLOOKUP(I617,[2]stage_hints!$A:$D,4,FALSE)</f>
        <v>イベント限定ユニットを取り忘れないように_x000D_お知らせをこまめにチェックしましょう</v>
      </c>
      <c r="M617" s="21" t="s">
        <v>23</v>
      </c>
      <c r="N617">
        <v>31</v>
      </c>
    </row>
    <row r="618" spans="1:14" x14ac:dyDescent="0.15">
      <c r="A618" s="26" t="s">
        <v>32</v>
      </c>
      <c r="B618" s="4">
        <v>20008</v>
      </c>
      <c r="C618" s="3" t="str">
        <f ca="1">VLOOKUP($B618,OFFSET([1]quests!$A$1,0,0,COUNTA([1]quests!$A:$A),MATCH(C$1,[1]quests!$1:$1,0)-MATCH($B$1,[1]quests!$1:$1,0)+1),MATCH(C$1,[1]quests!$1:$1,0)-MATCH($B$1,[1]quests!$1:$1,0)+1,FALSE)</f>
        <v>天翔ける金轟機龍</v>
      </c>
      <c r="D618" s="3" t="str">
        <f ca="1">VLOOKUP($B618,OFFSET([1]quests!$A$1,0,0,COUNTA([1]quests!$A:$A),MATCH(D$1,[1]quests!$1:$1,0)-MATCH($B$1,[1]quests!$1:$1,0)+1),MATCH(D$1,[1]quests!$1:$1,0)-MATCH($B$1,[1]quests!$1:$1,0)+1,FALSE)</f>
        <v>ドロップイベント2-4</v>
      </c>
      <c r="E618" s="5">
        <v>2</v>
      </c>
      <c r="F618" s="3" t="str">
        <f ca="1">VLOOKUP($B618&amp;"_"&amp;$E618,OFFSET([1]stages!$A$1,0,0,COUNTA([1]stages!$A:$A),MATCH(F$1,[1]stages!$2:$2,0)-MATCH("temp_stage",[1]stages!$2:$2,0)+1),MATCH(F$1,[1]stages!$2:$2,0)-MATCH("temp_stage",[1]stages!$2:$2,0)+1,FALSE)</f>
        <v>【中級】天翔ける金轟機龍</v>
      </c>
      <c r="G618" s="3" t="str">
        <f ca="1">VLOOKUP($B618&amp;"_"&amp;$E618,OFFSET([1]stages!$A$1,0,0,COUNTA([1]stages!$A:$A),MATCH(G$1,[1]stages!$2:$2,0)-MATCH("temp_stage",[1]stages!$2:$2,0)+1),MATCH(G$1,[1]stages!$2:$2,0)-MATCH("temp_stage",[1]stages!$2:$2,0)+1,FALSE)</f>
        <v>ドロップイベント2-4</v>
      </c>
      <c r="H618" s="18">
        <v>0</v>
      </c>
      <c r="I618">
        <v>32</v>
      </c>
      <c r="J618" s="5" t="s">
        <v>16</v>
      </c>
      <c r="K618" s="35" t="str">
        <f>VLOOKUP(I618,[2]stage_hints!$A:$C,3,FALSE)</f>
        <v>敵の連続攻撃には</v>
      </c>
      <c r="L618" s="36" t="str">
        <f>VLOOKUP(I618,[2]stage_hints!$A:$D,4,FALSE)</f>
        <v>カウンタースキルを持つユニットがいれば_x000D_ダメージ回数分の反撃ができます</v>
      </c>
      <c r="M618" s="21" t="s">
        <v>23</v>
      </c>
      <c r="N618">
        <v>32</v>
      </c>
    </row>
    <row r="619" spans="1:14" x14ac:dyDescent="0.15">
      <c r="A619" s="26" t="s">
        <v>32</v>
      </c>
      <c r="B619" s="4">
        <v>20008</v>
      </c>
      <c r="C619" s="3" t="str">
        <f ca="1">VLOOKUP($B619,OFFSET([1]quests!$A$1,0,0,COUNTA([1]quests!$A:$A),MATCH(C$1,[1]quests!$1:$1,0)-MATCH($B$1,[1]quests!$1:$1,0)+1),MATCH(C$1,[1]quests!$1:$1,0)-MATCH($B$1,[1]quests!$1:$1,0)+1,FALSE)</f>
        <v>天翔ける金轟機龍</v>
      </c>
      <c r="D619" s="3" t="str">
        <f ca="1">VLOOKUP($B619,OFFSET([1]quests!$A$1,0,0,COUNTA([1]quests!$A:$A),MATCH(D$1,[1]quests!$1:$1,0)-MATCH($B$1,[1]quests!$1:$1,0)+1),MATCH(D$1,[1]quests!$1:$1,0)-MATCH($B$1,[1]quests!$1:$1,0)+1,FALSE)</f>
        <v>ドロップイベント2-4</v>
      </c>
      <c r="E619" s="5">
        <v>2</v>
      </c>
      <c r="F619" s="3" t="str">
        <f ca="1">VLOOKUP($B619&amp;"_"&amp;$E619,OFFSET([1]stages!$A$1,0,0,COUNTA([1]stages!$A:$A),MATCH(F$1,[1]stages!$2:$2,0)-MATCH("temp_stage",[1]stages!$2:$2,0)+1),MATCH(F$1,[1]stages!$2:$2,0)-MATCH("temp_stage",[1]stages!$2:$2,0)+1,FALSE)</f>
        <v>【中級】天翔ける金轟機龍</v>
      </c>
      <c r="G619" s="3" t="str">
        <f ca="1">VLOOKUP($B619&amp;"_"&amp;$E619,OFFSET([1]stages!$A$1,0,0,COUNTA([1]stages!$A:$A),MATCH(G$1,[1]stages!$2:$2,0)-MATCH("temp_stage",[1]stages!$2:$2,0)+1),MATCH(G$1,[1]stages!$2:$2,0)-MATCH("temp_stage",[1]stages!$2:$2,0)+1,FALSE)</f>
        <v>ドロップイベント2-4</v>
      </c>
      <c r="H619" s="18">
        <v>0</v>
      </c>
      <c r="I619">
        <v>33</v>
      </c>
      <c r="J619" s="5" t="s">
        <v>16</v>
      </c>
      <c r="K619" s="35" t="str">
        <f>VLOOKUP(I619,[2]stage_hints!$A:$C,3,FALSE)</f>
        <v>敵のカウンター攻撃には</v>
      </c>
      <c r="L619" s="36" t="str">
        <f>VLOOKUP(I619,[2]stage_hints!$A:$D,4,FALSE)</f>
        <v>カウンターブレイクスキルを持っていれば_x000D_敵のカウンターを解除して攻撃ができます</v>
      </c>
      <c r="M619" s="21" t="s">
        <v>23</v>
      </c>
      <c r="N619">
        <v>33</v>
      </c>
    </row>
    <row r="620" spans="1:14" x14ac:dyDescent="0.15">
      <c r="A620" s="26" t="s">
        <v>32</v>
      </c>
      <c r="B620" s="4">
        <v>20008</v>
      </c>
      <c r="C620" s="3" t="str">
        <f ca="1">VLOOKUP($B620,OFFSET([1]quests!$A$1,0,0,COUNTA([1]quests!$A:$A),MATCH(C$1,[1]quests!$1:$1,0)-MATCH($B$1,[1]quests!$1:$1,0)+1),MATCH(C$1,[1]quests!$1:$1,0)-MATCH($B$1,[1]quests!$1:$1,0)+1,FALSE)</f>
        <v>天翔ける金轟機龍</v>
      </c>
      <c r="D620" s="3" t="str">
        <f ca="1">VLOOKUP($B620,OFFSET([1]quests!$A$1,0,0,COUNTA([1]quests!$A:$A),MATCH(D$1,[1]quests!$1:$1,0)-MATCH($B$1,[1]quests!$1:$1,0)+1),MATCH(D$1,[1]quests!$1:$1,0)-MATCH($B$1,[1]quests!$1:$1,0)+1,FALSE)</f>
        <v>ドロップイベント2-4</v>
      </c>
      <c r="E620" s="5">
        <v>2</v>
      </c>
      <c r="F620" s="3" t="str">
        <f ca="1">VLOOKUP($B620&amp;"_"&amp;$E620,OFFSET([1]stages!$A$1,0,0,COUNTA([1]stages!$A:$A),MATCH(F$1,[1]stages!$2:$2,0)-MATCH("temp_stage",[1]stages!$2:$2,0)+1),MATCH(F$1,[1]stages!$2:$2,0)-MATCH("temp_stage",[1]stages!$2:$2,0)+1,FALSE)</f>
        <v>【中級】天翔ける金轟機龍</v>
      </c>
      <c r="G620" s="3" t="str">
        <f ca="1">VLOOKUP($B620&amp;"_"&amp;$E620,OFFSET([1]stages!$A$1,0,0,COUNTA([1]stages!$A:$A),MATCH(G$1,[1]stages!$2:$2,0)-MATCH("temp_stage",[1]stages!$2:$2,0)+1),MATCH(G$1,[1]stages!$2:$2,0)-MATCH("temp_stage",[1]stages!$2:$2,0)+1,FALSE)</f>
        <v>ドロップイベント2-4</v>
      </c>
      <c r="H620" s="18">
        <v>0</v>
      </c>
      <c r="I620">
        <v>34</v>
      </c>
      <c r="J620" s="5" t="s">
        <v>16</v>
      </c>
      <c r="K620" s="35" t="str">
        <f>VLOOKUP(I620,[2]stage_hints!$A:$C,3,FALSE)</f>
        <v>ステータスをスキルで下げられたら</v>
      </c>
      <c r="L620" s="36" t="str">
        <f>VLOOKUP(I620,[2]stage_hints!$A:$D,4,FALSE)</f>
        <v>ステータスダウンのスキルを受けたら_x000D_ステータスアップスキルで上書きしましょう</v>
      </c>
      <c r="M620" s="21" t="s">
        <v>23</v>
      </c>
      <c r="N620">
        <v>34</v>
      </c>
    </row>
    <row r="621" spans="1:14" x14ac:dyDescent="0.15">
      <c r="A621" s="26" t="s">
        <v>32</v>
      </c>
      <c r="B621" s="4">
        <v>20008</v>
      </c>
      <c r="C621" s="3" t="str">
        <f ca="1">VLOOKUP($B621,OFFSET([1]quests!$A$1,0,0,COUNTA([1]quests!$A:$A),MATCH(C$1,[1]quests!$1:$1,0)-MATCH($B$1,[1]quests!$1:$1,0)+1),MATCH(C$1,[1]quests!$1:$1,0)-MATCH($B$1,[1]quests!$1:$1,0)+1,FALSE)</f>
        <v>天翔ける金轟機龍</v>
      </c>
      <c r="D621" s="3" t="str">
        <f ca="1">VLOOKUP($B621,OFFSET([1]quests!$A$1,0,0,COUNTA([1]quests!$A:$A),MATCH(D$1,[1]quests!$1:$1,0)-MATCH($B$1,[1]quests!$1:$1,0)+1),MATCH(D$1,[1]quests!$1:$1,0)-MATCH($B$1,[1]quests!$1:$1,0)+1,FALSE)</f>
        <v>ドロップイベント2-4</v>
      </c>
      <c r="E621" s="5">
        <v>2</v>
      </c>
      <c r="F621" s="3" t="str">
        <f ca="1">VLOOKUP($B621&amp;"_"&amp;$E621,OFFSET([1]stages!$A$1,0,0,COUNTA([1]stages!$A:$A),MATCH(F$1,[1]stages!$2:$2,0)-MATCH("temp_stage",[1]stages!$2:$2,0)+1),MATCH(F$1,[1]stages!$2:$2,0)-MATCH("temp_stage",[1]stages!$2:$2,0)+1,FALSE)</f>
        <v>【中級】天翔ける金轟機龍</v>
      </c>
      <c r="G621" s="3" t="str">
        <f ca="1">VLOOKUP($B621&amp;"_"&amp;$E621,OFFSET([1]stages!$A$1,0,0,COUNTA([1]stages!$A:$A),MATCH(G$1,[1]stages!$2:$2,0)-MATCH("temp_stage",[1]stages!$2:$2,0)+1),MATCH(G$1,[1]stages!$2:$2,0)-MATCH("temp_stage",[1]stages!$2:$2,0)+1,FALSE)</f>
        <v>ドロップイベント2-4</v>
      </c>
      <c r="H621" s="18">
        <v>0</v>
      </c>
      <c r="I621">
        <v>35</v>
      </c>
      <c r="J621" s="5" t="s">
        <v>16</v>
      </c>
      <c r="K621" s="35" t="str">
        <f>VLOOKUP(I621,[2]stage_hints!$A:$C,3,FALSE)</f>
        <v>敵のステータスがスキルで上がったら</v>
      </c>
      <c r="L621" s="36" t="str">
        <f>VLOOKUP(I621,[2]stage_hints!$A:$D,4,FALSE)</f>
        <v>敵のステータスがスキルでアップしたときは_x000D_ステータスダウンスキルで上書きしましょう</v>
      </c>
      <c r="M621" s="21" t="s">
        <v>23</v>
      </c>
      <c r="N621">
        <v>35</v>
      </c>
    </row>
    <row r="622" spans="1:14" x14ac:dyDescent="0.15">
      <c r="A622" s="26" t="s">
        <v>32</v>
      </c>
      <c r="B622" s="4">
        <v>20009</v>
      </c>
      <c r="C622" s="3" t="str">
        <f ca="1">VLOOKUP($B622,OFFSET([1]quests!$A$1,0,0,COUNTA([1]quests!$A:$A),MATCH(C$1,[1]quests!$1:$1,0)-MATCH($B$1,[1]quests!$1:$1,0)+1),MATCH(C$1,[1]quests!$1:$1,0)-MATCH($B$1,[1]quests!$1:$1,0)+1,FALSE)</f>
        <v>迫り来る窒息</v>
      </c>
      <c r="D622" s="3" t="str">
        <f ca="1">VLOOKUP($B622,OFFSET([1]quests!$A$1,0,0,COUNTA([1]quests!$A:$A),MATCH(D$1,[1]quests!$1:$1,0)-MATCH($B$1,[1]quests!$1:$1,0)+1),MATCH(D$1,[1]quests!$1:$1,0)-MATCH($B$1,[1]quests!$1:$1,0)+1,FALSE)</f>
        <v>ドロップイベント3</v>
      </c>
      <c r="E622" s="5">
        <v>2</v>
      </c>
      <c r="F622" s="3" t="str">
        <f ca="1">VLOOKUP($B622&amp;"_"&amp;$E622,OFFSET([1]stages!$A$1,0,0,COUNTA([1]stages!$A:$A),MATCH(F$1,[1]stages!$2:$2,0)-MATCH("temp_stage",[1]stages!$2:$2,0)+1),MATCH(F$1,[1]stages!$2:$2,0)-MATCH("temp_stage",[1]stages!$2:$2,0)+1,FALSE)</f>
        <v>【中級】迫り来る窒息</v>
      </c>
      <c r="G622" s="3" t="str">
        <f ca="1">VLOOKUP($B622&amp;"_"&amp;$E622,OFFSET([1]stages!$A$1,0,0,COUNTA([1]stages!$A:$A),MATCH(G$1,[1]stages!$2:$2,0)-MATCH("temp_stage",[1]stages!$2:$2,0)+1),MATCH(G$1,[1]stages!$2:$2,0)-MATCH("temp_stage",[1]stages!$2:$2,0)+1,FALSE)</f>
        <v>ドロップイベント3</v>
      </c>
      <c r="H622" s="18">
        <v>0</v>
      </c>
      <c r="I622">
        <v>3</v>
      </c>
      <c r="J622" s="5" t="s">
        <v>16</v>
      </c>
      <c r="K622" s="35" t="str">
        <f>VLOOKUP(I622,[2]stage_hints!$A:$C,3,FALSE)</f>
        <v>ターゲット</v>
      </c>
      <c r="L622" s="36" t="str">
        <f>VLOOKUP(I622,[2]stage_hints!$A:$D,4,FALSE)</f>
        <v>敵ユニットをタップすると_x000D_その敵を狙い撃ちできます</v>
      </c>
      <c r="M622" s="21" t="s">
        <v>23</v>
      </c>
      <c r="N622">
        <v>3</v>
      </c>
    </row>
    <row r="623" spans="1:14" x14ac:dyDescent="0.15">
      <c r="A623" s="26" t="s">
        <v>32</v>
      </c>
      <c r="B623" s="4">
        <v>20009</v>
      </c>
      <c r="C623" s="3" t="str">
        <f ca="1">VLOOKUP($B623,OFFSET([1]quests!$A$1,0,0,COUNTA([1]quests!$A:$A),MATCH(C$1,[1]quests!$1:$1,0)-MATCH($B$1,[1]quests!$1:$1,0)+1),MATCH(C$1,[1]quests!$1:$1,0)-MATCH($B$1,[1]quests!$1:$1,0)+1,FALSE)</f>
        <v>迫り来る窒息</v>
      </c>
      <c r="D623" s="3" t="str">
        <f ca="1">VLOOKUP($B623,OFFSET([1]quests!$A$1,0,0,COUNTA([1]quests!$A:$A),MATCH(D$1,[1]quests!$1:$1,0)-MATCH($B$1,[1]quests!$1:$1,0)+1),MATCH(D$1,[1]quests!$1:$1,0)-MATCH($B$1,[1]quests!$1:$1,0)+1,FALSE)</f>
        <v>ドロップイベント3</v>
      </c>
      <c r="E623" s="5">
        <v>2</v>
      </c>
      <c r="F623" s="3" t="str">
        <f ca="1">VLOOKUP($B623&amp;"_"&amp;$E623,OFFSET([1]stages!$A$1,0,0,COUNTA([1]stages!$A:$A),MATCH(F$1,[1]stages!$2:$2,0)-MATCH("temp_stage",[1]stages!$2:$2,0)+1),MATCH(F$1,[1]stages!$2:$2,0)-MATCH("temp_stage",[1]stages!$2:$2,0)+1,FALSE)</f>
        <v>【中級】迫り来る窒息</v>
      </c>
      <c r="G623" s="3" t="str">
        <f ca="1">VLOOKUP($B623&amp;"_"&amp;$E623,OFFSET([1]stages!$A$1,0,0,COUNTA([1]stages!$A:$A),MATCH(G$1,[1]stages!$2:$2,0)-MATCH("temp_stage",[1]stages!$2:$2,0)+1),MATCH(G$1,[1]stages!$2:$2,0)-MATCH("temp_stage",[1]stages!$2:$2,0)+1,FALSE)</f>
        <v>ドロップイベント3</v>
      </c>
      <c r="H623" s="18">
        <v>0</v>
      </c>
      <c r="I623">
        <v>6</v>
      </c>
      <c r="J623" s="5" t="s">
        <v>16</v>
      </c>
      <c r="K623" s="35" t="str">
        <f>VLOOKUP(I623,[2]stage_hints!$A:$C,3,FALSE)</f>
        <v>ユニット強化の属性ボーナス</v>
      </c>
      <c r="L623" s="36" t="str">
        <f>VLOOKUP(I623,[2]stage_hints!$A:$D,4,FALSE)</f>
        <v>同属性ユニットを強化素材にすると_x000D_経験値が多くもらえます</v>
      </c>
      <c r="M623" s="21" t="s">
        <v>23</v>
      </c>
      <c r="N623">
        <v>6</v>
      </c>
    </row>
    <row r="624" spans="1:14" x14ac:dyDescent="0.15">
      <c r="A624" s="26" t="s">
        <v>32</v>
      </c>
      <c r="B624" s="4">
        <v>20009</v>
      </c>
      <c r="C624" s="3" t="str">
        <f ca="1">VLOOKUP($B624,OFFSET([1]quests!$A$1,0,0,COUNTA([1]quests!$A:$A),MATCH(C$1,[1]quests!$1:$1,0)-MATCH($B$1,[1]quests!$1:$1,0)+1),MATCH(C$1,[1]quests!$1:$1,0)-MATCH($B$1,[1]quests!$1:$1,0)+1,FALSE)</f>
        <v>迫り来る窒息</v>
      </c>
      <c r="D624" s="3" t="str">
        <f ca="1">VLOOKUP($B624,OFFSET([1]quests!$A$1,0,0,COUNTA([1]quests!$A:$A),MATCH(D$1,[1]quests!$1:$1,0)-MATCH($B$1,[1]quests!$1:$1,0)+1),MATCH(D$1,[1]quests!$1:$1,0)-MATCH($B$1,[1]quests!$1:$1,0)+1,FALSE)</f>
        <v>ドロップイベント3</v>
      </c>
      <c r="E624" s="5">
        <v>2</v>
      </c>
      <c r="F624" s="3" t="str">
        <f ca="1">VLOOKUP($B624&amp;"_"&amp;$E624,OFFSET([1]stages!$A$1,0,0,COUNTA([1]stages!$A:$A),MATCH(F$1,[1]stages!$2:$2,0)-MATCH("temp_stage",[1]stages!$2:$2,0)+1),MATCH(F$1,[1]stages!$2:$2,0)-MATCH("temp_stage",[1]stages!$2:$2,0)+1,FALSE)</f>
        <v>【中級】迫り来る窒息</v>
      </c>
      <c r="G624" s="3" t="str">
        <f ca="1">VLOOKUP($B624&amp;"_"&amp;$E624,OFFSET([1]stages!$A$1,0,0,COUNTA([1]stages!$A:$A),MATCH(G$1,[1]stages!$2:$2,0)-MATCH("temp_stage",[1]stages!$2:$2,0)+1),MATCH(G$1,[1]stages!$2:$2,0)-MATCH("temp_stage",[1]stages!$2:$2,0)+1,FALSE)</f>
        <v>ドロップイベント3</v>
      </c>
      <c r="H624" s="18">
        <v>0</v>
      </c>
      <c r="I624">
        <v>7</v>
      </c>
      <c r="J624" s="5" t="s">
        <v>16</v>
      </c>
      <c r="K624" s="35" t="str">
        <f>VLOOKUP(I624,[2]stage_hints!$A:$C,3,FALSE)</f>
        <v>メタルダックで経験値を獲得</v>
      </c>
      <c r="L624" s="36" t="str">
        <f>VLOOKUP(I624,[2]stage_hints!$A:$D,4,FALSE)</f>
        <v>「メタルなアヒル」を強化素材にすると_x000D_大量の経験値がもらえます</v>
      </c>
      <c r="M624" s="21" t="s">
        <v>23</v>
      </c>
      <c r="N624">
        <v>7</v>
      </c>
    </row>
    <row r="625" spans="1:14" x14ac:dyDescent="0.15">
      <c r="A625" s="26" t="s">
        <v>32</v>
      </c>
      <c r="B625" s="4">
        <v>20009</v>
      </c>
      <c r="C625" s="3" t="str">
        <f ca="1">VLOOKUP($B625,OFFSET([1]quests!$A$1,0,0,COUNTA([1]quests!$A:$A),MATCH(C$1,[1]quests!$1:$1,0)-MATCH($B$1,[1]quests!$1:$1,0)+1),MATCH(C$1,[1]quests!$1:$1,0)-MATCH($B$1,[1]quests!$1:$1,0)+1,FALSE)</f>
        <v>迫り来る窒息</v>
      </c>
      <c r="D625" s="3" t="str">
        <f ca="1">VLOOKUP($B625,OFFSET([1]quests!$A$1,0,0,COUNTA([1]quests!$A:$A),MATCH(D$1,[1]quests!$1:$1,0)-MATCH($B$1,[1]quests!$1:$1,0)+1),MATCH(D$1,[1]quests!$1:$1,0)-MATCH($B$1,[1]quests!$1:$1,0)+1,FALSE)</f>
        <v>ドロップイベント3</v>
      </c>
      <c r="E625" s="5">
        <v>2</v>
      </c>
      <c r="F625" s="3" t="str">
        <f ca="1">VLOOKUP($B625&amp;"_"&amp;$E625,OFFSET([1]stages!$A$1,0,0,COUNTA([1]stages!$A:$A),MATCH(F$1,[1]stages!$2:$2,0)-MATCH("temp_stage",[1]stages!$2:$2,0)+1),MATCH(F$1,[1]stages!$2:$2,0)-MATCH("temp_stage",[1]stages!$2:$2,0)+1,FALSE)</f>
        <v>【中級】迫り来る窒息</v>
      </c>
      <c r="G625" s="3" t="str">
        <f ca="1">VLOOKUP($B625&amp;"_"&amp;$E625,OFFSET([1]stages!$A$1,0,0,COUNTA([1]stages!$A:$A),MATCH(G$1,[1]stages!$2:$2,0)-MATCH("temp_stage",[1]stages!$2:$2,0)+1),MATCH(G$1,[1]stages!$2:$2,0)-MATCH("temp_stage",[1]stages!$2:$2,0)+1,FALSE)</f>
        <v>ドロップイベント3</v>
      </c>
      <c r="H625" s="18">
        <v>0</v>
      </c>
      <c r="I625">
        <v>8</v>
      </c>
      <c r="J625" s="5" t="s">
        <v>16</v>
      </c>
      <c r="K625" s="35" t="str">
        <f>VLOOKUP(I625,[2]stage_hints!$A:$C,3,FALSE)</f>
        <v>ゲリラクエストは要チェック</v>
      </c>
      <c r="L625" s="36" t="str">
        <f>VLOOKUP(I625,[2]stage_hints!$A:$D,4,FALSE)</f>
        <v>時間限定の「アヒル捕獲作戦」では_x000D_経験値素材ユニットが多く手に入ります</v>
      </c>
      <c r="M625" s="21" t="s">
        <v>23</v>
      </c>
      <c r="N625">
        <v>8</v>
      </c>
    </row>
    <row r="626" spans="1:14" x14ac:dyDescent="0.15">
      <c r="A626" s="26" t="s">
        <v>32</v>
      </c>
      <c r="B626" s="4">
        <v>20009</v>
      </c>
      <c r="C626" s="3" t="str">
        <f ca="1">VLOOKUP($B626,OFFSET([1]quests!$A$1,0,0,COUNTA([1]quests!$A:$A),MATCH(C$1,[1]quests!$1:$1,0)-MATCH($B$1,[1]quests!$1:$1,0)+1),MATCH(C$1,[1]quests!$1:$1,0)-MATCH($B$1,[1]quests!$1:$1,0)+1,FALSE)</f>
        <v>迫り来る窒息</v>
      </c>
      <c r="D626" s="3" t="str">
        <f ca="1">VLOOKUP($B626,OFFSET([1]quests!$A$1,0,0,COUNTA([1]quests!$A:$A),MATCH(D$1,[1]quests!$1:$1,0)-MATCH($B$1,[1]quests!$1:$1,0)+1),MATCH(D$1,[1]quests!$1:$1,0)-MATCH($B$1,[1]quests!$1:$1,0)+1,FALSE)</f>
        <v>ドロップイベント3</v>
      </c>
      <c r="E626" s="5">
        <v>2</v>
      </c>
      <c r="F626" s="3" t="str">
        <f ca="1">VLOOKUP($B626&amp;"_"&amp;$E626,OFFSET([1]stages!$A$1,0,0,COUNTA([1]stages!$A:$A),MATCH(F$1,[1]stages!$2:$2,0)-MATCH("temp_stage",[1]stages!$2:$2,0)+1),MATCH(F$1,[1]stages!$2:$2,0)-MATCH("temp_stage",[1]stages!$2:$2,0)+1,FALSE)</f>
        <v>【中級】迫り来る窒息</v>
      </c>
      <c r="G626" s="3" t="str">
        <f ca="1">VLOOKUP($B626&amp;"_"&amp;$E626,OFFSET([1]stages!$A$1,0,0,COUNTA([1]stages!$A:$A),MATCH(G$1,[1]stages!$2:$2,0)-MATCH("temp_stage",[1]stages!$2:$2,0)+1),MATCH(G$1,[1]stages!$2:$2,0)-MATCH("temp_stage",[1]stages!$2:$2,0)+1,FALSE)</f>
        <v>ドロップイベント3</v>
      </c>
      <c r="H626" s="18">
        <v>0</v>
      </c>
      <c r="I626">
        <v>9</v>
      </c>
      <c r="J626" s="5" t="s">
        <v>16</v>
      </c>
      <c r="K626" s="35" t="str">
        <f>VLOOKUP(I626,[2]stage_hints!$A:$C,3,FALSE)</f>
        <v>ゴールドダックでビットを獲得</v>
      </c>
      <c r="L626" s="36" t="str">
        <f>VLOOKUP(I626,[2]stage_hints!$A:$D,4,FALSE)</f>
        <v>「ゴールドなアヒル」を売却すると_x000D_大量のビットがもらえます</v>
      </c>
      <c r="M626" s="21" t="s">
        <v>23</v>
      </c>
      <c r="N626">
        <v>9</v>
      </c>
    </row>
    <row r="627" spans="1:14" x14ac:dyDescent="0.15">
      <c r="A627" s="26" t="s">
        <v>32</v>
      </c>
      <c r="B627" s="4">
        <v>20009</v>
      </c>
      <c r="C627" s="3" t="str">
        <f ca="1">VLOOKUP($B627,OFFSET([1]quests!$A$1,0,0,COUNTA([1]quests!$A:$A),MATCH(C$1,[1]quests!$1:$1,0)-MATCH($B$1,[1]quests!$1:$1,0)+1),MATCH(C$1,[1]quests!$1:$1,0)-MATCH($B$1,[1]quests!$1:$1,0)+1,FALSE)</f>
        <v>迫り来る窒息</v>
      </c>
      <c r="D627" s="3" t="str">
        <f ca="1">VLOOKUP($B627,OFFSET([1]quests!$A$1,0,0,COUNTA([1]quests!$A:$A),MATCH(D$1,[1]quests!$1:$1,0)-MATCH($B$1,[1]quests!$1:$1,0)+1),MATCH(D$1,[1]quests!$1:$1,0)-MATCH($B$1,[1]quests!$1:$1,0)+1,FALSE)</f>
        <v>ドロップイベント3</v>
      </c>
      <c r="E627" s="5">
        <v>2</v>
      </c>
      <c r="F627" s="3" t="str">
        <f ca="1">VLOOKUP($B627&amp;"_"&amp;$E627,OFFSET([1]stages!$A$1,0,0,COUNTA([1]stages!$A:$A),MATCH(F$1,[1]stages!$2:$2,0)-MATCH("temp_stage",[1]stages!$2:$2,0)+1),MATCH(F$1,[1]stages!$2:$2,0)-MATCH("temp_stage",[1]stages!$2:$2,0)+1,FALSE)</f>
        <v>【中級】迫り来る窒息</v>
      </c>
      <c r="G627" s="3" t="str">
        <f ca="1">VLOOKUP($B627&amp;"_"&amp;$E627,OFFSET([1]stages!$A$1,0,0,COUNTA([1]stages!$A:$A),MATCH(G$1,[1]stages!$2:$2,0)-MATCH("temp_stage",[1]stages!$2:$2,0)+1),MATCH(G$1,[1]stages!$2:$2,0)-MATCH("temp_stage",[1]stages!$2:$2,0)+1,FALSE)</f>
        <v>ドロップイベント3</v>
      </c>
      <c r="H627" s="18">
        <v>0</v>
      </c>
      <c r="I627">
        <v>10</v>
      </c>
      <c r="J627" s="5" t="s">
        <v>16</v>
      </c>
      <c r="K627" s="35" t="str">
        <f>VLOOKUP(I627,[2]stage_hints!$A:$C,3,FALSE)</f>
        <v>土日に大量のビットを獲得</v>
      </c>
      <c r="L627" s="36" t="str">
        <f>VLOOKUP(I627,[2]stage_hints!$A:$D,4,FALSE)</f>
        <v>土日限定の「ゴールドカジノ」では_x000D_売却素材ユニットが多く手に入ります</v>
      </c>
      <c r="M627" s="21" t="s">
        <v>23</v>
      </c>
      <c r="N627">
        <v>10</v>
      </c>
    </row>
    <row r="628" spans="1:14" x14ac:dyDescent="0.15">
      <c r="A628" s="26" t="s">
        <v>32</v>
      </c>
      <c r="B628" s="4">
        <v>20009</v>
      </c>
      <c r="C628" s="3" t="str">
        <f ca="1">VLOOKUP($B628,OFFSET([1]quests!$A$1,0,0,COUNTA([1]quests!$A:$A),MATCH(C$1,[1]quests!$1:$1,0)-MATCH($B$1,[1]quests!$1:$1,0)+1),MATCH(C$1,[1]quests!$1:$1,0)-MATCH($B$1,[1]quests!$1:$1,0)+1,FALSE)</f>
        <v>迫り来る窒息</v>
      </c>
      <c r="D628" s="3" t="str">
        <f ca="1">VLOOKUP($B628,OFFSET([1]quests!$A$1,0,0,COUNTA([1]quests!$A:$A),MATCH(D$1,[1]quests!$1:$1,0)-MATCH($B$1,[1]quests!$1:$1,0)+1),MATCH(D$1,[1]quests!$1:$1,0)-MATCH($B$1,[1]quests!$1:$1,0)+1,FALSE)</f>
        <v>ドロップイベント3</v>
      </c>
      <c r="E628" s="5">
        <v>2</v>
      </c>
      <c r="F628" s="3" t="str">
        <f ca="1">VLOOKUP($B628&amp;"_"&amp;$E628,OFFSET([1]stages!$A$1,0,0,COUNTA([1]stages!$A:$A),MATCH(F$1,[1]stages!$2:$2,0)-MATCH("temp_stage",[1]stages!$2:$2,0)+1),MATCH(F$1,[1]stages!$2:$2,0)-MATCH("temp_stage",[1]stages!$2:$2,0)+1,FALSE)</f>
        <v>【中級】迫り来る窒息</v>
      </c>
      <c r="G628" s="3" t="str">
        <f ca="1">VLOOKUP($B628&amp;"_"&amp;$E628,OFFSET([1]stages!$A$1,0,0,COUNTA([1]stages!$A:$A),MATCH(G$1,[1]stages!$2:$2,0)-MATCH("temp_stage",[1]stages!$2:$2,0)+1),MATCH(G$1,[1]stages!$2:$2,0)-MATCH("temp_stage",[1]stages!$2:$2,0)+1,FALSE)</f>
        <v>ドロップイベント3</v>
      </c>
      <c r="H628" s="18">
        <v>0</v>
      </c>
      <c r="I628">
        <v>11</v>
      </c>
      <c r="J628" s="5" t="s">
        <v>16</v>
      </c>
      <c r="K628" s="35" t="str">
        <f>VLOOKUP(I628,[2]stage_hints!$A:$C,3,FALSE)</f>
        <v>ランク解放クエスト</v>
      </c>
      <c r="L628" s="36" t="str">
        <f>VLOOKUP(I628,[2]stage_hints!$A:$D,4,FALSE)</f>
        <v>一定ランクに到達すると_x000D_報酬付きのランク開放クエストが現れます</v>
      </c>
      <c r="M628" s="21" t="s">
        <v>23</v>
      </c>
      <c r="N628">
        <v>11</v>
      </c>
    </row>
    <row r="629" spans="1:14" x14ac:dyDescent="0.15">
      <c r="A629" s="26" t="s">
        <v>32</v>
      </c>
      <c r="B629" s="4">
        <v>20009</v>
      </c>
      <c r="C629" s="3" t="str">
        <f ca="1">VLOOKUP($B629,OFFSET([1]quests!$A$1,0,0,COUNTA([1]quests!$A:$A),MATCH(C$1,[1]quests!$1:$1,0)-MATCH($B$1,[1]quests!$1:$1,0)+1),MATCH(C$1,[1]quests!$1:$1,0)-MATCH($B$1,[1]quests!$1:$1,0)+1,FALSE)</f>
        <v>迫り来る窒息</v>
      </c>
      <c r="D629" s="3" t="str">
        <f ca="1">VLOOKUP($B629,OFFSET([1]quests!$A$1,0,0,COUNTA([1]quests!$A:$A),MATCH(D$1,[1]quests!$1:$1,0)-MATCH($B$1,[1]quests!$1:$1,0)+1),MATCH(D$1,[1]quests!$1:$1,0)-MATCH($B$1,[1]quests!$1:$1,0)+1,FALSE)</f>
        <v>ドロップイベント3</v>
      </c>
      <c r="E629" s="5">
        <v>2</v>
      </c>
      <c r="F629" s="3" t="str">
        <f ca="1">VLOOKUP($B629&amp;"_"&amp;$E629,OFFSET([1]stages!$A$1,0,0,COUNTA([1]stages!$A:$A),MATCH(F$1,[1]stages!$2:$2,0)-MATCH("temp_stage",[1]stages!$2:$2,0)+1),MATCH(F$1,[1]stages!$2:$2,0)-MATCH("temp_stage",[1]stages!$2:$2,0)+1,FALSE)</f>
        <v>【中級】迫り来る窒息</v>
      </c>
      <c r="G629" s="3" t="str">
        <f ca="1">VLOOKUP($B629&amp;"_"&amp;$E629,OFFSET([1]stages!$A$1,0,0,COUNTA([1]stages!$A:$A),MATCH(G$1,[1]stages!$2:$2,0)-MATCH("temp_stage",[1]stages!$2:$2,0)+1),MATCH(G$1,[1]stages!$2:$2,0)-MATCH("temp_stage",[1]stages!$2:$2,0)+1,FALSE)</f>
        <v>ドロップイベント3</v>
      </c>
      <c r="H629" s="18">
        <v>0</v>
      </c>
      <c r="I629">
        <v>12</v>
      </c>
      <c r="J629" s="5" t="s">
        <v>16</v>
      </c>
      <c r="K629" s="35" t="str">
        <f>VLOOKUP(I629,[2]stage_hints!$A:$C,3,FALSE)</f>
        <v>ユニットのお気に入り登録</v>
      </c>
      <c r="L629" s="36" t="str">
        <f>VLOOKUP(I629,[2]stage_hints!$A:$D,4,FALSE)</f>
        <v>大事なユニットを誤って消さないように_x000D_フォルダから「お気に入り登録」しましょう</v>
      </c>
      <c r="M629" s="21" t="s">
        <v>23</v>
      </c>
      <c r="N629">
        <v>12</v>
      </c>
    </row>
    <row r="630" spans="1:14" x14ac:dyDescent="0.15">
      <c r="A630" s="26" t="s">
        <v>32</v>
      </c>
      <c r="B630" s="4">
        <v>20009</v>
      </c>
      <c r="C630" s="3" t="str">
        <f ca="1">VLOOKUP($B630,OFFSET([1]quests!$A$1,0,0,COUNTA([1]quests!$A:$A),MATCH(C$1,[1]quests!$1:$1,0)-MATCH($B$1,[1]quests!$1:$1,0)+1),MATCH(C$1,[1]quests!$1:$1,0)-MATCH($B$1,[1]quests!$1:$1,0)+1,FALSE)</f>
        <v>迫り来る窒息</v>
      </c>
      <c r="D630" s="3" t="str">
        <f ca="1">VLOOKUP($B630,OFFSET([1]quests!$A$1,0,0,COUNTA([1]quests!$A:$A),MATCH(D$1,[1]quests!$1:$1,0)-MATCH($B$1,[1]quests!$1:$1,0)+1),MATCH(D$1,[1]quests!$1:$1,0)-MATCH($B$1,[1]quests!$1:$1,0)+1,FALSE)</f>
        <v>ドロップイベント3</v>
      </c>
      <c r="E630" s="5">
        <v>2</v>
      </c>
      <c r="F630" s="3" t="str">
        <f ca="1">VLOOKUP($B630&amp;"_"&amp;$E630,OFFSET([1]stages!$A$1,0,0,COUNTA([1]stages!$A:$A),MATCH(F$1,[1]stages!$2:$2,0)-MATCH("temp_stage",[1]stages!$2:$2,0)+1),MATCH(F$1,[1]stages!$2:$2,0)-MATCH("temp_stage",[1]stages!$2:$2,0)+1,FALSE)</f>
        <v>【中級】迫り来る窒息</v>
      </c>
      <c r="G630" s="3" t="str">
        <f ca="1">VLOOKUP($B630&amp;"_"&amp;$E630,OFFSET([1]stages!$A$1,0,0,COUNTA([1]stages!$A:$A),MATCH(G$1,[1]stages!$2:$2,0)-MATCH("temp_stage",[1]stages!$2:$2,0)+1),MATCH(G$1,[1]stages!$2:$2,0)-MATCH("temp_stage",[1]stages!$2:$2,0)+1,FALSE)</f>
        <v>ドロップイベント3</v>
      </c>
      <c r="H630" s="18">
        <v>0</v>
      </c>
      <c r="I630">
        <v>13</v>
      </c>
      <c r="J630" s="5" t="s">
        <v>16</v>
      </c>
      <c r="K630" s="35" t="str">
        <f>VLOOKUP(I630,[2]stage_hints!$A:$C,3,FALSE)</f>
        <v>ユニットの覚醒</v>
      </c>
      <c r="L630" s="36" t="str">
        <f>VLOOKUP(I630,[2]stage_hints!$A:$D,4,FALSE)</f>
        <v>ユニットを覚醒させると_x000D_比べものにならない強さが手に入ります</v>
      </c>
      <c r="M630" s="21" t="s">
        <v>23</v>
      </c>
      <c r="N630">
        <v>13</v>
      </c>
    </row>
    <row r="631" spans="1:14" x14ac:dyDescent="0.15">
      <c r="A631" s="26" t="s">
        <v>32</v>
      </c>
      <c r="B631" s="4">
        <v>20009</v>
      </c>
      <c r="C631" s="3" t="str">
        <f ca="1">VLOOKUP($B631,OFFSET([1]quests!$A$1,0,0,COUNTA([1]quests!$A:$A),MATCH(C$1,[1]quests!$1:$1,0)-MATCH($B$1,[1]quests!$1:$1,0)+1),MATCH(C$1,[1]quests!$1:$1,0)-MATCH($B$1,[1]quests!$1:$1,0)+1,FALSE)</f>
        <v>迫り来る窒息</v>
      </c>
      <c r="D631" s="3" t="str">
        <f ca="1">VLOOKUP($B631,OFFSET([1]quests!$A$1,0,0,COUNTA([1]quests!$A:$A),MATCH(D$1,[1]quests!$1:$1,0)-MATCH($B$1,[1]quests!$1:$1,0)+1),MATCH(D$1,[1]quests!$1:$1,0)-MATCH($B$1,[1]quests!$1:$1,0)+1,FALSE)</f>
        <v>ドロップイベント3</v>
      </c>
      <c r="E631" s="5">
        <v>2</v>
      </c>
      <c r="F631" s="3" t="str">
        <f ca="1">VLOOKUP($B631&amp;"_"&amp;$E631,OFFSET([1]stages!$A$1,0,0,COUNTA([1]stages!$A:$A),MATCH(F$1,[1]stages!$2:$2,0)-MATCH("temp_stage",[1]stages!$2:$2,0)+1),MATCH(F$1,[1]stages!$2:$2,0)-MATCH("temp_stage",[1]stages!$2:$2,0)+1,FALSE)</f>
        <v>【中級】迫り来る窒息</v>
      </c>
      <c r="G631" s="3" t="str">
        <f ca="1">VLOOKUP($B631&amp;"_"&amp;$E631,OFFSET([1]stages!$A$1,0,0,COUNTA([1]stages!$A:$A),MATCH(G$1,[1]stages!$2:$2,0)-MATCH("temp_stage",[1]stages!$2:$2,0)+1),MATCH(G$1,[1]stages!$2:$2,0)-MATCH("temp_stage",[1]stages!$2:$2,0)+1,FALSE)</f>
        <v>ドロップイベント3</v>
      </c>
      <c r="H631" s="18">
        <v>0</v>
      </c>
      <c r="I631">
        <v>14</v>
      </c>
      <c r="J631" s="5" t="s">
        <v>16</v>
      </c>
      <c r="K631" s="35" t="str">
        <f>VLOOKUP(I631,[2]stage_hints!$A:$C,3,FALSE)</f>
        <v>覚醒するにはレベルを最大に</v>
      </c>
      <c r="L631" s="36" t="str">
        <f>VLOOKUP(I631,[2]stage_hints!$A:$D,4,FALSE)</f>
        <v>覚醒するにはユニットのレベルを_x000D_最大まで上げる必要があります</v>
      </c>
      <c r="M631" s="21" t="s">
        <v>23</v>
      </c>
      <c r="N631">
        <v>14</v>
      </c>
    </row>
    <row r="632" spans="1:14" x14ac:dyDescent="0.15">
      <c r="A632" s="26" t="s">
        <v>32</v>
      </c>
      <c r="B632" s="4">
        <v>20009</v>
      </c>
      <c r="C632" s="3" t="str">
        <f ca="1">VLOOKUP($B632,OFFSET([1]quests!$A$1,0,0,COUNTA([1]quests!$A:$A),MATCH(C$1,[1]quests!$1:$1,0)-MATCH($B$1,[1]quests!$1:$1,0)+1),MATCH(C$1,[1]quests!$1:$1,0)-MATCH($B$1,[1]quests!$1:$1,0)+1,FALSE)</f>
        <v>迫り来る窒息</v>
      </c>
      <c r="D632" s="3" t="str">
        <f ca="1">VLOOKUP($B632,OFFSET([1]quests!$A$1,0,0,COUNTA([1]quests!$A:$A),MATCH(D$1,[1]quests!$1:$1,0)-MATCH($B$1,[1]quests!$1:$1,0)+1),MATCH(D$1,[1]quests!$1:$1,0)-MATCH($B$1,[1]quests!$1:$1,0)+1,FALSE)</f>
        <v>ドロップイベント3</v>
      </c>
      <c r="E632" s="5">
        <v>2</v>
      </c>
      <c r="F632" s="3" t="str">
        <f ca="1">VLOOKUP($B632&amp;"_"&amp;$E632,OFFSET([1]stages!$A$1,0,0,COUNTA([1]stages!$A:$A),MATCH(F$1,[1]stages!$2:$2,0)-MATCH("temp_stage",[1]stages!$2:$2,0)+1),MATCH(F$1,[1]stages!$2:$2,0)-MATCH("temp_stage",[1]stages!$2:$2,0)+1,FALSE)</f>
        <v>【中級】迫り来る窒息</v>
      </c>
      <c r="G632" s="3" t="str">
        <f ca="1">VLOOKUP($B632&amp;"_"&amp;$E632,OFFSET([1]stages!$A$1,0,0,COUNTA([1]stages!$A:$A),MATCH(G$1,[1]stages!$2:$2,0)-MATCH("temp_stage",[1]stages!$2:$2,0)+1),MATCH(G$1,[1]stages!$2:$2,0)-MATCH("temp_stage",[1]stages!$2:$2,0)+1,FALSE)</f>
        <v>ドロップイベント3</v>
      </c>
      <c r="H632" s="18">
        <v>0</v>
      </c>
      <c r="I632">
        <v>15</v>
      </c>
      <c r="J632" s="5" t="s">
        <v>16</v>
      </c>
      <c r="K632" s="35" t="str">
        <f>VLOOKUP(I632,[2]stage_hints!$A:$C,3,FALSE)</f>
        <v>覚醒素材を獲得</v>
      </c>
      <c r="L632" s="36" t="str">
        <f>VLOOKUP(I632,[2]stage_hints!$A:$D,4,FALSE)</f>
        <v>「曜日クエスト」では_x000D_ユニットの覚醒に必要な素材が手に入ります</v>
      </c>
      <c r="M632" s="21" t="s">
        <v>23</v>
      </c>
      <c r="N632">
        <v>15</v>
      </c>
    </row>
    <row r="633" spans="1:14" x14ac:dyDescent="0.15">
      <c r="A633" s="26" t="s">
        <v>32</v>
      </c>
      <c r="B633" s="4">
        <v>20009</v>
      </c>
      <c r="C633" s="3" t="str">
        <f ca="1">VLOOKUP($B633,OFFSET([1]quests!$A$1,0,0,COUNTA([1]quests!$A:$A),MATCH(C$1,[1]quests!$1:$1,0)-MATCH($B$1,[1]quests!$1:$1,0)+1),MATCH(C$1,[1]quests!$1:$1,0)-MATCH($B$1,[1]quests!$1:$1,0)+1,FALSE)</f>
        <v>迫り来る窒息</v>
      </c>
      <c r="D633" s="3" t="str">
        <f ca="1">VLOOKUP($B633,OFFSET([1]quests!$A$1,0,0,COUNTA([1]quests!$A:$A),MATCH(D$1,[1]quests!$1:$1,0)-MATCH($B$1,[1]quests!$1:$1,0)+1),MATCH(D$1,[1]quests!$1:$1,0)-MATCH($B$1,[1]quests!$1:$1,0)+1,FALSE)</f>
        <v>ドロップイベント3</v>
      </c>
      <c r="E633" s="5">
        <v>2</v>
      </c>
      <c r="F633" s="3" t="str">
        <f ca="1">VLOOKUP($B633&amp;"_"&amp;$E633,OFFSET([1]stages!$A$1,0,0,COUNTA([1]stages!$A:$A),MATCH(F$1,[1]stages!$2:$2,0)-MATCH("temp_stage",[1]stages!$2:$2,0)+1),MATCH(F$1,[1]stages!$2:$2,0)-MATCH("temp_stage",[1]stages!$2:$2,0)+1,FALSE)</f>
        <v>【中級】迫り来る窒息</v>
      </c>
      <c r="G633" s="3" t="str">
        <f ca="1">VLOOKUP($B633&amp;"_"&amp;$E633,OFFSET([1]stages!$A$1,0,0,COUNTA([1]stages!$A:$A),MATCH(G$1,[1]stages!$2:$2,0)-MATCH("temp_stage",[1]stages!$2:$2,0)+1),MATCH(G$1,[1]stages!$2:$2,0)-MATCH("temp_stage",[1]stages!$2:$2,0)+1,FALSE)</f>
        <v>ドロップイベント3</v>
      </c>
      <c r="H633" s="18">
        <v>0</v>
      </c>
      <c r="I633">
        <v>16</v>
      </c>
      <c r="J633" s="5" t="s">
        <v>16</v>
      </c>
      <c r="K633" s="35" t="str">
        <f>VLOOKUP(I633,[2]stage_hints!$A:$C,3,FALSE)</f>
        <v>マルチプレイのメリット（その1）</v>
      </c>
      <c r="L633" s="36" t="str">
        <f>VLOOKUP(I633,[2]stage_hints!$A:$D,4,FALSE)</f>
        <v>他のプレイヤーとマルチプレイで遊ぶと_x000D_ポリゴンがもらえます（100人まで）</v>
      </c>
      <c r="M633" s="21" t="s">
        <v>23</v>
      </c>
      <c r="N633">
        <v>16</v>
      </c>
    </row>
    <row r="634" spans="1:14" x14ac:dyDescent="0.15">
      <c r="A634" s="26" t="s">
        <v>32</v>
      </c>
      <c r="B634" s="4">
        <v>20009</v>
      </c>
      <c r="C634" s="3" t="str">
        <f ca="1">VLOOKUP($B634,OFFSET([1]quests!$A$1,0,0,COUNTA([1]quests!$A:$A),MATCH(C$1,[1]quests!$1:$1,0)-MATCH($B$1,[1]quests!$1:$1,0)+1),MATCH(C$1,[1]quests!$1:$1,0)-MATCH($B$1,[1]quests!$1:$1,0)+1,FALSE)</f>
        <v>迫り来る窒息</v>
      </c>
      <c r="D634" s="3" t="str">
        <f ca="1">VLOOKUP($B634,OFFSET([1]quests!$A$1,0,0,COUNTA([1]quests!$A:$A),MATCH(D$1,[1]quests!$1:$1,0)-MATCH($B$1,[1]quests!$1:$1,0)+1),MATCH(D$1,[1]quests!$1:$1,0)-MATCH($B$1,[1]quests!$1:$1,0)+1,FALSE)</f>
        <v>ドロップイベント3</v>
      </c>
      <c r="E634" s="5">
        <v>2</v>
      </c>
      <c r="F634" s="3" t="str">
        <f ca="1">VLOOKUP($B634&amp;"_"&amp;$E634,OFFSET([1]stages!$A$1,0,0,COUNTA([1]stages!$A:$A),MATCH(F$1,[1]stages!$2:$2,0)-MATCH("temp_stage",[1]stages!$2:$2,0)+1),MATCH(F$1,[1]stages!$2:$2,0)-MATCH("temp_stage",[1]stages!$2:$2,0)+1,FALSE)</f>
        <v>【中級】迫り来る窒息</v>
      </c>
      <c r="G634" s="3" t="str">
        <f ca="1">VLOOKUP($B634&amp;"_"&amp;$E634,OFFSET([1]stages!$A$1,0,0,COUNTA([1]stages!$A:$A),MATCH(G$1,[1]stages!$2:$2,0)-MATCH("temp_stage",[1]stages!$2:$2,0)+1),MATCH(G$1,[1]stages!$2:$2,0)-MATCH("temp_stage",[1]stages!$2:$2,0)+1,FALSE)</f>
        <v>ドロップイベント3</v>
      </c>
      <c r="H634" s="18">
        <v>0</v>
      </c>
      <c r="I634">
        <v>17</v>
      </c>
      <c r="J634" s="5" t="s">
        <v>16</v>
      </c>
      <c r="K634" s="35" t="str">
        <f>VLOOKUP(I634,[2]stage_hints!$A:$C,3,FALSE)</f>
        <v>リンクガチャ</v>
      </c>
      <c r="L634" s="36" t="str">
        <f>VLOOKUP(I634,[2]stage_hints!$A:$D,4,FALSE)</f>
        <v>無料のリンクガチャを回して_x000D_経験値素材や売却素材を獲得しましょう</v>
      </c>
      <c r="M634" s="21" t="s">
        <v>23</v>
      </c>
      <c r="N634">
        <v>17</v>
      </c>
    </row>
    <row r="635" spans="1:14" x14ac:dyDescent="0.15">
      <c r="A635" s="26" t="s">
        <v>32</v>
      </c>
      <c r="B635" s="4">
        <v>20009</v>
      </c>
      <c r="C635" s="3" t="str">
        <f ca="1">VLOOKUP($B635,OFFSET([1]quests!$A$1,0,0,COUNTA([1]quests!$A:$A),MATCH(C$1,[1]quests!$1:$1,0)-MATCH($B$1,[1]quests!$1:$1,0)+1),MATCH(C$1,[1]quests!$1:$1,0)-MATCH($B$1,[1]quests!$1:$1,0)+1,FALSE)</f>
        <v>迫り来る窒息</v>
      </c>
      <c r="D635" s="3" t="str">
        <f ca="1">VLOOKUP($B635,OFFSET([1]quests!$A$1,0,0,COUNTA([1]quests!$A:$A),MATCH(D$1,[1]quests!$1:$1,0)-MATCH($B$1,[1]quests!$1:$1,0)+1),MATCH(D$1,[1]quests!$1:$1,0)-MATCH($B$1,[1]quests!$1:$1,0)+1,FALSE)</f>
        <v>ドロップイベント3</v>
      </c>
      <c r="E635" s="5">
        <v>2</v>
      </c>
      <c r="F635" s="3" t="str">
        <f ca="1">VLOOKUP($B635&amp;"_"&amp;$E635,OFFSET([1]stages!$A$1,0,0,COUNTA([1]stages!$A:$A),MATCH(F$1,[1]stages!$2:$2,0)-MATCH("temp_stage",[1]stages!$2:$2,0)+1),MATCH(F$1,[1]stages!$2:$2,0)-MATCH("temp_stage",[1]stages!$2:$2,0)+1,FALSE)</f>
        <v>【中級】迫り来る窒息</v>
      </c>
      <c r="G635" s="3" t="str">
        <f ca="1">VLOOKUP($B635&amp;"_"&amp;$E635,OFFSET([1]stages!$A$1,0,0,COUNTA([1]stages!$A:$A),MATCH(G$1,[1]stages!$2:$2,0)-MATCH("temp_stage",[1]stages!$2:$2,0)+1),MATCH(G$1,[1]stages!$2:$2,0)-MATCH("temp_stage",[1]stages!$2:$2,0)+1,FALSE)</f>
        <v>ドロップイベント3</v>
      </c>
      <c r="H635" s="18">
        <v>0</v>
      </c>
      <c r="I635">
        <v>18</v>
      </c>
      <c r="J635" s="5" t="s">
        <v>16</v>
      </c>
      <c r="K635" s="35" t="str">
        <f>VLOOKUP(I635,[2]stage_hints!$A:$C,3,FALSE)</f>
        <v>マルチプレイのメリット（その2）</v>
      </c>
      <c r="L635" s="36" t="str">
        <f>VLOOKUP(I635,[2]stage_hints!$A:$D,4,FALSE)</f>
        <v>マルチプレイならリンクが2倍もらえます_x000D_リンクガチャをたくさん回しましょう</v>
      </c>
      <c r="M635" s="21" t="s">
        <v>23</v>
      </c>
      <c r="N635">
        <v>18</v>
      </c>
    </row>
    <row r="636" spans="1:14" x14ac:dyDescent="0.15">
      <c r="A636" s="26" t="s">
        <v>32</v>
      </c>
      <c r="B636" s="4">
        <v>20009</v>
      </c>
      <c r="C636" s="3" t="str">
        <f ca="1">VLOOKUP($B636,OFFSET([1]quests!$A$1,0,0,COUNTA([1]quests!$A:$A),MATCH(C$1,[1]quests!$1:$1,0)-MATCH($B$1,[1]quests!$1:$1,0)+1),MATCH(C$1,[1]quests!$1:$1,0)-MATCH($B$1,[1]quests!$1:$1,0)+1,FALSE)</f>
        <v>迫り来る窒息</v>
      </c>
      <c r="D636" s="3" t="str">
        <f ca="1">VLOOKUP($B636,OFFSET([1]quests!$A$1,0,0,COUNTA([1]quests!$A:$A),MATCH(D$1,[1]quests!$1:$1,0)-MATCH($B$1,[1]quests!$1:$1,0)+1),MATCH(D$1,[1]quests!$1:$1,0)-MATCH($B$1,[1]quests!$1:$1,0)+1,FALSE)</f>
        <v>ドロップイベント3</v>
      </c>
      <c r="E636" s="5">
        <v>2</v>
      </c>
      <c r="F636" s="3" t="str">
        <f ca="1">VLOOKUP($B636&amp;"_"&amp;$E636,OFFSET([1]stages!$A$1,0,0,COUNTA([1]stages!$A:$A),MATCH(F$1,[1]stages!$2:$2,0)-MATCH("temp_stage",[1]stages!$2:$2,0)+1),MATCH(F$1,[1]stages!$2:$2,0)-MATCH("temp_stage",[1]stages!$2:$2,0)+1,FALSE)</f>
        <v>【中級】迫り来る窒息</v>
      </c>
      <c r="G636" s="3" t="str">
        <f ca="1">VLOOKUP($B636&amp;"_"&amp;$E636,OFFSET([1]stages!$A$1,0,0,COUNTA([1]stages!$A:$A),MATCH(G$1,[1]stages!$2:$2,0)-MATCH("temp_stage",[1]stages!$2:$2,0)+1),MATCH(G$1,[1]stages!$2:$2,0)-MATCH("temp_stage",[1]stages!$2:$2,0)+1,FALSE)</f>
        <v>ドロップイベント3</v>
      </c>
      <c r="H636" s="18">
        <v>0</v>
      </c>
      <c r="I636">
        <v>19</v>
      </c>
      <c r="J636" s="5" t="s">
        <v>16</v>
      </c>
      <c r="K636" s="35" t="str">
        <f>VLOOKUP(I636,[2]stage_hints!$A:$C,3,FALSE)</f>
        <v>ソロ専用チャレンジタワー</v>
      </c>
      <c r="L636" s="36" t="str">
        <f>VLOOKUP(I636,[2]stage_hints!$A:$D,4,FALSE)</f>
        <v>ソロ専用の「チャレンジタワー」では_x000D_各フロアごとにクリア報酬がもらえます</v>
      </c>
      <c r="M636" s="21" t="s">
        <v>23</v>
      </c>
      <c r="N636">
        <v>19</v>
      </c>
    </row>
    <row r="637" spans="1:14" x14ac:dyDescent="0.15">
      <c r="A637" s="26" t="s">
        <v>32</v>
      </c>
      <c r="B637" s="4">
        <v>20009</v>
      </c>
      <c r="C637" s="3" t="str">
        <f ca="1">VLOOKUP($B637,OFFSET([1]quests!$A$1,0,0,COUNTA([1]quests!$A:$A),MATCH(C$1,[1]quests!$1:$1,0)-MATCH($B$1,[1]quests!$1:$1,0)+1),MATCH(C$1,[1]quests!$1:$1,0)-MATCH($B$1,[1]quests!$1:$1,0)+1,FALSE)</f>
        <v>迫り来る窒息</v>
      </c>
      <c r="D637" s="3" t="str">
        <f ca="1">VLOOKUP($B637,OFFSET([1]quests!$A$1,0,0,COUNTA([1]quests!$A:$A),MATCH(D$1,[1]quests!$1:$1,0)-MATCH($B$1,[1]quests!$1:$1,0)+1),MATCH(D$1,[1]quests!$1:$1,0)-MATCH($B$1,[1]quests!$1:$1,0)+1,FALSE)</f>
        <v>ドロップイベント3</v>
      </c>
      <c r="E637" s="5">
        <v>2</v>
      </c>
      <c r="F637" s="3" t="str">
        <f ca="1">VLOOKUP($B637&amp;"_"&amp;$E637,OFFSET([1]stages!$A$1,0,0,COUNTA([1]stages!$A:$A),MATCH(F$1,[1]stages!$2:$2,0)-MATCH("temp_stage",[1]stages!$2:$2,0)+1),MATCH(F$1,[1]stages!$2:$2,0)-MATCH("temp_stage",[1]stages!$2:$2,0)+1,FALSE)</f>
        <v>【中級】迫り来る窒息</v>
      </c>
      <c r="G637" s="3" t="str">
        <f ca="1">VLOOKUP($B637&amp;"_"&amp;$E637,OFFSET([1]stages!$A$1,0,0,COUNTA([1]stages!$A:$A),MATCH(G$1,[1]stages!$2:$2,0)-MATCH("temp_stage",[1]stages!$2:$2,0)+1),MATCH(G$1,[1]stages!$2:$2,0)-MATCH("temp_stage",[1]stages!$2:$2,0)+1,FALSE)</f>
        <v>ドロップイベント3</v>
      </c>
      <c r="H637" s="18">
        <v>0</v>
      </c>
      <c r="I637">
        <v>20</v>
      </c>
      <c r="J637" s="5" t="s">
        <v>16</v>
      </c>
      <c r="K637" s="35" t="str">
        <f>VLOOKUP(I637,[2]stage_hints!$A:$C,3,FALSE)</f>
        <v>マルチプレイのメリット（その3）</v>
      </c>
      <c r="L637" s="36" t="str">
        <f>VLOOKUP(I637,[2]stage_hints!$A:$D,4,FALSE)</f>
        <v>マルチプレイへの参加はエナジー消費ゼロ_x000D_いつでも好きなだけ遊ぶことができます</v>
      </c>
      <c r="M637" s="21" t="s">
        <v>23</v>
      </c>
      <c r="N637">
        <v>20</v>
      </c>
    </row>
    <row r="638" spans="1:14" x14ac:dyDescent="0.15">
      <c r="A638" s="26" t="s">
        <v>32</v>
      </c>
      <c r="B638" s="4">
        <v>20009</v>
      </c>
      <c r="C638" s="3" t="str">
        <f ca="1">VLOOKUP($B638,OFFSET([1]quests!$A$1,0,0,COUNTA([1]quests!$A:$A),MATCH(C$1,[1]quests!$1:$1,0)-MATCH($B$1,[1]quests!$1:$1,0)+1),MATCH(C$1,[1]quests!$1:$1,0)-MATCH($B$1,[1]quests!$1:$1,0)+1,FALSE)</f>
        <v>迫り来る窒息</v>
      </c>
      <c r="D638" s="3" t="str">
        <f ca="1">VLOOKUP($B638,OFFSET([1]quests!$A$1,0,0,COUNTA([1]quests!$A:$A),MATCH(D$1,[1]quests!$1:$1,0)-MATCH($B$1,[1]quests!$1:$1,0)+1),MATCH(D$1,[1]quests!$1:$1,0)-MATCH($B$1,[1]quests!$1:$1,0)+1,FALSE)</f>
        <v>ドロップイベント3</v>
      </c>
      <c r="E638" s="5">
        <v>2</v>
      </c>
      <c r="F638" s="3" t="str">
        <f ca="1">VLOOKUP($B638&amp;"_"&amp;$E638,OFFSET([1]stages!$A$1,0,0,COUNTA([1]stages!$A:$A),MATCH(F$1,[1]stages!$2:$2,0)-MATCH("temp_stage",[1]stages!$2:$2,0)+1),MATCH(F$1,[1]stages!$2:$2,0)-MATCH("temp_stage",[1]stages!$2:$2,0)+1,FALSE)</f>
        <v>【中級】迫り来る窒息</v>
      </c>
      <c r="G638" s="3" t="str">
        <f ca="1">VLOOKUP($B638&amp;"_"&amp;$E638,OFFSET([1]stages!$A$1,0,0,COUNTA([1]stages!$A:$A),MATCH(G$1,[1]stages!$2:$2,0)-MATCH("temp_stage",[1]stages!$2:$2,0)+1),MATCH(G$1,[1]stages!$2:$2,0)-MATCH("temp_stage",[1]stages!$2:$2,0)+1,FALSE)</f>
        <v>ドロップイベント3</v>
      </c>
      <c r="H638" s="18">
        <v>0</v>
      </c>
      <c r="I638">
        <v>21</v>
      </c>
      <c r="J638" s="5" t="s">
        <v>16</v>
      </c>
      <c r="K638" s="35" t="str">
        <f>VLOOKUP(I638,[2]stage_hints!$A:$C,3,FALSE)</f>
        <v>スキルを有効に</v>
      </c>
      <c r="L638" s="36" t="str">
        <f>VLOOKUP(I638,[2]stage_hints!$A:$D,4,FALSE)</f>
        <v>ターン経過でユニットのスキルが使えます_x000D_強力スキルでバトルを有利に進めましょう</v>
      </c>
      <c r="M638" s="21" t="s">
        <v>23</v>
      </c>
      <c r="N638">
        <v>21</v>
      </c>
    </row>
    <row r="639" spans="1:14" x14ac:dyDescent="0.15">
      <c r="A639" s="26" t="s">
        <v>32</v>
      </c>
      <c r="B639" s="4">
        <v>20009</v>
      </c>
      <c r="C639" s="3" t="str">
        <f ca="1">VLOOKUP($B639,OFFSET([1]quests!$A$1,0,0,COUNTA([1]quests!$A:$A),MATCH(C$1,[1]quests!$1:$1,0)-MATCH($B$1,[1]quests!$1:$1,0)+1),MATCH(C$1,[1]quests!$1:$1,0)-MATCH($B$1,[1]quests!$1:$1,0)+1,FALSE)</f>
        <v>迫り来る窒息</v>
      </c>
      <c r="D639" s="3" t="str">
        <f ca="1">VLOOKUP($B639,OFFSET([1]quests!$A$1,0,0,COUNTA([1]quests!$A:$A),MATCH(D$1,[1]quests!$1:$1,0)-MATCH($B$1,[1]quests!$1:$1,0)+1),MATCH(D$1,[1]quests!$1:$1,0)-MATCH($B$1,[1]quests!$1:$1,0)+1,FALSE)</f>
        <v>ドロップイベント3</v>
      </c>
      <c r="E639" s="5">
        <v>2</v>
      </c>
      <c r="F639" s="3" t="str">
        <f ca="1">VLOOKUP($B639&amp;"_"&amp;$E639,OFFSET([1]stages!$A$1,0,0,COUNTA([1]stages!$A:$A),MATCH(F$1,[1]stages!$2:$2,0)-MATCH("temp_stage",[1]stages!$2:$2,0)+1),MATCH(F$1,[1]stages!$2:$2,0)-MATCH("temp_stage",[1]stages!$2:$2,0)+1,FALSE)</f>
        <v>【中級】迫り来る窒息</v>
      </c>
      <c r="G639" s="3" t="str">
        <f ca="1">VLOOKUP($B639&amp;"_"&amp;$E639,OFFSET([1]stages!$A$1,0,0,COUNTA([1]stages!$A:$A),MATCH(G$1,[1]stages!$2:$2,0)-MATCH("temp_stage",[1]stages!$2:$2,0)+1),MATCH(G$1,[1]stages!$2:$2,0)-MATCH("temp_stage",[1]stages!$2:$2,0)+1,FALSE)</f>
        <v>ドロップイベント3</v>
      </c>
      <c r="H639" s="18">
        <v>0</v>
      </c>
      <c r="I639">
        <v>22</v>
      </c>
      <c r="J639" s="5" t="s">
        <v>16</v>
      </c>
      <c r="K639" s="35" t="str">
        <f>VLOOKUP(I639,[2]stage_hints!$A:$C,3,FALSE)</f>
        <v>フィーバーで一発逆転（その1）</v>
      </c>
      <c r="L639" s="36" t="str">
        <f>VLOOKUP(I639,[2]stage_hints!$A:$D,4,FALSE)</f>
        <v>フィーバーは攻撃と回復を兼ね備えます_x000D_ピンチからの一発逆転を狙いましょう</v>
      </c>
      <c r="M639" s="21" t="s">
        <v>23</v>
      </c>
      <c r="N639">
        <v>22</v>
      </c>
    </row>
    <row r="640" spans="1:14" x14ac:dyDescent="0.15">
      <c r="A640" s="26" t="s">
        <v>32</v>
      </c>
      <c r="B640" s="4">
        <v>20009</v>
      </c>
      <c r="C640" s="3" t="str">
        <f ca="1">VLOOKUP($B640,OFFSET([1]quests!$A$1,0,0,COUNTA([1]quests!$A:$A),MATCH(C$1,[1]quests!$1:$1,0)-MATCH($B$1,[1]quests!$1:$1,0)+1),MATCH(C$1,[1]quests!$1:$1,0)-MATCH($B$1,[1]quests!$1:$1,0)+1,FALSE)</f>
        <v>迫り来る窒息</v>
      </c>
      <c r="D640" s="3" t="str">
        <f ca="1">VLOOKUP($B640,OFFSET([1]quests!$A$1,0,0,COUNTA([1]quests!$A:$A),MATCH(D$1,[1]quests!$1:$1,0)-MATCH($B$1,[1]quests!$1:$1,0)+1),MATCH(D$1,[1]quests!$1:$1,0)-MATCH($B$1,[1]quests!$1:$1,0)+1,FALSE)</f>
        <v>ドロップイベント3</v>
      </c>
      <c r="E640" s="5">
        <v>2</v>
      </c>
      <c r="F640" s="3" t="str">
        <f ca="1">VLOOKUP($B640&amp;"_"&amp;$E640,OFFSET([1]stages!$A$1,0,0,COUNTA([1]stages!$A:$A),MATCH(F$1,[1]stages!$2:$2,0)-MATCH("temp_stage",[1]stages!$2:$2,0)+1),MATCH(F$1,[1]stages!$2:$2,0)-MATCH("temp_stage",[1]stages!$2:$2,0)+1,FALSE)</f>
        <v>【中級】迫り来る窒息</v>
      </c>
      <c r="G640" s="3" t="str">
        <f ca="1">VLOOKUP($B640&amp;"_"&amp;$E640,OFFSET([1]stages!$A$1,0,0,COUNTA([1]stages!$A:$A),MATCH(G$1,[1]stages!$2:$2,0)-MATCH("temp_stage",[1]stages!$2:$2,0)+1),MATCH(G$1,[1]stages!$2:$2,0)-MATCH("temp_stage",[1]stages!$2:$2,0)+1,FALSE)</f>
        <v>ドロップイベント3</v>
      </c>
      <c r="H640" s="18">
        <v>0</v>
      </c>
      <c r="I640">
        <v>23</v>
      </c>
      <c r="J640" s="5" t="s">
        <v>16</v>
      </c>
      <c r="K640" s="35" t="str">
        <f>VLOOKUP(I640,[2]stage_hints!$A:$C,3,FALSE)</f>
        <v>フィーバーで一発逆転（その2）</v>
      </c>
      <c r="L640" s="36" t="str">
        <f>VLOOKUP(I640,[2]stage_hints!$A:$D,4,FALSE)</f>
        <v>フィーバー中は虹色のボムパネルを狙って_x000D_画面上のパネルを一気に破壊しましょう</v>
      </c>
      <c r="M640" s="21" t="s">
        <v>23</v>
      </c>
      <c r="N640">
        <v>23</v>
      </c>
    </row>
    <row r="641" spans="1:14" x14ac:dyDescent="0.15">
      <c r="A641" s="26" t="s">
        <v>32</v>
      </c>
      <c r="B641" s="4">
        <v>20009</v>
      </c>
      <c r="C641" s="3" t="str">
        <f ca="1">VLOOKUP($B641,OFFSET([1]quests!$A$1,0,0,COUNTA([1]quests!$A:$A),MATCH(C$1,[1]quests!$1:$1,0)-MATCH($B$1,[1]quests!$1:$1,0)+1),MATCH(C$1,[1]quests!$1:$1,0)-MATCH($B$1,[1]quests!$1:$1,0)+1,FALSE)</f>
        <v>迫り来る窒息</v>
      </c>
      <c r="D641" s="3" t="str">
        <f ca="1">VLOOKUP($B641,OFFSET([1]quests!$A$1,0,0,COUNTA([1]quests!$A:$A),MATCH(D$1,[1]quests!$1:$1,0)-MATCH($B$1,[1]quests!$1:$1,0)+1),MATCH(D$1,[1]quests!$1:$1,0)-MATCH($B$1,[1]quests!$1:$1,0)+1,FALSE)</f>
        <v>ドロップイベント3</v>
      </c>
      <c r="E641" s="5">
        <v>2</v>
      </c>
      <c r="F641" s="3" t="str">
        <f ca="1">VLOOKUP($B641&amp;"_"&amp;$E641,OFFSET([1]stages!$A$1,0,0,COUNTA([1]stages!$A:$A),MATCH(F$1,[1]stages!$2:$2,0)-MATCH("temp_stage",[1]stages!$2:$2,0)+1),MATCH(F$1,[1]stages!$2:$2,0)-MATCH("temp_stage",[1]stages!$2:$2,0)+1,FALSE)</f>
        <v>【中級】迫り来る窒息</v>
      </c>
      <c r="G641" s="3" t="str">
        <f ca="1">VLOOKUP($B641&amp;"_"&amp;$E641,OFFSET([1]stages!$A$1,0,0,COUNTA([1]stages!$A:$A),MATCH(G$1,[1]stages!$2:$2,0)-MATCH("temp_stage",[1]stages!$2:$2,0)+1),MATCH(G$1,[1]stages!$2:$2,0)-MATCH("temp_stage",[1]stages!$2:$2,0)+1,FALSE)</f>
        <v>ドロップイベント3</v>
      </c>
      <c r="H641" s="18">
        <v>0</v>
      </c>
      <c r="I641">
        <v>24</v>
      </c>
      <c r="J641" s="5" t="s">
        <v>16</v>
      </c>
      <c r="K641" s="35" t="str">
        <f>VLOOKUP(I641,[2]stage_hints!$A:$C,3,FALSE)</f>
        <v>りんごを使って限界突破</v>
      </c>
      <c r="L641" s="36" t="str">
        <f>VLOOKUP(I641,[2]stage_hints!$A:$D,4,FALSE)</f>
        <v>赤りんご(攻撃力) 青りんご(回復力)_x000D_緑りんご(体力)をユニット強化に使うと_x000D_ステータスが限界突破します（計99個迄）</v>
      </c>
      <c r="M641" s="21" t="s">
        <v>23</v>
      </c>
      <c r="N641">
        <v>24</v>
      </c>
    </row>
    <row r="642" spans="1:14" x14ac:dyDescent="0.15">
      <c r="A642" s="26" t="s">
        <v>32</v>
      </c>
      <c r="B642" s="4">
        <v>20009</v>
      </c>
      <c r="C642" s="3" t="str">
        <f ca="1">VLOOKUP($B642,OFFSET([1]quests!$A$1,0,0,COUNTA([1]quests!$A:$A),MATCH(C$1,[1]quests!$1:$1,0)-MATCH($B$1,[1]quests!$1:$1,0)+1),MATCH(C$1,[1]quests!$1:$1,0)-MATCH($B$1,[1]quests!$1:$1,0)+1,FALSE)</f>
        <v>迫り来る窒息</v>
      </c>
      <c r="D642" s="3" t="str">
        <f ca="1">VLOOKUP($B642,OFFSET([1]quests!$A$1,0,0,COUNTA([1]quests!$A:$A),MATCH(D$1,[1]quests!$1:$1,0)-MATCH($B$1,[1]quests!$1:$1,0)+1),MATCH(D$1,[1]quests!$1:$1,0)-MATCH($B$1,[1]quests!$1:$1,0)+1,FALSE)</f>
        <v>ドロップイベント3</v>
      </c>
      <c r="E642" s="5">
        <v>2</v>
      </c>
      <c r="F642" s="3" t="str">
        <f ca="1">VLOOKUP($B642&amp;"_"&amp;$E642,OFFSET([1]stages!$A$1,0,0,COUNTA([1]stages!$A:$A),MATCH(F$1,[1]stages!$2:$2,0)-MATCH("temp_stage",[1]stages!$2:$2,0)+1),MATCH(F$1,[1]stages!$2:$2,0)-MATCH("temp_stage",[1]stages!$2:$2,0)+1,FALSE)</f>
        <v>【中級】迫り来る窒息</v>
      </c>
      <c r="G642" s="3" t="str">
        <f ca="1">VLOOKUP($B642&amp;"_"&amp;$E642,OFFSET([1]stages!$A$1,0,0,COUNTA([1]stages!$A:$A),MATCH(G$1,[1]stages!$2:$2,0)-MATCH("temp_stage",[1]stages!$2:$2,0)+1),MATCH(G$1,[1]stages!$2:$2,0)-MATCH("temp_stage",[1]stages!$2:$2,0)+1,FALSE)</f>
        <v>ドロップイベント3</v>
      </c>
      <c r="H642" s="18">
        <v>0</v>
      </c>
      <c r="I642">
        <v>25</v>
      </c>
      <c r="J642" s="5" t="s">
        <v>16</v>
      </c>
      <c r="K642" s="35" t="str">
        <f>VLOOKUP(I642,[2]stage_hints!$A:$C,3,FALSE)</f>
        <v>スキルレベルアップ</v>
      </c>
      <c r="L642" s="36" t="str">
        <f>VLOOKUP(I642,[2]stage_hints!$A:$D,4,FALSE)</f>
        <v>「クリスタルのりんご」を強化に使うと_x000D_スキルレベルを上げることができます</v>
      </c>
      <c r="M642" s="21" t="s">
        <v>23</v>
      </c>
      <c r="N642">
        <v>25</v>
      </c>
    </row>
    <row r="643" spans="1:14" x14ac:dyDescent="0.15">
      <c r="A643" s="26" t="s">
        <v>32</v>
      </c>
      <c r="B643" s="4">
        <v>20009</v>
      </c>
      <c r="C643" s="3" t="str">
        <f ca="1">VLOOKUP($B643,OFFSET([1]quests!$A$1,0,0,COUNTA([1]quests!$A:$A),MATCH(C$1,[1]quests!$1:$1,0)-MATCH($B$1,[1]quests!$1:$1,0)+1),MATCH(C$1,[1]quests!$1:$1,0)-MATCH($B$1,[1]quests!$1:$1,0)+1,FALSE)</f>
        <v>迫り来る窒息</v>
      </c>
      <c r="D643" s="3" t="str">
        <f ca="1">VLOOKUP($B643,OFFSET([1]quests!$A$1,0,0,COUNTA([1]quests!$A:$A),MATCH(D$1,[1]quests!$1:$1,0)-MATCH($B$1,[1]quests!$1:$1,0)+1),MATCH(D$1,[1]quests!$1:$1,0)-MATCH($B$1,[1]quests!$1:$1,0)+1,FALSE)</f>
        <v>ドロップイベント3</v>
      </c>
      <c r="E643" s="5">
        <v>2</v>
      </c>
      <c r="F643" s="3" t="str">
        <f ca="1">VLOOKUP($B643&amp;"_"&amp;$E643,OFFSET([1]stages!$A$1,0,0,COUNTA([1]stages!$A:$A),MATCH(F$1,[1]stages!$2:$2,0)-MATCH("temp_stage",[1]stages!$2:$2,0)+1),MATCH(F$1,[1]stages!$2:$2,0)-MATCH("temp_stage",[1]stages!$2:$2,0)+1,FALSE)</f>
        <v>【中級】迫り来る窒息</v>
      </c>
      <c r="G643" s="3" t="str">
        <f ca="1">VLOOKUP($B643&amp;"_"&amp;$E643,OFFSET([1]stages!$A$1,0,0,COUNTA([1]stages!$A:$A),MATCH(G$1,[1]stages!$2:$2,0)-MATCH("temp_stage",[1]stages!$2:$2,0)+1),MATCH(G$1,[1]stages!$2:$2,0)-MATCH("temp_stage",[1]stages!$2:$2,0)+1,FALSE)</f>
        <v>ドロップイベント3</v>
      </c>
      <c r="H643" s="18">
        <v>0</v>
      </c>
      <c r="I643">
        <v>26</v>
      </c>
      <c r="J643" s="5" t="s">
        <v>16</v>
      </c>
      <c r="K643" s="35" t="str">
        <f>VLOOKUP(I643,[2]stage_hints!$A:$C,3,FALSE)</f>
        <v>スキルレベルの効果</v>
      </c>
      <c r="L643" s="36" t="str">
        <f>VLOOKUP(I643,[2]stage_hints!$A:$D,4,FALSE)</f>
        <v>スキルレベルが上がると_x000D_短いターンでスキルを使うことができます</v>
      </c>
      <c r="M643" s="21" t="s">
        <v>23</v>
      </c>
      <c r="N643">
        <v>26</v>
      </c>
    </row>
    <row r="644" spans="1:14" x14ac:dyDescent="0.15">
      <c r="A644" s="26" t="s">
        <v>32</v>
      </c>
      <c r="B644" s="4">
        <v>20009</v>
      </c>
      <c r="C644" s="3" t="str">
        <f ca="1">VLOOKUP($B644,OFFSET([1]quests!$A$1,0,0,COUNTA([1]quests!$A:$A),MATCH(C$1,[1]quests!$1:$1,0)-MATCH($B$1,[1]quests!$1:$1,0)+1),MATCH(C$1,[1]quests!$1:$1,0)-MATCH($B$1,[1]quests!$1:$1,0)+1,FALSE)</f>
        <v>迫り来る窒息</v>
      </c>
      <c r="D644" s="3" t="str">
        <f ca="1">VLOOKUP($B644,OFFSET([1]quests!$A$1,0,0,COUNTA([1]quests!$A:$A),MATCH(D$1,[1]quests!$1:$1,0)-MATCH($B$1,[1]quests!$1:$1,0)+1),MATCH(D$1,[1]quests!$1:$1,0)-MATCH($B$1,[1]quests!$1:$1,0)+1,FALSE)</f>
        <v>ドロップイベント3</v>
      </c>
      <c r="E644" s="5">
        <v>2</v>
      </c>
      <c r="F644" s="3" t="str">
        <f ca="1">VLOOKUP($B644&amp;"_"&amp;$E644,OFFSET([1]stages!$A$1,0,0,COUNTA([1]stages!$A:$A),MATCH(F$1,[1]stages!$2:$2,0)-MATCH("temp_stage",[1]stages!$2:$2,0)+1),MATCH(F$1,[1]stages!$2:$2,0)-MATCH("temp_stage",[1]stages!$2:$2,0)+1,FALSE)</f>
        <v>【中級】迫り来る窒息</v>
      </c>
      <c r="G644" s="3" t="str">
        <f ca="1">VLOOKUP($B644&amp;"_"&amp;$E644,OFFSET([1]stages!$A$1,0,0,COUNTA([1]stages!$A:$A),MATCH(G$1,[1]stages!$2:$2,0)-MATCH("temp_stage",[1]stages!$2:$2,0)+1),MATCH(G$1,[1]stages!$2:$2,0)-MATCH("temp_stage",[1]stages!$2:$2,0)+1,FALSE)</f>
        <v>ドロップイベント3</v>
      </c>
      <c r="H644" s="18">
        <v>0</v>
      </c>
      <c r="I644">
        <v>27</v>
      </c>
      <c r="J644" s="5" t="s">
        <v>16</v>
      </c>
      <c r="K644" s="35" t="str">
        <f>VLOOKUP(I644,[2]stage_hints!$A:$C,3,FALSE)</f>
        <v>ホーム画面からデッキを編成</v>
      </c>
      <c r="L644" s="36" t="str">
        <f>VLOOKUP(I644,[2]stage_hints!$A:$D,4,FALSE)</f>
        <v>ホーム画面でユニットを長押しすると_x000D_すぐにパーティ編成に移動できます</v>
      </c>
      <c r="M644" s="21" t="s">
        <v>23</v>
      </c>
      <c r="N644">
        <v>27</v>
      </c>
    </row>
    <row r="645" spans="1:14" x14ac:dyDescent="0.15">
      <c r="A645" s="26" t="s">
        <v>32</v>
      </c>
      <c r="B645" s="4">
        <v>20009</v>
      </c>
      <c r="C645" s="3" t="str">
        <f ca="1">VLOOKUP($B645,OFFSET([1]quests!$A$1,0,0,COUNTA([1]quests!$A:$A),MATCH(C$1,[1]quests!$1:$1,0)-MATCH($B$1,[1]quests!$1:$1,0)+1),MATCH(C$1,[1]quests!$1:$1,0)-MATCH($B$1,[1]quests!$1:$1,0)+1,FALSE)</f>
        <v>迫り来る窒息</v>
      </c>
      <c r="D645" s="3" t="str">
        <f ca="1">VLOOKUP($B645,OFFSET([1]quests!$A$1,0,0,COUNTA([1]quests!$A:$A),MATCH(D$1,[1]quests!$1:$1,0)-MATCH($B$1,[1]quests!$1:$1,0)+1),MATCH(D$1,[1]quests!$1:$1,0)-MATCH($B$1,[1]quests!$1:$1,0)+1,FALSE)</f>
        <v>ドロップイベント3</v>
      </c>
      <c r="E645" s="5">
        <v>2</v>
      </c>
      <c r="F645" s="3" t="str">
        <f ca="1">VLOOKUP($B645&amp;"_"&amp;$E645,OFFSET([1]stages!$A$1,0,0,COUNTA([1]stages!$A:$A),MATCH(F$1,[1]stages!$2:$2,0)-MATCH("temp_stage",[1]stages!$2:$2,0)+1),MATCH(F$1,[1]stages!$2:$2,0)-MATCH("temp_stage",[1]stages!$2:$2,0)+1,FALSE)</f>
        <v>【中級】迫り来る窒息</v>
      </c>
      <c r="G645" s="3" t="str">
        <f ca="1">VLOOKUP($B645&amp;"_"&amp;$E645,OFFSET([1]stages!$A$1,0,0,COUNTA([1]stages!$A:$A),MATCH(G$1,[1]stages!$2:$2,0)-MATCH("temp_stage",[1]stages!$2:$2,0)+1),MATCH(G$1,[1]stages!$2:$2,0)-MATCH("temp_stage",[1]stages!$2:$2,0)+1,FALSE)</f>
        <v>ドロップイベント3</v>
      </c>
      <c r="H645" s="18">
        <v>0</v>
      </c>
      <c r="I645">
        <v>28</v>
      </c>
      <c r="J645" s="5" t="s">
        <v>16</v>
      </c>
      <c r="K645" s="35" t="str">
        <f>VLOOKUP(I645,[2]stage_hints!$A:$C,3,FALSE)</f>
        <v>ステータス情報は長押しで</v>
      </c>
      <c r="L645" s="36" t="str">
        <f>VLOOKUP(I645,[2]stage_hints!$A:$D,4,FALSE)</f>
        <v>ユニットのアイコンを長押しすると_x000D_ステータス情報を確認することができます</v>
      </c>
      <c r="M645" s="21" t="s">
        <v>23</v>
      </c>
      <c r="N645">
        <v>28</v>
      </c>
    </row>
    <row r="646" spans="1:14" x14ac:dyDescent="0.15">
      <c r="A646" s="26" t="s">
        <v>32</v>
      </c>
      <c r="B646" s="4">
        <v>20009</v>
      </c>
      <c r="C646" s="3" t="str">
        <f ca="1">VLOOKUP($B646,OFFSET([1]quests!$A$1,0,0,COUNTA([1]quests!$A:$A),MATCH(C$1,[1]quests!$1:$1,0)-MATCH($B$1,[1]quests!$1:$1,0)+1),MATCH(C$1,[1]quests!$1:$1,0)-MATCH($B$1,[1]quests!$1:$1,0)+1,FALSE)</f>
        <v>迫り来る窒息</v>
      </c>
      <c r="D646" s="3" t="str">
        <f ca="1">VLOOKUP($B646,OFFSET([1]quests!$A$1,0,0,COUNTA([1]quests!$A:$A),MATCH(D$1,[1]quests!$1:$1,0)-MATCH($B$1,[1]quests!$1:$1,0)+1),MATCH(D$1,[1]quests!$1:$1,0)-MATCH($B$1,[1]quests!$1:$1,0)+1,FALSE)</f>
        <v>ドロップイベント3</v>
      </c>
      <c r="E646" s="5">
        <v>2</v>
      </c>
      <c r="F646" s="3" t="str">
        <f ca="1">VLOOKUP($B646&amp;"_"&amp;$E646,OFFSET([1]stages!$A$1,0,0,COUNTA([1]stages!$A:$A),MATCH(F$1,[1]stages!$2:$2,0)-MATCH("temp_stage",[1]stages!$2:$2,0)+1),MATCH(F$1,[1]stages!$2:$2,0)-MATCH("temp_stage",[1]stages!$2:$2,0)+1,FALSE)</f>
        <v>【中級】迫り来る窒息</v>
      </c>
      <c r="G646" s="3" t="str">
        <f ca="1">VLOOKUP($B646&amp;"_"&amp;$E646,OFFSET([1]stages!$A$1,0,0,COUNTA([1]stages!$A:$A),MATCH(G$1,[1]stages!$2:$2,0)-MATCH("temp_stage",[1]stages!$2:$2,0)+1),MATCH(G$1,[1]stages!$2:$2,0)-MATCH("temp_stage",[1]stages!$2:$2,0)+1,FALSE)</f>
        <v>ドロップイベント3</v>
      </c>
      <c r="H646" s="18">
        <v>0</v>
      </c>
      <c r="I646">
        <v>29</v>
      </c>
      <c r="J646" s="5" t="s">
        <v>16</v>
      </c>
      <c r="K646" s="35" t="str">
        <f>VLOOKUP(I646,[2]stage_hints!$A:$C,3,FALSE)</f>
        <v>「バグ」のメリット</v>
      </c>
      <c r="L646" s="36" t="str">
        <f>VLOOKUP(I646,[2]stage_hints!$A:$D,4,FALSE)</f>
        <v>ユニットの「バグ」を増やすと_x000D_報酬をもらえる確率がアップします</v>
      </c>
      <c r="M646" s="21" t="s">
        <v>23</v>
      </c>
      <c r="N646">
        <v>29</v>
      </c>
    </row>
    <row r="647" spans="1:14" x14ac:dyDescent="0.15">
      <c r="A647" s="26" t="s">
        <v>32</v>
      </c>
      <c r="B647" s="4">
        <v>20009</v>
      </c>
      <c r="C647" s="3" t="str">
        <f ca="1">VLOOKUP($B647,OFFSET([1]quests!$A$1,0,0,COUNTA([1]quests!$A:$A),MATCH(C$1,[1]quests!$1:$1,0)-MATCH($B$1,[1]quests!$1:$1,0)+1),MATCH(C$1,[1]quests!$1:$1,0)-MATCH($B$1,[1]quests!$1:$1,0)+1,FALSE)</f>
        <v>迫り来る窒息</v>
      </c>
      <c r="D647" s="3" t="str">
        <f ca="1">VLOOKUP($B647,OFFSET([1]quests!$A$1,0,0,COUNTA([1]quests!$A:$A),MATCH(D$1,[1]quests!$1:$1,0)-MATCH($B$1,[1]quests!$1:$1,0)+1),MATCH(D$1,[1]quests!$1:$1,0)-MATCH($B$1,[1]quests!$1:$1,0)+1,FALSE)</f>
        <v>ドロップイベント3</v>
      </c>
      <c r="E647" s="5">
        <v>2</v>
      </c>
      <c r="F647" s="3" t="str">
        <f ca="1">VLOOKUP($B647&amp;"_"&amp;$E647,OFFSET([1]stages!$A$1,0,0,COUNTA([1]stages!$A:$A),MATCH(F$1,[1]stages!$2:$2,0)-MATCH("temp_stage",[1]stages!$2:$2,0)+1),MATCH(F$1,[1]stages!$2:$2,0)-MATCH("temp_stage",[1]stages!$2:$2,0)+1,FALSE)</f>
        <v>【中級】迫り来る窒息</v>
      </c>
      <c r="G647" s="3" t="str">
        <f ca="1">VLOOKUP($B647&amp;"_"&amp;$E647,OFFSET([1]stages!$A$1,0,0,COUNTA([1]stages!$A:$A),MATCH(G$1,[1]stages!$2:$2,0)-MATCH("temp_stage",[1]stages!$2:$2,0)+1),MATCH(G$1,[1]stages!$2:$2,0)-MATCH("temp_stage",[1]stages!$2:$2,0)+1,FALSE)</f>
        <v>ドロップイベント3</v>
      </c>
      <c r="H647" s="18">
        <v>0</v>
      </c>
      <c r="I647">
        <v>30</v>
      </c>
      <c r="J647" s="5" t="s">
        <v>16</v>
      </c>
      <c r="K647" s="35" t="str">
        <f>VLOOKUP(I647,[2]stage_hints!$A:$C,3,FALSE)</f>
        <v>「バグ」の増やし方</v>
      </c>
      <c r="L647" s="36" t="str">
        <f>VLOOKUP(I647,[2]stage_hints!$A:$D,4,FALSE)</f>
        <v>同じユニット同士を強化で合成すると_x000D_「バグ」を増やすことができます</v>
      </c>
      <c r="M647" s="21" t="s">
        <v>23</v>
      </c>
      <c r="N647">
        <v>30</v>
      </c>
    </row>
    <row r="648" spans="1:14" x14ac:dyDescent="0.15">
      <c r="A648" s="26" t="s">
        <v>32</v>
      </c>
      <c r="B648" s="4">
        <v>20009</v>
      </c>
      <c r="C648" s="3" t="str">
        <f ca="1">VLOOKUP($B648,OFFSET([1]quests!$A$1,0,0,COUNTA([1]quests!$A:$A),MATCH(C$1,[1]quests!$1:$1,0)-MATCH($B$1,[1]quests!$1:$1,0)+1),MATCH(C$1,[1]quests!$1:$1,0)-MATCH($B$1,[1]quests!$1:$1,0)+1,FALSE)</f>
        <v>迫り来る窒息</v>
      </c>
      <c r="D648" s="3" t="str">
        <f ca="1">VLOOKUP($B648,OFFSET([1]quests!$A$1,0,0,COUNTA([1]quests!$A:$A),MATCH(D$1,[1]quests!$1:$1,0)-MATCH($B$1,[1]quests!$1:$1,0)+1),MATCH(D$1,[1]quests!$1:$1,0)-MATCH($B$1,[1]quests!$1:$1,0)+1,FALSE)</f>
        <v>ドロップイベント3</v>
      </c>
      <c r="E648" s="5">
        <v>2</v>
      </c>
      <c r="F648" s="3" t="str">
        <f ca="1">VLOOKUP($B648&amp;"_"&amp;$E648,OFFSET([1]stages!$A$1,0,0,COUNTA([1]stages!$A:$A),MATCH(F$1,[1]stages!$2:$2,0)-MATCH("temp_stage",[1]stages!$2:$2,0)+1),MATCH(F$1,[1]stages!$2:$2,0)-MATCH("temp_stage",[1]stages!$2:$2,0)+1,FALSE)</f>
        <v>【中級】迫り来る窒息</v>
      </c>
      <c r="G648" s="3" t="str">
        <f ca="1">VLOOKUP($B648&amp;"_"&amp;$E648,OFFSET([1]stages!$A$1,0,0,COUNTA([1]stages!$A:$A),MATCH(G$1,[1]stages!$2:$2,0)-MATCH("temp_stage",[1]stages!$2:$2,0)+1),MATCH(G$1,[1]stages!$2:$2,0)-MATCH("temp_stage",[1]stages!$2:$2,0)+1,FALSE)</f>
        <v>ドロップイベント3</v>
      </c>
      <c r="H648" s="18">
        <v>0</v>
      </c>
      <c r="I648">
        <v>31</v>
      </c>
      <c r="J648" s="5" t="s">
        <v>16</v>
      </c>
      <c r="K648" s="35" t="str">
        <f>VLOOKUP(I648,[2]stage_hints!$A:$C,3,FALSE)</f>
        <v>イベントはお知らせでチェック</v>
      </c>
      <c r="L648" s="36" t="str">
        <f>VLOOKUP(I648,[2]stage_hints!$A:$D,4,FALSE)</f>
        <v>イベント限定ユニットを取り忘れないように_x000D_お知らせをこまめにチェックしましょう</v>
      </c>
      <c r="M648" s="21" t="s">
        <v>23</v>
      </c>
      <c r="N648">
        <v>31</v>
      </c>
    </row>
    <row r="649" spans="1:14" x14ac:dyDescent="0.15">
      <c r="A649" s="26" t="s">
        <v>32</v>
      </c>
      <c r="B649" s="4">
        <v>20009</v>
      </c>
      <c r="C649" s="3" t="str">
        <f ca="1">VLOOKUP($B649,OFFSET([1]quests!$A$1,0,0,COUNTA([1]quests!$A:$A),MATCH(C$1,[1]quests!$1:$1,0)-MATCH($B$1,[1]quests!$1:$1,0)+1),MATCH(C$1,[1]quests!$1:$1,0)-MATCH($B$1,[1]quests!$1:$1,0)+1,FALSE)</f>
        <v>迫り来る窒息</v>
      </c>
      <c r="D649" s="3" t="str">
        <f ca="1">VLOOKUP($B649,OFFSET([1]quests!$A$1,0,0,COUNTA([1]quests!$A:$A),MATCH(D$1,[1]quests!$1:$1,0)-MATCH($B$1,[1]quests!$1:$1,0)+1),MATCH(D$1,[1]quests!$1:$1,0)-MATCH($B$1,[1]quests!$1:$1,0)+1,FALSE)</f>
        <v>ドロップイベント3</v>
      </c>
      <c r="E649" s="5">
        <v>2</v>
      </c>
      <c r="F649" s="3" t="str">
        <f ca="1">VLOOKUP($B649&amp;"_"&amp;$E649,OFFSET([1]stages!$A$1,0,0,COUNTA([1]stages!$A:$A),MATCH(F$1,[1]stages!$2:$2,0)-MATCH("temp_stage",[1]stages!$2:$2,0)+1),MATCH(F$1,[1]stages!$2:$2,0)-MATCH("temp_stage",[1]stages!$2:$2,0)+1,FALSE)</f>
        <v>【中級】迫り来る窒息</v>
      </c>
      <c r="G649" s="3" t="str">
        <f ca="1">VLOOKUP($B649&amp;"_"&amp;$E649,OFFSET([1]stages!$A$1,0,0,COUNTA([1]stages!$A:$A),MATCH(G$1,[1]stages!$2:$2,0)-MATCH("temp_stage",[1]stages!$2:$2,0)+1),MATCH(G$1,[1]stages!$2:$2,0)-MATCH("temp_stage",[1]stages!$2:$2,0)+1,FALSE)</f>
        <v>ドロップイベント3</v>
      </c>
      <c r="H649" s="18">
        <v>0</v>
      </c>
      <c r="I649">
        <v>32</v>
      </c>
      <c r="J649" s="5" t="s">
        <v>16</v>
      </c>
      <c r="K649" s="35" t="str">
        <f>VLOOKUP(I649,[2]stage_hints!$A:$C,3,FALSE)</f>
        <v>敵の連続攻撃には</v>
      </c>
      <c r="L649" s="36" t="str">
        <f>VLOOKUP(I649,[2]stage_hints!$A:$D,4,FALSE)</f>
        <v>カウンタースキルを持つユニットがいれば_x000D_ダメージ回数分の反撃ができます</v>
      </c>
      <c r="M649" s="21" t="s">
        <v>23</v>
      </c>
      <c r="N649">
        <v>32</v>
      </c>
    </row>
    <row r="650" spans="1:14" x14ac:dyDescent="0.15">
      <c r="A650" s="26" t="s">
        <v>32</v>
      </c>
      <c r="B650" s="4">
        <v>20009</v>
      </c>
      <c r="C650" s="3" t="str">
        <f ca="1">VLOOKUP($B650,OFFSET([1]quests!$A$1,0,0,COUNTA([1]quests!$A:$A),MATCH(C$1,[1]quests!$1:$1,0)-MATCH($B$1,[1]quests!$1:$1,0)+1),MATCH(C$1,[1]quests!$1:$1,0)-MATCH($B$1,[1]quests!$1:$1,0)+1,FALSE)</f>
        <v>迫り来る窒息</v>
      </c>
      <c r="D650" s="3" t="str">
        <f ca="1">VLOOKUP($B650,OFFSET([1]quests!$A$1,0,0,COUNTA([1]quests!$A:$A),MATCH(D$1,[1]quests!$1:$1,0)-MATCH($B$1,[1]quests!$1:$1,0)+1),MATCH(D$1,[1]quests!$1:$1,0)-MATCH($B$1,[1]quests!$1:$1,0)+1,FALSE)</f>
        <v>ドロップイベント3</v>
      </c>
      <c r="E650" s="5">
        <v>2</v>
      </c>
      <c r="F650" s="3" t="str">
        <f ca="1">VLOOKUP($B650&amp;"_"&amp;$E650,OFFSET([1]stages!$A$1,0,0,COUNTA([1]stages!$A:$A),MATCH(F$1,[1]stages!$2:$2,0)-MATCH("temp_stage",[1]stages!$2:$2,0)+1),MATCH(F$1,[1]stages!$2:$2,0)-MATCH("temp_stage",[1]stages!$2:$2,0)+1,FALSE)</f>
        <v>【中級】迫り来る窒息</v>
      </c>
      <c r="G650" s="3" t="str">
        <f ca="1">VLOOKUP($B650&amp;"_"&amp;$E650,OFFSET([1]stages!$A$1,0,0,COUNTA([1]stages!$A:$A),MATCH(G$1,[1]stages!$2:$2,0)-MATCH("temp_stage",[1]stages!$2:$2,0)+1),MATCH(G$1,[1]stages!$2:$2,0)-MATCH("temp_stage",[1]stages!$2:$2,0)+1,FALSE)</f>
        <v>ドロップイベント3</v>
      </c>
      <c r="H650" s="18">
        <v>0</v>
      </c>
      <c r="I650">
        <v>33</v>
      </c>
      <c r="J650" s="5" t="s">
        <v>16</v>
      </c>
      <c r="K650" s="35" t="str">
        <f>VLOOKUP(I650,[2]stage_hints!$A:$C,3,FALSE)</f>
        <v>敵のカウンター攻撃には</v>
      </c>
      <c r="L650" s="36" t="str">
        <f>VLOOKUP(I650,[2]stage_hints!$A:$D,4,FALSE)</f>
        <v>カウンターブレイクスキルを持っていれば_x000D_敵のカウンターを解除して攻撃ができます</v>
      </c>
      <c r="M650" s="21" t="s">
        <v>23</v>
      </c>
      <c r="N650">
        <v>33</v>
      </c>
    </row>
    <row r="651" spans="1:14" x14ac:dyDescent="0.15">
      <c r="A651" s="26" t="s">
        <v>32</v>
      </c>
      <c r="B651" s="4">
        <v>20009</v>
      </c>
      <c r="C651" s="3" t="str">
        <f ca="1">VLOOKUP($B651,OFFSET([1]quests!$A$1,0,0,COUNTA([1]quests!$A:$A),MATCH(C$1,[1]quests!$1:$1,0)-MATCH($B$1,[1]quests!$1:$1,0)+1),MATCH(C$1,[1]quests!$1:$1,0)-MATCH($B$1,[1]quests!$1:$1,0)+1,FALSE)</f>
        <v>迫り来る窒息</v>
      </c>
      <c r="D651" s="3" t="str">
        <f ca="1">VLOOKUP($B651,OFFSET([1]quests!$A$1,0,0,COUNTA([1]quests!$A:$A),MATCH(D$1,[1]quests!$1:$1,0)-MATCH($B$1,[1]quests!$1:$1,0)+1),MATCH(D$1,[1]quests!$1:$1,0)-MATCH($B$1,[1]quests!$1:$1,0)+1,FALSE)</f>
        <v>ドロップイベント3</v>
      </c>
      <c r="E651" s="5">
        <v>2</v>
      </c>
      <c r="F651" s="3" t="str">
        <f ca="1">VLOOKUP($B651&amp;"_"&amp;$E651,OFFSET([1]stages!$A$1,0,0,COUNTA([1]stages!$A:$A),MATCH(F$1,[1]stages!$2:$2,0)-MATCH("temp_stage",[1]stages!$2:$2,0)+1),MATCH(F$1,[1]stages!$2:$2,0)-MATCH("temp_stage",[1]stages!$2:$2,0)+1,FALSE)</f>
        <v>【中級】迫り来る窒息</v>
      </c>
      <c r="G651" s="3" t="str">
        <f ca="1">VLOOKUP($B651&amp;"_"&amp;$E651,OFFSET([1]stages!$A$1,0,0,COUNTA([1]stages!$A:$A),MATCH(G$1,[1]stages!$2:$2,0)-MATCH("temp_stage",[1]stages!$2:$2,0)+1),MATCH(G$1,[1]stages!$2:$2,0)-MATCH("temp_stage",[1]stages!$2:$2,0)+1,FALSE)</f>
        <v>ドロップイベント3</v>
      </c>
      <c r="H651" s="18">
        <v>0</v>
      </c>
      <c r="I651">
        <v>34</v>
      </c>
      <c r="J651" s="5" t="s">
        <v>16</v>
      </c>
      <c r="K651" s="35" t="str">
        <f>VLOOKUP(I651,[2]stage_hints!$A:$C,3,FALSE)</f>
        <v>ステータスをスキルで下げられたら</v>
      </c>
      <c r="L651" s="36" t="str">
        <f>VLOOKUP(I651,[2]stage_hints!$A:$D,4,FALSE)</f>
        <v>ステータスダウンのスキルを受けたら_x000D_ステータスアップスキルで上書きしましょう</v>
      </c>
      <c r="M651" s="21" t="s">
        <v>23</v>
      </c>
      <c r="N651">
        <v>34</v>
      </c>
    </row>
    <row r="652" spans="1:14" x14ac:dyDescent="0.15">
      <c r="A652" s="26" t="s">
        <v>32</v>
      </c>
      <c r="B652" s="4">
        <v>20009</v>
      </c>
      <c r="C652" s="3" t="str">
        <f ca="1">VLOOKUP($B652,OFFSET([1]quests!$A$1,0,0,COUNTA([1]quests!$A:$A),MATCH(C$1,[1]quests!$1:$1,0)-MATCH($B$1,[1]quests!$1:$1,0)+1),MATCH(C$1,[1]quests!$1:$1,0)-MATCH($B$1,[1]quests!$1:$1,0)+1,FALSE)</f>
        <v>迫り来る窒息</v>
      </c>
      <c r="D652" s="3" t="str">
        <f ca="1">VLOOKUP($B652,OFFSET([1]quests!$A$1,0,0,COUNTA([1]quests!$A:$A),MATCH(D$1,[1]quests!$1:$1,0)-MATCH($B$1,[1]quests!$1:$1,0)+1),MATCH(D$1,[1]quests!$1:$1,0)-MATCH($B$1,[1]quests!$1:$1,0)+1,FALSE)</f>
        <v>ドロップイベント3</v>
      </c>
      <c r="E652" s="5">
        <v>2</v>
      </c>
      <c r="F652" s="3" t="str">
        <f ca="1">VLOOKUP($B652&amp;"_"&amp;$E652,OFFSET([1]stages!$A$1,0,0,COUNTA([1]stages!$A:$A),MATCH(F$1,[1]stages!$2:$2,0)-MATCH("temp_stage",[1]stages!$2:$2,0)+1),MATCH(F$1,[1]stages!$2:$2,0)-MATCH("temp_stage",[1]stages!$2:$2,0)+1,FALSE)</f>
        <v>【中級】迫り来る窒息</v>
      </c>
      <c r="G652" s="3" t="str">
        <f ca="1">VLOOKUP($B652&amp;"_"&amp;$E652,OFFSET([1]stages!$A$1,0,0,COUNTA([1]stages!$A:$A),MATCH(G$1,[1]stages!$2:$2,0)-MATCH("temp_stage",[1]stages!$2:$2,0)+1),MATCH(G$1,[1]stages!$2:$2,0)-MATCH("temp_stage",[1]stages!$2:$2,0)+1,FALSE)</f>
        <v>ドロップイベント3</v>
      </c>
      <c r="H652" s="18">
        <v>0</v>
      </c>
      <c r="I652">
        <v>35</v>
      </c>
      <c r="J652" s="5" t="s">
        <v>16</v>
      </c>
      <c r="K652" s="35" t="str">
        <f>VLOOKUP(I652,[2]stage_hints!$A:$C,3,FALSE)</f>
        <v>敵のステータスがスキルで上がったら</v>
      </c>
      <c r="L652" s="36" t="str">
        <f>VLOOKUP(I652,[2]stage_hints!$A:$D,4,FALSE)</f>
        <v>敵のステータスがスキルでアップしたときは_x000D_ステータスダウンスキルで上書きしましょう</v>
      </c>
      <c r="M652" s="21" t="s">
        <v>23</v>
      </c>
      <c r="N652">
        <v>35</v>
      </c>
    </row>
    <row r="653" spans="1:14" x14ac:dyDescent="0.15">
      <c r="A653" s="26" t="s">
        <v>32</v>
      </c>
      <c r="B653" s="4">
        <v>20010</v>
      </c>
      <c r="C653" s="3" t="str">
        <f ca="1">VLOOKUP($B653,OFFSET([1]quests!$A$1,0,0,COUNTA([1]quests!$A:$A),MATCH(C$1,[1]quests!$1:$1,0)-MATCH($B$1,[1]quests!$1:$1,0)+1),MATCH(C$1,[1]quests!$1:$1,0)-MATCH($B$1,[1]quests!$1:$1,0)+1,FALSE)</f>
        <v>悪夢の一目惚れ</v>
      </c>
      <c r="D653" s="3" t="str">
        <f ca="1">VLOOKUP($B653,OFFSET([1]quests!$A$1,0,0,COUNTA([1]quests!$A:$A),MATCH(D$1,[1]quests!$1:$1,0)-MATCH($B$1,[1]quests!$1:$1,0)+1),MATCH(D$1,[1]quests!$1:$1,0)-MATCH($B$1,[1]quests!$1:$1,0)+1,FALSE)</f>
        <v>ドロップイベント3</v>
      </c>
      <c r="E653" s="5">
        <v>2</v>
      </c>
      <c r="F653" s="3" t="str">
        <f ca="1">VLOOKUP($B653&amp;"_"&amp;$E653,OFFSET([1]stages!$A$1,0,0,COUNTA([1]stages!$A:$A),MATCH(F$1,[1]stages!$2:$2,0)-MATCH("temp_stage",[1]stages!$2:$2,0)+1),MATCH(F$1,[1]stages!$2:$2,0)-MATCH("temp_stage",[1]stages!$2:$2,0)+1,FALSE)</f>
        <v>【中級】悪夢の一目惚れ</v>
      </c>
      <c r="G653" s="3" t="str">
        <f ca="1">VLOOKUP($B653&amp;"_"&amp;$E653,OFFSET([1]stages!$A$1,0,0,COUNTA([1]stages!$A:$A),MATCH(G$1,[1]stages!$2:$2,0)-MATCH("temp_stage",[1]stages!$2:$2,0)+1),MATCH(G$1,[1]stages!$2:$2,0)-MATCH("temp_stage",[1]stages!$2:$2,0)+1,FALSE)</f>
        <v>ドロップイベント3</v>
      </c>
      <c r="H653" s="18">
        <v>0</v>
      </c>
      <c r="I653">
        <v>3</v>
      </c>
      <c r="J653" s="5" t="s">
        <v>16</v>
      </c>
      <c r="K653" s="35" t="str">
        <f>VLOOKUP(I653,[2]stage_hints!$A:$C,3,FALSE)</f>
        <v>ターゲット</v>
      </c>
      <c r="L653" s="36" t="str">
        <f>VLOOKUP(I653,[2]stage_hints!$A:$D,4,FALSE)</f>
        <v>敵ユニットをタップすると_x000D_その敵を狙い撃ちできます</v>
      </c>
      <c r="M653" s="21" t="s">
        <v>23</v>
      </c>
      <c r="N653">
        <v>3</v>
      </c>
    </row>
    <row r="654" spans="1:14" x14ac:dyDescent="0.15">
      <c r="A654" s="26" t="s">
        <v>32</v>
      </c>
      <c r="B654" s="4">
        <v>20010</v>
      </c>
      <c r="C654" s="3" t="str">
        <f ca="1">VLOOKUP($B654,OFFSET([1]quests!$A$1,0,0,COUNTA([1]quests!$A:$A),MATCH(C$1,[1]quests!$1:$1,0)-MATCH($B$1,[1]quests!$1:$1,0)+1),MATCH(C$1,[1]quests!$1:$1,0)-MATCH($B$1,[1]quests!$1:$1,0)+1,FALSE)</f>
        <v>悪夢の一目惚れ</v>
      </c>
      <c r="D654" s="3" t="str">
        <f ca="1">VLOOKUP($B654,OFFSET([1]quests!$A$1,0,0,COUNTA([1]quests!$A:$A),MATCH(D$1,[1]quests!$1:$1,0)-MATCH($B$1,[1]quests!$1:$1,0)+1),MATCH(D$1,[1]quests!$1:$1,0)-MATCH($B$1,[1]quests!$1:$1,0)+1,FALSE)</f>
        <v>ドロップイベント3</v>
      </c>
      <c r="E654" s="5">
        <v>2</v>
      </c>
      <c r="F654" s="3" t="str">
        <f ca="1">VLOOKUP($B654&amp;"_"&amp;$E654,OFFSET([1]stages!$A$1,0,0,COUNTA([1]stages!$A:$A),MATCH(F$1,[1]stages!$2:$2,0)-MATCH("temp_stage",[1]stages!$2:$2,0)+1),MATCH(F$1,[1]stages!$2:$2,0)-MATCH("temp_stage",[1]stages!$2:$2,0)+1,FALSE)</f>
        <v>【中級】悪夢の一目惚れ</v>
      </c>
      <c r="G654" s="3" t="str">
        <f ca="1">VLOOKUP($B654&amp;"_"&amp;$E654,OFFSET([1]stages!$A$1,0,0,COUNTA([1]stages!$A:$A),MATCH(G$1,[1]stages!$2:$2,0)-MATCH("temp_stage",[1]stages!$2:$2,0)+1),MATCH(G$1,[1]stages!$2:$2,0)-MATCH("temp_stage",[1]stages!$2:$2,0)+1,FALSE)</f>
        <v>ドロップイベント3</v>
      </c>
      <c r="H654" s="18">
        <v>0</v>
      </c>
      <c r="I654">
        <v>6</v>
      </c>
      <c r="J654" s="5" t="s">
        <v>16</v>
      </c>
      <c r="K654" s="35" t="str">
        <f>VLOOKUP(I654,[2]stage_hints!$A:$C,3,FALSE)</f>
        <v>ユニット強化の属性ボーナス</v>
      </c>
      <c r="L654" s="36" t="str">
        <f>VLOOKUP(I654,[2]stage_hints!$A:$D,4,FALSE)</f>
        <v>同属性ユニットを強化素材にすると_x000D_経験値が多くもらえます</v>
      </c>
      <c r="M654" s="21" t="s">
        <v>23</v>
      </c>
      <c r="N654">
        <v>6</v>
      </c>
    </row>
    <row r="655" spans="1:14" x14ac:dyDescent="0.15">
      <c r="A655" s="26" t="s">
        <v>32</v>
      </c>
      <c r="B655" s="4">
        <v>20010</v>
      </c>
      <c r="C655" s="3" t="str">
        <f ca="1">VLOOKUP($B655,OFFSET([1]quests!$A$1,0,0,COUNTA([1]quests!$A:$A),MATCH(C$1,[1]quests!$1:$1,0)-MATCH($B$1,[1]quests!$1:$1,0)+1),MATCH(C$1,[1]quests!$1:$1,0)-MATCH($B$1,[1]quests!$1:$1,0)+1,FALSE)</f>
        <v>悪夢の一目惚れ</v>
      </c>
      <c r="D655" s="3" t="str">
        <f ca="1">VLOOKUP($B655,OFFSET([1]quests!$A$1,0,0,COUNTA([1]quests!$A:$A),MATCH(D$1,[1]quests!$1:$1,0)-MATCH($B$1,[1]quests!$1:$1,0)+1),MATCH(D$1,[1]quests!$1:$1,0)-MATCH($B$1,[1]quests!$1:$1,0)+1,FALSE)</f>
        <v>ドロップイベント3</v>
      </c>
      <c r="E655" s="5">
        <v>2</v>
      </c>
      <c r="F655" s="3" t="str">
        <f ca="1">VLOOKUP($B655&amp;"_"&amp;$E655,OFFSET([1]stages!$A$1,0,0,COUNTA([1]stages!$A:$A),MATCH(F$1,[1]stages!$2:$2,0)-MATCH("temp_stage",[1]stages!$2:$2,0)+1),MATCH(F$1,[1]stages!$2:$2,0)-MATCH("temp_stage",[1]stages!$2:$2,0)+1,FALSE)</f>
        <v>【中級】悪夢の一目惚れ</v>
      </c>
      <c r="G655" s="3" t="str">
        <f ca="1">VLOOKUP($B655&amp;"_"&amp;$E655,OFFSET([1]stages!$A$1,0,0,COUNTA([1]stages!$A:$A),MATCH(G$1,[1]stages!$2:$2,0)-MATCH("temp_stage",[1]stages!$2:$2,0)+1),MATCH(G$1,[1]stages!$2:$2,0)-MATCH("temp_stage",[1]stages!$2:$2,0)+1,FALSE)</f>
        <v>ドロップイベント3</v>
      </c>
      <c r="H655" s="18">
        <v>0</v>
      </c>
      <c r="I655">
        <v>7</v>
      </c>
      <c r="J655" s="5" t="s">
        <v>16</v>
      </c>
      <c r="K655" s="35" t="str">
        <f>VLOOKUP(I655,[2]stage_hints!$A:$C,3,FALSE)</f>
        <v>メタルダックで経験値を獲得</v>
      </c>
      <c r="L655" s="36" t="str">
        <f>VLOOKUP(I655,[2]stage_hints!$A:$D,4,FALSE)</f>
        <v>「メタルなアヒル」を強化素材にすると_x000D_大量の経験値がもらえます</v>
      </c>
      <c r="M655" s="21" t="s">
        <v>23</v>
      </c>
      <c r="N655">
        <v>7</v>
      </c>
    </row>
    <row r="656" spans="1:14" x14ac:dyDescent="0.15">
      <c r="A656" s="26" t="s">
        <v>32</v>
      </c>
      <c r="B656" s="4">
        <v>20010</v>
      </c>
      <c r="C656" s="3" t="str">
        <f ca="1">VLOOKUP($B656,OFFSET([1]quests!$A$1,0,0,COUNTA([1]quests!$A:$A),MATCH(C$1,[1]quests!$1:$1,0)-MATCH($B$1,[1]quests!$1:$1,0)+1),MATCH(C$1,[1]quests!$1:$1,0)-MATCH($B$1,[1]quests!$1:$1,0)+1,FALSE)</f>
        <v>悪夢の一目惚れ</v>
      </c>
      <c r="D656" s="3" t="str">
        <f ca="1">VLOOKUP($B656,OFFSET([1]quests!$A$1,0,0,COUNTA([1]quests!$A:$A),MATCH(D$1,[1]quests!$1:$1,0)-MATCH($B$1,[1]quests!$1:$1,0)+1),MATCH(D$1,[1]quests!$1:$1,0)-MATCH($B$1,[1]quests!$1:$1,0)+1,FALSE)</f>
        <v>ドロップイベント3</v>
      </c>
      <c r="E656" s="5">
        <v>2</v>
      </c>
      <c r="F656" s="3" t="str">
        <f ca="1">VLOOKUP($B656&amp;"_"&amp;$E656,OFFSET([1]stages!$A$1,0,0,COUNTA([1]stages!$A:$A),MATCH(F$1,[1]stages!$2:$2,0)-MATCH("temp_stage",[1]stages!$2:$2,0)+1),MATCH(F$1,[1]stages!$2:$2,0)-MATCH("temp_stage",[1]stages!$2:$2,0)+1,FALSE)</f>
        <v>【中級】悪夢の一目惚れ</v>
      </c>
      <c r="G656" s="3" t="str">
        <f ca="1">VLOOKUP($B656&amp;"_"&amp;$E656,OFFSET([1]stages!$A$1,0,0,COUNTA([1]stages!$A:$A),MATCH(G$1,[1]stages!$2:$2,0)-MATCH("temp_stage",[1]stages!$2:$2,0)+1),MATCH(G$1,[1]stages!$2:$2,0)-MATCH("temp_stage",[1]stages!$2:$2,0)+1,FALSE)</f>
        <v>ドロップイベント3</v>
      </c>
      <c r="H656" s="18">
        <v>0</v>
      </c>
      <c r="I656">
        <v>8</v>
      </c>
      <c r="J656" s="5" t="s">
        <v>16</v>
      </c>
      <c r="K656" s="35" t="str">
        <f>VLOOKUP(I656,[2]stage_hints!$A:$C,3,FALSE)</f>
        <v>ゲリラクエストは要チェック</v>
      </c>
      <c r="L656" s="36" t="str">
        <f>VLOOKUP(I656,[2]stage_hints!$A:$D,4,FALSE)</f>
        <v>時間限定の「アヒル捕獲作戦」では_x000D_経験値素材ユニットが多く手に入ります</v>
      </c>
      <c r="M656" s="21" t="s">
        <v>23</v>
      </c>
      <c r="N656">
        <v>8</v>
      </c>
    </row>
    <row r="657" spans="1:14" x14ac:dyDescent="0.15">
      <c r="A657" s="26" t="s">
        <v>32</v>
      </c>
      <c r="B657" s="4">
        <v>20010</v>
      </c>
      <c r="C657" s="3" t="str">
        <f ca="1">VLOOKUP($B657,OFFSET([1]quests!$A$1,0,0,COUNTA([1]quests!$A:$A),MATCH(C$1,[1]quests!$1:$1,0)-MATCH($B$1,[1]quests!$1:$1,0)+1),MATCH(C$1,[1]quests!$1:$1,0)-MATCH($B$1,[1]quests!$1:$1,0)+1,FALSE)</f>
        <v>悪夢の一目惚れ</v>
      </c>
      <c r="D657" s="3" t="str">
        <f ca="1">VLOOKUP($B657,OFFSET([1]quests!$A$1,0,0,COUNTA([1]quests!$A:$A),MATCH(D$1,[1]quests!$1:$1,0)-MATCH($B$1,[1]quests!$1:$1,0)+1),MATCH(D$1,[1]quests!$1:$1,0)-MATCH($B$1,[1]quests!$1:$1,0)+1,FALSE)</f>
        <v>ドロップイベント3</v>
      </c>
      <c r="E657" s="5">
        <v>2</v>
      </c>
      <c r="F657" s="3" t="str">
        <f ca="1">VLOOKUP($B657&amp;"_"&amp;$E657,OFFSET([1]stages!$A$1,0,0,COUNTA([1]stages!$A:$A),MATCH(F$1,[1]stages!$2:$2,0)-MATCH("temp_stage",[1]stages!$2:$2,0)+1),MATCH(F$1,[1]stages!$2:$2,0)-MATCH("temp_stage",[1]stages!$2:$2,0)+1,FALSE)</f>
        <v>【中級】悪夢の一目惚れ</v>
      </c>
      <c r="G657" s="3" t="str">
        <f ca="1">VLOOKUP($B657&amp;"_"&amp;$E657,OFFSET([1]stages!$A$1,0,0,COUNTA([1]stages!$A:$A),MATCH(G$1,[1]stages!$2:$2,0)-MATCH("temp_stage",[1]stages!$2:$2,0)+1),MATCH(G$1,[1]stages!$2:$2,0)-MATCH("temp_stage",[1]stages!$2:$2,0)+1,FALSE)</f>
        <v>ドロップイベント3</v>
      </c>
      <c r="H657" s="18">
        <v>0</v>
      </c>
      <c r="I657">
        <v>9</v>
      </c>
      <c r="J657" s="5" t="s">
        <v>16</v>
      </c>
      <c r="K657" s="35" t="str">
        <f>VLOOKUP(I657,[2]stage_hints!$A:$C,3,FALSE)</f>
        <v>ゴールドダックでビットを獲得</v>
      </c>
      <c r="L657" s="36" t="str">
        <f>VLOOKUP(I657,[2]stage_hints!$A:$D,4,FALSE)</f>
        <v>「ゴールドなアヒル」を売却すると_x000D_大量のビットがもらえます</v>
      </c>
      <c r="M657" s="21" t="s">
        <v>23</v>
      </c>
      <c r="N657">
        <v>9</v>
      </c>
    </row>
    <row r="658" spans="1:14" x14ac:dyDescent="0.15">
      <c r="A658" s="26" t="s">
        <v>32</v>
      </c>
      <c r="B658" s="4">
        <v>20010</v>
      </c>
      <c r="C658" s="3" t="str">
        <f ca="1">VLOOKUP($B658,OFFSET([1]quests!$A$1,0,0,COUNTA([1]quests!$A:$A),MATCH(C$1,[1]quests!$1:$1,0)-MATCH($B$1,[1]quests!$1:$1,0)+1),MATCH(C$1,[1]quests!$1:$1,0)-MATCH($B$1,[1]quests!$1:$1,0)+1,FALSE)</f>
        <v>悪夢の一目惚れ</v>
      </c>
      <c r="D658" s="3" t="str">
        <f ca="1">VLOOKUP($B658,OFFSET([1]quests!$A$1,0,0,COUNTA([1]quests!$A:$A),MATCH(D$1,[1]quests!$1:$1,0)-MATCH($B$1,[1]quests!$1:$1,0)+1),MATCH(D$1,[1]quests!$1:$1,0)-MATCH($B$1,[1]quests!$1:$1,0)+1,FALSE)</f>
        <v>ドロップイベント3</v>
      </c>
      <c r="E658" s="5">
        <v>2</v>
      </c>
      <c r="F658" s="3" t="str">
        <f ca="1">VLOOKUP($B658&amp;"_"&amp;$E658,OFFSET([1]stages!$A$1,0,0,COUNTA([1]stages!$A:$A),MATCH(F$1,[1]stages!$2:$2,0)-MATCH("temp_stage",[1]stages!$2:$2,0)+1),MATCH(F$1,[1]stages!$2:$2,0)-MATCH("temp_stage",[1]stages!$2:$2,0)+1,FALSE)</f>
        <v>【中級】悪夢の一目惚れ</v>
      </c>
      <c r="G658" s="3" t="str">
        <f ca="1">VLOOKUP($B658&amp;"_"&amp;$E658,OFFSET([1]stages!$A$1,0,0,COUNTA([1]stages!$A:$A),MATCH(G$1,[1]stages!$2:$2,0)-MATCH("temp_stage",[1]stages!$2:$2,0)+1),MATCH(G$1,[1]stages!$2:$2,0)-MATCH("temp_stage",[1]stages!$2:$2,0)+1,FALSE)</f>
        <v>ドロップイベント3</v>
      </c>
      <c r="H658" s="18">
        <v>0</v>
      </c>
      <c r="I658">
        <v>10</v>
      </c>
      <c r="J658" s="5" t="s">
        <v>16</v>
      </c>
      <c r="K658" s="35" t="str">
        <f>VLOOKUP(I658,[2]stage_hints!$A:$C,3,FALSE)</f>
        <v>土日に大量のビットを獲得</v>
      </c>
      <c r="L658" s="36" t="str">
        <f>VLOOKUP(I658,[2]stage_hints!$A:$D,4,FALSE)</f>
        <v>土日限定の「ゴールドカジノ」では_x000D_売却素材ユニットが多く手に入ります</v>
      </c>
      <c r="M658" s="21" t="s">
        <v>23</v>
      </c>
      <c r="N658">
        <v>10</v>
      </c>
    </row>
    <row r="659" spans="1:14" x14ac:dyDescent="0.15">
      <c r="A659" s="26" t="s">
        <v>32</v>
      </c>
      <c r="B659" s="4">
        <v>20010</v>
      </c>
      <c r="C659" s="3" t="str">
        <f ca="1">VLOOKUP($B659,OFFSET([1]quests!$A$1,0,0,COUNTA([1]quests!$A:$A),MATCH(C$1,[1]quests!$1:$1,0)-MATCH($B$1,[1]quests!$1:$1,0)+1),MATCH(C$1,[1]quests!$1:$1,0)-MATCH($B$1,[1]quests!$1:$1,0)+1,FALSE)</f>
        <v>悪夢の一目惚れ</v>
      </c>
      <c r="D659" s="3" t="str">
        <f ca="1">VLOOKUP($B659,OFFSET([1]quests!$A$1,0,0,COUNTA([1]quests!$A:$A),MATCH(D$1,[1]quests!$1:$1,0)-MATCH($B$1,[1]quests!$1:$1,0)+1),MATCH(D$1,[1]quests!$1:$1,0)-MATCH($B$1,[1]quests!$1:$1,0)+1,FALSE)</f>
        <v>ドロップイベント3</v>
      </c>
      <c r="E659" s="5">
        <v>2</v>
      </c>
      <c r="F659" s="3" t="str">
        <f ca="1">VLOOKUP($B659&amp;"_"&amp;$E659,OFFSET([1]stages!$A$1,0,0,COUNTA([1]stages!$A:$A),MATCH(F$1,[1]stages!$2:$2,0)-MATCH("temp_stage",[1]stages!$2:$2,0)+1),MATCH(F$1,[1]stages!$2:$2,0)-MATCH("temp_stage",[1]stages!$2:$2,0)+1,FALSE)</f>
        <v>【中級】悪夢の一目惚れ</v>
      </c>
      <c r="G659" s="3" t="str">
        <f ca="1">VLOOKUP($B659&amp;"_"&amp;$E659,OFFSET([1]stages!$A$1,0,0,COUNTA([1]stages!$A:$A),MATCH(G$1,[1]stages!$2:$2,0)-MATCH("temp_stage",[1]stages!$2:$2,0)+1),MATCH(G$1,[1]stages!$2:$2,0)-MATCH("temp_stage",[1]stages!$2:$2,0)+1,FALSE)</f>
        <v>ドロップイベント3</v>
      </c>
      <c r="H659" s="18">
        <v>0</v>
      </c>
      <c r="I659">
        <v>11</v>
      </c>
      <c r="J659" s="5" t="s">
        <v>16</v>
      </c>
      <c r="K659" s="35" t="str">
        <f>VLOOKUP(I659,[2]stage_hints!$A:$C,3,FALSE)</f>
        <v>ランク解放クエスト</v>
      </c>
      <c r="L659" s="36" t="str">
        <f>VLOOKUP(I659,[2]stage_hints!$A:$D,4,FALSE)</f>
        <v>一定ランクに到達すると_x000D_報酬付きのランク開放クエストが現れます</v>
      </c>
      <c r="M659" s="21" t="s">
        <v>23</v>
      </c>
      <c r="N659">
        <v>11</v>
      </c>
    </row>
    <row r="660" spans="1:14" x14ac:dyDescent="0.15">
      <c r="A660" s="26" t="s">
        <v>32</v>
      </c>
      <c r="B660" s="4">
        <v>20010</v>
      </c>
      <c r="C660" s="3" t="str">
        <f ca="1">VLOOKUP($B660,OFFSET([1]quests!$A$1,0,0,COUNTA([1]quests!$A:$A),MATCH(C$1,[1]quests!$1:$1,0)-MATCH($B$1,[1]quests!$1:$1,0)+1),MATCH(C$1,[1]quests!$1:$1,0)-MATCH($B$1,[1]quests!$1:$1,0)+1,FALSE)</f>
        <v>悪夢の一目惚れ</v>
      </c>
      <c r="D660" s="3" t="str">
        <f ca="1">VLOOKUP($B660,OFFSET([1]quests!$A$1,0,0,COUNTA([1]quests!$A:$A),MATCH(D$1,[1]quests!$1:$1,0)-MATCH($B$1,[1]quests!$1:$1,0)+1),MATCH(D$1,[1]quests!$1:$1,0)-MATCH($B$1,[1]quests!$1:$1,0)+1,FALSE)</f>
        <v>ドロップイベント3</v>
      </c>
      <c r="E660" s="5">
        <v>2</v>
      </c>
      <c r="F660" s="3" t="str">
        <f ca="1">VLOOKUP($B660&amp;"_"&amp;$E660,OFFSET([1]stages!$A$1,0,0,COUNTA([1]stages!$A:$A),MATCH(F$1,[1]stages!$2:$2,0)-MATCH("temp_stage",[1]stages!$2:$2,0)+1),MATCH(F$1,[1]stages!$2:$2,0)-MATCH("temp_stage",[1]stages!$2:$2,0)+1,FALSE)</f>
        <v>【中級】悪夢の一目惚れ</v>
      </c>
      <c r="G660" s="3" t="str">
        <f ca="1">VLOOKUP($B660&amp;"_"&amp;$E660,OFFSET([1]stages!$A$1,0,0,COUNTA([1]stages!$A:$A),MATCH(G$1,[1]stages!$2:$2,0)-MATCH("temp_stage",[1]stages!$2:$2,0)+1),MATCH(G$1,[1]stages!$2:$2,0)-MATCH("temp_stage",[1]stages!$2:$2,0)+1,FALSE)</f>
        <v>ドロップイベント3</v>
      </c>
      <c r="H660" s="18">
        <v>0</v>
      </c>
      <c r="I660">
        <v>12</v>
      </c>
      <c r="J660" s="5" t="s">
        <v>16</v>
      </c>
      <c r="K660" s="35" t="str">
        <f>VLOOKUP(I660,[2]stage_hints!$A:$C,3,FALSE)</f>
        <v>ユニットのお気に入り登録</v>
      </c>
      <c r="L660" s="36" t="str">
        <f>VLOOKUP(I660,[2]stage_hints!$A:$D,4,FALSE)</f>
        <v>大事なユニットを誤って消さないように_x000D_フォルダから「お気に入り登録」しましょう</v>
      </c>
      <c r="M660" s="21" t="s">
        <v>23</v>
      </c>
      <c r="N660">
        <v>12</v>
      </c>
    </row>
    <row r="661" spans="1:14" x14ac:dyDescent="0.15">
      <c r="A661" s="26" t="s">
        <v>32</v>
      </c>
      <c r="B661" s="4">
        <v>20010</v>
      </c>
      <c r="C661" s="3" t="str">
        <f ca="1">VLOOKUP($B661,OFFSET([1]quests!$A$1,0,0,COUNTA([1]quests!$A:$A),MATCH(C$1,[1]quests!$1:$1,0)-MATCH($B$1,[1]quests!$1:$1,0)+1),MATCH(C$1,[1]quests!$1:$1,0)-MATCH($B$1,[1]quests!$1:$1,0)+1,FALSE)</f>
        <v>悪夢の一目惚れ</v>
      </c>
      <c r="D661" s="3" t="str">
        <f ca="1">VLOOKUP($B661,OFFSET([1]quests!$A$1,0,0,COUNTA([1]quests!$A:$A),MATCH(D$1,[1]quests!$1:$1,0)-MATCH($B$1,[1]quests!$1:$1,0)+1),MATCH(D$1,[1]quests!$1:$1,0)-MATCH($B$1,[1]quests!$1:$1,0)+1,FALSE)</f>
        <v>ドロップイベント3</v>
      </c>
      <c r="E661" s="5">
        <v>2</v>
      </c>
      <c r="F661" s="3" t="str">
        <f ca="1">VLOOKUP($B661&amp;"_"&amp;$E661,OFFSET([1]stages!$A$1,0,0,COUNTA([1]stages!$A:$A),MATCH(F$1,[1]stages!$2:$2,0)-MATCH("temp_stage",[1]stages!$2:$2,0)+1),MATCH(F$1,[1]stages!$2:$2,0)-MATCH("temp_stage",[1]stages!$2:$2,0)+1,FALSE)</f>
        <v>【中級】悪夢の一目惚れ</v>
      </c>
      <c r="G661" s="3" t="str">
        <f ca="1">VLOOKUP($B661&amp;"_"&amp;$E661,OFFSET([1]stages!$A$1,0,0,COUNTA([1]stages!$A:$A),MATCH(G$1,[1]stages!$2:$2,0)-MATCH("temp_stage",[1]stages!$2:$2,0)+1),MATCH(G$1,[1]stages!$2:$2,0)-MATCH("temp_stage",[1]stages!$2:$2,0)+1,FALSE)</f>
        <v>ドロップイベント3</v>
      </c>
      <c r="H661" s="18">
        <v>0</v>
      </c>
      <c r="I661">
        <v>13</v>
      </c>
      <c r="J661" s="5" t="s">
        <v>16</v>
      </c>
      <c r="K661" s="35" t="str">
        <f>VLOOKUP(I661,[2]stage_hints!$A:$C,3,FALSE)</f>
        <v>ユニットの覚醒</v>
      </c>
      <c r="L661" s="36" t="str">
        <f>VLOOKUP(I661,[2]stage_hints!$A:$D,4,FALSE)</f>
        <v>ユニットを覚醒させると_x000D_比べものにならない強さが手に入ります</v>
      </c>
      <c r="M661" s="21" t="s">
        <v>23</v>
      </c>
      <c r="N661">
        <v>13</v>
      </c>
    </row>
    <row r="662" spans="1:14" x14ac:dyDescent="0.15">
      <c r="A662" s="26" t="s">
        <v>32</v>
      </c>
      <c r="B662" s="4">
        <v>20010</v>
      </c>
      <c r="C662" s="3" t="str">
        <f ca="1">VLOOKUP($B662,OFFSET([1]quests!$A$1,0,0,COUNTA([1]quests!$A:$A),MATCH(C$1,[1]quests!$1:$1,0)-MATCH($B$1,[1]quests!$1:$1,0)+1),MATCH(C$1,[1]quests!$1:$1,0)-MATCH($B$1,[1]quests!$1:$1,0)+1,FALSE)</f>
        <v>悪夢の一目惚れ</v>
      </c>
      <c r="D662" s="3" t="str">
        <f ca="1">VLOOKUP($B662,OFFSET([1]quests!$A$1,0,0,COUNTA([1]quests!$A:$A),MATCH(D$1,[1]quests!$1:$1,0)-MATCH($B$1,[1]quests!$1:$1,0)+1),MATCH(D$1,[1]quests!$1:$1,0)-MATCH($B$1,[1]quests!$1:$1,0)+1,FALSE)</f>
        <v>ドロップイベント3</v>
      </c>
      <c r="E662" s="5">
        <v>2</v>
      </c>
      <c r="F662" s="3" t="str">
        <f ca="1">VLOOKUP($B662&amp;"_"&amp;$E662,OFFSET([1]stages!$A$1,0,0,COUNTA([1]stages!$A:$A),MATCH(F$1,[1]stages!$2:$2,0)-MATCH("temp_stage",[1]stages!$2:$2,0)+1),MATCH(F$1,[1]stages!$2:$2,0)-MATCH("temp_stage",[1]stages!$2:$2,0)+1,FALSE)</f>
        <v>【中級】悪夢の一目惚れ</v>
      </c>
      <c r="G662" s="3" t="str">
        <f ca="1">VLOOKUP($B662&amp;"_"&amp;$E662,OFFSET([1]stages!$A$1,0,0,COUNTA([1]stages!$A:$A),MATCH(G$1,[1]stages!$2:$2,0)-MATCH("temp_stage",[1]stages!$2:$2,0)+1),MATCH(G$1,[1]stages!$2:$2,0)-MATCH("temp_stage",[1]stages!$2:$2,0)+1,FALSE)</f>
        <v>ドロップイベント3</v>
      </c>
      <c r="H662" s="18">
        <v>0</v>
      </c>
      <c r="I662">
        <v>14</v>
      </c>
      <c r="J662" s="5" t="s">
        <v>16</v>
      </c>
      <c r="K662" s="35" t="str">
        <f>VLOOKUP(I662,[2]stage_hints!$A:$C,3,FALSE)</f>
        <v>覚醒するにはレベルを最大に</v>
      </c>
      <c r="L662" s="36" t="str">
        <f>VLOOKUP(I662,[2]stage_hints!$A:$D,4,FALSE)</f>
        <v>覚醒するにはユニットのレベルを_x000D_最大まで上げる必要があります</v>
      </c>
      <c r="M662" s="21" t="s">
        <v>23</v>
      </c>
      <c r="N662">
        <v>14</v>
      </c>
    </row>
    <row r="663" spans="1:14" x14ac:dyDescent="0.15">
      <c r="A663" s="26" t="s">
        <v>32</v>
      </c>
      <c r="B663" s="4">
        <v>20010</v>
      </c>
      <c r="C663" s="3" t="str">
        <f ca="1">VLOOKUP($B663,OFFSET([1]quests!$A$1,0,0,COUNTA([1]quests!$A:$A),MATCH(C$1,[1]quests!$1:$1,0)-MATCH($B$1,[1]quests!$1:$1,0)+1),MATCH(C$1,[1]quests!$1:$1,0)-MATCH($B$1,[1]quests!$1:$1,0)+1,FALSE)</f>
        <v>悪夢の一目惚れ</v>
      </c>
      <c r="D663" s="3" t="str">
        <f ca="1">VLOOKUP($B663,OFFSET([1]quests!$A$1,0,0,COUNTA([1]quests!$A:$A),MATCH(D$1,[1]quests!$1:$1,0)-MATCH($B$1,[1]quests!$1:$1,0)+1),MATCH(D$1,[1]quests!$1:$1,0)-MATCH($B$1,[1]quests!$1:$1,0)+1,FALSE)</f>
        <v>ドロップイベント3</v>
      </c>
      <c r="E663" s="5">
        <v>2</v>
      </c>
      <c r="F663" s="3" t="str">
        <f ca="1">VLOOKUP($B663&amp;"_"&amp;$E663,OFFSET([1]stages!$A$1,0,0,COUNTA([1]stages!$A:$A),MATCH(F$1,[1]stages!$2:$2,0)-MATCH("temp_stage",[1]stages!$2:$2,0)+1),MATCH(F$1,[1]stages!$2:$2,0)-MATCH("temp_stage",[1]stages!$2:$2,0)+1,FALSE)</f>
        <v>【中級】悪夢の一目惚れ</v>
      </c>
      <c r="G663" s="3" t="str">
        <f ca="1">VLOOKUP($B663&amp;"_"&amp;$E663,OFFSET([1]stages!$A$1,0,0,COUNTA([1]stages!$A:$A),MATCH(G$1,[1]stages!$2:$2,0)-MATCH("temp_stage",[1]stages!$2:$2,0)+1),MATCH(G$1,[1]stages!$2:$2,0)-MATCH("temp_stage",[1]stages!$2:$2,0)+1,FALSE)</f>
        <v>ドロップイベント3</v>
      </c>
      <c r="H663" s="18">
        <v>0</v>
      </c>
      <c r="I663">
        <v>15</v>
      </c>
      <c r="J663" s="5" t="s">
        <v>16</v>
      </c>
      <c r="K663" s="35" t="str">
        <f>VLOOKUP(I663,[2]stage_hints!$A:$C,3,FALSE)</f>
        <v>覚醒素材を獲得</v>
      </c>
      <c r="L663" s="36" t="str">
        <f>VLOOKUP(I663,[2]stage_hints!$A:$D,4,FALSE)</f>
        <v>「曜日クエスト」では_x000D_ユニットの覚醒に必要な素材が手に入ります</v>
      </c>
      <c r="M663" s="21" t="s">
        <v>23</v>
      </c>
      <c r="N663">
        <v>15</v>
      </c>
    </row>
    <row r="664" spans="1:14" x14ac:dyDescent="0.15">
      <c r="A664" s="26" t="s">
        <v>32</v>
      </c>
      <c r="B664" s="4">
        <v>20010</v>
      </c>
      <c r="C664" s="3" t="str">
        <f ca="1">VLOOKUP($B664,OFFSET([1]quests!$A$1,0,0,COUNTA([1]quests!$A:$A),MATCH(C$1,[1]quests!$1:$1,0)-MATCH($B$1,[1]quests!$1:$1,0)+1),MATCH(C$1,[1]quests!$1:$1,0)-MATCH($B$1,[1]quests!$1:$1,0)+1,FALSE)</f>
        <v>悪夢の一目惚れ</v>
      </c>
      <c r="D664" s="3" t="str">
        <f ca="1">VLOOKUP($B664,OFFSET([1]quests!$A$1,0,0,COUNTA([1]quests!$A:$A),MATCH(D$1,[1]quests!$1:$1,0)-MATCH($B$1,[1]quests!$1:$1,0)+1),MATCH(D$1,[1]quests!$1:$1,0)-MATCH($B$1,[1]quests!$1:$1,0)+1,FALSE)</f>
        <v>ドロップイベント3</v>
      </c>
      <c r="E664" s="5">
        <v>2</v>
      </c>
      <c r="F664" s="3" t="str">
        <f ca="1">VLOOKUP($B664&amp;"_"&amp;$E664,OFFSET([1]stages!$A$1,0,0,COUNTA([1]stages!$A:$A),MATCH(F$1,[1]stages!$2:$2,0)-MATCH("temp_stage",[1]stages!$2:$2,0)+1),MATCH(F$1,[1]stages!$2:$2,0)-MATCH("temp_stage",[1]stages!$2:$2,0)+1,FALSE)</f>
        <v>【中級】悪夢の一目惚れ</v>
      </c>
      <c r="G664" s="3" t="str">
        <f ca="1">VLOOKUP($B664&amp;"_"&amp;$E664,OFFSET([1]stages!$A$1,0,0,COUNTA([1]stages!$A:$A),MATCH(G$1,[1]stages!$2:$2,0)-MATCH("temp_stage",[1]stages!$2:$2,0)+1),MATCH(G$1,[1]stages!$2:$2,0)-MATCH("temp_stage",[1]stages!$2:$2,0)+1,FALSE)</f>
        <v>ドロップイベント3</v>
      </c>
      <c r="H664" s="18">
        <v>0</v>
      </c>
      <c r="I664">
        <v>16</v>
      </c>
      <c r="J664" s="5" t="s">
        <v>16</v>
      </c>
      <c r="K664" s="35" t="str">
        <f>VLOOKUP(I664,[2]stage_hints!$A:$C,3,FALSE)</f>
        <v>マルチプレイのメリット（その1）</v>
      </c>
      <c r="L664" s="36" t="str">
        <f>VLOOKUP(I664,[2]stage_hints!$A:$D,4,FALSE)</f>
        <v>他のプレイヤーとマルチプレイで遊ぶと_x000D_ポリゴンがもらえます（100人まで）</v>
      </c>
      <c r="M664" s="21" t="s">
        <v>23</v>
      </c>
      <c r="N664">
        <v>16</v>
      </c>
    </row>
    <row r="665" spans="1:14" x14ac:dyDescent="0.15">
      <c r="A665" s="26" t="s">
        <v>32</v>
      </c>
      <c r="B665" s="4">
        <v>20010</v>
      </c>
      <c r="C665" s="3" t="str">
        <f ca="1">VLOOKUP($B665,OFFSET([1]quests!$A$1,0,0,COUNTA([1]quests!$A:$A),MATCH(C$1,[1]quests!$1:$1,0)-MATCH($B$1,[1]quests!$1:$1,0)+1),MATCH(C$1,[1]quests!$1:$1,0)-MATCH($B$1,[1]quests!$1:$1,0)+1,FALSE)</f>
        <v>悪夢の一目惚れ</v>
      </c>
      <c r="D665" s="3" t="str">
        <f ca="1">VLOOKUP($B665,OFFSET([1]quests!$A$1,0,0,COUNTA([1]quests!$A:$A),MATCH(D$1,[1]quests!$1:$1,0)-MATCH($B$1,[1]quests!$1:$1,0)+1),MATCH(D$1,[1]quests!$1:$1,0)-MATCH($B$1,[1]quests!$1:$1,0)+1,FALSE)</f>
        <v>ドロップイベント3</v>
      </c>
      <c r="E665" s="5">
        <v>2</v>
      </c>
      <c r="F665" s="3" t="str">
        <f ca="1">VLOOKUP($B665&amp;"_"&amp;$E665,OFFSET([1]stages!$A$1,0,0,COUNTA([1]stages!$A:$A),MATCH(F$1,[1]stages!$2:$2,0)-MATCH("temp_stage",[1]stages!$2:$2,0)+1),MATCH(F$1,[1]stages!$2:$2,0)-MATCH("temp_stage",[1]stages!$2:$2,0)+1,FALSE)</f>
        <v>【中級】悪夢の一目惚れ</v>
      </c>
      <c r="G665" s="3" t="str">
        <f ca="1">VLOOKUP($B665&amp;"_"&amp;$E665,OFFSET([1]stages!$A$1,0,0,COUNTA([1]stages!$A:$A),MATCH(G$1,[1]stages!$2:$2,0)-MATCH("temp_stage",[1]stages!$2:$2,0)+1),MATCH(G$1,[1]stages!$2:$2,0)-MATCH("temp_stage",[1]stages!$2:$2,0)+1,FALSE)</f>
        <v>ドロップイベント3</v>
      </c>
      <c r="H665" s="18">
        <v>0</v>
      </c>
      <c r="I665">
        <v>17</v>
      </c>
      <c r="J665" s="5" t="s">
        <v>16</v>
      </c>
      <c r="K665" s="35" t="str">
        <f>VLOOKUP(I665,[2]stage_hints!$A:$C,3,FALSE)</f>
        <v>リンクガチャ</v>
      </c>
      <c r="L665" s="36" t="str">
        <f>VLOOKUP(I665,[2]stage_hints!$A:$D,4,FALSE)</f>
        <v>無料のリンクガチャを回して_x000D_経験値素材や売却素材を獲得しましょう</v>
      </c>
      <c r="M665" s="21" t="s">
        <v>23</v>
      </c>
      <c r="N665">
        <v>17</v>
      </c>
    </row>
    <row r="666" spans="1:14" x14ac:dyDescent="0.15">
      <c r="A666" s="26" t="s">
        <v>32</v>
      </c>
      <c r="B666" s="4">
        <v>20010</v>
      </c>
      <c r="C666" s="3" t="str">
        <f ca="1">VLOOKUP($B666,OFFSET([1]quests!$A$1,0,0,COUNTA([1]quests!$A:$A),MATCH(C$1,[1]quests!$1:$1,0)-MATCH($B$1,[1]quests!$1:$1,0)+1),MATCH(C$1,[1]quests!$1:$1,0)-MATCH($B$1,[1]quests!$1:$1,0)+1,FALSE)</f>
        <v>悪夢の一目惚れ</v>
      </c>
      <c r="D666" s="3" t="str">
        <f ca="1">VLOOKUP($B666,OFFSET([1]quests!$A$1,0,0,COUNTA([1]quests!$A:$A),MATCH(D$1,[1]quests!$1:$1,0)-MATCH($B$1,[1]quests!$1:$1,0)+1),MATCH(D$1,[1]quests!$1:$1,0)-MATCH($B$1,[1]quests!$1:$1,0)+1,FALSE)</f>
        <v>ドロップイベント3</v>
      </c>
      <c r="E666" s="5">
        <v>2</v>
      </c>
      <c r="F666" s="3" t="str">
        <f ca="1">VLOOKUP($B666&amp;"_"&amp;$E666,OFFSET([1]stages!$A$1,0,0,COUNTA([1]stages!$A:$A),MATCH(F$1,[1]stages!$2:$2,0)-MATCH("temp_stage",[1]stages!$2:$2,0)+1),MATCH(F$1,[1]stages!$2:$2,0)-MATCH("temp_stage",[1]stages!$2:$2,0)+1,FALSE)</f>
        <v>【中級】悪夢の一目惚れ</v>
      </c>
      <c r="G666" s="3" t="str">
        <f ca="1">VLOOKUP($B666&amp;"_"&amp;$E666,OFFSET([1]stages!$A$1,0,0,COUNTA([1]stages!$A:$A),MATCH(G$1,[1]stages!$2:$2,0)-MATCH("temp_stage",[1]stages!$2:$2,0)+1),MATCH(G$1,[1]stages!$2:$2,0)-MATCH("temp_stage",[1]stages!$2:$2,0)+1,FALSE)</f>
        <v>ドロップイベント3</v>
      </c>
      <c r="H666" s="18">
        <v>0</v>
      </c>
      <c r="I666">
        <v>18</v>
      </c>
      <c r="J666" s="5" t="s">
        <v>16</v>
      </c>
      <c r="K666" s="35" t="str">
        <f>VLOOKUP(I666,[2]stage_hints!$A:$C,3,FALSE)</f>
        <v>マルチプレイのメリット（その2）</v>
      </c>
      <c r="L666" s="36" t="str">
        <f>VLOOKUP(I666,[2]stage_hints!$A:$D,4,FALSE)</f>
        <v>マルチプレイならリンクが2倍もらえます_x000D_リンクガチャをたくさん回しましょう</v>
      </c>
      <c r="M666" s="21" t="s">
        <v>23</v>
      </c>
      <c r="N666">
        <v>18</v>
      </c>
    </row>
    <row r="667" spans="1:14" x14ac:dyDescent="0.15">
      <c r="A667" s="26" t="s">
        <v>32</v>
      </c>
      <c r="B667" s="4">
        <v>20010</v>
      </c>
      <c r="C667" s="3" t="str">
        <f ca="1">VLOOKUP($B667,OFFSET([1]quests!$A$1,0,0,COUNTA([1]quests!$A:$A),MATCH(C$1,[1]quests!$1:$1,0)-MATCH($B$1,[1]quests!$1:$1,0)+1),MATCH(C$1,[1]quests!$1:$1,0)-MATCH($B$1,[1]quests!$1:$1,0)+1,FALSE)</f>
        <v>悪夢の一目惚れ</v>
      </c>
      <c r="D667" s="3" t="str">
        <f ca="1">VLOOKUP($B667,OFFSET([1]quests!$A$1,0,0,COUNTA([1]quests!$A:$A),MATCH(D$1,[1]quests!$1:$1,0)-MATCH($B$1,[1]quests!$1:$1,0)+1),MATCH(D$1,[1]quests!$1:$1,0)-MATCH($B$1,[1]quests!$1:$1,0)+1,FALSE)</f>
        <v>ドロップイベント3</v>
      </c>
      <c r="E667" s="5">
        <v>2</v>
      </c>
      <c r="F667" s="3" t="str">
        <f ca="1">VLOOKUP($B667&amp;"_"&amp;$E667,OFFSET([1]stages!$A$1,0,0,COUNTA([1]stages!$A:$A),MATCH(F$1,[1]stages!$2:$2,0)-MATCH("temp_stage",[1]stages!$2:$2,0)+1),MATCH(F$1,[1]stages!$2:$2,0)-MATCH("temp_stage",[1]stages!$2:$2,0)+1,FALSE)</f>
        <v>【中級】悪夢の一目惚れ</v>
      </c>
      <c r="G667" s="3" t="str">
        <f ca="1">VLOOKUP($B667&amp;"_"&amp;$E667,OFFSET([1]stages!$A$1,0,0,COUNTA([1]stages!$A:$A),MATCH(G$1,[1]stages!$2:$2,0)-MATCH("temp_stage",[1]stages!$2:$2,0)+1),MATCH(G$1,[1]stages!$2:$2,0)-MATCH("temp_stage",[1]stages!$2:$2,0)+1,FALSE)</f>
        <v>ドロップイベント3</v>
      </c>
      <c r="H667" s="18">
        <v>0</v>
      </c>
      <c r="I667">
        <v>19</v>
      </c>
      <c r="J667" s="5" t="s">
        <v>16</v>
      </c>
      <c r="K667" s="35" t="str">
        <f>VLOOKUP(I667,[2]stage_hints!$A:$C,3,FALSE)</f>
        <v>ソロ専用チャレンジタワー</v>
      </c>
      <c r="L667" s="36" t="str">
        <f>VLOOKUP(I667,[2]stage_hints!$A:$D,4,FALSE)</f>
        <v>ソロ専用の「チャレンジタワー」では_x000D_各フロアごとにクリア報酬がもらえます</v>
      </c>
      <c r="M667" s="21" t="s">
        <v>23</v>
      </c>
      <c r="N667">
        <v>19</v>
      </c>
    </row>
    <row r="668" spans="1:14" x14ac:dyDescent="0.15">
      <c r="A668" s="26" t="s">
        <v>32</v>
      </c>
      <c r="B668" s="4">
        <v>20010</v>
      </c>
      <c r="C668" s="3" t="str">
        <f ca="1">VLOOKUP($B668,OFFSET([1]quests!$A$1,0,0,COUNTA([1]quests!$A:$A),MATCH(C$1,[1]quests!$1:$1,0)-MATCH($B$1,[1]quests!$1:$1,0)+1),MATCH(C$1,[1]quests!$1:$1,0)-MATCH($B$1,[1]quests!$1:$1,0)+1,FALSE)</f>
        <v>悪夢の一目惚れ</v>
      </c>
      <c r="D668" s="3" t="str">
        <f ca="1">VLOOKUP($B668,OFFSET([1]quests!$A$1,0,0,COUNTA([1]quests!$A:$A),MATCH(D$1,[1]quests!$1:$1,0)-MATCH($B$1,[1]quests!$1:$1,0)+1),MATCH(D$1,[1]quests!$1:$1,0)-MATCH($B$1,[1]quests!$1:$1,0)+1,FALSE)</f>
        <v>ドロップイベント3</v>
      </c>
      <c r="E668" s="5">
        <v>2</v>
      </c>
      <c r="F668" s="3" t="str">
        <f ca="1">VLOOKUP($B668&amp;"_"&amp;$E668,OFFSET([1]stages!$A$1,0,0,COUNTA([1]stages!$A:$A),MATCH(F$1,[1]stages!$2:$2,0)-MATCH("temp_stage",[1]stages!$2:$2,0)+1),MATCH(F$1,[1]stages!$2:$2,0)-MATCH("temp_stage",[1]stages!$2:$2,0)+1,FALSE)</f>
        <v>【中級】悪夢の一目惚れ</v>
      </c>
      <c r="G668" s="3" t="str">
        <f ca="1">VLOOKUP($B668&amp;"_"&amp;$E668,OFFSET([1]stages!$A$1,0,0,COUNTA([1]stages!$A:$A),MATCH(G$1,[1]stages!$2:$2,0)-MATCH("temp_stage",[1]stages!$2:$2,0)+1),MATCH(G$1,[1]stages!$2:$2,0)-MATCH("temp_stage",[1]stages!$2:$2,0)+1,FALSE)</f>
        <v>ドロップイベント3</v>
      </c>
      <c r="H668" s="18">
        <v>0</v>
      </c>
      <c r="I668">
        <v>20</v>
      </c>
      <c r="J668" s="5" t="s">
        <v>16</v>
      </c>
      <c r="K668" s="35" t="str">
        <f>VLOOKUP(I668,[2]stage_hints!$A:$C,3,FALSE)</f>
        <v>マルチプレイのメリット（その3）</v>
      </c>
      <c r="L668" s="36" t="str">
        <f>VLOOKUP(I668,[2]stage_hints!$A:$D,4,FALSE)</f>
        <v>マルチプレイへの参加はエナジー消費ゼロ_x000D_いつでも好きなだけ遊ぶことができます</v>
      </c>
      <c r="M668" s="21" t="s">
        <v>23</v>
      </c>
      <c r="N668">
        <v>20</v>
      </c>
    </row>
    <row r="669" spans="1:14" x14ac:dyDescent="0.15">
      <c r="A669" s="26" t="s">
        <v>32</v>
      </c>
      <c r="B669" s="4">
        <v>20010</v>
      </c>
      <c r="C669" s="3" t="str">
        <f ca="1">VLOOKUP($B669,OFFSET([1]quests!$A$1,0,0,COUNTA([1]quests!$A:$A),MATCH(C$1,[1]quests!$1:$1,0)-MATCH($B$1,[1]quests!$1:$1,0)+1),MATCH(C$1,[1]quests!$1:$1,0)-MATCH($B$1,[1]quests!$1:$1,0)+1,FALSE)</f>
        <v>悪夢の一目惚れ</v>
      </c>
      <c r="D669" s="3" t="str">
        <f ca="1">VLOOKUP($B669,OFFSET([1]quests!$A$1,0,0,COUNTA([1]quests!$A:$A),MATCH(D$1,[1]quests!$1:$1,0)-MATCH($B$1,[1]quests!$1:$1,0)+1),MATCH(D$1,[1]quests!$1:$1,0)-MATCH($B$1,[1]quests!$1:$1,0)+1,FALSE)</f>
        <v>ドロップイベント3</v>
      </c>
      <c r="E669" s="5">
        <v>2</v>
      </c>
      <c r="F669" s="3" t="str">
        <f ca="1">VLOOKUP($B669&amp;"_"&amp;$E669,OFFSET([1]stages!$A$1,0,0,COUNTA([1]stages!$A:$A),MATCH(F$1,[1]stages!$2:$2,0)-MATCH("temp_stage",[1]stages!$2:$2,0)+1),MATCH(F$1,[1]stages!$2:$2,0)-MATCH("temp_stage",[1]stages!$2:$2,0)+1,FALSE)</f>
        <v>【中級】悪夢の一目惚れ</v>
      </c>
      <c r="G669" s="3" t="str">
        <f ca="1">VLOOKUP($B669&amp;"_"&amp;$E669,OFFSET([1]stages!$A$1,0,0,COUNTA([1]stages!$A:$A),MATCH(G$1,[1]stages!$2:$2,0)-MATCH("temp_stage",[1]stages!$2:$2,0)+1),MATCH(G$1,[1]stages!$2:$2,0)-MATCH("temp_stage",[1]stages!$2:$2,0)+1,FALSE)</f>
        <v>ドロップイベント3</v>
      </c>
      <c r="H669" s="18">
        <v>0</v>
      </c>
      <c r="I669">
        <v>21</v>
      </c>
      <c r="J669" s="5" t="s">
        <v>16</v>
      </c>
      <c r="K669" s="35" t="str">
        <f>VLOOKUP(I669,[2]stage_hints!$A:$C,3,FALSE)</f>
        <v>スキルを有効に</v>
      </c>
      <c r="L669" s="36" t="str">
        <f>VLOOKUP(I669,[2]stage_hints!$A:$D,4,FALSE)</f>
        <v>ターン経過でユニットのスキルが使えます_x000D_強力スキルでバトルを有利に進めましょう</v>
      </c>
      <c r="M669" s="21" t="s">
        <v>23</v>
      </c>
      <c r="N669">
        <v>21</v>
      </c>
    </row>
    <row r="670" spans="1:14" x14ac:dyDescent="0.15">
      <c r="A670" s="26" t="s">
        <v>32</v>
      </c>
      <c r="B670" s="4">
        <v>20010</v>
      </c>
      <c r="C670" s="3" t="str">
        <f ca="1">VLOOKUP($B670,OFFSET([1]quests!$A$1,0,0,COUNTA([1]quests!$A:$A),MATCH(C$1,[1]quests!$1:$1,0)-MATCH($B$1,[1]quests!$1:$1,0)+1),MATCH(C$1,[1]quests!$1:$1,0)-MATCH($B$1,[1]quests!$1:$1,0)+1,FALSE)</f>
        <v>悪夢の一目惚れ</v>
      </c>
      <c r="D670" s="3" t="str">
        <f ca="1">VLOOKUP($B670,OFFSET([1]quests!$A$1,0,0,COUNTA([1]quests!$A:$A),MATCH(D$1,[1]quests!$1:$1,0)-MATCH($B$1,[1]quests!$1:$1,0)+1),MATCH(D$1,[1]quests!$1:$1,0)-MATCH($B$1,[1]quests!$1:$1,0)+1,FALSE)</f>
        <v>ドロップイベント3</v>
      </c>
      <c r="E670" s="5">
        <v>2</v>
      </c>
      <c r="F670" s="3" t="str">
        <f ca="1">VLOOKUP($B670&amp;"_"&amp;$E670,OFFSET([1]stages!$A$1,0,0,COUNTA([1]stages!$A:$A),MATCH(F$1,[1]stages!$2:$2,0)-MATCH("temp_stage",[1]stages!$2:$2,0)+1),MATCH(F$1,[1]stages!$2:$2,0)-MATCH("temp_stage",[1]stages!$2:$2,0)+1,FALSE)</f>
        <v>【中級】悪夢の一目惚れ</v>
      </c>
      <c r="G670" s="3" t="str">
        <f ca="1">VLOOKUP($B670&amp;"_"&amp;$E670,OFFSET([1]stages!$A$1,0,0,COUNTA([1]stages!$A:$A),MATCH(G$1,[1]stages!$2:$2,0)-MATCH("temp_stage",[1]stages!$2:$2,0)+1),MATCH(G$1,[1]stages!$2:$2,0)-MATCH("temp_stage",[1]stages!$2:$2,0)+1,FALSE)</f>
        <v>ドロップイベント3</v>
      </c>
      <c r="H670" s="18">
        <v>0</v>
      </c>
      <c r="I670">
        <v>22</v>
      </c>
      <c r="J670" s="5" t="s">
        <v>16</v>
      </c>
      <c r="K670" s="35" t="str">
        <f>VLOOKUP(I670,[2]stage_hints!$A:$C,3,FALSE)</f>
        <v>フィーバーで一発逆転（その1）</v>
      </c>
      <c r="L670" s="36" t="str">
        <f>VLOOKUP(I670,[2]stage_hints!$A:$D,4,FALSE)</f>
        <v>フィーバーは攻撃と回復を兼ね備えます_x000D_ピンチからの一発逆転を狙いましょう</v>
      </c>
      <c r="M670" s="21" t="s">
        <v>23</v>
      </c>
      <c r="N670">
        <v>22</v>
      </c>
    </row>
    <row r="671" spans="1:14" x14ac:dyDescent="0.15">
      <c r="A671" s="26" t="s">
        <v>32</v>
      </c>
      <c r="B671" s="4">
        <v>20010</v>
      </c>
      <c r="C671" s="3" t="str">
        <f ca="1">VLOOKUP($B671,OFFSET([1]quests!$A$1,0,0,COUNTA([1]quests!$A:$A),MATCH(C$1,[1]quests!$1:$1,0)-MATCH($B$1,[1]quests!$1:$1,0)+1),MATCH(C$1,[1]quests!$1:$1,0)-MATCH($B$1,[1]quests!$1:$1,0)+1,FALSE)</f>
        <v>悪夢の一目惚れ</v>
      </c>
      <c r="D671" s="3" t="str">
        <f ca="1">VLOOKUP($B671,OFFSET([1]quests!$A$1,0,0,COUNTA([1]quests!$A:$A),MATCH(D$1,[1]quests!$1:$1,0)-MATCH($B$1,[1]quests!$1:$1,0)+1),MATCH(D$1,[1]quests!$1:$1,0)-MATCH($B$1,[1]quests!$1:$1,0)+1,FALSE)</f>
        <v>ドロップイベント3</v>
      </c>
      <c r="E671" s="5">
        <v>2</v>
      </c>
      <c r="F671" s="3" t="str">
        <f ca="1">VLOOKUP($B671&amp;"_"&amp;$E671,OFFSET([1]stages!$A$1,0,0,COUNTA([1]stages!$A:$A),MATCH(F$1,[1]stages!$2:$2,0)-MATCH("temp_stage",[1]stages!$2:$2,0)+1),MATCH(F$1,[1]stages!$2:$2,0)-MATCH("temp_stage",[1]stages!$2:$2,0)+1,FALSE)</f>
        <v>【中級】悪夢の一目惚れ</v>
      </c>
      <c r="G671" s="3" t="str">
        <f ca="1">VLOOKUP($B671&amp;"_"&amp;$E671,OFFSET([1]stages!$A$1,0,0,COUNTA([1]stages!$A:$A),MATCH(G$1,[1]stages!$2:$2,0)-MATCH("temp_stage",[1]stages!$2:$2,0)+1),MATCH(G$1,[1]stages!$2:$2,0)-MATCH("temp_stage",[1]stages!$2:$2,0)+1,FALSE)</f>
        <v>ドロップイベント3</v>
      </c>
      <c r="H671" s="18">
        <v>0</v>
      </c>
      <c r="I671">
        <v>23</v>
      </c>
      <c r="J671" s="5" t="s">
        <v>16</v>
      </c>
      <c r="K671" s="35" t="str">
        <f>VLOOKUP(I671,[2]stage_hints!$A:$C,3,FALSE)</f>
        <v>フィーバーで一発逆転（その2）</v>
      </c>
      <c r="L671" s="36" t="str">
        <f>VLOOKUP(I671,[2]stage_hints!$A:$D,4,FALSE)</f>
        <v>フィーバー中は虹色のボムパネルを狙って_x000D_画面上のパネルを一気に破壊しましょう</v>
      </c>
      <c r="M671" s="21" t="s">
        <v>23</v>
      </c>
      <c r="N671">
        <v>23</v>
      </c>
    </row>
    <row r="672" spans="1:14" x14ac:dyDescent="0.15">
      <c r="A672" s="26" t="s">
        <v>32</v>
      </c>
      <c r="B672" s="4">
        <v>20010</v>
      </c>
      <c r="C672" s="3" t="str">
        <f ca="1">VLOOKUP($B672,OFFSET([1]quests!$A$1,0,0,COUNTA([1]quests!$A:$A),MATCH(C$1,[1]quests!$1:$1,0)-MATCH($B$1,[1]quests!$1:$1,0)+1),MATCH(C$1,[1]quests!$1:$1,0)-MATCH($B$1,[1]quests!$1:$1,0)+1,FALSE)</f>
        <v>悪夢の一目惚れ</v>
      </c>
      <c r="D672" s="3" t="str">
        <f ca="1">VLOOKUP($B672,OFFSET([1]quests!$A$1,0,0,COUNTA([1]quests!$A:$A),MATCH(D$1,[1]quests!$1:$1,0)-MATCH($B$1,[1]quests!$1:$1,0)+1),MATCH(D$1,[1]quests!$1:$1,0)-MATCH($B$1,[1]quests!$1:$1,0)+1,FALSE)</f>
        <v>ドロップイベント3</v>
      </c>
      <c r="E672" s="5">
        <v>2</v>
      </c>
      <c r="F672" s="3" t="str">
        <f ca="1">VLOOKUP($B672&amp;"_"&amp;$E672,OFFSET([1]stages!$A$1,0,0,COUNTA([1]stages!$A:$A),MATCH(F$1,[1]stages!$2:$2,0)-MATCH("temp_stage",[1]stages!$2:$2,0)+1),MATCH(F$1,[1]stages!$2:$2,0)-MATCH("temp_stage",[1]stages!$2:$2,0)+1,FALSE)</f>
        <v>【中級】悪夢の一目惚れ</v>
      </c>
      <c r="G672" s="3" t="str">
        <f ca="1">VLOOKUP($B672&amp;"_"&amp;$E672,OFFSET([1]stages!$A$1,0,0,COUNTA([1]stages!$A:$A),MATCH(G$1,[1]stages!$2:$2,0)-MATCH("temp_stage",[1]stages!$2:$2,0)+1),MATCH(G$1,[1]stages!$2:$2,0)-MATCH("temp_stage",[1]stages!$2:$2,0)+1,FALSE)</f>
        <v>ドロップイベント3</v>
      </c>
      <c r="H672" s="18">
        <v>0</v>
      </c>
      <c r="I672">
        <v>24</v>
      </c>
      <c r="J672" s="5" t="s">
        <v>16</v>
      </c>
      <c r="K672" s="35" t="str">
        <f>VLOOKUP(I672,[2]stage_hints!$A:$C,3,FALSE)</f>
        <v>りんごを使って限界突破</v>
      </c>
      <c r="L672" s="36" t="str">
        <f>VLOOKUP(I672,[2]stage_hints!$A:$D,4,FALSE)</f>
        <v>赤りんご(攻撃力) 青りんご(回復力)_x000D_緑りんご(体力)をユニット強化に使うと_x000D_ステータスが限界突破します（計99個迄）</v>
      </c>
      <c r="M672" s="21" t="s">
        <v>23</v>
      </c>
      <c r="N672">
        <v>24</v>
      </c>
    </row>
    <row r="673" spans="1:14" x14ac:dyDescent="0.15">
      <c r="A673" s="26" t="s">
        <v>32</v>
      </c>
      <c r="B673" s="4">
        <v>20010</v>
      </c>
      <c r="C673" s="3" t="str">
        <f ca="1">VLOOKUP($B673,OFFSET([1]quests!$A$1,0,0,COUNTA([1]quests!$A:$A),MATCH(C$1,[1]quests!$1:$1,0)-MATCH($B$1,[1]quests!$1:$1,0)+1),MATCH(C$1,[1]quests!$1:$1,0)-MATCH($B$1,[1]quests!$1:$1,0)+1,FALSE)</f>
        <v>悪夢の一目惚れ</v>
      </c>
      <c r="D673" s="3" t="str">
        <f ca="1">VLOOKUP($B673,OFFSET([1]quests!$A$1,0,0,COUNTA([1]quests!$A:$A),MATCH(D$1,[1]quests!$1:$1,0)-MATCH($B$1,[1]quests!$1:$1,0)+1),MATCH(D$1,[1]quests!$1:$1,0)-MATCH($B$1,[1]quests!$1:$1,0)+1,FALSE)</f>
        <v>ドロップイベント3</v>
      </c>
      <c r="E673" s="5">
        <v>2</v>
      </c>
      <c r="F673" s="3" t="str">
        <f ca="1">VLOOKUP($B673&amp;"_"&amp;$E673,OFFSET([1]stages!$A$1,0,0,COUNTA([1]stages!$A:$A),MATCH(F$1,[1]stages!$2:$2,0)-MATCH("temp_stage",[1]stages!$2:$2,0)+1),MATCH(F$1,[1]stages!$2:$2,0)-MATCH("temp_stage",[1]stages!$2:$2,0)+1,FALSE)</f>
        <v>【中級】悪夢の一目惚れ</v>
      </c>
      <c r="G673" s="3" t="str">
        <f ca="1">VLOOKUP($B673&amp;"_"&amp;$E673,OFFSET([1]stages!$A$1,0,0,COUNTA([1]stages!$A:$A),MATCH(G$1,[1]stages!$2:$2,0)-MATCH("temp_stage",[1]stages!$2:$2,0)+1),MATCH(G$1,[1]stages!$2:$2,0)-MATCH("temp_stage",[1]stages!$2:$2,0)+1,FALSE)</f>
        <v>ドロップイベント3</v>
      </c>
      <c r="H673" s="18">
        <v>0</v>
      </c>
      <c r="I673">
        <v>25</v>
      </c>
      <c r="J673" s="5" t="s">
        <v>16</v>
      </c>
      <c r="K673" s="35" t="str">
        <f>VLOOKUP(I673,[2]stage_hints!$A:$C,3,FALSE)</f>
        <v>スキルレベルアップ</v>
      </c>
      <c r="L673" s="36" t="str">
        <f>VLOOKUP(I673,[2]stage_hints!$A:$D,4,FALSE)</f>
        <v>「クリスタルのりんご」を強化に使うと_x000D_スキルレベルを上げることができます</v>
      </c>
      <c r="M673" s="21" t="s">
        <v>23</v>
      </c>
      <c r="N673">
        <v>25</v>
      </c>
    </row>
    <row r="674" spans="1:14" x14ac:dyDescent="0.15">
      <c r="A674" s="26" t="s">
        <v>32</v>
      </c>
      <c r="B674" s="4">
        <v>20010</v>
      </c>
      <c r="C674" s="3" t="str">
        <f ca="1">VLOOKUP($B674,OFFSET([1]quests!$A$1,0,0,COUNTA([1]quests!$A:$A),MATCH(C$1,[1]quests!$1:$1,0)-MATCH($B$1,[1]quests!$1:$1,0)+1),MATCH(C$1,[1]quests!$1:$1,0)-MATCH($B$1,[1]quests!$1:$1,0)+1,FALSE)</f>
        <v>悪夢の一目惚れ</v>
      </c>
      <c r="D674" s="3" t="str">
        <f ca="1">VLOOKUP($B674,OFFSET([1]quests!$A$1,0,0,COUNTA([1]quests!$A:$A),MATCH(D$1,[1]quests!$1:$1,0)-MATCH($B$1,[1]quests!$1:$1,0)+1),MATCH(D$1,[1]quests!$1:$1,0)-MATCH($B$1,[1]quests!$1:$1,0)+1,FALSE)</f>
        <v>ドロップイベント3</v>
      </c>
      <c r="E674" s="5">
        <v>2</v>
      </c>
      <c r="F674" s="3" t="str">
        <f ca="1">VLOOKUP($B674&amp;"_"&amp;$E674,OFFSET([1]stages!$A$1,0,0,COUNTA([1]stages!$A:$A),MATCH(F$1,[1]stages!$2:$2,0)-MATCH("temp_stage",[1]stages!$2:$2,0)+1),MATCH(F$1,[1]stages!$2:$2,0)-MATCH("temp_stage",[1]stages!$2:$2,0)+1,FALSE)</f>
        <v>【中級】悪夢の一目惚れ</v>
      </c>
      <c r="G674" s="3" t="str">
        <f ca="1">VLOOKUP($B674&amp;"_"&amp;$E674,OFFSET([1]stages!$A$1,0,0,COUNTA([1]stages!$A:$A),MATCH(G$1,[1]stages!$2:$2,0)-MATCH("temp_stage",[1]stages!$2:$2,0)+1),MATCH(G$1,[1]stages!$2:$2,0)-MATCH("temp_stage",[1]stages!$2:$2,0)+1,FALSE)</f>
        <v>ドロップイベント3</v>
      </c>
      <c r="H674" s="18">
        <v>0</v>
      </c>
      <c r="I674">
        <v>26</v>
      </c>
      <c r="J674" s="5" t="s">
        <v>16</v>
      </c>
      <c r="K674" s="35" t="str">
        <f>VLOOKUP(I674,[2]stage_hints!$A:$C,3,FALSE)</f>
        <v>スキルレベルの効果</v>
      </c>
      <c r="L674" s="36" t="str">
        <f>VLOOKUP(I674,[2]stage_hints!$A:$D,4,FALSE)</f>
        <v>スキルレベルが上がると_x000D_短いターンでスキルを使うことができます</v>
      </c>
      <c r="M674" s="21" t="s">
        <v>23</v>
      </c>
      <c r="N674">
        <v>26</v>
      </c>
    </row>
    <row r="675" spans="1:14" x14ac:dyDescent="0.15">
      <c r="A675" s="26" t="s">
        <v>32</v>
      </c>
      <c r="B675" s="4">
        <v>20010</v>
      </c>
      <c r="C675" s="3" t="str">
        <f ca="1">VLOOKUP($B675,OFFSET([1]quests!$A$1,0,0,COUNTA([1]quests!$A:$A),MATCH(C$1,[1]quests!$1:$1,0)-MATCH($B$1,[1]quests!$1:$1,0)+1),MATCH(C$1,[1]quests!$1:$1,0)-MATCH($B$1,[1]quests!$1:$1,0)+1,FALSE)</f>
        <v>悪夢の一目惚れ</v>
      </c>
      <c r="D675" s="3" t="str">
        <f ca="1">VLOOKUP($B675,OFFSET([1]quests!$A$1,0,0,COUNTA([1]quests!$A:$A),MATCH(D$1,[1]quests!$1:$1,0)-MATCH($B$1,[1]quests!$1:$1,0)+1),MATCH(D$1,[1]quests!$1:$1,0)-MATCH($B$1,[1]quests!$1:$1,0)+1,FALSE)</f>
        <v>ドロップイベント3</v>
      </c>
      <c r="E675" s="5">
        <v>2</v>
      </c>
      <c r="F675" s="3" t="str">
        <f ca="1">VLOOKUP($B675&amp;"_"&amp;$E675,OFFSET([1]stages!$A$1,0,0,COUNTA([1]stages!$A:$A),MATCH(F$1,[1]stages!$2:$2,0)-MATCH("temp_stage",[1]stages!$2:$2,0)+1),MATCH(F$1,[1]stages!$2:$2,0)-MATCH("temp_stage",[1]stages!$2:$2,0)+1,FALSE)</f>
        <v>【中級】悪夢の一目惚れ</v>
      </c>
      <c r="G675" s="3" t="str">
        <f ca="1">VLOOKUP($B675&amp;"_"&amp;$E675,OFFSET([1]stages!$A$1,0,0,COUNTA([1]stages!$A:$A),MATCH(G$1,[1]stages!$2:$2,0)-MATCH("temp_stage",[1]stages!$2:$2,0)+1),MATCH(G$1,[1]stages!$2:$2,0)-MATCH("temp_stage",[1]stages!$2:$2,0)+1,FALSE)</f>
        <v>ドロップイベント3</v>
      </c>
      <c r="H675" s="18">
        <v>0</v>
      </c>
      <c r="I675">
        <v>27</v>
      </c>
      <c r="J675" s="5" t="s">
        <v>16</v>
      </c>
      <c r="K675" s="35" t="str">
        <f>VLOOKUP(I675,[2]stage_hints!$A:$C,3,FALSE)</f>
        <v>ホーム画面からデッキを編成</v>
      </c>
      <c r="L675" s="36" t="str">
        <f>VLOOKUP(I675,[2]stage_hints!$A:$D,4,FALSE)</f>
        <v>ホーム画面でユニットを長押しすると_x000D_すぐにパーティ編成に移動できます</v>
      </c>
      <c r="M675" s="21" t="s">
        <v>23</v>
      </c>
      <c r="N675">
        <v>27</v>
      </c>
    </row>
    <row r="676" spans="1:14" x14ac:dyDescent="0.15">
      <c r="A676" s="26" t="s">
        <v>32</v>
      </c>
      <c r="B676" s="4">
        <v>20010</v>
      </c>
      <c r="C676" s="3" t="str">
        <f ca="1">VLOOKUP($B676,OFFSET([1]quests!$A$1,0,0,COUNTA([1]quests!$A:$A),MATCH(C$1,[1]quests!$1:$1,0)-MATCH($B$1,[1]quests!$1:$1,0)+1),MATCH(C$1,[1]quests!$1:$1,0)-MATCH($B$1,[1]quests!$1:$1,0)+1,FALSE)</f>
        <v>悪夢の一目惚れ</v>
      </c>
      <c r="D676" s="3" t="str">
        <f ca="1">VLOOKUP($B676,OFFSET([1]quests!$A$1,0,0,COUNTA([1]quests!$A:$A),MATCH(D$1,[1]quests!$1:$1,0)-MATCH($B$1,[1]quests!$1:$1,0)+1),MATCH(D$1,[1]quests!$1:$1,0)-MATCH($B$1,[1]quests!$1:$1,0)+1,FALSE)</f>
        <v>ドロップイベント3</v>
      </c>
      <c r="E676" s="5">
        <v>2</v>
      </c>
      <c r="F676" s="3" t="str">
        <f ca="1">VLOOKUP($B676&amp;"_"&amp;$E676,OFFSET([1]stages!$A$1,0,0,COUNTA([1]stages!$A:$A),MATCH(F$1,[1]stages!$2:$2,0)-MATCH("temp_stage",[1]stages!$2:$2,0)+1),MATCH(F$1,[1]stages!$2:$2,0)-MATCH("temp_stage",[1]stages!$2:$2,0)+1,FALSE)</f>
        <v>【中級】悪夢の一目惚れ</v>
      </c>
      <c r="G676" s="3" t="str">
        <f ca="1">VLOOKUP($B676&amp;"_"&amp;$E676,OFFSET([1]stages!$A$1,0,0,COUNTA([1]stages!$A:$A),MATCH(G$1,[1]stages!$2:$2,0)-MATCH("temp_stage",[1]stages!$2:$2,0)+1),MATCH(G$1,[1]stages!$2:$2,0)-MATCH("temp_stage",[1]stages!$2:$2,0)+1,FALSE)</f>
        <v>ドロップイベント3</v>
      </c>
      <c r="H676" s="18">
        <v>0</v>
      </c>
      <c r="I676">
        <v>28</v>
      </c>
      <c r="J676" s="5" t="s">
        <v>16</v>
      </c>
      <c r="K676" s="35" t="str">
        <f>VLOOKUP(I676,[2]stage_hints!$A:$C,3,FALSE)</f>
        <v>ステータス情報は長押しで</v>
      </c>
      <c r="L676" s="36" t="str">
        <f>VLOOKUP(I676,[2]stage_hints!$A:$D,4,FALSE)</f>
        <v>ユニットのアイコンを長押しすると_x000D_ステータス情報を確認することができます</v>
      </c>
      <c r="M676" s="21" t="s">
        <v>23</v>
      </c>
      <c r="N676">
        <v>28</v>
      </c>
    </row>
    <row r="677" spans="1:14" x14ac:dyDescent="0.15">
      <c r="A677" s="26" t="s">
        <v>32</v>
      </c>
      <c r="B677" s="4">
        <v>20010</v>
      </c>
      <c r="C677" s="3" t="str">
        <f ca="1">VLOOKUP($B677,OFFSET([1]quests!$A$1,0,0,COUNTA([1]quests!$A:$A),MATCH(C$1,[1]quests!$1:$1,0)-MATCH($B$1,[1]quests!$1:$1,0)+1),MATCH(C$1,[1]quests!$1:$1,0)-MATCH($B$1,[1]quests!$1:$1,0)+1,FALSE)</f>
        <v>悪夢の一目惚れ</v>
      </c>
      <c r="D677" s="3" t="str">
        <f ca="1">VLOOKUP($B677,OFFSET([1]quests!$A$1,0,0,COUNTA([1]quests!$A:$A),MATCH(D$1,[1]quests!$1:$1,0)-MATCH($B$1,[1]quests!$1:$1,0)+1),MATCH(D$1,[1]quests!$1:$1,0)-MATCH($B$1,[1]quests!$1:$1,0)+1,FALSE)</f>
        <v>ドロップイベント3</v>
      </c>
      <c r="E677" s="5">
        <v>2</v>
      </c>
      <c r="F677" s="3" t="str">
        <f ca="1">VLOOKUP($B677&amp;"_"&amp;$E677,OFFSET([1]stages!$A$1,0,0,COUNTA([1]stages!$A:$A),MATCH(F$1,[1]stages!$2:$2,0)-MATCH("temp_stage",[1]stages!$2:$2,0)+1),MATCH(F$1,[1]stages!$2:$2,0)-MATCH("temp_stage",[1]stages!$2:$2,0)+1,FALSE)</f>
        <v>【中級】悪夢の一目惚れ</v>
      </c>
      <c r="G677" s="3" t="str">
        <f ca="1">VLOOKUP($B677&amp;"_"&amp;$E677,OFFSET([1]stages!$A$1,0,0,COUNTA([1]stages!$A:$A),MATCH(G$1,[1]stages!$2:$2,0)-MATCH("temp_stage",[1]stages!$2:$2,0)+1),MATCH(G$1,[1]stages!$2:$2,0)-MATCH("temp_stage",[1]stages!$2:$2,0)+1,FALSE)</f>
        <v>ドロップイベント3</v>
      </c>
      <c r="H677" s="18">
        <v>0</v>
      </c>
      <c r="I677">
        <v>29</v>
      </c>
      <c r="J677" s="5" t="s">
        <v>16</v>
      </c>
      <c r="K677" s="35" t="str">
        <f>VLOOKUP(I677,[2]stage_hints!$A:$C,3,FALSE)</f>
        <v>「バグ」のメリット</v>
      </c>
      <c r="L677" s="36" t="str">
        <f>VLOOKUP(I677,[2]stage_hints!$A:$D,4,FALSE)</f>
        <v>ユニットの「バグ」を増やすと_x000D_報酬をもらえる確率がアップします</v>
      </c>
      <c r="M677" s="21" t="s">
        <v>23</v>
      </c>
      <c r="N677">
        <v>29</v>
      </c>
    </row>
    <row r="678" spans="1:14" x14ac:dyDescent="0.15">
      <c r="A678" s="26" t="s">
        <v>32</v>
      </c>
      <c r="B678" s="4">
        <v>20010</v>
      </c>
      <c r="C678" s="3" t="str">
        <f ca="1">VLOOKUP($B678,OFFSET([1]quests!$A$1,0,0,COUNTA([1]quests!$A:$A),MATCH(C$1,[1]quests!$1:$1,0)-MATCH($B$1,[1]quests!$1:$1,0)+1),MATCH(C$1,[1]quests!$1:$1,0)-MATCH($B$1,[1]quests!$1:$1,0)+1,FALSE)</f>
        <v>悪夢の一目惚れ</v>
      </c>
      <c r="D678" s="3" t="str">
        <f ca="1">VLOOKUP($B678,OFFSET([1]quests!$A$1,0,0,COUNTA([1]quests!$A:$A),MATCH(D$1,[1]quests!$1:$1,0)-MATCH($B$1,[1]quests!$1:$1,0)+1),MATCH(D$1,[1]quests!$1:$1,0)-MATCH($B$1,[1]quests!$1:$1,0)+1,FALSE)</f>
        <v>ドロップイベント3</v>
      </c>
      <c r="E678" s="5">
        <v>2</v>
      </c>
      <c r="F678" s="3" t="str">
        <f ca="1">VLOOKUP($B678&amp;"_"&amp;$E678,OFFSET([1]stages!$A$1,0,0,COUNTA([1]stages!$A:$A),MATCH(F$1,[1]stages!$2:$2,0)-MATCH("temp_stage",[1]stages!$2:$2,0)+1),MATCH(F$1,[1]stages!$2:$2,0)-MATCH("temp_stage",[1]stages!$2:$2,0)+1,FALSE)</f>
        <v>【中級】悪夢の一目惚れ</v>
      </c>
      <c r="G678" s="3" t="str">
        <f ca="1">VLOOKUP($B678&amp;"_"&amp;$E678,OFFSET([1]stages!$A$1,0,0,COUNTA([1]stages!$A:$A),MATCH(G$1,[1]stages!$2:$2,0)-MATCH("temp_stage",[1]stages!$2:$2,0)+1),MATCH(G$1,[1]stages!$2:$2,0)-MATCH("temp_stage",[1]stages!$2:$2,0)+1,FALSE)</f>
        <v>ドロップイベント3</v>
      </c>
      <c r="H678" s="18">
        <v>0</v>
      </c>
      <c r="I678">
        <v>30</v>
      </c>
      <c r="J678" s="5" t="s">
        <v>16</v>
      </c>
      <c r="K678" s="35" t="str">
        <f>VLOOKUP(I678,[2]stage_hints!$A:$C,3,FALSE)</f>
        <v>「バグ」の増やし方</v>
      </c>
      <c r="L678" s="36" t="str">
        <f>VLOOKUP(I678,[2]stage_hints!$A:$D,4,FALSE)</f>
        <v>同じユニット同士を強化で合成すると_x000D_「バグ」を増やすことができます</v>
      </c>
      <c r="M678" s="21" t="s">
        <v>23</v>
      </c>
      <c r="N678">
        <v>30</v>
      </c>
    </row>
    <row r="679" spans="1:14" x14ac:dyDescent="0.15">
      <c r="A679" s="26" t="s">
        <v>32</v>
      </c>
      <c r="B679" s="4">
        <v>20010</v>
      </c>
      <c r="C679" s="3" t="str">
        <f ca="1">VLOOKUP($B679,OFFSET([1]quests!$A$1,0,0,COUNTA([1]quests!$A:$A),MATCH(C$1,[1]quests!$1:$1,0)-MATCH($B$1,[1]quests!$1:$1,0)+1),MATCH(C$1,[1]quests!$1:$1,0)-MATCH($B$1,[1]quests!$1:$1,0)+1,FALSE)</f>
        <v>悪夢の一目惚れ</v>
      </c>
      <c r="D679" s="3" t="str">
        <f ca="1">VLOOKUP($B679,OFFSET([1]quests!$A$1,0,0,COUNTA([1]quests!$A:$A),MATCH(D$1,[1]quests!$1:$1,0)-MATCH($B$1,[1]quests!$1:$1,0)+1),MATCH(D$1,[1]quests!$1:$1,0)-MATCH($B$1,[1]quests!$1:$1,0)+1,FALSE)</f>
        <v>ドロップイベント3</v>
      </c>
      <c r="E679" s="5">
        <v>2</v>
      </c>
      <c r="F679" s="3" t="str">
        <f ca="1">VLOOKUP($B679&amp;"_"&amp;$E679,OFFSET([1]stages!$A$1,0,0,COUNTA([1]stages!$A:$A),MATCH(F$1,[1]stages!$2:$2,0)-MATCH("temp_stage",[1]stages!$2:$2,0)+1),MATCH(F$1,[1]stages!$2:$2,0)-MATCH("temp_stage",[1]stages!$2:$2,0)+1,FALSE)</f>
        <v>【中級】悪夢の一目惚れ</v>
      </c>
      <c r="G679" s="3" t="str">
        <f ca="1">VLOOKUP($B679&amp;"_"&amp;$E679,OFFSET([1]stages!$A$1,0,0,COUNTA([1]stages!$A:$A),MATCH(G$1,[1]stages!$2:$2,0)-MATCH("temp_stage",[1]stages!$2:$2,0)+1),MATCH(G$1,[1]stages!$2:$2,0)-MATCH("temp_stage",[1]stages!$2:$2,0)+1,FALSE)</f>
        <v>ドロップイベント3</v>
      </c>
      <c r="H679" s="18">
        <v>0</v>
      </c>
      <c r="I679">
        <v>31</v>
      </c>
      <c r="J679" s="5" t="s">
        <v>16</v>
      </c>
      <c r="K679" s="35" t="str">
        <f>VLOOKUP(I679,[2]stage_hints!$A:$C,3,FALSE)</f>
        <v>イベントはお知らせでチェック</v>
      </c>
      <c r="L679" s="36" t="str">
        <f>VLOOKUP(I679,[2]stage_hints!$A:$D,4,FALSE)</f>
        <v>イベント限定ユニットを取り忘れないように_x000D_お知らせをこまめにチェックしましょう</v>
      </c>
      <c r="M679" s="21" t="s">
        <v>23</v>
      </c>
      <c r="N679">
        <v>31</v>
      </c>
    </row>
    <row r="680" spans="1:14" x14ac:dyDescent="0.15">
      <c r="A680" s="26" t="s">
        <v>32</v>
      </c>
      <c r="B680" s="4">
        <v>20010</v>
      </c>
      <c r="C680" s="3" t="str">
        <f ca="1">VLOOKUP($B680,OFFSET([1]quests!$A$1,0,0,COUNTA([1]quests!$A:$A),MATCH(C$1,[1]quests!$1:$1,0)-MATCH($B$1,[1]quests!$1:$1,0)+1),MATCH(C$1,[1]quests!$1:$1,0)-MATCH($B$1,[1]quests!$1:$1,0)+1,FALSE)</f>
        <v>悪夢の一目惚れ</v>
      </c>
      <c r="D680" s="3" t="str">
        <f ca="1">VLOOKUP($B680,OFFSET([1]quests!$A$1,0,0,COUNTA([1]quests!$A:$A),MATCH(D$1,[1]quests!$1:$1,0)-MATCH($B$1,[1]quests!$1:$1,0)+1),MATCH(D$1,[1]quests!$1:$1,0)-MATCH($B$1,[1]quests!$1:$1,0)+1,FALSE)</f>
        <v>ドロップイベント3</v>
      </c>
      <c r="E680" s="5">
        <v>2</v>
      </c>
      <c r="F680" s="3" t="str">
        <f ca="1">VLOOKUP($B680&amp;"_"&amp;$E680,OFFSET([1]stages!$A$1,0,0,COUNTA([1]stages!$A:$A),MATCH(F$1,[1]stages!$2:$2,0)-MATCH("temp_stage",[1]stages!$2:$2,0)+1),MATCH(F$1,[1]stages!$2:$2,0)-MATCH("temp_stage",[1]stages!$2:$2,0)+1,FALSE)</f>
        <v>【中級】悪夢の一目惚れ</v>
      </c>
      <c r="G680" s="3" t="str">
        <f ca="1">VLOOKUP($B680&amp;"_"&amp;$E680,OFFSET([1]stages!$A$1,0,0,COUNTA([1]stages!$A:$A),MATCH(G$1,[1]stages!$2:$2,0)-MATCH("temp_stage",[1]stages!$2:$2,0)+1),MATCH(G$1,[1]stages!$2:$2,0)-MATCH("temp_stage",[1]stages!$2:$2,0)+1,FALSE)</f>
        <v>ドロップイベント3</v>
      </c>
      <c r="H680" s="18">
        <v>0</v>
      </c>
      <c r="I680">
        <v>32</v>
      </c>
      <c r="J680" s="5" t="s">
        <v>16</v>
      </c>
      <c r="K680" s="35" t="str">
        <f>VLOOKUP(I680,[2]stage_hints!$A:$C,3,FALSE)</f>
        <v>敵の連続攻撃には</v>
      </c>
      <c r="L680" s="36" t="str">
        <f>VLOOKUP(I680,[2]stage_hints!$A:$D,4,FALSE)</f>
        <v>カウンタースキルを持つユニットがいれば_x000D_ダメージ回数分の反撃ができます</v>
      </c>
      <c r="M680" s="21" t="s">
        <v>23</v>
      </c>
      <c r="N680">
        <v>32</v>
      </c>
    </row>
    <row r="681" spans="1:14" x14ac:dyDescent="0.15">
      <c r="A681" s="26" t="s">
        <v>32</v>
      </c>
      <c r="B681" s="4">
        <v>20010</v>
      </c>
      <c r="C681" s="3" t="str">
        <f ca="1">VLOOKUP($B681,OFFSET([1]quests!$A$1,0,0,COUNTA([1]quests!$A:$A),MATCH(C$1,[1]quests!$1:$1,0)-MATCH($B$1,[1]quests!$1:$1,0)+1),MATCH(C$1,[1]quests!$1:$1,0)-MATCH($B$1,[1]quests!$1:$1,0)+1,FALSE)</f>
        <v>悪夢の一目惚れ</v>
      </c>
      <c r="D681" s="3" t="str">
        <f ca="1">VLOOKUP($B681,OFFSET([1]quests!$A$1,0,0,COUNTA([1]quests!$A:$A),MATCH(D$1,[1]quests!$1:$1,0)-MATCH($B$1,[1]quests!$1:$1,0)+1),MATCH(D$1,[1]quests!$1:$1,0)-MATCH($B$1,[1]quests!$1:$1,0)+1,FALSE)</f>
        <v>ドロップイベント3</v>
      </c>
      <c r="E681" s="5">
        <v>2</v>
      </c>
      <c r="F681" s="3" t="str">
        <f ca="1">VLOOKUP($B681&amp;"_"&amp;$E681,OFFSET([1]stages!$A$1,0,0,COUNTA([1]stages!$A:$A),MATCH(F$1,[1]stages!$2:$2,0)-MATCH("temp_stage",[1]stages!$2:$2,0)+1),MATCH(F$1,[1]stages!$2:$2,0)-MATCH("temp_stage",[1]stages!$2:$2,0)+1,FALSE)</f>
        <v>【中級】悪夢の一目惚れ</v>
      </c>
      <c r="G681" s="3" t="str">
        <f ca="1">VLOOKUP($B681&amp;"_"&amp;$E681,OFFSET([1]stages!$A$1,0,0,COUNTA([1]stages!$A:$A),MATCH(G$1,[1]stages!$2:$2,0)-MATCH("temp_stage",[1]stages!$2:$2,0)+1),MATCH(G$1,[1]stages!$2:$2,0)-MATCH("temp_stage",[1]stages!$2:$2,0)+1,FALSE)</f>
        <v>ドロップイベント3</v>
      </c>
      <c r="H681" s="18">
        <v>0</v>
      </c>
      <c r="I681">
        <v>33</v>
      </c>
      <c r="J681" s="5" t="s">
        <v>16</v>
      </c>
      <c r="K681" s="35" t="str">
        <f>VLOOKUP(I681,[2]stage_hints!$A:$C,3,FALSE)</f>
        <v>敵のカウンター攻撃には</v>
      </c>
      <c r="L681" s="36" t="str">
        <f>VLOOKUP(I681,[2]stage_hints!$A:$D,4,FALSE)</f>
        <v>カウンターブレイクスキルを持っていれば_x000D_敵のカウンターを解除して攻撃ができます</v>
      </c>
      <c r="M681" s="21" t="s">
        <v>23</v>
      </c>
      <c r="N681">
        <v>33</v>
      </c>
    </row>
    <row r="682" spans="1:14" x14ac:dyDescent="0.15">
      <c r="A682" s="26" t="s">
        <v>32</v>
      </c>
      <c r="B682" s="4">
        <v>20010</v>
      </c>
      <c r="C682" s="3" t="str">
        <f ca="1">VLOOKUP($B682,OFFSET([1]quests!$A$1,0,0,COUNTA([1]quests!$A:$A),MATCH(C$1,[1]quests!$1:$1,0)-MATCH($B$1,[1]quests!$1:$1,0)+1),MATCH(C$1,[1]quests!$1:$1,0)-MATCH($B$1,[1]quests!$1:$1,0)+1,FALSE)</f>
        <v>悪夢の一目惚れ</v>
      </c>
      <c r="D682" s="3" t="str">
        <f ca="1">VLOOKUP($B682,OFFSET([1]quests!$A$1,0,0,COUNTA([1]quests!$A:$A),MATCH(D$1,[1]quests!$1:$1,0)-MATCH($B$1,[1]quests!$1:$1,0)+1),MATCH(D$1,[1]quests!$1:$1,0)-MATCH($B$1,[1]quests!$1:$1,0)+1,FALSE)</f>
        <v>ドロップイベント3</v>
      </c>
      <c r="E682" s="5">
        <v>2</v>
      </c>
      <c r="F682" s="3" t="str">
        <f ca="1">VLOOKUP($B682&amp;"_"&amp;$E682,OFFSET([1]stages!$A$1,0,0,COUNTA([1]stages!$A:$A),MATCH(F$1,[1]stages!$2:$2,0)-MATCH("temp_stage",[1]stages!$2:$2,0)+1),MATCH(F$1,[1]stages!$2:$2,0)-MATCH("temp_stage",[1]stages!$2:$2,0)+1,FALSE)</f>
        <v>【中級】悪夢の一目惚れ</v>
      </c>
      <c r="G682" s="3" t="str">
        <f ca="1">VLOOKUP($B682&amp;"_"&amp;$E682,OFFSET([1]stages!$A$1,0,0,COUNTA([1]stages!$A:$A),MATCH(G$1,[1]stages!$2:$2,0)-MATCH("temp_stage",[1]stages!$2:$2,0)+1),MATCH(G$1,[1]stages!$2:$2,0)-MATCH("temp_stage",[1]stages!$2:$2,0)+1,FALSE)</f>
        <v>ドロップイベント3</v>
      </c>
      <c r="H682" s="18">
        <v>0</v>
      </c>
      <c r="I682">
        <v>34</v>
      </c>
      <c r="J682" s="5" t="s">
        <v>16</v>
      </c>
      <c r="K682" s="35" t="str">
        <f>VLOOKUP(I682,[2]stage_hints!$A:$C,3,FALSE)</f>
        <v>ステータスをスキルで下げられたら</v>
      </c>
      <c r="L682" s="36" t="str">
        <f>VLOOKUP(I682,[2]stage_hints!$A:$D,4,FALSE)</f>
        <v>ステータスダウンのスキルを受けたら_x000D_ステータスアップスキルで上書きしましょう</v>
      </c>
      <c r="M682" s="21" t="s">
        <v>23</v>
      </c>
      <c r="N682">
        <v>34</v>
      </c>
    </row>
    <row r="683" spans="1:14" x14ac:dyDescent="0.15">
      <c r="A683" s="26" t="s">
        <v>32</v>
      </c>
      <c r="B683" s="4">
        <v>20010</v>
      </c>
      <c r="C683" s="3" t="str">
        <f ca="1">VLOOKUP($B683,OFFSET([1]quests!$A$1,0,0,COUNTA([1]quests!$A:$A),MATCH(C$1,[1]quests!$1:$1,0)-MATCH($B$1,[1]quests!$1:$1,0)+1),MATCH(C$1,[1]quests!$1:$1,0)-MATCH($B$1,[1]quests!$1:$1,0)+1,FALSE)</f>
        <v>悪夢の一目惚れ</v>
      </c>
      <c r="D683" s="3" t="str">
        <f ca="1">VLOOKUP($B683,OFFSET([1]quests!$A$1,0,0,COUNTA([1]quests!$A:$A),MATCH(D$1,[1]quests!$1:$1,0)-MATCH($B$1,[1]quests!$1:$1,0)+1),MATCH(D$1,[1]quests!$1:$1,0)-MATCH($B$1,[1]quests!$1:$1,0)+1,FALSE)</f>
        <v>ドロップイベント3</v>
      </c>
      <c r="E683" s="5">
        <v>2</v>
      </c>
      <c r="F683" s="3" t="str">
        <f ca="1">VLOOKUP($B683&amp;"_"&amp;$E683,OFFSET([1]stages!$A$1,0,0,COUNTA([1]stages!$A:$A),MATCH(F$1,[1]stages!$2:$2,0)-MATCH("temp_stage",[1]stages!$2:$2,0)+1),MATCH(F$1,[1]stages!$2:$2,0)-MATCH("temp_stage",[1]stages!$2:$2,0)+1,FALSE)</f>
        <v>【中級】悪夢の一目惚れ</v>
      </c>
      <c r="G683" s="3" t="str">
        <f ca="1">VLOOKUP($B683&amp;"_"&amp;$E683,OFFSET([1]stages!$A$1,0,0,COUNTA([1]stages!$A:$A),MATCH(G$1,[1]stages!$2:$2,0)-MATCH("temp_stage",[1]stages!$2:$2,0)+1),MATCH(G$1,[1]stages!$2:$2,0)-MATCH("temp_stage",[1]stages!$2:$2,0)+1,FALSE)</f>
        <v>ドロップイベント3</v>
      </c>
      <c r="H683" s="18">
        <v>0</v>
      </c>
      <c r="I683">
        <v>35</v>
      </c>
      <c r="J683" s="5" t="s">
        <v>16</v>
      </c>
      <c r="K683" s="35" t="str">
        <f>VLOOKUP(I683,[2]stage_hints!$A:$C,3,FALSE)</f>
        <v>敵のステータスがスキルで上がったら</v>
      </c>
      <c r="L683" s="36" t="str">
        <f>VLOOKUP(I683,[2]stage_hints!$A:$D,4,FALSE)</f>
        <v>敵のステータスがスキルでアップしたときは_x000D_ステータスダウンスキルで上書きしましょう</v>
      </c>
      <c r="M683" s="21" t="s">
        <v>23</v>
      </c>
      <c r="N683">
        <v>35</v>
      </c>
    </row>
    <row r="684" spans="1:14" x14ac:dyDescent="0.15">
      <c r="A684" s="26" t="s">
        <v>32</v>
      </c>
      <c r="B684" s="4">
        <v>20011</v>
      </c>
      <c r="C684" s="3" t="str">
        <f ca="1">VLOOKUP($B684,OFFSET([1]quests!$A$1,0,0,COUNTA([1]quests!$A:$A),MATCH(C$1,[1]quests!$1:$1,0)-MATCH($B$1,[1]quests!$1:$1,0)+1),MATCH(C$1,[1]quests!$1:$1,0)-MATCH($B$1,[1]quests!$1:$1,0)+1,FALSE)</f>
        <v>すべてが灰になる</v>
      </c>
      <c r="D684" s="3" t="str">
        <f ca="1">VLOOKUP($B684,OFFSET([1]quests!$A$1,0,0,COUNTA([1]quests!$A:$A),MATCH(D$1,[1]quests!$1:$1,0)-MATCH($B$1,[1]quests!$1:$1,0)+1),MATCH(D$1,[1]quests!$1:$1,0)-MATCH($B$1,[1]quests!$1:$1,0)+1,FALSE)</f>
        <v>ドロップイベント3</v>
      </c>
      <c r="E684" s="5">
        <v>2</v>
      </c>
      <c r="F684" s="3" t="str">
        <f ca="1">VLOOKUP($B684&amp;"_"&amp;$E684,OFFSET([1]stages!$A$1,0,0,COUNTA([1]stages!$A:$A),MATCH(F$1,[1]stages!$2:$2,0)-MATCH("temp_stage",[1]stages!$2:$2,0)+1),MATCH(F$1,[1]stages!$2:$2,0)-MATCH("temp_stage",[1]stages!$2:$2,0)+1,FALSE)</f>
        <v>【中級】すべてが灰になる</v>
      </c>
      <c r="G684" s="3" t="str">
        <f ca="1">VLOOKUP($B684&amp;"_"&amp;$E684,OFFSET([1]stages!$A$1,0,0,COUNTA([1]stages!$A:$A),MATCH(G$1,[1]stages!$2:$2,0)-MATCH("temp_stage",[1]stages!$2:$2,0)+1),MATCH(G$1,[1]stages!$2:$2,0)-MATCH("temp_stage",[1]stages!$2:$2,0)+1,FALSE)</f>
        <v>ドロップイベント3</v>
      </c>
      <c r="H684" s="18">
        <v>0</v>
      </c>
      <c r="I684">
        <v>3</v>
      </c>
      <c r="J684" s="5" t="s">
        <v>16</v>
      </c>
      <c r="K684" s="35" t="str">
        <f>VLOOKUP(I684,[2]stage_hints!$A:$C,3,FALSE)</f>
        <v>ターゲット</v>
      </c>
      <c r="L684" s="36" t="str">
        <f>VLOOKUP(I684,[2]stage_hints!$A:$D,4,FALSE)</f>
        <v>敵ユニットをタップすると_x000D_その敵を狙い撃ちできます</v>
      </c>
      <c r="M684" s="21" t="s">
        <v>23</v>
      </c>
      <c r="N684">
        <v>3</v>
      </c>
    </row>
    <row r="685" spans="1:14" x14ac:dyDescent="0.15">
      <c r="A685" s="26" t="s">
        <v>32</v>
      </c>
      <c r="B685" s="4">
        <v>20011</v>
      </c>
      <c r="C685" s="3" t="str">
        <f ca="1">VLOOKUP($B685,OFFSET([1]quests!$A$1,0,0,COUNTA([1]quests!$A:$A),MATCH(C$1,[1]quests!$1:$1,0)-MATCH($B$1,[1]quests!$1:$1,0)+1),MATCH(C$1,[1]quests!$1:$1,0)-MATCH($B$1,[1]quests!$1:$1,0)+1,FALSE)</f>
        <v>すべてが灰になる</v>
      </c>
      <c r="D685" s="3" t="str">
        <f ca="1">VLOOKUP($B685,OFFSET([1]quests!$A$1,0,0,COUNTA([1]quests!$A:$A),MATCH(D$1,[1]quests!$1:$1,0)-MATCH($B$1,[1]quests!$1:$1,0)+1),MATCH(D$1,[1]quests!$1:$1,0)-MATCH($B$1,[1]quests!$1:$1,0)+1,FALSE)</f>
        <v>ドロップイベント3</v>
      </c>
      <c r="E685" s="5">
        <v>2</v>
      </c>
      <c r="F685" s="3" t="str">
        <f ca="1">VLOOKUP($B685&amp;"_"&amp;$E685,OFFSET([1]stages!$A$1,0,0,COUNTA([1]stages!$A:$A),MATCH(F$1,[1]stages!$2:$2,0)-MATCH("temp_stage",[1]stages!$2:$2,0)+1),MATCH(F$1,[1]stages!$2:$2,0)-MATCH("temp_stage",[1]stages!$2:$2,0)+1,FALSE)</f>
        <v>【中級】すべてが灰になる</v>
      </c>
      <c r="G685" s="3" t="str">
        <f ca="1">VLOOKUP($B685&amp;"_"&amp;$E685,OFFSET([1]stages!$A$1,0,0,COUNTA([1]stages!$A:$A),MATCH(G$1,[1]stages!$2:$2,0)-MATCH("temp_stage",[1]stages!$2:$2,0)+1),MATCH(G$1,[1]stages!$2:$2,0)-MATCH("temp_stage",[1]stages!$2:$2,0)+1,FALSE)</f>
        <v>ドロップイベント3</v>
      </c>
      <c r="H685" s="18">
        <v>0</v>
      </c>
      <c r="I685">
        <v>6</v>
      </c>
      <c r="J685" s="5" t="s">
        <v>16</v>
      </c>
      <c r="K685" s="35" t="str">
        <f>VLOOKUP(I685,[2]stage_hints!$A:$C,3,FALSE)</f>
        <v>ユニット強化の属性ボーナス</v>
      </c>
      <c r="L685" s="36" t="str">
        <f>VLOOKUP(I685,[2]stage_hints!$A:$D,4,FALSE)</f>
        <v>同属性ユニットを強化素材にすると_x000D_経験値が多くもらえます</v>
      </c>
      <c r="M685" s="21" t="s">
        <v>23</v>
      </c>
      <c r="N685">
        <v>6</v>
      </c>
    </row>
    <row r="686" spans="1:14" x14ac:dyDescent="0.15">
      <c r="A686" s="26" t="s">
        <v>32</v>
      </c>
      <c r="B686" s="4">
        <v>20011</v>
      </c>
      <c r="C686" s="3" t="str">
        <f ca="1">VLOOKUP($B686,OFFSET([1]quests!$A$1,0,0,COUNTA([1]quests!$A:$A),MATCH(C$1,[1]quests!$1:$1,0)-MATCH($B$1,[1]quests!$1:$1,0)+1),MATCH(C$1,[1]quests!$1:$1,0)-MATCH($B$1,[1]quests!$1:$1,0)+1,FALSE)</f>
        <v>すべてが灰になる</v>
      </c>
      <c r="D686" s="3" t="str">
        <f ca="1">VLOOKUP($B686,OFFSET([1]quests!$A$1,0,0,COUNTA([1]quests!$A:$A),MATCH(D$1,[1]quests!$1:$1,0)-MATCH($B$1,[1]quests!$1:$1,0)+1),MATCH(D$1,[1]quests!$1:$1,0)-MATCH($B$1,[1]quests!$1:$1,0)+1,FALSE)</f>
        <v>ドロップイベント3</v>
      </c>
      <c r="E686" s="5">
        <v>2</v>
      </c>
      <c r="F686" s="3" t="str">
        <f ca="1">VLOOKUP($B686&amp;"_"&amp;$E686,OFFSET([1]stages!$A$1,0,0,COUNTA([1]stages!$A:$A),MATCH(F$1,[1]stages!$2:$2,0)-MATCH("temp_stage",[1]stages!$2:$2,0)+1),MATCH(F$1,[1]stages!$2:$2,0)-MATCH("temp_stage",[1]stages!$2:$2,0)+1,FALSE)</f>
        <v>【中級】すべてが灰になる</v>
      </c>
      <c r="G686" s="3" t="str">
        <f ca="1">VLOOKUP($B686&amp;"_"&amp;$E686,OFFSET([1]stages!$A$1,0,0,COUNTA([1]stages!$A:$A),MATCH(G$1,[1]stages!$2:$2,0)-MATCH("temp_stage",[1]stages!$2:$2,0)+1),MATCH(G$1,[1]stages!$2:$2,0)-MATCH("temp_stage",[1]stages!$2:$2,0)+1,FALSE)</f>
        <v>ドロップイベント3</v>
      </c>
      <c r="H686" s="18">
        <v>0</v>
      </c>
      <c r="I686">
        <v>7</v>
      </c>
      <c r="J686" s="5" t="s">
        <v>16</v>
      </c>
      <c r="K686" s="35" t="str">
        <f>VLOOKUP(I686,[2]stage_hints!$A:$C,3,FALSE)</f>
        <v>メタルダックで経験値を獲得</v>
      </c>
      <c r="L686" s="36" t="str">
        <f>VLOOKUP(I686,[2]stage_hints!$A:$D,4,FALSE)</f>
        <v>「メタルなアヒル」を強化素材にすると_x000D_大量の経験値がもらえます</v>
      </c>
      <c r="M686" s="21" t="s">
        <v>23</v>
      </c>
      <c r="N686">
        <v>7</v>
      </c>
    </row>
    <row r="687" spans="1:14" x14ac:dyDescent="0.15">
      <c r="A687" s="26" t="s">
        <v>32</v>
      </c>
      <c r="B687" s="4">
        <v>20011</v>
      </c>
      <c r="C687" s="3" t="str">
        <f ca="1">VLOOKUP($B687,OFFSET([1]quests!$A$1,0,0,COUNTA([1]quests!$A:$A),MATCH(C$1,[1]quests!$1:$1,0)-MATCH($B$1,[1]quests!$1:$1,0)+1),MATCH(C$1,[1]quests!$1:$1,0)-MATCH($B$1,[1]quests!$1:$1,0)+1,FALSE)</f>
        <v>すべてが灰になる</v>
      </c>
      <c r="D687" s="3" t="str">
        <f ca="1">VLOOKUP($B687,OFFSET([1]quests!$A$1,0,0,COUNTA([1]quests!$A:$A),MATCH(D$1,[1]quests!$1:$1,0)-MATCH($B$1,[1]quests!$1:$1,0)+1),MATCH(D$1,[1]quests!$1:$1,0)-MATCH($B$1,[1]quests!$1:$1,0)+1,FALSE)</f>
        <v>ドロップイベント3</v>
      </c>
      <c r="E687" s="5">
        <v>2</v>
      </c>
      <c r="F687" s="3" t="str">
        <f ca="1">VLOOKUP($B687&amp;"_"&amp;$E687,OFFSET([1]stages!$A$1,0,0,COUNTA([1]stages!$A:$A),MATCH(F$1,[1]stages!$2:$2,0)-MATCH("temp_stage",[1]stages!$2:$2,0)+1),MATCH(F$1,[1]stages!$2:$2,0)-MATCH("temp_stage",[1]stages!$2:$2,0)+1,FALSE)</f>
        <v>【中級】すべてが灰になる</v>
      </c>
      <c r="G687" s="3" t="str">
        <f ca="1">VLOOKUP($B687&amp;"_"&amp;$E687,OFFSET([1]stages!$A$1,0,0,COUNTA([1]stages!$A:$A),MATCH(G$1,[1]stages!$2:$2,0)-MATCH("temp_stage",[1]stages!$2:$2,0)+1),MATCH(G$1,[1]stages!$2:$2,0)-MATCH("temp_stage",[1]stages!$2:$2,0)+1,FALSE)</f>
        <v>ドロップイベント3</v>
      </c>
      <c r="H687" s="18">
        <v>0</v>
      </c>
      <c r="I687">
        <v>8</v>
      </c>
      <c r="J687" s="5" t="s">
        <v>16</v>
      </c>
      <c r="K687" s="35" t="str">
        <f>VLOOKUP(I687,[2]stage_hints!$A:$C,3,FALSE)</f>
        <v>ゲリラクエストは要チェック</v>
      </c>
      <c r="L687" s="36" t="str">
        <f>VLOOKUP(I687,[2]stage_hints!$A:$D,4,FALSE)</f>
        <v>時間限定の「アヒル捕獲作戦」では_x000D_経験値素材ユニットが多く手に入ります</v>
      </c>
      <c r="M687" s="21" t="s">
        <v>23</v>
      </c>
      <c r="N687">
        <v>8</v>
      </c>
    </row>
    <row r="688" spans="1:14" x14ac:dyDescent="0.15">
      <c r="A688" s="26" t="s">
        <v>32</v>
      </c>
      <c r="B688" s="4">
        <v>20011</v>
      </c>
      <c r="C688" s="3" t="str">
        <f ca="1">VLOOKUP($B688,OFFSET([1]quests!$A$1,0,0,COUNTA([1]quests!$A:$A),MATCH(C$1,[1]quests!$1:$1,0)-MATCH($B$1,[1]quests!$1:$1,0)+1),MATCH(C$1,[1]quests!$1:$1,0)-MATCH($B$1,[1]quests!$1:$1,0)+1,FALSE)</f>
        <v>すべてが灰になる</v>
      </c>
      <c r="D688" s="3" t="str">
        <f ca="1">VLOOKUP($B688,OFFSET([1]quests!$A$1,0,0,COUNTA([1]quests!$A:$A),MATCH(D$1,[1]quests!$1:$1,0)-MATCH($B$1,[1]quests!$1:$1,0)+1),MATCH(D$1,[1]quests!$1:$1,0)-MATCH($B$1,[1]quests!$1:$1,0)+1,FALSE)</f>
        <v>ドロップイベント3</v>
      </c>
      <c r="E688" s="5">
        <v>2</v>
      </c>
      <c r="F688" s="3" t="str">
        <f ca="1">VLOOKUP($B688&amp;"_"&amp;$E688,OFFSET([1]stages!$A$1,0,0,COUNTA([1]stages!$A:$A),MATCH(F$1,[1]stages!$2:$2,0)-MATCH("temp_stage",[1]stages!$2:$2,0)+1),MATCH(F$1,[1]stages!$2:$2,0)-MATCH("temp_stage",[1]stages!$2:$2,0)+1,FALSE)</f>
        <v>【中級】すべてが灰になる</v>
      </c>
      <c r="G688" s="3" t="str">
        <f ca="1">VLOOKUP($B688&amp;"_"&amp;$E688,OFFSET([1]stages!$A$1,0,0,COUNTA([1]stages!$A:$A),MATCH(G$1,[1]stages!$2:$2,0)-MATCH("temp_stage",[1]stages!$2:$2,0)+1),MATCH(G$1,[1]stages!$2:$2,0)-MATCH("temp_stage",[1]stages!$2:$2,0)+1,FALSE)</f>
        <v>ドロップイベント3</v>
      </c>
      <c r="H688" s="18">
        <v>0</v>
      </c>
      <c r="I688">
        <v>9</v>
      </c>
      <c r="J688" s="5" t="s">
        <v>16</v>
      </c>
      <c r="K688" s="35" t="str">
        <f>VLOOKUP(I688,[2]stage_hints!$A:$C,3,FALSE)</f>
        <v>ゴールドダックでビットを獲得</v>
      </c>
      <c r="L688" s="36" t="str">
        <f>VLOOKUP(I688,[2]stage_hints!$A:$D,4,FALSE)</f>
        <v>「ゴールドなアヒル」を売却すると_x000D_大量のビットがもらえます</v>
      </c>
      <c r="M688" s="21" t="s">
        <v>23</v>
      </c>
      <c r="N688">
        <v>9</v>
      </c>
    </row>
    <row r="689" spans="1:14" x14ac:dyDescent="0.15">
      <c r="A689" s="26" t="s">
        <v>32</v>
      </c>
      <c r="B689" s="4">
        <v>20011</v>
      </c>
      <c r="C689" s="3" t="str">
        <f ca="1">VLOOKUP($B689,OFFSET([1]quests!$A$1,0,0,COUNTA([1]quests!$A:$A),MATCH(C$1,[1]quests!$1:$1,0)-MATCH($B$1,[1]quests!$1:$1,0)+1),MATCH(C$1,[1]quests!$1:$1,0)-MATCH($B$1,[1]quests!$1:$1,0)+1,FALSE)</f>
        <v>すべてが灰になる</v>
      </c>
      <c r="D689" s="3" t="str">
        <f ca="1">VLOOKUP($B689,OFFSET([1]quests!$A$1,0,0,COUNTA([1]quests!$A:$A),MATCH(D$1,[1]quests!$1:$1,0)-MATCH($B$1,[1]quests!$1:$1,0)+1),MATCH(D$1,[1]quests!$1:$1,0)-MATCH($B$1,[1]quests!$1:$1,0)+1,FALSE)</f>
        <v>ドロップイベント3</v>
      </c>
      <c r="E689" s="5">
        <v>2</v>
      </c>
      <c r="F689" s="3" t="str">
        <f ca="1">VLOOKUP($B689&amp;"_"&amp;$E689,OFFSET([1]stages!$A$1,0,0,COUNTA([1]stages!$A:$A),MATCH(F$1,[1]stages!$2:$2,0)-MATCH("temp_stage",[1]stages!$2:$2,0)+1),MATCH(F$1,[1]stages!$2:$2,0)-MATCH("temp_stage",[1]stages!$2:$2,0)+1,FALSE)</f>
        <v>【中級】すべてが灰になる</v>
      </c>
      <c r="G689" s="3" t="str">
        <f ca="1">VLOOKUP($B689&amp;"_"&amp;$E689,OFFSET([1]stages!$A$1,0,0,COUNTA([1]stages!$A:$A),MATCH(G$1,[1]stages!$2:$2,0)-MATCH("temp_stage",[1]stages!$2:$2,0)+1),MATCH(G$1,[1]stages!$2:$2,0)-MATCH("temp_stage",[1]stages!$2:$2,0)+1,FALSE)</f>
        <v>ドロップイベント3</v>
      </c>
      <c r="H689" s="18">
        <v>0</v>
      </c>
      <c r="I689">
        <v>10</v>
      </c>
      <c r="J689" s="5" t="s">
        <v>16</v>
      </c>
      <c r="K689" s="35" t="str">
        <f>VLOOKUP(I689,[2]stage_hints!$A:$C,3,FALSE)</f>
        <v>土日に大量のビットを獲得</v>
      </c>
      <c r="L689" s="36" t="str">
        <f>VLOOKUP(I689,[2]stage_hints!$A:$D,4,FALSE)</f>
        <v>土日限定の「ゴールドカジノ」では_x000D_売却素材ユニットが多く手に入ります</v>
      </c>
      <c r="M689" s="21" t="s">
        <v>23</v>
      </c>
      <c r="N689">
        <v>10</v>
      </c>
    </row>
    <row r="690" spans="1:14" x14ac:dyDescent="0.15">
      <c r="A690" s="26" t="s">
        <v>32</v>
      </c>
      <c r="B690" s="4">
        <v>20011</v>
      </c>
      <c r="C690" s="3" t="str">
        <f ca="1">VLOOKUP($B690,OFFSET([1]quests!$A$1,0,0,COUNTA([1]quests!$A:$A),MATCH(C$1,[1]quests!$1:$1,0)-MATCH($B$1,[1]quests!$1:$1,0)+1),MATCH(C$1,[1]quests!$1:$1,0)-MATCH($B$1,[1]quests!$1:$1,0)+1,FALSE)</f>
        <v>すべてが灰になる</v>
      </c>
      <c r="D690" s="3" t="str">
        <f ca="1">VLOOKUP($B690,OFFSET([1]quests!$A$1,0,0,COUNTA([1]quests!$A:$A),MATCH(D$1,[1]quests!$1:$1,0)-MATCH($B$1,[1]quests!$1:$1,0)+1),MATCH(D$1,[1]quests!$1:$1,0)-MATCH($B$1,[1]quests!$1:$1,0)+1,FALSE)</f>
        <v>ドロップイベント3</v>
      </c>
      <c r="E690" s="5">
        <v>2</v>
      </c>
      <c r="F690" s="3" t="str">
        <f ca="1">VLOOKUP($B690&amp;"_"&amp;$E690,OFFSET([1]stages!$A$1,0,0,COUNTA([1]stages!$A:$A),MATCH(F$1,[1]stages!$2:$2,0)-MATCH("temp_stage",[1]stages!$2:$2,0)+1),MATCH(F$1,[1]stages!$2:$2,0)-MATCH("temp_stage",[1]stages!$2:$2,0)+1,FALSE)</f>
        <v>【中級】すべてが灰になる</v>
      </c>
      <c r="G690" s="3" t="str">
        <f ca="1">VLOOKUP($B690&amp;"_"&amp;$E690,OFFSET([1]stages!$A$1,0,0,COUNTA([1]stages!$A:$A),MATCH(G$1,[1]stages!$2:$2,0)-MATCH("temp_stage",[1]stages!$2:$2,0)+1),MATCH(G$1,[1]stages!$2:$2,0)-MATCH("temp_stage",[1]stages!$2:$2,0)+1,FALSE)</f>
        <v>ドロップイベント3</v>
      </c>
      <c r="H690" s="18">
        <v>0</v>
      </c>
      <c r="I690">
        <v>11</v>
      </c>
      <c r="J690" s="5" t="s">
        <v>16</v>
      </c>
      <c r="K690" s="35" t="str">
        <f>VLOOKUP(I690,[2]stage_hints!$A:$C,3,FALSE)</f>
        <v>ランク解放クエスト</v>
      </c>
      <c r="L690" s="36" t="str">
        <f>VLOOKUP(I690,[2]stage_hints!$A:$D,4,FALSE)</f>
        <v>一定ランクに到達すると_x000D_報酬付きのランク開放クエストが現れます</v>
      </c>
      <c r="M690" s="21" t="s">
        <v>23</v>
      </c>
      <c r="N690">
        <v>11</v>
      </c>
    </row>
    <row r="691" spans="1:14" x14ac:dyDescent="0.15">
      <c r="A691" s="26" t="s">
        <v>32</v>
      </c>
      <c r="B691" s="4">
        <v>20011</v>
      </c>
      <c r="C691" s="3" t="str">
        <f ca="1">VLOOKUP($B691,OFFSET([1]quests!$A$1,0,0,COUNTA([1]quests!$A:$A),MATCH(C$1,[1]quests!$1:$1,0)-MATCH($B$1,[1]quests!$1:$1,0)+1),MATCH(C$1,[1]quests!$1:$1,0)-MATCH($B$1,[1]quests!$1:$1,0)+1,FALSE)</f>
        <v>すべてが灰になる</v>
      </c>
      <c r="D691" s="3" t="str">
        <f ca="1">VLOOKUP($B691,OFFSET([1]quests!$A$1,0,0,COUNTA([1]quests!$A:$A),MATCH(D$1,[1]quests!$1:$1,0)-MATCH($B$1,[1]quests!$1:$1,0)+1),MATCH(D$1,[1]quests!$1:$1,0)-MATCH($B$1,[1]quests!$1:$1,0)+1,FALSE)</f>
        <v>ドロップイベント3</v>
      </c>
      <c r="E691" s="5">
        <v>2</v>
      </c>
      <c r="F691" s="3" t="str">
        <f ca="1">VLOOKUP($B691&amp;"_"&amp;$E691,OFFSET([1]stages!$A$1,0,0,COUNTA([1]stages!$A:$A),MATCH(F$1,[1]stages!$2:$2,0)-MATCH("temp_stage",[1]stages!$2:$2,0)+1),MATCH(F$1,[1]stages!$2:$2,0)-MATCH("temp_stage",[1]stages!$2:$2,0)+1,FALSE)</f>
        <v>【中級】すべてが灰になる</v>
      </c>
      <c r="G691" s="3" t="str">
        <f ca="1">VLOOKUP($B691&amp;"_"&amp;$E691,OFFSET([1]stages!$A$1,0,0,COUNTA([1]stages!$A:$A),MATCH(G$1,[1]stages!$2:$2,0)-MATCH("temp_stage",[1]stages!$2:$2,0)+1),MATCH(G$1,[1]stages!$2:$2,0)-MATCH("temp_stage",[1]stages!$2:$2,0)+1,FALSE)</f>
        <v>ドロップイベント3</v>
      </c>
      <c r="H691" s="18">
        <v>0</v>
      </c>
      <c r="I691">
        <v>12</v>
      </c>
      <c r="J691" s="5" t="s">
        <v>16</v>
      </c>
      <c r="K691" s="35" t="str">
        <f>VLOOKUP(I691,[2]stage_hints!$A:$C,3,FALSE)</f>
        <v>ユニットのお気に入り登録</v>
      </c>
      <c r="L691" s="36" t="str">
        <f>VLOOKUP(I691,[2]stage_hints!$A:$D,4,FALSE)</f>
        <v>大事なユニットを誤って消さないように_x000D_フォルダから「お気に入り登録」しましょう</v>
      </c>
      <c r="M691" s="21" t="s">
        <v>23</v>
      </c>
      <c r="N691">
        <v>12</v>
      </c>
    </row>
    <row r="692" spans="1:14" x14ac:dyDescent="0.15">
      <c r="A692" s="26" t="s">
        <v>32</v>
      </c>
      <c r="B692" s="4">
        <v>20011</v>
      </c>
      <c r="C692" s="3" t="str">
        <f ca="1">VLOOKUP($B692,OFFSET([1]quests!$A$1,0,0,COUNTA([1]quests!$A:$A),MATCH(C$1,[1]quests!$1:$1,0)-MATCH($B$1,[1]quests!$1:$1,0)+1),MATCH(C$1,[1]quests!$1:$1,0)-MATCH($B$1,[1]quests!$1:$1,0)+1,FALSE)</f>
        <v>すべてが灰になる</v>
      </c>
      <c r="D692" s="3" t="str">
        <f ca="1">VLOOKUP($B692,OFFSET([1]quests!$A$1,0,0,COUNTA([1]quests!$A:$A),MATCH(D$1,[1]quests!$1:$1,0)-MATCH($B$1,[1]quests!$1:$1,0)+1),MATCH(D$1,[1]quests!$1:$1,0)-MATCH($B$1,[1]quests!$1:$1,0)+1,FALSE)</f>
        <v>ドロップイベント3</v>
      </c>
      <c r="E692" s="5">
        <v>2</v>
      </c>
      <c r="F692" s="3" t="str">
        <f ca="1">VLOOKUP($B692&amp;"_"&amp;$E692,OFFSET([1]stages!$A$1,0,0,COUNTA([1]stages!$A:$A),MATCH(F$1,[1]stages!$2:$2,0)-MATCH("temp_stage",[1]stages!$2:$2,0)+1),MATCH(F$1,[1]stages!$2:$2,0)-MATCH("temp_stage",[1]stages!$2:$2,0)+1,FALSE)</f>
        <v>【中級】すべてが灰になる</v>
      </c>
      <c r="G692" s="3" t="str">
        <f ca="1">VLOOKUP($B692&amp;"_"&amp;$E692,OFFSET([1]stages!$A$1,0,0,COUNTA([1]stages!$A:$A),MATCH(G$1,[1]stages!$2:$2,0)-MATCH("temp_stage",[1]stages!$2:$2,0)+1),MATCH(G$1,[1]stages!$2:$2,0)-MATCH("temp_stage",[1]stages!$2:$2,0)+1,FALSE)</f>
        <v>ドロップイベント3</v>
      </c>
      <c r="H692" s="18">
        <v>0</v>
      </c>
      <c r="I692">
        <v>13</v>
      </c>
      <c r="J692" s="5" t="s">
        <v>16</v>
      </c>
      <c r="K692" s="35" t="str">
        <f>VLOOKUP(I692,[2]stage_hints!$A:$C,3,FALSE)</f>
        <v>ユニットの覚醒</v>
      </c>
      <c r="L692" s="36" t="str">
        <f>VLOOKUP(I692,[2]stage_hints!$A:$D,4,FALSE)</f>
        <v>ユニットを覚醒させると_x000D_比べものにならない強さが手に入ります</v>
      </c>
      <c r="M692" s="21" t="s">
        <v>23</v>
      </c>
      <c r="N692">
        <v>13</v>
      </c>
    </row>
    <row r="693" spans="1:14" x14ac:dyDescent="0.15">
      <c r="A693" s="26" t="s">
        <v>32</v>
      </c>
      <c r="B693" s="4">
        <v>20011</v>
      </c>
      <c r="C693" s="3" t="str">
        <f ca="1">VLOOKUP($B693,OFFSET([1]quests!$A$1,0,0,COUNTA([1]quests!$A:$A),MATCH(C$1,[1]quests!$1:$1,0)-MATCH($B$1,[1]quests!$1:$1,0)+1),MATCH(C$1,[1]quests!$1:$1,0)-MATCH($B$1,[1]quests!$1:$1,0)+1,FALSE)</f>
        <v>すべてが灰になる</v>
      </c>
      <c r="D693" s="3" t="str">
        <f ca="1">VLOOKUP($B693,OFFSET([1]quests!$A$1,0,0,COUNTA([1]quests!$A:$A),MATCH(D$1,[1]quests!$1:$1,0)-MATCH($B$1,[1]quests!$1:$1,0)+1),MATCH(D$1,[1]quests!$1:$1,0)-MATCH($B$1,[1]quests!$1:$1,0)+1,FALSE)</f>
        <v>ドロップイベント3</v>
      </c>
      <c r="E693" s="5">
        <v>2</v>
      </c>
      <c r="F693" s="3" t="str">
        <f ca="1">VLOOKUP($B693&amp;"_"&amp;$E693,OFFSET([1]stages!$A$1,0,0,COUNTA([1]stages!$A:$A),MATCH(F$1,[1]stages!$2:$2,0)-MATCH("temp_stage",[1]stages!$2:$2,0)+1),MATCH(F$1,[1]stages!$2:$2,0)-MATCH("temp_stage",[1]stages!$2:$2,0)+1,FALSE)</f>
        <v>【中級】すべてが灰になる</v>
      </c>
      <c r="G693" s="3" t="str">
        <f ca="1">VLOOKUP($B693&amp;"_"&amp;$E693,OFFSET([1]stages!$A$1,0,0,COUNTA([1]stages!$A:$A),MATCH(G$1,[1]stages!$2:$2,0)-MATCH("temp_stage",[1]stages!$2:$2,0)+1),MATCH(G$1,[1]stages!$2:$2,0)-MATCH("temp_stage",[1]stages!$2:$2,0)+1,FALSE)</f>
        <v>ドロップイベント3</v>
      </c>
      <c r="H693" s="18">
        <v>0</v>
      </c>
      <c r="I693">
        <v>14</v>
      </c>
      <c r="J693" s="5" t="s">
        <v>16</v>
      </c>
      <c r="K693" s="35" t="str">
        <f>VLOOKUP(I693,[2]stage_hints!$A:$C,3,FALSE)</f>
        <v>覚醒するにはレベルを最大に</v>
      </c>
      <c r="L693" s="36" t="str">
        <f>VLOOKUP(I693,[2]stage_hints!$A:$D,4,FALSE)</f>
        <v>覚醒するにはユニットのレベルを_x000D_最大まで上げる必要があります</v>
      </c>
      <c r="M693" s="21" t="s">
        <v>23</v>
      </c>
      <c r="N693">
        <v>14</v>
      </c>
    </row>
    <row r="694" spans="1:14" x14ac:dyDescent="0.15">
      <c r="A694" s="26" t="s">
        <v>32</v>
      </c>
      <c r="B694" s="4">
        <v>20011</v>
      </c>
      <c r="C694" s="3" t="str">
        <f ca="1">VLOOKUP($B694,OFFSET([1]quests!$A$1,0,0,COUNTA([1]quests!$A:$A),MATCH(C$1,[1]quests!$1:$1,0)-MATCH($B$1,[1]quests!$1:$1,0)+1),MATCH(C$1,[1]quests!$1:$1,0)-MATCH($B$1,[1]quests!$1:$1,0)+1,FALSE)</f>
        <v>すべてが灰になる</v>
      </c>
      <c r="D694" s="3" t="str">
        <f ca="1">VLOOKUP($B694,OFFSET([1]quests!$A$1,0,0,COUNTA([1]quests!$A:$A),MATCH(D$1,[1]quests!$1:$1,0)-MATCH($B$1,[1]quests!$1:$1,0)+1),MATCH(D$1,[1]quests!$1:$1,0)-MATCH($B$1,[1]quests!$1:$1,0)+1,FALSE)</f>
        <v>ドロップイベント3</v>
      </c>
      <c r="E694" s="5">
        <v>2</v>
      </c>
      <c r="F694" s="3" t="str">
        <f ca="1">VLOOKUP($B694&amp;"_"&amp;$E694,OFFSET([1]stages!$A$1,0,0,COUNTA([1]stages!$A:$A),MATCH(F$1,[1]stages!$2:$2,0)-MATCH("temp_stage",[1]stages!$2:$2,0)+1),MATCH(F$1,[1]stages!$2:$2,0)-MATCH("temp_stage",[1]stages!$2:$2,0)+1,FALSE)</f>
        <v>【中級】すべてが灰になる</v>
      </c>
      <c r="G694" s="3" t="str">
        <f ca="1">VLOOKUP($B694&amp;"_"&amp;$E694,OFFSET([1]stages!$A$1,0,0,COUNTA([1]stages!$A:$A),MATCH(G$1,[1]stages!$2:$2,0)-MATCH("temp_stage",[1]stages!$2:$2,0)+1),MATCH(G$1,[1]stages!$2:$2,0)-MATCH("temp_stage",[1]stages!$2:$2,0)+1,FALSE)</f>
        <v>ドロップイベント3</v>
      </c>
      <c r="H694" s="18">
        <v>0</v>
      </c>
      <c r="I694">
        <v>15</v>
      </c>
      <c r="J694" s="5" t="s">
        <v>16</v>
      </c>
      <c r="K694" s="35" t="str">
        <f>VLOOKUP(I694,[2]stage_hints!$A:$C,3,FALSE)</f>
        <v>覚醒素材を獲得</v>
      </c>
      <c r="L694" s="36" t="str">
        <f>VLOOKUP(I694,[2]stage_hints!$A:$D,4,FALSE)</f>
        <v>「曜日クエスト」では_x000D_ユニットの覚醒に必要な素材が手に入ります</v>
      </c>
      <c r="M694" s="21" t="s">
        <v>23</v>
      </c>
      <c r="N694">
        <v>15</v>
      </c>
    </row>
    <row r="695" spans="1:14" x14ac:dyDescent="0.15">
      <c r="A695" s="26" t="s">
        <v>32</v>
      </c>
      <c r="B695" s="4">
        <v>20011</v>
      </c>
      <c r="C695" s="3" t="str">
        <f ca="1">VLOOKUP($B695,OFFSET([1]quests!$A$1,0,0,COUNTA([1]quests!$A:$A),MATCH(C$1,[1]quests!$1:$1,0)-MATCH($B$1,[1]quests!$1:$1,0)+1),MATCH(C$1,[1]quests!$1:$1,0)-MATCH($B$1,[1]quests!$1:$1,0)+1,FALSE)</f>
        <v>すべてが灰になる</v>
      </c>
      <c r="D695" s="3" t="str">
        <f ca="1">VLOOKUP($B695,OFFSET([1]quests!$A$1,0,0,COUNTA([1]quests!$A:$A),MATCH(D$1,[1]quests!$1:$1,0)-MATCH($B$1,[1]quests!$1:$1,0)+1),MATCH(D$1,[1]quests!$1:$1,0)-MATCH($B$1,[1]quests!$1:$1,0)+1,FALSE)</f>
        <v>ドロップイベント3</v>
      </c>
      <c r="E695" s="5">
        <v>2</v>
      </c>
      <c r="F695" s="3" t="str">
        <f ca="1">VLOOKUP($B695&amp;"_"&amp;$E695,OFFSET([1]stages!$A$1,0,0,COUNTA([1]stages!$A:$A),MATCH(F$1,[1]stages!$2:$2,0)-MATCH("temp_stage",[1]stages!$2:$2,0)+1),MATCH(F$1,[1]stages!$2:$2,0)-MATCH("temp_stage",[1]stages!$2:$2,0)+1,FALSE)</f>
        <v>【中級】すべてが灰になる</v>
      </c>
      <c r="G695" s="3" t="str">
        <f ca="1">VLOOKUP($B695&amp;"_"&amp;$E695,OFFSET([1]stages!$A$1,0,0,COUNTA([1]stages!$A:$A),MATCH(G$1,[1]stages!$2:$2,0)-MATCH("temp_stage",[1]stages!$2:$2,0)+1),MATCH(G$1,[1]stages!$2:$2,0)-MATCH("temp_stage",[1]stages!$2:$2,0)+1,FALSE)</f>
        <v>ドロップイベント3</v>
      </c>
      <c r="H695" s="18">
        <v>0</v>
      </c>
      <c r="I695">
        <v>16</v>
      </c>
      <c r="J695" s="5" t="s">
        <v>16</v>
      </c>
      <c r="K695" s="35" t="str">
        <f>VLOOKUP(I695,[2]stage_hints!$A:$C,3,FALSE)</f>
        <v>マルチプレイのメリット（その1）</v>
      </c>
      <c r="L695" s="36" t="str">
        <f>VLOOKUP(I695,[2]stage_hints!$A:$D,4,FALSE)</f>
        <v>他のプレイヤーとマルチプレイで遊ぶと_x000D_ポリゴンがもらえます（100人まで）</v>
      </c>
      <c r="M695" s="21" t="s">
        <v>23</v>
      </c>
      <c r="N695">
        <v>16</v>
      </c>
    </row>
    <row r="696" spans="1:14" x14ac:dyDescent="0.15">
      <c r="A696" s="26" t="s">
        <v>32</v>
      </c>
      <c r="B696" s="4">
        <v>20011</v>
      </c>
      <c r="C696" s="3" t="str">
        <f ca="1">VLOOKUP($B696,OFFSET([1]quests!$A$1,0,0,COUNTA([1]quests!$A:$A),MATCH(C$1,[1]quests!$1:$1,0)-MATCH($B$1,[1]quests!$1:$1,0)+1),MATCH(C$1,[1]quests!$1:$1,0)-MATCH($B$1,[1]quests!$1:$1,0)+1,FALSE)</f>
        <v>すべてが灰になる</v>
      </c>
      <c r="D696" s="3" t="str">
        <f ca="1">VLOOKUP($B696,OFFSET([1]quests!$A$1,0,0,COUNTA([1]quests!$A:$A),MATCH(D$1,[1]quests!$1:$1,0)-MATCH($B$1,[1]quests!$1:$1,0)+1),MATCH(D$1,[1]quests!$1:$1,0)-MATCH($B$1,[1]quests!$1:$1,0)+1,FALSE)</f>
        <v>ドロップイベント3</v>
      </c>
      <c r="E696" s="5">
        <v>2</v>
      </c>
      <c r="F696" s="3" t="str">
        <f ca="1">VLOOKUP($B696&amp;"_"&amp;$E696,OFFSET([1]stages!$A$1,0,0,COUNTA([1]stages!$A:$A),MATCH(F$1,[1]stages!$2:$2,0)-MATCH("temp_stage",[1]stages!$2:$2,0)+1),MATCH(F$1,[1]stages!$2:$2,0)-MATCH("temp_stage",[1]stages!$2:$2,0)+1,FALSE)</f>
        <v>【中級】すべてが灰になる</v>
      </c>
      <c r="G696" s="3" t="str">
        <f ca="1">VLOOKUP($B696&amp;"_"&amp;$E696,OFFSET([1]stages!$A$1,0,0,COUNTA([1]stages!$A:$A),MATCH(G$1,[1]stages!$2:$2,0)-MATCH("temp_stage",[1]stages!$2:$2,0)+1),MATCH(G$1,[1]stages!$2:$2,0)-MATCH("temp_stage",[1]stages!$2:$2,0)+1,FALSE)</f>
        <v>ドロップイベント3</v>
      </c>
      <c r="H696" s="18">
        <v>0</v>
      </c>
      <c r="I696">
        <v>17</v>
      </c>
      <c r="J696" s="5" t="s">
        <v>16</v>
      </c>
      <c r="K696" s="35" t="str">
        <f>VLOOKUP(I696,[2]stage_hints!$A:$C,3,FALSE)</f>
        <v>リンクガチャ</v>
      </c>
      <c r="L696" s="36" t="str">
        <f>VLOOKUP(I696,[2]stage_hints!$A:$D,4,FALSE)</f>
        <v>無料のリンクガチャを回して_x000D_経験値素材や売却素材を獲得しましょう</v>
      </c>
      <c r="M696" s="21" t="s">
        <v>23</v>
      </c>
      <c r="N696">
        <v>17</v>
      </c>
    </row>
    <row r="697" spans="1:14" x14ac:dyDescent="0.15">
      <c r="A697" s="26" t="s">
        <v>32</v>
      </c>
      <c r="B697" s="4">
        <v>20011</v>
      </c>
      <c r="C697" s="3" t="str">
        <f ca="1">VLOOKUP($B697,OFFSET([1]quests!$A$1,0,0,COUNTA([1]quests!$A:$A),MATCH(C$1,[1]quests!$1:$1,0)-MATCH($B$1,[1]quests!$1:$1,0)+1),MATCH(C$1,[1]quests!$1:$1,0)-MATCH($B$1,[1]quests!$1:$1,0)+1,FALSE)</f>
        <v>すべてが灰になる</v>
      </c>
      <c r="D697" s="3" t="str">
        <f ca="1">VLOOKUP($B697,OFFSET([1]quests!$A$1,0,0,COUNTA([1]quests!$A:$A),MATCH(D$1,[1]quests!$1:$1,0)-MATCH($B$1,[1]quests!$1:$1,0)+1),MATCH(D$1,[1]quests!$1:$1,0)-MATCH($B$1,[1]quests!$1:$1,0)+1,FALSE)</f>
        <v>ドロップイベント3</v>
      </c>
      <c r="E697" s="5">
        <v>2</v>
      </c>
      <c r="F697" s="3" t="str">
        <f ca="1">VLOOKUP($B697&amp;"_"&amp;$E697,OFFSET([1]stages!$A$1,0,0,COUNTA([1]stages!$A:$A),MATCH(F$1,[1]stages!$2:$2,0)-MATCH("temp_stage",[1]stages!$2:$2,0)+1),MATCH(F$1,[1]stages!$2:$2,0)-MATCH("temp_stage",[1]stages!$2:$2,0)+1,FALSE)</f>
        <v>【中級】すべてが灰になる</v>
      </c>
      <c r="G697" s="3" t="str">
        <f ca="1">VLOOKUP($B697&amp;"_"&amp;$E697,OFFSET([1]stages!$A$1,0,0,COUNTA([1]stages!$A:$A),MATCH(G$1,[1]stages!$2:$2,0)-MATCH("temp_stage",[1]stages!$2:$2,0)+1),MATCH(G$1,[1]stages!$2:$2,0)-MATCH("temp_stage",[1]stages!$2:$2,0)+1,FALSE)</f>
        <v>ドロップイベント3</v>
      </c>
      <c r="H697" s="18">
        <v>0</v>
      </c>
      <c r="I697">
        <v>18</v>
      </c>
      <c r="J697" s="5" t="s">
        <v>16</v>
      </c>
      <c r="K697" s="35" t="str">
        <f>VLOOKUP(I697,[2]stage_hints!$A:$C,3,FALSE)</f>
        <v>マルチプレイのメリット（その2）</v>
      </c>
      <c r="L697" s="36" t="str">
        <f>VLOOKUP(I697,[2]stage_hints!$A:$D,4,FALSE)</f>
        <v>マルチプレイならリンクが2倍もらえます_x000D_リンクガチャをたくさん回しましょう</v>
      </c>
      <c r="M697" s="21" t="s">
        <v>23</v>
      </c>
      <c r="N697">
        <v>18</v>
      </c>
    </row>
    <row r="698" spans="1:14" x14ac:dyDescent="0.15">
      <c r="A698" s="26" t="s">
        <v>32</v>
      </c>
      <c r="B698" s="4">
        <v>20011</v>
      </c>
      <c r="C698" s="3" t="str">
        <f ca="1">VLOOKUP($B698,OFFSET([1]quests!$A$1,0,0,COUNTA([1]quests!$A:$A),MATCH(C$1,[1]quests!$1:$1,0)-MATCH($B$1,[1]quests!$1:$1,0)+1),MATCH(C$1,[1]quests!$1:$1,0)-MATCH($B$1,[1]quests!$1:$1,0)+1,FALSE)</f>
        <v>すべてが灰になる</v>
      </c>
      <c r="D698" s="3" t="str">
        <f ca="1">VLOOKUP($B698,OFFSET([1]quests!$A$1,0,0,COUNTA([1]quests!$A:$A),MATCH(D$1,[1]quests!$1:$1,0)-MATCH($B$1,[1]quests!$1:$1,0)+1),MATCH(D$1,[1]quests!$1:$1,0)-MATCH($B$1,[1]quests!$1:$1,0)+1,FALSE)</f>
        <v>ドロップイベント3</v>
      </c>
      <c r="E698" s="5">
        <v>2</v>
      </c>
      <c r="F698" s="3" t="str">
        <f ca="1">VLOOKUP($B698&amp;"_"&amp;$E698,OFFSET([1]stages!$A$1,0,0,COUNTA([1]stages!$A:$A),MATCH(F$1,[1]stages!$2:$2,0)-MATCH("temp_stage",[1]stages!$2:$2,0)+1),MATCH(F$1,[1]stages!$2:$2,0)-MATCH("temp_stage",[1]stages!$2:$2,0)+1,FALSE)</f>
        <v>【中級】すべてが灰になる</v>
      </c>
      <c r="G698" s="3" t="str">
        <f ca="1">VLOOKUP($B698&amp;"_"&amp;$E698,OFFSET([1]stages!$A$1,0,0,COUNTA([1]stages!$A:$A),MATCH(G$1,[1]stages!$2:$2,0)-MATCH("temp_stage",[1]stages!$2:$2,0)+1),MATCH(G$1,[1]stages!$2:$2,0)-MATCH("temp_stage",[1]stages!$2:$2,0)+1,FALSE)</f>
        <v>ドロップイベント3</v>
      </c>
      <c r="H698" s="18">
        <v>0</v>
      </c>
      <c r="I698">
        <v>19</v>
      </c>
      <c r="J698" s="5" t="s">
        <v>16</v>
      </c>
      <c r="K698" s="35" t="str">
        <f>VLOOKUP(I698,[2]stage_hints!$A:$C,3,FALSE)</f>
        <v>ソロ専用チャレンジタワー</v>
      </c>
      <c r="L698" s="36" t="str">
        <f>VLOOKUP(I698,[2]stage_hints!$A:$D,4,FALSE)</f>
        <v>ソロ専用の「チャレンジタワー」では_x000D_各フロアごとにクリア報酬がもらえます</v>
      </c>
      <c r="M698" s="21" t="s">
        <v>23</v>
      </c>
      <c r="N698">
        <v>19</v>
      </c>
    </row>
    <row r="699" spans="1:14" x14ac:dyDescent="0.15">
      <c r="A699" s="26" t="s">
        <v>32</v>
      </c>
      <c r="B699" s="4">
        <v>20011</v>
      </c>
      <c r="C699" s="3" t="str">
        <f ca="1">VLOOKUP($B699,OFFSET([1]quests!$A$1,0,0,COUNTA([1]quests!$A:$A),MATCH(C$1,[1]quests!$1:$1,0)-MATCH($B$1,[1]quests!$1:$1,0)+1),MATCH(C$1,[1]quests!$1:$1,0)-MATCH($B$1,[1]quests!$1:$1,0)+1,FALSE)</f>
        <v>すべてが灰になる</v>
      </c>
      <c r="D699" s="3" t="str">
        <f ca="1">VLOOKUP($B699,OFFSET([1]quests!$A$1,0,0,COUNTA([1]quests!$A:$A),MATCH(D$1,[1]quests!$1:$1,0)-MATCH($B$1,[1]quests!$1:$1,0)+1),MATCH(D$1,[1]quests!$1:$1,0)-MATCH($B$1,[1]quests!$1:$1,0)+1,FALSE)</f>
        <v>ドロップイベント3</v>
      </c>
      <c r="E699" s="5">
        <v>2</v>
      </c>
      <c r="F699" s="3" t="str">
        <f ca="1">VLOOKUP($B699&amp;"_"&amp;$E699,OFFSET([1]stages!$A$1,0,0,COUNTA([1]stages!$A:$A),MATCH(F$1,[1]stages!$2:$2,0)-MATCH("temp_stage",[1]stages!$2:$2,0)+1),MATCH(F$1,[1]stages!$2:$2,0)-MATCH("temp_stage",[1]stages!$2:$2,0)+1,FALSE)</f>
        <v>【中級】すべてが灰になる</v>
      </c>
      <c r="G699" s="3" t="str">
        <f ca="1">VLOOKUP($B699&amp;"_"&amp;$E699,OFFSET([1]stages!$A$1,0,0,COUNTA([1]stages!$A:$A),MATCH(G$1,[1]stages!$2:$2,0)-MATCH("temp_stage",[1]stages!$2:$2,0)+1),MATCH(G$1,[1]stages!$2:$2,0)-MATCH("temp_stage",[1]stages!$2:$2,0)+1,FALSE)</f>
        <v>ドロップイベント3</v>
      </c>
      <c r="H699" s="18">
        <v>0</v>
      </c>
      <c r="I699">
        <v>20</v>
      </c>
      <c r="J699" s="5" t="s">
        <v>16</v>
      </c>
      <c r="K699" s="35" t="str">
        <f>VLOOKUP(I699,[2]stage_hints!$A:$C,3,FALSE)</f>
        <v>マルチプレイのメリット（その3）</v>
      </c>
      <c r="L699" s="36" t="str">
        <f>VLOOKUP(I699,[2]stage_hints!$A:$D,4,FALSE)</f>
        <v>マルチプレイへの参加はエナジー消費ゼロ_x000D_いつでも好きなだけ遊ぶことができます</v>
      </c>
      <c r="M699" s="21" t="s">
        <v>23</v>
      </c>
      <c r="N699">
        <v>20</v>
      </c>
    </row>
    <row r="700" spans="1:14" x14ac:dyDescent="0.15">
      <c r="A700" s="26" t="s">
        <v>32</v>
      </c>
      <c r="B700" s="4">
        <v>20011</v>
      </c>
      <c r="C700" s="3" t="str">
        <f ca="1">VLOOKUP($B700,OFFSET([1]quests!$A$1,0,0,COUNTA([1]quests!$A:$A),MATCH(C$1,[1]quests!$1:$1,0)-MATCH($B$1,[1]quests!$1:$1,0)+1),MATCH(C$1,[1]quests!$1:$1,0)-MATCH($B$1,[1]quests!$1:$1,0)+1,FALSE)</f>
        <v>すべてが灰になる</v>
      </c>
      <c r="D700" s="3" t="str">
        <f ca="1">VLOOKUP($B700,OFFSET([1]quests!$A$1,0,0,COUNTA([1]quests!$A:$A),MATCH(D$1,[1]quests!$1:$1,0)-MATCH($B$1,[1]quests!$1:$1,0)+1),MATCH(D$1,[1]quests!$1:$1,0)-MATCH($B$1,[1]quests!$1:$1,0)+1,FALSE)</f>
        <v>ドロップイベント3</v>
      </c>
      <c r="E700" s="5">
        <v>2</v>
      </c>
      <c r="F700" s="3" t="str">
        <f ca="1">VLOOKUP($B700&amp;"_"&amp;$E700,OFFSET([1]stages!$A$1,0,0,COUNTA([1]stages!$A:$A),MATCH(F$1,[1]stages!$2:$2,0)-MATCH("temp_stage",[1]stages!$2:$2,0)+1),MATCH(F$1,[1]stages!$2:$2,0)-MATCH("temp_stage",[1]stages!$2:$2,0)+1,FALSE)</f>
        <v>【中級】すべてが灰になる</v>
      </c>
      <c r="G700" s="3" t="str">
        <f ca="1">VLOOKUP($B700&amp;"_"&amp;$E700,OFFSET([1]stages!$A$1,0,0,COUNTA([1]stages!$A:$A),MATCH(G$1,[1]stages!$2:$2,0)-MATCH("temp_stage",[1]stages!$2:$2,0)+1),MATCH(G$1,[1]stages!$2:$2,0)-MATCH("temp_stage",[1]stages!$2:$2,0)+1,FALSE)</f>
        <v>ドロップイベント3</v>
      </c>
      <c r="H700" s="18">
        <v>0</v>
      </c>
      <c r="I700">
        <v>21</v>
      </c>
      <c r="J700" s="5" t="s">
        <v>16</v>
      </c>
      <c r="K700" s="35" t="str">
        <f>VLOOKUP(I700,[2]stage_hints!$A:$C,3,FALSE)</f>
        <v>スキルを有効に</v>
      </c>
      <c r="L700" s="36" t="str">
        <f>VLOOKUP(I700,[2]stage_hints!$A:$D,4,FALSE)</f>
        <v>ターン経過でユニットのスキルが使えます_x000D_強力スキルでバトルを有利に進めましょう</v>
      </c>
      <c r="M700" s="21" t="s">
        <v>23</v>
      </c>
      <c r="N700">
        <v>21</v>
      </c>
    </row>
    <row r="701" spans="1:14" x14ac:dyDescent="0.15">
      <c r="A701" s="26" t="s">
        <v>32</v>
      </c>
      <c r="B701" s="4">
        <v>20011</v>
      </c>
      <c r="C701" s="3" t="str">
        <f ca="1">VLOOKUP($B701,OFFSET([1]quests!$A$1,0,0,COUNTA([1]quests!$A:$A),MATCH(C$1,[1]quests!$1:$1,0)-MATCH($B$1,[1]quests!$1:$1,0)+1),MATCH(C$1,[1]quests!$1:$1,0)-MATCH($B$1,[1]quests!$1:$1,0)+1,FALSE)</f>
        <v>すべてが灰になる</v>
      </c>
      <c r="D701" s="3" t="str">
        <f ca="1">VLOOKUP($B701,OFFSET([1]quests!$A$1,0,0,COUNTA([1]quests!$A:$A),MATCH(D$1,[1]quests!$1:$1,0)-MATCH($B$1,[1]quests!$1:$1,0)+1),MATCH(D$1,[1]quests!$1:$1,0)-MATCH($B$1,[1]quests!$1:$1,0)+1,FALSE)</f>
        <v>ドロップイベント3</v>
      </c>
      <c r="E701" s="5">
        <v>2</v>
      </c>
      <c r="F701" s="3" t="str">
        <f ca="1">VLOOKUP($B701&amp;"_"&amp;$E701,OFFSET([1]stages!$A$1,0,0,COUNTA([1]stages!$A:$A),MATCH(F$1,[1]stages!$2:$2,0)-MATCH("temp_stage",[1]stages!$2:$2,0)+1),MATCH(F$1,[1]stages!$2:$2,0)-MATCH("temp_stage",[1]stages!$2:$2,0)+1,FALSE)</f>
        <v>【中級】すべてが灰になる</v>
      </c>
      <c r="G701" s="3" t="str">
        <f ca="1">VLOOKUP($B701&amp;"_"&amp;$E701,OFFSET([1]stages!$A$1,0,0,COUNTA([1]stages!$A:$A),MATCH(G$1,[1]stages!$2:$2,0)-MATCH("temp_stage",[1]stages!$2:$2,0)+1),MATCH(G$1,[1]stages!$2:$2,0)-MATCH("temp_stage",[1]stages!$2:$2,0)+1,FALSE)</f>
        <v>ドロップイベント3</v>
      </c>
      <c r="H701" s="18">
        <v>0</v>
      </c>
      <c r="I701">
        <v>22</v>
      </c>
      <c r="J701" s="5" t="s">
        <v>16</v>
      </c>
      <c r="K701" s="35" t="str">
        <f>VLOOKUP(I701,[2]stage_hints!$A:$C,3,FALSE)</f>
        <v>フィーバーで一発逆転（その1）</v>
      </c>
      <c r="L701" s="36" t="str">
        <f>VLOOKUP(I701,[2]stage_hints!$A:$D,4,FALSE)</f>
        <v>フィーバーは攻撃と回復を兼ね備えます_x000D_ピンチからの一発逆転を狙いましょう</v>
      </c>
      <c r="M701" s="21" t="s">
        <v>23</v>
      </c>
      <c r="N701">
        <v>22</v>
      </c>
    </row>
    <row r="702" spans="1:14" x14ac:dyDescent="0.15">
      <c r="A702" s="26" t="s">
        <v>32</v>
      </c>
      <c r="B702" s="4">
        <v>20011</v>
      </c>
      <c r="C702" s="3" t="str">
        <f ca="1">VLOOKUP($B702,OFFSET([1]quests!$A$1,0,0,COUNTA([1]quests!$A:$A),MATCH(C$1,[1]quests!$1:$1,0)-MATCH($B$1,[1]quests!$1:$1,0)+1),MATCH(C$1,[1]quests!$1:$1,0)-MATCH($B$1,[1]quests!$1:$1,0)+1,FALSE)</f>
        <v>すべてが灰になる</v>
      </c>
      <c r="D702" s="3" t="str">
        <f ca="1">VLOOKUP($B702,OFFSET([1]quests!$A$1,0,0,COUNTA([1]quests!$A:$A),MATCH(D$1,[1]quests!$1:$1,0)-MATCH($B$1,[1]quests!$1:$1,0)+1),MATCH(D$1,[1]quests!$1:$1,0)-MATCH($B$1,[1]quests!$1:$1,0)+1,FALSE)</f>
        <v>ドロップイベント3</v>
      </c>
      <c r="E702" s="5">
        <v>2</v>
      </c>
      <c r="F702" s="3" t="str">
        <f ca="1">VLOOKUP($B702&amp;"_"&amp;$E702,OFFSET([1]stages!$A$1,0,0,COUNTA([1]stages!$A:$A),MATCH(F$1,[1]stages!$2:$2,0)-MATCH("temp_stage",[1]stages!$2:$2,0)+1),MATCH(F$1,[1]stages!$2:$2,0)-MATCH("temp_stage",[1]stages!$2:$2,0)+1,FALSE)</f>
        <v>【中級】すべてが灰になる</v>
      </c>
      <c r="G702" s="3" t="str">
        <f ca="1">VLOOKUP($B702&amp;"_"&amp;$E702,OFFSET([1]stages!$A$1,0,0,COUNTA([1]stages!$A:$A),MATCH(G$1,[1]stages!$2:$2,0)-MATCH("temp_stage",[1]stages!$2:$2,0)+1),MATCH(G$1,[1]stages!$2:$2,0)-MATCH("temp_stage",[1]stages!$2:$2,0)+1,FALSE)</f>
        <v>ドロップイベント3</v>
      </c>
      <c r="H702" s="18">
        <v>0</v>
      </c>
      <c r="I702">
        <v>23</v>
      </c>
      <c r="J702" s="5" t="s">
        <v>16</v>
      </c>
      <c r="K702" s="35" t="str">
        <f>VLOOKUP(I702,[2]stage_hints!$A:$C,3,FALSE)</f>
        <v>フィーバーで一発逆転（その2）</v>
      </c>
      <c r="L702" s="36" t="str">
        <f>VLOOKUP(I702,[2]stage_hints!$A:$D,4,FALSE)</f>
        <v>フィーバー中は虹色のボムパネルを狙って_x000D_画面上のパネルを一気に破壊しましょう</v>
      </c>
      <c r="M702" s="21" t="s">
        <v>23</v>
      </c>
      <c r="N702">
        <v>23</v>
      </c>
    </row>
    <row r="703" spans="1:14" x14ac:dyDescent="0.15">
      <c r="A703" s="26" t="s">
        <v>32</v>
      </c>
      <c r="B703" s="4">
        <v>20011</v>
      </c>
      <c r="C703" s="3" t="str">
        <f ca="1">VLOOKUP($B703,OFFSET([1]quests!$A$1,0,0,COUNTA([1]quests!$A:$A),MATCH(C$1,[1]quests!$1:$1,0)-MATCH($B$1,[1]quests!$1:$1,0)+1),MATCH(C$1,[1]quests!$1:$1,0)-MATCH($B$1,[1]quests!$1:$1,0)+1,FALSE)</f>
        <v>すべてが灰になる</v>
      </c>
      <c r="D703" s="3" t="str">
        <f ca="1">VLOOKUP($B703,OFFSET([1]quests!$A$1,0,0,COUNTA([1]quests!$A:$A),MATCH(D$1,[1]quests!$1:$1,0)-MATCH($B$1,[1]quests!$1:$1,0)+1),MATCH(D$1,[1]quests!$1:$1,0)-MATCH($B$1,[1]quests!$1:$1,0)+1,FALSE)</f>
        <v>ドロップイベント3</v>
      </c>
      <c r="E703" s="5">
        <v>2</v>
      </c>
      <c r="F703" s="3" t="str">
        <f ca="1">VLOOKUP($B703&amp;"_"&amp;$E703,OFFSET([1]stages!$A$1,0,0,COUNTA([1]stages!$A:$A),MATCH(F$1,[1]stages!$2:$2,0)-MATCH("temp_stage",[1]stages!$2:$2,0)+1),MATCH(F$1,[1]stages!$2:$2,0)-MATCH("temp_stage",[1]stages!$2:$2,0)+1,FALSE)</f>
        <v>【中級】すべてが灰になる</v>
      </c>
      <c r="G703" s="3" t="str">
        <f ca="1">VLOOKUP($B703&amp;"_"&amp;$E703,OFFSET([1]stages!$A$1,0,0,COUNTA([1]stages!$A:$A),MATCH(G$1,[1]stages!$2:$2,0)-MATCH("temp_stage",[1]stages!$2:$2,0)+1),MATCH(G$1,[1]stages!$2:$2,0)-MATCH("temp_stage",[1]stages!$2:$2,0)+1,FALSE)</f>
        <v>ドロップイベント3</v>
      </c>
      <c r="H703" s="18">
        <v>0</v>
      </c>
      <c r="I703">
        <v>24</v>
      </c>
      <c r="J703" s="5" t="s">
        <v>16</v>
      </c>
      <c r="K703" s="35" t="str">
        <f>VLOOKUP(I703,[2]stage_hints!$A:$C,3,FALSE)</f>
        <v>りんごを使って限界突破</v>
      </c>
      <c r="L703" s="36" t="str">
        <f>VLOOKUP(I703,[2]stage_hints!$A:$D,4,FALSE)</f>
        <v>赤りんご(攻撃力) 青りんご(回復力)_x000D_緑りんご(体力)をユニット強化に使うと_x000D_ステータスが限界突破します（計99個迄）</v>
      </c>
      <c r="M703" s="21" t="s">
        <v>23</v>
      </c>
      <c r="N703">
        <v>24</v>
      </c>
    </row>
    <row r="704" spans="1:14" x14ac:dyDescent="0.15">
      <c r="A704" s="26" t="s">
        <v>32</v>
      </c>
      <c r="B704" s="4">
        <v>20011</v>
      </c>
      <c r="C704" s="3" t="str">
        <f ca="1">VLOOKUP($B704,OFFSET([1]quests!$A$1,0,0,COUNTA([1]quests!$A:$A),MATCH(C$1,[1]quests!$1:$1,0)-MATCH($B$1,[1]quests!$1:$1,0)+1),MATCH(C$1,[1]quests!$1:$1,0)-MATCH($B$1,[1]quests!$1:$1,0)+1,FALSE)</f>
        <v>すべてが灰になる</v>
      </c>
      <c r="D704" s="3" t="str">
        <f ca="1">VLOOKUP($B704,OFFSET([1]quests!$A$1,0,0,COUNTA([1]quests!$A:$A),MATCH(D$1,[1]quests!$1:$1,0)-MATCH($B$1,[1]quests!$1:$1,0)+1),MATCH(D$1,[1]quests!$1:$1,0)-MATCH($B$1,[1]quests!$1:$1,0)+1,FALSE)</f>
        <v>ドロップイベント3</v>
      </c>
      <c r="E704" s="5">
        <v>2</v>
      </c>
      <c r="F704" s="3" t="str">
        <f ca="1">VLOOKUP($B704&amp;"_"&amp;$E704,OFFSET([1]stages!$A$1,0,0,COUNTA([1]stages!$A:$A),MATCH(F$1,[1]stages!$2:$2,0)-MATCH("temp_stage",[1]stages!$2:$2,0)+1),MATCH(F$1,[1]stages!$2:$2,0)-MATCH("temp_stage",[1]stages!$2:$2,0)+1,FALSE)</f>
        <v>【中級】すべてが灰になる</v>
      </c>
      <c r="G704" s="3" t="str">
        <f ca="1">VLOOKUP($B704&amp;"_"&amp;$E704,OFFSET([1]stages!$A$1,0,0,COUNTA([1]stages!$A:$A),MATCH(G$1,[1]stages!$2:$2,0)-MATCH("temp_stage",[1]stages!$2:$2,0)+1),MATCH(G$1,[1]stages!$2:$2,0)-MATCH("temp_stage",[1]stages!$2:$2,0)+1,FALSE)</f>
        <v>ドロップイベント3</v>
      </c>
      <c r="H704" s="18">
        <v>0</v>
      </c>
      <c r="I704">
        <v>25</v>
      </c>
      <c r="J704" s="5" t="s">
        <v>16</v>
      </c>
      <c r="K704" s="35" t="str">
        <f>VLOOKUP(I704,[2]stage_hints!$A:$C,3,FALSE)</f>
        <v>スキルレベルアップ</v>
      </c>
      <c r="L704" s="36" t="str">
        <f>VLOOKUP(I704,[2]stage_hints!$A:$D,4,FALSE)</f>
        <v>「クリスタルのりんご」を強化に使うと_x000D_スキルレベルを上げることができます</v>
      </c>
      <c r="M704" s="21" t="s">
        <v>23</v>
      </c>
      <c r="N704">
        <v>25</v>
      </c>
    </row>
    <row r="705" spans="1:14" x14ac:dyDescent="0.15">
      <c r="A705" s="26" t="s">
        <v>32</v>
      </c>
      <c r="B705" s="4">
        <v>20011</v>
      </c>
      <c r="C705" s="3" t="str">
        <f ca="1">VLOOKUP($B705,OFFSET([1]quests!$A$1,0,0,COUNTA([1]quests!$A:$A),MATCH(C$1,[1]quests!$1:$1,0)-MATCH($B$1,[1]quests!$1:$1,0)+1),MATCH(C$1,[1]quests!$1:$1,0)-MATCH($B$1,[1]quests!$1:$1,0)+1,FALSE)</f>
        <v>すべてが灰になる</v>
      </c>
      <c r="D705" s="3" t="str">
        <f ca="1">VLOOKUP($B705,OFFSET([1]quests!$A$1,0,0,COUNTA([1]quests!$A:$A),MATCH(D$1,[1]quests!$1:$1,0)-MATCH($B$1,[1]quests!$1:$1,0)+1),MATCH(D$1,[1]quests!$1:$1,0)-MATCH($B$1,[1]quests!$1:$1,0)+1,FALSE)</f>
        <v>ドロップイベント3</v>
      </c>
      <c r="E705" s="5">
        <v>2</v>
      </c>
      <c r="F705" s="3" t="str">
        <f ca="1">VLOOKUP($B705&amp;"_"&amp;$E705,OFFSET([1]stages!$A$1,0,0,COUNTA([1]stages!$A:$A),MATCH(F$1,[1]stages!$2:$2,0)-MATCH("temp_stage",[1]stages!$2:$2,0)+1),MATCH(F$1,[1]stages!$2:$2,0)-MATCH("temp_stage",[1]stages!$2:$2,0)+1,FALSE)</f>
        <v>【中級】すべてが灰になる</v>
      </c>
      <c r="G705" s="3" t="str">
        <f ca="1">VLOOKUP($B705&amp;"_"&amp;$E705,OFFSET([1]stages!$A$1,0,0,COUNTA([1]stages!$A:$A),MATCH(G$1,[1]stages!$2:$2,0)-MATCH("temp_stage",[1]stages!$2:$2,0)+1),MATCH(G$1,[1]stages!$2:$2,0)-MATCH("temp_stage",[1]stages!$2:$2,0)+1,FALSE)</f>
        <v>ドロップイベント3</v>
      </c>
      <c r="H705" s="18">
        <v>0</v>
      </c>
      <c r="I705">
        <v>26</v>
      </c>
      <c r="J705" s="5" t="s">
        <v>16</v>
      </c>
      <c r="K705" s="35" t="str">
        <f>VLOOKUP(I705,[2]stage_hints!$A:$C,3,FALSE)</f>
        <v>スキルレベルの効果</v>
      </c>
      <c r="L705" s="36" t="str">
        <f>VLOOKUP(I705,[2]stage_hints!$A:$D,4,FALSE)</f>
        <v>スキルレベルが上がると_x000D_短いターンでスキルを使うことができます</v>
      </c>
      <c r="M705" s="21" t="s">
        <v>23</v>
      </c>
      <c r="N705">
        <v>26</v>
      </c>
    </row>
    <row r="706" spans="1:14" x14ac:dyDescent="0.15">
      <c r="A706" s="26" t="s">
        <v>32</v>
      </c>
      <c r="B706" s="4">
        <v>20011</v>
      </c>
      <c r="C706" s="3" t="str">
        <f ca="1">VLOOKUP($B706,OFFSET([1]quests!$A$1,0,0,COUNTA([1]quests!$A:$A),MATCH(C$1,[1]quests!$1:$1,0)-MATCH($B$1,[1]quests!$1:$1,0)+1),MATCH(C$1,[1]quests!$1:$1,0)-MATCH($B$1,[1]quests!$1:$1,0)+1,FALSE)</f>
        <v>すべてが灰になる</v>
      </c>
      <c r="D706" s="3" t="str">
        <f ca="1">VLOOKUP($B706,OFFSET([1]quests!$A$1,0,0,COUNTA([1]quests!$A:$A),MATCH(D$1,[1]quests!$1:$1,0)-MATCH($B$1,[1]quests!$1:$1,0)+1),MATCH(D$1,[1]quests!$1:$1,0)-MATCH($B$1,[1]quests!$1:$1,0)+1,FALSE)</f>
        <v>ドロップイベント3</v>
      </c>
      <c r="E706" s="5">
        <v>2</v>
      </c>
      <c r="F706" s="3" t="str">
        <f ca="1">VLOOKUP($B706&amp;"_"&amp;$E706,OFFSET([1]stages!$A$1,0,0,COUNTA([1]stages!$A:$A),MATCH(F$1,[1]stages!$2:$2,0)-MATCH("temp_stage",[1]stages!$2:$2,0)+1),MATCH(F$1,[1]stages!$2:$2,0)-MATCH("temp_stage",[1]stages!$2:$2,0)+1,FALSE)</f>
        <v>【中級】すべてが灰になる</v>
      </c>
      <c r="G706" s="3" t="str">
        <f ca="1">VLOOKUP($B706&amp;"_"&amp;$E706,OFFSET([1]stages!$A$1,0,0,COUNTA([1]stages!$A:$A),MATCH(G$1,[1]stages!$2:$2,0)-MATCH("temp_stage",[1]stages!$2:$2,0)+1),MATCH(G$1,[1]stages!$2:$2,0)-MATCH("temp_stage",[1]stages!$2:$2,0)+1,FALSE)</f>
        <v>ドロップイベント3</v>
      </c>
      <c r="H706" s="18">
        <v>0</v>
      </c>
      <c r="I706">
        <v>27</v>
      </c>
      <c r="J706" s="5" t="s">
        <v>16</v>
      </c>
      <c r="K706" s="35" t="str">
        <f>VLOOKUP(I706,[2]stage_hints!$A:$C,3,FALSE)</f>
        <v>ホーム画面からデッキを編成</v>
      </c>
      <c r="L706" s="36" t="str">
        <f>VLOOKUP(I706,[2]stage_hints!$A:$D,4,FALSE)</f>
        <v>ホーム画面でユニットを長押しすると_x000D_すぐにパーティ編成に移動できます</v>
      </c>
      <c r="M706" s="21" t="s">
        <v>23</v>
      </c>
      <c r="N706">
        <v>27</v>
      </c>
    </row>
    <row r="707" spans="1:14" x14ac:dyDescent="0.15">
      <c r="A707" s="26" t="s">
        <v>32</v>
      </c>
      <c r="B707" s="4">
        <v>20011</v>
      </c>
      <c r="C707" s="3" t="str">
        <f ca="1">VLOOKUP($B707,OFFSET([1]quests!$A$1,0,0,COUNTA([1]quests!$A:$A),MATCH(C$1,[1]quests!$1:$1,0)-MATCH($B$1,[1]quests!$1:$1,0)+1),MATCH(C$1,[1]quests!$1:$1,0)-MATCH($B$1,[1]quests!$1:$1,0)+1,FALSE)</f>
        <v>すべてが灰になる</v>
      </c>
      <c r="D707" s="3" t="str">
        <f ca="1">VLOOKUP($B707,OFFSET([1]quests!$A$1,0,0,COUNTA([1]quests!$A:$A),MATCH(D$1,[1]quests!$1:$1,0)-MATCH($B$1,[1]quests!$1:$1,0)+1),MATCH(D$1,[1]quests!$1:$1,0)-MATCH($B$1,[1]quests!$1:$1,0)+1,FALSE)</f>
        <v>ドロップイベント3</v>
      </c>
      <c r="E707" s="5">
        <v>2</v>
      </c>
      <c r="F707" s="3" t="str">
        <f ca="1">VLOOKUP($B707&amp;"_"&amp;$E707,OFFSET([1]stages!$A$1,0,0,COUNTA([1]stages!$A:$A),MATCH(F$1,[1]stages!$2:$2,0)-MATCH("temp_stage",[1]stages!$2:$2,0)+1),MATCH(F$1,[1]stages!$2:$2,0)-MATCH("temp_stage",[1]stages!$2:$2,0)+1,FALSE)</f>
        <v>【中級】すべてが灰になる</v>
      </c>
      <c r="G707" s="3" t="str">
        <f ca="1">VLOOKUP($B707&amp;"_"&amp;$E707,OFFSET([1]stages!$A$1,0,0,COUNTA([1]stages!$A:$A),MATCH(G$1,[1]stages!$2:$2,0)-MATCH("temp_stage",[1]stages!$2:$2,0)+1),MATCH(G$1,[1]stages!$2:$2,0)-MATCH("temp_stage",[1]stages!$2:$2,0)+1,FALSE)</f>
        <v>ドロップイベント3</v>
      </c>
      <c r="H707" s="18">
        <v>0</v>
      </c>
      <c r="I707">
        <v>28</v>
      </c>
      <c r="J707" s="5" t="s">
        <v>16</v>
      </c>
      <c r="K707" s="35" t="str">
        <f>VLOOKUP(I707,[2]stage_hints!$A:$C,3,FALSE)</f>
        <v>ステータス情報は長押しで</v>
      </c>
      <c r="L707" s="36" t="str">
        <f>VLOOKUP(I707,[2]stage_hints!$A:$D,4,FALSE)</f>
        <v>ユニットのアイコンを長押しすると_x000D_ステータス情報を確認することができます</v>
      </c>
      <c r="M707" s="21" t="s">
        <v>23</v>
      </c>
      <c r="N707">
        <v>28</v>
      </c>
    </row>
    <row r="708" spans="1:14" x14ac:dyDescent="0.15">
      <c r="A708" s="26" t="s">
        <v>32</v>
      </c>
      <c r="B708" s="4">
        <v>20011</v>
      </c>
      <c r="C708" s="3" t="str">
        <f ca="1">VLOOKUP($B708,OFFSET([1]quests!$A$1,0,0,COUNTA([1]quests!$A:$A),MATCH(C$1,[1]quests!$1:$1,0)-MATCH($B$1,[1]quests!$1:$1,0)+1),MATCH(C$1,[1]quests!$1:$1,0)-MATCH($B$1,[1]quests!$1:$1,0)+1,FALSE)</f>
        <v>すべてが灰になる</v>
      </c>
      <c r="D708" s="3" t="str">
        <f ca="1">VLOOKUP($B708,OFFSET([1]quests!$A$1,0,0,COUNTA([1]quests!$A:$A),MATCH(D$1,[1]quests!$1:$1,0)-MATCH($B$1,[1]quests!$1:$1,0)+1),MATCH(D$1,[1]quests!$1:$1,0)-MATCH($B$1,[1]quests!$1:$1,0)+1,FALSE)</f>
        <v>ドロップイベント3</v>
      </c>
      <c r="E708" s="5">
        <v>2</v>
      </c>
      <c r="F708" s="3" t="str">
        <f ca="1">VLOOKUP($B708&amp;"_"&amp;$E708,OFFSET([1]stages!$A$1,0,0,COUNTA([1]stages!$A:$A),MATCH(F$1,[1]stages!$2:$2,0)-MATCH("temp_stage",[1]stages!$2:$2,0)+1),MATCH(F$1,[1]stages!$2:$2,0)-MATCH("temp_stage",[1]stages!$2:$2,0)+1,FALSE)</f>
        <v>【中級】すべてが灰になる</v>
      </c>
      <c r="G708" s="3" t="str">
        <f ca="1">VLOOKUP($B708&amp;"_"&amp;$E708,OFFSET([1]stages!$A$1,0,0,COUNTA([1]stages!$A:$A),MATCH(G$1,[1]stages!$2:$2,0)-MATCH("temp_stage",[1]stages!$2:$2,0)+1),MATCH(G$1,[1]stages!$2:$2,0)-MATCH("temp_stage",[1]stages!$2:$2,0)+1,FALSE)</f>
        <v>ドロップイベント3</v>
      </c>
      <c r="H708" s="18">
        <v>0</v>
      </c>
      <c r="I708">
        <v>29</v>
      </c>
      <c r="J708" s="5" t="s">
        <v>16</v>
      </c>
      <c r="K708" s="35" t="str">
        <f>VLOOKUP(I708,[2]stage_hints!$A:$C,3,FALSE)</f>
        <v>「バグ」のメリット</v>
      </c>
      <c r="L708" s="36" t="str">
        <f>VLOOKUP(I708,[2]stage_hints!$A:$D,4,FALSE)</f>
        <v>ユニットの「バグ」を増やすと_x000D_報酬をもらえる確率がアップします</v>
      </c>
      <c r="M708" s="21" t="s">
        <v>23</v>
      </c>
      <c r="N708">
        <v>29</v>
      </c>
    </row>
    <row r="709" spans="1:14" x14ac:dyDescent="0.15">
      <c r="A709" s="26" t="s">
        <v>32</v>
      </c>
      <c r="B709" s="4">
        <v>20011</v>
      </c>
      <c r="C709" s="3" t="str">
        <f ca="1">VLOOKUP($B709,OFFSET([1]quests!$A$1,0,0,COUNTA([1]quests!$A:$A),MATCH(C$1,[1]quests!$1:$1,0)-MATCH($B$1,[1]quests!$1:$1,0)+1),MATCH(C$1,[1]quests!$1:$1,0)-MATCH($B$1,[1]quests!$1:$1,0)+1,FALSE)</f>
        <v>すべてが灰になる</v>
      </c>
      <c r="D709" s="3" t="str">
        <f ca="1">VLOOKUP($B709,OFFSET([1]quests!$A$1,0,0,COUNTA([1]quests!$A:$A),MATCH(D$1,[1]quests!$1:$1,0)-MATCH($B$1,[1]quests!$1:$1,0)+1),MATCH(D$1,[1]quests!$1:$1,0)-MATCH($B$1,[1]quests!$1:$1,0)+1,FALSE)</f>
        <v>ドロップイベント3</v>
      </c>
      <c r="E709" s="5">
        <v>2</v>
      </c>
      <c r="F709" s="3" t="str">
        <f ca="1">VLOOKUP($B709&amp;"_"&amp;$E709,OFFSET([1]stages!$A$1,0,0,COUNTA([1]stages!$A:$A),MATCH(F$1,[1]stages!$2:$2,0)-MATCH("temp_stage",[1]stages!$2:$2,0)+1),MATCH(F$1,[1]stages!$2:$2,0)-MATCH("temp_stage",[1]stages!$2:$2,0)+1,FALSE)</f>
        <v>【中級】すべてが灰になる</v>
      </c>
      <c r="G709" s="3" t="str">
        <f ca="1">VLOOKUP($B709&amp;"_"&amp;$E709,OFFSET([1]stages!$A$1,0,0,COUNTA([1]stages!$A:$A),MATCH(G$1,[1]stages!$2:$2,0)-MATCH("temp_stage",[1]stages!$2:$2,0)+1),MATCH(G$1,[1]stages!$2:$2,0)-MATCH("temp_stage",[1]stages!$2:$2,0)+1,FALSE)</f>
        <v>ドロップイベント3</v>
      </c>
      <c r="H709" s="18">
        <v>0</v>
      </c>
      <c r="I709">
        <v>30</v>
      </c>
      <c r="J709" s="5" t="s">
        <v>16</v>
      </c>
      <c r="K709" s="35" t="str">
        <f>VLOOKUP(I709,[2]stage_hints!$A:$C,3,FALSE)</f>
        <v>「バグ」の増やし方</v>
      </c>
      <c r="L709" s="36" t="str">
        <f>VLOOKUP(I709,[2]stage_hints!$A:$D,4,FALSE)</f>
        <v>同じユニット同士を強化で合成すると_x000D_「バグ」を増やすことができます</v>
      </c>
      <c r="M709" s="21" t="s">
        <v>23</v>
      </c>
      <c r="N709">
        <v>30</v>
      </c>
    </row>
    <row r="710" spans="1:14" x14ac:dyDescent="0.15">
      <c r="A710" s="26" t="s">
        <v>32</v>
      </c>
      <c r="B710" s="4">
        <v>20011</v>
      </c>
      <c r="C710" s="3" t="str">
        <f ca="1">VLOOKUP($B710,OFFSET([1]quests!$A$1,0,0,COUNTA([1]quests!$A:$A),MATCH(C$1,[1]quests!$1:$1,0)-MATCH($B$1,[1]quests!$1:$1,0)+1),MATCH(C$1,[1]quests!$1:$1,0)-MATCH($B$1,[1]quests!$1:$1,0)+1,FALSE)</f>
        <v>すべてが灰になる</v>
      </c>
      <c r="D710" s="3" t="str">
        <f ca="1">VLOOKUP($B710,OFFSET([1]quests!$A$1,0,0,COUNTA([1]quests!$A:$A),MATCH(D$1,[1]quests!$1:$1,0)-MATCH($B$1,[1]quests!$1:$1,0)+1),MATCH(D$1,[1]quests!$1:$1,0)-MATCH($B$1,[1]quests!$1:$1,0)+1,FALSE)</f>
        <v>ドロップイベント3</v>
      </c>
      <c r="E710" s="5">
        <v>2</v>
      </c>
      <c r="F710" s="3" t="str">
        <f ca="1">VLOOKUP($B710&amp;"_"&amp;$E710,OFFSET([1]stages!$A$1,0,0,COUNTA([1]stages!$A:$A),MATCH(F$1,[1]stages!$2:$2,0)-MATCH("temp_stage",[1]stages!$2:$2,0)+1),MATCH(F$1,[1]stages!$2:$2,0)-MATCH("temp_stage",[1]stages!$2:$2,0)+1,FALSE)</f>
        <v>【中級】すべてが灰になる</v>
      </c>
      <c r="G710" s="3" t="str">
        <f ca="1">VLOOKUP($B710&amp;"_"&amp;$E710,OFFSET([1]stages!$A$1,0,0,COUNTA([1]stages!$A:$A),MATCH(G$1,[1]stages!$2:$2,0)-MATCH("temp_stage",[1]stages!$2:$2,0)+1),MATCH(G$1,[1]stages!$2:$2,0)-MATCH("temp_stage",[1]stages!$2:$2,0)+1,FALSE)</f>
        <v>ドロップイベント3</v>
      </c>
      <c r="H710" s="18">
        <v>0</v>
      </c>
      <c r="I710">
        <v>31</v>
      </c>
      <c r="J710" s="5" t="s">
        <v>16</v>
      </c>
      <c r="K710" s="35" t="str">
        <f>VLOOKUP(I710,[2]stage_hints!$A:$C,3,FALSE)</f>
        <v>イベントはお知らせでチェック</v>
      </c>
      <c r="L710" s="36" t="str">
        <f>VLOOKUP(I710,[2]stage_hints!$A:$D,4,FALSE)</f>
        <v>イベント限定ユニットを取り忘れないように_x000D_お知らせをこまめにチェックしましょう</v>
      </c>
      <c r="M710" s="21" t="s">
        <v>23</v>
      </c>
      <c r="N710">
        <v>31</v>
      </c>
    </row>
    <row r="711" spans="1:14" x14ac:dyDescent="0.15">
      <c r="A711" s="26" t="s">
        <v>32</v>
      </c>
      <c r="B711" s="4">
        <v>20011</v>
      </c>
      <c r="C711" s="3" t="str">
        <f ca="1">VLOOKUP($B711,OFFSET([1]quests!$A$1,0,0,COUNTA([1]quests!$A:$A),MATCH(C$1,[1]quests!$1:$1,0)-MATCH($B$1,[1]quests!$1:$1,0)+1),MATCH(C$1,[1]quests!$1:$1,0)-MATCH($B$1,[1]quests!$1:$1,0)+1,FALSE)</f>
        <v>すべてが灰になる</v>
      </c>
      <c r="D711" s="3" t="str">
        <f ca="1">VLOOKUP($B711,OFFSET([1]quests!$A$1,0,0,COUNTA([1]quests!$A:$A),MATCH(D$1,[1]quests!$1:$1,0)-MATCH($B$1,[1]quests!$1:$1,0)+1),MATCH(D$1,[1]quests!$1:$1,0)-MATCH($B$1,[1]quests!$1:$1,0)+1,FALSE)</f>
        <v>ドロップイベント3</v>
      </c>
      <c r="E711" s="5">
        <v>2</v>
      </c>
      <c r="F711" s="3" t="str">
        <f ca="1">VLOOKUP($B711&amp;"_"&amp;$E711,OFFSET([1]stages!$A$1,0,0,COUNTA([1]stages!$A:$A),MATCH(F$1,[1]stages!$2:$2,0)-MATCH("temp_stage",[1]stages!$2:$2,0)+1),MATCH(F$1,[1]stages!$2:$2,0)-MATCH("temp_stage",[1]stages!$2:$2,0)+1,FALSE)</f>
        <v>【中級】すべてが灰になる</v>
      </c>
      <c r="G711" s="3" t="str">
        <f ca="1">VLOOKUP($B711&amp;"_"&amp;$E711,OFFSET([1]stages!$A$1,0,0,COUNTA([1]stages!$A:$A),MATCH(G$1,[1]stages!$2:$2,0)-MATCH("temp_stage",[1]stages!$2:$2,0)+1),MATCH(G$1,[1]stages!$2:$2,0)-MATCH("temp_stage",[1]stages!$2:$2,0)+1,FALSE)</f>
        <v>ドロップイベント3</v>
      </c>
      <c r="H711" s="18">
        <v>0</v>
      </c>
      <c r="I711">
        <v>32</v>
      </c>
      <c r="J711" s="5" t="s">
        <v>16</v>
      </c>
      <c r="K711" s="35" t="str">
        <f>VLOOKUP(I711,[2]stage_hints!$A:$C,3,FALSE)</f>
        <v>敵の連続攻撃には</v>
      </c>
      <c r="L711" s="36" t="str">
        <f>VLOOKUP(I711,[2]stage_hints!$A:$D,4,FALSE)</f>
        <v>カウンタースキルを持つユニットがいれば_x000D_ダメージ回数分の反撃ができます</v>
      </c>
      <c r="M711" s="21" t="s">
        <v>23</v>
      </c>
      <c r="N711">
        <v>32</v>
      </c>
    </row>
    <row r="712" spans="1:14" x14ac:dyDescent="0.15">
      <c r="A712" s="26" t="s">
        <v>32</v>
      </c>
      <c r="B712" s="4">
        <v>20011</v>
      </c>
      <c r="C712" s="3" t="str">
        <f ca="1">VLOOKUP($B712,OFFSET([1]quests!$A$1,0,0,COUNTA([1]quests!$A:$A),MATCH(C$1,[1]quests!$1:$1,0)-MATCH($B$1,[1]quests!$1:$1,0)+1),MATCH(C$1,[1]quests!$1:$1,0)-MATCH($B$1,[1]quests!$1:$1,0)+1,FALSE)</f>
        <v>すべてが灰になる</v>
      </c>
      <c r="D712" s="3" t="str">
        <f ca="1">VLOOKUP($B712,OFFSET([1]quests!$A$1,0,0,COUNTA([1]quests!$A:$A),MATCH(D$1,[1]quests!$1:$1,0)-MATCH($B$1,[1]quests!$1:$1,0)+1),MATCH(D$1,[1]quests!$1:$1,0)-MATCH($B$1,[1]quests!$1:$1,0)+1,FALSE)</f>
        <v>ドロップイベント3</v>
      </c>
      <c r="E712" s="5">
        <v>2</v>
      </c>
      <c r="F712" s="3" t="str">
        <f ca="1">VLOOKUP($B712&amp;"_"&amp;$E712,OFFSET([1]stages!$A$1,0,0,COUNTA([1]stages!$A:$A),MATCH(F$1,[1]stages!$2:$2,0)-MATCH("temp_stage",[1]stages!$2:$2,0)+1),MATCH(F$1,[1]stages!$2:$2,0)-MATCH("temp_stage",[1]stages!$2:$2,0)+1,FALSE)</f>
        <v>【中級】すべてが灰になる</v>
      </c>
      <c r="G712" s="3" t="str">
        <f ca="1">VLOOKUP($B712&amp;"_"&amp;$E712,OFFSET([1]stages!$A$1,0,0,COUNTA([1]stages!$A:$A),MATCH(G$1,[1]stages!$2:$2,0)-MATCH("temp_stage",[1]stages!$2:$2,0)+1),MATCH(G$1,[1]stages!$2:$2,0)-MATCH("temp_stage",[1]stages!$2:$2,0)+1,FALSE)</f>
        <v>ドロップイベント3</v>
      </c>
      <c r="H712" s="18">
        <v>0</v>
      </c>
      <c r="I712">
        <v>33</v>
      </c>
      <c r="J712" s="5" t="s">
        <v>16</v>
      </c>
      <c r="K712" s="35" t="str">
        <f>VLOOKUP(I712,[2]stage_hints!$A:$C,3,FALSE)</f>
        <v>敵のカウンター攻撃には</v>
      </c>
      <c r="L712" s="36" t="str">
        <f>VLOOKUP(I712,[2]stage_hints!$A:$D,4,FALSE)</f>
        <v>カウンターブレイクスキルを持っていれば_x000D_敵のカウンターを解除して攻撃ができます</v>
      </c>
      <c r="M712" s="21" t="s">
        <v>23</v>
      </c>
      <c r="N712">
        <v>33</v>
      </c>
    </row>
    <row r="713" spans="1:14" x14ac:dyDescent="0.15">
      <c r="A713" s="26" t="s">
        <v>32</v>
      </c>
      <c r="B713" s="4">
        <v>20011</v>
      </c>
      <c r="C713" s="3" t="str">
        <f ca="1">VLOOKUP($B713,OFFSET([1]quests!$A$1,0,0,COUNTA([1]quests!$A:$A),MATCH(C$1,[1]quests!$1:$1,0)-MATCH($B$1,[1]quests!$1:$1,0)+1),MATCH(C$1,[1]quests!$1:$1,0)-MATCH($B$1,[1]quests!$1:$1,0)+1,FALSE)</f>
        <v>すべてが灰になる</v>
      </c>
      <c r="D713" s="3" t="str">
        <f ca="1">VLOOKUP($B713,OFFSET([1]quests!$A$1,0,0,COUNTA([1]quests!$A:$A),MATCH(D$1,[1]quests!$1:$1,0)-MATCH($B$1,[1]quests!$1:$1,0)+1),MATCH(D$1,[1]quests!$1:$1,0)-MATCH($B$1,[1]quests!$1:$1,0)+1,FALSE)</f>
        <v>ドロップイベント3</v>
      </c>
      <c r="E713" s="5">
        <v>2</v>
      </c>
      <c r="F713" s="3" t="str">
        <f ca="1">VLOOKUP($B713&amp;"_"&amp;$E713,OFFSET([1]stages!$A$1,0,0,COUNTA([1]stages!$A:$A),MATCH(F$1,[1]stages!$2:$2,0)-MATCH("temp_stage",[1]stages!$2:$2,0)+1),MATCH(F$1,[1]stages!$2:$2,0)-MATCH("temp_stage",[1]stages!$2:$2,0)+1,FALSE)</f>
        <v>【中級】すべてが灰になる</v>
      </c>
      <c r="G713" s="3" t="str">
        <f ca="1">VLOOKUP($B713&amp;"_"&amp;$E713,OFFSET([1]stages!$A$1,0,0,COUNTA([1]stages!$A:$A),MATCH(G$1,[1]stages!$2:$2,0)-MATCH("temp_stage",[1]stages!$2:$2,0)+1),MATCH(G$1,[1]stages!$2:$2,0)-MATCH("temp_stage",[1]stages!$2:$2,0)+1,FALSE)</f>
        <v>ドロップイベント3</v>
      </c>
      <c r="H713" s="18">
        <v>0</v>
      </c>
      <c r="I713">
        <v>34</v>
      </c>
      <c r="J713" s="5" t="s">
        <v>16</v>
      </c>
      <c r="K713" s="35" t="str">
        <f>VLOOKUP(I713,[2]stage_hints!$A:$C,3,FALSE)</f>
        <v>ステータスをスキルで下げられたら</v>
      </c>
      <c r="L713" s="36" t="str">
        <f>VLOOKUP(I713,[2]stage_hints!$A:$D,4,FALSE)</f>
        <v>ステータスダウンのスキルを受けたら_x000D_ステータスアップスキルで上書きしましょう</v>
      </c>
      <c r="M713" s="21" t="s">
        <v>23</v>
      </c>
      <c r="N713">
        <v>34</v>
      </c>
    </row>
    <row r="714" spans="1:14" x14ac:dyDescent="0.15">
      <c r="A714" s="26" t="s">
        <v>32</v>
      </c>
      <c r="B714" s="4">
        <v>20011</v>
      </c>
      <c r="C714" s="3" t="str">
        <f ca="1">VLOOKUP($B714,OFFSET([1]quests!$A$1,0,0,COUNTA([1]quests!$A:$A),MATCH(C$1,[1]quests!$1:$1,0)-MATCH($B$1,[1]quests!$1:$1,0)+1),MATCH(C$1,[1]quests!$1:$1,0)-MATCH($B$1,[1]quests!$1:$1,0)+1,FALSE)</f>
        <v>すべてが灰になる</v>
      </c>
      <c r="D714" s="3" t="str">
        <f ca="1">VLOOKUP($B714,OFFSET([1]quests!$A$1,0,0,COUNTA([1]quests!$A:$A),MATCH(D$1,[1]quests!$1:$1,0)-MATCH($B$1,[1]quests!$1:$1,0)+1),MATCH(D$1,[1]quests!$1:$1,0)-MATCH($B$1,[1]quests!$1:$1,0)+1,FALSE)</f>
        <v>ドロップイベント3</v>
      </c>
      <c r="E714" s="5">
        <v>2</v>
      </c>
      <c r="F714" s="3" t="str">
        <f ca="1">VLOOKUP($B714&amp;"_"&amp;$E714,OFFSET([1]stages!$A$1,0,0,COUNTA([1]stages!$A:$A),MATCH(F$1,[1]stages!$2:$2,0)-MATCH("temp_stage",[1]stages!$2:$2,0)+1),MATCH(F$1,[1]stages!$2:$2,0)-MATCH("temp_stage",[1]stages!$2:$2,0)+1,FALSE)</f>
        <v>【中級】すべてが灰になる</v>
      </c>
      <c r="G714" s="3" t="str">
        <f ca="1">VLOOKUP($B714&amp;"_"&amp;$E714,OFFSET([1]stages!$A$1,0,0,COUNTA([1]stages!$A:$A),MATCH(G$1,[1]stages!$2:$2,0)-MATCH("temp_stage",[1]stages!$2:$2,0)+1),MATCH(G$1,[1]stages!$2:$2,0)-MATCH("temp_stage",[1]stages!$2:$2,0)+1,FALSE)</f>
        <v>ドロップイベント3</v>
      </c>
      <c r="H714" s="18">
        <v>0</v>
      </c>
      <c r="I714">
        <v>35</v>
      </c>
      <c r="J714" s="5" t="s">
        <v>16</v>
      </c>
      <c r="K714" s="35" t="str">
        <f>VLOOKUP(I714,[2]stage_hints!$A:$C,3,FALSE)</f>
        <v>敵のステータスがスキルで上がったら</v>
      </c>
      <c r="L714" s="36" t="str">
        <f>VLOOKUP(I714,[2]stage_hints!$A:$D,4,FALSE)</f>
        <v>敵のステータスがスキルでアップしたときは_x000D_ステータスダウンスキルで上書きしましょう</v>
      </c>
      <c r="M714" s="21" t="s">
        <v>23</v>
      </c>
      <c r="N714">
        <v>35</v>
      </c>
    </row>
    <row r="715" spans="1:14" x14ac:dyDescent="0.15">
      <c r="A715" s="26" t="s">
        <v>32</v>
      </c>
      <c r="B715" s="4">
        <v>20012</v>
      </c>
      <c r="C715" s="3" t="str">
        <f ca="1">VLOOKUP($B715,OFFSET([1]quests!$A$1,0,0,COUNTA([1]quests!$A:$A),MATCH(C$1,[1]quests!$1:$1,0)-MATCH($B$1,[1]quests!$1:$1,0)+1),MATCH(C$1,[1]quests!$1:$1,0)-MATCH($B$1,[1]quests!$1:$1,0)+1,FALSE)</f>
        <v>罪と劇薬</v>
      </c>
      <c r="D715" s="3" t="str">
        <f ca="1">VLOOKUP($B715,OFFSET([1]quests!$A$1,0,0,COUNTA([1]quests!$A:$A),MATCH(D$1,[1]quests!$1:$1,0)-MATCH($B$1,[1]quests!$1:$1,0)+1),MATCH(D$1,[1]quests!$1:$1,0)-MATCH($B$1,[1]quests!$1:$1,0)+1,FALSE)</f>
        <v>ドロップイベント3</v>
      </c>
      <c r="E715" s="5">
        <v>2</v>
      </c>
      <c r="F715" s="3" t="str">
        <f ca="1">VLOOKUP($B715&amp;"_"&amp;$E715,OFFSET([1]stages!$A$1,0,0,COUNTA([1]stages!$A:$A),MATCH(F$1,[1]stages!$2:$2,0)-MATCH("temp_stage",[1]stages!$2:$2,0)+1),MATCH(F$1,[1]stages!$2:$2,0)-MATCH("temp_stage",[1]stages!$2:$2,0)+1,FALSE)</f>
        <v>【中級】罪と劇薬</v>
      </c>
      <c r="G715" s="3" t="str">
        <f ca="1">VLOOKUP($B715&amp;"_"&amp;$E715,OFFSET([1]stages!$A$1,0,0,COUNTA([1]stages!$A:$A),MATCH(G$1,[1]stages!$2:$2,0)-MATCH("temp_stage",[1]stages!$2:$2,0)+1),MATCH(G$1,[1]stages!$2:$2,0)-MATCH("temp_stage",[1]stages!$2:$2,0)+1,FALSE)</f>
        <v>ドロップイベント3</v>
      </c>
      <c r="H715" s="18">
        <v>0</v>
      </c>
      <c r="I715">
        <v>3</v>
      </c>
      <c r="J715" s="5" t="s">
        <v>16</v>
      </c>
      <c r="K715" s="35" t="str">
        <f>VLOOKUP(I715,[2]stage_hints!$A:$C,3,FALSE)</f>
        <v>ターゲット</v>
      </c>
      <c r="L715" s="36" t="str">
        <f>VLOOKUP(I715,[2]stage_hints!$A:$D,4,FALSE)</f>
        <v>敵ユニットをタップすると_x000D_その敵を狙い撃ちできます</v>
      </c>
      <c r="M715" s="21" t="s">
        <v>23</v>
      </c>
      <c r="N715">
        <v>3</v>
      </c>
    </row>
    <row r="716" spans="1:14" x14ac:dyDescent="0.15">
      <c r="A716" s="26" t="s">
        <v>32</v>
      </c>
      <c r="B716" s="4">
        <v>20012</v>
      </c>
      <c r="C716" s="3" t="str">
        <f ca="1">VLOOKUP($B716,OFFSET([1]quests!$A$1,0,0,COUNTA([1]quests!$A:$A),MATCH(C$1,[1]quests!$1:$1,0)-MATCH($B$1,[1]quests!$1:$1,0)+1),MATCH(C$1,[1]quests!$1:$1,0)-MATCH($B$1,[1]quests!$1:$1,0)+1,FALSE)</f>
        <v>罪と劇薬</v>
      </c>
      <c r="D716" s="3" t="str">
        <f ca="1">VLOOKUP($B716,OFFSET([1]quests!$A$1,0,0,COUNTA([1]quests!$A:$A),MATCH(D$1,[1]quests!$1:$1,0)-MATCH($B$1,[1]quests!$1:$1,0)+1),MATCH(D$1,[1]quests!$1:$1,0)-MATCH($B$1,[1]quests!$1:$1,0)+1,FALSE)</f>
        <v>ドロップイベント3</v>
      </c>
      <c r="E716" s="5">
        <v>2</v>
      </c>
      <c r="F716" s="3" t="str">
        <f ca="1">VLOOKUP($B716&amp;"_"&amp;$E716,OFFSET([1]stages!$A$1,0,0,COUNTA([1]stages!$A:$A),MATCH(F$1,[1]stages!$2:$2,0)-MATCH("temp_stage",[1]stages!$2:$2,0)+1),MATCH(F$1,[1]stages!$2:$2,0)-MATCH("temp_stage",[1]stages!$2:$2,0)+1,FALSE)</f>
        <v>【中級】罪と劇薬</v>
      </c>
      <c r="G716" s="3" t="str">
        <f ca="1">VLOOKUP($B716&amp;"_"&amp;$E716,OFFSET([1]stages!$A$1,0,0,COUNTA([1]stages!$A:$A),MATCH(G$1,[1]stages!$2:$2,0)-MATCH("temp_stage",[1]stages!$2:$2,0)+1),MATCH(G$1,[1]stages!$2:$2,0)-MATCH("temp_stage",[1]stages!$2:$2,0)+1,FALSE)</f>
        <v>ドロップイベント3</v>
      </c>
      <c r="H716" s="18">
        <v>0</v>
      </c>
      <c r="I716">
        <v>6</v>
      </c>
      <c r="J716" s="5" t="s">
        <v>16</v>
      </c>
      <c r="K716" s="35" t="str">
        <f>VLOOKUP(I716,[2]stage_hints!$A:$C,3,FALSE)</f>
        <v>ユニット強化の属性ボーナス</v>
      </c>
      <c r="L716" s="36" t="str">
        <f>VLOOKUP(I716,[2]stage_hints!$A:$D,4,FALSE)</f>
        <v>同属性ユニットを強化素材にすると_x000D_経験値が多くもらえます</v>
      </c>
      <c r="M716" s="21" t="s">
        <v>23</v>
      </c>
      <c r="N716">
        <v>6</v>
      </c>
    </row>
    <row r="717" spans="1:14" x14ac:dyDescent="0.15">
      <c r="A717" s="26" t="s">
        <v>32</v>
      </c>
      <c r="B717" s="4">
        <v>20012</v>
      </c>
      <c r="C717" s="3" t="str">
        <f ca="1">VLOOKUP($B717,OFFSET([1]quests!$A$1,0,0,COUNTA([1]quests!$A:$A),MATCH(C$1,[1]quests!$1:$1,0)-MATCH($B$1,[1]quests!$1:$1,0)+1),MATCH(C$1,[1]quests!$1:$1,0)-MATCH($B$1,[1]quests!$1:$1,0)+1,FALSE)</f>
        <v>罪と劇薬</v>
      </c>
      <c r="D717" s="3" t="str">
        <f ca="1">VLOOKUP($B717,OFFSET([1]quests!$A$1,0,0,COUNTA([1]quests!$A:$A),MATCH(D$1,[1]quests!$1:$1,0)-MATCH($B$1,[1]quests!$1:$1,0)+1),MATCH(D$1,[1]quests!$1:$1,0)-MATCH($B$1,[1]quests!$1:$1,0)+1,FALSE)</f>
        <v>ドロップイベント3</v>
      </c>
      <c r="E717" s="5">
        <v>2</v>
      </c>
      <c r="F717" s="3" t="str">
        <f ca="1">VLOOKUP($B717&amp;"_"&amp;$E717,OFFSET([1]stages!$A$1,0,0,COUNTA([1]stages!$A:$A),MATCH(F$1,[1]stages!$2:$2,0)-MATCH("temp_stage",[1]stages!$2:$2,0)+1),MATCH(F$1,[1]stages!$2:$2,0)-MATCH("temp_stage",[1]stages!$2:$2,0)+1,FALSE)</f>
        <v>【中級】罪と劇薬</v>
      </c>
      <c r="G717" s="3" t="str">
        <f ca="1">VLOOKUP($B717&amp;"_"&amp;$E717,OFFSET([1]stages!$A$1,0,0,COUNTA([1]stages!$A:$A),MATCH(G$1,[1]stages!$2:$2,0)-MATCH("temp_stage",[1]stages!$2:$2,0)+1),MATCH(G$1,[1]stages!$2:$2,0)-MATCH("temp_stage",[1]stages!$2:$2,0)+1,FALSE)</f>
        <v>ドロップイベント3</v>
      </c>
      <c r="H717" s="18">
        <v>0</v>
      </c>
      <c r="I717">
        <v>7</v>
      </c>
      <c r="J717" s="5" t="s">
        <v>16</v>
      </c>
      <c r="K717" s="35" t="str">
        <f>VLOOKUP(I717,[2]stage_hints!$A:$C,3,FALSE)</f>
        <v>メタルダックで経験値を獲得</v>
      </c>
      <c r="L717" s="36" t="str">
        <f>VLOOKUP(I717,[2]stage_hints!$A:$D,4,FALSE)</f>
        <v>「メタルなアヒル」を強化素材にすると_x000D_大量の経験値がもらえます</v>
      </c>
      <c r="M717" s="21" t="s">
        <v>23</v>
      </c>
      <c r="N717">
        <v>7</v>
      </c>
    </row>
    <row r="718" spans="1:14" x14ac:dyDescent="0.15">
      <c r="A718" s="26" t="s">
        <v>32</v>
      </c>
      <c r="B718" s="4">
        <v>20012</v>
      </c>
      <c r="C718" s="3" t="str">
        <f ca="1">VLOOKUP($B718,OFFSET([1]quests!$A$1,0,0,COUNTA([1]quests!$A:$A),MATCH(C$1,[1]quests!$1:$1,0)-MATCH($B$1,[1]quests!$1:$1,0)+1),MATCH(C$1,[1]quests!$1:$1,0)-MATCH($B$1,[1]quests!$1:$1,0)+1,FALSE)</f>
        <v>罪と劇薬</v>
      </c>
      <c r="D718" s="3" t="str">
        <f ca="1">VLOOKUP($B718,OFFSET([1]quests!$A$1,0,0,COUNTA([1]quests!$A:$A),MATCH(D$1,[1]quests!$1:$1,0)-MATCH($B$1,[1]quests!$1:$1,0)+1),MATCH(D$1,[1]quests!$1:$1,0)-MATCH($B$1,[1]quests!$1:$1,0)+1,FALSE)</f>
        <v>ドロップイベント3</v>
      </c>
      <c r="E718" s="5">
        <v>2</v>
      </c>
      <c r="F718" s="3" t="str">
        <f ca="1">VLOOKUP($B718&amp;"_"&amp;$E718,OFFSET([1]stages!$A$1,0,0,COUNTA([1]stages!$A:$A),MATCH(F$1,[1]stages!$2:$2,0)-MATCH("temp_stage",[1]stages!$2:$2,0)+1),MATCH(F$1,[1]stages!$2:$2,0)-MATCH("temp_stage",[1]stages!$2:$2,0)+1,FALSE)</f>
        <v>【中級】罪と劇薬</v>
      </c>
      <c r="G718" s="3" t="str">
        <f ca="1">VLOOKUP($B718&amp;"_"&amp;$E718,OFFSET([1]stages!$A$1,0,0,COUNTA([1]stages!$A:$A),MATCH(G$1,[1]stages!$2:$2,0)-MATCH("temp_stage",[1]stages!$2:$2,0)+1),MATCH(G$1,[1]stages!$2:$2,0)-MATCH("temp_stage",[1]stages!$2:$2,0)+1,FALSE)</f>
        <v>ドロップイベント3</v>
      </c>
      <c r="H718" s="18">
        <v>0</v>
      </c>
      <c r="I718">
        <v>8</v>
      </c>
      <c r="J718" s="5" t="s">
        <v>16</v>
      </c>
      <c r="K718" s="35" t="str">
        <f>VLOOKUP(I718,[2]stage_hints!$A:$C,3,FALSE)</f>
        <v>ゲリラクエストは要チェック</v>
      </c>
      <c r="L718" s="36" t="str">
        <f>VLOOKUP(I718,[2]stage_hints!$A:$D,4,FALSE)</f>
        <v>時間限定の「アヒル捕獲作戦」では_x000D_経験値素材ユニットが多く手に入ります</v>
      </c>
      <c r="M718" s="21" t="s">
        <v>23</v>
      </c>
      <c r="N718">
        <v>8</v>
      </c>
    </row>
    <row r="719" spans="1:14" x14ac:dyDescent="0.15">
      <c r="A719" s="26" t="s">
        <v>32</v>
      </c>
      <c r="B719" s="4">
        <v>20012</v>
      </c>
      <c r="C719" s="3" t="str">
        <f ca="1">VLOOKUP($B719,OFFSET([1]quests!$A$1,0,0,COUNTA([1]quests!$A:$A),MATCH(C$1,[1]quests!$1:$1,0)-MATCH($B$1,[1]quests!$1:$1,0)+1),MATCH(C$1,[1]quests!$1:$1,0)-MATCH($B$1,[1]quests!$1:$1,0)+1,FALSE)</f>
        <v>罪と劇薬</v>
      </c>
      <c r="D719" s="3" t="str">
        <f ca="1">VLOOKUP($B719,OFFSET([1]quests!$A$1,0,0,COUNTA([1]quests!$A:$A),MATCH(D$1,[1]quests!$1:$1,0)-MATCH($B$1,[1]quests!$1:$1,0)+1),MATCH(D$1,[1]quests!$1:$1,0)-MATCH($B$1,[1]quests!$1:$1,0)+1,FALSE)</f>
        <v>ドロップイベント3</v>
      </c>
      <c r="E719" s="5">
        <v>2</v>
      </c>
      <c r="F719" s="3" t="str">
        <f ca="1">VLOOKUP($B719&amp;"_"&amp;$E719,OFFSET([1]stages!$A$1,0,0,COUNTA([1]stages!$A:$A),MATCH(F$1,[1]stages!$2:$2,0)-MATCH("temp_stage",[1]stages!$2:$2,0)+1),MATCH(F$1,[1]stages!$2:$2,0)-MATCH("temp_stage",[1]stages!$2:$2,0)+1,FALSE)</f>
        <v>【中級】罪と劇薬</v>
      </c>
      <c r="G719" s="3" t="str">
        <f ca="1">VLOOKUP($B719&amp;"_"&amp;$E719,OFFSET([1]stages!$A$1,0,0,COUNTA([1]stages!$A:$A),MATCH(G$1,[1]stages!$2:$2,0)-MATCH("temp_stage",[1]stages!$2:$2,0)+1),MATCH(G$1,[1]stages!$2:$2,0)-MATCH("temp_stage",[1]stages!$2:$2,0)+1,FALSE)</f>
        <v>ドロップイベント3</v>
      </c>
      <c r="H719" s="18">
        <v>0</v>
      </c>
      <c r="I719">
        <v>9</v>
      </c>
      <c r="J719" s="5" t="s">
        <v>16</v>
      </c>
      <c r="K719" s="35" t="str">
        <f>VLOOKUP(I719,[2]stage_hints!$A:$C,3,FALSE)</f>
        <v>ゴールドダックでビットを獲得</v>
      </c>
      <c r="L719" s="36" t="str">
        <f>VLOOKUP(I719,[2]stage_hints!$A:$D,4,FALSE)</f>
        <v>「ゴールドなアヒル」を売却すると_x000D_大量のビットがもらえます</v>
      </c>
      <c r="M719" s="21" t="s">
        <v>23</v>
      </c>
      <c r="N719">
        <v>9</v>
      </c>
    </row>
    <row r="720" spans="1:14" x14ac:dyDescent="0.15">
      <c r="A720" s="26" t="s">
        <v>32</v>
      </c>
      <c r="B720" s="4">
        <v>20012</v>
      </c>
      <c r="C720" s="3" t="str">
        <f ca="1">VLOOKUP($B720,OFFSET([1]quests!$A$1,0,0,COUNTA([1]quests!$A:$A),MATCH(C$1,[1]quests!$1:$1,0)-MATCH($B$1,[1]quests!$1:$1,0)+1),MATCH(C$1,[1]quests!$1:$1,0)-MATCH($B$1,[1]quests!$1:$1,0)+1,FALSE)</f>
        <v>罪と劇薬</v>
      </c>
      <c r="D720" s="3" t="str">
        <f ca="1">VLOOKUP($B720,OFFSET([1]quests!$A$1,0,0,COUNTA([1]quests!$A:$A),MATCH(D$1,[1]quests!$1:$1,0)-MATCH($B$1,[1]quests!$1:$1,0)+1),MATCH(D$1,[1]quests!$1:$1,0)-MATCH($B$1,[1]quests!$1:$1,0)+1,FALSE)</f>
        <v>ドロップイベント3</v>
      </c>
      <c r="E720" s="5">
        <v>2</v>
      </c>
      <c r="F720" s="3" t="str">
        <f ca="1">VLOOKUP($B720&amp;"_"&amp;$E720,OFFSET([1]stages!$A$1,0,0,COUNTA([1]stages!$A:$A),MATCH(F$1,[1]stages!$2:$2,0)-MATCH("temp_stage",[1]stages!$2:$2,0)+1),MATCH(F$1,[1]stages!$2:$2,0)-MATCH("temp_stage",[1]stages!$2:$2,0)+1,FALSE)</f>
        <v>【中級】罪と劇薬</v>
      </c>
      <c r="G720" s="3" t="str">
        <f ca="1">VLOOKUP($B720&amp;"_"&amp;$E720,OFFSET([1]stages!$A$1,0,0,COUNTA([1]stages!$A:$A),MATCH(G$1,[1]stages!$2:$2,0)-MATCH("temp_stage",[1]stages!$2:$2,0)+1),MATCH(G$1,[1]stages!$2:$2,0)-MATCH("temp_stage",[1]stages!$2:$2,0)+1,FALSE)</f>
        <v>ドロップイベント3</v>
      </c>
      <c r="H720" s="18">
        <v>0</v>
      </c>
      <c r="I720">
        <v>10</v>
      </c>
      <c r="J720" s="5" t="s">
        <v>16</v>
      </c>
      <c r="K720" s="35" t="str">
        <f>VLOOKUP(I720,[2]stage_hints!$A:$C,3,FALSE)</f>
        <v>土日に大量のビットを獲得</v>
      </c>
      <c r="L720" s="36" t="str">
        <f>VLOOKUP(I720,[2]stage_hints!$A:$D,4,FALSE)</f>
        <v>土日限定の「ゴールドカジノ」では_x000D_売却素材ユニットが多く手に入ります</v>
      </c>
      <c r="M720" s="21" t="s">
        <v>23</v>
      </c>
      <c r="N720">
        <v>10</v>
      </c>
    </row>
    <row r="721" spans="1:14" x14ac:dyDescent="0.15">
      <c r="A721" s="26" t="s">
        <v>32</v>
      </c>
      <c r="B721" s="4">
        <v>20012</v>
      </c>
      <c r="C721" s="3" t="str">
        <f ca="1">VLOOKUP($B721,OFFSET([1]quests!$A$1,0,0,COUNTA([1]quests!$A:$A),MATCH(C$1,[1]quests!$1:$1,0)-MATCH($B$1,[1]quests!$1:$1,0)+1),MATCH(C$1,[1]quests!$1:$1,0)-MATCH($B$1,[1]quests!$1:$1,0)+1,FALSE)</f>
        <v>罪と劇薬</v>
      </c>
      <c r="D721" s="3" t="str">
        <f ca="1">VLOOKUP($B721,OFFSET([1]quests!$A$1,0,0,COUNTA([1]quests!$A:$A),MATCH(D$1,[1]quests!$1:$1,0)-MATCH($B$1,[1]quests!$1:$1,0)+1),MATCH(D$1,[1]quests!$1:$1,0)-MATCH($B$1,[1]quests!$1:$1,0)+1,FALSE)</f>
        <v>ドロップイベント3</v>
      </c>
      <c r="E721" s="5">
        <v>2</v>
      </c>
      <c r="F721" s="3" t="str">
        <f ca="1">VLOOKUP($B721&amp;"_"&amp;$E721,OFFSET([1]stages!$A$1,0,0,COUNTA([1]stages!$A:$A),MATCH(F$1,[1]stages!$2:$2,0)-MATCH("temp_stage",[1]stages!$2:$2,0)+1),MATCH(F$1,[1]stages!$2:$2,0)-MATCH("temp_stage",[1]stages!$2:$2,0)+1,FALSE)</f>
        <v>【中級】罪と劇薬</v>
      </c>
      <c r="G721" s="3" t="str">
        <f ca="1">VLOOKUP($B721&amp;"_"&amp;$E721,OFFSET([1]stages!$A$1,0,0,COUNTA([1]stages!$A:$A),MATCH(G$1,[1]stages!$2:$2,0)-MATCH("temp_stage",[1]stages!$2:$2,0)+1),MATCH(G$1,[1]stages!$2:$2,0)-MATCH("temp_stage",[1]stages!$2:$2,0)+1,FALSE)</f>
        <v>ドロップイベント3</v>
      </c>
      <c r="H721" s="18">
        <v>0</v>
      </c>
      <c r="I721">
        <v>11</v>
      </c>
      <c r="J721" s="5" t="s">
        <v>16</v>
      </c>
      <c r="K721" s="35" t="str">
        <f>VLOOKUP(I721,[2]stage_hints!$A:$C,3,FALSE)</f>
        <v>ランク解放クエスト</v>
      </c>
      <c r="L721" s="36" t="str">
        <f>VLOOKUP(I721,[2]stage_hints!$A:$D,4,FALSE)</f>
        <v>一定ランクに到達すると_x000D_報酬付きのランク開放クエストが現れます</v>
      </c>
      <c r="M721" s="21" t="s">
        <v>23</v>
      </c>
      <c r="N721">
        <v>11</v>
      </c>
    </row>
    <row r="722" spans="1:14" x14ac:dyDescent="0.15">
      <c r="A722" s="26" t="s">
        <v>32</v>
      </c>
      <c r="B722" s="4">
        <v>20012</v>
      </c>
      <c r="C722" s="3" t="str">
        <f ca="1">VLOOKUP($B722,OFFSET([1]quests!$A$1,0,0,COUNTA([1]quests!$A:$A),MATCH(C$1,[1]quests!$1:$1,0)-MATCH($B$1,[1]quests!$1:$1,0)+1),MATCH(C$1,[1]quests!$1:$1,0)-MATCH($B$1,[1]quests!$1:$1,0)+1,FALSE)</f>
        <v>罪と劇薬</v>
      </c>
      <c r="D722" s="3" t="str">
        <f ca="1">VLOOKUP($B722,OFFSET([1]quests!$A$1,0,0,COUNTA([1]quests!$A:$A),MATCH(D$1,[1]quests!$1:$1,0)-MATCH($B$1,[1]quests!$1:$1,0)+1),MATCH(D$1,[1]quests!$1:$1,0)-MATCH($B$1,[1]quests!$1:$1,0)+1,FALSE)</f>
        <v>ドロップイベント3</v>
      </c>
      <c r="E722" s="5">
        <v>2</v>
      </c>
      <c r="F722" s="3" t="str">
        <f ca="1">VLOOKUP($B722&amp;"_"&amp;$E722,OFFSET([1]stages!$A$1,0,0,COUNTA([1]stages!$A:$A),MATCH(F$1,[1]stages!$2:$2,0)-MATCH("temp_stage",[1]stages!$2:$2,0)+1),MATCH(F$1,[1]stages!$2:$2,0)-MATCH("temp_stage",[1]stages!$2:$2,0)+1,FALSE)</f>
        <v>【中級】罪と劇薬</v>
      </c>
      <c r="G722" s="3" t="str">
        <f ca="1">VLOOKUP($B722&amp;"_"&amp;$E722,OFFSET([1]stages!$A$1,0,0,COUNTA([1]stages!$A:$A),MATCH(G$1,[1]stages!$2:$2,0)-MATCH("temp_stage",[1]stages!$2:$2,0)+1),MATCH(G$1,[1]stages!$2:$2,0)-MATCH("temp_stage",[1]stages!$2:$2,0)+1,FALSE)</f>
        <v>ドロップイベント3</v>
      </c>
      <c r="H722" s="18">
        <v>0</v>
      </c>
      <c r="I722">
        <v>12</v>
      </c>
      <c r="J722" s="5" t="s">
        <v>16</v>
      </c>
      <c r="K722" s="35" t="str">
        <f>VLOOKUP(I722,[2]stage_hints!$A:$C,3,FALSE)</f>
        <v>ユニットのお気に入り登録</v>
      </c>
      <c r="L722" s="36" t="str">
        <f>VLOOKUP(I722,[2]stage_hints!$A:$D,4,FALSE)</f>
        <v>大事なユニットを誤って消さないように_x000D_フォルダから「お気に入り登録」しましょう</v>
      </c>
      <c r="M722" s="21" t="s">
        <v>23</v>
      </c>
      <c r="N722">
        <v>12</v>
      </c>
    </row>
    <row r="723" spans="1:14" x14ac:dyDescent="0.15">
      <c r="A723" s="26" t="s">
        <v>32</v>
      </c>
      <c r="B723" s="4">
        <v>20012</v>
      </c>
      <c r="C723" s="3" t="str">
        <f ca="1">VLOOKUP($B723,OFFSET([1]quests!$A$1,0,0,COUNTA([1]quests!$A:$A),MATCH(C$1,[1]quests!$1:$1,0)-MATCH($B$1,[1]quests!$1:$1,0)+1),MATCH(C$1,[1]quests!$1:$1,0)-MATCH($B$1,[1]quests!$1:$1,0)+1,FALSE)</f>
        <v>罪と劇薬</v>
      </c>
      <c r="D723" s="3" t="str">
        <f ca="1">VLOOKUP($B723,OFFSET([1]quests!$A$1,0,0,COUNTA([1]quests!$A:$A),MATCH(D$1,[1]quests!$1:$1,0)-MATCH($B$1,[1]quests!$1:$1,0)+1),MATCH(D$1,[1]quests!$1:$1,0)-MATCH($B$1,[1]quests!$1:$1,0)+1,FALSE)</f>
        <v>ドロップイベント3</v>
      </c>
      <c r="E723" s="5">
        <v>2</v>
      </c>
      <c r="F723" s="3" t="str">
        <f ca="1">VLOOKUP($B723&amp;"_"&amp;$E723,OFFSET([1]stages!$A$1,0,0,COUNTA([1]stages!$A:$A),MATCH(F$1,[1]stages!$2:$2,0)-MATCH("temp_stage",[1]stages!$2:$2,0)+1),MATCH(F$1,[1]stages!$2:$2,0)-MATCH("temp_stage",[1]stages!$2:$2,0)+1,FALSE)</f>
        <v>【中級】罪と劇薬</v>
      </c>
      <c r="G723" s="3" t="str">
        <f ca="1">VLOOKUP($B723&amp;"_"&amp;$E723,OFFSET([1]stages!$A$1,0,0,COUNTA([1]stages!$A:$A),MATCH(G$1,[1]stages!$2:$2,0)-MATCH("temp_stage",[1]stages!$2:$2,0)+1),MATCH(G$1,[1]stages!$2:$2,0)-MATCH("temp_stage",[1]stages!$2:$2,0)+1,FALSE)</f>
        <v>ドロップイベント3</v>
      </c>
      <c r="H723" s="18">
        <v>0</v>
      </c>
      <c r="I723">
        <v>13</v>
      </c>
      <c r="J723" s="5" t="s">
        <v>16</v>
      </c>
      <c r="K723" s="35" t="str">
        <f>VLOOKUP(I723,[2]stage_hints!$A:$C,3,FALSE)</f>
        <v>ユニットの覚醒</v>
      </c>
      <c r="L723" s="36" t="str">
        <f>VLOOKUP(I723,[2]stage_hints!$A:$D,4,FALSE)</f>
        <v>ユニットを覚醒させると_x000D_比べものにならない強さが手に入ります</v>
      </c>
      <c r="M723" s="21" t="s">
        <v>23</v>
      </c>
      <c r="N723">
        <v>13</v>
      </c>
    </row>
    <row r="724" spans="1:14" x14ac:dyDescent="0.15">
      <c r="A724" s="26" t="s">
        <v>32</v>
      </c>
      <c r="B724" s="4">
        <v>20012</v>
      </c>
      <c r="C724" s="3" t="str">
        <f ca="1">VLOOKUP($B724,OFFSET([1]quests!$A$1,0,0,COUNTA([1]quests!$A:$A),MATCH(C$1,[1]quests!$1:$1,0)-MATCH($B$1,[1]quests!$1:$1,0)+1),MATCH(C$1,[1]quests!$1:$1,0)-MATCH($B$1,[1]quests!$1:$1,0)+1,FALSE)</f>
        <v>罪と劇薬</v>
      </c>
      <c r="D724" s="3" t="str">
        <f ca="1">VLOOKUP($B724,OFFSET([1]quests!$A$1,0,0,COUNTA([1]quests!$A:$A),MATCH(D$1,[1]quests!$1:$1,0)-MATCH($B$1,[1]quests!$1:$1,0)+1),MATCH(D$1,[1]quests!$1:$1,0)-MATCH($B$1,[1]quests!$1:$1,0)+1,FALSE)</f>
        <v>ドロップイベント3</v>
      </c>
      <c r="E724" s="5">
        <v>2</v>
      </c>
      <c r="F724" s="3" t="str">
        <f ca="1">VLOOKUP($B724&amp;"_"&amp;$E724,OFFSET([1]stages!$A$1,0,0,COUNTA([1]stages!$A:$A),MATCH(F$1,[1]stages!$2:$2,0)-MATCH("temp_stage",[1]stages!$2:$2,0)+1),MATCH(F$1,[1]stages!$2:$2,0)-MATCH("temp_stage",[1]stages!$2:$2,0)+1,FALSE)</f>
        <v>【中級】罪と劇薬</v>
      </c>
      <c r="G724" s="3" t="str">
        <f ca="1">VLOOKUP($B724&amp;"_"&amp;$E724,OFFSET([1]stages!$A$1,0,0,COUNTA([1]stages!$A:$A),MATCH(G$1,[1]stages!$2:$2,0)-MATCH("temp_stage",[1]stages!$2:$2,0)+1),MATCH(G$1,[1]stages!$2:$2,0)-MATCH("temp_stage",[1]stages!$2:$2,0)+1,FALSE)</f>
        <v>ドロップイベント3</v>
      </c>
      <c r="H724" s="18">
        <v>0</v>
      </c>
      <c r="I724">
        <v>14</v>
      </c>
      <c r="J724" s="5" t="s">
        <v>16</v>
      </c>
      <c r="K724" s="35" t="str">
        <f>VLOOKUP(I724,[2]stage_hints!$A:$C,3,FALSE)</f>
        <v>覚醒するにはレベルを最大に</v>
      </c>
      <c r="L724" s="36" t="str">
        <f>VLOOKUP(I724,[2]stage_hints!$A:$D,4,FALSE)</f>
        <v>覚醒するにはユニットのレベルを_x000D_最大まで上げる必要があります</v>
      </c>
      <c r="M724" s="21" t="s">
        <v>23</v>
      </c>
      <c r="N724">
        <v>14</v>
      </c>
    </row>
    <row r="725" spans="1:14" x14ac:dyDescent="0.15">
      <c r="A725" s="26" t="s">
        <v>32</v>
      </c>
      <c r="B725" s="4">
        <v>20012</v>
      </c>
      <c r="C725" s="3" t="str">
        <f ca="1">VLOOKUP($B725,OFFSET([1]quests!$A$1,0,0,COUNTA([1]quests!$A:$A),MATCH(C$1,[1]quests!$1:$1,0)-MATCH($B$1,[1]quests!$1:$1,0)+1),MATCH(C$1,[1]quests!$1:$1,0)-MATCH($B$1,[1]quests!$1:$1,0)+1,FALSE)</f>
        <v>罪と劇薬</v>
      </c>
      <c r="D725" s="3" t="str">
        <f ca="1">VLOOKUP($B725,OFFSET([1]quests!$A$1,0,0,COUNTA([1]quests!$A:$A),MATCH(D$1,[1]quests!$1:$1,0)-MATCH($B$1,[1]quests!$1:$1,0)+1),MATCH(D$1,[1]quests!$1:$1,0)-MATCH($B$1,[1]quests!$1:$1,0)+1,FALSE)</f>
        <v>ドロップイベント3</v>
      </c>
      <c r="E725" s="5">
        <v>2</v>
      </c>
      <c r="F725" s="3" t="str">
        <f ca="1">VLOOKUP($B725&amp;"_"&amp;$E725,OFFSET([1]stages!$A$1,0,0,COUNTA([1]stages!$A:$A),MATCH(F$1,[1]stages!$2:$2,0)-MATCH("temp_stage",[1]stages!$2:$2,0)+1),MATCH(F$1,[1]stages!$2:$2,0)-MATCH("temp_stage",[1]stages!$2:$2,0)+1,FALSE)</f>
        <v>【中級】罪と劇薬</v>
      </c>
      <c r="G725" s="3" t="str">
        <f ca="1">VLOOKUP($B725&amp;"_"&amp;$E725,OFFSET([1]stages!$A$1,0,0,COUNTA([1]stages!$A:$A),MATCH(G$1,[1]stages!$2:$2,0)-MATCH("temp_stage",[1]stages!$2:$2,0)+1),MATCH(G$1,[1]stages!$2:$2,0)-MATCH("temp_stage",[1]stages!$2:$2,0)+1,FALSE)</f>
        <v>ドロップイベント3</v>
      </c>
      <c r="H725" s="18">
        <v>0</v>
      </c>
      <c r="I725">
        <v>15</v>
      </c>
      <c r="J725" s="5" t="s">
        <v>16</v>
      </c>
      <c r="K725" s="35" t="str">
        <f>VLOOKUP(I725,[2]stage_hints!$A:$C,3,FALSE)</f>
        <v>覚醒素材を獲得</v>
      </c>
      <c r="L725" s="36" t="str">
        <f>VLOOKUP(I725,[2]stage_hints!$A:$D,4,FALSE)</f>
        <v>「曜日クエスト」では_x000D_ユニットの覚醒に必要な素材が手に入ります</v>
      </c>
      <c r="M725" s="21" t="s">
        <v>23</v>
      </c>
      <c r="N725">
        <v>15</v>
      </c>
    </row>
    <row r="726" spans="1:14" x14ac:dyDescent="0.15">
      <c r="A726" s="26" t="s">
        <v>32</v>
      </c>
      <c r="B726" s="4">
        <v>20012</v>
      </c>
      <c r="C726" s="3" t="str">
        <f ca="1">VLOOKUP($B726,OFFSET([1]quests!$A$1,0,0,COUNTA([1]quests!$A:$A),MATCH(C$1,[1]quests!$1:$1,0)-MATCH($B$1,[1]quests!$1:$1,0)+1),MATCH(C$1,[1]quests!$1:$1,0)-MATCH($B$1,[1]quests!$1:$1,0)+1,FALSE)</f>
        <v>罪と劇薬</v>
      </c>
      <c r="D726" s="3" t="str">
        <f ca="1">VLOOKUP($B726,OFFSET([1]quests!$A$1,0,0,COUNTA([1]quests!$A:$A),MATCH(D$1,[1]quests!$1:$1,0)-MATCH($B$1,[1]quests!$1:$1,0)+1),MATCH(D$1,[1]quests!$1:$1,0)-MATCH($B$1,[1]quests!$1:$1,0)+1,FALSE)</f>
        <v>ドロップイベント3</v>
      </c>
      <c r="E726" s="5">
        <v>2</v>
      </c>
      <c r="F726" s="3" t="str">
        <f ca="1">VLOOKUP($B726&amp;"_"&amp;$E726,OFFSET([1]stages!$A$1,0,0,COUNTA([1]stages!$A:$A),MATCH(F$1,[1]stages!$2:$2,0)-MATCH("temp_stage",[1]stages!$2:$2,0)+1),MATCH(F$1,[1]stages!$2:$2,0)-MATCH("temp_stage",[1]stages!$2:$2,0)+1,FALSE)</f>
        <v>【中級】罪と劇薬</v>
      </c>
      <c r="G726" s="3" t="str">
        <f ca="1">VLOOKUP($B726&amp;"_"&amp;$E726,OFFSET([1]stages!$A$1,0,0,COUNTA([1]stages!$A:$A),MATCH(G$1,[1]stages!$2:$2,0)-MATCH("temp_stage",[1]stages!$2:$2,0)+1),MATCH(G$1,[1]stages!$2:$2,0)-MATCH("temp_stage",[1]stages!$2:$2,0)+1,FALSE)</f>
        <v>ドロップイベント3</v>
      </c>
      <c r="H726" s="18">
        <v>0</v>
      </c>
      <c r="I726">
        <v>16</v>
      </c>
      <c r="J726" s="5" t="s">
        <v>16</v>
      </c>
      <c r="K726" s="35" t="str">
        <f>VLOOKUP(I726,[2]stage_hints!$A:$C,3,FALSE)</f>
        <v>マルチプレイのメリット（その1）</v>
      </c>
      <c r="L726" s="36" t="str">
        <f>VLOOKUP(I726,[2]stage_hints!$A:$D,4,FALSE)</f>
        <v>他のプレイヤーとマルチプレイで遊ぶと_x000D_ポリゴンがもらえます（100人まで）</v>
      </c>
      <c r="M726" s="21" t="s">
        <v>23</v>
      </c>
      <c r="N726">
        <v>16</v>
      </c>
    </row>
    <row r="727" spans="1:14" x14ac:dyDescent="0.15">
      <c r="A727" s="26" t="s">
        <v>32</v>
      </c>
      <c r="B727" s="4">
        <v>20012</v>
      </c>
      <c r="C727" s="3" t="str">
        <f ca="1">VLOOKUP($B727,OFFSET([1]quests!$A$1,0,0,COUNTA([1]quests!$A:$A),MATCH(C$1,[1]quests!$1:$1,0)-MATCH($B$1,[1]quests!$1:$1,0)+1),MATCH(C$1,[1]quests!$1:$1,0)-MATCH($B$1,[1]quests!$1:$1,0)+1,FALSE)</f>
        <v>罪と劇薬</v>
      </c>
      <c r="D727" s="3" t="str">
        <f ca="1">VLOOKUP($B727,OFFSET([1]quests!$A$1,0,0,COUNTA([1]quests!$A:$A),MATCH(D$1,[1]quests!$1:$1,0)-MATCH($B$1,[1]quests!$1:$1,0)+1),MATCH(D$1,[1]quests!$1:$1,0)-MATCH($B$1,[1]quests!$1:$1,0)+1,FALSE)</f>
        <v>ドロップイベント3</v>
      </c>
      <c r="E727" s="5">
        <v>2</v>
      </c>
      <c r="F727" s="3" t="str">
        <f ca="1">VLOOKUP($B727&amp;"_"&amp;$E727,OFFSET([1]stages!$A$1,0,0,COUNTA([1]stages!$A:$A),MATCH(F$1,[1]stages!$2:$2,0)-MATCH("temp_stage",[1]stages!$2:$2,0)+1),MATCH(F$1,[1]stages!$2:$2,0)-MATCH("temp_stage",[1]stages!$2:$2,0)+1,FALSE)</f>
        <v>【中級】罪と劇薬</v>
      </c>
      <c r="G727" s="3" t="str">
        <f ca="1">VLOOKUP($B727&amp;"_"&amp;$E727,OFFSET([1]stages!$A$1,0,0,COUNTA([1]stages!$A:$A),MATCH(G$1,[1]stages!$2:$2,0)-MATCH("temp_stage",[1]stages!$2:$2,0)+1),MATCH(G$1,[1]stages!$2:$2,0)-MATCH("temp_stage",[1]stages!$2:$2,0)+1,FALSE)</f>
        <v>ドロップイベント3</v>
      </c>
      <c r="H727" s="18">
        <v>0</v>
      </c>
      <c r="I727">
        <v>17</v>
      </c>
      <c r="J727" s="5" t="s">
        <v>16</v>
      </c>
      <c r="K727" s="35" t="str">
        <f>VLOOKUP(I727,[2]stage_hints!$A:$C,3,FALSE)</f>
        <v>リンクガチャ</v>
      </c>
      <c r="L727" s="36" t="str">
        <f>VLOOKUP(I727,[2]stage_hints!$A:$D,4,FALSE)</f>
        <v>無料のリンクガチャを回して_x000D_経験値素材や売却素材を獲得しましょう</v>
      </c>
      <c r="M727" s="21" t="s">
        <v>23</v>
      </c>
      <c r="N727">
        <v>17</v>
      </c>
    </row>
    <row r="728" spans="1:14" x14ac:dyDescent="0.15">
      <c r="A728" s="26" t="s">
        <v>32</v>
      </c>
      <c r="B728" s="4">
        <v>20012</v>
      </c>
      <c r="C728" s="3" t="str">
        <f ca="1">VLOOKUP($B728,OFFSET([1]quests!$A$1,0,0,COUNTA([1]quests!$A:$A),MATCH(C$1,[1]quests!$1:$1,0)-MATCH($B$1,[1]quests!$1:$1,0)+1),MATCH(C$1,[1]quests!$1:$1,0)-MATCH($B$1,[1]quests!$1:$1,0)+1,FALSE)</f>
        <v>罪と劇薬</v>
      </c>
      <c r="D728" s="3" t="str">
        <f ca="1">VLOOKUP($B728,OFFSET([1]quests!$A$1,0,0,COUNTA([1]quests!$A:$A),MATCH(D$1,[1]quests!$1:$1,0)-MATCH($B$1,[1]quests!$1:$1,0)+1),MATCH(D$1,[1]quests!$1:$1,0)-MATCH($B$1,[1]quests!$1:$1,0)+1,FALSE)</f>
        <v>ドロップイベント3</v>
      </c>
      <c r="E728" s="5">
        <v>2</v>
      </c>
      <c r="F728" s="3" t="str">
        <f ca="1">VLOOKUP($B728&amp;"_"&amp;$E728,OFFSET([1]stages!$A$1,0,0,COUNTA([1]stages!$A:$A),MATCH(F$1,[1]stages!$2:$2,0)-MATCH("temp_stage",[1]stages!$2:$2,0)+1),MATCH(F$1,[1]stages!$2:$2,0)-MATCH("temp_stage",[1]stages!$2:$2,0)+1,FALSE)</f>
        <v>【中級】罪と劇薬</v>
      </c>
      <c r="G728" s="3" t="str">
        <f ca="1">VLOOKUP($B728&amp;"_"&amp;$E728,OFFSET([1]stages!$A$1,0,0,COUNTA([1]stages!$A:$A),MATCH(G$1,[1]stages!$2:$2,0)-MATCH("temp_stage",[1]stages!$2:$2,0)+1),MATCH(G$1,[1]stages!$2:$2,0)-MATCH("temp_stage",[1]stages!$2:$2,0)+1,FALSE)</f>
        <v>ドロップイベント3</v>
      </c>
      <c r="H728" s="18">
        <v>0</v>
      </c>
      <c r="I728">
        <v>18</v>
      </c>
      <c r="J728" s="5" t="s">
        <v>16</v>
      </c>
      <c r="K728" s="35" t="str">
        <f>VLOOKUP(I728,[2]stage_hints!$A:$C,3,FALSE)</f>
        <v>マルチプレイのメリット（その2）</v>
      </c>
      <c r="L728" s="36" t="str">
        <f>VLOOKUP(I728,[2]stage_hints!$A:$D,4,FALSE)</f>
        <v>マルチプレイならリンクが2倍もらえます_x000D_リンクガチャをたくさん回しましょう</v>
      </c>
      <c r="M728" s="21" t="s">
        <v>23</v>
      </c>
      <c r="N728">
        <v>18</v>
      </c>
    </row>
    <row r="729" spans="1:14" x14ac:dyDescent="0.15">
      <c r="A729" s="26" t="s">
        <v>32</v>
      </c>
      <c r="B729" s="4">
        <v>20012</v>
      </c>
      <c r="C729" s="3" t="str">
        <f ca="1">VLOOKUP($B729,OFFSET([1]quests!$A$1,0,0,COUNTA([1]quests!$A:$A),MATCH(C$1,[1]quests!$1:$1,0)-MATCH($B$1,[1]quests!$1:$1,0)+1),MATCH(C$1,[1]quests!$1:$1,0)-MATCH($B$1,[1]quests!$1:$1,0)+1,FALSE)</f>
        <v>罪と劇薬</v>
      </c>
      <c r="D729" s="3" t="str">
        <f ca="1">VLOOKUP($B729,OFFSET([1]quests!$A$1,0,0,COUNTA([1]quests!$A:$A),MATCH(D$1,[1]quests!$1:$1,0)-MATCH($B$1,[1]quests!$1:$1,0)+1),MATCH(D$1,[1]quests!$1:$1,0)-MATCH($B$1,[1]quests!$1:$1,0)+1,FALSE)</f>
        <v>ドロップイベント3</v>
      </c>
      <c r="E729" s="5">
        <v>2</v>
      </c>
      <c r="F729" s="3" t="str">
        <f ca="1">VLOOKUP($B729&amp;"_"&amp;$E729,OFFSET([1]stages!$A$1,0,0,COUNTA([1]stages!$A:$A),MATCH(F$1,[1]stages!$2:$2,0)-MATCH("temp_stage",[1]stages!$2:$2,0)+1),MATCH(F$1,[1]stages!$2:$2,0)-MATCH("temp_stage",[1]stages!$2:$2,0)+1,FALSE)</f>
        <v>【中級】罪と劇薬</v>
      </c>
      <c r="G729" s="3" t="str">
        <f ca="1">VLOOKUP($B729&amp;"_"&amp;$E729,OFFSET([1]stages!$A$1,0,0,COUNTA([1]stages!$A:$A),MATCH(G$1,[1]stages!$2:$2,0)-MATCH("temp_stage",[1]stages!$2:$2,0)+1),MATCH(G$1,[1]stages!$2:$2,0)-MATCH("temp_stage",[1]stages!$2:$2,0)+1,FALSE)</f>
        <v>ドロップイベント3</v>
      </c>
      <c r="H729" s="18">
        <v>0</v>
      </c>
      <c r="I729">
        <v>19</v>
      </c>
      <c r="J729" s="5" t="s">
        <v>16</v>
      </c>
      <c r="K729" s="35" t="str">
        <f>VLOOKUP(I729,[2]stage_hints!$A:$C,3,FALSE)</f>
        <v>ソロ専用チャレンジタワー</v>
      </c>
      <c r="L729" s="36" t="str">
        <f>VLOOKUP(I729,[2]stage_hints!$A:$D,4,FALSE)</f>
        <v>ソロ専用の「チャレンジタワー」では_x000D_各フロアごとにクリア報酬がもらえます</v>
      </c>
      <c r="M729" s="21" t="s">
        <v>23</v>
      </c>
      <c r="N729">
        <v>19</v>
      </c>
    </row>
    <row r="730" spans="1:14" x14ac:dyDescent="0.15">
      <c r="A730" s="26" t="s">
        <v>32</v>
      </c>
      <c r="B730" s="4">
        <v>20012</v>
      </c>
      <c r="C730" s="3" t="str">
        <f ca="1">VLOOKUP($B730,OFFSET([1]quests!$A$1,0,0,COUNTA([1]quests!$A:$A),MATCH(C$1,[1]quests!$1:$1,0)-MATCH($B$1,[1]quests!$1:$1,0)+1),MATCH(C$1,[1]quests!$1:$1,0)-MATCH($B$1,[1]quests!$1:$1,0)+1,FALSE)</f>
        <v>罪と劇薬</v>
      </c>
      <c r="D730" s="3" t="str">
        <f ca="1">VLOOKUP($B730,OFFSET([1]quests!$A$1,0,0,COUNTA([1]quests!$A:$A),MATCH(D$1,[1]quests!$1:$1,0)-MATCH($B$1,[1]quests!$1:$1,0)+1),MATCH(D$1,[1]quests!$1:$1,0)-MATCH($B$1,[1]quests!$1:$1,0)+1,FALSE)</f>
        <v>ドロップイベント3</v>
      </c>
      <c r="E730" s="5">
        <v>2</v>
      </c>
      <c r="F730" s="3" t="str">
        <f ca="1">VLOOKUP($B730&amp;"_"&amp;$E730,OFFSET([1]stages!$A$1,0,0,COUNTA([1]stages!$A:$A),MATCH(F$1,[1]stages!$2:$2,0)-MATCH("temp_stage",[1]stages!$2:$2,0)+1),MATCH(F$1,[1]stages!$2:$2,0)-MATCH("temp_stage",[1]stages!$2:$2,0)+1,FALSE)</f>
        <v>【中級】罪と劇薬</v>
      </c>
      <c r="G730" s="3" t="str">
        <f ca="1">VLOOKUP($B730&amp;"_"&amp;$E730,OFFSET([1]stages!$A$1,0,0,COUNTA([1]stages!$A:$A),MATCH(G$1,[1]stages!$2:$2,0)-MATCH("temp_stage",[1]stages!$2:$2,0)+1),MATCH(G$1,[1]stages!$2:$2,0)-MATCH("temp_stage",[1]stages!$2:$2,0)+1,FALSE)</f>
        <v>ドロップイベント3</v>
      </c>
      <c r="H730" s="18">
        <v>0</v>
      </c>
      <c r="I730">
        <v>20</v>
      </c>
      <c r="J730" s="5" t="s">
        <v>16</v>
      </c>
      <c r="K730" s="35" t="str">
        <f>VLOOKUP(I730,[2]stage_hints!$A:$C,3,FALSE)</f>
        <v>マルチプレイのメリット（その3）</v>
      </c>
      <c r="L730" s="36" t="str">
        <f>VLOOKUP(I730,[2]stage_hints!$A:$D,4,FALSE)</f>
        <v>マルチプレイへの参加はエナジー消費ゼロ_x000D_いつでも好きなだけ遊ぶことができます</v>
      </c>
      <c r="M730" s="21" t="s">
        <v>23</v>
      </c>
      <c r="N730">
        <v>20</v>
      </c>
    </row>
    <row r="731" spans="1:14" x14ac:dyDescent="0.15">
      <c r="A731" s="26" t="s">
        <v>32</v>
      </c>
      <c r="B731" s="4">
        <v>20012</v>
      </c>
      <c r="C731" s="3" t="str">
        <f ca="1">VLOOKUP($B731,OFFSET([1]quests!$A$1,0,0,COUNTA([1]quests!$A:$A),MATCH(C$1,[1]quests!$1:$1,0)-MATCH($B$1,[1]quests!$1:$1,0)+1),MATCH(C$1,[1]quests!$1:$1,0)-MATCH($B$1,[1]quests!$1:$1,0)+1,FALSE)</f>
        <v>罪と劇薬</v>
      </c>
      <c r="D731" s="3" t="str">
        <f ca="1">VLOOKUP($B731,OFFSET([1]quests!$A$1,0,0,COUNTA([1]quests!$A:$A),MATCH(D$1,[1]quests!$1:$1,0)-MATCH($B$1,[1]quests!$1:$1,0)+1),MATCH(D$1,[1]quests!$1:$1,0)-MATCH($B$1,[1]quests!$1:$1,0)+1,FALSE)</f>
        <v>ドロップイベント3</v>
      </c>
      <c r="E731" s="5">
        <v>2</v>
      </c>
      <c r="F731" s="3" t="str">
        <f ca="1">VLOOKUP($B731&amp;"_"&amp;$E731,OFFSET([1]stages!$A$1,0,0,COUNTA([1]stages!$A:$A),MATCH(F$1,[1]stages!$2:$2,0)-MATCH("temp_stage",[1]stages!$2:$2,0)+1),MATCH(F$1,[1]stages!$2:$2,0)-MATCH("temp_stage",[1]stages!$2:$2,0)+1,FALSE)</f>
        <v>【中級】罪と劇薬</v>
      </c>
      <c r="G731" s="3" t="str">
        <f ca="1">VLOOKUP($B731&amp;"_"&amp;$E731,OFFSET([1]stages!$A$1,0,0,COUNTA([1]stages!$A:$A),MATCH(G$1,[1]stages!$2:$2,0)-MATCH("temp_stage",[1]stages!$2:$2,0)+1),MATCH(G$1,[1]stages!$2:$2,0)-MATCH("temp_stage",[1]stages!$2:$2,0)+1,FALSE)</f>
        <v>ドロップイベント3</v>
      </c>
      <c r="H731" s="18">
        <v>0</v>
      </c>
      <c r="I731">
        <v>21</v>
      </c>
      <c r="J731" s="5" t="s">
        <v>16</v>
      </c>
      <c r="K731" s="35" t="str">
        <f>VLOOKUP(I731,[2]stage_hints!$A:$C,3,FALSE)</f>
        <v>スキルを有効に</v>
      </c>
      <c r="L731" s="36" t="str">
        <f>VLOOKUP(I731,[2]stage_hints!$A:$D,4,FALSE)</f>
        <v>ターン経過でユニットのスキルが使えます_x000D_強力スキルでバトルを有利に進めましょう</v>
      </c>
      <c r="M731" s="21" t="s">
        <v>23</v>
      </c>
      <c r="N731">
        <v>21</v>
      </c>
    </row>
    <row r="732" spans="1:14" x14ac:dyDescent="0.15">
      <c r="A732" s="26" t="s">
        <v>32</v>
      </c>
      <c r="B732" s="4">
        <v>20012</v>
      </c>
      <c r="C732" s="3" t="str">
        <f ca="1">VLOOKUP($B732,OFFSET([1]quests!$A$1,0,0,COUNTA([1]quests!$A:$A),MATCH(C$1,[1]quests!$1:$1,0)-MATCH($B$1,[1]quests!$1:$1,0)+1),MATCH(C$1,[1]quests!$1:$1,0)-MATCH($B$1,[1]quests!$1:$1,0)+1,FALSE)</f>
        <v>罪と劇薬</v>
      </c>
      <c r="D732" s="3" t="str">
        <f ca="1">VLOOKUP($B732,OFFSET([1]quests!$A$1,0,0,COUNTA([1]quests!$A:$A),MATCH(D$1,[1]quests!$1:$1,0)-MATCH($B$1,[1]quests!$1:$1,0)+1),MATCH(D$1,[1]quests!$1:$1,0)-MATCH($B$1,[1]quests!$1:$1,0)+1,FALSE)</f>
        <v>ドロップイベント3</v>
      </c>
      <c r="E732" s="5">
        <v>2</v>
      </c>
      <c r="F732" s="3" t="str">
        <f ca="1">VLOOKUP($B732&amp;"_"&amp;$E732,OFFSET([1]stages!$A$1,0,0,COUNTA([1]stages!$A:$A),MATCH(F$1,[1]stages!$2:$2,0)-MATCH("temp_stage",[1]stages!$2:$2,0)+1),MATCH(F$1,[1]stages!$2:$2,0)-MATCH("temp_stage",[1]stages!$2:$2,0)+1,FALSE)</f>
        <v>【中級】罪と劇薬</v>
      </c>
      <c r="G732" s="3" t="str">
        <f ca="1">VLOOKUP($B732&amp;"_"&amp;$E732,OFFSET([1]stages!$A$1,0,0,COUNTA([1]stages!$A:$A),MATCH(G$1,[1]stages!$2:$2,0)-MATCH("temp_stage",[1]stages!$2:$2,0)+1),MATCH(G$1,[1]stages!$2:$2,0)-MATCH("temp_stage",[1]stages!$2:$2,0)+1,FALSE)</f>
        <v>ドロップイベント3</v>
      </c>
      <c r="H732" s="18">
        <v>0</v>
      </c>
      <c r="I732">
        <v>22</v>
      </c>
      <c r="J732" s="5" t="s">
        <v>16</v>
      </c>
      <c r="K732" s="35" t="str">
        <f>VLOOKUP(I732,[2]stage_hints!$A:$C,3,FALSE)</f>
        <v>フィーバーで一発逆転（その1）</v>
      </c>
      <c r="L732" s="36" t="str">
        <f>VLOOKUP(I732,[2]stage_hints!$A:$D,4,FALSE)</f>
        <v>フィーバーは攻撃と回復を兼ね備えます_x000D_ピンチからの一発逆転を狙いましょう</v>
      </c>
      <c r="M732" s="21" t="s">
        <v>23</v>
      </c>
      <c r="N732">
        <v>22</v>
      </c>
    </row>
    <row r="733" spans="1:14" x14ac:dyDescent="0.15">
      <c r="A733" s="26" t="s">
        <v>32</v>
      </c>
      <c r="B733" s="4">
        <v>20012</v>
      </c>
      <c r="C733" s="3" t="str">
        <f ca="1">VLOOKUP($B733,OFFSET([1]quests!$A$1,0,0,COUNTA([1]quests!$A:$A),MATCH(C$1,[1]quests!$1:$1,0)-MATCH($B$1,[1]quests!$1:$1,0)+1),MATCH(C$1,[1]quests!$1:$1,0)-MATCH($B$1,[1]quests!$1:$1,0)+1,FALSE)</f>
        <v>罪と劇薬</v>
      </c>
      <c r="D733" s="3" t="str">
        <f ca="1">VLOOKUP($B733,OFFSET([1]quests!$A$1,0,0,COUNTA([1]quests!$A:$A),MATCH(D$1,[1]quests!$1:$1,0)-MATCH($B$1,[1]quests!$1:$1,0)+1),MATCH(D$1,[1]quests!$1:$1,0)-MATCH($B$1,[1]quests!$1:$1,0)+1,FALSE)</f>
        <v>ドロップイベント3</v>
      </c>
      <c r="E733" s="5">
        <v>2</v>
      </c>
      <c r="F733" s="3" t="str">
        <f ca="1">VLOOKUP($B733&amp;"_"&amp;$E733,OFFSET([1]stages!$A$1,0,0,COUNTA([1]stages!$A:$A),MATCH(F$1,[1]stages!$2:$2,0)-MATCH("temp_stage",[1]stages!$2:$2,0)+1),MATCH(F$1,[1]stages!$2:$2,0)-MATCH("temp_stage",[1]stages!$2:$2,0)+1,FALSE)</f>
        <v>【中級】罪と劇薬</v>
      </c>
      <c r="G733" s="3" t="str">
        <f ca="1">VLOOKUP($B733&amp;"_"&amp;$E733,OFFSET([1]stages!$A$1,0,0,COUNTA([1]stages!$A:$A),MATCH(G$1,[1]stages!$2:$2,0)-MATCH("temp_stage",[1]stages!$2:$2,0)+1),MATCH(G$1,[1]stages!$2:$2,0)-MATCH("temp_stage",[1]stages!$2:$2,0)+1,FALSE)</f>
        <v>ドロップイベント3</v>
      </c>
      <c r="H733" s="18">
        <v>0</v>
      </c>
      <c r="I733">
        <v>23</v>
      </c>
      <c r="J733" s="5" t="s">
        <v>16</v>
      </c>
      <c r="K733" s="35" t="str">
        <f>VLOOKUP(I733,[2]stage_hints!$A:$C,3,FALSE)</f>
        <v>フィーバーで一発逆転（その2）</v>
      </c>
      <c r="L733" s="36" t="str">
        <f>VLOOKUP(I733,[2]stage_hints!$A:$D,4,FALSE)</f>
        <v>フィーバー中は虹色のボムパネルを狙って_x000D_画面上のパネルを一気に破壊しましょう</v>
      </c>
      <c r="M733" s="21" t="s">
        <v>23</v>
      </c>
      <c r="N733">
        <v>23</v>
      </c>
    </row>
    <row r="734" spans="1:14" x14ac:dyDescent="0.15">
      <c r="A734" s="26" t="s">
        <v>32</v>
      </c>
      <c r="B734" s="4">
        <v>20012</v>
      </c>
      <c r="C734" s="3" t="str">
        <f ca="1">VLOOKUP($B734,OFFSET([1]quests!$A$1,0,0,COUNTA([1]quests!$A:$A),MATCH(C$1,[1]quests!$1:$1,0)-MATCH($B$1,[1]quests!$1:$1,0)+1),MATCH(C$1,[1]quests!$1:$1,0)-MATCH($B$1,[1]quests!$1:$1,0)+1,FALSE)</f>
        <v>罪と劇薬</v>
      </c>
      <c r="D734" s="3" t="str">
        <f ca="1">VLOOKUP($B734,OFFSET([1]quests!$A$1,0,0,COUNTA([1]quests!$A:$A),MATCH(D$1,[1]quests!$1:$1,0)-MATCH($B$1,[1]quests!$1:$1,0)+1),MATCH(D$1,[1]quests!$1:$1,0)-MATCH($B$1,[1]quests!$1:$1,0)+1,FALSE)</f>
        <v>ドロップイベント3</v>
      </c>
      <c r="E734" s="5">
        <v>2</v>
      </c>
      <c r="F734" s="3" t="str">
        <f ca="1">VLOOKUP($B734&amp;"_"&amp;$E734,OFFSET([1]stages!$A$1,0,0,COUNTA([1]stages!$A:$A),MATCH(F$1,[1]stages!$2:$2,0)-MATCH("temp_stage",[1]stages!$2:$2,0)+1),MATCH(F$1,[1]stages!$2:$2,0)-MATCH("temp_stage",[1]stages!$2:$2,0)+1,FALSE)</f>
        <v>【中級】罪と劇薬</v>
      </c>
      <c r="G734" s="3" t="str">
        <f ca="1">VLOOKUP($B734&amp;"_"&amp;$E734,OFFSET([1]stages!$A$1,0,0,COUNTA([1]stages!$A:$A),MATCH(G$1,[1]stages!$2:$2,0)-MATCH("temp_stage",[1]stages!$2:$2,0)+1),MATCH(G$1,[1]stages!$2:$2,0)-MATCH("temp_stage",[1]stages!$2:$2,0)+1,FALSE)</f>
        <v>ドロップイベント3</v>
      </c>
      <c r="H734" s="18">
        <v>0</v>
      </c>
      <c r="I734">
        <v>24</v>
      </c>
      <c r="J734" s="5" t="s">
        <v>16</v>
      </c>
      <c r="K734" s="35" t="str">
        <f>VLOOKUP(I734,[2]stage_hints!$A:$C,3,FALSE)</f>
        <v>りんごを使って限界突破</v>
      </c>
      <c r="L734" s="36" t="str">
        <f>VLOOKUP(I734,[2]stage_hints!$A:$D,4,FALSE)</f>
        <v>赤りんご(攻撃力) 青りんご(回復力)_x000D_緑りんご(体力)をユニット強化に使うと_x000D_ステータスが限界突破します（計99個迄）</v>
      </c>
      <c r="M734" s="21" t="s">
        <v>23</v>
      </c>
      <c r="N734">
        <v>24</v>
      </c>
    </row>
    <row r="735" spans="1:14" x14ac:dyDescent="0.15">
      <c r="A735" s="26" t="s">
        <v>32</v>
      </c>
      <c r="B735" s="4">
        <v>20012</v>
      </c>
      <c r="C735" s="3" t="str">
        <f ca="1">VLOOKUP($B735,OFFSET([1]quests!$A$1,0,0,COUNTA([1]quests!$A:$A),MATCH(C$1,[1]quests!$1:$1,0)-MATCH($B$1,[1]quests!$1:$1,0)+1),MATCH(C$1,[1]quests!$1:$1,0)-MATCH($B$1,[1]quests!$1:$1,0)+1,FALSE)</f>
        <v>罪と劇薬</v>
      </c>
      <c r="D735" s="3" t="str">
        <f ca="1">VLOOKUP($B735,OFFSET([1]quests!$A$1,0,0,COUNTA([1]quests!$A:$A),MATCH(D$1,[1]quests!$1:$1,0)-MATCH($B$1,[1]quests!$1:$1,0)+1),MATCH(D$1,[1]quests!$1:$1,0)-MATCH($B$1,[1]quests!$1:$1,0)+1,FALSE)</f>
        <v>ドロップイベント3</v>
      </c>
      <c r="E735" s="5">
        <v>2</v>
      </c>
      <c r="F735" s="3" t="str">
        <f ca="1">VLOOKUP($B735&amp;"_"&amp;$E735,OFFSET([1]stages!$A$1,0,0,COUNTA([1]stages!$A:$A),MATCH(F$1,[1]stages!$2:$2,0)-MATCH("temp_stage",[1]stages!$2:$2,0)+1),MATCH(F$1,[1]stages!$2:$2,0)-MATCH("temp_stage",[1]stages!$2:$2,0)+1,FALSE)</f>
        <v>【中級】罪と劇薬</v>
      </c>
      <c r="G735" s="3" t="str">
        <f ca="1">VLOOKUP($B735&amp;"_"&amp;$E735,OFFSET([1]stages!$A$1,0,0,COUNTA([1]stages!$A:$A),MATCH(G$1,[1]stages!$2:$2,0)-MATCH("temp_stage",[1]stages!$2:$2,0)+1),MATCH(G$1,[1]stages!$2:$2,0)-MATCH("temp_stage",[1]stages!$2:$2,0)+1,FALSE)</f>
        <v>ドロップイベント3</v>
      </c>
      <c r="H735" s="18">
        <v>0</v>
      </c>
      <c r="I735">
        <v>25</v>
      </c>
      <c r="J735" s="5" t="s">
        <v>16</v>
      </c>
      <c r="K735" s="35" t="str">
        <f>VLOOKUP(I735,[2]stage_hints!$A:$C,3,FALSE)</f>
        <v>スキルレベルアップ</v>
      </c>
      <c r="L735" s="36" t="str">
        <f>VLOOKUP(I735,[2]stage_hints!$A:$D,4,FALSE)</f>
        <v>「クリスタルのりんご」を強化に使うと_x000D_スキルレベルを上げることができます</v>
      </c>
      <c r="M735" s="21" t="s">
        <v>23</v>
      </c>
      <c r="N735">
        <v>25</v>
      </c>
    </row>
    <row r="736" spans="1:14" x14ac:dyDescent="0.15">
      <c r="A736" s="26" t="s">
        <v>32</v>
      </c>
      <c r="B736" s="4">
        <v>20012</v>
      </c>
      <c r="C736" s="3" t="str">
        <f ca="1">VLOOKUP($B736,OFFSET([1]quests!$A$1,0,0,COUNTA([1]quests!$A:$A),MATCH(C$1,[1]quests!$1:$1,0)-MATCH($B$1,[1]quests!$1:$1,0)+1),MATCH(C$1,[1]quests!$1:$1,0)-MATCH($B$1,[1]quests!$1:$1,0)+1,FALSE)</f>
        <v>罪と劇薬</v>
      </c>
      <c r="D736" s="3" t="str">
        <f ca="1">VLOOKUP($B736,OFFSET([1]quests!$A$1,0,0,COUNTA([1]quests!$A:$A),MATCH(D$1,[1]quests!$1:$1,0)-MATCH($B$1,[1]quests!$1:$1,0)+1),MATCH(D$1,[1]quests!$1:$1,0)-MATCH($B$1,[1]quests!$1:$1,0)+1,FALSE)</f>
        <v>ドロップイベント3</v>
      </c>
      <c r="E736" s="5">
        <v>2</v>
      </c>
      <c r="F736" s="3" t="str">
        <f ca="1">VLOOKUP($B736&amp;"_"&amp;$E736,OFFSET([1]stages!$A$1,0,0,COUNTA([1]stages!$A:$A),MATCH(F$1,[1]stages!$2:$2,0)-MATCH("temp_stage",[1]stages!$2:$2,0)+1),MATCH(F$1,[1]stages!$2:$2,0)-MATCH("temp_stage",[1]stages!$2:$2,0)+1,FALSE)</f>
        <v>【中級】罪と劇薬</v>
      </c>
      <c r="G736" s="3" t="str">
        <f ca="1">VLOOKUP($B736&amp;"_"&amp;$E736,OFFSET([1]stages!$A$1,0,0,COUNTA([1]stages!$A:$A),MATCH(G$1,[1]stages!$2:$2,0)-MATCH("temp_stage",[1]stages!$2:$2,0)+1),MATCH(G$1,[1]stages!$2:$2,0)-MATCH("temp_stage",[1]stages!$2:$2,0)+1,FALSE)</f>
        <v>ドロップイベント3</v>
      </c>
      <c r="H736" s="18">
        <v>0</v>
      </c>
      <c r="I736">
        <v>26</v>
      </c>
      <c r="J736" s="5" t="s">
        <v>16</v>
      </c>
      <c r="K736" s="35" t="str">
        <f>VLOOKUP(I736,[2]stage_hints!$A:$C,3,FALSE)</f>
        <v>スキルレベルの効果</v>
      </c>
      <c r="L736" s="36" t="str">
        <f>VLOOKUP(I736,[2]stage_hints!$A:$D,4,FALSE)</f>
        <v>スキルレベルが上がると_x000D_短いターンでスキルを使うことができます</v>
      </c>
      <c r="M736" s="21" t="s">
        <v>23</v>
      </c>
      <c r="N736">
        <v>26</v>
      </c>
    </row>
    <row r="737" spans="1:14" x14ac:dyDescent="0.15">
      <c r="A737" s="26" t="s">
        <v>32</v>
      </c>
      <c r="B737" s="4">
        <v>20012</v>
      </c>
      <c r="C737" s="3" t="str">
        <f ca="1">VLOOKUP($B737,OFFSET([1]quests!$A$1,0,0,COUNTA([1]quests!$A:$A),MATCH(C$1,[1]quests!$1:$1,0)-MATCH($B$1,[1]quests!$1:$1,0)+1),MATCH(C$1,[1]quests!$1:$1,0)-MATCH($B$1,[1]quests!$1:$1,0)+1,FALSE)</f>
        <v>罪と劇薬</v>
      </c>
      <c r="D737" s="3" t="str">
        <f ca="1">VLOOKUP($B737,OFFSET([1]quests!$A$1,0,0,COUNTA([1]quests!$A:$A),MATCH(D$1,[1]quests!$1:$1,0)-MATCH($B$1,[1]quests!$1:$1,0)+1),MATCH(D$1,[1]quests!$1:$1,0)-MATCH($B$1,[1]quests!$1:$1,0)+1,FALSE)</f>
        <v>ドロップイベント3</v>
      </c>
      <c r="E737" s="5">
        <v>2</v>
      </c>
      <c r="F737" s="3" t="str">
        <f ca="1">VLOOKUP($B737&amp;"_"&amp;$E737,OFFSET([1]stages!$A$1,0,0,COUNTA([1]stages!$A:$A),MATCH(F$1,[1]stages!$2:$2,0)-MATCH("temp_stage",[1]stages!$2:$2,0)+1),MATCH(F$1,[1]stages!$2:$2,0)-MATCH("temp_stage",[1]stages!$2:$2,0)+1,FALSE)</f>
        <v>【中級】罪と劇薬</v>
      </c>
      <c r="G737" s="3" t="str">
        <f ca="1">VLOOKUP($B737&amp;"_"&amp;$E737,OFFSET([1]stages!$A$1,0,0,COUNTA([1]stages!$A:$A),MATCH(G$1,[1]stages!$2:$2,0)-MATCH("temp_stage",[1]stages!$2:$2,0)+1),MATCH(G$1,[1]stages!$2:$2,0)-MATCH("temp_stage",[1]stages!$2:$2,0)+1,FALSE)</f>
        <v>ドロップイベント3</v>
      </c>
      <c r="H737" s="18">
        <v>0</v>
      </c>
      <c r="I737">
        <v>27</v>
      </c>
      <c r="J737" s="5" t="s">
        <v>16</v>
      </c>
      <c r="K737" s="35" t="str">
        <f>VLOOKUP(I737,[2]stage_hints!$A:$C,3,FALSE)</f>
        <v>ホーム画面からデッキを編成</v>
      </c>
      <c r="L737" s="36" t="str">
        <f>VLOOKUP(I737,[2]stage_hints!$A:$D,4,FALSE)</f>
        <v>ホーム画面でユニットを長押しすると_x000D_すぐにパーティ編成に移動できます</v>
      </c>
      <c r="M737" s="21" t="s">
        <v>23</v>
      </c>
      <c r="N737">
        <v>27</v>
      </c>
    </row>
    <row r="738" spans="1:14" x14ac:dyDescent="0.15">
      <c r="A738" s="26" t="s">
        <v>32</v>
      </c>
      <c r="B738" s="4">
        <v>20012</v>
      </c>
      <c r="C738" s="3" t="str">
        <f ca="1">VLOOKUP($B738,OFFSET([1]quests!$A$1,0,0,COUNTA([1]quests!$A:$A),MATCH(C$1,[1]quests!$1:$1,0)-MATCH($B$1,[1]quests!$1:$1,0)+1),MATCH(C$1,[1]quests!$1:$1,0)-MATCH($B$1,[1]quests!$1:$1,0)+1,FALSE)</f>
        <v>罪と劇薬</v>
      </c>
      <c r="D738" s="3" t="str">
        <f ca="1">VLOOKUP($B738,OFFSET([1]quests!$A$1,0,0,COUNTA([1]quests!$A:$A),MATCH(D$1,[1]quests!$1:$1,0)-MATCH($B$1,[1]quests!$1:$1,0)+1),MATCH(D$1,[1]quests!$1:$1,0)-MATCH($B$1,[1]quests!$1:$1,0)+1,FALSE)</f>
        <v>ドロップイベント3</v>
      </c>
      <c r="E738" s="5">
        <v>2</v>
      </c>
      <c r="F738" s="3" t="str">
        <f ca="1">VLOOKUP($B738&amp;"_"&amp;$E738,OFFSET([1]stages!$A$1,0,0,COUNTA([1]stages!$A:$A),MATCH(F$1,[1]stages!$2:$2,0)-MATCH("temp_stage",[1]stages!$2:$2,0)+1),MATCH(F$1,[1]stages!$2:$2,0)-MATCH("temp_stage",[1]stages!$2:$2,0)+1,FALSE)</f>
        <v>【中級】罪と劇薬</v>
      </c>
      <c r="G738" s="3" t="str">
        <f ca="1">VLOOKUP($B738&amp;"_"&amp;$E738,OFFSET([1]stages!$A$1,0,0,COUNTA([1]stages!$A:$A),MATCH(G$1,[1]stages!$2:$2,0)-MATCH("temp_stage",[1]stages!$2:$2,0)+1),MATCH(G$1,[1]stages!$2:$2,0)-MATCH("temp_stage",[1]stages!$2:$2,0)+1,FALSE)</f>
        <v>ドロップイベント3</v>
      </c>
      <c r="H738" s="18">
        <v>0</v>
      </c>
      <c r="I738">
        <v>28</v>
      </c>
      <c r="J738" s="5" t="s">
        <v>16</v>
      </c>
      <c r="K738" s="35" t="str">
        <f>VLOOKUP(I738,[2]stage_hints!$A:$C,3,FALSE)</f>
        <v>ステータス情報は長押しで</v>
      </c>
      <c r="L738" s="36" t="str">
        <f>VLOOKUP(I738,[2]stage_hints!$A:$D,4,FALSE)</f>
        <v>ユニットのアイコンを長押しすると_x000D_ステータス情報を確認することができます</v>
      </c>
      <c r="M738" s="21" t="s">
        <v>23</v>
      </c>
      <c r="N738">
        <v>28</v>
      </c>
    </row>
    <row r="739" spans="1:14" x14ac:dyDescent="0.15">
      <c r="A739" s="26" t="s">
        <v>32</v>
      </c>
      <c r="B739" s="4">
        <v>20012</v>
      </c>
      <c r="C739" s="3" t="str">
        <f ca="1">VLOOKUP($B739,OFFSET([1]quests!$A$1,0,0,COUNTA([1]quests!$A:$A),MATCH(C$1,[1]quests!$1:$1,0)-MATCH($B$1,[1]quests!$1:$1,0)+1),MATCH(C$1,[1]quests!$1:$1,0)-MATCH($B$1,[1]quests!$1:$1,0)+1,FALSE)</f>
        <v>罪と劇薬</v>
      </c>
      <c r="D739" s="3" t="str">
        <f ca="1">VLOOKUP($B739,OFFSET([1]quests!$A$1,0,0,COUNTA([1]quests!$A:$A),MATCH(D$1,[1]quests!$1:$1,0)-MATCH($B$1,[1]quests!$1:$1,0)+1),MATCH(D$1,[1]quests!$1:$1,0)-MATCH($B$1,[1]quests!$1:$1,0)+1,FALSE)</f>
        <v>ドロップイベント3</v>
      </c>
      <c r="E739" s="5">
        <v>2</v>
      </c>
      <c r="F739" s="3" t="str">
        <f ca="1">VLOOKUP($B739&amp;"_"&amp;$E739,OFFSET([1]stages!$A$1,0,0,COUNTA([1]stages!$A:$A),MATCH(F$1,[1]stages!$2:$2,0)-MATCH("temp_stage",[1]stages!$2:$2,0)+1),MATCH(F$1,[1]stages!$2:$2,0)-MATCH("temp_stage",[1]stages!$2:$2,0)+1,FALSE)</f>
        <v>【中級】罪と劇薬</v>
      </c>
      <c r="G739" s="3" t="str">
        <f ca="1">VLOOKUP($B739&amp;"_"&amp;$E739,OFFSET([1]stages!$A$1,0,0,COUNTA([1]stages!$A:$A),MATCH(G$1,[1]stages!$2:$2,0)-MATCH("temp_stage",[1]stages!$2:$2,0)+1),MATCH(G$1,[1]stages!$2:$2,0)-MATCH("temp_stage",[1]stages!$2:$2,0)+1,FALSE)</f>
        <v>ドロップイベント3</v>
      </c>
      <c r="H739" s="18">
        <v>0</v>
      </c>
      <c r="I739">
        <v>29</v>
      </c>
      <c r="J739" s="5" t="s">
        <v>16</v>
      </c>
      <c r="K739" s="35" t="str">
        <f>VLOOKUP(I739,[2]stage_hints!$A:$C,3,FALSE)</f>
        <v>「バグ」のメリット</v>
      </c>
      <c r="L739" s="36" t="str">
        <f>VLOOKUP(I739,[2]stage_hints!$A:$D,4,FALSE)</f>
        <v>ユニットの「バグ」を増やすと_x000D_報酬をもらえる確率がアップします</v>
      </c>
      <c r="M739" s="21" t="s">
        <v>23</v>
      </c>
      <c r="N739">
        <v>29</v>
      </c>
    </row>
    <row r="740" spans="1:14" x14ac:dyDescent="0.15">
      <c r="A740" s="26" t="s">
        <v>32</v>
      </c>
      <c r="B740" s="4">
        <v>20012</v>
      </c>
      <c r="C740" s="3" t="str">
        <f ca="1">VLOOKUP($B740,OFFSET([1]quests!$A$1,0,0,COUNTA([1]quests!$A:$A),MATCH(C$1,[1]quests!$1:$1,0)-MATCH($B$1,[1]quests!$1:$1,0)+1),MATCH(C$1,[1]quests!$1:$1,0)-MATCH($B$1,[1]quests!$1:$1,0)+1,FALSE)</f>
        <v>罪と劇薬</v>
      </c>
      <c r="D740" s="3" t="str">
        <f ca="1">VLOOKUP($B740,OFFSET([1]quests!$A$1,0,0,COUNTA([1]quests!$A:$A),MATCH(D$1,[1]quests!$1:$1,0)-MATCH($B$1,[1]quests!$1:$1,0)+1),MATCH(D$1,[1]quests!$1:$1,0)-MATCH($B$1,[1]quests!$1:$1,0)+1,FALSE)</f>
        <v>ドロップイベント3</v>
      </c>
      <c r="E740" s="5">
        <v>2</v>
      </c>
      <c r="F740" s="3" t="str">
        <f ca="1">VLOOKUP($B740&amp;"_"&amp;$E740,OFFSET([1]stages!$A$1,0,0,COUNTA([1]stages!$A:$A),MATCH(F$1,[1]stages!$2:$2,0)-MATCH("temp_stage",[1]stages!$2:$2,0)+1),MATCH(F$1,[1]stages!$2:$2,0)-MATCH("temp_stage",[1]stages!$2:$2,0)+1,FALSE)</f>
        <v>【中級】罪と劇薬</v>
      </c>
      <c r="G740" s="3" t="str">
        <f ca="1">VLOOKUP($B740&amp;"_"&amp;$E740,OFFSET([1]stages!$A$1,0,0,COUNTA([1]stages!$A:$A),MATCH(G$1,[1]stages!$2:$2,0)-MATCH("temp_stage",[1]stages!$2:$2,0)+1),MATCH(G$1,[1]stages!$2:$2,0)-MATCH("temp_stage",[1]stages!$2:$2,0)+1,FALSE)</f>
        <v>ドロップイベント3</v>
      </c>
      <c r="H740" s="18">
        <v>0</v>
      </c>
      <c r="I740">
        <v>30</v>
      </c>
      <c r="J740" s="5" t="s">
        <v>16</v>
      </c>
      <c r="K740" s="35" t="str">
        <f>VLOOKUP(I740,[2]stage_hints!$A:$C,3,FALSE)</f>
        <v>「バグ」の増やし方</v>
      </c>
      <c r="L740" s="36" t="str">
        <f>VLOOKUP(I740,[2]stage_hints!$A:$D,4,FALSE)</f>
        <v>同じユニット同士を強化で合成すると_x000D_「バグ」を増やすことができます</v>
      </c>
      <c r="M740" s="21" t="s">
        <v>23</v>
      </c>
      <c r="N740">
        <v>30</v>
      </c>
    </row>
    <row r="741" spans="1:14" x14ac:dyDescent="0.15">
      <c r="A741" s="26" t="s">
        <v>32</v>
      </c>
      <c r="B741" s="4">
        <v>20012</v>
      </c>
      <c r="C741" s="3" t="str">
        <f ca="1">VLOOKUP($B741,OFFSET([1]quests!$A$1,0,0,COUNTA([1]quests!$A:$A),MATCH(C$1,[1]quests!$1:$1,0)-MATCH($B$1,[1]quests!$1:$1,0)+1),MATCH(C$1,[1]quests!$1:$1,0)-MATCH($B$1,[1]quests!$1:$1,0)+1,FALSE)</f>
        <v>罪と劇薬</v>
      </c>
      <c r="D741" s="3" t="str">
        <f ca="1">VLOOKUP($B741,OFFSET([1]quests!$A$1,0,0,COUNTA([1]quests!$A:$A),MATCH(D$1,[1]quests!$1:$1,0)-MATCH($B$1,[1]quests!$1:$1,0)+1),MATCH(D$1,[1]quests!$1:$1,0)-MATCH($B$1,[1]quests!$1:$1,0)+1,FALSE)</f>
        <v>ドロップイベント3</v>
      </c>
      <c r="E741" s="5">
        <v>2</v>
      </c>
      <c r="F741" s="3" t="str">
        <f ca="1">VLOOKUP($B741&amp;"_"&amp;$E741,OFFSET([1]stages!$A$1,0,0,COUNTA([1]stages!$A:$A),MATCH(F$1,[1]stages!$2:$2,0)-MATCH("temp_stage",[1]stages!$2:$2,0)+1),MATCH(F$1,[1]stages!$2:$2,0)-MATCH("temp_stage",[1]stages!$2:$2,0)+1,FALSE)</f>
        <v>【中級】罪と劇薬</v>
      </c>
      <c r="G741" s="3" t="str">
        <f ca="1">VLOOKUP($B741&amp;"_"&amp;$E741,OFFSET([1]stages!$A$1,0,0,COUNTA([1]stages!$A:$A),MATCH(G$1,[1]stages!$2:$2,0)-MATCH("temp_stage",[1]stages!$2:$2,0)+1),MATCH(G$1,[1]stages!$2:$2,0)-MATCH("temp_stage",[1]stages!$2:$2,0)+1,FALSE)</f>
        <v>ドロップイベント3</v>
      </c>
      <c r="H741" s="18">
        <v>0</v>
      </c>
      <c r="I741">
        <v>31</v>
      </c>
      <c r="J741" s="5" t="s">
        <v>16</v>
      </c>
      <c r="K741" s="35" t="str">
        <f>VLOOKUP(I741,[2]stage_hints!$A:$C,3,FALSE)</f>
        <v>イベントはお知らせでチェック</v>
      </c>
      <c r="L741" s="36" t="str">
        <f>VLOOKUP(I741,[2]stage_hints!$A:$D,4,FALSE)</f>
        <v>イベント限定ユニットを取り忘れないように_x000D_お知らせをこまめにチェックしましょう</v>
      </c>
      <c r="M741" s="21" t="s">
        <v>23</v>
      </c>
      <c r="N741">
        <v>31</v>
      </c>
    </row>
    <row r="742" spans="1:14" x14ac:dyDescent="0.15">
      <c r="A742" s="26" t="s">
        <v>32</v>
      </c>
      <c r="B742" s="4">
        <v>20012</v>
      </c>
      <c r="C742" s="3" t="str">
        <f ca="1">VLOOKUP($B742,OFFSET([1]quests!$A$1,0,0,COUNTA([1]quests!$A:$A),MATCH(C$1,[1]quests!$1:$1,0)-MATCH($B$1,[1]quests!$1:$1,0)+1),MATCH(C$1,[1]quests!$1:$1,0)-MATCH($B$1,[1]quests!$1:$1,0)+1,FALSE)</f>
        <v>罪と劇薬</v>
      </c>
      <c r="D742" s="3" t="str">
        <f ca="1">VLOOKUP($B742,OFFSET([1]quests!$A$1,0,0,COUNTA([1]quests!$A:$A),MATCH(D$1,[1]quests!$1:$1,0)-MATCH($B$1,[1]quests!$1:$1,0)+1),MATCH(D$1,[1]quests!$1:$1,0)-MATCH($B$1,[1]quests!$1:$1,0)+1,FALSE)</f>
        <v>ドロップイベント3</v>
      </c>
      <c r="E742" s="5">
        <v>2</v>
      </c>
      <c r="F742" s="3" t="str">
        <f ca="1">VLOOKUP($B742&amp;"_"&amp;$E742,OFFSET([1]stages!$A$1,0,0,COUNTA([1]stages!$A:$A),MATCH(F$1,[1]stages!$2:$2,0)-MATCH("temp_stage",[1]stages!$2:$2,0)+1),MATCH(F$1,[1]stages!$2:$2,0)-MATCH("temp_stage",[1]stages!$2:$2,0)+1,FALSE)</f>
        <v>【中級】罪と劇薬</v>
      </c>
      <c r="G742" s="3" t="str">
        <f ca="1">VLOOKUP($B742&amp;"_"&amp;$E742,OFFSET([1]stages!$A$1,0,0,COUNTA([1]stages!$A:$A),MATCH(G$1,[1]stages!$2:$2,0)-MATCH("temp_stage",[1]stages!$2:$2,0)+1),MATCH(G$1,[1]stages!$2:$2,0)-MATCH("temp_stage",[1]stages!$2:$2,0)+1,FALSE)</f>
        <v>ドロップイベント3</v>
      </c>
      <c r="H742" s="18">
        <v>0</v>
      </c>
      <c r="I742">
        <v>32</v>
      </c>
      <c r="J742" s="5" t="s">
        <v>16</v>
      </c>
      <c r="K742" s="35" t="str">
        <f>VLOOKUP(I742,[2]stage_hints!$A:$C,3,FALSE)</f>
        <v>敵の連続攻撃には</v>
      </c>
      <c r="L742" s="36" t="str">
        <f>VLOOKUP(I742,[2]stage_hints!$A:$D,4,FALSE)</f>
        <v>カウンタースキルを持つユニットがいれば_x000D_ダメージ回数分の反撃ができます</v>
      </c>
      <c r="M742" s="21" t="s">
        <v>23</v>
      </c>
      <c r="N742">
        <v>32</v>
      </c>
    </row>
    <row r="743" spans="1:14" x14ac:dyDescent="0.15">
      <c r="A743" s="26" t="s">
        <v>32</v>
      </c>
      <c r="B743" s="4">
        <v>20012</v>
      </c>
      <c r="C743" s="3" t="str">
        <f ca="1">VLOOKUP($B743,OFFSET([1]quests!$A$1,0,0,COUNTA([1]quests!$A:$A),MATCH(C$1,[1]quests!$1:$1,0)-MATCH($B$1,[1]quests!$1:$1,0)+1),MATCH(C$1,[1]quests!$1:$1,0)-MATCH($B$1,[1]quests!$1:$1,0)+1,FALSE)</f>
        <v>罪と劇薬</v>
      </c>
      <c r="D743" s="3" t="str">
        <f ca="1">VLOOKUP($B743,OFFSET([1]quests!$A$1,0,0,COUNTA([1]quests!$A:$A),MATCH(D$1,[1]quests!$1:$1,0)-MATCH($B$1,[1]quests!$1:$1,0)+1),MATCH(D$1,[1]quests!$1:$1,0)-MATCH($B$1,[1]quests!$1:$1,0)+1,FALSE)</f>
        <v>ドロップイベント3</v>
      </c>
      <c r="E743" s="5">
        <v>2</v>
      </c>
      <c r="F743" s="3" t="str">
        <f ca="1">VLOOKUP($B743&amp;"_"&amp;$E743,OFFSET([1]stages!$A$1,0,0,COUNTA([1]stages!$A:$A),MATCH(F$1,[1]stages!$2:$2,0)-MATCH("temp_stage",[1]stages!$2:$2,0)+1),MATCH(F$1,[1]stages!$2:$2,0)-MATCH("temp_stage",[1]stages!$2:$2,0)+1,FALSE)</f>
        <v>【中級】罪と劇薬</v>
      </c>
      <c r="G743" s="3" t="str">
        <f ca="1">VLOOKUP($B743&amp;"_"&amp;$E743,OFFSET([1]stages!$A$1,0,0,COUNTA([1]stages!$A:$A),MATCH(G$1,[1]stages!$2:$2,0)-MATCH("temp_stage",[1]stages!$2:$2,0)+1),MATCH(G$1,[1]stages!$2:$2,0)-MATCH("temp_stage",[1]stages!$2:$2,0)+1,FALSE)</f>
        <v>ドロップイベント3</v>
      </c>
      <c r="H743" s="18">
        <v>0</v>
      </c>
      <c r="I743">
        <v>33</v>
      </c>
      <c r="J743" s="5" t="s">
        <v>16</v>
      </c>
      <c r="K743" s="35" t="str">
        <f>VLOOKUP(I743,[2]stage_hints!$A:$C,3,FALSE)</f>
        <v>敵のカウンター攻撃には</v>
      </c>
      <c r="L743" s="36" t="str">
        <f>VLOOKUP(I743,[2]stage_hints!$A:$D,4,FALSE)</f>
        <v>カウンターブレイクスキルを持っていれば_x000D_敵のカウンターを解除して攻撃ができます</v>
      </c>
      <c r="M743" s="21" t="s">
        <v>23</v>
      </c>
      <c r="N743">
        <v>33</v>
      </c>
    </row>
    <row r="744" spans="1:14" x14ac:dyDescent="0.15">
      <c r="A744" s="26" t="s">
        <v>32</v>
      </c>
      <c r="B744" s="4">
        <v>20012</v>
      </c>
      <c r="C744" s="3" t="str">
        <f ca="1">VLOOKUP($B744,OFFSET([1]quests!$A$1,0,0,COUNTA([1]quests!$A:$A),MATCH(C$1,[1]quests!$1:$1,0)-MATCH($B$1,[1]quests!$1:$1,0)+1),MATCH(C$1,[1]quests!$1:$1,0)-MATCH($B$1,[1]quests!$1:$1,0)+1,FALSE)</f>
        <v>罪と劇薬</v>
      </c>
      <c r="D744" s="3" t="str">
        <f ca="1">VLOOKUP($B744,OFFSET([1]quests!$A$1,0,0,COUNTA([1]quests!$A:$A),MATCH(D$1,[1]quests!$1:$1,0)-MATCH($B$1,[1]quests!$1:$1,0)+1),MATCH(D$1,[1]quests!$1:$1,0)-MATCH($B$1,[1]quests!$1:$1,0)+1,FALSE)</f>
        <v>ドロップイベント3</v>
      </c>
      <c r="E744" s="5">
        <v>2</v>
      </c>
      <c r="F744" s="3" t="str">
        <f ca="1">VLOOKUP($B744&amp;"_"&amp;$E744,OFFSET([1]stages!$A$1,0,0,COUNTA([1]stages!$A:$A),MATCH(F$1,[1]stages!$2:$2,0)-MATCH("temp_stage",[1]stages!$2:$2,0)+1),MATCH(F$1,[1]stages!$2:$2,0)-MATCH("temp_stage",[1]stages!$2:$2,0)+1,FALSE)</f>
        <v>【中級】罪と劇薬</v>
      </c>
      <c r="G744" s="3" t="str">
        <f ca="1">VLOOKUP($B744&amp;"_"&amp;$E744,OFFSET([1]stages!$A$1,0,0,COUNTA([1]stages!$A:$A),MATCH(G$1,[1]stages!$2:$2,0)-MATCH("temp_stage",[1]stages!$2:$2,0)+1),MATCH(G$1,[1]stages!$2:$2,0)-MATCH("temp_stage",[1]stages!$2:$2,0)+1,FALSE)</f>
        <v>ドロップイベント3</v>
      </c>
      <c r="H744" s="18">
        <v>0</v>
      </c>
      <c r="I744">
        <v>34</v>
      </c>
      <c r="J744" s="5" t="s">
        <v>16</v>
      </c>
      <c r="K744" s="35" t="str">
        <f>VLOOKUP(I744,[2]stage_hints!$A:$C,3,FALSE)</f>
        <v>ステータスをスキルで下げられたら</v>
      </c>
      <c r="L744" s="36" t="str">
        <f>VLOOKUP(I744,[2]stage_hints!$A:$D,4,FALSE)</f>
        <v>ステータスダウンのスキルを受けたら_x000D_ステータスアップスキルで上書きしましょう</v>
      </c>
      <c r="M744" s="21" t="s">
        <v>23</v>
      </c>
      <c r="N744">
        <v>34</v>
      </c>
    </row>
    <row r="745" spans="1:14" x14ac:dyDescent="0.15">
      <c r="A745" s="26" t="s">
        <v>32</v>
      </c>
      <c r="B745" s="4">
        <v>20012</v>
      </c>
      <c r="C745" s="3" t="str">
        <f ca="1">VLOOKUP($B745,OFFSET([1]quests!$A$1,0,0,COUNTA([1]quests!$A:$A),MATCH(C$1,[1]quests!$1:$1,0)-MATCH($B$1,[1]quests!$1:$1,0)+1),MATCH(C$1,[1]quests!$1:$1,0)-MATCH($B$1,[1]quests!$1:$1,0)+1,FALSE)</f>
        <v>罪と劇薬</v>
      </c>
      <c r="D745" s="3" t="str">
        <f ca="1">VLOOKUP($B745,OFFSET([1]quests!$A$1,0,0,COUNTA([1]quests!$A:$A),MATCH(D$1,[1]quests!$1:$1,0)-MATCH($B$1,[1]quests!$1:$1,0)+1),MATCH(D$1,[1]quests!$1:$1,0)-MATCH($B$1,[1]quests!$1:$1,0)+1,FALSE)</f>
        <v>ドロップイベント3</v>
      </c>
      <c r="E745" s="5">
        <v>2</v>
      </c>
      <c r="F745" s="3" t="str">
        <f ca="1">VLOOKUP($B745&amp;"_"&amp;$E745,OFFSET([1]stages!$A$1,0,0,COUNTA([1]stages!$A:$A),MATCH(F$1,[1]stages!$2:$2,0)-MATCH("temp_stage",[1]stages!$2:$2,0)+1),MATCH(F$1,[1]stages!$2:$2,0)-MATCH("temp_stage",[1]stages!$2:$2,0)+1,FALSE)</f>
        <v>【中級】罪と劇薬</v>
      </c>
      <c r="G745" s="3" t="str">
        <f ca="1">VLOOKUP($B745&amp;"_"&amp;$E745,OFFSET([1]stages!$A$1,0,0,COUNTA([1]stages!$A:$A),MATCH(G$1,[1]stages!$2:$2,0)-MATCH("temp_stage",[1]stages!$2:$2,0)+1),MATCH(G$1,[1]stages!$2:$2,0)-MATCH("temp_stage",[1]stages!$2:$2,0)+1,FALSE)</f>
        <v>ドロップイベント3</v>
      </c>
      <c r="H745" s="18">
        <v>0</v>
      </c>
      <c r="I745">
        <v>35</v>
      </c>
      <c r="J745" s="5" t="s">
        <v>16</v>
      </c>
      <c r="K745" s="35" t="str">
        <f>VLOOKUP(I745,[2]stage_hints!$A:$C,3,FALSE)</f>
        <v>敵のステータスがスキルで上がったら</v>
      </c>
      <c r="L745" s="36" t="str">
        <f>VLOOKUP(I745,[2]stage_hints!$A:$D,4,FALSE)</f>
        <v>敵のステータスがスキルでアップしたときは_x000D_ステータスダウンスキルで上書きしましょう</v>
      </c>
      <c r="M745" s="21" t="s">
        <v>23</v>
      </c>
      <c r="N745">
        <v>35</v>
      </c>
    </row>
    <row r="746" spans="1:14" x14ac:dyDescent="0.15">
      <c r="A746" s="26" t="s">
        <v>32</v>
      </c>
      <c r="B746" s="4">
        <v>30001</v>
      </c>
      <c r="C746" s="3" t="str">
        <f ca="1">VLOOKUP($B746,OFFSET([1]quests!$A$1,0,0,COUNTA([1]quests!$A:$A),MATCH(C$1,[1]quests!$1:$1,0)-MATCH($B$1,[1]quests!$1:$1,0)+1),MATCH(C$1,[1]quests!$1:$1,0)-MATCH($B$1,[1]quests!$1:$1,0)+1,FALSE)</f>
        <v>ハンター・オブ・ハンター</v>
      </c>
      <c r="D746" s="3" t="str">
        <f ca="1">VLOOKUP($B746,OFFSET([1]quests!$A$1,0,0,COUNTA([1]quests!$A:$A),MATCH(D$1,[1]quests!$1:$1,0)-MATCH($B$1,[1]quests!$1:$1,0)+1),MATCH(D$1,[1]quests!$1:$1,0)-MATCH($B$1,[1]quests!$1:$1,0)+1,FALSE)</f>
        <v>ドロップイベント1-1（マルチ専用）</v>
      </c>
      <c r="E746" s="5">
        <v>1</v>
      </c>
      <c r="F746" s="3" t="str">
        <f ca="1">VLOOKUP($B746&amp;"_"&amp;$E746,OFFSET([1]stages!$A$1,0,0,COUNTA([1]stages!$A:$A),MATCH(F$1,[1]stages!$2:$2,0)-MATCH("temp_stage",[1]stages!$2:$2,0)+1),MATCH(F$1,[1]stages!$2:$2,0)-MATCH("temp_stage",[1]stages!$2:$2,0)+1,FALSE)</f>
        <v xml:space="preserve">【中級】ハンター・オブ・ハンター </v>
      </c>
      <c r="G746" s="3" t="str">
        <f ca="1">VLOOKUP($B746&amp;"_"&amp;$E746,OFFSET([1]stages!$A$1,0,0,COUNTA([1]stages!$A:$A),MATCH(G$1,[1]stages!$2:$2,0)-MATCH("temp_stage",[1]stages!$2:$2,0)+1),MATCH(G$1,[1]stages!$2:$2,0)-MATCH("temp_stage",[1]stages!$2:$2,0)+1,FALSE)</f>
        <v>ドロップイベント1-1（マルチ専用）</v>
      </c>
      <c r="H746" s="18">
        <v>0</v>
      </c>
      <c r="I746">
        <v>3</v>
      </c>
      <c r="J746" s="5" t="s">
        <v>16</v>
      </c>
      <c r="K746" s="35" t="str">
        <f>VLOOKUP(I746,[2]stage_hints!$A:$C,3,FALSE)</f>
        <v>ターゲット</v>
      </c>
      <c r="L746" s="36" t="str">
        <f>VLOOKUP(I746,[2]stage_hints!$A:$D,4,FALSE)</f>
        <v>敵ユニットをタップすると_x000D_その敵を狙い撃ちできます</v>
      </c>
      <c r="M746" s="21" t="s">
        <v>23</v>
      </c>
      <c r="N746">
        <v>3</v>
      </c>
    </row>
    <row r="747" spans="1:14" x14ac:dyDescent="0.15">
      <c r="A747" s="26" t="s">
        <v>32</v>
      </c>
      <c r="B747" s="4">
        <v>30001</v>
      </c>
      <c r="C747" s="3" t="str">
        <f ca="1">VLOOKUP($B747,OFFSET([1]quests!$A$1,0,0,COUNTA([1]quests!$A:$A),MATCH(C$1,[1]quests!$1:$1,0)-MATCH($B$1,[1]quests!$1:$1,0)+1),MATCH(C$1,[1]quests!$1:$1,0)-MATCH($B$1,[1]quests!$1:$1,0)+1,FALSE)</f>
        <v>ハンター・オブ・ハンター</v>
      </c>
      <c r="D747" s="3" t="str">
        <f ca="1">VLOOKUP($B747,OFFSET([1]quests!$A$1,0,0,COUNTA([1]quests!$A:$A),MATCH(D$1,[1]quests!$1:$1,0)-MATCH($B$1,[1]quests!$1:$1,0)+1),MATCH(D$1,[1]quests!$1:$1,0)-MATCH($B$1,[1]quests!$1:$1,0)+1,FALSE)</f>
        <v>ドロップイベント1-1（マルチ専用）</v>
      </c>
      <c r="E747" s="5">
        <v>1</v>
      </c>
      <c r="F747" s="3" t="str">
        <f ca="1">VLOOKUP($B747&amp;"_"&amp;$E747,OFFSET([1]stages!$A$1,0,0,COUNTA([1]stages!$A:$A),MATCH(F$1,[1]stages!$2:$2,0)-MATCH("temp_stage",[1]stages!$2:$2,0)+1),MATCH(F$1,[1]stages!$2:$2,0)-MATCH("temp_stage",[1]stages!$2:$2,0)+1,FALSE)</f>
        <v xml:space="preserve">【中級】ハンター・オブ・ハンター </v>
      </c>
      <c r="G747" s="3" t="str">
        <f ca="1">VLOOKUP($B747&amp;"_"&amp;$E747,OFFSET([1]stages!$A$1,0,0,COUNTA([1]stages!$A:$A),MATCH(G$1,[1]stages!$2:$2,0)-MATCH("temp_stage",[1]stages!$2:$2,0)+1),MATCH(G$1,[1]stages!$2:$2,0)-MATCH("temp_stage",[1]stages!$2:$2,0)+1,FALSE)</f>
        <v>ドロップイベント1-1（マルチ専用）</v>
      </c>
      <c r="H747" s="18">
        <v>0</v>
      </c>
      <c r="I747">
        <v>6</v>
      </c>
      <c r="J747" s="5" t="s">
        <v>16</v>
      </c>
      <c r="K747" s="35" t="str">
        <f>VLOOKUP(I747,[2]stage_hints!$A:$C,3,FALSE)</f>
        <v>ユニット強化の属性ボーナス</v>
      </c>
      <c r="L747" s="36" t="str">
        <f>VLOOKUP(I747,[2]stage_hints!$A:$D,4,FALSE)</f>
        <v>同属性ユニットを強化素材にすると_x000D_経験値が多くもらえます</v>
      </c>
      <c r="M747" s="21" t="s">
        <v>23</v>
      </c>
      <c r="N747">
        <v>6</v>
      </c>
    </row>
    <row r="748" spans="1:14" x14ac:dyDescent="0.15">
      <c r="A748" s="26" t="s">
        <v>32</v>
      </c>
      <c r="B748" s="4">
        <v>30001</v>
      </c>
      <c r="C748" s="3" t="str">
        <f ca="1">VLOOKUP($B748,OFFSET([1]quests!$A$1,0,0,COUNTA([1]quests!$A:$A),MATCH(C$1,[1]quests!$1:$1,0)-MATCH($B$1,[1]quests!$1:$1,0)+1),MATCH(C$1,[1]quests!$1:$1,0)-MATCH($B$1,[1]quests!$1:$1,0)+1,FALSE)</f>
        <v>ハンター・オブ・ハンター</v>
      </c>
      <c r="D748" s="3" t="str">
        <f ca="1">VLOOKUP($B748,OFFSET([1]quests!$A$1,0,0,COUNTA([1]quests!$A:$A),MATCH(D$1,[1]quests!$1:$1,0)-MATCH($B$1,[1]quests!$1:$1,0)+1),MATCH(D$1,[1]quests!$1:$1,0)-MATCH($B$1,[1]quests!$1:$1,0)+1,FALSE)</f>
        <v>ドロップイベント1-1（マルチ専用）</v>
      </c>
      <c r="E748" s="5">
        <v>1</v>
      </c>
      <c r="F748" s="3" t="str">
        <f ca="1">VLOOKUP($B748&amp;"_"&amp;$E748,OFFSET([1]stages!$A$1,0,0,COUNTA([1]stages!$A:$A),MATCH(F$1,[1]stages!$2:$2,0)-MATCH("temp_stage",[1]stages!$2:$2,0)+1),MATCH(F$1,[1]stages!$2:$2,0)-MATCH("temp_stage",[1]stages!$2:$2,0)+1,FALSE)</f>
        <v xml:space="preserve">【中級】ハンター・オブ・ハンター </v>
      </c>
      <c r="G748" s="3" t="str">
        <f ca="1">VLOOKUP($B748&amp;"_"&amp;$E748,OFFSET([1]stages!$A$1,0,0,COUNTA([1]stages!$A:$A),MATCH(G$1,[1]stages!$2:$2,0)-MATCH("temp_stage",[1]stages!$2:$2,0)+1),MATCH(G$1,[1]stages!$2:$2,0)-MATCH("temp_stage",[1]stages!$2:$2,0)+1,FALSE)</f>
        <v>ドロップイベント1-1（マルチ専用）</v>
      </c>
      <c r="H748" s="18">
        <v>0</v>
      </c>
      <c r="I748">
        <v>7</v>
      </c>
      <c r="J748" s="5" t="s">
        <v>16</v>
      </c>
      <c r="K748" s="35" t="str">
        <f>VLOOKUP(I748,[2]stage_hints!$A:$C,3,FALSE)</f>
        <v>メタルダックで経験値を獲得</v>
      </c>
      <c r="L748" s="36" t="str">
        <f>VLOOKUP(I748,[2]stage_hints!$A:$D,4,FALSE)</f>
        <v>「メタルなアヒル」を強化素材にすると_x000D_大量の経験値がもらえます</v>
      </c>
      <c r="M748" s="21" t="s">
        <v>23</v>
      </c>
      <c r="N748">
        <v>7</v>
      </c>
    </row>
    <row r="749" spans="1:14" x14ac:dyDescent="0.15">
      <c r="A749" s="26" t="s">
        <v>32</v>
      </c>
      <c r="B749" s="4">
        <v>30001</v>
      </c>
      <c r="C749" s="3" t="str">
        <f ca="1">VLOOKUP($B749,OFFSET([1]quests!$A$1,0,0,COUNTA([1]quests!$A:$A),MATCH(C$1,[1]quests!$1:$1,0)-MATCH($B$1,[1]quests!$1:$1,0)+1),MATCH(C$1,[1]quests!$1:$1,0)-MATCH($B$1,[1]quests!$1:$1,0)+1,FALSE)</f>
        <v>ハンター・オブ・ハンター</v>
      </c>
      <c r="D749" s="3" t="str">
        <f ca="1">VLOOKUP($B749,OFFSET([1]quests!$A$1,0,0,COUNTA([1]quests!$A:$A),MATCH(D$1,[1]quests!$1:$1,0)-MATCH($B$1,[1]quests!$1:$1,0)+1),MATCH(D$1,[1]quests!$1:$1,0)-MATCH($B$1,[1]quests!$1:$1,0)+1,FALSE)</f>
        <v>ドロップイベント1-1（マルチ専用）</v>
      </c>
      <c r="E749" s="5">
        <v>1</v>
      </c>
      <c r="F749" s="3" t="str">
        <f ca="1">VLOOKUP($B749&amp;"_"&amp;$E749,OFFSET([1]stages!$A$1,0,0,COUNTA([1]stages!$A:$A),MATCH(F$1,[1]stages!$2:$2,0)-MATCH("temp_stage",[1]stages!$2:$2,0)+1),MATCH(F$1,[1]stages!$2:$2,0)-MATCH("temp_stage",[1]stages!$2:$2,0)+1,FALSE)</f>
        <v xml:space="preserve">【中級】ハンター・オブ・ハンター </v>
      </c>
      <c r="G749" s="3" t="str">
        <f ca="1">VLOOKUP($B749&amp;"_"&amp;$E749,OFFSET([1]stages!$A$1,0,0,COUNTA([1]stages!$A:$A),MATCH(G$1,[1]stages!$2:$2,0)-MATCH("temp_stage",[1]stages!$2:$2,0)+1),MATCH(G$1,[1]stages!$2:$2,0)-MATCH("temp_stage",[1]stages!$2:$2,0)+1,FALSE)</f>
        <v>ドロップイベント1-1（マルチ専用）</v>
      </c>
      <c r="H749" s="18">
        <v>0</v>
      </c>
      <c r="I749">
        <v>8</v>
      </c>
      <c r="J749" s="5" t="s">
        <v>16</v>
      </c>
      <c r="K749" s="35" t="str">
        <f>VLOOKUP(I749,[2]stage_hints!$A:$C,3,FALSE)</f>
        <v>ゲリラクエストは要チェック</v>
      </c>
      <c r="L749" s="36" t="str">
        <f>VLOOKUP(I749,[2]stage_hints!$A:$D,4,FALSE)</f>
        <v>時間限定の「アヒル捕獲作戦」では_x000D_経験値素材ユニットが多く手に入ります</v>
      </c>
      <c r="M749" s="21" t="s">
        <v>23</v>
      </c>
      <c r="N749">
        <v>8</v>
      </c>
    </row>
    <row r="750" spans="1:14" x14ac:dyDescent="0.15">
      <c r="A750" s="26" t="s">
        <v>32</v>
      </c>
      <c r="B750" s="4">
        <v>30001</v>
      </c>
      <c r="C750" s="3" t="str">
        <f ca="1">VLOOKUP($B750,OFFSET([1]quests!$A$1,0,0,COUNTA([1]quests!$A:$A),MATCH(C$1,[1]quests!$1:$1,0)-MATCH($B$1,[1]quests!$1:$1,0)+1),MATCH(C$1,[1]quests!$1:$1,0)-MATCH($B$1,[1]quests!$1:$1,0)+1,FALSE)</f>
        <v>ハンター・オブ・ハンター</v>
      </c>
      <c r="D750" s="3" t="str">
        <f ca="1">VLOOKUP($B750,OFFSET([1]quests!$A$1,0,0,COUNTA([1]quests!$A:$A),MATCH(D$1,[1]quests!$1:$1,0)-MATCH($B$1,[1]quests!$1:$1,0)+1),MATCH(D$1,[1]quests!$1:$1,0)-MATCH($B$1,[1]quests!$1:$1,0)+1,FALSE)</f>
        <v>ドロップイベント1-1（マルチ専用）</v>
      </c>
      <c r="E750" s="5">
        <v>1</v>
      </c>
      <c r="F750" s="3" t="str">
        <f ca="1">VLOOKUP($B750&amp;"_"&amp;$E750,OFFSET([1]stages!$A$1,0,0,COUNTA([1]stages!$A:$A),MATCH(F$1,[1]stages!$2:$2,0)-MATCH("temp_stage",[1]stages!$2:$2,0)+1),MATCH(F$1,[1]stages!$2:$2,0)-MATCH("temp_stage",[1]stages!$2:$2,0)+1,FALSE)</f>
        <v xml:space="preserve">【中級】ハンター・オブ・ハンター </v>
      </c>
      <c r="G750" s="3" t="str">
        <f ca="1">VLOOKUP($B750&amp;"_"&amp;$E750,OFFSET([1]stages!$A$1,0,0,COUNTA([1]stages!$A:$A),MATCH(G$1,[1]stages!$2:$2,0)-MATCH("temp_stage",[1]stages!$2:$2,0)+1),MATCH(G$1,[1]stages!$2:$2,0)-MATCH("temp_stage",[1]stages!$2:$2,0)+1,FALSE)</f>
        <v>ドロップイベント1-1（マルチ専用）</v>
      </c>
      <c r="H750" s="18">
        <v>0</v>
      </c>
      <c r="I750">
        <v>9</v>
      </c>
      <c r="J750" s="5" t="s">
        <v>16</v>
      </c>
      <c r="K750" s="35" t="str">
        <f>VLOOKUP(I750,[2]stage_hints!$A:$C,3,FALSE)</f>
        <v>ゴールドダックでビットを獲得</v>
      </c>
      <c r="L750" s="36" t="str">
        <f>VLOOKUP(I750,[2]stage_hints!$A:$D,4,FALSE)</f>
        <v>「ゴールドなアヒル」を売却すると_x000D_大量のビットがもらえます</v>
      </c>
      <c r="M750" s="21" t="s">
        <v>23</v>
      </c>
      <c r="N750">
        <v>9</v>
      </c>
    </row>
    <row r="751" spans="1:14" x14ac:dyDescent="0.15">
      <c r="A751" s="26" t="s">
        <v>32</v>
      </c>
      <c r="B751" s="4">
        <v>30001</v>
      </c>
      <c r="C751" s="3" t="str">
        <f ca="1">VLOOKUP($B751,OFFSET([1]quests!$A$1,0,0,COUNTA([1]quests!$A:$A),MATCH(C$1,[1]quests!$1:$1,0)-MATCH($B$1,[1]quests!$1:$1,0)+1),MATCH(C$1,[1]quests!$1:$1,0)-MATCH($B$1,[1]quests!$1:$1,0)+1,FALSE)</f>
        <v>ハンター・オブ・ハンター</v>
      </c>
      <c r="D751" s="3" t="str">
        <f ca="1">VLOOKUP($B751,OFFSET([1]quests!$A$1,0,0,COUNTA([1]quests!$A:$A),MATCH(D$1,[1]quests!$1:$1,0)-MATCH($B$1,[1]quests!$1:$1,0)+1),MATCH(D$1,[1]quests!$1:$1,0)-MATCH($B$1,[1]quests!$1:$1,0)+1,FALSE)</f>
        <v>ドロップイベント1-1（マルチ専用）</v>
      </c>
      <c r="E751" s="5">
        <v>1</v>
      </c>
      <c r="F751" s="3" t="str">
        <f ca="1">VLOOKUP($B751&amp;"_"&amp;$E751,OFFSET([1]stages!$A$1,0,0,COUNTA([1]stages!$A:$A),MATCH(F$1,[1]stages!$2:$2,0)-MATCH("temp_stage",[1]stages!$2:$2,0)+1),MATCH(F$1,[1]stages!$2:$2,0)-MATCH("temp_stage",[1]stages!$2:$2,0)+1,FALSE)</f>
        <v xml:space="preserve">【中級】ハンター・オブ・ハンター </v>
      </c>
      <c r="G751" s="3" t="str">
        <f ca="1">VLOOKUP($B751&amp;"_"&amp;$E751,OFFSET([1]stages!$A$1,0,0,COUNTA([1]stages!$A:$A),MATCH(G$1,[1]stages!$2:$2,0)-MATCH("temp_stage",[1]stages!$2:$2,0)+1),MATCH(G$1,[1]stages!$2:$2,0)-MATCH("temp_stage",[1]stages!$2:$2,0)+1,FALSE)</f>
        <v>ドロップイベント1-1（マルチ専用）</v>
      </c>
      <c r="H751" s="18">
        <v>0</v>
      </c>
      <c r="I751">
        <v>10</v>
      </c>
      <c r="J751" s="5" t="s">
        <v>16</v>
      </c>
      <c r="K751" s="35" t="str">
        <f>VLOOKUP(I751,[2]stage_hints!$A:$C,3,FALSE)</f>
        <v>土日に大量のビットを獲得</v>
      </c>
      <c r="L751" s="36" t="str">
        <f>VLOOKUP(I751,[2]stage_hints!$A:$D,4,FALSE)</f>
        <v>土日限定の「ゴールドカジノ」では_x000D_売却素材ユニットが多く手に入ります</v>
      </c>
      <c r="M751" s="21" t="s">
        <v>23</v>
      </c>
      <c r="N751">
        <v>10</v>
      </c>
    </row>
    <row r="752" spans="1:14" x14ac:dyDescent="0.15">
      <c r="A752" s="26" t="s">
        <v>32</v>
      </c>
      <c r="B752" s="4">
        <v>30001</v>
      </c>
      <c r="C752" s="3" t="str">
        <f ca="1">VLOOKUP($B752,OFFSET([1]quests!$A$1,0,0,COUNTA([1]quests!$A:$A),MATCH(C$1,[1]quests!$1:$1,0)-MATCH($B$1,[1]quests!$1:$1,0)+1),MATCH(C$1,[1]quests!$1:$1,0)-MATCH($B$1,[1]quests!$1:$1,0)+1,FALSE)</f>
        <v>ハンター・オブ・ハンター</v>
      </c>
      <c r="D752" s="3" t="str">
        <f ca="1">VLOOKUP($B752,OFFSET([1]quests!$A$1,0,0,COUNTA([1]quests!$A:$A),MATCH(D$1,[1]quests!$1:$1,0)-MATCH($B$1,[1]quests!$1:$1,0)+1),MATCH(D$1,[1]quests!$1:$1,0)-MATCH($B$1,[1]quests!$1:$1,0)+1,FALSE)</f>
        <v>ドロップイベント1-1（マルチ専用）</v>
      </c>
      <c r="E752" s="5">
        <v>1</v>
      </c>
      <c r="F752" s="3" t="str">
        <f ca="1">VLOOKUP($B752&amp;"_"&amp;$E752,OFFSET([1]stages!$A$1,0,0,COUNTA([1]stages!$A:$A),MATCH(F$1,[1]stages!$2:$2,0)-MATCH("temp_stage",[1]stages!$2:$2,0)+1),MATCH(F$1,[1]stages!$2:$2,0)-MATCH("temp_stage",[1]stages!$2:$2,0)+1,FALSE)</f>
        <v xml:space="preserve">【中級】ハンター・オブ・ハンター </v>
      </c>
      <c r="G752" s="3" t="str">
        <f ca="1">VLOOKUP($B752&amp;"_"&amp;$E752,OFFSET([1]stages!$A$1,0,0,COUNTA([1]stages!$A:$A),MATCH(G$1,[1]stages!$2:$2,0)-MATCH("temp_stage",[1]stages!$2:$2,0)+1),MATCH(G$1,[1]stages!$2:$2,0)-MATCH("temp_stage",[1]stages!$2:$2,0)+1,FALSE)</f>
        <v>ドロップイベント1-1（マルチ専用）</v>
      </c>
      <c r="H752" s="18">
        <v>0</v>
      </c>
      <c r="I752">
        <v>11</v>
      </c>
      <c r="J752" s="5" t="s">
        <v>16</v>
      </c>
      <c r="K752" s="35" t="str">
        <f>VLOOKUP(I752,[2]stage_hints!$A:$C,3,FALSE)</f>
        <v>ランク解放クエスト</v>
      </c>
      <c r="L752" s="36" t="str">
        <f>VLOOKUP(I752,[2]stage_hints!$A:$D,4,FALSE)</f>
        <v>一定ランクに到達すると_x000D_報酬付きのランク開放クエストが現れます</v>
      </c>
      <c r="M752" s="21" t="s">
        <v>23</v>
      </c>
      <c r="N752">
        <v>11</v>
      </c>
    </row>
    <row r="753" spans="1:14" x14ac:dyDescent="0.15">
      <c r="A753" s="26" t="s">
        <v>32</v>
      </c>
      <c r="B753" s="4">
        <v>30001</v>
      </c>
      <c r="C753" s="3" t="str">
        <f ca="1">VLOOKUP($B753,OFFSET([1]quests!$A$1,0,0,COUNTA([1]quests!$A:$A),MATCH(C$1,[1]quests!$1:$1,0)-MATCH($B$1,[1]quests!$1:$1,0)+1),MATCH(C$1,[1]quests!$1:$1,0)-MATCH($B$1,[1]quests!$1:$1,0)+1,FALSE)</f>
        <v>ハンター・オブ・ハンター</v>
      </c>
      <c r="D753" s="3" t="str">
        <f ca="1">VLOOKUP($B753,OFFSET([1]quests!$A$1,0,0,COUNTA([1]quests!$A:$A),MATCH(D$1,[1]quests!$1:$1,0)-MATCH($B$1,[1]quests!$1:$1,0)+1),MATCH(D$1,[1]quests!$1:$1,0)-MATCH($B$1,[1]quests!$1:$1,0)+1,FALSE)</f>
        <v>ドロップイベント1-1（マルチ専用）</v>
      </c>
      <c r="E753" s="5">
        <v>1</v>
      </c>
      <c r="F753" s="3" t="str">
        <f ca="1">VLOOKUP($B753&amp;"_"&amp;$E753,OFFSET([1]stages!$A$1,0,0,COUNTA([1]stages!$A:$A),MATCH(F$1,[1]stages!$2:$2,0)-MATCH("temp_stage",[1]stages!$2:$2,0)+1),MATCH(F$1,[1]stages!$2:$2,0)-MATCH("temp_stage",[1]stages!$2:$2,0)+1,FALSE)</f>
        <v xml:space="preserve">【中級】ハンター・オブ・ハンター </v>
      </c>
      <c r="G753" s="3" t="str">
        <f ca="1">VLOOKUP($B753&amp;"_"&amp;$E753,OFFSET([1]stages!$A$1,0,0,COUNTA([1]stages!$A:$A),MATCH(G$1,[1]stages!$2:$2,0)-MATCH("temp_stage",[1]stages!$2:$2,0)+1),MATCH(G$1,[1]stages!$2:$2,0)-MATCH("temp_stage",[1]stages!$2:$2,0)+1,FALSE)</f>
        <v>ドロップイベント1-1（マルチ専用）</v>
      </c>
      <c r="H753" s="18">
        <v>0</v>
      </c>
      <c r="I753">
        <v>12</v>
      </c>
      <c r="J753" s="5" t="s">
        <v>16</v>
      </c>
      <c r="K753" s="35" t="str">
        <f>VLOOKUP(I753,[2]stage_hints!$A:$C,3,FALSE)</f>
        <v>ユニットのお気に入り登録</v>
      </c>
      <c r="L753" s="36" t="str">
        <f>VLOOKUP(I753,[2]stage_hints!$A:$D,4,FALSE)</f>
        <v>大事なユニットを誤って消さないように_x000D_フォルダから「お気に入り登録」しましょう</v>
      </c>
      <c r="M753" s="21" t="s">
        <v>23</v>
      </c>
      <c r="N753">
        <v>12</v>
      </c>
    </row>
    <row r="754" spans="1:14" x14ac:dyDescent="0.15">
      <c r="A754" s="26" t="s">
        <v>32</v>
      </c>
      <c r="B754" s="4">
        <v>30001</v>
      </c>
      <c r="C754" s="3" t="str">
        <f ca="1">VLOOKUP($B754,OFFSET([1]quests!$A$1,0,0,COUNTA([1]quests!$A:$A),MATCH(C$1,[1]quests!$1:$1,0)-MATCH($B$1,[1]quests!$1:$1,0)+1),MATCH(C$1,[1]quests!$1:$1,0)-MATCH($B$1,[1]quests!$1:$1,0)+1,FALSE)</f>
        <v>ハンター・オブ・ハンター</v>
      </c>
      <c r="D754" s="3" t="str">
        <f ca="1">VLOOKUP($B754,OFFSET([1]quests!$A$1,0,0,COUNTA([1]quests!$A:$A),MATCH(D$1,[1]quests!$1:$1,0)-MATCH($B$1,[1]quests!$1:$1,0)+1),MATCH(D$1,[1]quests!$1:$1,0)-MATCH($B$1,[1]quests!$1:$1,0)+1,FALSE)</f>
        <v>ドロップイベント1-1（マルチ専用）</v>
      </c>
      <c r="E754" s="5">
        <v>1</v>
      </c>
      <c r="F754" s="3" t="str">
        <f ca="1">VLOOKUP($B754&amp;"_"&amp;$E754,OFFSET([1]stages!$A$1,0,0,COUNTA([1]stages!$A:$A),MATCH(F$1,[1]stages!$2:$2,0)-MATCH("temp_stage",[1]stages!$2:$2,0)+1),MATCH(F$1,[1]stages!$2:$2,0)-MATCH("temp_stage",[1]stages!$2:$2,0)+1,FALSE)</f>
        <v xml:space="preserve">【中級】ハンター・オブ・ハンター </v>
      </c>
      <c r="G754" s="3" t="str">
        <f ca="1">VLOOKUP($B754&amp;"_"&amp;$E754,OFFSET([1]stages!$A$1,0,0,COUNTA([1]stages!$A:$A),MATCH(G$1,[1]stages!$2:$2,0)-MATCH("temp_stage",[1]stages!$2:$2,0)+1),MATCH(G$1,[1]stages!$2:$2,0)-MATCH("temp_stage",[1]stages!$2:$2,0)+1,FALSE)</f>
        <v>ドロップイベント1-1（マルチ専用）</v>
      </c>
      <c r="H754" s="18">
        <v>0</v>
      </c>
      <c r="I754">
        <v>13</v>
      </c>
      <c r="J754" s="5" t="s">
        <v>16</v>
      </c>
      <c r="K754" s="35" t="str">
        <f>VLOOKUP(I754,[2]stage_hints!$A:$C,3,FALSE)</f>
        <v>ユニットの覚醒</v>
      </c>
      <c r="L754" s="36" t="str">
        <f>VLOOKUP(I754,[2]stage_hints!$A:$D,4,FALSE)</f>
        <v>ユニットを覚醒させると_x000D_比べものにならない強さが手に入ります</v>
      </c>
      <c r="M754" s="21" t="s">
        <v>23</v>
      </c>
      <c r="N754">
        <v>13</v>
      </c>
    </row>
    <row r="755" spans="1:14" x14ac:dyDescent="0.15">
      <c r="A755" s="26" t="s">
        <v>32</v>
      </c>
      <c r="B755" s="4">
        <v>30001</v>
      </c>
      <c r="C755" s="3" t="str">
        <f ca="1">VLOOKUP($B755,OFFSET([1]quests!$A$1,0,0,COUNTA([1]quests!$A:$A),MATCH(C$1,[1]quests!$1:$1,0)-MATCH($B$1,[1]quests!$1:$1,0)+1),MATCH(C$1,[1]quests!$1:$1,0)-MATCH($B$1,[1]quests!$1:$1,0)+1,FALSE)</f>
        <v>ハンター・オブ・ハンター</v>
      </c>
      <c r="D755" s="3" t="str">
        <f ca="1">VLOOKUP($B755,OFFSET([1]quests!$A$1,0,0,COUNTA([1]quests!$A:$A),MATCH(D$1,[1]quests!$1:$1,0)-MATCH($B$1,[1]quests!$1:$1,0)+1),MATCH(D$1,[1]quests!$1:$1,0)-MATCH($B$1,[1]quests!$1:$1,0)+1,FALSE)</f>
        <v>ドロップイベント1-1（マルチ専用）</v>
      </c>
      <c r="E755" s="5">
        <v>1</v>
      </c>
      <c r="F755" s="3" t="str">
        <f ca="1">VLOOKUP($B755&amp;"_"&amp;$E755,OFFSET([1]stages!$A$1,0,0,COUNTA([1]stages!$A:$A),MATCH(F$1,[1]stages!$2:$2,0)-MATCH("temp_stage",[1]stages!$2:$2,0)+1),MATCH(F$1,[1]stages!$2:$2,0)-MATCH("temp_stage",[1]stages!$2:$2,0)+1,FALSE)</f>
        <v xml:space="preserve">【中級】ハンター・オブ・ハンター </v>
      </c>
      <c r="G755" s="3" t="str">
        <f ca="1">VLOOKUP($B755&amp;"_"&amp;$E755,OFFSET([1]stages!$A$1,0,0,COUNTA([1]stages!$A:$A),MATCH(G$1,[1]stages!$2:$2,0)-MATCH("temp_stage",[1]stages!$2:$2,0)+1),MATCH(G$1,[1]stages!$2:$2,0)-MATCH("temp_stage",[1]stages!$2:$2,0)+1,FALSE)</f>
        <v>ドロップイベント1-1（マルチ専用）</v>
      </c>
      <c r="H755" s="18">
        <v>0</v>
      </c>
      <c r="I755">
        <v>14</v>
      </c>
      <c r="J755" s="5" t="s">
        <v>16</v>
      </c>
      <c r="K755" s="35" t="str">
        <f>VLOOKUP(I755,[2]stage_hints!$A:$C,3,FALSE)</f>
        <v>覚醒するにはレベルを最大に</v>
      </c>
      <c r="L755" s="36" t="str">
        <f>VLOOKUP(I755,[2]stage_hints!$A:$D,4,FALSE)</f>
        <v>覚醒するにはユニットのレベルを_x000D_最大まで上げる必要があります</v>
      </c>
      <c r="M755" s="21" t="s">
        <v>23</v>
      </c>
      <c r="N755">
        <v>14</v>
      </c>
    </row>
    <row r="756" spans="1:14" x14ac:dyDescent="0.15">
      <c r="A756" s="26" t="s">
        <v>32</v>
      </c>
      <c r="B756" s="4">
        <v>30001</v>
      </c>
      <c r="C756" s="3" t="str">
        <f ca="1">VLOOKUP($B756,OFFSET([1]quests!$A$1,0,0,COUNTA([1]quests!$A:$A),MATCH(C$1,[1]quests!$1:$1,0)-MATCH($B$1,[1]quests!$1:$1,0)+1),MATCH(C$1,[1]quests!$1:$1,0)-MATCH($B$1,[1]quests!$1:$1,0)+1,FALSE)</f>
        <v>ハンター・オブ・ハンター</v>
      </c>
      <c r="D756" s="3" t="str">
        <f ca="1">VLOOKUP($B756,OFFSET([1]quests!$A$1,0,0,COUNTA([1]quests!$A:$A),MATCH(D$1,[1]quests!$1:$1,0)-MATCH($B$1,[1]quests!$1:$1,0)+1),MATCH(D$1,[1]quests!$1:$1,0)-MATCH($B$1,[1]quests!$1:$1,0)+1,FALSE)</f>
        <v>ドロップイベント1-1（マルチ専用）</v>
      </c>
      <c r="E756" s="5">
        <v>1</v>
      </c>
      <c r="F756" s="3" t="str">
        <f ca="1">VLOOKUP($B756&amp;"_"&amp;$E756,OFFSET([1]stages!$A$1,0,0,COUNTA([1]stages!$A:$A),MATCH(F$1,[1]stages!$2:$2,0)-MATCH("temp_stage",[1]stages!$2:$2,0)+1),MATCH(F$1,[1]stages!$2:$2,0)-MATCH("temp_stage",[1]stages!$2:$2,0)+1,FALSE)</f>
        <v xml:space="preserve">【中級】ハンター・オブ・ハンター </v>
      </c>
      <c r="G756" s="3" t="str">
        <f ca="1">VLOOKUP($B756&amp;"_"&amp;$E756,OFFSET([1]stages!$A$1,0,0,COUNTA([1]stages!$A:$A),MATCH(G$1,[1]stages!$2:$2,0)-MATCH("temp_stage",[1]stages!$2:$2,0)+1),MATCH(G$1,[1]stages!$2:$2,0)-MATCH("temp_stage",[1]stages!$2:$2,0)+1,FALSE)</f>
        <v>ドロップイベント1-1（マルチ専用）</v>
      </c>
      <c r="H756" s="18">
        <v>0</v>
      </c>
      <c r="I756">
        <v>15</v>
      </c>
      <c r="J756" s="5" t="s">
        <v>16</v>
      </c>
      <c r="K756" s="35" t="str">
        <f>VLOOKUP(I756,[2]stage_hints!$A:$C,3,FALSE)</f>
        <v>覚醒素材を獲得</v>
      </c>
      <c r="L756" s="36" t="str">
        <f>VLOOKUP(I756,[2]stage_hints!$A:$D,4,FALSE)</f>
        <v>「曜日クエスト」では_x000D_ユニットの覚醒に必要な素材が手に入ります</v>
      </c>
      <c r="M756" s="21" t="s">
        <v>23</v>
      </c>
      <c r="N756">
        <v>15</v>
      </c>
    </row>
    <row r="757" spans="1:14" x14ac:dyDescent="0.15">
      <c r="A757" s="26" t="s">
        <v>32</v>
      </c>
      <c r="B757" s="4">
        <v>30001</v>
      </c>
      <c r="C757" s="3" t="str">
        <f ca="1">VLOOKUP($B757,OFFSET([1]quests!$A$1,0,0,COUNTA([1]quests!$A:$A),MATCH(C$1,[1]quests!$1:$1,0)-MATCH($B$1,[1]quests!$1:$1,0)+1),MATCH(C$1,[1]quests!$1:$1,0)-MATCH($B$1,[1]quests!$1:$1,0)+1,FALSE)</f>
        <v>ハンター・オブ・ハンター</v>
      </c>
      <c r="D757" s="3" t="str">
        <f ca="1">VLOOKUP($B757,OFFSET([1]quests!$A$1,0,0,COUNTA([1]quests!$A:$A),MATCH(D$1,[1]quests!$1:$1,0)-MATCH($B$1,[1]quests!$1:$1,0)+1),MATCH(D$1,[1]quests!$1:$1,0)-MATCH($B$1,[1]quests!$1:$1,0)+1,FALSE)</f>
        <v>ドロップイベント1-1（マルチ専用）</v>
      </c>
      <c r="E757" s="5">
        <v>1</v>
      </c>
      <c r="F757" s="3" t="str">
        <f ca="1">VLOOKUP($B757&amp;"_"&amp;$E757,OFFSET([1]stages!$A$1,0,0,COUNTA([1]stages!$A:$A),MATCH(F$1,[1]stages!$2:$2,0)-MATCH("temp_stage",[1]stages!$2:$2,0)+1),MATCH(F$1,[1]stages!$2:$2,0)-MATCH("temp_stage",[1]stages!$2:$2,0)+1,FALSE)</f>
        <v xml:space="preserve">【中級】ハンター・オブ・ハンター </v>
      </c>
      <c r="G757" s="3" t="str">
        <f ca="1">VLOOKUP($B757&amp;"_"&amp;$E757,OFFSET([1]stages!$A$1,0,0,COUNTA([1]stages!$A:$A),MATCH(G$1,[1]stages!$2:$2,0)-MATCH("temp_stage",[1]stages!$2:$2,0)+1),MATCH(G$1,[1]stages!$2:$2,0)-MATCH("temp_stage",[1]stages!$2:$2,0)+1,FALSE)</f>
        <v>ドロップイベント1-1（マルチ専用）</v>
      </c>
      <c r="H757" s="18">
        <v>0</v>
      </c>
      <c r="I757">
        <v>16</v>
      </c>
      <c r="J757" s="5" t="s">
        <v>16</v>
      </c>
      <c r="K757" s="35" t="str">
        <f>VLOOKUP(I757,[2]stage_hints!$A:$C,3,FALSE)</f>
        <v>マルチプレイのメリット（その1）</v>
      </c>
      <c r="L757" s="36" t="str">
        <f>VLOOKUP(I757,[2]stage_hints!$A:$D,4,FALSE)</f>
        <v>他のプレイヤーとマルチプレイで遊ぶと_x000D_ポリゴンがもらえます（100人まで）</v>
      </c>
      <c r="M757" s="21" t="s">
        <v>23</v>
      </c>
      <c r="N757">
        <v>16</v>
      </c>
    </row>
    <row r="758" spans="1:14" x14ac:dyDescent="0.15">
      <c r="A758" s="26" t="s">
        <v>32</v>
      </c>
      <c r="B758" s="4">
        <v>30001</v>
      </c>
      <c r="C758" s="3" t="str">
        <f ca="1">VLOOKUP($B758,OFFSET([1]quests!$A$1,0,0,COUNTA([1]quests!$A:$A),MATCH(C$1,[1]quests!$1:$1,0)-MATCH($B$1,[1]quests!$1:$1,0)+1),MATCH(C$1,[1]quests!$1:$1,0)-MATCH($B$1,[1]quests!$1:$1,0)+1,FALSE)</f>
        <v>ハンター・オブ・ハンター</v>
      </c>
      <c r="D758" s="3" t="str">
        <f ca="1">VLOOKUP($B758,OFFSET([1]quests!$A$1,0,0,COUNTA([1]quests!$A:$A),MATCH(D$1,[1]quests!$1:$1,0)-MATCH($B$1,[1]quests!$1:$1,0)+1),MATCH(D$1,[1]quests!$1:$1,0)-MATCH($B$1,[1]quests!$1:$1,0)+1,FALSE)</f>
        <v>ドロップイベント1-1（マルチ専用）</v>
      </c>
      <c r="E758" s="5">
        <v>1</v>
      </c>
      <c r="F758" s="3" t="str">
        <f ca="1">VLOOKUP($B758&amp;"_"&amp;$E758,OFFSET([1]stages!$A$1,0,0,COUNTA([1]stages!$A:$A),MATCH(F$1,[1]stages!$2:$2,0)-MATCH("temp_stage",[1]stages!$2:$2,0)+1),MATCH(F$1,[1]stages!$2:$2,0)-MATCH("temp_stage",[1]stages!$2:$2,0)+1,FALSE)</f>
        <v xml:space="preserve">【中級】ハンター・オブ・ハンター </v>
      </c>
      <c r="G758" s="3" t="str">
        <f ca="1">VLOOKUP($B758&amp;"_"&amp;$E758,OFFSET([1]stages!$A$1,0,0,COUNTA([1]stages!$A:$A),MATCH(G$1,[1]stages!$2:$2,0)-MATCH("temp_stage",[1]stages!$2:$2,0)+1),MATCH(G$1,[1]stages!$2:$2,0)-MATCH("temp_stage",[1]stages!$2:$2,0)+1,FALSE)</f>
        <v>ドロップイベント1-1（マルチ専用）</v>
      </c>
      <c r="H758" s="18">
        <v>0</v>
      </c>
      <c r="I758">
        <v>17</v>
      </c>
      <c r="J758" s="5" t="s">
        <v>16</v>
      </c>
      <c r="K758" s="35" t="str">
        <f>VLOOKUP(I758,[2]stage_hints!$A:$C,3,FALSE)</f>
        <v>リンクガチャ</v>
      </c>
      <c r="L758" s="36" t="str">
        <f>VLOOKUP(I758,[2]stage_hints!$A:$D,4,FALSE)</f>
        <v>無料のリンクガチャを回して_x000D_経験値素材や売却素材を獲得しましょう</v>
      </c>
      <c r="M758" s="21" t="s">
        <v>23</v>
      </c>
      <c r="N758">
        <v>17</v>
      </c>
    </row>
    <row r="759" spans="1:14" x14ac:dyDescent="0.15">
      <c r="A759" s="26" t="s">
        <v>32</v>
      </c>
      <c r="B759" s="4">
        <v>30001</v>
      </c>
      <c r="C759" s="3" t="str">
        <f ca="1">VLOOKUP($B759,OFFSET([1]quests!$A$1,0,0,COUNTA([1]quests!$A:$A),MATCH(C$1,[1]quests!$1:$1,0)-MATCH($B$1,[1]quests!$1:$1,0)+1),MATCH(C$1,[1]quests!$1:$1,0)-MATCH($B$1,[1]quests!$1:$1,0)+1,FALSE)</f>
        <v>ハンター・オブ・ハンター</v>
      </c>
      <c r="D759" s="3" t="str">
        <f ca="1">VLOOKUP($B759,OFFSET([1]quests!$A$1,0,0,COUNTA([1]quests!$A:$A),MATCH(D$1,[1]quests!$1:$1,0)-MATCH($B$1,[1]quests!$1:$1,0)+1),MATCH(D$1,[1]quests!$1:$1,0)-MATCH($B$1,[1]quests!$1:$1,0)+1,FALSE)</f>
        <v>ドロップイベント1-1（マルチ専用）</v>
      </c>
      <c r="E759" s="5">
        <v>1</v>
      </c>
      <c r="F759" s="3" t="str">
        <f ca="1">VLOOKUP($B759&amp;"_"&amp;$E759,OFFSET([1]stages!$A$1,0,0,COUNTA([1]stages!$A:$A),MATCH(F$1,[1]stages!$2:$2,0)-MATCH("temp_stage",[1]stages!$2:$2,0)+1),MATCH(F$1,[1]stages!$2:$2,0)-MATCH("temp_stage",[1]stages!$2:$2,0)+1,FALSE)</f>
        <v xml:space="preserve">【中級】ハンター・オブ・ハンター </v>
      </c>
      <c r="G759" s="3" t="str">
        <f ca="1">VLOOKUP($B759&amp;"_"&amp;$E759,OFFSET([1]stages!$A$1,0,0,COUNTA([1]stages!$A:$A),MATCH(G$1,[1]stages!$2:$2,0)-MATCH("temp_stage",[1]stages!$2:$2,0)+1),MATCH(G$1,[1]stages!$2:$2,0)-MATCH("temp_stage",[1]stages!$2:$2,0)+1,FALSE)</f>
        <v>ドロップイベント1-1（マルチ専用）</v>
      </c>
      <c r="H759" s="18">
        <v>0</v>
      </c>
      <c r="I759">
        <v>18</v>
      </c>
      <c r="J759" s="5" t="s">
        <v>16</v>
      </c>
      <c r="K759" s="35" t="str">
        <f>VLOOKUP(I759,[2]stage_hints!$A:$C,3,FALSE)</f>
        <v>マルチプレイのメリット（その2）</v>
      </c>
      <c r="L759" s="36" t="str">
        <f>VLOOKUP(I759,[2]stage_hints!$A:$D,4,FALSE)</f>
        <v>マルチプレイならリンクが2倍もらえます_x000D_リンクガチャをたくさん回しましょう</v>
      </c>
      <c r="M759" s="21" t="s">
        <v>23</v>
      </c>
      <c r="N759">
        <v>18</v>
      </c>
    </row>
    <row r="760" spans="1:14" x14ac:dyDescent="0.15">
      <c r="A760" s="26" t="s">
        <v>32</v>
      </c>
      <c r="B760" s="4">
        <v>30001</v>
      </c>
      <c r="C760" s="3" t="str">
        <f ca="1">VLOOKUP($B760,OFFSET([1]quests!$A$1,0,0,COUNTA([1]quests!$A:$A),MATCH(C$1,[1]quests!$1:$1,0)-MATCH($B$1,[1]quests!$1:$1,0)+1),MATCH(C$1,[1]quests!$1:$1,0)-MATCH($B$1,[1]quests!$1:$1,0)+1,FALSE)</f>
        <v>ハンター・オブ・ハンター</v>
      </c>
      <c r="D760" s="3" t="str">
        <f ca="1">VLOOKUP($B760,OFFSET([1]quests!$A$1,0,0,COUNTA([1]quests!$A:$A),MATCH(D$1,[1]quests!$1:$1,0)-MATCH($B$1,[1]quests!$1:$1,0)+1),MATCH(D$1,[1]quests!$1:$1,0)-MATCH($B$1,[1]quests!$1:$1,0)+1,FALSE)</f>
        <v>ドロップイベント1-1（マルチ専用）</v>
      </c>
      <c r="E760" s="5">
        <v>1</v>
      </c>
      <c r="F760" s="3" t="str">
        <f ca="1">VLOOKUP($B760&amp;"_"&amp;$E760,OFFSET([1]stages!$A$1,0,0,COUNTA([1]stages!$A:$A),MATCH(F$1,[1]stages!$2:$2,0)-MATCH("temp_stage",[1]stages!$2:$2,0)+1),MATCH(F$1,[1]stages!$2:$2,0)-MATCH("temp_stage",[1]stages!$2:$2,0)+1,FALSE)</f>
        <v xml:space="preserve">【中級】ハンター・オブ・ハンター </v>
      </c>
      <c r="G760" s="3" t="str">
        <f ca="1">VLOOKUP($B760&amp;"_"&amp;$E760,OFFSET([1]stages!$A$1,0,0,COUNTA([1]stages!$A:$A),MATCH(G$1,[1]stages!$2:$2,0)-MATCH("temp_stage",[1]stages!$2:$2,0)+1),MATCH(G$1,[1]stages!$2:$2,0)-MATCH("temp_stage",[1]stages!$2:$2,0)+1,FALSE)</f>
        <v>ドロップイベント1-1（マルチ専用）</v>
      </c>
      <c r="H760" s="18">
        <v>0</v>
      </c>
      <c r="I760">
        <v>19</v>
      </c>
      <c r="J760" s="5" t="s">
        <v>16</v>
      </c>
      <c r="K760" s="35" t="str">
        <f>VLOOKUP(I760,[2]stage_hints!$A:$C,3,FALSE)</f>
        <v>ソロ専用チャレンジタワー</v>
      </c>
      <c r="L760" s="36" t="str">
        <f>VLOOKUP(I760,[2]stage_hints!$A:$D,4,FALSE)</f>
        <v>ソロ専用の「チャレンジタワー」では_x000D_各フロアごとにクリア報酬がもらえます</v>
      </c>
      <c r="M760" s="21" t="s">
        <v>23</v>
      </c>
      <c r="N760">
        <v>19</v>
      </c>
    </row>
    <row r="761" spans="1:14" x14ac:dyDescent="0.15">
      <c r="A761" s="26" t="s">
        <v>32</v>
      </c>
      <c r="B761" s="4">
        <v>30001</v>
      </c>
      <c r="C761" s="3" t="str">
        <f ca="1">VLOOKUP($B761,OFFSET([1]quests!$A$1,0,0,COUNTA([1]quests!$A:$A),MATCH(C$1,[1]quests!$1:$1,0)-MATCH($B$1,[1]quests!$1:$1,0)+1),MATCH(C$1,[1]quests!$1:$1,0)-MATCH($B$1,[1]quests!$1:$1,0)+1,FALSE)</f>
        <v>ハンター・オブ・ハンター</v>
      </c>
      <c r="D761" s="3" t="str">
        <f ca="1">VLOOKUP($B761,OFFSET([1]quests!$A$1,0,0,COUNTA([1]quests!$A:$A),MATCH(D$1,[1]quests!$1:$1,0)-MATCH($B$1,[1]quests!$1:$1,0)+1),MATCH(D$1,[1]quests!$1:$1,0)-MATCH($B$1,[1]quests!$1:$1,0)+1,FALSE)</f>
        <v>ドロップイベント1-1（マルチ専用）</v>
      </c>
      <c r="E761" s="5">
        <v>1</v>
      </c>
      <c r="F761" s="3" t="str">
        <f ca="1">VLOOKUP($B761&amp;"_"&amp;$E761,OFFSET([1]stages!$A$1,0,0,COUNTA([1]stages!$A:$A),MATCH(F$1,[1]stages!$2:$2,0)-MATCH("temp_stage",[1]stages!$2:$2,0)+1),MATCH(F$1,[1]stages!$2:$2,0)-MATCH("temp_stage",[1]stages!$2:$2,0)+1,FALSE)</f>
        <v xml:space="preserve">【中級】ハンター・オブ・ハンター </v>
      </c>
      <c r="G761" s="3" t="str">
        <f ca="1">VLOOKUP($B761&amp;"_"&amp;$E761,OFFSET([1]stages!$A$1,0,0,COUNTA([1]stages!$A:$A),MATCH(G$1,[1]stages!$2:$2,0)-MATCH("temp_stage",[1]stages!$2:$2,0)+1),MATCH(G$1,[1]stages!$2:$2,0)-MATCH("temp_stage",[1]stages!$2:$2,0)+1,FALSE)</f>
        <v>ドロップイベント1-1（マルチ専用）</v>
      </c>
      <c r="H761" s="18">
        <v>0</v>
      </c>
      <c r="I761">
        <v>20</v>
      </c>
      <c r="J761" s="5" t="s">
        <v>16</v>
      </c>
      <c r="K761" s="35" t="str">
        <f>VLOOKUP(I761,[2]stage_hints!$A:$C,3,FALSE)</f>
        <v>マルチプレイのメリット（その3）</v>
      </c>
      <c r="L761" s="36" t="str">
        <f>VLOOKUP(I761,[2]stage_hints!$A:$D,4,FALSE)</f>
        <v>マルチプレイへの参加はエナジー消費ゼロ_x000D_いつでも好きなだけ遊ぶことができます</v>
      </c>
      <c r="M761" s="21" t="s">
        <v>23</v>
      </c>
      <c r="N761">
        <v>20</v>
      </c>
    </row>
    <row r="762" spans="1:14" x14ac:dyDescent="0.15">
      <c r="A762" s="26" t="s">
        <v>32</v>
      </c>
      <c r="B762" s="4">
        <v>30001</v>
      </c>
      <c r="C762" s="3" t="str">
        <f ca="1">VLOOKUP($B762,OFFSET([1]quests!$A$1,0,0,COUNTA([1]quests!$A:$A),MATCH(C$1,[1]quests!$1:$1,0)-MATCH($B$1,[1]quests!$1:$1,0)+1),MATCH(C$1,[1]quests!$1:$1,0)-MATCH($B$1,[1]quests!$1:$1,0)+1,FALSE)</f>
        <v>ハンター・オブ・ハンター</v>
      </c>
      <c r="D762" s="3" t="str">
        <f ca="1">VLOOKUP($B762,OFFSET([1]quests!$A$1,0,0,COUNTA([1]quests!$A:$A),MATCH(D$1,[1]quests!$1:$1,0)-MATCH($B$1,[1]quests!$1:$1,0)+1),MATCH(D$1,[1]quests!$1:$1,0)-MATCH($B$1,[1]quests!$1:$1,0)+1,FALSE)</f>
        <v>ドロップイベント1-1（マルチ専用）</v>
      </c>
      <c r="E762" s="5">
        <v>1</v>
      </c>
      <c r="F762" s="3" t="str">
        <f ca="1">VLOOKUP($B762&amp;"_"&amp;$E762,OFFSET([1]stages!$A$1,0,0,COUNTA([1]stages!$A:$A),MATCH(F$1,[1]stages!$2:$2,0)-MATCH("temp_stage",[1]stages!$2:$2,0)+1),MATCH(F$1,[1]stages!$2:$2,0)-MATCH("temp_stage",[1]stages!$2:$2,0)+1,FALSE)</f>
        <v xml:space="preserve">【中級】ハンター・オブ・ハンター </v>
      </c>
      <c r="G762" s="3" t="str">
        <f ca="1">VLOOKUP($B762&amp;"_"&amp;$E762,OFFSET([1]stages!$A$1,0,0,COUNTA([1]stages!$A:$A),MATCH(G$1,[1]stages!$2:$2,0)-MATCH("temp_stage",[1]stages!$2:$2,0)+1),MATCH(G$1,[1]stages!$2:$2,0)-MATCH("temp_stage",[1]stages!$2:$2,0)+1,FALSE)</f>
        <v>ドロップイベント1-1（マルチ専用）</v>
      </c>
      <c r="H762" s="18">
        <v>0</v>
      </c>
      <c r="I762">
        <v>21</v>
      </c>
      <c r="J762" s="5" t="s">
        <v>16</v>
      </c>
      <c r="K762" s="35" t="str">
        <f>VLOOKUP(I762,[2]stage_hints!$A:$C,3,FALSE)</f>
        <v>スキルを有効に</v>
      </c>
      <c r="L762" s="36" t="str">
        <f>VLOOKUP(I762,[2]stage_hints!$A:$D,4,FALSE)</f>
        <v>ターン経過でユニットのスキルが使えます_x000D_強力スキルでバトルを有利に進めましょう</v>
      </c>
      <c r="M762" s="21" t="s">
        <v>23</v>
      </c>
      <c r="N762">
        <v>21</v>
      </c>
    </row>
    <row r="763" spans="1:14" x14ac:dyDescent="0.15">
      <c r="A763" s="26" t="s">
        <v>32</v>
      </c>
      <c r="B763" s="4">
        <v>30001</v>
      </c>
      <c r="C763" s="3" t="str">
        <f ca="1">VLOOKUP($B763,OFFSET([1]quests!$A$1,0,0,COUNTA([1]quests!$A:$A),MATCH(C$1,[1]quests!$1:$1,0)-MATCH($B$1,[1]quests!$1:$1,0)+1),MATCH(C$1,[1]quests!$1:$1,0)-MATCH($B$1,[1]quests!$1:$1,0)+1,FALSE)</f>
        <v>ハンター・オブ・ハンター</v>
      </c>
      <c r="D763" s="3" t="str">
        <f ca="1">VLOOKUP($B763,OFFSET([1]quests!$A$1,0,0,COUNTA([1]quests!$A:$A),MATCH(D$1,[1]quests!$1:$1,0)-MATCH($B$1,[1]quests!$1:$1,0)+1),MATCH(D$1,[1]quests!$1:$1,0)-MATCH($B$1,[1]quests!$1:$1,0)+1,FALSE)</f>
        <v>ドロップイベント1-1（マルチ専用）</v>
      </c>
      <c r="E763" s="5">
        <v>1</v>
      </c>
      <c r="F763" s="3" t="str">
        <f ca="1">VLOOKUP($B763&amp;"_"&amp;$E763,OFFSET([1]stages!$A$1,0,0,COUNTA([1]stages!$A:$A),MATCH(F$1,[1]stages!$2:$2,0)-MATCH("temp_stage",[1]stages!$2:$2,0)+1),MATCH(F$1,[1]stages!$2:$2,0)-MATCH("temp_stage",[1]stages!$2:$2,0)+1,FALSE)</f>
        <v xml:space="preserve">【中級】ハンター・オブ・ハンター </v>
      </c>
      <c r="G763" s="3" t="str">
        <f ca="1">VLOOKUP($B763&amp;"_"&amp;$E763,OFFSET([1]stages!$A$1,0,0,COUNTA([1]stages!$A:$A),MATCH(G$1,[1]stages!$2:$2,0)-MATCH("temp_stage",[1]stages!$2:$2,0)+1),MATCH(G$1,[1]stages!$2:$2,0)-MATCH("temp_stage",[1]stages!$2:$2,0)+1,FALSE)</f>
        <v>ドロップイベント1-1（マルチ専用）</v>
      </c>
      <c r="H763" s="18">
        <v>0</v>
      </c>
      <c r="I763">
        <v>22</v>
      </c>
      <c r="J763" s="5" t="s">
        <v>16</v>
      </c>
      <c r="K763" s="35" t="str">
        <f>VLOOKUP(I763,[2]stage_hints!$A:$C,3,FALSE)</f>
        <v>フィーバーで一発逆転（その1）</v>
      </c>
      <c r="L763" s="36" t="str">
        <f>VLOOKUP(I763,[2]stage_hints!$A:$D,4,FALSE)</f>
        <v>フィーバーは攻撃と回復を兼ね備えます_x000D_ピンチからの一発逆転を狙いましょう</v>
      </c>
      <c r="M763" s="21" t="s">
        <v>23</v>
      </c>
      <c r="N763">
        <v>22</v>
      </c>
    </row>
    <row r="764" spans="1:14" x14ac:dyDescent="0.15">
      <c r="A764" s="26" t="s">
        <v>32</v>
      </c>
      <c r="B764" s="4">
        <v>30001</v>
      </c>
      <c r="C764" s="3" t="str">
        <f ca="1">VLOOKUP($B764,OFFSET([1]quests!$A$1,0,0,COUNTA([1]quests!$A:$A),MATCH(C$1,[1]quests!$1:$1,0)-MATCH($B$1,[1]quests!$1:$1,0)+1),MATCH(C$1,[1]quests!$1:$1,0)-MATCH($B$1,[1]quests!$1:$1,0)+1,FALSE)</f>
        <v>ハンター・オブ・ハンター</v>
      </c>
      <c r="D764" s="3" t="str">
        <f ca="1">VLOOKUP($B764,OFFSET([1]quests!$A$1,0,0,COUNTA([1]quests!$A:$A),MATCH(D$1,[1]quests!$1:$1,0)-MATCH($B$1,[1]quests!$1:$1,0)+1),MATCH(D$1,[1]quests!$1:$1,0)-MATCH($B$1,[1]quests!$1:$1,0)+1,FALSE)</f>
        <v>ドロップイベント1-1（マルチ専用）</v>
      </c>
      <c r="E764" s="5">
        <v>1</v>
      </c>
      <c r="F764" s="3" t="str">
        <f ca="1">VLOOKUP($B764&amp;"_"&amp;$E764,OFFSET([1]stages!$A$1,0,0,COUNTA([1]stages!$A:$A),MATCH(F$1,[1]stages!$2:$2,0)-MATCH("temp_stage",[1]stages!$2:$2,0)+1),MATCH(F$1,[1]stages!$2:$2,0)-MATCH("temp_stage",[1]stages!$2:$2,0)+1,FALSE)</f>
        <v xml:space="preserve">【中級】ハンター・オブ・ハンター </v>
      </c>
      <c r="G764" s="3" t="str">
        <f ca="1">VLOOKUP($B764&amp;"_"&amp;$E764,OFFSET([1]stages!$A$1,0,0,COUNTA([1]stages!$A:$A),MATCH(G$1,[1]stages!$2:$2,0)-MATCH("temp_stage",[1]stages!$2:$2,0)+1),MATCH(G$1,[1]stages!$2:$2,0)-MATCH("temp_stage",[1]stages!$2:$2,0)+1,FALSE)</f>
        <v>ドロップイベント1-1（マルチ専用）</v>
      </c>
      <c r="H764" s="18">
        <v>0</v>
      </c>
      <c r="I764">
        <v>23</v>
      </c>
      <c r="J764" s="5" t="s">
        <v>16</v>
      </c>
      <c r="K764" s="35" t="str">
        <f>VLOOKUP(I764,[2]stage_hints!$A:$C,3,FALSE)</f>
        <v>フィーバーで一発逆転（その2）</v>
      </c>
      <c r="L764" s="36" t="str">
        <f>VLOOKUP(I764,[2]stage_hints!$A:$D,4,FALSE)</f>
        <v>フィーバー中は虹色のボムパネルを狙って_x000D_画面上のパネルを一気に破壊しましょう</v>
      </c>
      <c r="M764" s="21" t="s">
        <v>23</v>
      </c>
      <c r="N764">
        <v>23</v>
      </c>
    </row>
    <row r="765" spans="1:14" x14ac:dyDescent="0.15">
      <c r="A765" s="26" t="s">
        <v>32</v>
      </c>
      <c r="B765" s="4">
        <v>30001</v>
      </c>
      <c r="C765" s="3" t="str">
        <f ca="1">VLOOKUP($B765,OFFSET([1]quests!$A$1,0,0,COUNTA([1]quests!$A:$A),MATCH(C$1,[1]quests!$1:$1,0)-MATCH($B$1,[1]quests!$1:$1,0)+1),MATCH(C$1,[1]quests!$1:$1,0)-MATCH($B$1,[1]quests!$1:$1,0)+1,FALSE)</f>
        <v>ハンター・オブ・ハンター</v>
      </c>
      <c r="D765" s="3" t="str">
        <f ca="1">VLOOKUP($B765,OFFSET([1]quests!$A$1,0,0,COUNTA([1]quests!$A:$A),MATCH(D$1,[1]quests!$1:$1,0)-MATCH($B$1,[1]quests!$1:$1,0)+1),MATCH(D$1,[1]quests!$1:$1,0)-MATCH($B$1,[1]quests!$1:$1,0)+1,FALSE)</f>
        <v>ドロップイベント1-1（マルチ専用）</v>
      </c>
      <c r="E765" s="5">
        <v>1</v>
      </c>
      <c r="F765" s="3" t="str">
        <f ca="1">VLOOKUP($B765&amp;"_"&amp;$E765,OFFSET([1]stages!$A$1,0,0,COUNTA([1]stages!$A:$A),MATCH(F$1,[1]stages!$2:$2,0)-MATCH("temp_stage",[1]stages!$2:$2,0)+1),MATCH(F$1,[1]stages!$2:$2,0)-MATCH("temp_stage",[1]stages!$2:$2,0)+1,FALSE)</f>
        <v xml:space="preserve">【中級】ハンター・オブ・ハンター </v>
      </c>
      <c r="G765" s="3" t="str">
        <f ca="1">VLOOKUP($B765&amp;"_"&amp;$E765,OFFSET([1]stages!$A$1,0,0,COUNTA([1]stages!$A:$A),MATCH(G$1,[1]stages!$2:$2,0)-MATCH("temp_stage",[1]stages!$2:$2,0)+1),MATCH(G$1,[1]stages!$2:$2,0)-MATCH("temp_stage",[1]stages!$2:$2,0)+1,FALSE)</f>
        <v>ドロップイベント1-1（マルチ専用）</v>
      </c>
      <c r="H765" s="18">
        <v>0</v>
      </c>
      <c r="I765">
        <v>24</v>
      </c>
      <c r="J765" s="5" t="s">
        <v>16</v>
      </c>
      <c r="K765" s="35" t="str">
        <f>VLOOKUP(I765,[2]stage_hints!$A:$C,3,FALSE)</f>
        <v>りんごを使って限界突破</v>
      </c>
      <c r="L765" s="36" t="str">
        <f>VLOOKUP(I765,[2]stage_hints!$A:$D,4,FALSE)</f>
        <v>赤りんご(攻撃力) 青りんご(回復力)_x000D_緑りんご(体力)をユニット強化に使うと_x000D_ステータスが限界突破します（計99個迄）</v>
      </c>
      <c r="M765" s="21" t="s">
        <v>23</v>
      </c>
      <c r="N765">
        <v>24</v>
      </c>
    </row>
    <row r="766" spans="1:14" x14ac:dyDescent="0.15">
      <c r="A766" s="26" t="s">
        <v>32</v>
      </c>
      <c r="B766" s="4">
        <v>30001</v>
      </c>
      <c r="C766" s="3" t="str">
        <f ca="1">VLOOKUP($B766,OFFSET([1]quests!$A$1,0,0,COUNTA([1]quests!$A:$A),MATCH(C$1,[1]quests!$1:$1,0)-MATCH($B$1,[1]quests!$1:$1,0)+1),MATCH(C$1,[1]quests!$1:$1,0)-MATCH($B$1,[1]quests!$1:$1,0)+1,FALSE)</f>
        <v>ハンター・オブ・ハンター</v>
      </c>
      <c r="D766" s="3" t="str">
        <f ca="1">VLOOKUP($B766,OFFSET([1]quests!$A$1,0,0,COUNTA([1]quests!$A:$A),MATCH(D$1,[1]quests!$1:$1,0)-MATCH($B$1,[1]quests!$1:$1,0)+1),MATCH(D$1,[1]quests!$1:$1,0)-MATCH($B$1,[1]quests!$1:$1,0)+1,FALSE)</f>
        <v>ドロップイベント1-1（マルチ専用）</v>
      </c>
      <c r="E766" s="5">
        <v>1</v>
      </c>
      <c r="F766" s="3" t="str">
        <f ca="1">VLOOKUP($B766&amp;"_"&amp;$E766,OFFSET([1]stages!$A$1,0,0,COUNTA([1]stages!$A:$A),MATCH(F$1,[1]stages!$2:$2,0)-MATCH("temp_stage",[1]stages!$2:$2,0)+1),MATCH(F$1,[1]stages!$2:$2,0)-MATCH("temp_stage",[1]stages!$2:$2,0)+1,FALSE)</f>
        <v xml:space="preserve">【中級】ハンター・オブ・ハンター </v>
      </c>
      <c r="G766" s="3" t="str">
        <f ca="1">VLOOKUP($B766&amp;"_"&amp;$E766,OFFSET([1]stages!$A$1,0,0,COUNTA([1]stages!$A:$A),MATCH(G$1,[1]stages!$2:$2,0)-MATCH("temp_stage",[1]stages!$2:$2,0)+1),MATCH(G$1,[1]stages!$2:$2,0)-MATCH("temp_stage",[1]stages!$2:$2,0)+1,FALSE)</f>
        <v>ドロップイベント1-1（マルチ専用）</v>
      </c>
      <c r="H766" s="18">
        <v>0</v>
      </c>
      <c r="I766">
        <v>25</v>
      </c>
      <c r="J766" s="5" t="s">
        <v>16</v>
      </c>
      <c r="K766" s="35" t="str">
        <f>VLOOKUP(I766,[2]stage_hints!$A:$C,3,FALSE)</f>
        <v>スキルレベルアップ</v>
      </c>
      <c r="L766" s="36" t="str">
        <f>VLOOKUP(I766,[2]stage_hints!$A:$D,4,FALSE)</f>
        <v>「クリスタルのりんご」を強化に使うと_x000D_スキルレベルを上げることができます</v>
      </c>
      <c r="M766" s="21" t="s">
        <v>23</v>
      </c>
      <c r="N766">
        <v>25</v>
      </c>
    </row>
    <row r="767" spans="1:14" x14ac:dyDescent="0.15">
      <c r="A767" s="26" t="s">
        <v>32</v>
      </c>
      <c r="B767" s="4">
        <v>30001</v>
      </c>
      <c r="C767" s="3" t="str">
        <f ca="1">VLOOKUP($B767,OFFSET([1]quests!$A$1,0,0,COUNTA([1]quests!$A:$A),MATCH(C$1,[1]quests!$1:$1,0)-MATCH($B$1,[1]quests!$1:$1,0)+1),MATCH(C$1,[1]quests!$1:$1,0)-MATCH($B$1,[1]quests!$1:$1,0)+1,FALSE)</f>
        <v>ハンター・オブ・ハンター</v>
      </c>
      <c r="D767" s="3" t="str">
        <f ca="1">VLOOKUP($B767,OFFSET([1]quests!$A$1,0,0,COUNTA([1]quests!$A:$A),MATCH(D$1,[1]quests!$1:$1,0)-MATCH($B$1,[1]quests!$1:$1,0)+1),MATCH(D$1,[1]quests!$1:$1,0)-MATCH($B$1,[1]quests!$1:$1,0)+1,FALSE)</f>
        <v>ドロップイベント1-1（マルチ専用）</v>
      </c>
      <c r="E767" s="5">
        <v>1</v>
      </c>
      <c r="F767" s="3" t="str">
        <f ca="1">VLOOKUP($B767&amp;"_"&amp;$E767,OFFSET([1]stages!$A$1,0,0,COUNTA([1]stages!$A:$A),MATCH(F$1,[1]stages!$2:$2,0)-MATCH("temp_stage",[1]stages!$2:$2,0)+1),MATCH(F$1,[1]stages!$2:$2,0)-MATCH("temp_stage",[1]stages!$2:$2,0)+1,FALSE)</f>
        <v xml:space="preserve">【中級】ハンター・オブ・ハンター </v>
      </c>
      <c r="G767" s="3" t="str">
        <f ca="1">VLOOKUP($B767&amp;"_"&amp;$E767,OFFSET([1]stages!$A$1,0,0,COUNTA([1]stages!$A:$A),MATCH(G$1,[1]stages!$2:$2,0)-MATCH("temp_stage",[1]stages!$2:$2,0)+1),MATCH(G$1,[1]stages!$2:$2,0)-MATCH("temp_stage",[1]stages!$2:$2,0)+1,FALSE)</f>
        <v>ドロップイベント1-1（マルチ専用）</v>
      </c>
      <c r="H767" s="18">
        <v>0</v>
      </c>
      <c r="I767">
        <v>26</v>
      </c>
      <c r="J767" s="5" t="s">
        <v>16</v>
      </c>
      <c r="K767" s="35" t="str">
        <f>VLOOKUP(I767,[2]stage_hints!$A:$C,3,FALSE)</f>
        <v>スキルレベルの効果</v>
      </c>
      <c r="L767" s="36" t="str">
        <f>VLOOKUP(I767,[2]stage_hints!$A:$D,4,FALSE)</f>
        <v>スキルレベルが上がると_x000D_短いターンでスキルを使うことができます</v>
      </c>
      <c r="M767" s="21" t="s">
        <v>23</v>
      </c>
      <c r="N767">
        <v>26</v>
      </c>
    </row>
    <row r="768" spans="1:14" x14ac:dyDescent="0.15">
      <c r="A768" s="26" t="s">
        <v>32</v>
      </c>
      <c r="B768" s="4">
        <v>30001</v>
      </c>
      <c r="C768" s="3" t="str">
        <f ca="1">VLOOKUP($B768,OFFSET([1]quests!$A$1,0,0,COUNTA([1]quests!$A:$A),MATCH(C$1,[1]quests!$1:$1,0)-MATCH($B$1,[1]quests!$1:$1,0)+1),MATCH(C$1,[1]quests!$1:$1,0)-MATCH($B$1,[1]quests!$1:$1,0)+1,FALSE)</f>
        <v>ハンター・オブ・ハンター</v>
      </c>
      <c r="D768" s="3" t="str">
        <f ca="1">VLOOKUP($B768,OFFSET([1]quests!$A$1,0,0,COUNTA([1]quests!$A:$A),MATCH(D$1,[1]quests!$1:$1,0)-MATCH($B$1,[1]quests!$1:$1,0)+1),MATCH(D$1,[1]quests!$1:$1,0)-MATCH($B$1,[1]quests!$1:$1,0)+1,FALSE)</f>
        <v>ドロップイベント1-1（マルチ専用）</v>
      </c>
      <c r="E768" s="5">
        <v>1</v>
      </c>
      <c r="F768" s="3" t="str">
        <f ca="1">VLOOKUP($B768&amp;"_"&amp;$E768,OFFSET([1]stages!$A$1,0,0,COUNTA([1]stages!$A:$A),MATCH(F$1,[1]stages!$2:$2,0)-MATCH("temp_stage",[1]stages!$2:$2,0)+1),MATCH(F$1,[1]stages!$2:$2,0)-MATCH("temp_stage",[1]stages!$2:$2,0)+1,FALSE)</f>
        <v xml:space="preserve">【中級】ハンター・オブ・ハンター </v>
      </c>
      <c r="G768" s="3" t="str">
        <f ca="1">VLOOKUP($B768&amp;"_"&amp;$E768,OFFSET([1]stages!$A$1,0,0,COUNTA([1]stages!$A:$A),MATCH(G$1,[1]stages!$2:$2,0)-MATCH("temp_stage",[1]stages!$2:$2,0)+1),MATCH(G$1,[1]stages!$2:$2,0)-MATCH("temp_stage",[1]stages!$2:$2,0)+1,FALSE)</f>
        <v>ドロップイベント1-1（マルチ専用）</v>
      </c>
      <c r="H768" s="18">
        <v>0</v>
      </c>
      <c r="I768">
        <v>27</v>
      </c>
      <c r="J768" s="5" t="s">
        <v>16</v>
      </c>
      <c r="K768" s="35" t="str">
        <f>VLOOKUP(I768,[2]stage_hints!$A:$C,3,FALSE)</f>
        <v>ホーム画面からデッキを編成</v>
      </c>
      <c r="L768" s="36" t="str">
        <f>VLOOKUP(I768,[2]stage_hints!$A:$D,4,FALSE)</f>
        <v>ホーム画面でユニットを長押しすると_x000D_すぐにパーティ編成に移動できます</v>
      </c>
      <c r="M768" s="21" t="s">
        <v>23</v>
      </c>
      <c r="N768">
        <v>27</v>
      </c>
    </row>
    <row r="769" spans="1:14" x14ac:dyDescent="0.15">
      <c r="A769" s="26" t="s">
        <v>32</v>
      </c>
      <c r="B769" s="4">
        <v>30001</v>
      </c>
      <c r="C769" s="3" t="str">
        <f ca="1">VLOOKUP($B769,OFFSET([1]quests!$A$1,0,0,COUNTA([1]quests!$A:$A),MATCH(C$1,[1]quests!$1:$1,0)-MATCH($B$1,[1]quests!$1:$1,0)+1),MATCH(C$1,[1]quests!$1:$1,0)-MATCH($B$1,[1]quests!$1:$1,0)+1,FALSE)</f>
        <v>ハンター・オブ・ハンター</v>
      </c>
      <c r="D769" s="3" t="str">
        <f ca="1">VLOOKUP($B769,OFFSET([1]quests!$A$1,0,0,COUNTA([1]quests!$A:$A),MATCH(D$1,[1]quests!$1:$1,0)-MATCH($B$1,[1]quests!$1:$1,0)+1),MATCH(D$1,[1]quests!$1:$1,0)-MATCH($B$1,[1]quests!$1:$1,0)+1,FALSE)</f>
        <v>ドロップイベント1-1（マルチ専用）</v>
      </c>
      <c r="E769" s="5">
        <v>1</v>
      </c>
      <c r="F769" s="3" t="str">
        <f ca="1">VLOOKUP($B769&amp;"_"&amp;$E769,OFFSET([1]stages!$A$1,0,0,COUNTA([1]stages!$A:$A),MATCH(F$1,[1]stages!$2:$2,0)-MATCH("temp_stage",[1]stages!$2:$2,0)+1),MATCH(F$1,[1]stages!$2:$2,0)-MATCH("temp_stage",[1]stages!$2:$2,0)+1,FALSE)</f>
        <v xml:space="preserve">【中級】ハンター・オブ・ハンター </v>
      </c>
      <c r="G769" s="3" t="str">
        <f ca="1">VLOOKUP($B769&amp;"_"&amp;$E769,OFFSET([1]stages!$A$1,0,0,COUNTA([1]stages!$A:$A),MATCH(G$1,[1]stages!$2:$2,0)-MATCH("temp_stage",[1]stages!$2:$2,0)+1),MATCH(G$1,[1]stages!$2:$2,0)-MATCH("temp_stage",[1]stages!$2:$2,0)+1,FALSE)</f>
        <v>ドロップイベント1-1（マルチ専用）</v>
      </c>
      <c r="H769" s="18">
        <v>0</v>
      </c>
      <c r="I769">
        <v>28</v>
      </c>
      <c r="J769" s="5" t="s">
        <v>16</v>
      </c>
      <c r="K769" s="35" t="str">
        <f>VLOOKUP(I769,[2]stage_hints!$A:$C,3,FALSE)</f>
        <v>ステータス情報は長押しで</v>
      </c>
      <c r="L769" s="36" t="str">
        <f>VLOOKUP(I769,[2]stage_hints!$A:$D,4,FALSE)</f>
        <v>ユニットのアイコンを長押しすると_x000D_ステータス情報を確認することができます</v>
      </c>
      <c r="M769" s="21" t="s">
        <v>23</v>
      </c>
      <c r="N769">
        <v>28</v>
      </c>
    </row>
    <row r="770" spans="1:14" x14ac:dyDescent="0.15">
      <c r="A770" s="26" t="s">
        <v>32</v>
      </c>
      <c r="B770" s="4">
        <v>30001</v>
      </c>
      <c r="C770" s="3" t="str">
        <f ca="1">VLOOKUP($B770,OFFSET([1]quests!$A$1,0,0,COUNTA([1]quests!$A:$A),MATCH(C$1,[1]quests!$1:$1,0)-MATCH($B$1,[1]quests!$1:$1,0)+1),MATCH(C$1,[1]quests!$1:$1,0)-MATCH($B$1,[1]quests!$1:$1,0)+1,FALSE)</f>
        <v>ハンター・オブ・ハンター</v>
      </c>
      <c r="D770" s="3" t="str">
        <f ca="1">VLOOKUP($B770,OFFSET([1]quests!$A$1,0,0,COUNTA([1]quests!$A:$A),MATCH(D$1,[1]quests!$1:$1,0)-MATCH($B$1,[1]quests!$1:$1,0)+1),MATCH(D$1,[1]quests!$1:$1,0)-MATCH($B$1,[1]quests!$1:$1,0)+1,FALSE)</f>
        <v>ドロップイベント1-1（マルチ専用）</v>
      </c>
      <c r="E770" s="5">
        <v>1</v>
      </c>
      <c r="F770" s="3" t="str">
        <f ca="1">VLOOKUP($B770&amp;"_"&amp;$E770,OFFSET([1]stages!$A$1,0,0,COUNTA([1]stages!$A:$A),MATCH(F$1,[1]stages!$2:$2,0)-MATCH("temp_stage",[1]stages!$2:$2,0)+1),MATCH(F$1,[1]stages!$2:$2,0)-MATCH("temp_stage",[1]stages!$2:$2,0)+1,FALSE)</f>
        <v xml:space="preserve">【中級】ハンター・オブ・ハンター </v>
      </c>
      <c r="G770" s="3" t="str">
        <f ca="1">VLOOKUP($B770&amp;"_"&amp;$E770,OFFSET([1]stages!$A$1,0,0,COUNTA([1]stages!$A:$A),MATCH(G$1,[1]stages!$2:$2,0)-MATCH("temp_stage",[1]stages!$2:$2,0)+1),MATCH(G$1,[1]stages!$2:$2,0)-MATCH("temp_stage",[1]stages!$2:$2,0)+1,FALSE)</f>
        <v>ドロップイベント1-1（マルチ専用）</v>
      </c>
      <c r="H770" s="18">
        <v>0</v>
      </c>
      <c r="I770">
        <v>29</v>
      </c>
      <c r="J770" s="5" t="s">
        <v>16</v>
      </c>
      <c r="K770" s="35" t="str">
        <f>VLOOKUP(I770,[2]stage_hints!$A:$C,3,FALSE)</f>
        <v>「バグ」のメリット</v>
      </c>
      <c r="L770" s="36" t="str">
        <f>VLOOKUP(I770,[2]stage_hints!$A:$D,4,FALSE)</f>
        <v>ユニットの「バグ」を増やすと_x000D_報酬をもらえる確率がアップします</v>
      </c>
      <c r="M770" s="21" t="s">
        <v>23</v>
      </c>
      <c r="N770">
        <v>29</v>
      </c>
    </row>
    <row r="771" spans="1:14" x14ac:dyDescent="0.15">
      <c r="A771" s="26" t="s">
        <v>32</v>
      </c>
      <c r="B771" s="4">
        <v>30001</v>
      </c>
      <c r="C771" s="3" t="str">
        <f ca="1">VLOOKUP($B771,OFFSET([1]quests!$A$1,0,0,COUNTA([1]quests!$A:$A),MATCH(C$1,[1]quests!$1:$1,0)-MATCH($B$1,[1]quests!$1:$1,0)+1),MATCH(C$1,[1]quests!$1:$1,0)-MATCH($B$1,[1]quests!$1:$1,0)+1,FALSE)</f>
        <v>ハンター・オブ・ハンター</v>
      </c>
      <c r="D771" s="3" t="str">
        <f ca="1">VLOOKUP($B771,OFFSET([1]quests!$A$1,0,0,COUNTA([1]quests!$A:$A),MATCH(D$1,[1]quests!$1:$1,0)-MATCH($B$1,[1]quests!$1:$1,0)+1),MATCH(D$1,[1]quests!$1:$1,0)-MATCH($B$1,[1]quests!$1:$1,0)+1,FALSE)</f>
        <v>ドロップイベント1-1（マルチ専用）</v>
      </c>
      <c r="E771" s="5">
        <v>1</v>
      </c>
      <c r="F771" s="3" t="str">
        <f ca="1">VLOOKUP($B771&amp;"_"&amp;$E771,OFFSET([1]stages!$A$1,0,0,COUNTA([1]stages!$A:$A),MATCH(F$1,[1]stages!$2:$2,0)-MATCH("temp_stage",[1]stages!$2:$2,0)+1),MATCH(F$1,[1]stages!$2:$2,0)-MATCH("temp_stage",[1]stages!$2:$2,0)+1,FALSE)</f>
        <v xml:space="preserve">【中級】ハンター・オブ・ハンター </v>
      </c>
      <c r="G771" s="3" t="str">
        <f ca="1">VLOOKUP($B771&amp;"_"&amp;$E771,OFFSET([1]stages!$A$1,0,0,COUNTA([1]stages!$A:$A),MATCH(G$1,[1]stages!$2:$2,0)-MATCH("temp_stage",[1]stages!$2:$2,0)+1),MATCH(G$1,[1]stages!$2:$2,0)-MATCH("temp_stage",[1]stages!$2:$2,0)+1,FALSE)</f>
        <v>ドロップイベント1-1（マルチ専用）</v>
      </c>
      <c r="H771" s="18">
        <v>0</v>
      </c>
      <c r="I771">
        <v>30</v>
      </c>
      <c r="J771" s="5" t="s">
        <v>16</v>
      </c>
      <c r="K771" s="35" t="str">
        <f>VLOOKUP(I771,[2]stage_hints!$A:$C,3,FALSE)</f>
        <v>「バグ」の増やし方</v>
      </c>
      <c r="L771" s="36" t="str">
        <f>VLOOKUP(I771,[2]stage_hints!$A:$D,4,FALSE)</f>
        <v>同じユニット同士を強化で合成すると_x000D_「バグ」を増やすことができます</v>
      </c>
      <c r="M771" s="21" t="s">
        <v>23</v>
      </c>
      <c r="N771">
        <v>30</v>
      </c>
    </row>
    <row r="772" spans="1:14" x14ac:dyDescent="0.15">
      <c r="A772" s="26" t="s">
        <v>32</v>
      </c>
      <c r="B772" s="4">
        <v>30001</v>
      </c>
      <c r="C772" s="3" t="str">
        <f ca="1">VLOOKUP($B772,OFFSET([1]quests!$A$1,0,0,COUNTA([1]quests!$A:$A),MATCH(C$1,[1]quests!$1:$1,0)-MATCH($B$1,[1]quests!$1:$1,0)+1),MATCH(C$1,[1]quests!$1:$1,0)-MATCH($B$1,[1]quests!$1:$1,0)+1,FALSE)</f>
        <v>ハンター・オブ・ハンター</v>
      </c>
      <c r="D772" s="3" t="str">
        <f ca="1">VLOOKUP($B772,OFFSET([1]quests!$A$1,0,0,COUNTA([1]quests!$A:$A),MATCH(D$1,[1]quests!$1:$1,0)-MATCH($B$1,[1]quests!$1:$1,0)+1),MATCH(D$1,[1]quests!$1:$1,0)-MATCH($B$1,[1]quests!$1:$1,0)+1,FALSE)</f>
        <v>ドロップイベント1-1（マルチ専用）</v>
      </c>
      <c r="E772" s="5">
        <v>1</v>
      </c>
      <c r="F772" s="3" t="str">
        <f ca="1">VLOOKUP($B772&amp;"_"&amp;$E772,OFFSET([1]stages!$A$1,0,0,COUNTA([1]stages!$A:$A),MATCH(F$1,[1]stages!$2:$2,0)-MATCH("temp_stage",[1]stages!$2:$2,0)+1),MATCH(F$1,[1]stages!$2:$2,0)-MATCH("temp_stage",[1]stages!$2:$2,0)+1,FALSE)</f>
        <v xml:space="preserve">【中級】ハンター・オブ・ハンター </v>
      </c>
      <c r="G772" s="3" t="str">
        <f ca="1">VLOOKUP($B772&amp;"_"&amp;$E772,OFFSET([1]stages!$A$1,0,0,COUNTA([1]stages!$A:$A),MATCH(G$1,[1]stages!$2:$2,0)-MATCH("temp_stage",[1]stages!$2:$2,0)+1),MATCH(G$1,[1]stages!$2:$2,0)-MATCH("temp_stage",[1]stages!$2:$2,0)+1,FALSE)</f>
        <v>ドロップイベント1-1（マルチ専用）</v>
      </c>
      <c r="H772" s="18">
        <v>0</v>
      </c>
      <c r="I772">
        <v>31</v>
      </c>
      <c r="J772" s="5" t="s">
        <v>16</v>
      </c>
      <c r="K772" s="35" t="str">
        <f>VLOOKUP(I772,[2]stage_hints!$A:$C,3,FALSE)</f>
        <v>イベントはお知らせでチェック</v>
      </c>
      <c r="L772" s="36" t="str">
        <f>VLOOKUP(I772,[2]stage_hints!$A:$D,4,FALSE)</f>
        <v>イベント限定ユニットを取り忘れないように_x000D_お知らせをこまめにチェックしましょう</v>
      </c>
      <c r="M772" s="21" t="s">
        <v>23</v>
      </c>
      <c r="N772">
        <v>31</v>
      </c>
    </row>
    <row r="773" spans="1:14" x14ac:dyDescent="0.15">
      <c r="A773" s="26" t="s">
        <v>32</v>
      </c>
      <c r="B773" s="4">
        <v>30001</v>
      </c>
      <c r="C773" s="3" t="str">
        <f ca="1">VLOOKUP($B773,OFFSET([1]quests!$A$1,0,0,COUNTA([1]quests!$A:$A),MATCH(C$1,[1]quests!$1:$1,0)-MATCH($B$1,[1]quests!$1:$1,0)+1),MATCH(C$1,[1]quests!$1:$1,0)-MATCH($B$1,[1]quests!$1:$1,0)+1,FALSE)</f>
        <v>ハンター・オブ・ハンター</v>
      </c>
      <c r="D773" s="3" t="str">
        <f ca="1">VLOOKUP($B773,OFFSET([1]quests!$A$1,0,0,COUNTA([1]quests!$A:$A),MATCH(D$1,[1]quests!$1:$1,0)-MATCH($B$1,[1]quests!$1:$1,0)+1),MATCH(D$1,[1]quests!$1:$1,0)-MATCH($B$1,[1]quests!$1:$1,0)+1,FALSE)</f>
        <v>ドロップイベント1-1（マルチ専用）</v>
      </c>
      <c r="E773" s="5">
        <v>1</v>
      </c>
      <c r="F773" s="3" t="str">
        <f ca="1">VLOOKUP($B773&amp;"_"&amp;$E773,OFFSET([1]stages!$A$1,0,0,COUNTA([1]stages!$A:$A),MATCH(F$1,[1]stages!$2:$2,0)-MATCH("temp_stage",[1]stages!$2:$2,0)+1),MATCH(F$1,[1]stages!$2:$2,0)-MATCH("temp_stage",[1]stages!$2:$2,0)+1,FALSE)</f>
        <v xml:space="preserve">【中級】ハンター・オブ・ハンター </v>
      </c>
      <c r="G773" s="3" t="str">
        <f ca="1">VLOOKUP($B773&amp;"_"&amp;$E773,OFFSET([1]stages!$A$1,0,0,COUNTA([1]stages!$A:$A),MATCH(G$1,[1]stages!$2:$2,0)-MATCH("temp_stage",[1]stages!$2:$2,0)+1),MATCH(G$1,[1]stages!$2:$2,0)-MATCH("temp_stage",[1]stages!$2:$2,0)+1,FALSE)</f>
        <v>ドロップイベント1-1（マルチ専用）</v>
      </c>
      <c r="H773" s="18">
        <v>0</v>
      </c>
      <c r="I773">
        <v>32</v>
      </c>
      <c r="J773" s="5" t="s">
        <v>16</v>
      </c>
      <c r="K773" s="35" t="str">
        <f>VLOOKUP(I773,[2]stage_hints!$A:$C,3,FALSE)</f>
        <v>敵の連続攻撃には</v>
      </c>
      <c r="L773" s="36" t="str">
        <f>VLOOKUP(I773,[2]stage_hints!$A:$D,4,FALSE)</f>
        <v>カウンタースキルを持つユニットがいれば_x000D_ダメージ回数分の反撃ができます</v>
      </c>
      <c r="M773" s="21" t="s">
        <v>23</v>
      </c>
      <c r="N773">
        <v>32</v>
      </c>
    </row>
    <row r="774" spans="1:14" x14ac:dyDescent="0.15">
      <c r="A774" s="26" t="s">
        <v>32</v>
      </c>
      <c r="B774" s="4">
        <v>30001</v>
      </c>
      <c r="C774" s="3" t="str">
        <f ca="1">VLOOKUP($B774,OFFSET([1]quests!$A$1,0,0,COUNTA([1]quests!$A:$A),MATCH(C$1,[1]quests!$1:$1,0)-MATCH($B$1,[1]quests!$1:$1,0)+1),MATCH(C$1,[1]quests!$1:$1,0)-MATCH($B$1,[1]quests!$1:$1,0)+1,FALSE)</f>
        <v>ハンター・オブ・ハンター</v>
      </c>
      <c r="D774" s="3" t="str">
        <f ca="1">VLOOKUP($B774,OFFSET([1]quests!$A$1,0,0,COUNTA([1]quests!$A:$A),MATCH(D$1,[1]quests!$1:$1,0)-MATCH($B$1,[1]quests!$1:$1,0)+1),MATCH(D$1,[1]quests!$1:$1,0)-MATCH($B$1,[1]quests!$1:$1,0)+1,FALSE)</f>
        <v>ドロップイベント1-1（マルチ専用）</v>
      </c>
      <c r="E774" s="5">
        <v>1</v>
      </c>
      <c r="F774" s="3" t="str">
        <f ca="1">VLOOKUP($B774&amp;"_"&amp;$E774,OFFSET([1]stages!$A$1,0,0,COUNTA([1]stages!$A:$A),MATCH(F$1,[1]stages!$2:$2,0)-MATCH("temp_stage",[1]stages!$2:$2,0)+1),MATCH(F$1,[1]stages!$2:$2,0)-MATCH("temp_stage",[1]stages!$2:$2,0)+1,FALSE)</f>
        <v xml:space="preserve">【中級】ハンター・オブ・ハンター </v>
      </c>
      <c r="G774" s="3" t="str">
        <f ca="1">VLOOKUP($B774&amp;"_"&amp;$E774,OFFSET([1]stages!$A$1,0,0,COUNTA([1]stages!$A:$A),MATCH(G$1,[1]stages!$2:$2,0)-MATCH("temp_stage",[1]stages!$2:$2,0)+1),MATCH(G$1,[1]stages!$2:$2,0)-MATCH("temp_stage",[1]stages!$2:$2,0)+1,FALSE)</f>
        <v>ドロップイベント1-1（マルチ専用）</v>
      </c>
      <c r="H774" s="18">
        <v>0</v>
      </c>
      <c r="I774">
        <v>33</v>
      </c>
      <c r="J774" s="5" t="s">
        <v>16</v>
      </c>
      <c r="K774" s="35" t="str">
        <f>VLOOKUP(I774,[2]stage_hints!$A:$C,3,FALSE)</f>
        <v>敵のカウンター攻撃には</v>
      </c>
      <c r="L774" s="36" t="str">
        <f>VLOOKUP(I774,[2]stage_hints!$A:$D,4,FALSE)</f>
        <v>カウンターブレイクスキルを持っていれば_x000D_敵のカウンターを解除して攻撃ができます</v>
      </c>
      <c r="M774" s="21" t="s">
        <v>23</v>
      </c>
      <c r="N774">
        <v>33</v>
      </c>
    </row>
    <row r="775" spans="1:14" x14ac:dyDescent="0.15">
      <c r="A775" s="26" t="s">
        <v>32</v>
      </c>
      <c r="B775" s="4">
        <v>30001</v>
      </c>
      <c r="C775" s="3" t="str">
        <f ca="1">VLOOKUP($B775,OFFSET([1]quests!$A$1,0,0,COUNTA([1]quests!$A:$A),MATCH(C$1,[1]quests!$1:$1,0)-MATCH($B$1,[1]quests!$1:$1,0)+1),MATCH(C$1,[1]quests!$1:$1,0)-MATCH($B$1,[1]quests!$1:$1,0)+1,FALSE)</f>
        <v>ハンター・オブ・ハンター</v>
      </c>
      <c r="D775" s="3" t="str">
        <f ca="1">VLOOKUP($B775,OFFSET([1]quests!$A$1,0,0,COUNTA([1]quests!$A:$A),MATCH(D$1,[1]quests!$1:$1,0)-MATCH($B$1,[1]quests!$1:$1,0)+1),MATCH(D$1,[1]quests!$1:$1,0)-MATCH($B$1,[1]quests!$1:$1,0)+1,FALSE)</f>
        <v>ドロップイベント1-1（マルチ専用）</v>
      </c>
      <c r="E775" s="5">
        <v>1</v>
      </c>
      <c r="F775" s="3" t="str">
        <f ca="1">VLOOKUP($B775&amp;"_"&amp;$E775,OFFSET([1]stages!$A$1,0,0,COUNTA([1]stages!$A:$A),MATCH(F$1,[1]stages!$2:$2,0)-MATCH("temp_stage",[1]stages!$2:$2,0)+1),MATCH(F$1,[1]stages!$2:$2,0)-MATCH("temp_stage",[1]stages!$2:$2,0)+1,FALSE)</f>
        <v xml:space="preserve">【中級】ハンター・オブ・ハンター </v>
      </c>
      <c r="G775" s="3" t="str">
        <f ca="1">VLOOKUP($B775&amp;"_"&amp;$E775,OFFSET([1]stages!$A$1,0,0,COUNTA([1]stages!$A:$A),MATCH(G$1,[1]stages!$2:$2,0)-MATCH("temp_stage",[1]stages!$2:$2,0)+1),MATCH(G$1,[1]stages!$2:$2,0)-MATCH("temp_stage",[1]stages!$2:$2,0)+1,FALSE)</f>
        <v>ドロップイベント1-1（マルチ専用）</v>
      </c>
      <c r="H775" s="18">
        <v>0</v>
      </c>
      <c r="I775">
        <v>34</v>
      </c>
      <c r="J775" s="5" t="s">
        <v>16</v>
      </c>
      <c r="K775" s="35" t="str">
        <f>VLOOKUP(I775,[2]stage_hints!$A:$C,3,FALSE)</f>
        <v>ステータスをスキルで下げられたら</v>
      </c>
      <c r="L775" s="36" t="str">
        <f>VLOOKUP(I775,[2]stage_hints!$A:$D,4,FALSE)</f>
        <v>ステータスダウンのスキルを受けたら_x000D_ステータスアップスキルで上書きしましょう</v>
      </c>
      <c r="M775" s="21" t="s">
        <v>23</v>
      </c>
      <c r="N775">
        <v>34</v>
      </c>
    </row>
    <row r="776" spans="1:14" x14ac:dyDescent="0.15">
      <c r="A776" s="26" t="s">
        <v>32</v>
      </c>
      <c r="B776" s="4">
        <v>30001</v>
      </c>
      <c r="C776" s="3" t="str">
        <f ca="1">VLOOKUP($B776,OFFSET([1]quests!$A$1,0,0,COUNTA([1]quests!$A:$A),MATCH(C$1,[1]quests!$1:$1,0)-MATCH($B$1,[1]quests!$1:$1,0)+1),MATCH(C$1,[1]quests!$1:$1,0)-MATCH($B$1,[1]quests!$1:$1,0)+1,FALSE)</f>
        <v>ハンター・オブ・ハンター</v>
      </c>
      <c r="D776" s="3" t="str">
        <f ca="1">VLOOKUP($B776,OFFSET([1]quests!$A$1,0,0,COUNTA([1]quests!$A:$A),MATCH(D$1,[1]quests!$1:$1,0)-MATCH($B$1,[1]quests!$1:$1,0)+1),MATCH(D$1,[1]quests!$1:$1,0)-MATCH($B$1,[1]quests!$1:$1,0)+1,FALSE)</f>
        <v>ドロップイベント1-1（マルチ専用）</v>
      </c>
      <c r="E776" s="5">
        <v>1</v>
      </c>
      <c r="F776" s="3" t="str">
        <f ca="1">VLOOKUP($B776&amp;"_"&amp;$E776,OFFSET([1]stages!$A$1,0,0,COUNTA([1]stages!$A:$A),MATCH(F$1,[1]stages!$2:$2,0)-MATCH("temp_stage",[1]stages!$2:$2,0)+1),MATCH(F$1,[1]stages!$2:$2,0)-MATCH("temp_stage",[1]stages!$2:$2,0)+1,FALSE)</f>
        <v xml:space="preserve">【中級】ハンター・オブ・ハンター </v>
      </c>
      <c r="G776" s="3" t="str">
        <f ca="1">VLOOKUP($B776&amp;"_"&amp;$E776,OFFSET([1]stages!$A$1,0,0,COUNTA([1]stages!$A:$A),MATCH(G$1,[1]stages!$2:$2,0)-MATCH("temp_stage",[1]stages!$2:$2,0)+1),MATCH(G$1,[1]stages!$2:$2,0)-MATCH("temp_stage",[1]stages!$2:$2,0)+1,FALSE)</f>
        <v>ドロップイベント1-1（マルチ専用）</v>
      </c>
      <c r="H776" s="18">
        <v>0</v>
      </c>
      <c r="I776">
        <v>35</v>
      </c>
      <c r="J776" s="5" t="s">
        <v>16</v>
      </c>
      <c r="K776" s="35" t="str">
        <f>VLOOKUP(I776,[2]stage_hints!$A:$C,3,FALSE)</f>
        <v>敵のステータスがスキルで上がったら</v>
      </c>
      <c r="L776" s="36" t="str">
        <f>VLOOKUP(I776,[2]stage_hints!$A:$D,4,FALSE)</f>
        <v>敵のステータスがスキルでアップしたときは_x000D_ステータスダウンスキルで上書きしましょう</v>
      </c>
      <c r="M776" s="21" t="s">
        <v>23</v>
      </c>
      <c r="N776">
        <v>35</v>
      </c>
    </row>
    <row r="777" spans="1:14" x14ac:dyDescent="0.15">
      <c r="A777" s="26" t="s">
        <v>32</v>
      </c>
      <c r="B777" s="4">
        <v>30002</v>
      </c>
      <c r="C777" s="3" t="str">
        <f ca="1">VLOOKUP($B777,OFFSET([1]quests!$A$1,0,0,COUNTA([1]quests!$A:$A),MATCH(C$1,[1]quests!$1:$1,0)-MATCH($B$1,[1]quests!$1:$1,0)+1),MATCH(C$1,[1]quests!$1:$1,0)-MATCH($B$1,[1]quests!$1:$1,0)+1,FALSE)</f>
        <v>トリックスター</v>
      </c>
      <c r="D777" s="3" t="str">
        <f ca="1">VLOOKUP($B777,OFFSET([1]quests!$A$1,0,0,COUNTA([1]quests!$A:$A),MATCH(D$1,[1]quests!$1:$1,0)-MATCH($B$1,[1]quests!$1:$1,0)+1),MATCH(D$1,[1]quests!$1:$1,0)-MATCH($B$1,[1]quests!$1:$1,0)+1,FALSE)</f>
        <v>ドロップイベント1-2（マルチ専用）</v>
      </c>
      <c r="E777" s="5">
        <v>1</v>
      </c>
      <c r="F777" s="3" t="str">
        <f ca="1">VLOOKUP($B777&amp;"_"&amp;$E777,OFFSET([1]stages!$A$1,0,0,COUNTA([1]stages!$A:$A),MATCH(F$1,[1]stages!$2:$2,0)-MATCH("temp_stage",[1]stages!$2:$2,0)+1),MATCH(F$1,[1]stages!$2:$2,0)-MATCH("temp_stage",[1]stages!$2:$2,0)+1,FALSE)</f>
        <v xml:space="preserve">【中級】トリックスター </v>
      </c>
      <c r="G777" s="3" t="str">
        <f ca="1">VLOOKUP($B777&amp;"_"&amp;$E777,OFFSET([1]stages!$A$1,0,0,COUNTA([1]stages!$A:$A),MATCH(G$1,[1]stages!$2:$2,0)-MATCH("temp_stage",[1]stages!$2:$2,0)+1),MATCH(G$1,[1]stages!$2:$2,0)-MATCH("temp_stage",[1]stages!$2:$2,0)+1,FALSE)</f>
        <v>ドロップイベント1-2（マルチ専用）</v>
      </c>
      <c r="H777" s="18">
        <v>0</v>
      </c>
      <c r="I777">
        <v>3</v>
      </c>
      <c r="J777" s="5" t="s">
        <v>16</v>
      </c>
      <c r="K777" s="35" t="str">
        <f>VLOOKUP(I777,[2]stage_hints!$A:$C,3,FALSE)</f>
        <v>ターゲット</v>
      </c>
      <c r="L777" s="36" t="str">
        <f>VLOOKUP(I777,[2]stage_hints!$A:$D,4,FALSE)</f>
        <v>敵ユニットをタップすると_x000D_その敵を狙い撃ちできます</v>
      </c>
      <c r="M777" s="21" t="s">
        <v>23</v>
      </c>
      <c r="N777">
        <v>3</v>
      </c>
    </row>
    <row r="778" spans="1:14" x14ac:dyDescent="0.15">
      <c r="A778" s="26" t="s">
        <v>32</v>
      </c>
      <c r="B778" s="4">
        <v>30002</v>
      </c>
      <c r="C778" s="3" t="str">
        <f ca="1">VLOOKUP($B778,OFFSET([1]quests!$A$1,0,0,COUNTA([1]quests!$A:$A),MATCH(C$1,[1]quests!$1:$1,0)-MATCH($B$1,[1]quests!$1:$1,0)+1),MATCH(C$1,[1]quests!$1:$1,0)-MATCH($B$1,[1]quests!$1:$1,0)+1,FALSE)</f>
        <v>トリックスター</v>
      </c>
      <c r="D778" s="3" t="str">
        <f ca="1">VLOOKUP($B778,OFFSET([1]quests!$A$1,0,0,COUNTA([1]quests!$A:$A),MATCH(D$1,[1]quests!$1:$1,0)-MATCH($B$1,[1]quests!$1:$1,0)+1),MATCH(D$1,[1]quests!$1:$1,0)-MATCH($B$1,[1]quests!$1:$1,0)+1,FALSE)</f>
        <v>ドロップイベント1-2（マルチ専用）</v>
      </c>
      <c r="E778" s="5">
        <v>1</v>
      </c>
      <c r="F778" s="3" t="str">
        <f ca="1">VLOOKUP($B778&amp;"_"&amp;$E778,OFFSET([1]stages!$A$1,0,0,COUNTA([1]stages!$A:$A),MATCH(F$1,[1]stages!$2:$2,0)-MATCH("temp_stage",[1]stages!$2:$2,0)+1),MATCH(F$1,[1]stages!$2:$2,0)-MATCH("temp_stage",[1]stages!$2:$2,0)+1,FALSE)</f>
        <v xml:space="preserve">【中級】トリックスター </v>
      </c>
      <c r="G778" s="3" t="str">
        <f ca="1">VLOOKUP($B778&amp;"_"&amp;$E778,OFFSET([1]stages!$A$1,0,0,COUNTA([1]stages!$A:$A),MATCH(G$1,[1]stages!$2:$2,0)-MATCH("temp_stage",[1]stages!$2:$2,0)+1),MATCH(G$1,[1]stages!$2:$2,0)-MATCH("temp_stage",[1]stages!$2:$2,0)+1,FALSE)</f>
        <v>ドロップイベント1-2（マルチ専用）</v>
      </c>
      <c r="H778" s="18">
        <v>0</v>
      </c>
      <c r="I778">
        <v>6</v>
      </c>
      <c r="J778" s="5" t="s">
        <v>16</v>
      </c>
      <c r="K778" s="35" t="str">
        <f>VLOOKUP(I778,[2]stage_hints!$A:$C,3,FALSE)</f>
        <v>ユニット強化の属性ボーナス</v>
      </c>
      <c r="L778" s="36" t="str">
        <f>VLOOKUP(I778,[2]stage_hints!$A:$D,4,FALSE)</f>
        <v>同属性ユニットを強化素材にすると_x000D_経験値が多くもらえます</v>
      </c>
      <c r="M778" s="21" t="s">
        <v>23</v>
      </c>
      <c r="N778">
        <v>6</v>
      </c>
    </row>
    <row r="779" spans="1:14" x14ac:dyDescent="0.15">
      <c r="A779" s="26" t="s">
        <v>32</v>
      </c>
      <c r="B779" s="4">
        <v>30002</v>
      </c>
      <c r="C779" s="3" t="str">
        <f ca="1">VLOOKUP($B779,OFFSET([1]quests!$A$1,0,0,COUNTA([1]quests!$A:$A),MATCH(C$1,[1]quests!$1:$1,0)-MATCH($B$1,[1]quests!$1:$1,0)+1),MATCH(C$1,[1]quests!$1:$1,0)-MATCH($B$1,[1]quests!$1:$1,0)+1,FALSE)</f>
        <v>トリックスター</v>
      </c>
      <c r="D779" s="3" t="str">
        <f ca="1">VLOOKUP($B779,OFFSET([1]quests!$A$1,0,0,COUNTA([1]quests!$A:$A),MATCH(D$1,[1]quests!$1:$1,0)-MATCH($B$1,[1]quests!$1:$1,0)+1),MATCH(D$1,[1]quests!$1:$1,0)-MATCH($B$1,[1]quests!$1:$1,0)+1,FALSE)</f>
        <v>ドロップイベント1-2（マルチ専用）</v>
      </c>
      <c r="E779" s="5">
        <v>1</v>
      </c>
      <c r="F779" s="3" t="str">
        <f ca="1">VLOOKUP($B779&amp;"_"&amp;$E779,OFFSET([1]stages!$A$1,0,0,COUNTA([1]stages!$A:$A),MATCH(F$1,[1]stages!$2:$2,0)-MATCH("temp_stage",[1]stages!$2:$2,0)+1),MATCH(F$1,[1]stages!$2:$2,0)-MATCH("temp_stage",[1]stages!$2:$2,0)+1,FALSE)</f>
        <v xml:space="preserve">【中級】トリックスター </v>
      </c>
      <c r="G779" s="3" t="str">
        <f ca="1">VLOOKUP($B779&amp;"_"&amp;$E779,OFFSET([1]stages!$A$1,0,0,COUNTA([1]stages!$A:$A),MATCH(G$1,[1]stages!$2:$2,0)-MATCH("temp_stage",[1]stages!$2:$2,0)+1),MATCH(G$1,[1]stages!$2:$2,0)-MATCH("temp_stage",[1]stages!$2:$2,0)+1,FALSE)</f>
        <v>ドロップイベント1-2（マルチ専用）</v>
      </c>
      <c r="H779" s="18">
        <v>0</v>
      </c>
      <c r="I779">
        <v>7</v>
      </c>
      <c r="J779" s="5" t="s">
        <v>16</v>
      </c>
      <c r="K779" s="35" t="str">
        <f>VLOOKUP(I779,[2]stage_hints!$A:$C,3,FALSE)</f>
        <v>メタルダックで経験値を獲得</v>
      </c>
      <c r="L779" s="36" t="str">
        <f>VLOOKUP(I779,[2]stage_hints!$A:$D,4,FALSE)</f>
        <v>「メタルなアヒル」を強化素材にすると_x000D_大量の経験値がもらえます</v>
      </c>
      <c r="M779" s="21" t="s">
        <v>23</v>
      </c>
      <c r="N779">
        <v>7</v>
      </c>
    </row>
    <row r="780" spans="1:14" x14ac:dyDescent="0.15">
      <c r="A780" s="26" t="s">
        <v>32</v>
      </c>
      <c r="B780" s="4">
        <v>30002</v>
      </c>
      <c r="C780" s="3" t="str">
        <f ca="1">VLOOKUP($B780,OFFSET([1]quests!$A$1,0,0,COUNTA([1]quests!$A:$A),MATCH(C$1,[1]quests!$1:$1,0)-MATCH($B$1,[1]quests!$1:$1,0)+1),MATCH(C$1,[1]quests!$1:$1,0)-MATCH($B$1,[1]quests!$1:$1,0)+1,FALSE)</f>
        <v>トリックスター</v>
      </c>
      <c r="D780" s="3" t="str">
        <f ca="1">VLOOKUP($B780,OFFSET([1]quests!$A$1,0,0,COUNTA([1]quests!$A:$A),MATCH(D$1,[1]quests!$1:$1,0)-MATCH($B$1,[1]quests!$1:$1,0)+1),MATCH(D$1,[1]quests!$1:$1,0)-MATCH($B$1,[1]quests!$1:$1,0)+1,FALSE)</f>
        <v>ドロップイベント1-2（マルチ専用）</v>
      </c>
      <c r="E780" s="5">
        <v>1</v>
      </c>
      <c r="F780" s="3" t="str">
        <f ca="1">VLOOKUP($B780&amp;"_"&amp;$E780,OFFSET([1]stages!$A$1,0,0,COUNTA([1]stages!$A:$A),MATCH(F$1,[1]stages!$2:$2,0)-MATCH("temp_stage",[1]stages!$2:$2,0)+1),MATCH(F$1,[1]stages!$2:$2,0)-MATCH("temp_stage",[1]stages!$2:$2,0)+1,FALSE)</f>
        <v xml:space="preserve">【中級】トリックスター </v>
      </c>
      <c r="G780" s="3" t="str">
        <f ca="1">VLOOKUP($B780&amp;"_"&amp;$E780,OFFSET([1]stages!$A$1,0,0,COUNTA([1]stages!$A:$A),MATCH(G$1,[1]stages!$2:$2,0)-MATCH("temp_stage",[1]stages!$2:$2,0)+1),MATCH(G$1,[1]stages!$2:$2,0)-MATCH("temp_stage",[1]stages!$2:$2,0)+1,FALSE)</f>
        <v>ドロップイベント1-2（マルチ専用）</v>
      </c>
      <c r="H780" s="18">
        <v>0</v>
      </c>
      <c r="I780">
        <v>8</v>
      </c>
      <c r="J780" s="5" t="s">
        <v>16</v>
      </c>
      <c r="K780" s="35" t="str">
        <f>VLOOKUP(I780,[2]stage_hints!$A:$C,3,FALSE)</f>
        <v>ゲリラクエストは要チェック</v>
      </c>
      <c r="L780" s="36" t="str">
        <f>VLOOKUP(I780,[2]stage_hints!$A:$D,4,FALSE)</f>
        <v>時間限定の「アヒル捕獲作戦」では_x000D_経験値素材ユニットが多く手に入ります</v>
      </c>
      <c r="M780" s="21" t="s">
        <v>23</v>
      </c>
      <c r="N780">
        <v>8</v>
      </c>
    </row>
    <row r="781" spans="1:14" x14ac:dyDescent="0.15">
      <c r="A781" s="26" t="s">
        <v>32</v>
      </c>
      <c r="B781" s="4">
        <v>30002</v>
      </c>
      <c r="C781" s="3" t="str">
        <f ca="1">VLOOKUP($B781,OFFSET([1]quests!$A$1,0,0,COUNTA([1]quests!$A:$A),MATCH(C$1,[1]quests!$1:$1,0)-MATCH($B$1,[1]quests!$1:$1,0)+1),MATCH(C$1,[1]quests!$1:$1,0)-MATCH($B$1,[1]quests!$1:$1,0)+1,FALSE)</f>
        <v>トリックスター</v>
      </c>
      <c r="D781" s="3" t="str">
        <f ca="1">VLOOKUP($B781,OFFSET([1]quests!$A$1,0,0,COUNTA([1]quests!$A:$A),MATCH(D$1,[1]quests!$1:$1,0)-MATCH($B$1,[1]quests!$1:$1,0)+1),MATCH(D$1,[1]quests!$1:$1,0)-MATCH($B$1,[1]quests!$1:$1,0)+1,FALSE)</f>
        <v>ドロップイベント1-2（マルチ専用）</v>
      </c>
      <c r="E781" s="5">
        <v>1</v>
      </c>
      <c r="F781" s="3" t="str">
        <f ca="1">VLOOKUP($B781&amp;"_"&amp;$E781,OFFSET([1]stages!$A$1,0,0,COUNTA([1]stages!$A:$A),MATCH(F$1,[1]stages!$2:$2,0)-MATCH("temp_stage",[1]stages!$2:$2,0)+1),MATCH(F$1,[1]stages!$2:$2,0)-MATCH("temp_stage",[1]stages!$2:$2,0)+1,FALSE)</f>
        <v xml:space="preserve">【中級】トリックスター </v>
      </c>
      <c r="G781" s="3" t="str">
        <f ca="1">VLOOKUP($B781&amp;"_"&amp;$E781,OFFSET([1]stages!$A$1,0,0,COUNTA([1]stages!$A:$A),MATCH(G$1,[1]stages!$2:$2,0)-MATCH("temp_stage",[1]stages!$2:$2,0)+1),MATCH(G$1,[1]stages!$2:$2,0)-MATCH("temp_stage",[1]stages!$2:$2,0)+1,FALSE)</f>
        <v>ドロップイベント1-2（マルチ専用）</v>
      </c>
      <c r="H781" s="18">
        <v>0</v>
      </c>
      <c r="I781">
        <v>9</v>
      </c>
      <c r="J781" s="5" t="s">
        <v>16</v>
      </c>
      <c r="K781" s="35" t="str">
        <f>VLOOKUP(I781,[2]stage_hints!$A:$C,3,FALSE)</f>
        <v>ゴールドダックでビットを獲得</v>
      </c>
      <c r="L781" s="36" t="str">
        <f>VLOOKUP(I781,[2]stage_hints!$A:$D,4,FALSE)</f>
        <v>「ゴールドなアヒル」を売却すると_x000D_大量のビットがもらえます</v>
      </c>
      <c r="M781" s="21" t="s">
        <v>23</v>
      </c>
      <c r="N781">
        <v>9</v>
      </c>
    </row>
    <row r="782" spans="1:14" x14ac:dyDescent="0.15">
      <c r="A782" s="26" t="s">
        <v>32</v>
      </c>
      <c r="B782" s="4">
        <v>30002</v>
      </c>
      <c r="C782" s="3" t="str">
        <f ca="1">VLOOKUP($B782,OFFSET([1]quests!$A$1,0,0,COUNTA([1]quests!$A:$A),MATCH(C$1,[1]quests!$1:$1,0)-MATCH($B$1,[1]quests!$1:$1,0)+1),MATCH(C$1,[1]quests!$1:$1,0)-MATCH($B$1,[1]quests!$1:$1,0)+1,FALSE)</f>
        <v>トリックスター</v>
      </c>
      <c r="D782" s="3" t="str">
        <f ca="1">VLOOKUP($B782,OFFSET([1]quests!$A$1,0,0,COUNTA([1]quests!$A:$A),MATCH(D$1,[1]quests!$1:$1,0)-MATCH($B$1,[1]quests!$1:$1,0)+1),MATCH(D$1,[1]quests!$1:$1,0)-MATCH($B$1,[1]quests!$1:$1,0)+1,FALSE)</f>
        <v>ドロップイベント1-2（マルチ専用）</v>
      </c>
      <c r="E782" s="5">
        <v>1</v>
      </c>
      <c r="F782" s="3" t="str">
        <f ca="1">VLOOKUP($B782&amp;"_"&amp;$E782,OFFSET([1]stages!$A$1,0,0,COUNTA([1]stages!$A:$A),MATCH(F$1,[1]stages!$2:$2,0)-MATCH("temp_stage",[1]stages!$2:$2,0)+1),MATCH(F$1,[1]stages!$2:$2,0)-MATCH("temp_stage",[1]stages!$2:$2,0)+1,FALSE)</f>
        <v xml:space="preserve">【中級】トリックスター </v>
      </c>
      <c r="G782" s="3" t="str">
        <f ca="1">VLOOKUP($B782&amp;"_"&amp;$E782,OFFSET([1]stages!$A$1,0,0,COUNTA([1]stages!$A:$A),MATCH(G$1,[1]stages!$2:$2,0)-MATCH("temp_stage",[1]stages!$2:$2,0)+1),MATCH(G$1,[1]stages!$2:$2,0)-MATCH("temp_stage",[1]stages!$2:$2,0)+1,FALSE)</f>
        <v>ドロップイベント1-2（マルチ専用）</v>
      </c>
      <c r="H782" s="18">
        <v>0</v>
      </c>
      <c r="I782">
        <v>10</v>
      </c>
      <c r="J782" s="5" t="s">
        <v>16</v>
      </c>
      <c r="K782" s="35" t="str">
        <f>VLOOKUP(I782,[2]stage_hints!$A:$C,3,FALSE)</f>
        <v>土日に大量のビットを獲得</v>
      </c>
      <c r="L782" s="36" t="str">
        <f>VLOOKUP(I782,[2]stage_hints!$A:$D,4,FALSE)</f>
        <v>土日限定の「ゴールドカジノ」では_x000D_売却素材ユニットが多く手に入ります</v>
      </c>
      <c r="M782" s="21" t="s">
        <v>23</v>
      </c>
      <c r="N782">
        <v>10</v>
      </c>
    </row>
    <row r="783" spans="1:14" x14ac:dyDescent="0.15">
      <c r="A783" s="26" t="s">
        <v>32</v>
      </c>
      <c r="B783" s="4">
        <v>30002</v>
      </c>
      <c r="C783" s="3" t="str">
        <f ca="1">VLOOKUP($B783,OFFSET([1]quests!$A$1,0,0,COUNTA([1]quests!$A:$A),MATCH(C$1,[1]quests!$1:$1,0)-MATCH($B$1,[1]quests!$1:$1,0)+1),MATCH(C$1,[1]quests!$1:$1,0)-MATCH($B$1,[1]quests!$1:$1,0)+1,FALSE)</f>
        <v>トリックスター</v>
      </c>
      <c r="D783" s="3" t="str">
        <f ca="1">VLOOKUP($B783,OFFSET([1]quests!$A$1,0,0,COUNTA([1]quests!$A:$A),MATCH(D$1,[1]quests!$1:$1,0)-MATCH($B$1,[1]quests!$1:$1,0)+1),MATCH(D$1,[1]quests!$1:$1,0)-MATCH($B$1,[1]quests!$1:$1,0)+1,FALSE)</f>
        <v>ドロップイベント1-2（マルチ専用）</v>
      </c>
      <c r="E783" s="5">
        <v>1</v>
      </c>
      <c r="F783" s="3" t="str">
        <f ca="1">VLOOKUP($B783&amp;"_"&amp;$E783,OFFSET([1]stages!$A$1,0,0,COUNTA([1]stages!$A:$A),MATCH(F$1,[1]stages!$2:$2,0)-MATCH("temp_stage",[1]stages!$2:$2,0)+1),MATCH(F$1,[1]stages!$2:$2,0)-MATCH("temp_stage",[1]stages!$2:$2,0)+1,FALSE)</f>
        <v xml:space="preserve">【中級】トリックスター </v>
      </c>
      <c r="G783" s="3" t="str">
        <f ca="1">VLOOKUP($B783&amp;"_"&amp;$E783,OFFSET([1]stages!$A$1,0,0,COUNTA([1]stages!$A:$A),MATCH(G$1,[1]stages!$2:$2,0)-MATCH("temp_stage",[1]stages!$2:$2,0)+1),MATCH(G$1,[1]stages!$2:$2,0)-MATCH("temp_stage",[1]stages!$2:$2,0)+1,FALSE)</f>
        <v>ドロップイベント1-2（マルチ専用）</v>
      </c>
      <c r="H783" s="18">
        <v>0</v>
      </c>
      <c r="I783">
        <v>11</v>
      </c>
      <c r="J783" s="5" t="s">
        <v>16</v>
      </c>
      <c r="K783" s="35" t="str">
        <f>VLOOKUP(I783,[2]stage_hints!$A:$C,3,FALSE)</f>
        <v>ランク解放クエスト</v>
      </c>
      <c r="L783" s="36" t="str">
        <f>VLOOKUP(I783,[2]stage_hints!$A:$D,4,FALSE)</f>
        <v>一定ランクに到達すると_x000D_報酬付きのランク開放クエストが現れます</v>
      </c>
      <c r="M783" s="21" t="s">
        <v>23</v>
      </c>
      <c r="N783">
        <v>11</v>
      </c>
    </row>
    <row r="784" spans="1:14" x14ac:dyDescent="0.15">
      <c r="A784" s="26" t="s">
        <v>32</v>
      </c>
      <c r="B784" s="4">
        <v>30002</v>
      </c>
      <c r="C784" s="3" t="str">
        <f ca="1">VLOOKUP($B784,OFFSET([1]quests!$A$1,0,0,COUNTA([1]quests!$A:$A),MATCH(C$1,[1]quests!$1:$1,0)-MATCH($B$1,[1]quests!$1:$1,0)+1),MATCH(C$1,[1]quests!$1:$1,0)-MATCH($B$1,[1]quests!$1:$1,0)+1,FALSE)</f>
        <v>トリックスター</v>
      </c>
      <c r="D784" s="3" t="str">
        <f ca="1">VLOOKUP($B784,OFFSET([1]quests!$A$1,0,0,COUNTA([1]quests!$A:$A),MATCH(D$1,[1]quests!$1:$1,0)-MATCH($B$1,[1]quests!$1:$1,0)+1),MATCH(D$1,[1]quests!$1:$1,0)-MATCH($B$1,[1]quests!$1:$1,0)+1,FALSE)</f>
        <v>ドロップイベント1-2（マルチ専用）</v>
      </c>
      <c r="E784" s="5">
        <v>1</v>
      </c>
      <c r="F784" s="3" t="str">
        <f ca="1">VLOOKUP($B784&amp;"_"&amp;$E784,OFFSET([1]stages!$A$1,0,0,COUNTA([1]stages!$A:$A),MATCH(F$1,[1]stages!$2:$2,0)-MATCH("temp_stage",[1]stages!$2:$2,0)+1),MATCH(F$1,[1]stages!$2:$2,0)-MATCH("temp_stage",[1]stages!$2:$2,0)+1,FALSE)</f>
        <v xml:space="preserve">【中級】トリックスター </v>
      </c>
      <c r="G784" s="3" t="str">
        <f ca="1">VLOOKUP($B784&amp;"_"&amp;$E784,OFFSET([1]stages!$A$1,0,0,COUNTA([1]stages!$A:$A),MATCH(G$1,[1]stages!$2:$2,0)-MATCH("temp_stage",[1]stages!$2:$2,0)+1),MATCH(G$1,[1]stages!$2:$2,0)-MATCH("temp_stage",[1]stages!$2:$2,0)+1,FALSE)</f>
        <v>ドロップイベント1-2（マルチ専用）</v>
      </c>
      <c r="H784" s="18">
        <v>0</v>
      </c>
      <c r="I784">
        <v>12</v>
      </c>
      <c r="J784" s="5" t="s">
        <v>16</v>
      </c>
      <c r="K784" s="35" t="str">
        <f>VLOOKUP(I784,[2]stage_hints!$A:$C,3,FALSE)</f>
        <v>ユニットのお気に入り登録</v>
      </c>
      <c r="L784" s="36" t="str">
        <f>VLOOKUP(I784,[2]stage_hints!$A:$D,4,FALSE)</f>
        <v>大事なユニットを誤って消さないように_x000D_フォルダから「お気に入り登録」しましょう</v>
      </c>
      <c r="M784" s="21" t="s">
        <v>23</v>
      </c>
      <c r="N784">
        <v>12</v>
      </c>
    </row>
    <row r="785" spans="1:14" x14ac:dyDescent="0.15">
      <c r="A785" s="26" t="s">
        <v>32</v>
      </c>
      <c r="B785" s="4">
        <v>30002</v>
      </c>
      <c r="C785" s="3" t="str">
        <f ca="1">VLOOKUP($B785,OFFSET([1]quests!$A$1,0,0,COUNTA([1]quests!$A:$A),MATCH(C$1,[1]quests!$1:$1,0)-MATCH($B$1,[1]quests!$1:$1,0)+1),MATCH(C$1,[1]quests!$1:$1,0)-MATCH($B$1,[1]quests!$1:$1,0)+1,FALSE)</f>
        <v>トリックスター</v>
      </c>
      <c r="D785" s="3" t="str">
        <f ca="1">VLOOKUP($B785,OFFSET([1]quests!$A$1,0,0,COUNTA([1]quests!$A:$A),MATCH(D$1,[1]quests!$1:$1,0)-MATCH($B$1,[1]quests!$1:$1,0)+1),MATCH(D$1,[1]quests!$1:$1,0)-MATCH($B$1,[1]quests!$1:$1,0)+1,FALSE)</f>
        <v>ドロップイベント1-2（マルチ専用）</v>
      </c>
      <c r="E785" s="5">
        <v>1</v>
      </c>
      <c r="F785" s="3" t="str">
        <f ca="1">VLOOKUP($B785&amp;"_"&amp;$E785,OFFSET([1]stages!$A$1,0,0,COUNTA([1]stages!$A:$A),MATCH(F$1,[1]stages!$2:$2,0)-MATCH("temp_stage",[1]stages!$2:$2,0)+1),MATCH(F$1,[1]stages!$2:$2,0)-MATCH("temp_stage",[1]stages!$2:$2,0)+1,FALSE)</f>
        <v xml:space="preserve">【中級】トリックスター </v>
      </c>
      <c r="G785" s="3" t="str">
        <f ca="1">VLOOKUP($B785&amp;"_"&amp;$E785,OFFSET([1]stages!$A$1,0,0,COUNTA([1]stages!$A:$A),MATCH(G$1,[1]stages!$2:$2,0)-MATCH("temp_stage",[1]stages!$2:$2,0)+1),MATCH(G$1,[1]stages!$2:$2,0)-MATCH("temp_stage",[1]stages!$2:$2,0)+1,FALSE)</f>
        <v>ドロップイベント1-2（マルチ専用）</v>
      </c>
      <c r="H785" s="18">
        <v>0</v>
      </c>
      <c r="I785">
        <v>13</v>
      </c>
      <c r="J785" s="5" t="s">
        <v>16</v>
      </c>
      <c r="K785" s="35" t="str">
        <f>VLOOKUP(I785,[2]stage_hints!$A:$C,3,FALSE)</f>
        <v>ユニットの覚醒</v>
      </c>
      <c r="L785" s="36" t="str">
        <f>VLOOKUP(I785,[2]stage_hints!$A:$D,4,FALSE)</f>
        <v>ユニットを覚醒させると_x000D_比べものにならない強さが手に入ります</v>
      </c>
      <c r="M785" s="21" t="s">
        <v>23</v>
      </c>
      <c r="N785">
        <v>13</v>
      </c>
    </row>
    <row r="786" spans="1:14" x14ac:dyDescent="0.15">
      <c r="A786" s="26" t="s">
        <v>32</v>
      </c>
      <c r="B786" s="4">
        <v>30002</v>
      </c>
      <c r="C786" s="3" t="str">
        <f ca="1">VLOOKUP($B786,OFFSET([1]quests!$A$1,0,0,COUNTA([1]quests!$A:$A),MATCH(C$1,[1]quests!$1:$1,0)-MATCH($B$1,[1]quests!$1:$1,0)+1),MATCH(C$1,[1]quests!$1:$1,0)-MATCH($B$1,[1]quests!$1:$1,0)+1,FALSE)</f>
        <v>トリックスター</v>
      </c>
      <c r="D786" s="3" t="str">
        <f ca="1">VLOOKUP($B786,OFFSET([1]quests!$A$1,0,0,COUNTA([1]quests!$A:$A),MATCH(D$1,[1]quests!$1:$1,0)-MATCH($B$1,[1]quests!$1:$1,0)+1),MATCH(D$1,[1]quests!$1:$1,0)-MATCH($B$1,[1]quests!$1:$1,0)+1,FALSE)</f>
        <v>ドロップイベント1-2（マルチ専用）</v>
      </c>
      <c r="E786" s="5">
        <v>1</v>
      </c>
      <c r="F786" s="3" t="str">
        <f ca="1">VLOOKUP($B786&amp;"_"&amp;$E786,OFFSET([1]stages!$A$1,0,0,COUNTA([1]stages!$A:$A),MATCH(F$1,[1]stages!$2:$2,0)-MATCH("temp_stage",[1]stages!$2:$2,0)+1),MATCH(F$1,[1]stages!$2:$2,0)-MATCH("temp_stage",[1]stages!$2:$2,0)+1,FALSE)</f>
        <v xml:space="preserve">【中級】トリックスター </v>
      </c>
      <c r="G786" s="3" t="str">
        <f ca="1">VLOOKUP($B786&amp;"_"&amp;$E786,OFFSET([1]stages!$A$1,0,0,COUNTA([1]stages!$A:$A),MATCH(G$1,[1]stages!$2:$2,0)-MATCH("temp_stage",[1]stages!$2:$2,0)+1),MATCH(G$1,[1]stages!$2:$2,0)-MATCH("temp_stage",[1]stages!$2:$2,0)+1,FALSE)</f>
        <v>ドロップイベント1-2（マルチ専用）</v>
      </c>
      <c r="H786" s="18">
        <v>0</v>
      </c>
      <c r="I786">
        <v>14</v>
      </c>
      <c r="J786" s="5" t="s">
        <v>16</v>
      </c>
      <c r="K786" s="35" t="str">
        <f>VLOOKUP(I786,[2]stage_hints!$A:$C,3,FALSE)</f>
        <v>覚醒するにはレベルを最大に</v>
      </c>
      <c r="L786" s="36" t="str">
        <f>VLOOKUP(I786,[2]stage_hints!$A:$D,4,FALSE)</f>
        <v>覚醒するにはユニットのレベルを_x000D_最大まで上げる必要があります</v>
      </c>
      <c r="M786" s="21" t="s">
        <v>23</v>
      </c>
      <c r="N786">
        <v>14</v>
      </c>
    </row>
    <row r="787" spans="1:14" x14ac:dyDescent="0.15">
      <c r="A787" s="26" t="s">
        <v>32</v>
      </c>
      <c r="B787" s="4">
        <v>30002</v>
      </c>
      <c r="C787" s="3" t="str">
        <f ca="1">VLOOKUP($B787,OFFSET([1]quests!$A$1,0,0,COUNTA([1]quests!$A:$A),MATCH(C$1,[1]quests!$1:$1,0)-MATCH($B$1,[1]quests!$1:$1,0)+1),MATCH(C$1,[1]quests!$1:$1,0)-MATCH($B$1,[1]quests!$1:$1,0)+1,FALSE)</f>
        <v>トリックスター</v>
      </c>
      <c r="D787" s="3" t="str">
        <f ca="1">VLOOKUP($B787,OFFSET([1]quests!$A$1,0,0,COUNTA([1]quests!$A:$A),MATCH(D$1,[1]quests!$1:$1,0)-MATCH($B$1,[1]quests!$1:$1,0)+1),MATCH(D$1,[1]quests!$1:$1,0)-MATCH($B$1,[1]quests!$1:$1,0)+1,FALSE)</f>
        <v>ドロップイベント1-2（マルチ専用）</v>
      </c>
      <c r="E787" s="5">
        <v>1</v>
      </c>
      <c r="F787" s="3" t="str">
        <f ca="1">VLOOKUP($B787&amp;"_"&amp;$E787,OFFSET([1]stages!$A$1,0,0,COUNTA([1]stages!$A:$A),MATCH(F$1,[1]stages!$2:$2,0)-MATCH("temp_stage",[1]stages!$2:$2,0)+1),MATCH(F$1,[1]stages!$2:$2,0)-MATCH("temp_stage",[1]stages!$2:$2,0)+1,FALSE)</f>
        <v xml:space="preserve">【中級】トリックスター </v>
      </c>
      <c r="G787" s="3" t="str">
        <f ca="1">VLOOKUP($B787&amp;"_"&amp;$E787,OFFSET([1]stages!$A$1,0,0,COUNTA([1]stages!$A:$A),MATCH(G$1,[1]stages!$2:$2,0)-MATCH("temp_stage",[1]stages!$2:$2,0)+1),MATCH(G$1,[1]stages!$2:$2,0)-MATCH("temp_stage",[1]stages!$2:$2,0)+1,FALSE)</f>
        <v>ドロップイベント1-2（マルチ専用）</v>
      </c>
      <c r="H787" s="18">
        <v>0</v>
      </c>
      <c r="I787">
        <v>15</v>
      </c>
      <c r="J787" s="5" t="s">
        <v>16</v>
      </c>
      <c r="K787" s="35" t="str">
        <f>VLOOKUP(I787,[2]stage_hints!$A:$C,3,FALSE)</f>
        <v>覚醒素材を獲得</v>
      </c>
      <c r="L787" s="36" t="str">
        <f>VLOOKUP(I787,[2]stage_hints!$A:$D,4,FALSE)</f>
        <v>「曜日クエスト」では_x000D_ユニットの覚醒に必要な素材が手に入ります</v>
      </c>
      <c r="M787" s="21" t="s">
        <v>23</v>
      </c>
      <c r="N787">
        <v>15</v>
      </c>
    </row>
    <row r="788" spans="1:14" x14ac:dyDescent="0.15">
      <c r="A788" s="26" t="s">
        <v>32</v>
      </c>
      <c r="B788" s="4">
        <v>30002</v>
      </c>
      <c r="C788" s="3" t="str">
        <f ca="1">VLOOKUP($B788,OFFSET([1]quests!$A$1,0,0,COUNTA([1]quests!$A:$A),MATCH(C$1,[1]quests!$1:$1,0)-MATCH($B$1,[1]quests!$1:$1,0)+1),MATCH(C$1,[1]quests!$1:$1,0)-MATCH($B$1,[1]quests!$1:$1,0)+1,FALSE)</f>
        <v>トリックスター</v>
      </c>
      <c r="D788" s="3" t="str">
        <f ca="1">VLOOKUP($B788,OFFSET([1]quests!$A$1,0,0,COUNTA([1]quests!$A:$A),MATCH(D$1,[1]quests!$1:$1,0)-MATCH($B$1,[1]quests!$1:$1,0)+1),MATCH(D$1,[1]quests!$1:$1,0)-MATCH($B$1,[1]quests!$1:$1,0)+1,FALSE)</f>
        <v>ドロップイベント1-2（マルチ専用）</v>
      </c>
      <c r="E788" s="5">
        <v>1</v>
      </c>
      <c r="F788" s="3" t="str">
        <f ca="1">VLOOKUP($B788&amp;"_"&amp;$E788,OFFSET([1]stages!$A$1,0,0,COUNTA([1]stages!$A:$A),MATCH(F$1,[1]stages!$2:$2,0)-MATCH("temp_stage",[1]stages!$2:$2,0)+1),MATCH(F$1,[1]stages!$2:$2,0)-MATCH("temp_stage",[1]stages!$2:$2,0)+1,FALSE)</f>
        <v xml:space="preserve">【中級】トリックスター </v>
      </c>
      <c r="G788" s="3" t="str">
        <f ca="1">VLOOKUP($B788&amp;"_"&amp;$E788,OFFSET([1]stages!$A$1,0,0,COUNTA([1]stages!$A:$A),MATCH(G$1,[1]stages!$2:$2,0)-MATCH("temp_stage",[1]stages!$2:$2,0)+1),MATCH(G$1,[1]stages!$2:$2,0)-MATCH("temp_stage",[1]stages!$2:$2,0)+1,FALSE)</f>
        <v>ドロップイベント1-2（マルチ専用）</v>
      </c>
      <c r="H788" s="18">
        <v>0</v>
      </c>
      <c r="I788">
        <v>16</v>
      </c>
      <c r="J788" s="5" t="s">
        <v>16</v>
      </c>
      <c r="K788" s="35" t="str">
        <f>VLOOKUP(I788,[2]stage_hints!$A:$C,3,FALSE)</f>
        <v>マルチプレイのメリット（その1）</v>
      </c>
      <c r="L788" s="36" t="str">
        <f>VLOOKUP(I788,[2]stage_hints!$A:$D,4,FALSE)</f>
        <v>他のプレイヤーとマルチプレイで遊ぶと_x000D_ポリゴンがもらえます（100人まで）</v>
      </c>
      <c r="M788" s="21" t="s">
        <v>23</v>
      </c>
      <c r="N788">
        <v>16</v>
      </c>
    </row>
    <row r="789" spans="1:14" x14ac:dyDescent="0.15">
      <c r="A789" s="26" t="s">
        <v>32</v>
      </c>
      <c r="B789" s="4">
        <v>30002</v>
      </c>
      <c r="C789" s="3" t="str">
        <f ca="1">VLOOKUP($B789,OFFSET([1]quests!$A$1,0,0,COUNTA([1]quests!$A:$A),MATCH(C$1,[1]quests!$1:$1,0)-MATCH($B$1,[1]quests!$1:$1,0)+1),MATCH(C$1,[1]quests!$1:$1,0)-MATCH($B$1,[1]quests!$1:$1,0)+1,FALSE)</f>
        <v>トリックスター</v>
      </c>
      <c r="D789" s="3" t="str">
        <f ca="1">VLOOKUP($B789,OFFSET([1]quests!$A$1,0,0,COUNTA([1]quests!$A:$A),MATCH(D$1,[1]quests!$1:$1,0)-MATCH($B$1,[1]quests!$1:$1,0)+1),MATCH(D$1,[1]quests!$1:$1,0)-MATCH($B$1,[1]quests!$1:$1,0)+1,FALSE)</f>
        <v>ドロップイベント1-2（マルチ専用）</v>
      </c>
      <c r="E789" s="5">
        <v>1</v>
      </c>
      <c r="F789" s="3" t="str">
        <f ca="1">VLOOKUP($B789&amp;"_"&amp;$E789,OFFSET([1]stages!$A$1,0,0,COUNTA([1]stages!$A:$A),MATCH(F$1,[1]stages!$2:$2,0)-MATCH("temp_stage",[1]stages!$2:$2,0)+1),MATCH(F$1,[1]stages!$2:$2,0)-MATCH("temp_stage",[1]stages!$2:$2,0)+1,FALSE)</f>
        <v xml:space="preserve">【中級】トリックスター </v>
      </c>
      <c r="G789" s="3" t="str">
        <f ca="1">VLOOKUP($B789&amp;"_"&amp;$E789,OFFSET([1]stages!$A$1,0,0,COUNTA([1]stages!$A:$A),MATCH(G$1,[1]stages!$2:$2,0)-MATCH("temp_stage",[1]stages!$2:$2,0)+1),MATCH(G$1,[1]stages!$2:$2,0)-MATCH("temp_stage",[1]stages!$2:$2,0)+1,FALSE)</f>
        <v>ドロップイベント1-2（マルチ専用）</v>
      </c>
      <c r="H789" s="18">
        <v>0</v>
      </c>
      <c r="I789">
        <v>17</v>
      </c>
      <c r="J789" s="5" t="s">
        <v>16</v>
      </c>
      <c r="K789" s="35" t="str">
        <f>VLOOKUP(I789,[2]stage_hints!$A:$C,3,FALSE)</f>
        <v>リンクガチャ</v>
      </c>
      <c r="L789" s="36" t="str">
        <f>VLOOKUP(I789,[2]stage_hints!$A:$D,4,FALSE)</f>
        <v>無料のリンクガチャを回して_x000D_経験値素材や売却素材を獲得しましょう</v>
      </c>
      <c r="M789" s="21" t="s">
        <v>23</v>
      </c>
      <c r="N789">
        <v>17</v>
      </c>
    </row>
    <row r="790" spans="1:14" x14ac:dyDescent="0.15">
      <c r="A790" s="26" t="s">
        <v>32</v>
      </c>
      <c r="B790" s="4">
        <v>30002</v>
      </c>
      <c r="C790" s="3" t="str">
        <f ca="1">VLOOKUP($B790,OFFSET([1]quests!$A$1,0,0,COUNTA([1]quests!$A:$A),MATCH(C$1,[1]quests!$1:$1,0)-MATCH($B$1,[1]quests!$1:$1,0)+1),MATCH(C$1,[1]quests!$1:$1,0)-MATCH($B$1,[1]quests!$1:$1,0)+1,FALSE)</f>
        <v>トリックスター</v>
      </c>
      <c r="D790" s="3" t="str">
        <f ca="1">VLOOKUP($B790,OFFSET([1]quests!$A$1,0,0,COUNTA([1]quests!$A:$A),MATCH(D$1,[1]quests!$1:$1,0)-MATCH($B$1,[1]quests!$1:$1,0)+1),MATCH(D$1,[1]quests!$1:$1,0)-MATCH($B$1,[1]quests!$1:$1,0)+1,FALSE)</f>
        <v>ドロップイベント1-2（マルチ専用）</v>
      </c>
      <c r="E790" s="5">
        <v>1</v>
      </c>
      <c r="F790" s="3" t="str">
        <f ca="1">VLOOKUP($B790&amp;"_"&amp;$E790,OFFSET([1]stages!$A$1,0,0,COUNTA([1]stages!$A:$A),MATCH(F$1,[1]stages!$2:$2,0)-MATCH("temp_stage",[1]stages!$2:$2,0)+1),MATCH(F$1,[1]stages!$2:$2,0)-MATCH("temp_stage",[1]stages!$2:$2,0)+1,FALSE)</f>
        <v xml:space="preserve">【中級】トリックスター </v>
      </c>
      <c r="G790" s="3" t="str">
        <f ca="1">VLOOKUP($B790&amp;"_"&amp;$E790,OFFSET([1]stages!$A$1,0,0,COUNTA([1]stages!$A:$A),MATCH(G$1,[1]stages!$2:$2,0)-MATCH("temp_stage",[1]stages!$2:$2,0)+1),MATCH(G$1,[1]stages!$2:$2,0)-MATCH("temp_stage",[1]stages!$2:$2,0)+1,FALSE)</f>
        <v>ドロップイベント1-2（マルチ専用）</v>
      </c>
      <c r="H790" s="18">
        <v>0</v>
      </c>
      <c r="I790">
        <v>18</v>
      </c>
      <c r="J790" s="5" t="s">
        <v>16</v>
      </c>
      <c r="K790" s="35" t="str">
        <f>VLOOKUP(I790,[2]stage_hints!$A:$C,3,FALSE)</f>
        <v>マルチプレイのメリット（その2）</v>
      </c>
      <c r="L790" s="36" t="str">
        <f>VLOOKUP(I790,[2]stage_hints!$A:$D,4,FALSE)</f>
        <v>マルチプレイならリンクが2倍もらえます_x000D_リンクガチャをたくさん回しましょう</v>
      </c>
      <c r="M790" s="21" t="s">
        <v>23</v>
      </c>
      <c r="N790">
        <v>18</v>
      </c>
    </row>
    <row r="791" spans="1:14" x14ac:dyDescent="0.15">
      <c r="A791" s="26" t="s">
        <v>32</v>
      </c>
      <c r="B791" s="4">
        <v>30002</v>
      </c>
      <c r="C791" s="3" t="str">
        <f ca="1">VLOOKUP($B791,OFFSET([1]quests!$A$1,0,0,COUNTA([1]quests!$A:$A),MATCH(C$1,[1]quests!$1:$1,0)-MATCH($B$1,[1]quests!$1:$1,0)+1),MATCH(C$1,[1]quests!$1:$1,0)-MATCH($B$1,[1]quests!$1:$1,0)+1,FALSE)</f>
        <v>トリックスター</v>
      </c>
      <c r="D791" s="3" t="str">
        <f ca="1">VLOOKUP($B791,OFFSET([1]quests!$A$1,0,0,COUNTA([1]quests!$A:$A),MATCH(D$1,[1]quests!$1:$1,0)-MATCH($B$1,[1]quests!$1:$1,0)+1),MATCH(D$1,[1]quests!$1:$1,0)-MATCH($B$1,[1]quests!$1:$1,0)+1,FALSE)</f>
        <v>ドロップイベント1-2（マルチ専用）</v>
      </c>
      <c r="E791" s="5">
        <v>1</v>
      </c>
      <c r="F791" s="3" t="str">
        <f ca="1">VLOOKUP($B791&amp;"_"&amp;$E791,OFFSET([1]stages!$A$1,0,0,COUNTA([1]stages!$A:$A),MATCH(F$1,[1]stages!$2:$2,0)-MATCH("temp_stage",[1]stages!$2:$2,0)+1),MATCH(F$1,[1]stages!$2:$2,0)-MATCH("temp_stage",[1]stages!$2:$2,0)+1,FALSE)</f>
        <v xml:space="preserve">【中級】トリックスター </v>
      </c>
      <c r="G791" s="3" t="str">
        <f ca="1">VLOOKUP($B791&amp;"_"&amp;$E791,OFFSET([1]stages!$A$1,0,0,COUNTA([1]stages!$A:$A),MATCH(G$1,[1]stages!$2:$2,0)-MATCH("temp_stage",[1]stages!$2:$2,0)+1),MATCH(G$1,[1]stages!$2:$2,0)-MATCH("temp_stage",[1]stages!$2:$2,0)+1,FALSE)</f>
        <v>ドロップイベント1-2（マルチ専用）</v>
      </c>
      <c r="H791" s="18">
        <v>0</v>
      </c>
      <c r="I791">
        <v>19</v>
      </c>
      <c r="J791" s="5" t="s">
        <v>16</v>
      </c>
      <c r="K791" s="35" t="str">
        <f>VLOOKUP(I791,[2]stage_hints!$A:$C,3,FALSE)</f>
        <v>ソロ専用チャレンジタワー</v>
      </c>
      <c r="L791" s="36" t="str">
        <f>VLOOKUP(I791,[2]stage_hints!$A:$D,4,FALSE)</f>
        <v>ソロ専用の「チャレンジタワー」では_x000D_各フロアごとにクリア報酬がもらえます</v>
      </c>
      <c r="M791" s="21" t="s">
        <v>23</v>
      </c>
      <c r="N791">
        <v>19</v>
      </c>
    </row>
    <row r="792" spans="1:14" x14ac:dyDescent="0.15">
      <c r="A792" s="26" t="s">
        <v>32</v>
      </c>
      <c r="B792" s="4">
        <v>30002</v>
      </c>
      <c r="C792" s="3" t="str">
        <f ca="1">VLOOKUP($B792,OFFSET([1]quests!$A$1,0,0,COUNTA([1]quests!$A:$A),MATCH(C$1,[1]quests!$1:$1,0)-MATCH($B$1,[1]quests!$1:$1,0)+1),MATCH(C$1,[1]quests!$1:$1,0)-MATCH($B$1,[1]quests!$1:$1,0)+1,FALSE)</f>
        <v>トリックスター</v>
      </c>
      <c r="D792" s="3" t="str">
        <f ca="1">VLOOKUP($B792,OFFSET([1]quests!$A$1,0,0,COUNTA([1]quests!$A:$A),MATCH(D$1,[1]quests!$1:$1,0)-MATCH($B$1,[1]quests!$1:$1,0)+1),MATCH(D$1,[1]quests!$1:$1,0)-MATCH($B$1,[1]quests!$1:$1,0)+1,FALSE)</f>
        <v>ドロップイベント1-2（マルチ専用）</v>
      </c>
      <c r="E792" s="5">
        <v>1</v>
      </c>
      <c r="F792" s="3" t="str">
        <f ca="1">VLOOKUP($B792&amp;"_"&amp;$E792,OFFSET([1]stages!$A$1,0,0,COUNTA([1]stages!$A:$A),MATCH(F$1,[1]stages!$2:$2,0)-MATCH("temp_stage",[1]stages!$2:$2,0)+1),MATCH(F$1,[1]stages!$2:$2,0)-MATCH("temp_stage",[1]stages!$2:$2,0)+1,FALSE)</f>
        <v xml:space="preserve">【中級】トリックスター </v>
      </c>
      <c r="G792" s="3" t="str">
        <f ca="1">VLOOKUP($B792&amp;"_"&amp;$E792,OFFSET([1]stages!$A$1,0,0,COUNTA([1]stages!$A:$A),MATCH(G$1,[1]stages!$2:$2,0)-MATCH("temp_stage",[1]stages!$2:$2,0)+1),MATCH(G$1,[1]stages!$2:$2,0)-MATCH("temp_stage",[1]stages!$2:$2,0)+1,FALSE)</f>
        <v>ドロップイベント1-2（マルチ専用）</v>
      </c>
      <c r="H792" s="18">
        <v>0</v>
      </c>
      <c r="I792">
        <v>20</v>
      </c>
      <c r="J792" s="5" t="s">
        <v>16</v>
      </c>
      <c r="K792" s="35" t="str">
        <f>VLOOKUP(I792,[2]stage_hints!$A:$C,3,FALSE)</f>
        <v>マルチプレイのメリット（その3）</v>
      </c>
      <c r="L792" s="36" t="str">
        <f>VLOOKUP(I792,[2]stage_hints!$A:$D,4,FALSE)</f>
        <v>マルチプレイへの参加はエナジー消費ゼロ_x000D_いつでも好きなだけ遊ぶことができます</v>
      </c>
      <c r="M792" s="21" t="s">
        <v>23</v>
      </c>
      <c r="N792">
        <v>20</v>
      </c>
    </row>
    <row r="793" spans="1:14" x14ac:dyDescent="0.15">
      <c r="A793" s="26" t="s">
        <v>32</v>
      </c>
      <c r="B793" s="4">
        <v>30002</v>
      </c>
      <c r="C793" s="3" t="str">
        <f ca="1">VLOOKUP($B793,OFFSET([1]quests!$A$1,0,0,COUNTA([1]quests!$A:$A),MATCH(C$1,[1]quests!$1:$1,0)-MATCH($B$1,[1]quests!$1:$1,0)+1),MATCH(C$1,[1]quests!$1:$1,0)-MATCH($B$1,[1]quests!$1:$1,0)+1,FALSE)</f>
        <v>トリックスター</v>
      </c>
      <c r="D793" s="3" t="str">
        <f ca="1">VLOOKUP($B793,OFFSET([1]quests!$A$1,0,0,COUNTA([1]quests!$A:$A),MATCH(D$1,[1]quests!$1:$1,0)-MATCH($B$1,[1]quests!$1:$1,0)+1),MATCH(D$1,[1]quests!$1:$1,0)-MATCH($B$1,[1]quests!$1:$1,0)+1,FALSE)</f>
        <v>ドロップイベント1-2（マルチ専用）</v>
      </c>
      <c r="E793" s="5">
        <v>1</v>
      </c>
      <c r="F793" s="3" t="str">
        <f ca="1">VLOOKUP($B793&amp;"_"&amp;$E793,OFFSET([1]stages!$A$1,0,0,COUNTA([1]stages!$A:$A),MATCH(F$1,[1]stages!$2:$2,0)-MATCH("temp_stage",[1]stages!$2:$2,0)+1),MATCH(F$1,[1]stages!$2:$2,0)-MATCH("temp_stage",[1]stages!$2:$2,0)+1,FALSE)</f>
        <v xml:space="preserve">【中級】トリックスター </v>
      </c>
      <c r="G793" s="3" t="str">
        <f ca="1">VLOOKUP($B793&amp;"_"&amp;$E793,OFFSET([1]stages!$A$1,0,0,COUNTA([1]stages!$A:$A),MATCH(G$1,[1]stages!$2:$2,0)-MATCH("temp_stage",[1]stages!$2:$2,0)+1),MATCH(G$1,[1]stages!$2:$2,0)-MATCH("temp_stage",[1]stages!$2:$2,0)+1,FALSE)</f>
        <v>ドロップイベント1-2（マルチ専用）</v>
      </c>
      <c r="H793" s="18">
        <v>0</v>
      </c>
      <c r="I793">
        <v>21</v>
      </c>
      <c r="J793" s="5" t="s">
        <v>16</v>
      </c>
      <c r="K793" s="35" t="str">
        <f>VLOOKUP(I793,[2]stage_hints!$A:$C,3,FALSE)</f>
        <v>スキルを有効に</v>
      </c>
      <c r="L793" s="36" t="str">
        <f>VLOOKUP(I793,[2]stage_hints!$A:$D,4,FALSE)</f>
        <v>ターン経過でユニットのスキルが使えます_x000D_強力スキルでバトルを有利に進めましょう</v>
      </c>
      <c r="M793" s="21" t="s">
        <v>23</v>
      </c>
      <c r="N793">
        <v>21</v>
      </c>
    </row>
    <row r="794" spans="1:14" x14ac:dyDescent="0.15">
      <c r="A794" s="26" t="s">
        <v>32</v>
      </c>
      <c r="B794" s="4">
        <v>30002</v>
      </c>
      <c r="C794" s="3" t="str">
        <f ca="1">VLOOKUP($B794,OFFSET([1]quests!$A$1,0,0,COUNTA([1]quests!$A:$A),MATCH(C$1,[1]quests!$1:$1,0)-MATCH($B$1,[1]quests!$1:$1,0)+1),MATCH(C$1,[1]quests!$1:$1,0)-MATCH($B$1,[1]quests!$1:$1,0)+1,FALSE)</f>
        <v>トリックスター</v>
      </c>
      <c r="D794" s="3" t="str">
        <f ca="1">VLOOKUP($B794,OFFSET([1]quests!$A$1,0,0,COUNTA([1]quests!$A:$A),MATCH(D$1,[1]quests!$1:$1,0)-MATCH($B$1,[1]quests!$1:$1,0)+1),MATCH(D$1,[1]quests!$1:$1,0)-MATCH($B$1,[1]quests!$1:$1,0)+1,FALSE)</f>
        <v>ドロップイベント1-2（マルチ専用）</v>
      </c>
      <c r="E794" s="5">
        <v>1</v>
      </c>
      <c r="F794" s="3" t="str">
        <f ca="1">VLOOKUP($B794&amp;"_"&amp;$E794,OFFSET([1]stages!$A$1,0,0,COUNTA([1]stages!$A:$A),MATCH(F$1,[1]stages!$2:$2,0)-MATCH("temp_stage",[1]stages!$2:$2,0)+1),MATCH(F$1,[1]stages!$2:$2,0)-MATCH("temp_stage",[1]stages!$2:$2,0)+1,FALSE)</f>
        <v xml:space="preserve">【中級】トリックスター </v>
      </c>
      <c r="G794" s="3" t="str">
        <f ca="1">VLOOKUP($B794&amp;"_"&amp;$E794,OFFSET([1]stages!$A$1,0,0,COUNTA([1]stages!$A:$A),MATCH(G$1,[1]stages!$2:$2,0)-MATCH("temp_stage",[1]stages!$2:$2,0)+1),MATCH(G$1,[1]stages!$2:$2,0)-MATCH("temp_stage",[1]stages!$2:$2,0)+1,FALSE)</f>
        <v>ドロップイベント1-2（マルチ専用）</v>
      </c>
      <c r="H794" s="18">
        <v>0</v>
      </c>
      <c r="I794">
        <v>22</v>
      </c>
      <c r="J794" s="5" t="s">
        <v>16</v>
      </c>
      <c r="K794" s="35" t="str">
        <f>VLOOKUP(I794,[2]stage_hints!$A:$C,3,FALSE)</f>
        <v>フィーバーで一発逆転（その1）</v>
      </c>
      <c r="L794" s="36" t="str">
        <f>VLOOKUP(I794,[2]stage_hints!$A:$D,4,FALSE)</f>
        <v>フィーバーは攻撃と回復を兼ね備えます_x000D_ピンチからの一発逆転を狙いましょう</v>
      </c>
      <c r="M794" s="21" t="s">
        <v>23</v>
      </c>
      <c r="N794">
        <v>22</v>
      </c>
    </row>
    <row r="795" spans="1:14" x14ac:dyDescent="0.15">
      <c r="A795" s="26" t="s">
        <v>32</v>
      </c>
      <c r="B795" s="4">
        <v>30002</v>
      </c>
      <c r="C795" s="3" t="str">
        <f ca="1">VLOOKUP($B795,OFFSET([1]quests!$A$1,0,0,COUNTA([1]quests!$A:$A),MATCH(C$1,[1]quests!$1:$1,0)-MATCH($B$1,[1]quests!$1:$1,0)+1),MATCH(C$1,[1]quests!$1:$1,0)-MATCH($B$1,[1]quests!$1:$1,0)+1,FALSE)</f>
        <v>トリックスター</v>
      </c>
      <c r="D795" s="3" t="str">
        <f ca="1">VLOOKUP($B795,OFFSET([1]quests!$A$1,0,0,COUNTA([1]quests!$A:$A),MATCH(D$1,[1]quests!$1:$1,0)-MATCH($B$1,[1]quests!$1:$1,0)+1),MATCH(D$1,[1]quests!$1:$1,0)-MATCH($B$1,[1]quests!$1:$1,0)+1,FALSE)</f>
        <v>ドロップイベント1-2（マルチ専用）</v>
      </c>
      <c r="E795" s="5">
        <v>1</v>
      </c>
      <c r="F795" s="3" t="str">
        <f ca="1">VLOOKUP($B795&amp;"_"&amp;$E795,OFFSET([1]stages!$A$1,0,0,COUNTA([1]stages!$A:$A),MATCH(F$1,[1]stages!$2:$2,0)-MATCH("temp_stage",[1]stages!$2:$2,0)+1),MATCH(F$1,[1]stages!$2:$2,0)-MATCH("temp_stage",[1]stages!$2:$2,0)+1,FALSE)</f>
        <v xml:space="preserve">【中級】トリックスター </v>
      </c>
      <c r="G795" s="3" t="str">
        <f ca="1">VLOOKUP($B795&amp;"_"&amp;$E795,OFFSET([1]stages!$A$1,0,0,COUNTA([1]stages!$A:$A),MATCH(G$1,[1]stages!$2:$2,0)-MATCH("temp_stage",[1]stages!$2:$2,0)+1),MATCH(G$1,[1]stages!$2:$2,0)-MATCH("temp_stage",[1]stages!$2:$2,0)+1,FALSE)</f>
        <v>ドロップイベント1-2（マルチ専用）</v>
      </c>
      <c r="H795" s="18">
        <v>0</v>
      </c>
      <c r="I795">
        <v>23</v>
      </c>
      <c r="J795" s="5" t="s">
        <v>16</v>
      </c>
      <c r="K795" s="35" t="str">
        <f>VLOOKUP(I795,[2]stage_hints!$A:$C,3,FALSE)</f>
        <v>フィーバーで一発逆転（その2）</v>
      </c>
      <c r="L795" s="36" t="str">
        <f>VLOOKUP(I795,[2]stage_hints!$A:$D,4,FALSE)</f>
        <v>フィーバー中は虹色のボムパネルを狙って_x000D_画面上のパネルを一気に破壊しましょう</v>
      </c>
      <c r="M795" s="21" t="s">
        <v>23</v>
      </c>
      <c r="N795">
        <v>23</v>
      </c>
    </row>
    <row r="796" spans="1:14" x14ac:dyDescent="0.15">
      <c r="A796" s="26" t="s">
        <v>32</v>
      </c>
      <c r="B796" s="4">
        <v>30002</v>
      </c>
      <c r="C796" s="3" t="str">
        <f ca="1">VLOOKUP($B796,OFFSET([1]quests!$A$1,0,0,COUNTA([1]quests!$A:$A),MATCH(C$1,[1]quests!$1:$1,0)-MATCH($B$1,[1]quests!$1:$1,0)+1),MATCH(C$1,[1]quests!$1:$1,0)-MATCH($B$1,[1]quests!$1:$1,0)+1,FALSE)</f>
        <v>トリックスター</v>
      </c>
      <c r="D796" s="3" t="str">
        <f ca="1">VLOOKUP($B796,OFFSET([1]quests!$A$1,0,0,COUNTA([1]quests!$A:$A),MATCH(D$1,[1]quests!$1:$1,0)-MATCH($B$1,[1]quests!$1:$1,0)+1),MATCH(D$1,[1]quests!$1:$1,0)-MATCH($B$1,[1]quests!$1:$1,0)+1,FALSE)</f>
        <v>ドロップイベント1-2（マルチ専用）</v>
      </c>
      <c r="E796" s="5">
        <v>1</v>
      </c>
      <c r="F796" s="3" t="str">
        <f ca="1">VLOOKUP($B796&amp;"_"&amp;$E796,OFFSET([1]stages!$A$1,0,0,COUNTA([1]stages!$A:$A),MATCH(F$1,[1]stages!$2:$2,0)-MATCH("temp_stage",[1]stages!$2:$2,0)+1),MATCH(F$1,[1]stages!$2:$2,0)-MATCH("temp_stage",[1]stages!$2:$2,0)+1,FALSE)</f>
        <v xml:space="preserve">【中級】トリックスター </v>
      </c>
      <c r="G796" s="3" t="str">
        <f ca="1">VLOOKUP($B796&amp;"_"&amp;$E796,OFFSET([1]stages!$A$1,0,0,COUNTA([1]stages!$A:$A),MATCH(G$1,[1]stages!$2:$2,0)-MATCH("temp_stage",[1]stages!$2:$2,0)+1),MATCH(G$1,[1]stages!$2:$2,0)-MATCH("temp_stage",[1]stages!$2:$2,0)+1,FALSE)</f>
        <v>ドロップイベント1-2（マルチ専用）</v>
      </c>
      <c r="H796" s="18">
        <v>0</v>
      </c>
      <c r="I796">
        <v>24</v>
      </c>
      <c r="J796" s="5" t="s">
        <v>16</v>
      </c>
      <c r="K796" s="35" t="str">
        <f>VLOOKUP(I796,[2]stage_hints!$A:$C,3,FALSE)</f>
        <v>りんごを使って限界突破</v>
      </c>
      <c r="L796" s="36" t="str">
        <f>VLOOKUP(I796,[2]stage_hints!$A:$D,4,FALSE)</f>
        <v>赤りんご(攻撃力) 青りんご(回復力)_x000D_緑りんご(体力)をユニット強化に使うと_x000D_ステータスが限界突破します（計99個迄）</v>
      </c>
      <c r="M796" s="21" t="s">
        <v>23</v>
      </c>
      <c r="N796">
        <v>24</v>
      </c>
    </row>
    <row r="797" spans="1:14" x14ac:dyDescent="0.15">
      <c r="A797" s="26" t="s">
        <v>32</v>
      </c>
      <c r="B797" s="4">
        <v>30002</v>
      </c>
      <c r="C797" s="3" t="str">
        <f ca="1">VLOOKUP($B797,OFFSET([1]quests!$A$1,0,0,COUNTA([1]quests!$A:$A),MATCH(C$1,[1]quests!$1:$1,0)-MATCH($B$1,[1]quests!$1:$1,0)+1),MATCH(C$1,[1]quests!$1:$1,0)-MATCH($B$1,[1]quests!$1:$1,0)+1,FALSE)</f>
        <v>トリックスター</v>
      </c>
      <c r="D797" s="3" t="str">
        <f ca="1">VLOOKUP($B797,OFFSET([1]quests!$A$1,0,0,COUNTA([1]quests!$A:$A),MATCH(D$1,[1]quests!$1:$1,0)-MATCH($B$1,[1]quests!$1:$1,0)+1),MATCH(D$1,[1]quests!$1:$1,0)-MATCH($B$1,[1]quests!$1:$1,0)+1,FALSE)</f>
        <v>ドロップイベント1-2（マルチ専用）</v>
      </c>
      <c r="E797" s="5">
        <v>1</v>
      </c>
      <c r="F797" s="3" t="str">
        <f ca="1">VLOOKUP($B797&amp;"_"&amp;$E797,OFFSET([1]stages!$A$1,0,0,COUNTA([1]stages!$A:$A),MATCH(F$1,[1]stages!$2:$2,0)-MATCH("temp_stage",[1]stages!$2:$2,0)+1),MATCH(F$1,[1]stages!$2:$2,0)-MATCH("temp_stage",[1]stages!$2:$2,0)+1,FALSE)</f>
        <v xml:space="preserve">【中級】トリックスター </v>
      </c>
      <c r="G797" s="3" t="str">
        <f ca="1">VLOOKUP($B797&amp;"_"&amp;$E797,OFFSET([1]stages!$A$1,0,0,COUNTA([1]stages!$A:$A),MATCH(G$1,[1]stages!$2:$2,0)-MATCH("temp_stage",[1]stages!$2:$2,0)+1),MATCH(G$1,[1]stages!$2:$2,0)-MATCH("temp_stage",[1]stages!$2:$2,0)+1,FALSE)</f>
        <v>ドロップイベント1-2（マルチ専用）</v>
      </c>
      <c r="H797" s="18">
        <v>0</v>
      </c>
      <c r="I797">
        <v>25</v>
      </c>
      <c r="J797" s="5" t="s">
        <v>16</v>
      </c>
      <c r="K797" s="35" t="str">
        <f>VLOOKUP(I797,[2]stage_hints!$A:$C,3,FALSE)</f>
        <v>スキルレベルアップ</v>
      </c>
      <c r="L797" s="36" t="str">
        <f>VLOOKUP(I797,[2]stage_hints!$A:$D,4,FALSE)</f>
        <v>「クリスタルのりんご」を強化に使うと_x000D_スキルレベルを上げることができます</v>
      </c>
      <c r="M797" s="21" t="s">
        <v>23</v>
      </c>
      <c r="N797">
        <v>25</v>
      </c>
    </row>
    <row r="798" spans="1:14" x14ac:dyDescent="0.15">
      <c r="A798" s="26" t="s">
        <v>32</v>
      </c>
      <c r="B798" s="4">
        <v>30002</v>
      </c>
      <c r="C798" s="3" t="str">
        <f ca="1">VLOOKUP($B798,OFFSET([1]quests!$A$1,0,0,COUNTA([1]quests!$A:$A),MATCH(C$1,[1]quests!$1:$1,0)-MATCH($B$1,[1]quests!$1:$1,0)+1),MATCH(C$1,[1]quests!$1:$1,0)-MATCH($B$1,[1]quests!$1:$1,0)+1,FALSE)</f>
        <v>トリックスター</v>
      </c>
      <c r="D798" s="3" t="str">
        <f ca="1">VLOOKUP($B798,OFFSET([1]quests!$A$1,0,0,COUNTA([1]quests!$A:$A),MATCH(D$1,[1]quests!$1:$1,0)-MATCH($B$1,[1]quests!$1:$1,0)+1),MATCH(D$1,[1]quests!$1:$1,0)-MATCH($B$1,[1]quests!$1:$1,0)+1,FALSE)</f>
        <v>ドロップイベント1-2（マルチ専用）</v>
      </c>
      <c r="E798" s="5">
        <v>1</v>
      </c>
      <c r="F798" s="3" t="str">
        <f ca="1">VLOOKUP($B798&amp;"_"&amp;$E798,OFFSET([1]stages!$A$1,0,0,COUNTA([1]stages!$A:$A),MATCH(F$1,[1]stages!$2:$2,0)-MATCH("temp_stage",[1]stages!$2:$2,0)+1),MATCH(F$1,[1]stages!$2:$2,0)-MATCH("temp_stage",[1]stages!$2:$2,0)+1,FALSE)</f>
        <v xml:space="preserve">【中級】トリックスター </v>
      </c>
      <c r="G798" s="3" t="str">
        <f ca="1">VLOOKUP($B798&amp;"_"&amp;$E798,OFFSET([1]stages!$A$1,0,0,COUNTA([1]stages!$A:$A),MATCH(G$1,[1]stages!$2:$2,0)-MATCH("temp_stage",[1]stages!$2:$2,0)+1),MATCH(G$1,[1]stages!$2:$2,0)-MATCH("temp_stage",[1]stages!$2:$2,0)+1,FALSE)</f>
        <v>ドロップイベント1-2（マルチ専用）</v>
      </c>
      <c r="H798" s="18">
        <v>0</v>
      </c>
      <c r="I798">
        <v>26</v>
      </c>
      <c r="J798" s="5" t="s">
        <v>16</v>
      </c>
      <c r="K798" s="35" t="str">
        <f>VLOOKUP(I798,[2]stage_hints!$A:$C,3,FALSE)</f>
        <v>スキルレベルの効果</v>
      </c>
      <c r="L798" s="36" t="str">
        <f>VLOOKUP(I798,[2]stage_hints!$A:$D,4,FALSE)</f>
        <v>スキルレベルが上がると_x000D_短いターンでスキルを使うことができます</v>
      </c>
      <c r="M798" s="21" t="s">
        <v>23</v>
      </c>
      <c r="N798">
        <v>26</v>
      </c>
    </row>
    <row r="799" spans="1:14" x14ac:dyDescent="0.15">
      <c r="A799" s="26" t="s">
        <v>32</v>
      </c>
      <c r="B799" s="4">
        <v>30002</v>
      </c>
      <c r="C799" s="3" t="str">
        <f ca="1">VLOOKUP($B799,OFFSET([1]quests!$A$1,0,0,COUNTA([1]quests!$A:$A),MATCH(C$1,[1]quests!$1:$1,0)-MATCH($B$1,[1]quests!$1:$1,0)+1),MATCH(C$1,[1]quests!$1:$1,0)-MATCH($B$1,[1]quests!$1:$1,0)+1,FALSE)</f>
        <v>トリックスター</v>
      </c>
      <c r="D799" s="3" t="str">
        <f ca="1">VLOOKUP($B799,OFFSET([1]quests!$A$1,0,0,COUNTA([1]quests!$A:$A),MATCH(D$1,[1]quests!$1:$1,0)-MATCH($B$1,[1]quests!$1:$1,0)+1),MATCH(D$1,[1]quests!$1:$1,0)-MATCH($B$1,[1]quests!$1:$1,0)+1,FALSE)</f>
        <v>ドロップイベント1-2（マルチ専用）</v>
      </c>
      <c r="E799" s="5">
        <v>1</v>
      </c>
      <c r="F799" s="3" t="str">
        <f ca="1">VLOOKUP($B799&amp;"_"&amp;$E799,OFFSET([1]stages!$A$1,0,0,COUNTA([1]stages!$A:$A),MATCH(F$1,[1]stages!$2:$2,0)-MATCH("temp_stage",[1]stages!$2:$2,0)+1),MATCH(F$1,[1]stages!$2:$2,0)-MATCH("temp_stage",[1]stages!$2:$2,0)+1,FALSE)</f>
        <v xml:space="preserve">【中級】トリックスター </v>
      </c>
      <c r="G799" s="3" t="str">
        <f ca="1">VLOOKUP($B799&amp;"_"&amp;$E799,OFFSET([1]stages!$A$1,0,0,COUNTA([1]stages!$A:$A),MATCH(G$1,[1]stages!$2:$2,0)-MATCH("temp_stage",[1]stages!$2:$2,0)+1),MATCH(G$1,[1]stages!$2:$2,0)-MATCH("temp_stage",[1]stages!$2:$2,0)+1,FALSE)</f>
        <v>ドロップイベント1-2（マルチ専用）</v>
      </c>
      <c r="H799" s="18">
        <v>0</v>
      </c>
      <c r="I799">
        <v>27</v>
      </c>
      <c r="J799" s="5" t="s">
        <v>16</v>
      </c>
      <c r="K799" s="35" t="str">
        <f>VLOOKUP(I799,[2]stage_hints!$A:$C,3,FALSE)</f>
        <v>ホーム画面からデッキを編成</v>
      </c>
      <c r="L799" s="36" t="str">
        <f>VLOOKUP(I799,[2]stage_hints!$A:$D,4,FALSE)</f>
        <v>ホーム画面でユニットを長押しすると_x000D_すぐにパーティ編成に移動できます</v>
      </c>
      <c r="M799" s="21" t="s">
        <v>23</v>
      </c>
      <c r="N799">
        <v>27</v>
      </c>
    </row>
    <row r="800" spans="1:14" x14ac:dyDescent="0.15">
      <c r="A800" s="26" t="s">
        <v>32</v>
      </c>
      <c r="B800" s="4">
        <v>30002</v>
      </c>
      <c r="C800" s="3" t="str">
        <f ca="1">VLOOKUP($B800,OFFSET([1]quests!$A$1,0,0,COUNTA([1]quests!$A:$A),MATCH(C$1,[1]quests!$1:$1,0)-MATCH($B$1,[1]quests!$1:$1,0)+1),MATCH(C$1,[1]quests!$1:$1,0)-MATCH($B$1,[1]quests!$1:$1,0)+1,FALSE)</f>
        <v>トリックスター</v>
      </c>
      <c r="D800" s="3" t="str">
        <f ca="1">VLOOKUP($B800,OFFSET([1]quests!$A$1,0,0,COUNTA([1]quests!$A:$A),MATCH(D$1,[1]quests!$1:$1,0)-MATCH($B$1,[1]quests!$1:$1,0)+1),MATCH(D$1,[1]quests!$1:$1,0)-MATCH($B$1,[1]quests!$1:$1,0)+1,FALSE)</f>
        <v>ドロップイベント1-2（マルチ専用）</v>
      </c>
      <c r="E800" s="5">
        <v>1</v>
      </c>
      <c r="F800" s="3" t="str">
        <f ca="1">VLOOKUP($B800&amp;"_"&amp;$E800,OFFSET([1]stages!$A$1,0,0,COUNTA([1]stages!$A:$A),MATCH(F$1,[1]stages!$2:$2,0)-MATCH("temp_stage",[1]stages!$2:$2,0)+1),MATCH(F$1,[1]stages!$2:$2,0)-MATCH("temp_stage",[1]stages!$2:$2,0)+1,FALSE)</f>
        <v xml:space="preserve">【中級】トリックスター </v>
      </c>
      <c r="G800" s="3" t="str">
        <f ca="1">VLOOKUP($B800&amp;"_"&amp;$E800,OFFSET([1]stages!$A$1,0,0,COUNTA([1]stages!$A:$A),MATCH(G$1,[1]stages!$2:$2,0)-MATCH("temp_stage",[1]stages!$2:$2,0)+1),MATCH(G$1,[1]stages!$2:$2,0)-MATCH("temp_stage",[1]stages!$2:$2,0)+1,FALSE)</f>
        <v>ドロップイベント1-2（マルチ専用）</v>
      </c>
      <c r="H800" s="18">
        <v>0</v>
      </c>
      <c r="I800">
        <v>28</v>
      </c>
      <c r="J800" s="5" t="s">
        <v>16</v>
      </c>
      <c r="K800" s="35" t="str">
        <f>VLOOKUP(I800,[2]stage_hints!$A:$C,3,FALSE)</f>
        <v>ステータス情報は長押しで</v>
      </c>
      <c r="L800" s="36" t="str">
        <f>VLOOKUP(I800,[2]stage_hints!$A:$D,4,FALSE)</f>
        <v>ユニットのアイコンを長押しすると_x000D_ステータス情報を確認することができます</v>
      </c>
      <c r="M800" s="21" t="s">
        <v>23</v>
      </c>
      <c r="N800">
        <v>28</v>
      </c>
    </row>
    <row r="801" spans="1:14" x14ac:dyDescent="0.15">
      <c r="A801" s="26" t="s">
        <v>32</v>
      </c>
      <c r="B801" s="4">
        <v>30002</v>
      </c>
      <c r="C801" s="3" t="str">
        <f ca="1">VLOOKUP($B801,OFFSET([1]quests!$A$1,0,0,COUNTA([1]quests!$A:$A),MATCH(C$1,[1]quests!$1:$1,0)-MATCH($B$1,[1]quests!$1:$1,0)+1),MATCH(C$1,[1]quests!$1:$1,0)-MATCH($B$1,[1]quests!$1:$1,0)+1,FALSE)</f>
        <v>トリックスター</v>
      </c>
      <c r="D801" s="3" t="str">
        <f ca="1">VLOOKUP($B801,OFFSET([1]quests!$A$1,0,0,COUNTA([1]quests!$A:$A),MATCH(D$1,[1]quests!$1:$1,0)-MATCH($B$1,[1]quests!$1:$1,0)+1),MATCH(D$1,[1]quests!$1:$1,0)-MATCH($B$1,[1]quests!$1:$1,0)+1,FALSE)</f>
        <v>ドロップイベント1-2（マルチ専用）</v>
      </c>
      <c r="E801" s="5">
        <v>1</v>
      </c>
      <c r="F801" s="3" t="str">
        <f ca="1">VLOOKUP($B801&amp;"_"&amp;$E801,OFFSET([1]stages!$A$1,0,0,COUNTA([1]stages!$A:$A),MATCH(F$1,[1]stages!$2:$2,0)-MATCH("temp_stage",[1]stages!$2:$2,0)+1),MATCH(F$1,[1]stages!$2:$2,0)-MATCH("temp_stage",[1]stages!$2:$2,0)+1,FALSE)</f>
        <v xml:space="preserve">【中級】トリックスター </v>
      </c>
      <c r="G801" s="3" t="str">
        <f ca="1">VLOOKUP($B801&amp;"_"&amp;$E801,OFFSET([1]stages!$A$1,0,0,COUNTA([1]stages!$A:$A),MATCH(G$1,[1]stages!$2:$2,0)-MATCH("temp_stage",[1]stages!$2:$2,0)+1),MATCH(G$1,[1]stages!$2:$2,0)-MATCH("temp_stage",[1]stages!$2:$2,0)+1,FALSE)</f>
        <v>ドロップイベント1-2（マルチ専用）</v>
      </c>
      <c r="H801" s="18">
        <v>0</v>
      </c>
      <c r="I801">
        <v>29</v>
      </c>
      <c r="J801" s="5" t="s">
        <v>16</v>
      </c>
      <c r="K801" s="35" t="str">
        <f>VLOOKUP(I801,[2]stage_hints!$A:$C,3,FALSE)</f>
        <v>「バグ」のメリット</v>
      </c>
      <c r="L801" s="36" t="str">
        <f>VLOOKUP(I801,[2]stage_hints!$A:$D,4,FALSE)</f>
        <v>ユニットの「バグ」を増やすと_x000D_報酬をもらえる確率がアップします</v>
      </c>
      <c r="M801" s="21" t="s">
        <v>23</v>
      </c>
      <c r="N801">
        <v>29</v>
      </c>
    </row>
    <row r="802" spans="1:14" x14ac:dyDescent="0.15">
      <c r="A802" s="26" t="s">
        <v>32</v>
      </c>
      <c r="B802" s="4">
        <v>30002</v>
      </c>
      <c r="C802" s="3" t="str">
        <f ca="1">VLOOKUP($B802,OFFSET([1]quests!$A$1,0,0,COUNTA([1]quests!$A:$A),MATCH(C$1,[1]quests!$1:$1,0)-MATCH($B$1,[1]quests!$1:$1,0)+1),MATCH(C$1,[1]quests!$1:$1,0)-MATCH($B$1,[1]quests!$1:$1,0)+1,FALSE)</f>
        <v>トリックスター</v>
      </c>
      <c r="D802" s="3" t="str">
        <f ca="1">VLOOKUP($B802,OFFSET([1]quests!$A$1,0,0,COUNTA([1]quests!$A:$A),MATCH(D$1,[1]quests!$1:$1,0)-MATCH($B$1,[1]quests!$1:$1,0)+1),MATCH(D$1,[1]quests!$1:$1,0)-MATCH($B$1,[1]quests!$1:$1,0)+1,FALSE)</f>
        <v>ドロップイベント1-2（マルチ専用）</v>
      </c>
      <c r="E802" s="5">
        <v>1</v>
      </c>
      <c r="F802" s="3" t="str">
        <f ca="1">VLOOKUP($B802&amp;"_"&amp;$E802,OFFSET([1]stages!$A$1,0,0,COUNTA([1]stages!$A:$A),MATCH(F$1,[1]stages!$2:$2,0)-MATCH("temp_stage",[1]stages!$2:$2,0)+1),MATCH(F$1,[1]stages!$2:$2,0)-MATCH("temp_stage",[1]stages!$2:$2,0)+1,FALSE)</f>
        <v xml:space="preserve">【中級】トリックスター </v>
      </c>
      <c r="G802" s="3" t="str">
        <f ca="1">VLOOKUP($B802&amp;"_"&amp;$E802,OFFSET([1]stages!$A$1,0,0,COUNTA([1]stages!$A:$A),MATCH(G$1,[1]stages!$2:$2,0)-MATCH("temp_stage",[1]stages!$2:$2,0)+1),MATCH(G$1,[1]stages!$2:$2,0)-MATCH("temp_stage",[1]stages!$2:$2,0)+1,FALSE)</f>
        <v>ドロップイベント1-2（マルチ専用）</v>
      </c>
      <c r="H802" s="18">
        <v>0</v>
      </c>
      <c r="I802">
        <v>30</v>
      </c>
      <c r="J802" s="5" t="s">
        <v>16</v>
      </c>
      <c r="K802" s="35" t="str">
        <f>VLOOKUP(I802,[2]stage_hints!$A:$C,3,FALSE)</f>
        <v>「バグ」の増やし方</v>
      </c>
      <c r="L802" s="36" t="str">
        <f>VLOOKUP(I802,[2]stage_hints!$A:$D,4,FALSE)</f>
        <v>同じユニット同士を強化で合成すると_x000D_「バグ」を増やすことができます</v>
      </c>
      <c r="M802" s="21" t="s">
        <v>23</v>
      </c>
      <c r="N802">
        <v>30</v>
      </c>
    </row>
    <row r="803" spans="1:14" x14ac:dyDescent="0.15">
      <c r="A803" s="26" t="s">
        <v>32</v>
      </c>
      <c r="B803" s="4">
        <v>30002</v>
      </c>
      <c r="C803" s="3" t="str">
        <f ca="1">VLOOKUP($B803,OFFSET([1]quests!$A$1,0,0,COUNTA([1]quests!$A:$A),MATCH(C$1,[1]quests!$1:$1,0)-MATCH($B$1,[1]quests!$1:$1,0)+1),MATCH(C$1,[1]quests!$1:$1,0)-MATCH($B$1,[1]quests!$1:$1,0)+1,FALSE)</f>
        <v>トリックスター</v>
      </c>
      <c r="D803" s="3" t="str">
        <f ca="1">VLOOKUP($B803,OFFSET([1]quests!$A$1,0,0,COUNTA([1]quests!$A:$A),MATCH(D$1,[1]quests!$1:$1,0)-MATCH($B$1,[1]quests!$1:$1,0)+1),MATCH(D$1,[1]quests!$1:$1,0)-MATCH($B$1,[1]quests!$1:$1,0)+1,FALSE)</f>
        <v>ドロップイベント1-2（マルチ専用）</v>
      </c>
      <c r="E803" s="5">
        <v>1</v>
      </c>
      <c r="F803" s="3" t="str">
        <f ca="1">VLOOKUP($B803&amp;"_"&amp;$E803,OFFSET([1]stages!$A$1,0,0,COUNTA([1]stages!$A:$A),MATCH(F$1,[1]stages!$2:$2,0)-MATCH("temp_stage",[1]stages!$2:$2,0)+1),MATCH(F$1,[1]stages!$2:$2,0)-MATCH("temp_stage",[1]stages!$2:$2,0)+1,FALSE)</f>
        <v xml:space="preserve">【中級】トリックスター </v>
      </c>
      <c r="G803" s="3" t="str">
        <f ca="1">VLOOKUP($B803&amp;"_"&amp;$E803,OFFSET([1]stages!$A$1,0,0,COUNTA([1]stages!$A:$A),MATCH(G$1,[1]stages!$2:$2,0)-MATCH("temp_stage",[1]stages!$2:$2,0)+1),MATCH(G$1,[1]stages!$2:$2,0)-MATCH("temp_stage",[1]stages!$2:$2,0)+1,FALSE)</f>
        <v>ドロップイベント1-2（マルチ専用）</v>
      </c>
      <c r="H803" s="18">
        <v>0</v>
      </c>
      <c r="I803">
        <v>31</v>
      </c>
      <c r="J803" s="5" t="s">
        <v>16</v>
      </c>
      <c r="K803" s="35" t="str">
        <f>VLOOKUP(I803,[2]stage_hints!$A:$C,3,FALSE)</f>
        <v>イベントはお知らせでチェック</v>
      </c>
      <c r="L803" s="36" t="str">
        <f>VLOOKUP(I803,[2]stage_hints!$A:$D,4,FALSE)</f>
        <v>イベント限定ユニットを取り忘れないように_x000D_お知らせをこまめにチェックしましょう</v>
      </c>
      <c r="M803" s="21" t="s">
        <v>23</v>
      </c>
      <c r="N803">
        <v>31</v>
      </c>
    </row>
    <row r="804" spans="1:14" x14ac:dyDescent="0.15">
      <c r="A804" s="26" t="s">
        <v>32</v>
      </c>
      <c r="B804" s="4">
        <v>30002</v>
      </c>
      <c r="C804" s="3" t="str">
        <f ca="1">VLOOKUP($B804,OFFSET([1]quests!$A$1,0,0,COUNTA([1]quests!$A:$A),MATCH(C$1,[1]quests!$1:$1,0)-MATCH($B$1,[1]quests!$1:$1,0)+1),MATCH(C$1,[1]quests!$1:$1,0)-MATCH($B$1,[1]quests!$1:$1,0)+1,FALSE)</f>
        <v>トリックスター</v>
      </c>
      <c r="D804" s="3" t="str">
        <f ca="1">VLOOKUP($B804,OFFSET([1]quests!$A$1,0,0,COUNTA([1]quests!$A:$A),MATCH(D$1,[1]quests!$1:$1,0)-MATCH($B$1,[1]quests!$1:$1,0)+1),MATCH(D$1,[1]quests!$1:$1,0)-MATCH($B$1,[1]quests!$1:$1,0)+1,FALSE)</f>
        <v>ドロップイベント1-2（マルチ専用）</v>
      </c>
      <c r="E804" s="5">
        <v>1</v>
      </c>
      <c r="F804" s="3" t="str">
        <f ca="1">VLOOKUP($B804&amp;"_"&amp;$E804,OFFSET([1]stages!$A$1,0,0,COUNTA([1]stages!$A:$A),MATCH(F$1,[1]stages!$2:$2,0)-MATCH("temp_stage",[1]stages!$2:$2,0)+1),MATCH(F$1,[1]stages!$2:$2,0)-MATCH("temp_stage",[1]stages!$2:$2,0)+1,FALSE)</f>
        <v xml:space="preserve">【中級】トリックスター </v>
      </c>
      <c r="G804" s="3" t="str">
        <f ca="1">VLOOKUP($B804&amp;"_"&amp;$E804,OFFSET([1]stages!$A$1,0,0,COUNTA([1]stages!$A:$A),MATCH(G$1,[1]stages!$2:$2,0)-MATCH("temp_stage",[1]stages!$2:$2,0)+1),MATCH(G$1,[1]stages!$2:$2,0)-MATCH("temp_stage",[1]stages!$2:$2,0)+1,FALSE)</f>
        <v>ドロップイベント1-2（マルチ専用）</v>
      </c>
      <c r="H804" s="18">
        <v>0</v>
      </c>
      <c r="I804">
        <v>32</v>
      </c>
      <c r="J804" s="5" t="s">
        <v>16</v>
      </c>
      <c r="K804" s="35" t="str">
        <f>VLOOKUP(I804,[2]stage_hints!$A:$C,3,FALSE)</f>
        <v>敵の連続攻撃には</v>
      </c>
      <c r="L804" s="36" t="str">
        <f>VLOOKUP(I804,[2]stage_hints!$A:$D,4,FALSE)</f>
        <v>カウンタースキルを持つユニットがいれば_x000D_ダメージ回数分の反撃ができます</v>
      </c>
      <c r="M804" s="21" t="s">
        <v>23</v>
      </c>
      <c r="N804">
        <v>32</v>
      </c>
    </row>
    <row r="805" spans="1:14" x14ac:dyDescent="0.15">
      <c r="A805" s="26" t="s">
        <v>32</v>
      </c>
      <c r="B805" s="4">
        <v>30002</v>
      </c>
      <c r="C805" s="3" t="str">
        <f ca="1">VLOOKUP($B805,OFFSET([1]quests!$A$1,0,0,COUNTA([1]quests!$A:$A),MATCH(C$1,[1]quests!$1:$1,0)-MATCH($B$1,[1]quests!$1:$1,0)+1),MATCH(C$1,[1]quests!$1:$1,0)-MATCH($B$1,[1]quests!$1:$1,0)+1,FALSE)</f>
        <v>トリックスター</v>
      </c>
      <c r="D805" s="3" t="str">
        <f ca="1">VLOOKUP($B805,OFFSET([1]quests!$A$1,0,0,COUNTA([1]quests!$A:$A),MATCH(D$1,[1]quests!$1:$1,0)-MATCH($B$1,[1]quests!$1:$1,0)+1),MATCH(D$1,[1]quests!$1:$1,0)-MATCH($B$1,[1]quests!$1:$1,0)+1,FALSE)</f>
        <v>ドロップイベント1-2（マルチ専用）</v>
      </c>
      <c r="E805" s="5">
        <v>1</v>
      </c>
      <c r="F805" s="3" t="str">
        <f ca="1">VLOOKUP($B805&amp;"_"&amp;$E805,OFFSET([1]stages!$A$1,0,0,COUNTA([1]stages!$A:$A),MATCH(F$1,[1]stages!$2:$2,0)-MATCH("temp_stage",[1]stages!$2:$2,0)+1),MATCH(F$1,[1]stages!$2:$2,0)-MATCH("temp_stage",[1]stages!$2:$2,0)+1,FALSE)</f>
        <v xml:space="preserve">【中級】トリックスター </v>
      </c>
      <c r="G805" s="3" t="str">
        <f ca="1">VLOOKUP($B805&amp;"_"&amp;$E805,OFFSET([1]stages!$A$1,0,0,COUNTA([1]stages!$A:$A),MATCH(G$1,[1]stages!$2:$2,0)-MATCH("temp_stage",[1]stages!$2:$2,0)+1),MATCH(G$1,[1]stages!$2:$2,0)-MATCH("temp_stage",[1]stages!$2:$2,0)+1,FALSE)</f>
        <v>ドロップイベント1-2（マルチ専用）</v>
      </c>
      <c r="H805" s="18">
        <v>0</v>
      </c>
      <c r="I805">
        <v>33</v>
      </c>
      <c r="J805" s="5" t="s">
        <v>16</v>
      </c>
      <c r="K805" s="35" t="str">
        <f>VLOOKUP(I805,[2]stage_hints!$A:$C,3,FALSE)</f>
        <v>敵のカウンター攻撃には</v>
      </c>
      <c r="L805" s="36" t="str">
        <f>VLOOKUP(I805,[2]stage_hints!$A:$D,4,FALSE)</f>
        <v>カウンターブレイクスキルを持っていれば_x000D_敵のカウンターを解除して攻撃ができます</v>
      </c>
      <c r="M805" s="21" t="s">
        <v>23</v>
      </c>
      <c r="N805">
        <v>33</v>
      </c>
    </row>
    <row r="806" spans="1:14" x14ac:dyDescent="0.15">
      <c r="A806" s="26" t="s">
        <v>32</v>
      </c>
      <c r="B806" s="4">
        <v>30002</v>
      </c>
      <c r="C806" s="3" t="str">
        <f ca="1">VLOOKUP($B806,OFFSET([1]quests!$A$1,0,0,COUNTA([1]quests!$A:$A),MATCH(C$1,[1]quests!$1:$1,0)-MATCH($B$1,[1]quests!$1:$1,0)+1),MATCH(C$1,[1]quests!$1:$1,0)-MATCH($B$1,[1]quests!$1:$1,0)+1,FALSE)</f>
        <v>トリックスター</v>
      </c>
      <c r="D806" s="3" t="str">
        <f ca="1">VLOOKUP($B806,OFFSET([1]quests!$A$1,0,0,COUNTA([1]quests!$A:$A),MATCH(D$1,[1]quests!$1:$1,0)-MATCH($B$1,[1]quests!$1:$1,0)+1),MATCH(D$1,[1]quests!$1:$1,0)-MATCH($B$1,[1]quests!$1:$1,0)+1,FALSE)</f>
        <v>ドロップイベント1-2（マルチ専用）</v>
      </c>
      <c r="E806" s="5">
        <v>1</v>
      </c>
      <c r="F806" s="3" t="str">
        <f ca="1">VLOOKUP($B806&amp;"_"&amp;$E806,OFFSET([1]stages!$A$1,0,0,COUNTA([1]stages!$A:$A),MATCH(F$1,[1]stages!$2:$2,0)-MATCH("temp_stage",[1]stages!$2:$2,0)+1),MATCH(F$1,[1]stages!$2:$2,0)-MATCH("temp_stage",[1]stages!$2:$2,0)+1,FALSE)</f>
        <v xml:space="preserve">【中級】トリックスター </v>
      </c>
      <c r="G806" s="3" t="str">
        <f ca="1">VLOOKUP($B806&amp;"_"&amp;$E806,OFFSET([1]stages!$A$1,0,0,COUNTA([1]stages!$A:$A),MATCH(G$1,[1]stages!$2:$2,0)-MATCH("temp_stage",[1]stages!$2:$2,0)+1),MATCH(G$1,[1]stages!$2:$2,0)-MATCH("temp_stage",[1]stages!$2:$2,0)+1,FALSE)</f>
        <v>ドロップイベント1-2（マルチ専用）</v>
      </c>
      <c r="H806" s="18">
        <v>0</v>
      </c>
      <c r="I806">
        <v>34</v>
      </c>
      <c r="J806" s="5" t="s">
        <v>16</v>
      </c>
      <c r="K806" s="35" t="str">
        <f>VLOOKUP(I806,[2]stage_hints!$A:$C,3,FALSE)</f>
        <v>ステータスをスキルで下げられたら</v>
      </c>
      <c r="L806" s="36" t="str">
        <f>VLOOKUP(I806,[2]stage_hints!$A:$D,4,FALSE)</f>
        <v>ステータスダウンのスキルを受けたら_x000D_ステータスアップスキルで上書きしましょう</v>
      </c>
      <c r="M806" s="21" t="s">
        <v>23</v>
      </c>
      <c r="N806">
        <v>34</v>
      </c>
    </row>
    <row r="807" spans="1:14" x14ac:dyDescent="0.15">
      <c r="A807" s="26" t="s">
        <v>32</v>
      </c>
      <c r="B807" s="4">
        <v>30002</v>
      </c>
      <c r="C807" s="3" t="str">
        <f ca="1">VLOOKUP($B807,OFFSET([1]quests!$A$1,0,0,COUNTA([1]quests!$A:$A),MATCH(C$1,[1]quests!$1:$1,0)-MATCH($B$1,[1]quests!$1:$1,0)+1),MATCH(C$1,[1]quests!$1:$1,0)-MATCH($B$1,[1]quests!$1:$1,0)+1,FALSE)</f>
        <v>トリックスター</v>
      </c>
      <c r="D807" s="3" t="str">
        <f ca="1">VLOOKUP($B807,OFFSET([1]quests!$A$1,0,0,COUNTA([1]quests!$A:$A),MATCH(D$1,[1]quests!$1:$1,0)-MATCH($B$1,[1]quests!$1:$1,0)+1),MATCH(D$1,[1]quests!$1:$1,0)-MATCH($B$1,[1]quests!$1:$1,0)+1,FALSE)</f>
        <v>ドロップイベント1-2（マルチ専用）</v>
      </c>
      <c r="E807" s="5">
        <v>1</v>
      </c>
      <c r="F807" s="3" t="str">
        <f ca="1">VLOOKUP($B807&amp;"_"&amp;$E807,OFFSET([1]stages!$A$1,0,0,COUNTA([1]stages!$A:$A),MATCH(F$1,[1]stages!$2:$2,0)-MATCH("temp_stage",[1]stages!$2:$2,0)+1),MATCH(F$1,[1]stages!$2:$2,0)-MATCH("temp_stage",[1]stages!$2:$2,0)+1,FALSE)</f>
        <v xml:space="preserve">【中級】トリックスター </v>
      </c>
      <c r="G807" s="3" t="str">
        <f ca="1">VLOOKUP($B807&amp;"_"&amp;$E807,OFFSET([1]stages!$A$1,0,0,COUNTA([1]stages!$A:$A),MATCH(G$1,[1]stages!$2:$2,0)-MATCH("temp_stage",[1]stages!$2:$2,0)+1),MATCH(G$1,[1]stages!$2:$2,0)-MATCH("temp_stage",[1]stages!$2:$2,0)+1,FALSE)</f>
        <v>ドロップイベント1-2（マルチ専用）</v>
      </c>
      <c r="H807" s="18">
        <v>0</v>
      </c>
      <c r="I807">
        <v>35</v>
      </c>
      <c r="J807" s="5" t="s">
        <v>16</v>
      </c>
      <c r="K807" s="35" t="str">
        <f>VLOOKUP(I807,[2]stage_hints!$A:$C,3,FALSE)</f>
        <v>敵のステータスがスキルで上がったら</v>
      </c>
      <c r="L807" s="36" t="str">
        <f>VLOOKUP(I807,[2]stage_hints!$A:$D,4,FALSE)</f>
        <v>敵のステータスがスキルでアップしたときは_x000D_ステータスダウンスキルで上書きしましょう</v>
      </c>
      <c r="M807" s="21" t="s">
        <v>23</v>
      </c>
      <c r="N807">
        <v>35</v>
      </c>
    </row>
    <row r="808" spans="1:14" x14ac:dyDescent="0.15">
      <c r="A808" s="26" t="s">
        <v>32</v>
      </c>
      <c r="B808" s="4">
        <v>30003</v>
      </c>
      <c r="C808" s="3" t="str">
        <f ca="1">VLOOKUP($B808,OFFSET([1]quests!$A$1,0,0,COUNTA([1]quests!$A:$A),MATCH(C$1,[1]quests!$1:$1,0)-MATCH($B$1,[1]quests!$1:$1,0)+1),MATCH(C$1,[1]quests!$1:$1,0)-MATCH($B$1,[1]quests!$1:$1,0)+1,FALSE)</f>
        <v>打ち下ろされる砕棒</v>
      </c>
      <c r="D808" s="3" t="str">
        <f ca="1">VLOOKUP($B808,OFFSET([1]quests!$A$1,0,0,COUNTA([1]quests!$A:$A),MATCH(D$1,[1]quests!$1:$1,0)-MATCH($B$1,[1]quests!$1:$1,0)+1),MATCH(D$1,[1]quests!$1:$1,0)-MATCH($B$1,[1]quests!$1:$1,0)+1,FALSE)</f>
        <v>ドロップイベント1-3（マルチ専用）</v>
      </c>
      <c r="E808" s="5">
        <v>1</v>
      </c>
      <c r="F808" s="3" t="str">
        <f ca="1">VLOOKUP($B808&amp;"_"&amp;$E808,OFFSET([1]stages!$A$1,0,0,COUNTA([1]stages!$A:$A),MATCH(F$1,[1]stages!$2:$2,0)-MATCH("temp_stage",[1]stages!$2:$2,0)+1),MATCH(F$1,[1]stages!$2:$2,0)-MATCH("temp_stage",[1]stages!$2:$2,0)+1,FALSE)</f>
        <v xml:space="preserve">【中級】打ち下ろされる砕棒 </v>
      </c>
      <c r="G808" s="3" t="str">
        <f ca="1">VLOOKUP($B808&amp;"_"&amp;$E808,OFFSET([1]stages!$A$1,0,0,COUNTA([1]stages!$A:$A),MATCH(G$1,[1]stages!$2:$2,0)-MATCH("temp_stage",[1]stages!$2:$2,0)+1),MATCH(G$1,[1]stages!$2:$2,0)-MATCH("temp_stage",[1]stages!$2:$2,0)+1,FALSE)</f>
        <v>ドロップイベント1-3（マルチ専用）</v>
      </c>
      <c r="H808" s="18">
        <v>0</v>
      </c>
      <c r="I808">
        <v>3</v>
      </c>
      <c r="J808" s="5" t="s">
        <v>16</v>
      </c>
      <c r="K808" s="35" t="str">
        <f>VLOOKUP(I808,[2]stage_hints!$A:$C,3,FALSE)</f>
        <v>ターゲット</v>
      </c>
      <c r="L808" s="36" t="str">
        <f>VLOOKUP(I808,[2]stage_hints!$A:$D,4,FALSE)</f>
        <v>敵ユニットをタップすると_x000D_その敵を狙い撃ちできます</v>
      </c>
      <c r="M808" s="21" t="s">
        <v>23</v>
      </c>
      <c r="N808">
        <v>3</v>
      </c>
    </row>
    <row r="809" spans="1:14" x14ac:dyDescent="0.15">
      <c r="A809" s="26" t="s">
        <v>32</v>
      </c>
      <c r="B809" s="4">
        <v>30003</v>
      </c>
      <c r="C809" s="3" t="str">
        <f ca="1">VLOOKUP($B809,OFFSET([1]quests!$A$1,0,0,COUNTA([1]quests!$A:$A),MATCH(C$1,[1]quests!$1:$1,0)-MATCH($B$1,[1]quests!$1:$1,0)+1),MATCH(C$1,[1]quests!$1:$1,0)-MATCH($B$1,[1]quests!$1:$1,0)+1,FALSE)</f>
        <v>打ち下ろされる砕棒</v>
      </c>
      <c r="D809" s="3" t="str">
        <f ca="1">VLOOKUP($B809,OFFSET([1]quests!$A$1,0,0,COUNTA([1]quests!$A:$A),MATCH(D$1,[1]quests!$1:$1,0)-MATCH($B$1,[1]quests!$1:$1,0)+1),MATCH(D$1,[1]quests!$1:$1,0)-MATCH($B$1,[1]quests!$1:$1,0)+1,FALSE)</f>
        <v>ドロップイベント1-3（マルチ専用）</v>
      </c>
      <c r="E809" s="5">
        <v>1</v>
      </c>
      <c r="F809" s="3" t="str">
        <f ca="1">VLOOKUP($B809&amp;"_"&amp;$E809,OFFSET([1]stages!$A$1,0,0,COUNTA([1]stages!$A:$A),MATCH(F$1,[1]stages!$2:$2,0)-MATCH("temp_stage",[1]stages!$2:$2,0)+1),MATCH(F$1,[1]stages!$2:$2,0)-MATCH("temp_stage",[1]stages!$2:$2,0)+1,FALSE)</f>
        <v xml:space="preserve">【中級】打ち下ろされる砕棒 </v>
      </c>
      <c r="G809" s="3" t="str">
        <f ca="1">VLOOKUP($B809&amp;"_"&amp;$E809,OFFSET([1]stages!$A$1,0,0,COUNTA([1]stages!$A:$A),MATCH(G$1,[1]stages!$2:$2,0)-MATCH("temp_stage",[1]stages!$2:$2,0)+1),MATCH(G$1,[1]stages!$2:$2,0)-MATCH("temp_stage",[1]stages!$2:$2,0)+1,FALSE)</f>
        <v>ドロップイベント1-3（マルチ専用）</v>
      </c>
      <c r="H809" s="18">
        <v>0</v>
      </c>
      <c r="I809">
        <v>6</v>
      </c>
      <c r="J809" s="5" t="s">
        <v>16</v>
      </c>
      <c r="K809" s="35" t="str">
        <f>VLOOKUP(I809,[2]stage_hints!$A:$C,3,FALSE)</f>
        <v>ユニット強化の属性ボーナス</v>
      </c>
      <c r="L809" s="36" t="str">
        <f>VLOOKUP(I809,[2]stage_hints!$A:$D,4,FALSE)</f>
        <v>同属性ユニットを強化素材にすると_x000D_経験値が多くもらえます</v>
      </c>
      <c r="M809" s="21" t="s">
        <v>23</v>
      </c>
      <c r="N809">
        <v>6</v>
      </c>
    </row>
    <row r="810" spans="1:14" x14ac:dyDescent="0.15">
      <c r="A810" s="26" t="s">
        <v>32</v>
      </c>
      <c r="B810" s="4">
        <v>30003</v>
      </c>
      <c r="C810" s="3" t="str">
        <f ca="1">VLOOKUP($B810,OFFSET([1]quests!$A$1,0,0,COUNTA([1]quests!$A:$A),MATCH(C$1,[1]quests!$1:$1,0)-MATCH($B$1,[1]quests!$1:$1,0)+1),MATCH(C$1,[1]quests!$1:$1,0)-MATCH($B$1,[1]quests!$1:$1,0)+1,FALSE)</f>
        <v>打ち下ろされる砕棒</v>
      </c>
      <c r="D810" s="3" t="str">
        <f ca="1">VLOOKUP($B810,OFFSET([1]quests!$A$1,0,0,COUNTA([1]quests!$A:$A),MATCH(D$1,[1]quests!$1:$1,0)-MATCH($B$1,[1]quests!$1:$1,0)+1),MATCH(D$1,[1]quests!$1:$1,0)-MATCH($B$1,[1]quests!$1:$1,0)+1,FALSE)</f>
        <v>ドロップイベント1-3（マルチ専用）</v>
      </c>
      <c r="E810" s="5">
        <v>1</v>
      </c>
      <c r="F810" s="3" t="str">
        <f ca="1">VLOOKUP($B810&amp;"_"&amp;$E810,OFFSET([1]stages!$A$1,0,0,COUNTA([1]stages!$A:$A),MATCH(F$1,[1]stages!$2:$2,0)-MATCH("temp_stage",[1]stages!$2:$2,0)+1),MATCH(F$1,[1]stages!$2:$2,0)-MATCH("temp_stage",[1]stages!$2:$2,0)+1,FALSE)</f>
        <v xml:space="preserve">【中級】打ち下ろされる砕棒 </v>
      </c>
      <c r="G810" s="3" t="str">
        <f ca="1">VLOOKUP($B810&amp;"_"&amp;$E810,OFFSET([1]stages!$A$1,0,0,COUNTA([1]stages!$A:$A),MATCH(G$1,[1]stages!$2:$2,0)-MATCH("temp_stage",[1]stages!$2:$2,0)+1),MATCH(G$1,[1]stages!$2:$2,0)-MATCH("temp_stage",[1]stages!$2:$2,0)+1,FALSE)</f>
        <v>ドロップイベント1-3（マルチ専用）</v>
      </c>
      <c r="H810" s="18">
        <v>0</v>
      </c>
      <c r="I810">
        <v>7</v>
      </c>
      <c r="J810" s="5" t="s">
        <v>16</v>
      </c>
      <c r="K810" s="35" t="str">
        <f>VLOOKUP(I810,[2]stage_hints!$A:$C,3,FALSE)</f>
        <v>メタルダックで経験値を獲得</v>
      </c>
      <c r="L810" s="36" t="str">
        <f>VLOOKUP(I810,[2]stage_hints!$A:$D,4,FALSE)</f>
        <v>「メタルなアヒル」を強化素材にすると_x000D_大量の経験値がもらえます</v>
      </c>
      <c r="M810" s="21" t="s">
        <v>23</v>
      </c>
      <c r="N810">
        <v>7</v>
      </c>
    </row>
    <row r="811" spans="1:14" x14ac:dyDescent="0.15">
      <c r="A811" s="26" t="s">
        <v>32</v>
      </c>
      <c r="B811" s="4">
        <v>30003</v>
      </c>
      <c r="C811" s="3" t="str">
        <f ca="1">VLOOKUP($B811,OFFSET([1]quests!$A$1,0,0,COUNTA([1]quests!$A:$A),MATCH(C$1,[1]quests!$1:$1,0)-MATCH($B$1,[1]quests!$1:$1,0)+1),MATCH(C$1,[1]quests!$1:$1,0)-MATCH($B$1,[1]quests!$1:$1,0)+1,FALSE)</f>
        <v>打ち下ろされる砕棒</v>
      </c>
      <c r="D811" s="3" t="str">
        <f ca="1">VLOOKUP($B811,OFFSET([1]quests!$A$1,0,0,COUNTA([1]quests!$A:$A),MATCH(D$1,[1]quests!$1:$1,0)-MATCH($B$1,[1]quests!$1:$1,0)+1),MATCH(D$1,[1]quests!$1:$1,0)-MATCH($B$1,[1]quests!$1:$1,0)+1,FALSE)</f>
        <v>ドロップイベント1-3（マルチ専用）</v>
      </c>
      <c r="E811" s="5">
        <v>1</v>
      </c>
      <c r="F811" s="3" t="str">
        <f ca="1">VLOOKUP($B811&amp;"_"&amp;$E811,OFFSET([1]stages!$A$1,0,0,COUNTA([1]stages!$A:$A),MATCH(F$1,[1]stages!$2:$2,0)-MATCH("temp_stage",[1]stages!$2:$2,0)+1),MATCH(F$1,[1]stages!$2:$2,0)-MATCH("temp_stage",[1]stages!$2:$2,0)+1,FALSE)</f>
        <v xml:space="preserve">【中級】打ち下ろされる砕棒 </v>
      </c>
      <c r="G811" s="3" t="str">
        <f ca="1">VLOOKUP($B811&amp;"_"&amp;$E811,OFFSET([1]stages!$A$1,0,0,COUNTA([1]stages!$A:$A),MATCH(G$1,[1]stages!$2:$2,0)-MATCH("temp_stage",[1]stages!$2:$2,0)+1),MATCH(G$1,[1]stages!$2:$2,0)-MATCH("temp_stage",[1]stages!$2:$2,0)+1,FALSE)</f>
        <v>ドロップイベント1-3（マルチ専用）</v>
      </c>
      <c r="H811" s="18">
        <v>0</v>
      </c>
      <c r="I811">
        <v>8</v>
      </c>
      <c r="J811" s="5" t="s">
        <v>16</v>
      </c>
      <c r="K811" s="35" t="str">
        <f>VLOOKUP(I811,[2]stage_hints!$A:$C,3,FALSE)</f>
        <v>ゲリラクエストは要チェック</v>
      </c>
      <c r="L811" s="36" t="str">
        <f>VLOOKUP(I811,[2]stage_hints!$A:$D,4,FALSE)</f>
        <v>時間限定の「アヒル捕獲作戦」では_x000D_経験値素材ユニットが多く手に入ります</v>
      </c>
      <c r="M811" s="21" t="s">
        <v>23</v>
      </c>
      <c r="N811">
        <v>8</v>
      </c>
    </row>
    <row r="812" spans="1:14" x14ac:dyDescent="0.15">
      <c r="A812" s="26" t="s">
        <v>32</v>
      </c>
      <c r="B812" s="4">
        <v>30003</v>
      </c>
      <c r="C812" s="3" t="str">
        <f ca="1">VLOOKUP($B812,OFFSET([1]quests!$A$1,0,0,COUNTA([1]quests!$A:$A),MATCH(C$1,[1]quests!$1:$1,0)-MATCH($B$1,[1]quests!$1:$1,0)+1),MATCH(C$1,[1]quests!$1:$1,0)-MATCH($B$1,[1]quests!$1:$1,0)+1,FALSE)</f>
        <v>打ち下ろされる砕棒</v>
      </c>
      <c r="D812" s="3" t="str">
        <f ca="1">VLOOKUP($B812,OFFSET([1]quests!$A$1,0,0,COUNTA([1]quests!$A:$A),MATCH(D$1,[1]quests!$1:$1,0)-MATCH($B$1,[1]quests!$1:$1,0)+1),MATCH(D$1,[1]quests!$1:$1,0)-MATCH($B$1,[1]quests!$1:$1,0)+1,FALSE)</f>
        <v>ドロップイベント1-3（マルチ専用）</v>
      </c>
      <c r="E812" s="5">
        <v>1</v>
      </c>
      <c r="F812" s="3" t="str">
        <f ca="1">VLOOKUP($B812&amp;"_"&amp;$E812,OFFSET([1]stages!$A$1,0,0,COUNTA([1]stages!$A:$A),MATCH(F$1,[1]stages!$2:$2,0)-MATCH("temp_stage",[1]stages!$2:$2,0)+1),MATCH(F$1,[1]stages!$2:$2,0)-MATCH("temp_stage",[1]stages!$2:$2,0)+1,FALSE)</f>
        <v xml:space="preserve">【中級】打ち下ろされる砕棒 </v>
      </c>
      <c r="G812" s="3" t="str">
        <f ca="1">VLOOKUP($B812&amp;"_"&amp;$E812,OFFSET([1]stages!$A$1,0,0,COUNTA([1]stages!$A:$A),MATCH(G$1,[1]stages!$2:$2,0)-MATCH("temp_stage",[1]stages!$2:$2,0)+1),MATCH(G$1,[1]stages!$2:$2,0)-MATCH("temp_stage",[1]stages!$2:$2,0)+1,FALSE)</f>
        <v>ドロップイベント1-3（マルチ専用）</v>
      </c>
      <c r="H812" s="18">
        <v>0</v>
      </c>
      <c r="I812">
        <v>9</v>
      </c>
      <c r="J812" s="5" t="s">
        <v>16</v>
      </c>
      <c r="K812" s="35" t="str">
        <f>VLOOKUP(I812,[2]stage_hints!$A:$C,3,FALSE)</f>
        <v>ゴールドダックでビットを獲得</v>
      </c>
      <c r="L812" s="36" t="str">
        <f>VLOOKUP(I812,[2]stage_hints!$A:$D,4,FALSE)</f>
        <v>「ゴールドなアヒル」を売却すると_x000D_大量のビットがもらえます</v>
      </c>
      <c r="M812" s="21" t="s">
        <v>23</v>
      </c>
      <c r="N812">
        <v>9</v>
      </c>
    </row>
    <row r="813" spans="1:14" x14ac:dyDescent="0.15">
      <c r="A813" s="26" t="s">
        <v>32</v>
      </c>
      <c r="B813" s="4">
        <v>30003</v>
      </c>
      <c r="C813" s="3" t="str">
        <f ca="1">VLOOKUP($B813,OFFSET([1]quests!$A$1,0,0,COUNTA([1]quests!$A:$A),MATCH(C$1,[1]quests!$1:$1,0)-MATCH($B$1,[1]quests!$1:$1,0)+1),MATCH(C$1,[1]quests!$1:$1,0)-MATCH($B$1,[1]quests!$1:$1,0)+1,FALSE)</f>
        <v>打ち下ろされる砕棒</v>
      </c>
      <c r="D813" s="3" t="str">
        <f ca="1">VLOOKUP($B813,OFFSET([1]quests!$A$1,0,0,COUNTA([1]quests!$A:$A),MATCH(D$1,[1]quests!$1:$1,0)-MATCH($B$1,[1]quests!$1:$1,0)+1),MATCH(D$1,[1]quests!$1:$1,0)-MATCH($B$1,[1]quests!$1:$1,0)+1,FALSE)</f>
        <v>ドロップイベント1-3（マルチ専用）</v>
      </c>
      <c r="E813" s="5">
        <v>1</v>
      </c>
      <c r="F813" s="3" t="str">
        <f ca="1">VLOOKUP($B813&amp;"_"&amp;$E813,OFFSET([1]stages!$A$1,0,0,COUNTA([1]stages!$A:$A),MATCH(F$1,[1]stages!$2:$2,0)-MATCH("temp_stage",[1]stages!$2:$2,0)+1),MATCH(F$1,[1]stages!$2:$2,0)-MATCH("temp_stage",[1]stages!$2:$2,0)+1,FALSE)</f>
        <v xml:space="preserve">【中級】打ち下ろされる砕棒 </v>
      </c>
      <c r="G813" s="3" t="str">
        <f ca="1">VLOOKUP($B813&amp;"_"&amp;$E813,OFFSET([1]stages!$A$1,0,0,COUNTA([1]stages!$A:$A),MATCH(G$1,[1]stages!$2:$2,0)-MATCH("temp_stage",[1]stages!$2:$2,0)+1),MATCH(G$1,[1]stages!$2:$2,0)-MATCH("temp_stage",[1]stages!$2:$2,0)+1,FALSE)</f>
        <v>ドロップイベント1-3（マルチ専用）</v>
      </c>
      <c r="H813" s="18">
        <v>0</v>
      </c>
      <c r="I813">
        <v>10</v>
      </c>
      <c r="J813" s="5" t="s">
        <v>16</v>
      </c>
      <c r="K813" s="35" t="str">
        <f>VLOOKUP(I813,[2]stage_hints!$A:$C,3,FALSE)</f>
        <v>土日に大量のビットを獲得</v>
      </c>
      <c r="L813" s="36" t="str">
        <f>VLOOKUP(I813,[2]stage_hints!$A:$D,4,FALSE)</f>
        <v>土日限定の「ゴールドカジノ」では_x000D_売却素材ユニットが多く手に入ります</v>
      </c>
      <c r="M813" s="21" t="s">
        <v>23</v>
      </c>
      <c r="N813">
        <v>10</v>
      </c>
    </row>
    <row r="814" spans="1:14" x14ac:dyDescent="0.15">
      <c r="A814" s="26" t="s">
        <v>32</v>
      </c>
      <c r="B814" s="4">
        <v>30003</v>
      </c>
      <c r="C814" s="3" t="str">
        <f ca="1">VLOOKUP($B814,OFFSET([1]quests!$A$1,0,0,COUNTA([1]quests!$A:$A),MATCH(C$1,[1]quests!$1:$1,0)-MATCH($B$1,[1]quests!$1:$1,0)+1),MATCH(C$1,[1]quests!$1:$1,0)-MATCH($B$1,[1]quests!$1:$1,0)+1,FALSE)</f>
        <v>打ち下ろされる砕棒</v>
      </c>
      <c r="D814" s="3" t="str">
        <f ca="1">VLOOKUP($B814,OFFSET([1]quests!$A$1,0,0,COUNTA([1]quests!$A:$A),MATCH(D$1,[1]quests!$1:$1,0)-MATCH($B$1,[1]quests!$1:$1,0)+1),MATCH(D$1,[1]quests!$1:$1,0)-MATCH($B$1,[1]quests!$1:$1,0)+1,FALSE)</f>
        <v>ドロップイベント1-3（マルチ専用）</v>
      </c>
      <c r="E814" s="5">
        <v>1</v>
      </c>
      <c r="F814" s="3" t="str">
        <f ca="1">VLOOKUP($B814&amp;"_"&amp;$E814,OFFSET([1]stages!$A$1,0,0,COUNTA([1]stages!$A:$A),MATCH(F$1,[1]stages!$2:$2,0)-MATCH("temp_stage",[1]stages!$2:$2,0)+1),MATCH(F$1,[1]stages!$2:$2,0)-MATCH("temp_stage",[1]stages!$2:$2,0)+1,FALSE)</f>
        <v xml:space="preserve">【中級】打ち下ろされる砕棒 </v>
      </c>
      <c r="G814" s="3" t="str">
        <f ca="1">VLOOKUP($B814&amp;"_"&amp;$E814,OFFSET([1]stages!$A$1,0,0,COUNTA([1]stages!$A:$A),MATCH(G$1,[1]stages!$2:$2,0)-MATCH("temp_stage",[1]stages!$2:$2,0)+1),MATCH(G$1,[1]stages!$2:$2,0)-MATCH("temp_stage",[1]stages!$2:$2,0)+1,FALSE)</f>
        <v>ドロップイベント1-3（マルチ専用）</v>
      </c>
      <c r="H814" s="18">
        <v>0</v>
      </c>
      <c r="I814">
        <v>11</v>
      </c>
      <c r="J814" s="5" t="s">
        <v>16</v>
      </c>
      <c r="K814" s="35" t="str">
        <f>VLOOKUP(I814,[2]stage_hints!$A:$C,3,FALSE)</f>
        <v>ランク解放クエスト</v>
      </c>
      <c r="L814" s="36" t="str">
        <f>VLOOKUP(I814,[2]stage_hints!$A:$D,4,FALSE)</f>
        <v>一定ランクに到達すると_x000D_報酬付きのランク開放クエストが現れます</v>
      </c>
      <c r="M814" s="21" t="s">
        <v>23</v>
      </c>
      <c r="N814">
        <v>11</v>
      </c>
    </row>
    <row r="815" spans="1:14" x14ac:dyDescent="0.15">
      <c r="A815" s="26" t="s">
        <v>32</v>
      </c>
      <c r="B815" s="4">
        <v>30003</v>
      </c>
      <c r="C815" s="3" t="str">
        <f ca="1">VLOOKUP($B815,OFFSET([1]quests!$A$1,0,0,COUNTA([1]quests!$A:$A),MATCH(C$1,[1]quests!$1:$1,0)-MATCH($B$1,[1]quests!$1:$1,0)+1),MATCH(C$1,[1]quests!$1:$1,0)-MATCH($B$1,[1]quests!$1:$1,0)+1,FALSE)</f>
        <v>打ち下ろされる砕棒</v>
      </c>
      <c r="D815" s="3" t="str">
        <f ca="1">VLOOKUP($B815,OFFSET([1]quests!$A$1,0,0,COUNTA([1]quests!$A:$A),MATCH(D$1,[1]quests!$1:$1,0)-MATCH($B$1,[1]quests!$1:$1,0)+1),MATCH(D$1,[1]quests!$1:$1,0)-MATCH($B$1,[1]quests!$1:$1,0)+1,FALSE)</f>
        <v>ドロップイベント1-3（マルチ専用）</v>
      </c>
      <c r="E815" s="5">
        <v>1</v>
      </c>
      <c r="F815" s="3" t="str">
        <f ca="1">VLOOKUP($B815&amp;"_"&amp;$E815,OFFSET([1]stages!$A$1,0,0,COUNTA([1]stages!$A:$A),MATCH(F$1,[1]stages!$2:$2,0)-MATCH("temp_stage",[1]stages!$2:$2,0)+1),MATCH(F$1,[1]stages!$2:$2,0)-MATCH("temp_stage",[1]stages!$2:$2,0)+1,FALSE)</f>
        <v xml:space="preserve">【中級】打ち下ろされる砕棒 </v>
      </c>
      <c r="G815" s="3" t="str">
        <f ca="1">VLOOKUP($B815&amp;"_"&amp;$E815,OFFSET([1]stages!$A$1,0,0,COUNTA([1]stages!$A:$A),MATCH(G$1,[1]stages!$2:$2,0)-MATCH("temp_stage",[1]stages!$2:$2,0)+1),MATCH(G$1,[1]stages!$2:$2,0)-MATCH("temp_stage",[1]stages!$2:$2,0)+1,FALSE)</f>
        <v>ドロップイベント1-3（マルチ専用）</v>
      </c>
      <c r="H815" s="18">
        <v>0</v>
      </c>
      <c r="I815">
        <v>12</v>
      </c>
      <c r="J815" s="5" t="s">
        <v>16</v>
      </c>
      <c r="K815" s="35" t="str">
        <f>VLOOKUP(I815,[2]stage_hints!$A:$C,3,FALSE)</f>
        <v>ユニットのお気に入り登録</v>
      </c>
      <c r="L815" s="36" t="str">
        <f>VLOOKUP(I815,[2]stage_hints!$A:$D,4,FALSE)</f>
        <v>大事なユニットを誤って消さないように_x000D_フォルダから「お気に入り登録」しましょう</v>
      </c>
      <c r="M815" s="21" t="s">
        <v>23</v>
      </c>
      <c r="N815">
        <v>12</v>
      </c>
    </row>
    <row r="816" spans="1:14" x14ac:dyDescent="0.15">
      <c r="A816" s="26" t="s">
        <v>32</v>
      </c>
      <c r="B816" s="4">
        <v>30003</v>
      </c>
      <c r="C816" s="3" t="str">
        <f ca="1">VLOOKUP($B816,OFFSET([1]quests!$A$1,0,0,COUNTA([1]quests!$A:$A),MATCH(C$1,[1]quests!$1:$1,0)-MATCH($B$1,[1]quests!$1:$1,0)+1),MATCH(C$1,[1]quests!$1:$1,0)-MATCH($B$1,[1]quests!$1:$1,0)+1,FALSE)</f>
        <v>打ち下ろされる砕棒</v>
      </c>
      <c r="D816" s="3" t="str">
        <f ca="1">VLOOKUP($B816,OFFSET([1]quests!$A$1,0,0,COUNTA([1]quests!$A:$A),MATCH(D$1,[1]quests!$1:$1,0)-MATCH($B$1,[1]quests!$1:$1,0)+1),MATCH(D$1,[1]quests!$1:$1,0)-MATCH($B$1,[1]quests!$1:$1,0)+1,FALSE)</f>
        <v>ドロップイベント1-3（マルチ専用）</v>
      </c>
      <c r="E816" s="5">
        <v>1</v>
      </c>
      <c r="F816" s="3" t="str">
        <f ca="1">VLOOKUP($B816&amp;"_"&amp;$E816,OFFSET([1]stages!$A$1,0,0,COUNTA([1]stages!$A:$A),MATCH(F$1,[1]stages!$2:$2,0)-MATCH("temp_stage",[1]stages!$2:$2,0)+1),MATCH(F$1,[1]stages!$2:$2,0)-MATCH("temp_stage",[1]stages!$2:$2,0)+1,FALSE)</f>
        <v xml:space="preserve">【中級】打ち下ろされる砕棒 </v>
      </c>
      <c r="G816" s="3" t="str">
        <f ca="1">VLOOKUP($B816&amp;"_"&amp;$E816,OFFSET([1]stages!$A$1,0,0,COUNTA([1]stages!$A:$A),MATCH(G$1,[1]stages!$2:$2,0)-MATCH("temp_stage",[1]stages!$2:$2,0)+1),MATCH(G$1,[1]stages!$2:$2,0)-MATCH("temp_stage",[1]stages!$2:$2,0)+1,FALSE)</f>
        <v>ドロップイベント1-3（マルチ専用）</v>
      </c>
      <c r="H816" s="18">
        <v>0</v>
      </c>
      <c r="I816">
        <v>13</v>
      </c>
      <c r="J816" s="5" t="s">
        <v>16</v>
      </c>
      <c r="K816" s="35" t="str">
        <f>VLOOKUP(I816,[2]stage_hints!$A:$C,3,FALSE)</f>
        <v>ユニットの覚醒</v>
      </c>
      <c r="L816" s="36" t="str">
        <f>VLOOKUP(I816,[2]stage_hints!$A:$D,4,FALSE)</f>
        <v>ユニットを覚醒させると_x000D_比べものにならない強さが手に入ります</v>
      </c>
      <c r="M816" s="21" t="s">
        <v>23</v>
      </c>
      <c r="N816">
        <v>13</v>
      </c>
    </row>
    <row r="817" spans="1:14" x14ac:dyDescent="0.15">
      <c r="A817" s="26" t="s">
        <v>32</v>
      </c>
      <c r="B817" s="4">
        <v>30003</v>
      </c>
      <c r="C817" s="3" t="str">
        <f ca="1">VLOOKUP($B817,OFFSET([1]quests!$A$1,0,0,COUNTA([1]quests!$A:$A),MATCH(C$1,[1]quests!$1:$1,0)-MATCH($B$1,[1]quests!$1:$1,0)+1),MATCH(C$1,[1]quests!$1:$1,0)-MATCH($B$1,[1]quests!$1:$1,0)+1,FALSE)</f>
        <v>打ち下ろされる砕棒</v>
      </c>
      <c r="D817" s="3" t="str">
        <f ca="1">VLOOKUP($B817,OFFSET([1]quests!$A$1,0,0,COUNTA([1]quests!$A:$A),MATCH(D$1,[1]quests!$1:$1,0)-MATCH($B$1,[1]quests!$1:$1,0)+1),MATCH(D$1,[1]quests!$1:$1,0)-MATCH($B$1,[1]quests!$1:$1,0)+1,FALSE)</f>
        <v>ドロップイベント1-3（マルチ専用）</v>
      </c>
      <c r="E817" s="5">
        <v>1</v>
      </c>
      <c r="F817" s="3" t="str">
        <f ca="1">VLOOKUP($B817&amp;"_"&amp;$E817,OFFSET([1]stages!$A$1,0,0,COUNTA([1]stages!$A:$A),MATCH(F$1,[1]stages!$2:$2,0)-MATCH("temp_stage",[1]stages!$2:$2,0)+1),MATCH(F$1,[1]stages!$2:$2,0)-MATCH("temp_stage",[1]stages!$2:$2,0)+1,FALSE)</f>
        <v xml:space="preserve">【中級】打ち下ろされる砕棒 </v>
      </c>
      <c r="G817" s="3" t="str">
        <f ca="1">VLOOKUP($B817&amp;"_"&amp;$E817,OFFSET([1]stages!$A$1,0,0,COUNTA([1]stages!$A:$A),MATCH(G$1,[1]stages!$2:$2,0)-MATCH("temp_stage",[1]stages!$2:$2,0)+1),MATCH(G$1,[1]stages!$2:$2,0)-MATCH("temp_stage",[1]stages!$2:$2,0)+1,FALSE)</f>
        <v>ドロップイベント1-3（マルチ専用）</v>
      </c>
      <c r="H817" s="18">
        <v>0</v>
      </c>
      <c r="I817">
        <v>14</v>
      </c>
      <c r="J817" s="5" t="s">
        <v>16</v>
      </c>
      <c r="K817" s="35" t="str">
        <f>VLOOKUP(I817,[2]stage_hints!$A:$C,3,FALSE)</f>
        <v>覚醒するにはレベルを最大に</v>
      </c>
      <c r="L817" s="36" t="str">
        <f>VLOOKUP(I817,[2]stage_hints!$A:$D,4,FALSE)</f>
        <v>覚醒するにはユニットのレベルを_x000D_最大まで上げる必要があります</v>
      </c>
      <c r="M817" s="21" t="s">
        <v>23</v>
      </c>
      <c r="N817">
        <v>14</v>
      </c>
    </row>
    <row r="818" spans="1:14" x14ac:dyDescent="0.15">
      <c r="A818" s="26" t="s">
        <v>32</v>
      </c>
      <c r="B818" s="4">
        <v>30003</v>
      </c>
      <c r="C818" s="3" t="str">
        <f ca="1">VLOOKUP($B818,OFFSET([1]quests!$A$1,0,0,COUNTA([1]quests!$A:$A),MATCH(C$1,[1]quests!$1:$1,0)-MATCH($B$1,[1]quests!$1:$1,0)+1),MATCH(C$1,[1]quests!$1:$1,0)-MATCH($B$1,[1]quests!$1:$1,0)+1,FALSE)</f>
        <v>打ち下ろされる砕棒</v>
      </c>
      <c r="D818" s="3" t="str">
        <f ca="1">VLOOKUP($B818,OFFSET([1]quests!$A$1,0,0,COUNTA([1]quests!$A:$A),MATCH(D$1,[1]quests!$1:$1,0)-MATCH($B$1,[1]quests!$1:$1,0)+1),MATCH(D$1,[1]quests!$1:$1,0)-MATCH($B$1,[1]quests!$1:$1,0)+1,FALSE)</f>
        <v>ドロップイベント1-3（マルチ専用）</v>
      </c>
      <c r="E818" s="5">
        <v>1</v>
      </c>
      <c r="F818" s="3" t="str">
        <f ca="1">VLOOKUP($B818&amp;"_"&amp;$E818,OFFSET([1]stages!$A$1,0,0,COUNTA([1]stages!$A:$A),MATCH(F$1,[1]stages!$2:$2,0)-MATCH("temp_stage",[1]stages!$2:$2,0)+1),MATCH(F$1,[1]stages!$2:$2,0)-MATCH("temp_stage",[1]stages!$2:$2,0)+1,FALSE)</f>
        <v xml:space="preserve">【中級】打ち下ろされる砕棒 </v>
      </c>
      <c r="G818" s="3" t="str">
        <f ca="1">VLOOKUP($B818&amp;"_"&amp;$E818,OFFSET([1]stages!$A$1,0,0,COUNTA([1]stages!$A:$A),MATCH(G$1,[1]stages!$2:$2,0)-MATCH("temp_stage",[1]stages!$2:$2,0)+1),MATCH(G$1,[1]stages!$2:$2,0)-MATCH("temp_stage",[1]stages!$2:$2,0)+1,FALSE)</f>
        <v>ドロップイベント1-3（マルチ専用）</v>
      </c>
      <c r="H818" s="18">
        <v>0</v>
      </c>
      <c r="I818">
        <v>15</v>
      </c>
      <c r="J818" s="5" t="s">
        <v>16</v>
      </c>
      <c r="K818" s="35" t="str">
        <f>VLOOKUP(I818,[2]stage_hints!$A:$C,3,FALSE)</f>
        <v>覚醒素材を獲得</v>
      </c>
      <c r="L818" s="36" t="str">
        <f>VLOOKUP(I818,[2]stage_hints!$A:$D,4,FALSE)</f>
        <v>「曜日クエスト」では_x000D_ユニットの覚醒に必要な素材が手に入ります</v>
      </c>
      <c r="M818" s="21" t="s">
        <v>23</v>
      </c>
      <c r="N818">
        <v>15</v>
      </c>
    </row>
    <row r="819" spans="1:14" x14ac:dyDescent="0.15">
      <c r="A819" s="26" t="s">
        <v>32</v>
      </c>
      <c r="B819" s="4">
        <v>30003</v>
      </c>
      <c r="C819" s="3" t="str">
        <f ca="1">VLOOKUP($B819,OFFSET([1]quests!$A$1,0,0,COUNTA([1]quests!$A:$A),MATCH(C$1,[1]quests!$1:$1,0)-MATCH($B$1,[1]quests!$1:$1,0)+1),MATCH(C$1,[1]quests!$1:$1,0)-MATCH($B$1,[1]quests!$1:$1,0)+1,FALSE)</f>
        <v>打ち下ろされる砕棒</v>
      </c>
      <c r="D819" s="3" t="str">
        <f ca="1">VLOOKUP($B819,OFFSET([1]quests!$A$1,0,0,COUNTA([1]quests!$A:$A),MATCH(D$1,[1]quests!$1:$1,0)-MATCH($B$1,[1]quests!$1:$1,0)+1),MATCH(D$1,[1]quests!$1:$1,0)-MATCH($B$1,[1]quests!$1:$1,0)+1,FALSE)</f>
        <v>ドロップイベント1-3（マルチ専用）</v>
      </c>
      <c r="E819" s="5">
        <v>1</v>
      </c>
      <c r="F819" s="3" t="str">
        <f ca="1">VLOOKUP($B819&amp;"_"&amp;$E819,OFFSET([1]stages!$A$1,0,0,COUNTA([1]stages!$A:$A),MATCH(F$1,[1]stages!$2:$2,0)-MATCH("temp_stage",[1]stages!$2:$2,0)+1),MATCH(F$1,[1]stages!$2:$2,0)-MATCH("temp_stage",[1]stages!$2:$2,0)+1,FALSE)</f>
        <v xml:space="preserve">【中級】打ち下ろされる砕棒 </v>
      </c>
      <c r="G819" s="3" t="str">
        <f ca="1">VLOOKUP($B819&amp;"_"&amp;$E819,OFFSET([1]stages!$A$1,0,0,COUNTA([1]stages!$A:$A),MATCH(G$1,[1]stages!$2:$2,0)-MATCH("temp_stage",[1]stages!$2:$2,0)+1),MATCH(G$1,[1]stages!$2:$2,0)-MATCH("temp_stage",[1]stages!$2:$2,0)+1,FALSE)</f>
        <v>ドロップイベント1-3（マルチ専用）</v>
      </c>
      <c r="H819" s="18">
        <v>0</v>
      </c>
      <c r="I819">
        <v>16</v>
      </c>
      <c r="J819" s="5" t="s">
        <v>16</v>
      </c>
      <c r="K819" s="35" t="str">
        <f>VLOOKUP(I819,[2]stage_hints!$A:$C,3,FALSE)</f>
        <v>マルチプレイのメリット（その1）</v>
      </c>
      <c r="L819" s="36" t="str">
        <f>VLOOKUP(I819,[2]stage_hints!$A:$D,4,FALSE)</f>
        <v>他のプレイヤーとマルチプレイで遊ぶと_x000D_ポリゴンがもらえます（100人まで）</v>
      </c>
      <c r="M819" s="21" t="s">
        <v>23</v>
      </c>
      <c r="N819">
        <v>16</v>
      </c>
    </row>
    <row r="820" spans="1:14" x14ac:dyDescent="0.15">
      <c r="A820" s="26" t="s">
        <v>32</v>
      </c>
      <c r="B820" s="4">
        <v>30003</v>
      </c>
      <c r="C820" s="3" t="str">
        <f ca="1">VLOOKUP($B820,OFFSET([1]quests!$A$1,0,0,COUNTA([1]quests!$A:$A),MATCH(C$1,[1]quests!$1:$1,0)-MATCH($B$1,[1]quests!$1:$1,0)+1),MATCH(C$1,[1]quests!$1:$1,0)-MATCH($B$1,[1]quests!$1:$1,0)+1,FALSE)</f>
        <v>打ち下ろされる砕棒</v>
      </c>
      <c r="D820" s="3" t="str">
        <f ca="1">VLOOKUP($B820,OFFSET([1]quests!$A$1,0,0,COUNTA([1]quests!$A:$A),MATCH(D$1,[1]quests!$1:$1,0)-MATCH($B$1,[1]quests!$1:$1,0)+1),MATCH(D$1,[1]quests!$1:$1,0)-MATCH($B$1,[1]quests!$1:$1,0)+1,FALSE)</f>
        <v>ドロップイベント1-3（マルチ専用）</v>
      </c>
      <c r="E820" s="5">
        <v>1</v>
      </c>
      <c r="F820" s="3" t="str">
        <f ca="1">VLOOKUP($B820&amp;"_"&amp;$E820,OFFSET([1]stages!$A$1,0,0,COUNTA([1]stages!$A:$A),MATCH(F$1,[1]stages!$2:$2,0)-MATCH("temp_stage",[1]stages!$2:$2,0)+1),MATCH(F$1,[1]stages!$2:$2,0)-MATCH("temp_stage",[1]stages!$2:$2,0)+1,FALSE)</f>
        <v xml:space="preserve">【中級】打ち下ろされる砕棒 </v>
      </c>
      <c r="G820" s="3" t="str">
        <f ca="1">VLOOKUP($B820&amp;"_"&amp;$E820,OFFSET([1]stages!$A$1,0,0,COUNTA([1]stages!$A:$A),MATCH(G$1,[1]stages!$2:$2,0)-MATCH("temp_stage",[1]stages!$2:$2,0)+1),MATCH(G$1,[1]stages!$2:$2,0)-MATCH("temp_stage",[1]stages!$2:$2,0)+1,FALSE)</f>
        <v>ドロップイベント1-3（マルチ専用）</v>
      </c>
      <c r="H820" s="18">
        <v>0</v>
      </c>
      <c r="I820">
        <v>17</v>
      </c>
      <c r="J820" s="5" t="s">
        <v>16</v>
      </c>
      <c r="K820" s="35" t="str">
        <f>VLOOKUP(I820,[2]stage_hints!$A:$C,3,FALSE)</f>
        <v>リンクガチャ</v>
      </c>
      <c r="L820" s="36" t="str">
        <f>VLOOKUP(I820,[2]stage_hints!$A:$D,4,FALSE)</f>
        <v>無料のリンクガチャを回して_x000D_経験値素材や売却素材を獲得しましょう</v>
      </c>
      <c r="M820" s="21" t="s">
        <v>23</v>
      </c>
      <c r="N820">
        <v>17</v>
      </c>
    </row>
    <row r="821" spans="1:14" x14ac:dyDescent="0.15">
      <c r="A821" s="26" t="s">
        <v>32</v>
      </c>
      <c r="B821" s="4">
        <v>30003</v>
      </c>
      <c r="C821" s="3" t="str">
        <f ca="1">VLOOKUP($B821,OFFSET([1]quests!$A$1,0,0,COUNTA([1]quests!$A:$A),MATCH(C$1,[1]quests!$1:$1,0)-MATCH($B$1,[1]quests!$1:$1,0)+1),MATCH(C$1,[1]quests!$1:$1,0)-MATCH($B$1,[1]quests!$1:$1,0)+1,FALSE)</f>
        <v>打ち下ろされる砕棒</v>
      </c>
      <c r="D821" s="3" t="str">
        <f ca="1">VLOOKUP($B821,OFFSET([1]quests!$A$1,0,0,COUNTA([1]quests!$A:$A),MATCH(D$1,[1]quests!$1:$1,0)-MATCH($B$1,[1]quests!$1:$1,0)+1),MATCH(D$1,[1]quests!$1:$1,0)-MATCH($B$1,[1]quests!$1:$1,0)+1,FALSE)</f>
        <v>ドロップイベント1-3（マルチ専用）</v>
      </c>
      <c r="E821" s="5">
        <v>1</v>
      </c>
      <c r="F821" s="3" t="str">
        <f ca="1">VLOOKUP($B821&amp;"_"&amp;$E821,OFFSET([1]stages!$A$1,0,0,COUNTA([1]stages!$A:$A),MATCH(F$1,[1]stages!$2:$2,0)-MATCH("temp_stage",[1]stages!$2:$2,0)+1),MATCH(F$1,[1]stages!$2:$2,0)-MATCH("temp_stage",[1]stages!$2:$2,0)+1,FALSE)</f>
        <v xml:space="preserve">【中級】打ち下ろされる砕棒 </v>
      </c>
      <c r="G821" s="3" t="str">
        <f ca="1">VLOOKUP($B821&amp;"_"&amp;$E821,OFFSET([1]stages!$A$1,0,0,COUNTA([1]stages!$A:$A),MATCH(G$1,[1]stages!$2:$2,0)-MATCH("temp_stage",[1]stages!$2:$2,0)+1),MATCH(G$1,[1]stages!$2:$2,0)-MATCH("temp_stage",[1]stages!$2:$2,0)+1,FALSE)</f>
        <v>ドロップイベント1-3（マルチ専用）</v>
      </c>
      <c r="H821" s="18">
        <v>0</v>
      </c>
      <c r="I821">
        <v>18</v>
      </c>
      <c r="J821" s="5" t="s">
        <v>16</v>
      </c>
      <c r="K821" s="35" t="str">
        <f>VLOOKUP(I821,[2]stage_hints!$A:$C,3,FALSE)</f>
        <v>マルチプレイのメリット（その2）</v>
      </c>
      <c r="L821" s="36" t="str">
        <f>VLOOKUP(I821,[2]stage_hints!$A:$D,4,FALSE)</f>
        <v>マルチプレイならリンクが2倍もらえます_x000D_リンクガチャをたくさん回しましょう</v>
      </c>
      <c r="M821" s="21" t="s">
        <v>23</v>
      </c>
      <c r="N821">
        <v>18</v>
      </c>
    </row>
    <row r="822" spans="1:14" x14ac:dyDescent="0.15">
      <c r="A822" s="26" t="s">
        <v>32</v>
      </c>
      <c r="B822" s="4">
        <v>30003</v>
      </c>
      <c r="C822" s="3" t="str">
        <f ca="1">VLOOKUP($B822,OFFSET([1]quests!$A$1,0,0,COUNTA([1]quests!$A:$A),MATCH(C$1,[1]quests!$1:$1,0)-MATCH($B$1,[1]quests!$1:$1,0)+1),MATCH(C$1,[1]quests!$1:$1,0)-MATCH($B$1,[1]quests!$1:$1,0)+1,FALSE)</f>
        <v>打ち下ろされる砕棒</v>
      </c>
      <c r="D822" s="3" t="str">
        <f ca="1">VLOOKUP($B822,OFFSET([1]quests!$A$1,0,0,COUNTA([1]quests!$A:$A),MATCH(D$1,[1]quests!$1:$1,0)-MATCH($B$1,[1]quests!$1:$1,0)+1),MATCH(D$1,[1]quests!$1:$1,0)-MATCH($B$1,[1]quests!$1:$1,0)+1,FALSE)</f>
        <v>ドロップイベント1-3（マルチ専用）</v>
      </c>
      <c r="E822" s="5">
        <v>1</v>
      </c>
      <c r="F822" s="3" t="str">
        <f ca="1">VLOOKUP($B822&amp;"_"&amp;$E822,OFFSET([1]stages!$A$1,0,0,COUNTA([1]stages!$A:$A),MATCH(F$1,[1]stages!$2:$2,0)-MATCH("temp_stage",[1]stages!$2:$2,0)+1),MATCH(F$1,[1]stages!$2:$2,0)-MATCH("temp_stage",[1]stages!$2:$2,0)+1,FALSE)</f>
        <v xml:space="preserve">【中級】打ち下ろされる砕棒 </v>
      </c>
      <c r="G822" s="3" t="str">
        <f ca="1">VLOOKUP($B822&amp;"_"&amp;$E822,OFFSET([1]stages!$A$1,0,0,COUNTA([1]stages!$A:$A),MATCH(G$1,[1]stages!$2:$2,0)-MATCH("temp_stage",[1]stages!$2:$2,0)+1),MATCH(G$1,[1]stages!$2:$2,0)-MATCH("temp_stage",[1]stages!$2:$2,0)+1,FALSE)</f>
        <v>ドロップイベント1-3（マルチ専用）</v>
      </c>
      <c r="H822" s="18">
        <v>0</v>
      </c>
      <c r="I822">
        <v>19</v>
      </c>
      <c r="J822" s="5" t="s">
        <v>16</v>
      </c>
      <c r="K822" s="35" t="str">
        <f>VLOOKUP(I822,[2]stage_hints!$A:$C,3,FALSE)</f>
        <v>ソロ専用チャレンジタワー</v>
      </c>
      <c r="L822" s="36" t="str">
        <f>VLOOKUP(I822,[2]stage_hints!$A:$D,4,FALSE)</f>
        <v>ソロ専用の「チャレンジタワー」では_x000D_各フロアごとにクリア報酬がもらえます</v>
      </c>
      <c r="M822" s="21" t="s">
        <v>23</v>
      </c>
      <c r="N822">
        <v>19</v>
      </c>
    </row>
    <row r="823" spans="1:14" x14ac:dyDescent="0.15">
      <c r="A823" s="26" t="s">
        <v>32</v>
      </c>
      <c r="B823" s="4">
        <v>30003</v>
      </c>
      <c r="C823" s="3" t="str">
        <f ca="1">VLOOKUP($B823,OFFSET([1]quests!$A$1,0,0,COUNTA([1]quests!$A:$A),MATCH(C$1,[1]quests!$1:$1,0)-MATCH($B$1,[1]quests!$1:$1,0)+1),MATCH(C$1,[1]quests!$1:$1,0)-MATCH($B$1,[1]quests!$1:$1,0)+1,FALSE)</f>
        <v>打ち下ろされる砕棒</v>
      </c>
      <c r="D823" s="3" t="str">
        <f ca="1">VLOOKUP($B823,OFFSET([1]quests!$A$1,0,0,COUNTA([1]quests!$A:$A),MATCH(D$1,[1]quests!$1:$1,0)-MATCH($B$1,[1]quests!$1:$1,0)+1),MATCH(D$1,[1]quests!$1:$1,0)-MATCH($B$1,[1]quests!$1:$1,0)+1,FALSE)</f>
        <v>ドロップイベント1-3（マルチ専用）</v>
      </c>
      <c r="E823" s="5">
        <v>1</v>
      </c>
      <c r="F823" s="3" t="str">
        <f ca="1">VLOOKUP($B823&amp;"_"&amp;$E823,OFFSET([1]stages!$A$1,0,0,COUNTA([1]stages!$A:$A),MATCH(F$1,[1]stages!$2:$2,0)-MATCH("temp_stage",[1]stages!$2:$2,0)+1),MATCH(F$1,[1]stages!$2:$2,0)-MATCH("temp_stage",[1]stages!$2:$2,0)+1,FALSE)</f>
        <v xml:space="preserve">【中級】打ち下ろされる砕棒 </v>
      </c>
      <c r="G823" s="3" t="str">
        <f ca="1">VLOOKUP($B823&amp;"_"&amp;$E823,OFFSET([1]stages!$A$1,0,0,COUNTA([1]stages!$A:$A),MATCH(G$1,[1]stages!$2:$2,0)-MATCH("temp_stage",[1]stages!$2:$2,0)+1),MATCH(G$1,[1]stages!$2:$2,0)-MATCH("temp_stage",[1]stages!$2:$2,0)+1,FALSE)</f>
        <v>ドロップイベント1-3（マルチ専用）</v>
      </c>
      <c r="H823" s="18">
        <v>0</v>
      </c>
      <c r="I823">
        <v>20</v>
      </c>
      <c r="J823" s="5" t="s">
        <v>16</v>
      </c>
      <c r="K823" s="35" t="str">
        <f>VLOOKUP(I823,[2]stage_hints!$A:$C,3,FALSE)</f>
        <v>マルチプレイのメリット（その3）</v>
      </c>
      <c r="L823" s="36" t="str">
        <f>VLOOKUP(I823,[2]stage_hints!$A:$D,4,FALSE)</f>
        <v>マルチプレイへの参加はエナジー消費ゼロ_x000D_いつでも好きなだけ遊ぶことができます</v>
      </c>
      <c r="M823" s="21" t="s">
        <v>23</v>
      </c>
      <c r="N823">
        <v>20</v>
      </c>
    </row>
    <row r="824" spans="1:14" x14ac:dyDescent="0.15">
      <c r="A824" s="26" t="s">
        <v>32</v>
      </c>
      <c r="B824" s="4">
        <v>30003</v>
      </c>
      <c r="C824" s="3" t="str">
        <f ca="1">VLOOKUP($B824,OFFSET([1]quests!$A$1,0,0,COUNTA([1]quests!$A:$A),MATCH(C$1,[1]quests!$1:$1,0)-MATCH($B$1,[1]quests!$1:$1,0)+1),MATCH(C$1,[1]quests!$1:$1,0)-MATCH($B$1,[1]quests!$1:$1,0)+1,FALSE)</f>
        <v>打ち下ろされる砕棒</v>
      </c>
      <c r="D824" s="3" t="str">
        <f ca="1">VLOOKUP($B824,OFFSET([1]quests!$A$1,0,0,COUNTA([1]quests!$A:$A),MATCH(D$1,[1]quests!$1:$1,0)-MATCH($B$1,[1]quests!$1:$1,0)+1),MATCH(D$1,[1]quests!$1:$1,0)-MATCH($B$1,[1]quests!$1:$1,0)+1,FALSE)</f>
        <v>ドロップイベント1-3（マルチ専用）</v>
      </c>
      <c r="E824" s="5">
        <v>1</v>
      </c>
      <c r="F824" s="3" t="str">
        <f ca="1">VLOOKUP($B824&amp;"_"&amp;$E824,OFFSET([1]stages!$A$1,0,0,COUNTA([1]stages!$A:$A),MATCH(F$1,[1]stages!$2:$2,0)-MATCH("temp_stage",[1]stages!$2:$2,0)+1),MATCH(F$1,[1]stages!$2:$2,0)-MATCH("temp_stage",[1]stages!$2:$2,0)+1,FALSE)</f>
        <v xml:space="preserve">【中級】打ち下ろされる砕棒 </v>
      </c>
      <c r="G824" s="3" t="str">
        <f ca="1">VLOOKUP($B824&amp;"_"&amp;$E824,OFFSET([1]stages!$A$1,0,0,COUNTA([1]stages!$A:$A),MATCH(G$1,[1]stages!$2:$2,0)-MATCH("temp_stage",[1]stages!$2:$2,0)+1),MATCH(G$1,[1]stages!$2:$2,0)-MATCH("temp_stage",[1]stages!$2:$2,0)+1,FALSE)</f>
        <v>ドロップイベント1-3（マルチ専用）</v>
      </c>
      <c r="H824" s="18">
        <v>0</v>
      </c>
      <c r="I824">
        <v>21</v>
      </c>
      <c r="J824" s="5" t="s">
        <v>16</v>
      </c>
      <c r="K824" s="35" t="str">
        <f>VLOOKUP(I824,[2]stage_hints!$A:$C,3,FALSE)</f>
        <v>スキルを有効に</v>
      </c>
      <c r="L824" s="36" t="str">
        <f>VLOOKUP(I824,[2]stage_hints!$A:$D,4,FALSE)</f>
        <v>ターン経過でユニットのスキルが使えます_x000D_強力スキルでバトルを有利に進めましょう</v>
      </c>
      <c r="M824" s="21" t="s">
        <v>23</v>
      </c>
      <c r="N824">
        <v>21</v>
      </c>
    </row>
    <row r="825" spans="1:14" x14ac:dyDescent="0.15">
      <c r="A825" s="26" t="s">
        <v>32</v>
      </c>
      <c r="B825" s="4">
        <v>30003</v>
      </c>
      <c r="C825" s="3" t="str">
        <f ca="1">VLOOKUP($B825,OFFSET([1]quests!$A$1,0,0,COUNTA([1]quests!$A:$A),MATCH(C$1,[1]quests!$1:$1,0)-MATCH($B$1,[1]quests!$1:$1,0)+1),MATCH(C$1,[1]quests!$1:$1,0)-MATCH($B$1,[1]quests!$1:$1,0)+1,FALSE)</f>
        <v>打ち下ろされる砕棒</v>
      </c>
      <c r="D825" s="3" t="str">
        <f ca="1">VLOOKUP($B825,OFFSET([1]quests!$A$1,0,0,COUNTA([1]quests!$A:$A),MATCH(D$1,[1]quests!$1:$1,0)-MATCH($B$1,[1]quests!$1:$1,0)+1),MATCH(D$1,[1]quests!$1:$1,0)-MATCH($B$1,[1]quests!$1:$1,0)+1,FALSE)</f>
        <v>ドロップイベント1-3（マルチ専用）</v>
      </c>
      <c r="E825" s="5">
        <v>1</v>
      </c>
      <c r="F825" s="3" t="str">
        <f ca="1">VLOOKUP($B825&amp;"_"&amp;$E825,OFFSET([1]stages!$A$1,0,0,COUNTA([1]stages!$A:$A),MATCH(F$1,[1]stages!$2:$2,0)-MATCH("temp_stage",[1]stages!$2:$2,0)+1),MATCH(F$1,[1]stages!$2:$2,0)-MATCH("temp_stage",[1]stages!$2:$2,0)+1,FALSE)</f>
        <v xml:space="preserve">【中級】打ち下ろされる砕棒 </v>
      </c>
      <c r="G825" s="3" t="str">
        <f ca="1">VLOOKUP($B825&amp;"_"&amp;$E825,OFFSET([1]stages!$A$1,0,0,COUNTA([1]stages!$A:$A),MATCH(G$1,[1]stages!$2:$2,0)-MATCH("temp_stage",[1]stages!$2:$2,0)+1),MATCH(G$1,[1]stages!$2:$2,0)-MATCH("temp_stage",[1]stages!$2:$2,0)+1,FALSE)</f>
        <v>ドロップイベント1-3（マルチ専用）</v>
      </c>
      <c r="H825" s="18">
        <v>0</v>
      </c>
      <c r="I825">
        <v>22</v>
      </c>
      <c r="J825" s="5" t="s">
        <v>16</v>
      </c>
      <c r="K825" s="35" t="str">
        <f>VLOOKUP(I825,[2]stage_hints!$A:$C,3,FALSE)</f>
        <v>フィーバーで一発逆転（その1）</v>
      </c>
      <c r="L825" s="36" t="str">
        <f>VLOOKUP(I825,[2]stage_hints!$A:$D,4,FALSE)</f>
        <v>フィーバーは攻撃と回復を兼ね備えます_x000D_ピンチからの一発逆転を狙いましょう</v>
      </c>
      <c r="M825" s="21" t="s">
        <v>23</v>
      </c>
      <c r="N825">
        <v>22</v>
      </c>
    </row>
    <row r="826" spans="1:14" x14ac:dyDescent="0.15">
      <c r="A826" s="26" t="s">
        <v>32</v>
      </c>
      <c r="B826" s="4">
        <v>30003</v>
      </c>
      <c r="C826" s="3" t="str">
        <f ca="1">VLOOKUP($B826,OFFSET([1]quests!$A$1,0,0,COUNTA([1]quests!$A:$A),MATCH(C$1,[1]quests!$1:$1,0)-MATCH($B$1,[1]quests!$1:$1,0)+1),MATCH(C$1,[1]quests!$1:$1,0)-MATCH($B$1,[1]quests!$1:$1,0)+1,FALSE)</f>
        <v>打ち下ろされる砕棒</v>
      </c>
      <c r="D826" s="3" t="str">
        <f ca="1">VLOOKUP($B826,OFFSET([1]quests!$A$1,0,0,COUNTA([1]quests!$A:$A),MATCH(D$1,[1]quests!$1:$1,0)-MATCH($B$1,[1]quests!$1:$1,0)+1),MATCH(D$1,[1]quests!$1:$1,0)-MATCH($B$1,[1]quests!$1:$1,0)+1,FALSE)</f>
        <v>ドロップイベント1-3（マルチ専用）</v>
      </c>
      <c r="E826" s="5">
        <v>1</v>
      </c>
      <c r="F826" s="3" t="str">
        <f ca="1">VLOOKUP($B826&amp;"_"&amp;$E826,OFFSET([1]stages!$A$1,0,0,COUNTA([1]stages!$A:$A),MATCH(F$1,[1]stages!$2:$2,0)-MATCH("temp_stage",[1]stages!$2:$2,0)+1),MATCH(F$1,[1]stages!$2:$2,0)-MATCH("temp_stage",[1]stages!$2:$2,0)+1,FALSE)</f>
        <v xml:space="preserve">【中級】打ち下ろされる砕棒 </v>
      </c>
      <c r="G826" s="3" t="str">
        <f ca="1">VLOOKUP($B826&amp;"_"&amp;$E826,OFFSET([1]stages!$A$1,0,0,COUNTA([1]stages!$A:$A),MATCH(G$1,[1]stages!$2:$2,0)-MATCH("temp_stage",[1]stages!$2:$2,0)+1),MATCH(G$1,[1]stages!$2:$2,0)-MATCH("temp_stage",[1]stages!$2:$2,0)+1,FALSE)</f>
        <v>ドロップイベント1-3（マルチ専用）</v>
      </c>
      <c r="H826" s="18">
        <v>0</v>
      </c>
      <c r="I826">
        <v>23</v>
      </c>
      <c r="J826" s="5" t="s">
        <v>16</v>
      </c>
      <c r="K826" s="35" t="str">
        <f>VLOOKUP(I826,[2]stage_hints!$A:$C,3,FALSE)</f>
        <v>フィーバーで一発逆転（その2）</v>
      </c>
      <c r="L826" s="36" t="str">
        <f>VLOOKUP(I826,[2]stage_hints!$A:$D,4,FALSE)</f>
        <v>フィーバー中は虹色のボムパネルを狙って_x000D_画面上のパネルを一気に破壊しましょう</v>
      </c>
      <c r="M826" s="21" t="s">
        <v>23</v>
      </c>
      <c r="N826">
        <v>23</v>
      </c>
    </row>
    <row r="827" spans="1:14" x14ac:dyDescent="0.15">
      <c r="A827" s="26" t="s">
        <v>32</v>
      </c>
      <c r="B827" s="4">
        <v>30003</v>
      </c>
      <c r="C827" s="3" t="str">
        <f ca="1">VLOOKUP($B827,OFFSET([1]quests!$A$1,0,0,COUNTA([1]quests!$A:$A),MATCH(C$1,[1]quests!$1:$1,0)-MATCH($B$1,[1]quests!$1:$1,0)+1),MATCH(C$1,[1]quests!$1:$1,0)-MATCH($B$1,[1]quests!$1:$1,0)+1,FALSE)</f>
        <v>打ち下ろされる砕棒</v>
      </c>
      <c r="D827" s="3" t="str">
        <f ca="1">VLOOKUP($B827,OFFSET([1]quests!$A$1,0,0,COUNTA([1]quests!$A:$A),MATCH(D$1,[1]quests!$1:$1,0)-MATCH($B$1,[1]quests!$1:$1,0)+1),MATCH(D$1,[1]quests!$1:$1,0)-MATCH($B$1,[1]quests!$1:$1,0)+1,FALSE)</f>
        <v>ドロップイベント1-3（マルチ専用）</v>
      </c>
      <c r="E827" s="5">
        <v>1</v>
      </c>
      <c r="F827" s="3" t="str">
        <f ca="1">VLOOKUP($B827&amp;"_"&amp;$E827,OFFSET([1]stages!$A$1,0,0,COUNTA([1]stages!$A:$A),MATCH(F$1,[1]stages!$2:$2,0)-MATCH("temp_stage",[1]stages!$2:$2,0)+1),MATCH(F$1,[1]stages!$2:$2,0)-MATCH("temp_stage",[1]stages!$2:$2,0)+1,FALSE)</f>
        <v xml:space="preserve">【中級】打ち下ろされる砕棒 </v>
      </c>
      <c r="G827" s="3" t="str">
        <f ca="1">VLOOKUP($B827&amp;"_"&amp;$E827,OFFSET([1]stages!$A$1,0,0,COUNTA([1]stages!$A:$A),MATCH(G$1,[1]stages!$2:$2,0)-MATCH("temp_stage",[1]stages!$2:$2,0)+1),MATCH(G$1,[1]stages!$2:$2,0)-MATCH("temp_stage",[1]stages!$2:$2,0)+1,FALSE)</f>
        <v>ドロップイベント1-3（マルチ専用）</v>
      </c>
      <c r="H827" s="18">
        <v>0</v>
      </c>
      <c r="I827">
        <v>24</v>
      </c>
      <c r="J827" s="5" t="s">
        <v>16</v>
      </c>
      <c r="K827" s="35" t="str">
        <f>VLOOKUP(I827,[2]stage_hints!$A:$C,3,FALSE)</f>
        <v>りんごを使って限界突破</v>
      </c>
      <c r="L827" s="36" t="str">
        <f>VLOOKUP(I827,[2]stage_hints!$A:$D,4,FALSE)</f>
        <v>赤りんご(攻撃力) 青りんご(回復力)_x000D_緑りんご(体力)をユニット強化に使うと_x000D_ステータスが限界突破します（計99個迄）</v>
      </c>
      <c r="M827" s="21" t="s">
        <v>23</v>
      </c>
      <c r="N827">
        <v>24</v>
      </c>
    </row>
    <row r="828" spans="1:14" x14ac:dyDescent="0.15">
      <c r="A828" s="26" t="s">
        <v>32</v>
      </c>
      <c r="B828" s="4">
        <v>30003</v>
      </c>
      <c r="C828" s="3" t="str">
        <f ca="1">VLOOKUP($B828,OFFSET([1]quests!$A$1,0,0,COUNTA([1]quests!$A:$A),MATCH(C$1,[1]quests!$1:$1,0)-MATCH($B$1,[1]quests!$1:$1,0)+1),MATCH(C$1,[1]quests!$1:$1,0)-MATCH($B$1,[1]quests!$1:$1,0)+1,FALSE)</f>
        <v>打ち下ろされる砕棒</v>
      </c>
      <c r="D828" s="3" t="str">
        <f ca="1">VLOOKUP($B828,OFFSET([1]quests!$A$1,0,0,COUNTA([1]quests!$A:$A),MATCH(D$1,[1]quests!$1:$1,0)-MATCH($B$1,[1]quests!$1:$1,0)+1),MATCH(D$1,[1]quests!$1:$1,0)-MATCH($B$1,[1]quests!$1:$1,0)+1,FALSE)</f>
        <v>ドロップイベント1-3（マルチ専用）</v>
      </c>
      <c r="E828" s="5">
        <v>1</v>
      </c>
      <c r="F828" s="3" t="str">
        <f ca="1">VLOOKUP($B828&amp;"_"&amp;$E828,OFFSET([1]stages!$A$1,0,0,COUNTA([1]stages!$A:$A),MATCH(F$1,[1]stages!$2:$2,0)-MATCH("temp_stage",[1]stages!$2:$2,0)+1),MATCH(F$1,[1]stages!$2:$2,0)-MATCH("temp_stage",[1]stages!$2:$2,0)+1,FALSE)</f>
        <v xml:space="preserve">【中級】打ち下ろされる砕棒 </v>
      </c>
      <c r="G828" s="3" t="str">
        <f ca="1">VLOOKUP($B828&amp;"_"&amp;$E828,OFFSET([1]stages!$A$1,0,0,COUNTA([1]stages!$A:$A),MATCH(G$1,[1]stages!$2:$2,0)-MATCH("temp_stage",[1]stages!$2:$2,0)+1),MATCH(G$1,[1]stages!$2:$2,0)-MATCH("temp_stage",[1]stages!$2:$2,0)+1,FALSE)</f>
        <v>ドロップイベント1-3（マルチ専用）</v>
      </c>
      <c r="H828" s="18">
        <v>0</v>
      </c>
      <c r="I828">
        <v>25</v>
      </c>
      <c r="J828" s="5" t="s">
        <v>16</v>
      </c>
      <c r="K828" s="35" t="str">
        <f>VLOOKUP(I828,[2]stage_hints!$A:$C,3,FALSE)</f>
        <v>スキルレベルアップ</v>
      </c>
      <c r="L828" s="36" t="str">
        <f>VLOOKUP(I828,[2]stage_hints!$A:$D,4,FALSE)</f>
        <v>「クリスタルのりんご」を強化に使うと_x000D_スキルレベルを上げることができます</v>
      </c>
      <c r="M828" s="21" t="s">
        <v>23</v>
      </c>
      <c r="N828">
        <v>25</v>
      </c>
    </row>
    <row r="829" spans="1:14" x14ac:dyDescent="0.15">
      <c r="A829" s="26" t="s">
        <v>32</v>
      </c>
      <c r="B829" s="4">
        <v>30003</v>
      </c>
      <c r="C829" s="3" t="str">
        <f ca="1">VLOOKUP($B829,OFFSET([1]quests!$A$1,0,0,COUNTA([1]quests!$A:$A),MATCH(C$1,[1]quests!$1:$1,0)-MATCH($B$1,[1]quests!$1:$1,0)+1),MATCH(C$1,[1]quests!$1:$1,0)-MATCH($B$1,[1]quests!$1:$1,0)+1,FALSE)</f>
        <v>打ち下ろされる砕棒</v>
      </c>
      <c r="D829" s="3" t="str">
        <f ca="1">VLOOKUP($B829,OFFSET([1]quests!$A$1,0,0,COUNTA([1]quests!$A:$A),MATCH(D$1,[1]quests!$1:$1,0)-MATCH($B$1,[1]quests!$1:$1,0)+1),MATCH(D$1,[1]quests!$1:$1,0)-MATCH($B$1,[1]quests!$1:$1,0)+1,FALSE)</f>
        <v>ドロップイベント1-3（マルチ専用）</v>
      </c>
      <c r="E829" s="5">
        <v>1</v>
      </c>
      <c r="F829" s="3" t="str">
        <f ca="1">VLOOKUP($B829&amp;"_"&amp;$E829,OFFSET([1]stages!$A$1,0,0,COUNTA([1]stages!$A:$A),MATCH(F$1,[1]stages!$2:$2,0)-MATCH("temp_stage",[1]stages!$2:$2,0)+1),MATCH(F$1,[1]stages!$2:$2,0)-MATCH("temp_stage",[1]stages!$2:$2,0)+1,FALSE)</f>
        <v xml:space="preserve">【中級】打ち下ろされる砕棒 </v>
      </c>
      <c r="G829" s="3" t="str">
        <f ca="1">VLOOKUP($B829&amp;"_"&amp;$E829,OFFSET([1]stages!$A$1,0,0,COUNTA([1]stages!$A:$A),MATCH(G$1,[1]stages!$2:$2,0)-MATCH("temp_stage",[1]stages!$2:$2,0)+1),MATCH(G$1,[1]stages!$2:$2,0)-MATCH("temp_stage",[1]stages!$2:$2,0)+1,FALSE)</f>
        <v>ドロップイベント1-3（マルチ専用）</v>
      </c>
      <c r="H829" s="18">
        <v>0</v>
      </c>
      <c r="I829">
        <v>26</v>
      </c>
      <c r="J829" s="5" t="s">
        <v>16</v>
      </c>
      <c r="K829" s="35" t="str">
        <f>VLOOKUP(I829,[2]stage_hints!$A:$C,3,FALSE)</f>
        <v>スキルレベルの効果</v>
      </c>
      <c r="L829" s="36" t="str">
        <f>VLOOKUP(I829,[2]stage_hints!$A:$D,4,FALSE)</f>
        <v>スキルレベルが上がると_x000D_短いターンでスキルを使うことができます</v>
      </c>
      <c r="M829" s="21" t="s">
        <v>23</v>
      </c>
      <c r="N829">
        <v>26</v>
      </c>
    </row>
    <row r="830" spans="1:14" x14ac:dyDescent="0.15">
      <c r="A830" s="26" t="s">
        <v>32</v>
      </c>
      <c r="B830" s="4">
        <v>30003</v>
      </c>
      <c r="C830" s="3" t="str">
        <f ca="1">VLOOKUP($B830,OFFSET([1]quests!$A$1,0,0,COUNTA([1]quests!$A:$A),MATCH(C$1,[1]quests!$1:$1,0)-MATCH($B$1,[1]quests!$1:$1,0)+1),MATCH(C$1,[1]quests!$1:$1,0)-MATCH($B$1,[1]quests!$1:$1,0)+1,FALSE)</f>
        <v>打ち下ろされる砕棒</v>
      </c>
      <c r="D830" s="3" t="str">
        <f ca="1">VLOOKUP($B830,OFFSET([1]quests!$A$1,0,0,COUNTA([1]quests!$A:$A),MATCH(D$1,[1]quests!$1:$1,0)-MATCH($B$1,[1]quests!$1:$1,0)+1),MATCH(D$1,[1]quests!$1:$1,0)-MATCH($B$1,[1]quests!$1:$1,0)+1,FALSE)</f>
        <v>ドロップイベント1-3（マルチ専用）</v>
      </c>
      <c r="E830" s="5">
        <v>1</v>
      </c>
      <c r="F830" s="3" t="str">
        <f ca="1">VLOOKUP($B830&amp;"_"&amp;$E830,OFFSET([1]stages!$A$1,0,0,COUNTA([1]stages!$A:$A),MATCH(F$1,[1]stages!$2:$2,0)-MATCH("temp_stage",[1]stages!$2:$2,0)+1),MATCH(F$1,[1]stages!$2:$2,0)-MATCH("temp_stage",[1]stages!$2:$2,0)+1,FALSE)</f>
        <v xml:space="preserve">【中級】打ち下ろされる砕棒 </v>
      </c>
      <c r="G830" s="3" t="str">
        <f ca="1">VLOOKUP($B830&amp;"_"&amp;$E830,OFFSET([1]stages!$A$1,0,0,COUNTA([1]stages!$A:$A),MATCH(G$1,[1]stages!$2:$2,0)-MATCH("temp_stage",[1]stages!$2:$2,0)+1),MATCH(G$1,[1]stages!$2:$2,0)-MATCH("temp_stage",[1]stages!$2:$2,0)+1,FALSE)</f>
        <v>ドロップイベント1-3（マルチ専用）</v>
      </c>
      <c r="H830" s="18">
        <v>0</v>
      </c>
      <c r="I830">
        <v>27</v>
      </c>
      <c r="J830" s="5" t="s">
        <v>16</v>
      </c>
      <c r="K830" s="35" t="str">
        <f>VLOOKUP(I830,[2]stage_hints!$A:$C,3,FALSE)</f>
        <v>ホーム画面からデッキを編成</v>
      </c>
      <c r="L830" s="36" t="str">
        <f>VLOOKUP(I830,[2]stage_hints!$A:$D,4,FALSE)</f>
        <v>ホーム画面でユニットを長押しすると_x000D_すぐにパーティ編成に移動できます</v>
      </c>
      <c r="M830" s="21" t="s">
        <v>23</v>
      </c>
      <c r="N830">
        <v>27</v>
      </c>
    </row>
    <row r="831" spans="1:14" x14ac:dyDescent="0.15">
      <c r="A831" s="26" t="s">
        <v>32</v>
      </c>
      <c r="B831" s="4">
        <v>30003</v>
      </c>
      <c r="C831" s="3" t="str">
        <f ca="1">VLOOKUP($B831,OFFSET([1]quests!$A$1,0,0,COUNTA([1]quests!$A:$A),MATCH(C$1,[1]quests!$1:$1,0)-MATCH($B$1,[1]quests!$1:$1,0)+1),MATCH(C$1,[1]quests!$1:$1,0)-MATCH($B$1,[1]quests!$1:$1,0)+1,FALSE)</f>
        <v>打ち下ろされる砕棒</v>
      </c>
      <c r="D831" s="3" t="str">
        <f ca="1">VLOOKUP($B831,OFFSET([1]quests!$A$1,0,0,COUNTA([1]quests!$A:$A),MATCH(D$1,[1]quests!$1:$1,0)-MATCH($B$1,[1]quests!$1:$1,0)+1),MATCH(D$1,[1]quests!$1:$1,0)-MATCH($B$1,[1]quests!$1:$1,0)+1,FALSE)</f>
        <v>ドロップイベント1-3（マルチ専用）</v>
      </c>
      <c r="E831" s="5">
        <v>1</v>
      </c>
      <c r="F831" s="3" t="str">
        <f ca="1">VLOOKUP($B831&amp;"_"&amp;$E831,OFFSET([1]stages!$A$1,0,0,COUNTA([1]stages!$A:$A),MATCH(F$1,[1]stages!$2:$2,0)-MATCH("temp_stage",[1]stages!$2:$2,0)+1),MATCH(F$1,[1]stages!$2:$2,0)-MATCH("temp_stage",[1]stages!$2:$2,0)+1,FALSE)</f>
        <v xml:space="preserve">【中級】打ち下ろされる砕棒 </v>
      </c>
      <c r="G831" s="3" t="str">
        <f ca="1">VLOOKUP($B831&amp;"_"&amp;$E831,OFFSET([1]stages!$A$1,0,0,COUNTA([1]stages!$A:$A),MATCH(G$1,[1]stages!$2:$2,0)-MATCH("temp_stage",[1]stages!$2:$2,0)+1),MATCH(G$1,[1]stages!$2:$2,0)-MATCH("temp_stage",[1]stages!$2:$2,0)+1,FALSE)</f>
        <v>ドロップイベント1-3（マルチ専用）</v>
      </c>
      <c r="H831" s="18">
        <v>0</v>
      </c>
      <c r="I831">
        <v>28</v>
      </c>
      <c r="J831" s="5" t="s">
        <v>16</v>
      </c>
      <c r="K831" s="35" t="str">
        <f>VLOOKUP(I831,[2]stage_hints!$A:$C,3,FALSE)</f>
        <v>ステータス情報は長押しで</v>
      </c>
      <c r="L831" s="36" t="str">
        <f>VLOOKUP(I831,[2]stage_hints!$A:$D,4,FALSE)</f>
        <v>ユニットのアイコンを長押しすると_x000D_ステータス情報を確認することができます</v>
      </c>
      <c r="M831" s="21" t="s">
        <v>23</v>
      </c>
      <c r="N831">
        <v>28</v>
      </c>
    </row>
    <row r="832" spans="1:14" x14ac:dyDescent="0.15">
      <c r="A832" s="26" t="s">
        <v>32</v>
      </c>
      <c r="B832" s="4">
        <v>30003</v>
      </c>
      <c r="C832" s="3" t="str">
        <f ca="1">VLOOKUP($B832,OFFSET([1]quests!$A$1,0,0,COUNTA([1]quests!$A:$A),MATCH(C$1,[1]quests!$1:$1,0)-MATCH($B$1,[1]quests!$1:$1,0)+1),MATCH(C$1,[1]quests!$1:$1,0)-MATCH($B$1,[1]quests!$1:$1,0)+1,FALSE)</f>
        <v>打ち下ろされる砕棒</v>
      </c>
      <c r="D832" s="3" t="str">
        <f ca="1">VLOOKUP($B832,OFFSET([1]quests!$A$1,0,0,COUNTA([1]quests!$A:$A),MATCH(D$1,[1]quests!$1:$1,0)-MATCH($B$1,[1]quests!$1:$1,0)+1),MATCH(D$1,[1]quests!$1:$1,0)-MATCH($B$1,[1]quests!$1:$1,0)+1,FALSE)</f>
        <v>ドロップイベント1-3（マルチ専用）</v>
      </c>
      <c r="E832" s="5">
        <v>1</v>
      </c>
      <c r="F832" s="3" t="str">
        <f ca="1">VLOOKUP($B832&amp;"_"&amp;$E832,OFFSET([1]stages!$A$1,0,0,COUNTA([1]stages!$A:$A),MATCH(F$1,[1]stages!$2:$2,0)-MATCH("temp_stage",[1]stages!$2:$2,0)+1),MATCH(F$1,[1]stages!$2:$2,0)-MATCH("temp_stage",[1]stages!$2:$2,0)+1,FALSE)</f>
        <v xml:space="preserve">【中級】打ち下ろされる砕棒 </v>
      </c>
      <c r="G832" s="3" t="str">
        <f ca="1">VLOOKUP($B832&amp;"_"&amp;$E832,OFFSET([1]stages!$A$1,0,0,COUNTA([1]stages!$A:$A),MATCH(G$1,[1]stages!$2:$2,0)-MATCH("temp_stage",[1]stages!$2:$2,0)+1),MATCH(G$1,[1]stages!$2:$2,0)-MATCH("temp_stage",[1]stages!$2:$2,0)+1,FALSE)</f>
        <v>ドロップイベント1-3（マルチ専用）</v>
      </c>
      <c r="H832" s="18">
        <v>0</v>
      </c>
      <c r="I832">
        <v>29</v>
      </c>
      <c r="J832" s="5" t="s">
        <v>16</v>
      </c>
      <c r="K832" s="35" t="str">
        <f>VLOOKUP(I832,[2]stage_hints!$A:$C,3,FALSE)</f>
        <v>「バグ」のメリット</v>
      </c>
      <c r="L832" s="36" t="str">
        <f>VLOOKUP(I832,[2]stage_hints!$A:$D,4,FALSE)</f>
        <v>ユニットの「バグ」を増やすと_x000D_報酬をもらえる確率がアップします</v>
      </c>
      <c r="M832" s="21" t="s">
        <v>23</v>
      </c>
      <c r="N832">
        <v>29</v>
      </c>
    </row>
    <row r="833" spans="1:14" x14ac:dyDescent="0.15">
      <c r="A833" s="26" t="s">
        <v>32</v>
      </c>
      <c r="B833" s="4">
        <v>30003</v>
      </c>
      <c r="C833" s="3" t="str">
        <f ca="1">VLOOKUP($B833,OFFSET([1]quests!$A$1,0,0,COUNTA([1]quests!$A:$A),MATCH(C$1,[1]quests!$1:$1,0)-MATCH($B$1,[1]quests!$1:$1,0)+1),MATCH(C$1,[1]quests!$1:$1,0)-MATCH($B$1,[1]quests!$1:$1,0)+1,FALSE)</f>
        <v>打ち下ろされる砕棒</v>
      </c>
      <c r="D833" s="3" t="str">
        <f ca="1">VLOOKUP($B833,OFFSET([1]quests!$A$1,0,0,COUNTA([1]quests!$A:$A),MATCH(D$1,[1]quests!$1:$1,0)-MATCH($B$1,[1]quests!$1:$1,0)+1),MATCH(D$1,[1]quests!$1:$1,0)-MATCH($B$1,[1]quests!$1:$1,0)+1,FALSE)</f>
        <v>ドロップイベント1-3（マルチ専用）</v>
      </c>
      <c r="E833" s="5">
        <v>1</v>
      </c>
      <c r="F833" s="3" t="str">
        <f ca="1">VLOOKUP($B833&amp;"_"&amp;$E833,OFFSET([1]stages!$A$1,0,0,COUNTA([1]stages!$A:$A),MATCH(F$1,[1]stages!$2:$2,0)-MATCH("temp_stage",[1]stages!$2:$2,0)+1),MATCH(F$1,[1]stages!$2:$2,0)-MATCH("temp_stage",[1]stages!$2:$2,0)+1,FALSE)</f>
        <v xml:space="preserve">【中級】打ち下ろされる砕棒 </v>
      </c>
      <c r="G833" s="3" t="str">
        <f ca="1">VLOOKUP($B833&amp;"_"&amp;$E833,OFFSET([1]stages!$A$1,0,0,COUNTA([1]stages!$A:$A),MATCH(G$1,[1]stages!$2:$2,0)-MATCH("temp_stage",[1]stages!$2:$2,0)+1),MATCH(G$1,[1]stages!$2:$2,0)-MATCH("temp_stage",[1]stages!$2:$2,0)+1,FALSE)</f>
        <v>ドロップイベント1-3（マルチ専用）</v>
      </c>
      <c r="H833" s="18">
        <v>0</v>
      </c>
      <c r="I833">
        <v>30</v>
      </c>
      <c r="J833" s="5" t="s">
        <v>16</v>
      </c>
      <c r="K833" s="35" t="str">
        <f>VLOOKUP(I833,[2]stage_hints!$A:$C,3,FALSE)</f>
        <v>「バグ」の増やし方</v>
      </c>
      <c r="L833" s="36" t="str">
        <f>VLOOKUP(I833,[2]stage_hints!$A:$D,4,FALSE)</f>
        <v>同じユニット同士を強化で合成すると_x000D_「バグ」を増やすことができます</v>
      </c>
      <c r="M833" s="21" t="s">
        <v>23</v>
      </c>
      <c r="N833">
        <v>30</v>
      </c>
    </row>
    <row r="834" spans="1:14" x14ac:dyDescent="0.15">
      <c r="A834" s="26" t="s">
        <v>32</v>
      </c>
      <c r="B834" s="4">
        <v>30003</v>
      </c>
      <c r="C834" s="3" t="str">
        <f ca="1">VLOOKUP($B834,OFFSET([1]quests!$A$1,0,0,COUNTA([1]quests!$A:$A),MATCH(C$1,[1]quests!$1:$1,0)-MATCH($B$1,[1]quests!$1:$1,0)+1),MATCH(C$1,[1]quests!$1:$1,0)-MATCH($B$1,[1]quests!$1:$1,0)+1,FALSE)</f>
        <v>打ち下ろされる砕棒</v>
      </c>
      <c r="D834" s="3" t="str">
        <f ca="1">VLOOKUP($B834,OFFSET([1]quests!$A$1,0,0,COUNTA([1]quests!$A:$A),MATCH(D$1,[1]quests!$1:$1,0)-MATCH($B$1,[1]quests!$1:$1,0)+1),MATCH(D$1,[1]quests!$1:$1,0)-MATCH($B$1,[1]quests!$1:$1,0)+1,FALSE)</f>
        <v>ドロップイベント1-3（マルチ専用）</v>
      </c>
      <c r="E834" s="5">
        <v>1</v>
      </c>
      <c r="F834" s="3" t="str">
        <f ca="1">VLOOKUP($B834&amp;"_"&amp;$E834,OFFSET([1]stages!$A$1,0,0,COUNTA([1]stages!$A:$A),MATCH(F$1,[1]stages!$2:$2,0)-MATCH("temp_stage",[1]stages!$2:$2,0)+1),MATCH(F$1,[1]stages!$2:$2,0)-MATCH("temp_stage",[1]stages!$2:$2,0)+1,FALSE)</f>
        <v xml:space="preserve">【中級】打ち下ろされる砕棒 </v>
      </c>
      <c r="G834" s="3" t="str">
        <f ca="1">VLOOKUP($B834&amp;"_"&amp;$E834,OFFSET([1]stages!$A$1,0,0,COUNTA([1]stages!$A:$A),MATCH(G$1,[1]stages!$2:$2,0)-MATCH("temp_stage",[1]stages!$2:$2,0)+1),MATCH(G$1,[1]stages!$2:$2,0)-MATCH("temp_stage",[1]stages!$2:$2,0)+1,FALSE)</f>
        <v>ドロップイベント1-3（マルチ専用）</v>
      </c>
      <c r="H834" s="18">
        <v>0</v>
      </c>
      <c r="I834">
        <v>31</v>
      </c>
      <c r="J834" s="5" t="s">
        <v>16</v>
      </c>
      <c r="K834" s="35" t="str">
        <f>VLOOKUP(I834,[2]stage_hints!$A:$C,3,FALSE)</f>
        <v>イベントはお知らせでチェック</v>
      </c>
      <c r="L834" s="36" t="str">
        <f>VLOOKUP(I834,[2]stage_hints!$A:$D,4,FALSE)</f>
        <v>イベント限定ユニットを取り忘れないように_x000D_お知らせをこまめにチェックしましょう</v>
      </c>
      <c r="M834" s="21" t="s">
        <v>23</v>
      </c>
      <c r="N834">
        <v>31</v>
      </c>
    </row>
    <row r="835" spans="1:14" x14ac:dyDescent="0.15">
      <c r="A835" s="26" t="s">
        <v>32</v>
      </c>
      <c r="B835" s="4">
        <v>30003</v>
      </c>
      <c r="C835" s="3" t="str">
        <f ca="1">VLOOKUP($B835,OFFSET([1]quests!$A$1,0,0,COUNTA([1]quests!$A:$A),MATCH(C$1,[1]quests!$1:$1,0)-MATCH($B$1,[1]quests!$1:$1,0)+1),MATCH(C$1,[1]quests!$1:$1,0)-MATCH($B$1,[1]quests!$1:$1,0)+1,FALSE)</f>
        <v>打ち下ろされる砕棒</v>
      </c>
      <c r="D835" s="3" t="str">
        <f ca="1">VLOOKUP($B835,OFFSET([1]quests!$A$1,0,0,COUNTA([1]quests!$A:$A),MATCH(D$1,[1]quests!$1:$1,0)-MATCH($B$1,[1]quests!$1:$1,0)+1),MATCH(D$1,[1]quests!$1:$1,0)-MATCH($B$1,[1]quests!$1:$1,0)+1,FALSE)</f>
        <v>ドロップイベント1-3（マルチ専用）</v>
      </c>
      <c r="E835" s="5">
        <v>1</v>
      </c>
      <c r="F835" s="3" t="str">
        <f ca="1">VLOOKUP($B835&amp;"_"&amp;$E835,OFFSET([1]stages!$A$1,0,0,COUNTA([1]stages!$A:$A),MATCH(F$1,[1]stages!$2:$2,0)-MATCH("temp_stage",[1]stages!$2:$2,0)+1),MATCH(F$1,[1]stages!$2:$2,0)-MATCH("temp_stage",[1]stages!$2:$2,0)+1,FALSE)</f>
        <v xml:space="preserve">【中級】打ち下ろされる砕棒 </v>
      </c>
      <c r="G835" s="3" t="str">
        <f ca="1">VLOOKUP($B835&amp;"_"&amp;$E835,OFFSET([1]stages!$A$1,0,0,COUNTA([1]stages!$A:$A),MATCH(G$1,[1]stages!$2:$2,0)-MATCH("temp_stage",[1]stages!$2:$2,0)+1),MATCH(G$1,[1]stages!$2:$2,0)-MATCH("temp_stage",[1]stages!$2:$2,0)+1,FALSE)</f>
        <v>ドロップイベント1-3（マルチ専用）</v>
      </c>
      <c r="H835" s="18">
        <v>0</v>
      </c>
      <c r="I835">
        <v>32</v>
      </c>
      <c r="J835" s="5" t="s">
        <v>16</v>
      </c>
      <c r="K835" s="35" t="str">
        <f>VLOOKUP(I835,[2]stage_hints!$A:$C,3,FALSE)</f>
        <v>敵の連続攻撃には</v>
      </c>
      <c r="L835" s="36" t="str">
        <f>VLOOKUP(I835,[2]stage_hints!$A:$D,4,FALSE)</f>
        <v>カウンタースキルを持つユニットがいれば_x000D_ダメージ回数分の反撃ができます</v>
      </c>
      <c r="M835" s="21" t="s">
        <v>23</v>
      </c>
      <c r="N835">
        <v>32</v>
      </c>
    </row>
    <row r="836" spans="1:14" x14ac:dyDescent="0.15">
      <c r="A836" s="26" t="s">
        <v>32</v>
      </c>
      <c r="B836" s="4">
        <v>30003</v>
      </c>
      <c r="C836" s="3" t="str">
        <f ca="1">VLOOKUP($B836,OFFSET([1]quests!$A$1,0,0,COUNTA([1]quests!$A:$A),MATCH(C$1,[1]quests!$1:$1,0)-MATCH($B$1,[1]quests!$1:$1,0)+1),MATCH(C$1,[1]quests!$1:$1,0)-MATCH($B$1,[1]quests!$1:$1,0)+1,FALSE)</f>
        <v>打ち下ろされる砕棒</v>
      </c>
      <c r="D836" s="3" t="str">
        <f ca="1">VLOOKUP($B836,OFFSET([1]quests!$A$1,0,0,COUNTA([1]quests!$A:$A),MATCH(D$1,[1]quests!$1:$1,0)-MATCH($B$1,[1]quests!$1:$1,0)+1),MATCH(D$1,[1]quests!$1:$1,0)-MATCH($B$1,[1]quests!$1:$1,0)+1,FALSE)</f>
        <v>ドロップイベント1-3（マルチ専用）</v>
      </c>
      <c r="E836" s="5">
        <v>1</v>
      </c>
      <c r="F836" s="3" t="str">
        <f ca="1">VLOOKUP($B836&amp;"_"&amp;$E836,OFFSET([1]stages!$A$1,0,0,COUNTA([1]stages!$A:$A),MATCH(F$1,[1]stages!$2:$2,0)-MATCH("temp_stage",[1]stages!$2:$2,0)+1),MATCH(F$1,[1]stages!$2:$2,0)-MATCH("temp_stage",[1]stages!$2:$2,0)+1,FALSE)</f>
        <v xml:space="preserve">【中級】打ち下ろされる砕棒 </v>
      </c>
      <c r="G836" s="3" t="str">
        <f ca="1">VLOOKUP($B836&amp;"_"&amp;$E836,OFFSET([1]stages!$A$1,0,0,COUNTA([1]stages!$A:$A),MATCH(G$1,[1]stages!$2:$2,0)-MATCH("temp_stage",[1]stages!$2:$2,0)+1),MATCH(G$1,[1]stages!$2:$2,0)-MATCH("temp_stage",[1]stages!$2:$2,0)+1,FALSE)</f>
        <v>ドロップイベント1-3（マルチ専用）</v>
      </c>
      <c r="H836" s="18">
        <v>0</v>
      </c>
      <c r="I836">
        <v>33</v>
      </c>
      <c r="J836" s="5" t="s">
        <v>16</v>
      </c>
      <c r="K836" s="35" t="str">
        <f>VLOOKUP(I836,[2]stage_hints!$A:$C,3,FALSE)</f>
        <v>敵のカウンター攻撃には</v>
      </c>
      <c r="L836" s="36" t="str">
        <f>VLOOKUP(I836,[2]stage_hints!$A:$D,4,FALSE)</f>
        <v>カウンターブレイクスキルを持っていれば_x000D_敵のカウンターを解除して攻撃ができます</v>
      </c>
      <c r="M836" s="21" t="s">
        <v>23</v>
      </c>
      <c r="N836">
        <v>33</v>
      </c>
    </row>
    <row r="837" spans="1:14" x14ac:dyDescent="0.15">
      <c r="A837" s="26" t="s">
        <v>32</v>
      </c>
      <c r="B837" s="4">
        <v>30003</v>
      </c>
      <c r="C837" s="3" t="str">
        <f ca="1">VLOOKUP($B837,OFFSET([1]quests!$A$1,0,0,COUNTA([1]quests!$A:$A),MATCH(C$1,[1]quests!$1:$1,0)-MATCH($B$1,[1]quests!$1:$1,0)+1),MATCH(C$1,[1]quests!$1:$1,0)-MATCH($B$1,[1]quests!$1:$1,0)+1,FALSE)</f>
        <v>打ち下ろされる砕棒</v>
      </c>
      <c r="D837" s="3" t="str">
        <f ca="1">VLOOKUP($B837,OFFSET([1]quests!$A$1,0,0,COUNTA([1]quests!$A:$A),MATCH(D$1,[1]quests!$1:$1,0)-MATCH($B$1,[1]quests!$1:$1,0)+1),MATCH(D$1,[1]quests!$1:$1,0)-MATCH($B$1,[1]quests!$1:$1,0)+1,FALSE)</f>
        <v>ドロップイベント1-3（マルチ専用）</v>
      </c>
      <c r="E837" s="5">
        <v>1</v>
      </c>
      <c r="F837" s="3" t="str">
        <f ca="1">VLOOKUP($B837&amp;"_"&amp;$E837,OFFSET([1]stages!$A$1,0,0,COUNTA([1]stages!$A:$A),MATCH(F$1,[1]stages!$2:$2,0)-MATCH("temp_stage",[1]stages!$2:$2,0)+1),MATCH(F$1,[1]stages!$2:$2,0)-MATCH("temp_stage",[1]stages!$2:$2,0)+1,FALSE)</f>
        <v xml:space="preserve">【中級】打ち下ろされる砕棒 </v>
      </c>
      <c r="G837" s="3" t="str">
        <f ca="1">VLOOKUP($B837&amp;"_"&amp;$E837,OFFSET([1]stages!$A$1,0,0,COUNTA([1]stages!$A:$A),MATCH(G$1,[1]stages!$2:$2,0)-MATCH("temp_stage",[1]stages!$2:$2,0)+1),MATCH(G$1,[1]stages!$2:$2,0)-MATCH("temp_stage",[1]stages!$2:$2,0)+1,FALSE)</f>
        <v>ドロップイベント1-3（マルチ専用）</v>
      </c>
      <c r="H837" s="18">
        <v>0</v>
      </c>
      <c r="I837">
        <v>34</v>
      </c>
      <c r="J837" s="5" t="s">
        <v>16</v>
      </c>
      <c r="K837" s="35" t="str">
        <f>VLOOKUP(I837,[2]stage_hints!$A:$C,3,FALSE)</f>
        <v>ステータスをスキルで下げられたら</v>
      </c>
      <c r="L837" s="36" t="str">
        <f>VLOOKUP(I837,[2]stage_hints!$A:$D,4,FALSE)</f>
        <v>ステータスダウンのスキルを受けたら_x000D_ステータスアップスキルで上書きしましょう</v>
      </c>
      <c r="M837" s="21" t="s">
        <v>23</v>
      </c>
      <c r="N837">
        <v>34</v>
      </c>
    </row>
    <row r="838" spans="1:14" x14ac:dyDescent="0.15">
      <c r="A838" s="26" t="s">
        <v>32</v>
      </c>
      <c r="B838" s="4">
        <v>30003</v>
      </c>
      <c r="C838" s="3" t="str">
        <f ca="1">VLOOKUP($B838,OFFSET([1]quests!$A$1,0,0,COUNTA([1]quests!$A:$A),MATCH(C$1,[1]quests!$1:$1,0)-MATCH($B$1,[1]quests!$1:$1,0)+1),MATCH(C$1,[1]quests!$1:$1,0)-MATCH($B$1,[1]quests!$1:$1,0)+1,FALSE)</f>
        <v>打ち下ろされる砕棒</v>
      </c>
      <c r="D838" s="3" t="str">
        <f ca="1">VLOOKUP($B838,OFFSET([1]quests!$A$1,0,0,COUNTA([1]quests!$A:$A),MATCH(D$1,[1]quests!$1:$1,0)-MATCH($B$1,[1]quests!$1:$1,0)+1),MATCH(D$1,[1]quests!$1:$1,0)-MATCH($B$1,[1]quests!$1:$1,0)+1,FALSE)</f>
        <v>ドロップイベント1-3（マルチ専用）</v>
      </c>
      <c r="E838" s="5">
        <v>1</v>
      </c>
      <c r="F838" s="3" t="str">
        <f ca="1">VLOOKUP($B838&amp;"_"&amp;$E838,OFFSET([1]stages!$A$1,0,0,COUNTA([1]stages!$A:$A),MATCH(F$1,[1]stages!$2:$2,0)-MATCH("temp_stage",[1]stages!$2:$2,0)+1),MATCH(F$1,[1]stages!$2:$2,0)-MATCH("temp_stage",[1]stages!$2:$2,0)+1,FALSE)</f>
        <v xml:space="preserve">【中級】打ち下ろされる砕棒 </v>
      </c>
      <c r="G838" s="3" t="str">
        <f ca="1">VLOOKUP($B838&amp;"_"&amp;$E838,OFFSET([1]stages!$A$1,0,0,COUNTA([1]stages!$A:$A),MATCH(G$1,[1]stages!$2:$2,0)-MATCH("temp_stage",[1]stages!$2:$2,0)+1),MATCH(G$1,[1]stages!$2:$2,0)-MATCH("temp_stage",[1]stages!$2:$2,0)+1,FALSE)</f>
        <v>ドロップイベント1-3（マルチ専用）</v>
      </c>
      <c r="H838" s="18">
        <v>0</v>
      </c>
      <c r="I838">
        <v>35</v>
      </c>
      <c r="J838" s="5" t="s">
        <v>16</v>
      </c>
      <c r="K838" s="35" t="str">
        <f>VLOOKUP(I838,[2]stage_hints!$A:$C,3,FALSE)</f>
        <v>敵のステータスがスキルで上がったら</v>
      </c>
      <c r="L838" s="36" t="str">
        <f>VLOOKUP(I838,[2]stage_hints!$A:$D,4,FALSE)</f>
        <v>敵のステータスがスキルでアップしたときは_x000D_ステータスダウンスキルで上書きしましょう</v>
      </c>
      <c r="M838" s="21" t="s">
        <v>23</v>
      </c>
      <c r="N838">
        <v>35</v>
      </c>
    </row>
    <row r="839" spans="1:14" x14ac:dyDescent="0.15">
      <c r="A839" s="26" t="s">
        <v>32</v>
      </c>
      <c r="B839" s="4">
        <v>30004</v>
      </c>
      <c r="C839" s="3" t="str">
        <f ca="1">VLOOKUP($B839,OFFSET([1]quests!$A$1,0,0,COUNTA([1]quests!$A:$A),MATCH(C$1,[1]quests!$1:$1,0)-MATCH($B$1,[1]quests!$1:$1,0)+1),MATCH(C$1,[1]quests!$1:$1,0)-MATCH($B$1,[1]quests!$1:$1,0)+1,FALSE)</f>
        <v>危険な仲裁者</v>
      </c>
      <c r="D839" s="3" t="str">
        <f ca="1">VLOOKUP($B839,OFFSET([1]quests!$A$1,0,0,COUNTA([1]quests!$A:$A),MATCH(D$1,[1]quests!$1:$1,0)-MATCH($B$1,[1]quests!$1:$1,0)+1),MATCH(D$1,[1]quests!$1:$1,0)-MATCH($B$1,[1]quests!$1:$1,0)+1,FALSE)</f>
        <v>ドロップイベント1-4（マルチ専用）</v>
      </c>
      <c r="E839" s="5">
        <v>1</v>
      </c>
      <c r="F839" s="3" t="str">
        <f ca="1">VLOOKUP($B839&amp;"_"&amp;$E839,OFFSET([1]stages!$A$1,0,0,COUNTA([1]stages!$A:$A),MATCH(F$1,[1]stages!$2:$2,0)-MATCH("temp_stage",[1]stages!$2:$2,0)+1),MATCH(F$1,[1]stages!$2:$2,0)-MATCH("temp_stage",[1]stages!$2:$2,0)+1,FALSE)</f>
        <v xml:space="preserve">【中級】危険な仲裁者 </v>
      </c>
      <c r="G839" s="3" t="str">
        <f ca="1">VLOOKUP($B839&amp;"_"&amp;$E839,OFFSET([1]stages!$A$1,0,0,COUNTA([1]stages!$A:$A),MATCH(G$1,[1]stages!$2:$2,0)-MATCH("temp_stage",[1]stages!$2:$2,0)+1),MATCH(G$1,[1]stages!$2:$2,0)-MATCH("temp_stage",[1]stages!$2:$2,0)+1,FALSE)</f>
        <v>ドロップイベント1-4（マルチ専用）</v>
      </c>
      <c r="H839" s="18">
        <v>0</v>
      </c>
      <c r="I839">
        <v>3</v>
      </c>
      <c r="J839" s="5" t="s">
        <v>16</v>
      </c>
      <c r="K839" s="35" t="str">
        <f>VLOOKUP(I839,[2]stage_hints!$A:$C,3,FALSE)</f>
        <v>ターゲット</v>
      </c>
      <c r="L839" s="36" t="str">
        <f>VLOOKUP(I839,[2]stage_hints!$A:$D,4,FALSE)</f>
        <v>敵ユニットをタップすると_x000D_その敵を狙い撃ちできます</v>
      </c>
      <c r="M839" s="21" t="s">
        <v>23</v>
      </c>
      <c r="N839">
        <v>3</v>
      </c>
    </row>
    <row r="840" spans="1:14" x14ac:dyDescent="0.15">
      <c r="A840" s="26" t="s">
        <v>32</v>
      </c>
      <c r="B840" s="4">
        <v>30004</v>
      </c>
      <c r="C840" s="3" t="str">
        <f ca="1">VLOOKUP($B840,OFFSET([1]quests!$A$1,0,0,COUNTA([1]quests!$A:$A),MATCH(C$1,[1]quests!$1:$1,0)-MATCH($B$1,[1]quests!$1:$1,0)+1),MATCH(C$1,[1]quests!$1:$1,0)-MATCH($B$1,[1]quests!$1:$1,0)+1,FALSE)</f>
        <v>危険な仲裁者</v>
      </c>
      <c r="D840" s="3" t="str">
        <f ca="1">VLOOKUP($B840,OFFSET([1]quests!$A$1,0,0,COUNTA([1]quests!$A:$A),MATCH(D$1,[1]quests!$1:$1,0)-MATCH($B$1,[1]quests!$1:$1,0)+1),MATCH(D$1,[1]quests!$1:$1,0)-MATCH($B$1,[1]quests!$1:$1,0)+1,FALSE)</f>
        <v>ドロップイベント1-4（マルチ専用）</v>
      </c>
      <c r="E840" s="5">
        <v>1</v>
      </c>
      <c r="F840" s="3" t="str">
        <f ca="1">VLOOKUP($B840&amp;"_"&amp;$E840,OFFSET([1]stages!$A$1,0,0,COUNTA([1]stages!$A:$A),MATCH(F$1,[1]stages!$2:$2,0)-MATCH("temp_stage",[1]stages!$2:$2,0)+1),MATCH(F$1,[1]stages!$2:$2,0)-MATCH("temp_stage",[1]stages!$2:$2,0)+1,FALSE)</f>
        <v xml:space="preserve">【中級】危険な仲裁者 </v>
      </c>
      <c r="G840" s="3" t="str">
        <f ca="1">VLOOKUP($B840&amp;"_"&amp;$E840,OFFSET([1]stages!$A$1,0,0,COUNTA([1]stages!$A:$A),MATCH(G$1,[1]stages!$2:$2,0)-MATCH("temp_stage",[1]stages!$2:$2,0)+1),MATCH(G$1,[1]stages!$2:$2,0)-MATCH("temp_stage",[1]stages!$2:$2,0)+1,FALSE)</f>
        <v>ドロップイベント1-4（マルチ専用）</v>
      </c>
      <c r="H840" s="18">
        <v>0</v>
      </c>
      <c r="I840">
        <v>6</v>
      </c>
      <c r="J840" s="5" t="s">
        <v>16</v>
      </c>
      <c r="K840" s="35" t="str">
        <f>VLOOKUP(I840,[2]stage_hints!$A:$C,3,FALSE)</f>
        <v>ユニット強化の属性ボーナス</v>
      </c>
      <c r="L840" s="36" t="str">
        <f>VLOOKUP(I840,[2]stage_hints!$A:$D,4,FALSE)</f>
        <v>同属性ユニットを強化素材にすると_x000D_経験値が多くもらえます</v>
      </c>
      <c r="M840" s="21" t="s">
        <v>23</v>
      </c>
      <c r="N840">
        <v>6</v>
      </c>
    </row>
    <row r="841" spans="1:14" x14ac:dyDescent="0.15">
      <c r="A841" s="26" t="s">
        <v>32</v>
      </c>
      <c r="B841" s="4">
        <v>30004</v>
      </c>
      <c r="C841" s="3" t="str">
        <f ca="1">VLOOKUP($B841,OFFSET([1]quests!$A$1,0,0,COUNTA([1]quests!$A:$A),MATCH(C$1,[1]quests!$1:$1,0)-MATCH($B$1,[1]quests!$1:$1,0)+1),MATCH(C$1,[1]quests!$1:$1,0)-MATCH($B$1,[1]quests!$1:$1,0)+1,FALSE)</f>
        <v>危険な仲裁者</v>
      </c>
      <c r="D841" s="3" t="str">
        <f ca="1">VLOOKUP($B841,OFFSET([1]quests!$A$1,0,0,COUNTA([1]quests!$A:$A),MATCH(D$1,[1]quests!$1:$1,0)-MATCH($B$1,[1]quests!$1:$1,0)+1),MATCH(D$1,[1]quests!$1:$1,0)-MATCH($B$1,[1]quests!$1:$1,0)+1,FALSE)</f>
        <v>ドロップイベント1-4（マルチ専用）</v>
      </c>
      <c r="E841" s="5">
        <v>1</v>
      </c>
      <c r="F841" s="3" t="str">
        <f ca="1">VLOOKUP($B841&amp;"_"&amp;$E841,OFFSET([1]stages!$A$1,0,0,COUNTA([1]stages!$A:$A),MATCH(F$1,[1]stages!$2:$2,0)-MATCH("temp_stage",[1]stages!$2:$2,0)+1),MATCH(F$1,[1]stages!$2:$2,0)-MATCH("temp_stage",[1]stages!$2:$2,0)+1,FALSE)</f>
        <v xml:space="preserve">【中級】危険な仲裁者 </v>
      </c>
      <c r="G841" s="3" t="str">
        <f ca="1">VLOOKUP($B841&amp;"_"&amp;$E841,OFFSET([1]stages!$A$1,0,0,COUNTA([1]stages!$A:$A),MATCH(G$1,[1]stages!$2:$2,0)-MATCH("temp_stage",[1]stages!$2:$2,0)+1),MATCH(G$1,[1]stages!$2:$2,0)-MATCH("temp_stage",[1]stages!$2:$2,0)+1,FALSE)</f>
        <v>ドロップイベント1-4（マルチ専用）</v>
      </c>
      <c r="H841" s="18">
        <v>0</v>
      </c>
      <c r="I841">
        <v>7</v>
      </c>
      <c r="J841" s="5" t="s">
        <v>16</v>
      </c>
      <c r="K841" s="35" t="str">
        <f>VLOOKUP(I841,[2]stage_hints!$A:$C,3,FALSE)</f>
        <v>メタルダックで経験値を獲得</v>
      </c>
      <c r="L841" s="36" t="str">
        <f>VLOOKUP(I841,[2]stage_hints!$A:$D,4,FALSE)</f>
        <v>「メタルなアヒル」を強化素材にすると_x000D_大量の経験値がもらえます</v>
      </c>
      <c r="M841" s="21" t="s">
        <v>23</v>
      </c>
      <c r="N841">
        <v>7</v>
      </c>
    </row>
    <row r="842" spans="1:14" x14ac:dyDescent="0.15">
      <c r="A842" s="26" t="s">
        <v>32</v>
      </c>
      <c r="B842" s="4">
        <v>30004</v>
      </c>
      <c r="C842" s="3" t="str">
        <f ca="1">VLOOKUP($B842,OFFSET([1]quests!$A$1,0,0,COUNTA([1]quests!$A:$A),MATCH(C$1,[1]quests!$1:$1,0)-MATCH($B$1,[1]quests!$1:$1,0)+1),MATCH(C$1,[1]quests!$1:$1,0)-MATCH($B$1,[1]quests!$1:$1,0)+1,FALSE)</f>
        <v>危険な仲裁者</v>
      </c>
      <c r="D842" s="3" t="str">
        <f ca="1">VLOOKUP($B842,OFFSET([1]quests!$A$1,0,0,COUNTA([1]quests!$A:$A),MATCH(D$1,[1]quests!$1:$1,0)-MATCH($B$1,[1]quests!$1:$1,0)+1),MATCH(D$1,[1]quests!$1:$1,0)-MATCH($B$1,[1]quests!$1:$1,0)+1,FALSE)</f>
        <v>ドロップイベント1-4（マルチ専用）</v>
      </c>
      <c r="E842" s="5">
        <v>1</v>
      </c>
      <c r="F842" s="3" t="str">
        <f ca="1">VLOOKUP($B842&amp;"_"&amp;$E842,OFFSET([1]stages!$A$1,0,0,COUNTA([1]stages!$A:$A),MATCH(F$1,[1]stages!$2:$2,0)-MATCH("temp_stage",[1]stages!$2:$2,0)+1),MATCH(F$1,[1]stages!$2:$2,0)-MATCH("temp_stage",[1]stages!$2:$2,0)+1,FALSE)</f>
        <v xml:space="preserve">【中級】危険な仲裁者 </v>
      </c>
      <c r="G842" s="3" t="str">
        <f ca="1">VLOOKUP($B842&amp;"_"&amp;$E842,OFFSET([1]stages!$A$1,0,0,COUNTA([1]stages!$A:$A),MATCH(G$1,[1]stages!$2:$2,0)-MATCH("temp_stage",[1]stages!$2:$2,0)+1),MATCH(G$1,[1]stages!$2:$2,0)-MATCH("temp_stage",[1]stages!$2:$2,0)+1,FALSE)</f>
        <v>ドロップイベント1-4（マルチ専用）</v>
      </c>
      <c r="H842" s="18">
        <v>0</v>
      </c>
      <c r="I842">
        <v>8</v>
      </c>
      <c r="J842" s="5" t="s">
        <v>16</v>
      </c>
      <c r="K842" s="35" t="str">
        <f>VLOOKUP(I842,[2]stage_hints!$A:$C,3,FALSE)</f>
        <v>ゲリラクエストは要チェック</v>
      </c>
      <c r="L842" s="36" t="str">
        <f>VLOOKUP(I842,[2]stage_hints!$A:$D,4,FALSE)</f>
        <v>時間限定の「アヒル捕獲作戦」では_x000D_経験値素材ユニットが多く手に入ります</v>
      </c>
      <c r="M842" s="21" t="s">
        <v>23</v>
      </c>
      <c r="N842">
        <v>8</v>
      </c>
    </row>
    <row r="843" spans="1:14" x14ac:dyDescent="0.15">
      <c r="A843" s="26" t="s">
        <v>32</v>
      </c>
      <c r="B843" s="4">
        <v>30004</v>
      </c>
      <c r="C843" s="3" t="str">
        <f ca="1">VLOOKUP($B843,OFFSET([1]quests!$A$1,0,0,COUNTA([1]quests!$A:$A),MATCH(C$1,[1]quests!$1:$1,0)-MATCH($B$1,[1]quests!$1:$1,0)+1),MATCH(C$1,[1]quests!$1:$1,0)-MATCH($B$1,[1]quests!$1:$1,0)+1,FALSE)</f>
        <v>危険な仲裁者</v>
      </c>
      <c r="D843" s="3" t="str">
        <f ca="1">VLOOKUP($B843,OFFSET([1]quests!$A$1,0,0,COUNTA([1]quests!$A:$A),MATCH(D$1,[1]quests!$1:$1,0)-MATCH($B$1,[1]quests!$1:$1,0)+1),MATCH(D$1,[1]quests!$1:$1,0)-MATCH($B$1,[1]quests!$1:$1,0)+1,FALSE)</f>
        <v>ドロップイベント1-4（マルチ専用）</v>
      </c>
      <c r="E843" s="5">
        <v>1</v>
      </c>
      <c r="F843" s="3" t="str">
        <f ca="1">VLOOKUP($B843&amp;"_"&amp;$E843,OFFSET([1]stages!$A$1,0,0,COUNTA([1]stages!$A:$A),MATCH(F$1,[1]stages!$2:$2,0)-MATCH("temp_stage",[1]stages!$2:$2,0)+1),MATCH(F$1,[1]stages!$2:$2,0)-MATCH("temp_stage",[1]stages!$2:$2,0)+1,FALSE)</f>
        <v xml:space="preserve">【中級】危険な仲裁者 </v>
      </c>
      <c r="G843" s="3" t="str">
        <f ca="1">VLOOKUP($B843&amp;"_"&amp;$E843,OFFSET([1]stages!$A$1,0,0,COUNTA([1]stages!$A:$A),MATCH(G$1,[1]stages!$2:$2,0)-MATCH("temp_stage",[1]stages!$2:$2,0)+1),MATCH(G$1,[1]stages!$2:$2,0)-MATCH("temp_stage",[1]stages!$2:$2,0)+1,FALSE)</f>
        <v>ドロップイベント1-4（マルチ専用）</v>
      </c>
      <c r="H843" s="18">
        <v>0</v>
      </c>
      <c r="I843">
        <v>9</v>
      </c>
      <c r="J843" s="5" t="s">
        <v>16</v>
      </c>
      <c r="K843" s="35" t="str">
        <f>VLOOKUP(I843,[2]stage_hints!$A:$C,3,FALSE)</f>
        <v>ゴールドダックでビットを獲得</v>
      </c>
      <c r="L843" s="36" t="str">
        <f>VLOOKUP(I843,[2]stage_hints!$A:$D,4,FALSE)</f>
        <v>「ゴールドなアヒル」を売却すると_x000D_大量のビットがもらえます</v>
      </c>
      <c r="M843" s="21" t="s">
        <v>23</v>
      </c>
      <c r="N843">
        <v>9</v>
      </c>
    </row>
    <row r="844" spans="1:14" x14ac:dyDescent="0.15">
      <c r="A844" s="26" t="s">
        <v>32</v>
      </c>
      <c r="B844" s="4">
        <v>30004</v>
      </c>
      <c r="C844" s="3" t="str">
        <f ca="1">VLOOKUP($B844,OFFSET([1]quests!$A$1,0,0,COUNTA([1]quests!$A:$A),MATCH(C$1,[1]quests!$1:$1,0)-MATCH($B$1,[1]quests!$1:$1,0)+1),MATCH(C$1,[1]quests!$1:$1,0)-MATCH($B$1,[1]quests!$1:$1,0)+1,FALSE)</f>
        <v>危険な仲裁者</v>
      </c>
      <c r="D844" s="3" t="str">
        <f ca="1">VLOOKUP($B844,OFFSET([1]quests!$A$1,0,0,COUNTA([1]quests!$A:$A),MATCH(D$1,[1]quests!$1:$1,0)-MATCH($B$1,[1]quests!$1:$1,0)+1),MATCH(D$1,[1]quests!$1:$1,0)-MATCH($B$1,[1]quests!$1:$1,0)+1,FALSE)</f>
        <v>ドロップイベント1-4（マルチ専用）</v>
      </c>
      <c r="E844" s="5">
        <v>1</v>
      </c>
      <c r="F844" s="3" t="str">
        <f ca="1">VLOOKUP($B844&amp;"_"&amp;$E844,OFFSET([1]stages!$A$1,0,0,COUNTA([1]stages!$A:$A),MATCH(F$1,[1]stages!$2:$2,0)-MATCH("temp_stage",[1]stages!$2:$2,0)+1),MATCH(F$1,[1]stages!$2:$2,0)-MATCH("temp_stage",[1]stages!$2:$2,0)+1,FALSE)</f>
        <v xml:space="preserve">【中級】危険な仲裁者 </v>
      </c>
      <c r="G844" s="3" t="str">
        <f ca="1">VLOOKUP($B844&amp;"_"&amp;$E844,OFFSET([1]stages!$A$1,0,0,COUNTA([1]stages!$A:$A),MATCH(G$1,[1]stages!$2:$2,0)-MATCH("temp_stage",[1]stages!$2:$2,0)+1),MATCH(G$1,[1]stages!$2:$2,0)-MATCH("temp_stage",[1]stages!$2:$2,0)+1,FALSE)</f>
        <v>ドロップイベント1-4（マルチ専用）</v>
      </c>
      <c r="H844" s="18">
        <v>0</v>
      </c>
      <c r="I844">
        <v>10</v>
      </c>
      <c r="J844" s="5" t="s">
        <v>16</v>
      </c>
      <c r="K844" s="35" t="str">
        <f>VLOOKUP(I844,[2]stage_hints!$A:$C,3,FALSE)</f>
        <v>土日に大量のビットを獲得</v>
      </c>
      <c r="L844" s="36" t="str">
        <f>VLOOKUP(I844,[2]stage_hints!$A:$D,4,FALSE)</f>
        <v>土日限定の「ゴールドカジノ」では_x000D_売却素材ユニットが多く手に入ります</v>
      </c>
      <c r="M844" s="21" t="s">
        <v>23</v>
      </c>
      <c r="N844">
        <v>10</v>
      </c>
    </row>
    <row r="845" spans="1:14" x14ac:dyDescent="0.15">
      <c r="A845" s="26" t="s">
        <v>32</v>
      </c>
      <c r="B845" s="4">
        <v>30004</v>
      </c>
      <c r="C845" s="3" t="str">
        <f ca="1">VLOOKUP($B845,OFFSET([1]quests!$A$1,0,0,COUNTA([1]quests!$A:$A),MATCH(C$1,[1]quests!$1:$1,0)-MATCH($B$1,[1]quests!$1:$1,0)+1),MATCH(C$1,[1]quests!$1:$1,0)-MATCH($B$1,[1]quests!$1:$1,0)+1,FALSE)</f>
        <v>危険な仲裁者</v>
      </c>
      <c r="D845" s="3" t="str">
        <f ca="1">VLOOKUP($B845,OFFSET([1]quests!$A$1,0,0,COUNTA([1]quests!$A:$A),MATCH(D$1,[1]quests!$1:$1,0)-MATCH($B$1,[1]quests!$1:$1,0)+1),MATCH(D$1,[1]quests!$1:$1,0)-MATCH($B$1,[1]quests!$1:$1,0)+1,FALSE)</f>
        <v>ドロップイベント1-4（マルチ専用）</v>
      </c>
      <c r="E845" s="5">
        <v>1</v>
      </c>
      <c r="F845" s="3" t="str">
        <f ca="1">VLOOKUP($B845&amp;"_"&amp;$E845,OFFSET([1]stages!$A$1,0,0,COUNTA([1]stages!$A:$A),MATCH(F$1,[1]stages!$2:$2,0)-MATCH("temp_stage",[1]stages!$2:$2,0)+1),MATCH(F$1,[1]stages!$2:$2,0)-MATCH("temp_stage",[1]stages!$2:$2,0)+1,FALSE)</f>
        <v xml:space="preserve">【中級】危険な仲裁者 </v>
      </c>
      <c r="G845" s="3" t="str">
        <f ca="1">VLOOKUP($B845&amp;"_"&amp;$E845,OFFSET([1]stages!$A$1,0,0,COUNTA([1]stages!$A:$A),MATCH(G$1,[1]stages!$2:$2,0)-MATCH("temp_stage",[1]stages!$2:$2,0)+1),MATCH(G$1,[1]stages!$2:$2,0)-MATCH("temp_stage",[1]stages!$2:$2,0)+1,FALSE)</f>
        <v>ドロップイベント1-4（マルチ専用）</v>
      </c>
      <c r="H845" s="18">
        <v>0</v>
      </c>
      <c r="I845">
        <v>11</v>
      </c>
      <c r="J845" s="5" t="s">
        <v>16</v>
      </c>
      <c r="K845" s="35" t="str">
        <f>VLOOKUP(I845,[2]stage_hints!$A:$C,3,FALSE)</f>
        <v>ランク解放クエスト</v>
      </c>
      <c r="L845" s="36" t="str">
        <f>VLOOKUP(I845,[2]stage_hints!$A:$D,4,FALSE)</f>
        <v>一定ランクに到達すると_x000D_報酬付きのランク開放クエストが現れます</v>
      </c>
      <c r="M845" s="21" t="s">
        <v>23</v>
      </c>
      <c r="N845">
        <v>11</v>
      </c>
    </row>
    <row r="846" spans="1:14" x14ac:dyDescent="0.15">
      <c r="A846" s="26" t="s">
        <v>32</v>
      </c>
      <c r="B846" s="4">
        <v>30004</v>
      </c>
      <c r="C846" s="3" t="str">
        <f ca="1">VLOOKUP($B846,OFFSET([1]quests!$A$1,0,0,COUNTA([1]quests!$A:$A),MATCH(C$1,[1]quests!$1:$1,0)-MATCH($B$1,[1]quests!$1:$1,0)+1),MATCH(C$1,[1]quests!$1:$1,0)-MATCH($B$1,[1]quests!$1:$1,0)+1,FALSE)</f>
        <v>危険な仲裁者</v>
      </c>
      <c r="D846" s="3" t="str">
        <f ca="1">VLOOKUP($B846,OFFSET([1]quests!$A$1,0,0,COUNTA([1]quests!$A:$A),MATCH(D$1,[1]quests!$1:$1,0)-MATCH($B$1,[1]quests!$1:$1,0)+1),MATCH(D$1,[1]quests!$1:$1,0)-MATCH($B$1,[1]quests!$1:$1,0)+1,FALSE)</f>
        <v>ドロップイベント1-4（マルチ専用）</v>
      </c>
      <c r="E846" s="5">
        <v>1</v>
      </c>
      <c r="F846" s="3" t="str">
        <f ca="1">VLOOKUP($B846&amp;"_"&amp;$E846,OFFSET([1]stages!$A$1,0,0,COUNTA([1]stages!$A:$A),MATCH(F$1,[1]stages!$2:$2,0)-MATCH("temp_stage",[1]stages!$2:$2,0)+1),MATCH(F$1,[1]stages!$2:$2,0)-MATCH("temp_stage",[1]stages!$2:$2,0)+1,FALSE)</f>
        <v xml:space="preserve">【中級】危険な仲裁者 </v>
      </c>
      <c r="G846" s="3" t="str">
        <f ca="1">VLOOKUP($B846&amp;"_"&amp;$E846,OFFSET([1]stages!$A$1,0,0,COUNTA([1]stages!$A:$A),MATCH(G$1,[1]stages!$2:$2,0)-MATCH("temp_stage",[1]stages!$2:$2,0)+1),MATCH(G$1,[1]stages!$2:$2,0)-MATCH("temp_stage",[1]stages!$2:$2,0)+1,FALSE)</f>
        <v>ドロップイベント1-4（マルチ専用）</v>
      </c>
      <c r="H846" s="18">
        <v>0</v>
      </c>
      <c r="I846">
        <v>12</v>
      </c>
      <c r="J846" s="5" t="s">
        <v>16</v>
      </c>
      <c r="K846" s="35" t="str">
        <f>VLOOKUP(I846,[2]stage_hints!$A:$C,3,FALSE)</f>
        <v>ユニットのお気に入り登録</v>
      </c>
      <c r="L846" s="36" t="str">
        <f>VLOOKUP(I846,[2]stage_hints!$A:$D,4,FALSE)</f>
        <v>大事なユニットを誤って消さないように_x000D_フォルダから「お気に入り登録」しましょう</v>
      </c>
      <c r="M846" s="21" t="s">
        <v>23</v>
      </c>
      <c r="N846">
        <v>12</v>
      </c>
    </row>
    <row r="847" spans="1:14" x14ac:dyDescent="0.15">
      <c r="A847" s="26" t="s">
        <v>32</v>
      </c>
      <c r="B847" s="4">
        <v>30004</v>
      </c>
      <c r="C847" s="3" t="str">
        <f ca="1">VLOOKUP($B847,OFFSET([1]quests!$A$1,0,0,COUNTA([1]quests!$A:$A),MATCH(C$1,[1]quests!$1:$1,0)-MATCH($B$1,[1]quests!$1:$1,0)+1),MATCH(C$1,[1]quests!$1:$1,0)-MATCH($B$1,[1]quests!$1:$1,0)+1,FALSE)</f>
        <v>危険な仲裁者</v>
      </c>
      <c r="D847" s="3" t="str">
        <f ca="1">VLOOKUP($B847,OFFSET([1]quests!$A$1,0,0,COUNTA([1]quests!$A:$A),MATCH(D$1,[1]quests!$1:$1,0)-MATCH($B$1,[1]quests!$1:$1,0)+1),MATCH(D$1,[1]quests!$1:$1,0)-MATCH($B$1,[1]quests!$1:$1,0)+1,FALSE)</f>
        <v>ドロップイベント1-4（マルチ専用）</v>
      </c>
      <c r="E847" s="5">
        <v>1</v>
      </c>
      <c r="F847" s="3" t="str">
        <f ca="1">VLOOKUP($B847&amp;"_"&amp;$E847,OFFSET([1]stages!$A$1,0,0,COUNTA([1]stages!$A:$A),MATCH(F$1,[1]stages!$2:$2,0)-MATCH("temp_stage",[1]stages!$2:$2,0)+1),MATCH(F$1,[1]stages!$2:$2,0)-MATCH("temp_stage",[1]stages!$2:$2,0)+1,FALSE)</f>
        <v xml:space="preserve">【中級】危険な仲裁者 </v>
      </c>
      <c r="G847" s="3" t="str">
        <f ca="1">VLOOKUP($B847&amp;"_"&amp;$E847,OFFSET([1]stages!$A$1,0,0,COUNTA([1]stages!$A:$A),MATCH(G$1,[1]stages!$2:$2,0)-MATCH("temp_stage",[1]stages!$2:$2,0)+1),MATCH(G$1,[1]stages!$2:$2,0)-MATCH("temp_stage",[1]stages!$2:$2,0)+1,FALSE)</f>
        <v>ドロップイベント1-4（マルチ専用）</v>
      </c>
      <c r="H847" s="18">
        <v>0</v>
      </c>
      <c r="I847">
        <v>13</v>
      </c>
      <c r="J847" s="5" t="s">
        <v>16</v>
      </c>
      <c r="K847" s="35" t="str">
        <f>VLOOKUP(I847,[2]stage_hints!$A:$C,3,FALSE)</f>
        <v>ユニットの覚醒</v>
      </c>
      <c r="L847" s="36" t="str">
        <f>VLOOKUP(I847,[2]stage_hints!$A:$D,4,FALSE)</f>
        <v>ユニットを覚醒させると_x000D_比べものにならない強さが手に入ります</v>
      </c>
      <c r="M847" s="21" t="s">
        <v>23</v>
      </c>
      <c r="N847">
        <v>13</v>
      </c>
    </row>
    <row r="848" spans="1:14" x14ac:dyDescent="0.15">
      <c r="A848" s="26" t="s">
        <v>32</v>
      </c>
      <c r="B848" s="4">
        <v>30004</v>
      </c>
      <c r="C848" s="3" t="str">
        <f ca="1">VLOOKUP($B848,OFFSET([1]quests!$A$1,0,0,COUNTA([1]quests!$A:$A),MATCH(C$1,[1]quests!$1:$1,0)-MATCH($B$1,[1]quests!$1:$1,0)+1),MATCH(C$1,[1]quests!$1:$1,0)-MATCH($B$1,[1]quests!$1:$1,0)+1,FALSE)</f>
        <v>危険な仲裁者</v>
      </c>
      <c r="D848" s="3" t="str">
        <f ca="1">VLOOKUP($B848,OFFSET([1]quests!$A$1,0,0,COUNTA([1]quests!$A:$A),MATCH(D$1,[1]quests!$1:$1,0)-MATCH($B$1,[1]quests!$1:$1,0)+1),MATCH(D$1,[1]quests!$1:$1,0)-MATCH($B$1,[1]quests!$1:$1,0)+1,FALSE)</f>
        <v>ドロップイベント1-4（マルチ専用）</v>
      </c>
      <c r="E848" s="5">
        <v>1</v>
      </c>
      <c r="F848" s="3" t="str">
        <f ca="1">VLOOKUP($B848&amp;"_"&amp;$E848,OFFSET([1]stages!$A$1,0,0,COUNTA([1]stages!$A:$A),MATCH(F$1,[1]stages!$2:$2,0)-MATCH("temp_stage",[1]stages!$2:$2,0)+1),MATCH(F$1,[1]stages!$2:$2,0)-MATCH("temp_stage",[1]stages!$2:$2,0)+1,FALSE)</f>
        <v xml:space="preserve">【中級】危険な仲裁者 </v>
      </c>
      <c r="G848" s="3" t="str">
        <f ca="1">VLOOKUP($B848&amp;"_"&amp;$E848,OFFSET([1]stages!$A$1,0,0,COUNTA([1]stages!$A:$A),MATCH(G$1,[1]stages!$2:$2,0)-MATCH("temp_stage",[1]stages!$2:$2,0)+1),MATCH(G$1,[1]stages!$2:$2,0)-MATCH("temp_stage",[1]stages!$2:$2,0)+1,FALSE)</f>
        <v>ドロップイベント1-4（マルチ専用）</v>
      </c>
      <c r="H848" s="18">
        <v>0</v>
      </c>
      <c r="I848">
        <v>14</v>
      </c>
      <c r="J848" s="5" t="s">
        <v>16</v>
      </c>
      <c r="K848" s="35" t="str">
        <f>VLOOKUP(I848,[2]stage_hints!$A:$C,3,FALSE)</f>
        <v>覚醒するにはレベルを最大に</v>
      </c>
      <c r="L848" s="36" t="str">
        <f>VLOOKUP(I848,[2]stage_hints!$A:$D,4,FALSE)</f>
        <v>覚醒するにはユニットのレベルを_x000D_最大まで上げる必要があります</v>
      </c>
      <c r="M848" s="21" t="s">
        <v>23</v>
      </c>
      <c r="N848">
        <v>14</v>
      </c>
    </row>
    <row r="849" spans="1:14" x14ac:dyDescent="0.15">
      <c r="A849" s="26" t="s">
        <v>32</v>
      </c>
      <c r="B849" s="4">
        <v>30004</v>
      </c>
      <c r="C849" s="3" t="str">
        <f ca="1">VLOOKUP($B849,OFFSET([1]quests!$A$1,0,0,COUNTA([1]quests!$A:$A),MATCH(C$1,[1]quests!$1:$1,0)-MATCH($B$1,[1]quests!$1:$1,0)+1),MATCH(C$1,[1]quests!$1:$1,0)-MATCH($B$1,[1]quests!$1:$1,0)+1,FALSE)</f>
        <v>危険な仲裁者</v>
      </c>
      <c r="D849" s="3" t="str">
        <f ca="1">VLOOKUP($B849,OFFSET([1]quests!$A$1,0,0,COUNTA([1]quests!$A:$A),MATCH(D$1,[1]quests!$1:$1,0)-MATCH($B$1,[1]quests!$1:$1,0)+1),MATCH(D$1,[1]quests!$1:$1,0)-MATCH($B$1,[1]quests!$1:$1,0)+1,FALSE)</f>
        <v>ドロップイベント1-4（マルチ専用）</v>
      </c>
      <c r="E849" s="5">
        <v>1</v>
      </c>
      <c r="F849" s="3" t="str">
        <f ca="1">VLOOKUP($B849&amp;"_"&amp;$E849,OFFSET([1]stages!$A$1,0,0,COUNTA([1]stages!$A:$A),MATCH(F$1,[1]stages!$2:$2,0)-MATCH("temp_stage",[1]stages!$2:$2,0)+1),MATCH(F$1,[1]stages!$2:$2,0)-MATCH("temp_stage",[1]stages!$2:$2,0)+1,FALSE)</f>
        <v xml:space="preserve">【中級】危険な仲裁者 </v>
      </c>
      <c r="G849" s="3" t="str">
        <f ca="1">VLOOKUP($B849&amp;"_"&amp;$E849,OFFSET([1]stages!$A$1,0,0,COUNTA([1]stages!$A:$A),MATCH(G$1,[1]stages!$2:$2,0)-MATCH("temp_stage",[1]stages!$2:$2,0)+1),MATCH(G$1,[1]stages!$2:$2,0)-MATCH("temp_stage",[1]stages!$2:$2,0)+1,FALSE)</f>
        <v>ドロップイベント1-4（マルチ専用）</v>
      </c>
      <c r="H849" s="18">
        <v>0</v>
      </c>
      <c r="I849">
        <v>15</v>
      </c>
      <c r="J849" s="5" t="s">
        <v>16</v>
      </c>
      <c r="K849" s="35" t="str">
        <f>VLOOKUP(I849,[2]stage_hints!$A:$C,3,FALSE)</f>
        <v>覚醒素材を獲得</v>
      </c>
      <c r="L849" s="36" t="str">
        <f>VLOOKUP(I849,[2]stage_hints!$A:$D,4,FALSE)</f>
        <v>「曜日クエスト」では_x000D_ユニットの覚醒に必要な素材が手に入ります</v>
      </c>
      <c r="M849" s="21" t="s">
        <v>23</v>
      </c>
      <c r="N849">
        <v>15</v>
      </c>
    </row>
    <row r="850" spans="1:14" x14ac:dyDescent="0.15">
      <c r="A850" s="26" t="s">
        <v>32</v>
      </c>
      <c r="B850" s="4">
        <v>30004</v>
      </c>
      <c r="C850" s="3" t="str">
        <f ca="1">VLOOKUP($B850,OFFSET([1]quests!$A$1,0,0,COUNTA([1]quests!$A:$A),MATCH(C$1,[1]quests!$1:$1,0)-MATCH($B$1,[1]quests!$1:$1,0)+1),MATCH(C$1,[1]quests!$1:$1,0)-MATCH($B$1,[1]quests!$1:$1,0)+1,FALSE)</f>
        <v>危険な仲裁者</v>
      </c>
      <c r="D850" s="3" t="str">
        <f ca="1">VLOOKUP($B850,OFFSET([1]quests!$A$1,0,0,COUNTA([1]quests!$A:$A),MATCH(D$1,[1]quests!$1:$1,0)-MATCH($B$1,[1]quests!$1:$1,0)+1),MATCH(D$1,[1]quests!$1:$1,0)-MATCH($B$1,[1]quests!$1:$1,0)+1,FALSE)</f>
        <v>ドロップイベント1-4（マルチ専用）</v>
      </c>
      <c r="E850" s="5">
        <v>1</v>
      </c>
      <c r="F850" s="3" t="str">
        <f ca="1">VLOOKUP($B850&amp;"_"&amp;$E850,OFFSET([1]stages!$A$1,0,0,COUNTA([1]stages!$A:$A),MATCH(F$1,[1]stages!$2:$2,0)-MATCH("temp_stage",[1]stages!$2:$2,0)+1),MATCH(F$1,[1]stages!$2:$2,0)-MATCH("temp_stage",[1]stages!$2:$2,0)+1,FALSE)</f>
        <v xml:space="preserve">【中級】危険な仲裁者 </v>
      </c>
      <c r="G850" s="3" t="str">
        <f ca="1">VLOOKUP($B850&amp;"_"&amp;$E850,OFFSET([1]stages!$A$1,0,0,COUNTA([1]stages!$A:$A),MATCH(G$1,[1]stages!$2:$2,0)-MATCH("temp_stage",[1]stages!$2:$2,0)+1),MATCH(G$1,[1]stages!$2:$2,0)-MATCH("temp_stage",[1]stages!$2:$2,0)+1,FALSE)</f>
        <v>ドロップイベント1-4（マルチ専用）</v>
      </c>
      <c r="H850" s="18">
        <v>0</v>
      </c>
      <c r="I850">
        <v>16</v>
      </c>
      <c r="J850" s="5" t="s">
        <v>16</v>
      </c>
      <c r="K850" s="35" t="str">
        <f>VLOOKUP(I850,[2]stage_hints!$A:$C,3,FALSE)</f>
        <v>マルチプレイのメリット（その1）</v>
      </c>
      <c r="L850" s="36" t="str">
        <f>VLOOKUP(I850,[2]stage_hints!$A:$D,4,FALSE)</f>
        <v>他のプレイヤーとマルチプレイで遊ぶと_x000D_ポリゴンがもらえます（100人まで）</v>
      </c>
      <c r="M850" s="21" t="s">
        <v>23</v>
      </c>
      <c r="N850">
        <v>16</v>
      </c>
    </row>
    <row r="851" spans="1:14" x14ac:dyDescent="0.15">
      <c r="A851" s="26" t="s">
        <v>32</v>
      </c>
      <c r="B851" s="4">
        <v>30004</v>
      </c>
      <c r="C851" s="3" t="str">
        <f ca="1">VLOOKUP($B851,OFFSET([1]quests!$A$1,0,0,COUNTA([1]quests!$A:$A),MATCH(C$1,[1]quests!$1:$1,0)-MATCH($B$1,[1]quests!$1:$1,0)+1),MATCH(C$1,[1]quests!$1:$1,0)-MATCH($B$1,[1]quests!$1:$1,0)+1,FALSE)</f>
        <v>危険な仲裁者</v>
      </c>
      <c r="D851" s="3" t="str">
        <f ca="1">VLOOKUP($B851,OFFSET([1]quests!$A$1,0,0,COUNTA([1]quests!$A:$A),MATCH(D$1,[1]quests!$1:$1,0)-MATCH($B$1,[1]quests!$1:$1,0)+1),MATCH(D$1,[1]quests!$1:$1,0)-MATCH($B$1,[1]quests!$1:$1,0)+1,FALSE)</f>
        <v>ドロップイベント1-4（マルチ専用）</v>
      </c>
      <c r="E851" s="5">
        <v>1</v>
      </c>
      <c r="F851" s="3" t="str">
        <f ca="1">VLOOKUP($B851&amp;"_"&amp;$E851,OFFSET([1]stages!$A$1,0,0,COUNTA([1]stages!$A:$A),MATCH(F$1,[1]stages!$2:$2,0)-MATCH("temp_stage",[1]stages!$2:$2,0)+1),MATCH(F$1,[1]stages!$2:$2,0)-MATCH("temp_stage",[1]stages!$2:$2,0)+1,FALSE)</f>
        <v xml:space="preserve">【中級】危険な仲裁者 </v>
      </c>
      <c r="G851" s="3" t="str">
        <f ca="1">VLOOKUP($B851&amp;"_"&amp;$E851,OFFSET([1]stages!$A$1,0,0,COUNTA([1]stages!$A:$A),MATCH(G$1,[1]stages!$2:$2,0)-MATCH("temp_stage",[1]stages!$2:$2,0)+1),MATCH(G$1,[1]stages!$2:$2,0)-MATCH("temp_stage",[1]stages!$2:$2,0)+1,FALSE)</f>
        <v>ドロップイベント1-4（マルチ専用）</v>
      </c>
      <c r="H851" s="18">
        <v>0</v>
      </c>
      <c r="I851">
        <v>17</v>
      </c>
      <c r="J851" s="5" t="s">
        <v>16</v>
      </c>
      <c r="K851" s="35" t="str">
        <f>VLOOKUP(I851,[2]stage_hints!$A:$C,3,FALSE)</f>
        <v>リンクガチャ</v>
      </c>
      <c r="L851" s="36" t="str">
        <f>VLOOKUP(I851,[2]stage_hints!$A:$D,4,FALSE)</f>
        <v>無料のリンクガチャを回して_x000D_経験値素材や売却素材を獲得しましょう</v>
      </c>
      <c r="M851" s="21" t="s">
        <v>23</v>
      </c>
      <c r="N851">
        <v>17</v>
      </c>
    </row>
    <row r="852" spans="1:14" x14ac:dyDescent="0.15">
      <c r="A852" s="26" t="s">
        <v>32</v>
      </c>
      <c r="B852" s="4">
        <v>30004</v>
      </c>
      <c r="C852" s="3" t="str">
        <f ca="1">VLOOKUP($B852,OFFSET([1]quests!$A$1,0,0,COUNTA([1]quests!$A:$A),MATCH(C$1,[1]quests!$1:$1,0)-MATCH($B$1,[1]quests!$1:$1,0)+1),MATCH(C$1,[1]quests!$1:$1,0)-MATCH($B$1,[1]quests!$1:$1,0)+1,FALSE)</f>
        <v>危険な仲裁者</v>
      </c>
      <c r="D852" s="3" t="str">
        <f ca="1">VLOOKUP($B852,OFFSET([1]quests!$A$1,0,0,COUNTA([1]quests!$A:$A),MATCH(D$1,[1]quests!$1:$1,0)-MATCH($B$1,[1]quests!$1:$1,0)+1),MATCH(D$1,[1]quests!$1:$1,0)-MATCH($B$1,[1]quests!$1:$1,0)+1,FALSE)</f>
        <v>ドロップイベント1-4（マルチ専用）</v>
      </c>
      <c r="E852" s="5">
        <v>1</v>
      </c>
      <c r="F852" s="3" t="str">
        <f ca="1">VLOOKUP($B852&amp;"_"&amp;$E852,OFFSET([1]stages!$A$1,0,0,COUNTA([1]stages!$A:$A),MATCH(F$1,[1]stages!$2:$2,0)-MATCH("temp_stage",[1]stages!$2:$2,0)+1),MATCH(F$1,[1]stages!$2:$2,0)-MATCH("temp_stage",[1]stages!$2:$2,0)+1,FALSE)</f>
        <v xml:space="preserve">【中級】危険な仲裁者 </v>
      </c>
      <c r="G852" s="3" t="str">
        <f ca="1">VLOOKUP($B852&amp;"_"&amp;$E852,OFFSET([1]stages!$A$1,0,0,COUNTA([1]stages!$A:$A),MATCH(G$1,[1]stages!$2:$2,0)-MATCH("temp_stage",[1]stages!$2:$2,0)+1),MATCH(G$1,[1]stages!$2:$2,0)-MATCH("temp_stage",[1]stages!$2:$2,0)+1,FALSE)</f>
        <v>ドロップイベント1-4（マルチ専用）</v>
      </c>
      <c r="H852" s="18">
        <v>0</v>
      </c>
      <c r="I852">
        <v>18</v>
      </c>
      <c r="J852" s="5" t="s">
        <v>16</v>
      </c>
      <c r="K852" s="35" t="str">
        <f>VLOOKUP(I852,[2]stage_hints!$A:$C,3,FALSE)</f>
        <v>マルチプレイのメリット（その2）</v>
      </c>
      <c r="L852" s="36" t="str">
        <f>VLOOKUP(I852,[2]stage_hints!$A:$D,4,FALSE)</f>
        <v>マルチプレイならリンクが2倍もらえます_x000D_リンクガチャをたくさん回しましょう</v>
      </c>
      <c r="M852" s="21" t="s">
        <v>23</v>
      </c>
      <c r="N852">
        <v>18</v>
      </c>
    </row>
    <row r="853" spans="1:14" x14ac:dyDescent="0.15">
      <c r="A853" s="26" t="s">
        <v>32</v>
      </c>
      <c r="B853" s="4">
        <v>30004</v>
      </c>
      <c r="C853" s="3" t="str">
        <f ca="1">VLOOKUP($B853,OFFSET([1]quests!$A$1,0,0,COUNTA([1]quests!$A:$A),MATCH(C$1,[1]quests!$1:$1,0)-MATCH($B$1,[1]quests!$1:$1,0)+1),MATCH(C$1,[1]quests!$1:$1,0)-MATCH($B$1,[1]quests!$1:$1,0)+1,FALSE)</f>
        <v>危険な仲裁者</v>
      </c>
      <c r="D853" s="3" t="str">
        <f ca="1">VLOOKUP($B853,OFFSET([1]quests!$A$1,0,0,COUNTA([1]quests!$A:$A),MATCH(D$1,[1]quests!$1:$1,0)-MATCH($B$1,[1]quests!$1:$1,0)+1),MATCH(D$1,[1]quests!$1:$1,0)-MATCH($B$1,[1]quests!$1:$1,0)+1,FALSE)</f>
        <v>ドロップイベント1-4（マルチ専用）</v>
      </c>
      <c r="E853" s="5">
        <v>1</v>
      </c>
      <c r="F853" s="3" t="str">
        <f ca="1">VLOOKUP($B853&amp;"_"&amp;$E853,OFFSET([1]stages!$A$1,0,0,COUNTA([1]stages!$A:$A),MATCH(F$1,[1]stages!$2:$2,0)-MATCH("temp_stage",[1]stages!$2:$2,0)+1),MATCH(F$1,[1]stages!$2:$2,0)-MATCH("temp_stage",[1]stages!$2:$2,0)+1,FALSE)</f>
        <v xml:space="preserve">【中級】危険な仲裁者 </v>
      </c>
      <c r="G853" s="3" t="str">
        <f ca="1">VLOOKUP($B853&amp;"_"&amp;$E853,OFFSET([1]stages!$A$1,0,0,COUNTA([1]stages!$A:$A),MATCH(G$1,[1]stages!$2:$2,0)-MATCH("temp_stage",[1]stages!$2:$2,0)+1),MATCH(G$1,[1]stages!$2:$2,0)-MATCH("temp_stage",[1]stages!$2:$2,0)+1,FALSE)</f>
        <v>ドロップイベント1-4（マルチ専用）</v>
      </c>
      <c r="H853" s="18">
        <v>0</v>
      </c>
      <c r="I853">
        <v>19</v>
      </c>
      <c r="J853" s="5" t="s">
        <v>16</v>
      </c>
      <c r="K853" s="35" t="str">
        <f>VLOOKUP(I853,[2]stage_hints!$A:$C,3,FALSE)</f>
        <v>ソロ専用チャレンジタワー</v>
      </c>
      <c r="L853" s="36" t="str">
        <f>VLOOKUP(I853,[2]stage_hints!$A:$D,4,FALSE)</f>
        <v>ソロ専用の「チャレンジタワー」では_x000D_各フロアごとにクリア報酬がもらえます</v>
      </c>
      <c r="M853" s="21" t="s">
        <v>23</v>
      </c>
      <c r="N853">
        <v>19</v>
      </c>
    </row>
    <row r="854" spans="1:14" x14ac:dyDescent="0.15">
      <c r="A854" s="26" t="s">
        <v>32</v>
      </c>
      <c r="B854" s="4">
        <v>30004</v>
      </c>
      <c r="C854" s="3" t="str">
        <f ca="1">VLOOKUP($B854,OFFSET([1]quests!$A$1,0,0,COUNTA([1]quests!$A:$A),MATCH(C$1,[1]quests!$1:$1,0)-MATCH($B$1,[1]quests!$1:$1,0)+1),MATCH(C$1,[1]quests!$1:$1,0)-MATCH($B$1,[1]quests!$1:$1,0)+1,FALSE)</f>
        <v>危険な仲裁者</v>
      </c>
      <c r="D854" s="3" t="str">
        <f ca="1">VLOOKUP($B854,OFFSET([1]quests!$A$1,0,0,COUNTA([1]quests!$A:$A),MATCH(D$1,[1]quests!$1:$1,0)-MATCH($B$1,[1]quests!$1:$1,0)+1),MATCH(D$1,[1]quests!$1:$1,0)-MATCH($B$1,[1]quests!$1:$1,0)+1,FALSE)</f>
        <v>ドロップイベント1-4（マルチ専用）</v>
      </c>
      <c r="E854" s="5">
        <v>1</v>
      </c>
      <c r="F854" s="3" t="str">
        <f ca="1">VLOOKUP($B854&amp;"_"&amp;$E854,OFFSET([1]stages!$A$1,0,0,COUNTA([1]stages!$A:$A),MATCH(F$1,[1]stages!$2:$2,0)-MATCH("temp_stage",[1]stages!$2:$2,0)+1),MATCH(F$1,[1]stages!$2:$2,0)-MATCH("temp_stage",[1]stages!$2:$2,0)+1,FALSE)</f>
        <v xml:space="preserve">【中級】危険な仲裁者 </v>
      </c>
      <c r="G854" s="3" t="str">
        <f ca="1">VLOOKUP($B854&amp;"_"&amp;$E854,OFFSET([1]stages!$A$1,0,0,COUNTA([1]stages!$A:$A),MATCH(G$1,[1]stages!$2:$2,0)-MATCH("temp_stage",[1]stages!$2:$2,0)+1),MATCH(G$1,[1]stages!$2:$2,0)-MATCH("temp_stage",[1]stages!$2:$2,0)+1,FALSE)</f>
        <v>ドロップイベント1-4（マルチ専用）</v>
      </c>
      <c r="H854" s="18">
        <v>0</v>
      </c>
      <c r="I854">
        <v>20</v>
      </c>
      <c r="J854" s="5" t="s">
        <v>16</v>
      </c>
      <c r="K854" s="35" t="str">
        <f>VLOOKUP(I854,[2]stage_hints!$A:$C,3,FALSE)</f>
        <v>マルチプレイのメリット（その3）</v>
      </c>
      <c r="L854" s="36" t="str">
        <f>VLOOKUP(I854,[2]stage_hints!$A:$D,4,FALSE)</f>
        <v>マルチプレイへの参加はエナジー消費ゼロ_x000D_いつでも好きなだけ遊ぶことができます</v>
      </c>
      <c r="M854" s="21" t="s">
        <v>23</v>
      </c>
      <c r="N854">
        <v>20</v>
      </c>
    </row>
    <row r="855" spans="1:14" x14ac:dyDescent="0.15">
      <c r="A855" s="26" t="s">
        <v>32</v>
      </c>
      <c r="B855" s="4">
        <v>30004</v>
      </c>
      <c r="C855" s="3" t="str">
        <f ca="1">VLOOKUP($B855,OFFSET([1]quests!$A$1,0,0,COUNTA([1]quests!$A:$A),MATCH(C$1,[1]quests!$1:$1,0)-MATCH($B$1,[1]quests!$1:$1,0)+1),MATCH(C$1,[1]quests!$1:$1,0)-MATCH($B$1,[1]quests!$1:$1,0)+1,FALSE)</f>
        <v>危険な仲裁者</v>
      </c>
      <c r="D855" s="3" t="str">
        <f ca="1">VLOOKUP($B855,OFFSET([1]quests!$A$1,0,0,COUNTA([1]quests!$A:$A),MATCH(D$1,[1]quests!$1:$1,0)-MATCH($B$1,[1]quests!$1:$1,0)+1),MATCH(D$1,[1]quests!$1:$1,0)-MATCH($B$1,[1]quests!$1:$1,0)+1,FALSE)</f>
        <v>ドロップイベント1-4（マルチ専用）</v>
      </c>
      <c r="E855" s="5">
        <v>1</v>
      </c>
      <c r="F855" s="3" t="str">
        <f ca="1">VLOOKUP($B855&amp;"_"&amp;$E855,OFFSET([1]stages!$A$1,0,0,COUNTA([1]stages!$A:$A),MATCH(F$1,[1]stages!$2:$2,0)-MATCH("temp_stage",[1]stages!$2:$2,0)+1),MATCH(F$1,[1]stages!$2:$2,0)-MATCH("temp_stage",[1]stages!$2:$2,0)+1,FALSE)</f>
        <v xml:space="preserve">【中級】危険な仲裁者 </v>
      </c>
      <c r="G855" s="3" t="str">
        <f ca="1">VLOOKUP($B855&amp;"_"&amp;$E855,OFFSET([1]stages!$A$1,0,0,COUNTA([1]stages!$A:$A),MATCH(G$1,[1]stages!$2:$2,0)-MATCH("temp_stage",[1]stages!$2:$2,0)+1),MATCH(G$1,[1]stages!$2:$2,0)-MATCH("temp_stage",[1]stages!$2:$2,0)+1,FALSE)</f>
        <v>ドロップイベント1-4（マルチ専用）</v>
      </c>
      <c r="H855" s="18">
        <v>0</v>
      </c>
      <c r="I855">
        <v>21</v>
      </c>
      <c r="J855" s="5" t="s">
        <v>16</v>
      </c>
      <c r="K855" s="35" t="str">
        <f>VLOOKUP(I855,[2]stage_hints!$A:$C,3,FALSE)</f>
        <v>スキルを有効に</v>
      </c>
      <c r="L855" s="36" t="str">
        <f>VLOOKUP(I855,[2]stage_hints!$A:$D,4,FALSE)</f>
        <v>ターン経過でユニットのスキルが使えます_x000D_強力スキルでバトルを有利に進めましょう</v>
      </c>
      <c r="M855" s="21" t="s">
        <v>23</v>
      </c>
      <c r="N855">
        <v>21</v>
      </c>
    </row>
    <row r="856" spans="1:14" x14ac:dyDescent="0.15">
      <c r="A856" s="26" t="s">
        <v>32</v>
      </c>
      <c r="B856" s="4">
        <v>30004</v>
      </c>
      <c r="C856" s="3" t="str">
        <f ca="1">VLOOKUP($B856,OFFSET([1]quests!$A$1,0,0,COUNTA([1]quests!$A:$A),MATCH(C$1,[1]quests!$1:$1,0)-MATCH($B$1,[1]quests!$1:$1,0)+1),MATCH(C$1,[1]quests!$1:$1,0)-MATCH($B$1,[1]quests!$1:$1,0)+1,FALSE)</f>
        <v>危険な仲裁者</v>
      </c>
      <c r="D856" s="3" t="str">
        <f ca="1">VLOOKUP($B856,OFFSET([1]quests!$A$1,0,0,COUNTA([1]quests!$A:$A),MATCH(D$1,[1]quests!$1:$1,0)-MATCH($B$1,[1]quests!$1:$1,0)+1),MATCH(D$1,[1]quests!$1:$1,0)-MATCH($B$1,[1]quests!$1:$1,0)+1,FALSE)</f>
        <v>ドロップイベント1-4（マルチ専用）</v>
      </c>
      <c r="E856" s="5">
        <v>1</v>
      </c>
      <c r="F856" s="3" t="str">
        <f ca="1">VLOOKUP($B856&amp;"_"&amp;$E856,OFFSET([1]stages!$A$1,0,0,COUNTA([1]stages!$A:$A),MATCH(F$1,[1]stages!$2:$2,0)-MATCH("temp_stage",[1]stages!$2:$2,0)+1),MATCH(F$1,[1]stages!$2:$2,0)-MATCH("temp_stage",[1]stages!$2:$2,0)+1,FALSE)</f>
        <v xml:space="preserve">【中級】危険な仲裁者 </v>
      </c>
      <c r="G856" s="3" t="str">
        <f ca="1">VLOOKUP($B856&amp;"_"&amp;$E856,OFFSET([1]stages!$A$1,0,0,COUNTA([1]stages!$A:$A),MATCH(G$1,[1]stages!$2:$2,0)-MATCH("temp_stage",[1]stages!$2:$2,0)+1),MATCH(G$1,[1]stages!$2:$2,0)-MATCH("temp_stage",[1]stages!$2:$2,0)+1,FALSE)</f>
        <v>ドロップイベント1-4（マルチ専用）</v>
      </c>
      <c r="H856" s="18">
        <v>0</v>
      </c>
      <c r="I856">
        <v>22</v>
      </c>
      <c r="J856" s="5" t="s">
        <v>16</v>
      </c>
      <c r="K856" s="35" t="str">
        <f>VLOOKUP(I856,[2]stage_hints!$A:$C,3,FALSE)</f>
        <v>フィーバーで一発逆転（その1）</v>
      </c>
      <c r="L856" s="36" t="str">
        <f>VLOOKUP(I856,[2]stage_hints!$A:$D,4,FALSE)</f>
        <v>フィーバーは攻撃と回復を兼ね備えます_x000D_ピンチからの一発逆転を狙いましょう</v>
      </c>
      <c r="M856" s="21" t="s">
        <v>23</v>
      </c>
      <c r="N856">
        <v>22</v>
      </c>
    </row>
    <row r="857" spans="1:14" x14ac:dyDescent="0.15">
      <c r="A857" s="26" t="s">
        <v>32</v>
      </c>
      <c r="B857" s="4">
        <v>30004</v>
      </c>
      <c r="C857" s="3" t="str">
        <f ca="1">VLOOKUP($B857,OFFSET([1]quests!$A$1,0,0,COUNTA([1]quests!$A:$A),MATCH(C$1,[1]quests!$1:$1,0)-MATCH($B$1,[1]quests!$1:$1,0)+1),MATCH(C$1,[1]quests!$1:$1,0)-MATCH($B$1,[1]quests!$1:$1,0)+1,FALSE)</f>
        <v>危険な仲裁者</v>
      </c>
      <c r="D857" s="3" t="str">
        <f ca="1">VLOOKUP($B857,OFFSET([1]quests!$A$1,0,0,COUNTA([1]quests!$A:$A),MATCH(D$1,[1]quests!$1:$1,0)-MATCH($B$1,[1]quests!$1:$1,0)+1),MATCH(D$1,[1]quests!$1:$1,0)-MATCH($B$1,[1]quests!$1:$1,0)+1,FALSE)</f>
        <v>ドロップイベント1-4（マルチ専用）</v>
      </c>
      <c r="E857" s="5">
        <v>1</v>
      </c>
      <c r="F857" s="3" t="str">
        <f ca="1">VLOOKUP($B857&amp;"_"&amp;$E857,OFFSET([1]stages!$A$1,0,0,COUNTA([1]stages!$A:$A),MATCH(F$1,[1]stages!$2:$2,0)-MATCH("temp_stage",[1]stages!$2:$2,0)+1),MATCH(F$1,[1]stages!$2:$2,0)-MATCH("temp_stage",[1]stages!$2:$2,0)+1,FALSE)</f>
        <v xml:space="preserve">【中級】危険な仲裁者 </v>
      </c>
      <c r="G857" s="3" t="str">
        <f ca="1">VLOOKUP($B857&amp;"_"&amp;$E857,OFFSET([1]stages!$A$1,0,0,COUNTA([1]stages!$A:$A),MATCH(G$1,[1]stages!$2:$2,0)-MATCH("temp_stage",[1]stages!$2:$2,0)+1),MATCH(G$1,[1]stages!$2:$2,0)-MATCH("temp_stage",[1]stages!$2:$2,0)+1,FALSE)</f>
        <v>ドロップイベント1-4（マルチ専用）</v>
      </c>
      <c r="H857" s="18">
        <v>0</v>
      </c>
      <c r="I857">
        <v>23</v>
      </c>
      <c r="J857" s="5" t="s">
        <v>16</v>
      </c>
      <c r="K857" s="35" t="str">
        <f>VLOOKUP(I857,[2]stage_hints!$A:$C,3,FALSE)</f>
        <v>フィーバーで一発逆転（その2）</v>
      </c>
      <c r="L857" s="36" t="str">
        <f>VLOOKUP(I857,[2]stage_hints!$A:$D,4,FALSE)</f>
        <v>フィーバー中は虹色のボムパネルを狙って_x000D_画面上のパネルを一気に破壊しましょう</v>
      </c>
      <c r="M857" s="21" t="s">
        <v>23</v>
      </c>
      <c r="N857">
        <v>23</v>
      </c>
    </row>
    <row r="858" spans="1:14" x14ac:dyDescent="0.15">
      <c r="A858" s="26" t="s">
        <v>32</v>
      </c>
      <c r="B858" s="4">
        <v>30004</v>
      </c>
      <c r="C858" s="3" t="str">
        <f ca="1">VLOOKUP($B858,OFFSET([1]quests!$A$1,0,0,COUNTA([1]quests!$A:$A),MATCH(C$1,[1]quests!$1:$1,0)-MATCH($B$1,[1]quests!$1:$1,0)+1),MATCH(C$1,[1]quests!$1:$1,0)-MATCH($B$1,[1]quests!$1:$1,0)+1,FALSE)</f>
        <v>危険な仲裁者</v>
      </c>
      <c r="D858" s="3" t="str">
        <f ca="1">VLOOKUP($B858,OFFSET([1]quests!$A$1,0,0,COUNTA([1]quests!$A:$A),MATCH(D$1,[1]quests!$1:$1,0)-MATCH($B$1,[1]quests!$1:$1,0)+1),MATCH(D$1,[1]quests!$1:$1,0)-MATCH($B$1,[1]quests!$1:$1,0)+1,FALSE)</f>
        <v>ドロップイベント1-4（マルチ専用）</v>
      </c>
      <c r="E858" s="5">
        <v>1</v>
      </c>
      <c r="F858" s="3" t="str">
        <f ca="1">VLOOKUP($B858&amp;"_"&amp;$E858,OFFSET([1]stages!$A$1,0,0,COUNTA([1]stages!$A:$A),MATCH(F$1,[1]stages!$2:$2,0)-MATCH("temp_stage",[1]stages!$2:$2,0)+1),MATCH(F$1,[1]stages!$2:$2,0)-MATCH("temp_stage",[1]stages!$2:$2,0)+1,FALSE)</f>
        <v xml:space="preserve">【中級】危険な仲裁者 </v>
      </c>
      <c r="G858" s="3" t="str">
        <f ca="1">VLOOKUP($B858&amp;"_"&amp;$E858,OFFSET([1]stages!$A$1,0,0,COUNTA([1]stages!$A:$A),MATCH(G$1,[1]stages!$2:$2,0)-MATCH("temp_stage",[1]stages!$2:$2,0)+1),MATCH(G$1,[1]stages!$2:$2,0)-MATCH("temp_stage",[1]stages!$2:$2,0)+1,FALSE)</f>
        <v>ドロップイベント1-4（マルチ専用）</v>
      </c>
      <c r="H858" s="18">
        <v>0</v>
      </c>
      <c r="I858">
        <v>24</v>
      </c>
      <c r="J858" s="5" t="s">
        <v>16</v>
      </c>
      <c r="K858" s="35" t="str">
        <f>VLOOKUP(I858,[2]stage_hints!$A:$C,3,FALSE)</f>
        <v>りんごを使って限界突破</v>
      </c>
      <c r="L858" s="36" t="str">
        <f>VLOOKUP(I858,[2]stage_hints!$A:$D,4,FALSE)</f>
        <v>赤りんご(攻撃力) 青りんご(回復力)_x000D_緑りんご(体力)をユニット強化に使うと_x000D_ステータスが限界突破します（計99個迄）</v>
      </c>
      <c r="M858" s="21" t="s">
        <v>23</v>
      </c>
      <c r="N858">
        <v>24</v>
      </c>
    </row>
    <row r="859" spans="1:14" x14ac:dyDescent="0.15">
      <c r="A859" s="26" t="s">
        <v>32</v>
      </c>
      <c r="B859" s="4">
        <v>30004</v>
      </c>
      <c r="C859" s="3" t="str">
        <f ca="1">VLOOKUP($B859,OFFSET([1]quests!$A$1,0,0,COUNTA([1]quests!$A:$A),MATCH(C$1,[1]quests!$1:$1,0)-MATCH($B$1,[1]quests!$1:$1,0)+1),MATCH(C$1,[1]quests!$1:$1,0)-MATCH($B$1,[1]quests!$1:$1,0)+1,FALSE)</f>
        <v>危険な仲裁者</v>
      </c>
      <c r="D859" s="3" t="str">
        <f ca="1">VLOOKUP($B859,OFFSET([1]quests!$A$1,0,0,COUNTA([1]quests!$A:$A),MATCH(D$1,[1]quests!$1:$1,0)-MATCH($B$1,[1]quests!$1:$1,0)+1),MATCH(D$1,[1]quests!$1:$1,0)-MATCH($B$1,[1]quests!$1:$1,0)+1,FALSE)</f>
        <v>ドロップイベント1-4（マルチ専用）</v>
      </c>
      <c r="E859" s="5">
        <v>1</v>
      </c>
      <c r="F859" s="3" t="str">
        <f ca="1">VLOOKUP($B859&amp;"_"&amp;$E859,OFFSET([1]stages!$A$1,0,0,COUNTA([1]stages!$A:$A),MATCH(F$1,[1]stages!$2:$2,0)-MATCH("temp_stage",[1]stages!$2:$2,0)+1),MATCH(F$1,[1]stages!$2:$2,0)-MATCH("temp_stage",[1]stages!$2:$2,0)+1,FALSE)</f>
        <v xml:space="preserve">【中級】危険な仲裁者 </v>
      </c>
      <c r="G859" s="3" t="str">
        <f ca="1">VLOOKUP($B859&amp;"_"&amp;$E859,OFFSET([1]stages!$A$1,0,0,COUNTA([1]stages!$A:$A),MATCH(G$1,[1]stages!$2:$2,0)-MATCH("temp_stage",[1]stages!$2:$2,0)+1),MATCH(G$1,[1]stages!$2:$2,0)-MATCH("temp_stage",[1]stages!$2:$2,0)+1,FALSE)</f>
        <v>ドロップイベント1-4（マルチ専用）</v>
      </c>
      <c r="H859" s="18">
        <v>0</v>
      </c>
      <c r="I859">
        <v>25</v>
      </c>
      <c r="J859" s="5" t="s">
        <v>16</v>
      </c>
      <c r="K859" s="35" t="str">
        <f>VLOOKUP(I859,[2]stage_hints!$A:$C,3,FALSE)</f>
        <v>スキルレベルアップ</v>
      </c>
      <c r="L859" s="36" t="str">
        <f>VLOOKUP(I859,[2]stage_hints!$A:$D,4,FALSE)</f>
        <v>「クリスタルのりんご」を強化に使うと_x000D_スキルレベルを上げることができます</v>
      </c>
      <c r="M859" s="21" t="s">
        <v>23</v>
      </c>
      <c r="N859">
        <v>25</v>
      </c>
    </row>
    <row r="860" spans="1:14" x14ac:dyDescent="0.15">
      <c r="A860" s="26" t="s">
        <v>32</v>
      </c>
      <c r="B860" s="4">
        <v>30004</v>
      </c>
      <c r="C860" s="3" t="str">
        <f ca="1">VLOOKUP($B860,OFFSET([1]quests!$A$1,0,0,COUNTA([1]quests!$A:$A),MATCH(C$1,[1]quests!$1:$1,0)-MATCH($B$1,[1]quests!$1:$1,0)+1),MATCH(C$1,[1]quests!$1:$1,0)-MATCH($B$1,[1]quests!$1:$1,0)+1,FALSE)</f>
        <v>危険な仲裁者</v>
      </c>
      <c r="D860" s="3" t="str">
        <f ca="1">VLOOKUP($B860,OFFSET([1]quests!$A$1,0,0,COUNTA([1]quests!$A:$A),MATCH(D$1,[1]quests!$1:$1,0)-MATCH($B$1,[1]quests!$1:$1,0)+1),MATCH(D$1,[1]quests!$1:$1,0)-MATCH($B$1,[1]quests!$1:$1,0)+1,FALSE)</f>
        <v>ドロップイベント1-4（マルチ専用）</v>
      </c>
      <c r="E860" s="5">
        <v>1</v>
      </c>
      <c r="F860" s="3" t="str">
        <f ca="1">VLOOKUP($B860&amp;"_"&amp;$E860,OFFSET([1]stages!$A$1,0,0,COUNTA([1]stages!$A:$A),MATCH(F$1,[1]stages!$2:$2,0)-MATCH("temp_stage",[1]stages!$2:$2,0)+1),MATCH(F$1,[1]stages!$2:$2,0)-MATCH("temp_stage",[1]stages!$2:$2,0)+1,FALSE)</f>
        <v xml:space="preserve">【中級】危険な仲裁者 </v>
      </c>
      <c r="G860" s="3" t="str">
        <f ca="1">VLOOKUP($B860&amp;"_"&amp;$E860,OFFSET([1]stages!$A$1,0,0,COUNTA([1]stages!$A:$A),MATCH(G$1,[1]stages!$2:$2,0)-MATCH("temp_stage",[1]stages!$2:$2,0)+1),MATCH(G$1,[1]stages!$2:$2,0)-MATCH("temp_stage",[1]stages!$2:$2,0)+1,FALSE)</f>
        <v>ドロップイベント1-4（マルチ専用）</v>
      </c>
      <c r="H860" s="18">
        <v>0</v>
      </c>
      <c r="I860">
        <v>26</v>
      </c>
      <c r="J860" s="5" t="s">
        <v>16</v>
      </c>
      <c r="K860" s="35" t="str">
        <f>VLOOKUP(I860,[2]stage_hints!$A:$C,3,FALSE)</f>
        <v>スキルレベルの効果</v>
      </c>
      <c r="L860" s="36" t="str">
        <f>VLOOKUP(I860,[2]stage_hints!$A:$D,4,FALSE)</f>
        <v>スキルレベルが上がると_x000D_短いターンでスキルを使うことができます</v>
      </c>
      <c r="M860" s="21" t="s">
        <v>23</v>
      </c>
      <c r="N860">
        <v>26</v>
      </c>
    </row>
    <row r="861" spans="1:14" x14ac:dyDescent="0.15">
      <c r="A861" s="26" t="s">
        <v>32</v>
      </c>
      <c r="B861" s="4">
        <v>30004</v>
      </c>
      <c r="C861" s="3" t="str">
        <f ca="1">VLOOKUP($B861,OFFSET([1]quests!$A$1,0,0,COUNTA([1]quests!$A:$A),MATCH(C$1,[1]quests!$1:$1,0)-MATCH($B$1,[1]quests!$1:$1,0)+1),MATCH(C$1,[1]quests!$1:$1,0)-MATCH($B$1,[1]quests!$1:$1,0)+1,FALSE)</f>
        <v>危険な仲裁者</v>
      </c>
      <c r="D861" s="3" t="str">
        <f ca="1">VLOOKUP($B861,OFFSET([1]quests!$A$1,0,0,COUNTA([1]quests!$A:$A),MATCH(D$1,[1]quests!$1:$1,0)-MATCH($B$1,[1]quests!$1:$1,0)+1),MATCH(D$1,[1]quests!$1:$1,0)-MATCH($B$1,[1]quests!$1:$1,0)+1,FALSE)</f>
        <v>ドロップイベント1-4（マルチ専用）</v>
      </c>
      <c r="E861" s="5">
        <v>1</v>
      </c>
      <c r="F861" s="3" t="str">
        <f ca="1">VLOOKUP($B861&amp;"_"&amp;$E861,OFFSET([1]stages!$A$1,0,0,COUNTA([1]stages!$A:$A),MATCH(F$1,[1]stages!$2:$2,0)-MATCH("temp_stage",[1]stages!$2:$2,0)+1),MATCH(F$1,[1]stages!$2:$2,0)-MATCH("temp_stage",[1]stages!$2:$2,0)+1,FALSE)</f>
        <v xml:space="preserve">【中級】危険な仲裁者 </v>
      </c>
      <c r="G861" s="3" t="str">
        <f ca="1">VLOOKUP($B861&amp;"_"&amp;$E861,OFFSET([1]stages!$A$1,0,0,COUNTA([1]stages!$A:$A),MATCH(G$1,[1]stages!$2:$2,0)-MATCH("temp_stage",[1]stages!$2:$2,0)+1),MATCH(G$1,[1]stages!$2:$2,0)-MATCH("temp_stage",[1]stages!$2:$2,0)+1,FALSE)</f>
        <v>ドロップイベント1-4（マルチ専用）</v>
      </c>
      <c r="H861" s="18">
        <v>0</v>
      </c>
      <c r="I861">
        <v>27</v>
      </c>
      <c r="J861" s="5" t="s">
        <v>16</v>
      </c>
      <c r="K861" s="35" t="str">
        <f>VLOOKUP(I861,[2]stage_hints!$A:$C,3,FALSE)</f>
        <v>ホーム画面からデッキを編成</v>
      </c>
      <c r="L861" s="36" t="str">
        <f>VLOOKUP(I861,[2]stage_hints!$A:$D,4,FALSE)</f>
        <v>ホーム画面でユニットを長押しすると_x000D_すぐにパーティ編成に移動できます</v>
      </c>
      <c r="M861" s="21" t="s">
        <v>23</v>
      </c>
      <c r="N861">
        <v>27</v>
      </c>
    </row>
    <row r="862" spans="1:14" x14ac:dyDescent="0.15">
      <c r="A862" s="26" t="s">
        <v>32</v>
      </c>
      <c r="B862" s="4">
        <v>30004</v>
      </c>
      <c r="C862" s="3" t="str">
        <f ca="1">VLOOKUP($B862,OFFSET([1]quests!$A$1,0,0,COUNTA([1]quests!$A:$A),MATCH(C$1,[1]quests!$1:$1,0)-MATCH($B$1,[1]quests!$1:$1,0)+1),MATCH(C$1,[1]quests!$1:$1,0)-MATCH($B$1,[1]quests!$1:$1,0)+1,FALSE)</f>
        <v>危険な仲裁者</v>
      </c>
      <c r="D862" s="3" t="str">
        <f ca="1">VLOOKUP($B862,OFFSET([1]quests!$A$1,0,0,COUNTA([1]quests!$A:$A),MATCH(D$1,[1]quests!$1:$1,0)-MATCH($B$1,[1]quests!$1:$1,0)+1),MATCH(D$1,[1]quests!$1:$1,0)-MATCH($B$1,[1]quests!$1:$1,0)+1,FALSE)</f>
        <v>ドロップイベント1-4（マルチ専用）</v>
      </c>
      <c r="E862" s="5">
        <v>1</v>
      </c>
      <c r="F862" s="3" t="str">
        <f ca="1">VLOOKUP($B862&amp;"_"&amp;$E862,OFFSET([1]stages!$A$1,0,0,COUNTA([1]stages!$A:$A),MATCH(F$1,[1]stages!$2:$2,0)-MATCH("temp_stage",[1]stages!$2:$2,0)+1),MATCH(F$1,[1]stages!$2:$2,0)-MATCH("temp_stage",[1]stages!$2:$2,0)+1,FALSE)</f>
        <v xml:space="preserve">【中級】危険な仲裁者 </v>
      </c>
      <c r="G862" s="3" t="str">
        <f ca="1">VLOOKUP($B862&amp;"_"&amp;$E862,OFFSET([1]stages!$A$1,0,0,COUNTA([1]stages!$A:$A),MATCH(G$1,[1]stages!$2:$2,0)-MATCH("temp_stage",[1]stages!$2:$2,0)+1),MATCH(G$1,[1]stages!$2:$2,0)-MATCH("temp_stage",[1]stages!$2:$2,0)+1,FALSE)</f>
        <v>ドロップイベント1-4（マルチ専用）</v>
      </c>
      <c r="H862" s="18">
        <v>0</v>
      </c>
      <c r="I862">
        <v>28</v>
      </c>
      <c r="J862" s="5" t="s">
        <v>16</v>
      </c>
      <c r="K862" s="35" t="str">
        <f>VLOOKUP(I862,[2]stage_hints!$A:$C,3,FALSE)</f>
        <v>ステータス情報は長押しで</v>
      </c>
      <c r="L862" s="36" t="str">
        <f>VLOOKUP(I862,[2]stage_hints!$A:$D,4,FALSE)</f>
        <v>ユニットのアイコンを長押しすると_x000D_ステータス情報を確認することができます</v>
      </c>
      <c r="M862" s="21" t="s">
        <v>23</v>
      </c>
      <c r="N862">
        <v>28</v>
      </c>
    </row>
    <row r="863" spans="1:14" x14ac:dyDescent="0.15">
      <c r="A863" s="26" t="s">
        <v>32</v>
      </c>
      <c r="B863" s="4">
        <v>30004</v>
      </c>
      <c r="C863" s="3" t="str">
        <f ca="1">VLOOKUP($B863,OFFSET([1]quests!$A$1,0,0,COUNTA([1]quests!$A:$A),MATCH(C$1,[1]quests!$1:$1,0)-MATCH($B$1,[1]quests!$1:$1,0)+1),MATCH(C$1,[1]quests!$1:$1,0)-MATCH($B$1,[1]quests!$1:$1,0)+1,FALSE)</f>
        <v>危険な仲裁者</v>
      </c>
      <c r="D863" s="3" t="str">
        <f ca="1">VLOOKUP($B863,OFFSET([1]quests!$A$1,0,0,COUNTA([1]quests!$A:$A),MATCH(D$1,[1]quests!$1:$1,0)-MATCH($B$1,[1]quests!$1:$1,0)+1),MATCH(D$1,[1]quests!$1:$1,0)-MATCH($B$1,[1]quests!$1:$1,0)+1,FALSE)</f>
        <v>ドロップイベント1-4（マルチ専用）</v>
      </c>
      <c r="E863" s="5">
        <v>1</v>
      </c>
      <c r="F863" s="3" t="str">
        <f ca="1">VLOOKUP($B863&amp;"_"&amp;$E863,OFFSET([1]stages!$A$1,0,0,COUNTA([1]stages!$A:$A),MATCH(F$1,[1]stages!$2:$2,0)-MATCH("temp_stage",[1]stages!$2:$2,0)+1),MATCH(F$1,[1]stages!$2:$2,0)-MATCH("temp_stage",[1]stages!$2:$2,0)+1,FALSE)</f>
        <v xml:space="preserve">【中級】危険な仲裁者 </v>
      </c>
      <c r="G863" s="3" t="str">
        <f ca="1">VLOOKUP($B863&amp;"_"&amp;$E863,OFFSET([1]stages!$A$1,0,0,COUNTA([1]stages!$A:$A),MATCH(G$1,[1]stages!$2:$2,0)-MATCH("temp_stage",[1]stages!$2:$2,0)+1),MATCH(G$1,[1]stages!$2:$2,0)-MATCH("temp_stage",[1]stages!$2:$2,0)+1,FALSE)</f>
        <v>ドロップイベント1-4（マルチ専用）</v>
      </c>
      <c r="H863" s="18">
        <v>0</v>
      </c>
      <c r="I863">
        <v>29</v>
      </c>
      <c r="J863" s="5" t="s">
        <v>16</v>
      </c>
      <c r="K863" s="35" t="str">
        <f>VLOOKUP(I863,[2]stage_hints!$A:$C,3,FALSE)</f>
        <v>「バグ」のメリット</v>
      </c>
      <c r="L863" s="36" t="str">
        <f>VLOOKUP(I863,[2]stage_hints!$A:$D,4,FALSE)</f>
        <v>ユニットの「バグ」を増やすと_x000D_報酬をもらえる確率がアップします</v>
      </c>
      <c r="M863" s="21" t="s">
        <v>23</v>
      </c>
      <c r="N863">
        <v>29</v>
      </c>
    </row>
    <row r="864" spans="1:14" x14ac:dyDescent="0.15">
      <c r="A864" s="26" t="s">
        <v>32</v>
      </c>
      <c r="B864" s="4">
        <v>30004</v>
      </c>
      <c r="C864" s="3" t="str">
        <f ca="1">VLOOKUP($B864,OFFSET([1]quests!$A$1,0,0,COUNTA([1]quests!$A:$A),MATCH(C$1,[1]quests!$1:$1,0)-MATCH($B$1,[1]quests!$1:$1,0)+1),MATCH(C$1,[1]quests!$1:$1,0)-MATCH($B$1,[1]quests!$1:$1,0)+1,FALSE)</f>
        <v>危険な仲裁者</v>
      </c>
      <c r="D864" s="3" t="str">
        <f ca="1">VLOOKUP($B864,OFFSET([1]quests!$A$1,0,0,COUNTA([1]quests!$A:$A),MATCH(D$1,[1]quests!$1:$1,0)-MATCH($B$1,[1]quests!$1:$1,0)+1),MATCH(D$1,[1]quests!$1:$1,0)-MATCH($B$1,[1]quests!$1:$1,0)+1,FALSE)</f>
        <v>ドロップイベント1-4（マルチ専用）</v>
      </c>
      <c r="E864" s="5">
        <v>1</v>
      </c>
      <c r="F864" s="3" t="str">
        <f ca="1">VLOOKUP($B864&amp;"_"&amp;$E864,OFFSET([1]stages!$A$1,0,0,COUNTA([1]stages!$A:$A),MATCH(F$1,[1]stages!$2:$2,0)-MATCH("temp_stage",[1]stages!$2:$2,0)+1),MATCH(F$1,[1]stages!$2:$2,0)-MATCH("temp_stage",[1]stages!$2:$2,0)+1,FALSE)</f>
        <v xml:space="preserve">【中級】危険な仲裁者 </v>
      </c>
      <c r="G864" s="3" t="str">
        <f ca="1">VLOOKUP($B864&amp;"_"&amp;$E864,OFFSET([1]stages!$A$1,0,0,COUNTA([1]stages!$A:$A),MATCH(G$1,[1]stages!$2:$2,0)-MATCH("temp_stage",[1]stages!$2:$2,0)+1),MATCH(G$1,[1]stages!$2:$2,0)-MATCH("temp_stage",[1]stages!$2:$2,0)+1,FALSE)</f>
        <v>ドロップイベント1-4（マルチ専用）</v>
      </c>
      <c r="H864" s="18">
        <v>0</v>
      </c>
      <c r="I864">
        <v>30</v>
      </c>
      <c r="J864" s="5" t="s">
        <v>16</v>
      </c>
      <c r="K864" s="35" t="str">
        <f>VLOOKUP(I864,[2]stage_hints!$A:$C,3,FALSE)</f>
        <v>「バグ」の増やし方</v>
      </c>
      <c r="L864" s="36" t="str">
        <f>VLOOKUP(I864,[2]stage_hints!$A:$D,4,FALSE)</f>
        <v>同じユニット同士を強化で合成すると_x000D_「バグ」を増やすことができます</v>
      </c>
      <c r="M864" s="21" t="s">
        <v>23</v>
      </c>
      <c r="N864">
        <v>30</v>
      </c>
    </row>
    <row r="865" spans="1:14" x14ac:dyDescent="0.15">
      <c r="A865" s="26" t="s">
        <v>32</v>
      </c>
      <c r="B865" s="4">
        <v>30004</v>
      </c>
      <c r="C865" s="3" t="str">
        <f ca="1">VLOOKUP($B865,OFFSET([1]quests!$A$1,0,0,COUNTA([1]quests!$A:$A),MATCH(C$1,[1]quests!$1:$1,0)-MATCH($B$1,[1]quests!$1:$1,0)+1),MATCH(C$1,[1]quests!$1:$1,0)-MATCH($B$1,[1]quests!$1:$1,0)+1,FALSE)</f>
        <v>危険な仲裁者</v>
      </c>
      <c r="D865" s="3" t="str">
        <f ca="1">VLOOKUP($B865,OFFSET([1]quests!$A$1,0,0,COUNTA([1]quests!$A:$A),MATCH(D$1,[1]quests!$1:$1,0)-MATCH($B$1,[1]quests!$1:$1,0)+1),MATCH(D$1,[1]quests!$1:$1,0)-MATCH($B$1,[1]quests!$1:$1,0)+1,FALSE)</f>
        <v>ドロップイベント1-4（マルチ専用）</v>
      </c>
      <c r="E865" s="5">
        <v>1</v>
      </c>
      <c r="F865" s="3" t="str">
        <f ca="1">VLOOKUP($B865&amp;"_"&amp;$E865,OFFSET([1]stages!$A$1,0,0,COUNTA([1]stages!$A:$A),MATCH(F$1,[1]stages!$2:$2,0)-MATCH("temp_stage",[1]stages!$2:$2,0)+1),MATCH(F$1,[1]stages!$2:$2,0)-MATCH("temp_stage",[1]stages!$2:$2,0)+1,FALSE)</f>
        <v xml:space="preserve">【中級】危険な仲裁者 </v>
      </c>
      <c r="G865" s="3" t="str">
        <f ca="1">VLOOKUP($B865&amp;"_"&amp;$E865,OFFSET([1]stages!$A$1,0,0,COUNTA([1]stages!$A:$A),MATCH(G$1,[1]stages!$2:$2,0)-MATCH("temp_stage",[1]stages!$2:$2,0)+1),MATCH(G$1,[1]stages!$2:$2,0)-MATCH("temp_stage",[1]stages!$2:$2,0)+1,FALSE)</f>
        <v>ドロップイベント1-4（マルチ専用）</v>
      </c>
      <c r="H865" s="18">
        <v>0</v>
      </c>
      <c r="I865">
        <v>31</v>
      </c>
      <c r="J865" s="5" t="s">
        <v>16</v>
      </c>
      <c r="K865" s="35" t="str">
        <f>VLOOKUP(I865,[2]stage_hints!$A:$C,3,FALSE)</f>
        <v>イベントはお知らせでチェック</v>
      </c>
      <c r="L865" s="36" t="str">
        <f>VLOOKUP(I865,[2]stage_hints!$A:$D,4,FALSE)</f>
        <v>イベント限定ユニットを取り忘れないように_x000D_お知らせをこまめにチェックしましょう</v>
      </c>
      <c r="M865" s="21" t="s">
        <v>23</v>
      </c>
      <c r="N865">
        <v>31</v>
      </c>
    </row>
    <row r="866" spans="1:14" x14ac:dyDescent="0.15">
      <c r="A866" s="26" t="s">
        <v>32</v>
      </c>
      <c r="B866" s="4">
        <v>30004</v>
      </c>
      <c r="C866" s="3" t="str">
        <f ca="1">VLOOKUP($B866,OFFSET([1]quests!$A$1,0,0,COUNTA([1]quests!$A:$A),MATCH(C$1,[1]quests!$1:$1,0)-MATCH($B$1,[1]quests!$1:$1,0)+1),MATCH(C$1,[1]quests!$1:$1,0)-MATCH($B$1,[1]quests!$1:$1,0)+1,FALSE)</f>
        <v>危険な仲裁者</v>
      </c>
      <c r="D866" s="3" t="str">
        <f ca="1">VLOOKUP($B866,OFFSET([1]quests!$A$1,0,0,COUNTA([1]quests!$A:$A),MATCH(D$1,[1]quests!$1:$1,0)-MATCH($B$1,[1]quests!$1:$1,0)+1),MATCH(D$1,[1]quests!$1:$1,0)-MATCH($B$1,[1]quests!$1:$1,0)+1,FALSE)</f>
        <v>ドロップイベント1-4（マルチ専用）</v>
      </c>
      <c r="E866" s="5">
        <v>1</v>
      </c>
      <c r="F866" s="3" t="str">
        <f ca="1">VLOOKUP($B866&amp;"_"&amp;$E866,OFFSET([1]stages!$A$1,0,0,COUNTA([1]stages!$A:$A),MATCH(F$1,[1]stages!$2:$2,0)-MATCH("temp_stage",[1]stages!$2:$2,0)+1),MATCH(F$1,[1]stages!$2:$2,0)-MATCH("temp_stage",[1]stages!$2:$2,0)+1,FALSE)</f>
        <v xml:space="preserve">【中級】危険な仲裁者 </v>
      </c>
      <c r="G866" s="3" t="str">
        <f ca="1">VLOOKUP($B866&amp;"_"&amp;$E866,OFFSET([1]stages!$A$1,0,0,COUNTA([1]stages!$A:$A),MATCH(G$1,[1]stages!$2:$2,0)-MATCH("temp_stage",[1]stages!$2:$2,0)+1),MATCH(G$1,[1]stages!$2:$2,0)-MATCH("temp_stage",[1]stages!$2:$2,0)+1,FALSE)</f>
        <v>ドロップイベント1-4（マルチ専用）</v>
      </c>
      <c r="H866" s="18">
        <v>0</v>
      </c>
      <c r="I866">
        <v>32</v>
      </c>
      <c r="J866" s="5" t="s">
        <v>16</v>
      </c>
      <c r="K866" s="35" t="str">
        <f>VLOOKUP(I866,[2]stage_hints!$A:$C,3,FALSE)</f>
        <v>敵の連続攻撃には</v>
      </c>
      <c r="L866" s="36" t="str">
        <f>VLOOKUP(I866,[2]stage_hints!$A:$D,4,FALSE)</f>
        <v>カウンタースキルを持つユニットがいれば_x000D_ダメージ回数分の反撃ができます</v>
      </c>
      <c r="M866" s="21" t="s">
        <v>23</v>
      </c>
      <c r="N866">
        <v>32</v>
      </c>
    </row>
    <row r="867" spans="1:14" x14ac:dyDescent="0.15">
      <c r="A867" s="26" t="s">
        <v>32</v>
      </c>
      <c r="B867" s="4">
        <v>30004</v>
      </c>
      <c r="C867" s="3" t="str">
        <f ca="1">VLOOKUP($B867,OFFSET([1]quests!$A$1,0,0,COUNTA([1]quests!$A:$A),MATCH(C$1,[1]quests!$1:$1,0)-MATCH($B$1,[1]quests!$1:$1,0)+1),MATCH(C$1,[1]quests!$1:$1,0)-MATCH($B$1,[1]quests!$1:$1,0)+1,FALSE)</f>
        <v>危険な仲裁者</v>
      </c>
      <c r="D867" s="3" t="str">
        <f ca="1">VLOOKUP($B867,OFFSET([1]quests!$A$1,0,0,COUNTA([1]quests!$A:$A),MATCH(D$1,[1]quests!$1:$1,0)-MATCH($B$1,[1]quests!$1:$1,0)+1),MATCH(D$1,[1]quests!$1:$1,0)-MATCH($B$1,[1]quests!$1:$1,0)+1,FALSE)</f>
        <v>ドロップイベント1-4（マルチ専用）</v>
      </c>
      <c r="E867" s="5">
        <v>1</v>
      </c>
      <c r="F867" s="3" t="str">
        <f ca="1">VLOOKUP($B867&amp;"_"&amp;$E867,OFFSET([1]stages!$A$1,0,0,COUNTA([1]stages!$A:$A),MATCH(F$1,[1]stages!$2:$2,0)-MATCH("temp_stage",[1]stages!$2:$2,0)+1),MATCH(F$1,[1]stages!$2:$2,0)-MATCH("temp_stage",[1]stages!$2:$2,0)+1,FALSE)</f>
        <v xml:space="preserve">【中級】危険な仲裁者 </v>
      </c>
      <c r="G867" s="3" t="str">
        <f ca="1">VLOOKUP($B867&amp;"_"&amp;$E867,OFFSET([1]stages!$A$1,0,0,COUNTA([1]stages!$A:$A),MATCH(G$1,[1]stages!$2:$2,0)-MATCH("temp_stage",[1]stages!$2:$2,0)+1),MATCH(G$1,[1]stages!$2:$2,0)-MATCH("temp_stage",[1]stages!$2:$2,0)+1,FALSE)</f>
        <v>ドロップイベント1-4（マルチ専用）</v>
      </c>
      <c r="H867" s="18">
        <v>0</v>
      </c>
      <c r="I867">
        <v>33</v>
      </c>
      <c r="J867" s="5" t="s">
        <v>16</v>
      </c>
      <c r="K867" s="35" t="str">
        <f>VLOOKUP(I867,[2]stage_hints!$A:$C,3,FALSE)</f>
        <v>敵のカウンター攻撃には</v>
      </c>
      <c r="L867" s="36" t="str">
        <f>VLOOKUP(I867,[2]stage_hints!$A:$D,4,FALSE)</f>
        <v>カウンターブレイクスキルを持っていれば_x000D_敵のカウンターを解除して攻撃ができます</v>
      </c>
      <c r="M867" s="21" t="s">
        <v>23</v>
      </c>
      <c r="N867">
        <v>33</v>
      </c>
    </row>
    <row r="868" spans="1:14" x14ac:dyDescent="0.15">
      <c r="A868" s="26" t="s">
        <v>32</v>
      </c>
      <c r="B868" s="4">
        <v>30004</v>
      </c>
      <c r="C868" s="3" t="str">
        <f ca="1">VLOOKUP($B868,OFFSET([1]quests!$A$1,0,0,COUNTA([1]quests!$A:$A),MATCH(C$1,[1]quests!$1:$1,0)-MATCH($B$1,[1]quests!$1:$1,0)+1),MATCH(C$1,[1]quests!$1:$1,0)-MATCH($B$1,[1]quests!$1:$1,0)+1,FALSE)</f>
        <v>危険な仲裁者</v>
      </c>
      <c r="D868" s="3" t="str">
        <f ca="1">VLOOKUP($B868,OFFSET([1]quests!$A$1,0,0,COUNTA([1]quests!$A:$A),MATCH(D$1,[1]quests!$1:$1,0)-MATCH($B$1,[1]quests!$1:$1,0)+1),MATCH(D$1,[1]quests!$1:$1,0)-MATCH($B$1,[1]quests!$1:$1,0)+1,FALSE)</f>
        <v>ドロップイベント1-4（マルチ専用）</v>
      </c>
      <c r="E868" s="5">
        <v>1</v>
      </c>
      <c r="F868" s="3" t="str">
        <f ca="1">VLOOKUP($B868&amp;"_"&amp;$E868,OFFSET([1]stages!$A$1,0,0,COUNTA([1]stages!$A:$A),MATCH(F$1,[1]stages!$2:$2,0)-MATCH("temp_stage",[1]stages!$2:$2,0)+1),MATCH(F$1,[1]stages!$2:$2,0)-MATCH("temp_stage",[1]stages!$2:$2,0)+1,FALSE)</f>
        <v xml:space="preserve">【中級】危険な仲裁者 </v>
      </c>
      <c r="G868" s="3" t="str">
        <f ca="1">VLOOKUP($B868&amp;"_"&amp;$E868,OFFSET([1]stages!$A$1,0,0,COUNTA([1]stages!$A:$A),MATCH(G$1,[1]stages!$2:$2,0)-MATCH("temp_stage",[1]stages!$2:$2,0)+1),MATCH(G$1,[1]stages!$2:$2,0)-MATCH("temp_stage",[1]stages!$2:$2,0)+1,FALSE)</f>
        <v>ドロップイベント1-4（マルチ専用）</v>
      </c>
      <c r="H868" s="18">
        <v>0</v>
      </c>
      <c r="I868">
        <v>34</v>
      </c>
      <c r="J868" s="5" t="s">
        <v>16</v>
      </c>
      <c r="K868" s="35" t="str">
        <f>VLOOKUP(I868,[2]stage_hints!$A:$C,3,FALSE)</f>
        <v>ステータスをスキルで下げられたら</v>
      </c>
      <c r="L868" s="36" t="str">
        <f>VLOOKUP(I868,[2]stage_hints!$A:$D,4,FALSE)</f>
        <v>ステータスダウンのスキルを受けたら_x000D_ステータスアップスキルで上書きしましょう</v>
      </c>
      <c r="M868" s="21" t="s">
        <v>23</v>
      </c>
      <c r="N868">
        <v>34</v>
      </c>
    </row>
    <row r="869" spans="1:14" x14ac:dyDescent="0.15">
      <c r="A869" s="26" t="s">
        <v>32</v>
      </c>
      <c r="B869" s="4">
        <v>30004</v>
      </c>
      <c r="C869" s="3" t="str">
        <f ca="1">VLOOKUP($B869,OFFSET([1]quests!$A$1,0,0,COUNTA([1]quests!$A:$A),MATCH(C$1,[1]quests!$1:$1,0)-MATCH($B$1,[1]quests!$1:$1,0)+1),MATCH(C$1,[1]quests!$1:$1,0)-MATCH($B$1,[1]quests!$1:$1,0)+1,FALSE)</f>
        <v>危険な仲裁者</v>
      </c>
      <c r="D869" s="3" t="str">
        <f ca="1">VLOOKUP($B869,OFFSET([1]quests!$A$1,0,0,COUNTA([1]quests!$A:$A),MATCH(D$1,[1]quests!$1:$1,0)-MATCH($B$1,[1]quests!$1:$1,0)+1),MATCH(D$1,[1]quests!$1:$1,0)-MATCH($B$1,[1]quests!$1:$1,0)+1,FALSE)</f>
        <v>ドロップイベント1-4（マルチ専用）</v>
      </c>
      <c r="E869" s="5">
        <v>1</v>
      </c>
      <c r="F869" s="3" t="str">
        <f ca="1">VLOOKUP($B869&amp;"_"&amp;$E869,OFFSET([1]stages!$A$1,0,0,COUNTA([1]stages!$A:$A),MATCH(F$1,[1]stages!$2:$2,0)-MATCH("temp_stage",[1]stages!$2:$2,0)+1),MATCH(F$1,[1]stages!$2:$2,0)-MATCH("temp_stage",[1]stages!$2:$2,0)+1,FALSE)</f>
        <v xml:space="preserve">【中級】危険な仲裁者 </v>
      </c>
      <c r="G869" s="3" t="str">
        <f ca="1">VLOOKUP($B869&amp;"_"&amp;$E869,OFFSET([1]stages!$A$1,0,0,COUNTA([1]stages!$A:$A),MATCH(G$1,[1]stages!$2:$2,0)-MATCH("temp_stage",[1]stages!$2:$2,0)+1),MATCH(G$1,[1]stages!$2:$2,0)-MATCH("temp_stage",[1]stages!$2:$2,0)+1,FALSE)</f>
        <v>ドロップイベント1-4（マルチ専用）</v>
      </c>
      <c r="H869" s="18">
        <v>0</v>
      </c>
      <c r="I869">
        <v>35</v>
      </c>
      <c r="J869" s="5" t="s">
        <v>16</v>
      </c>
      <c r="K869" s="35" t="str">
        <f>VLOOKUP(I869,[2]stage_hints!$A:$C,3,FALSE)</f>
        <v>敵のステータスがスキルで上がったら</v>
      </c>
      <c r="L869" s="36" t="str">
        <f>VLOOKUP(I869,[2]stage_hints!$A:$D,4,FALSE)</f>
        <v>敵のステータスがスキルでアップしたときは_x000D_ステータスダウンスキルで上書きしましょう</v>
      </c>
      <c r="M869" s="21" t="s">
        <v>23</v>
      </c>
      <c r="N869">
        <v>35</v>
      </c>
    </row>
    <row r="870" spans="1:14" x14ac:dyDescent="0.15">
      <c r="A870" s="26" t="s">
        <v>32</v>
      </c>
      <c r="B870" s="4">
        <v>30005</v>
      </c>
      <c r="C870" s="3" t="str">
        <f ca="1">VLOOKUP($B870,OFFSET([1]quests!$A$1,0,0,COUNTA([1]quests!$A:$A),MATCH(C$1,[1]quests!$1:$1,0)-MATCH($B$1,[1]quests!$1:$1,0)+1),MATCH(C$1,[1]quests!$1:$1,0)-MATCH($B$1,[1]quests!$1:$1,0)+1,FALSE)</f>
        <v>ニンゲンにしてあげる☆</v>
      </c>
      <c r="D870" s="3" t="str">
        <f ca="1">VLOOKUP($B870,OFFSET([1]quests!$A$1,0,0,COUNTA([1]quests!$A:$A),MATCH(D$1,[1]quests!$1:$1,0)-MATCH($B$1,[1]quests!$1:$1,0)+1),MATCH(D$1,[1]quests!$1:$1,0)-MATCH($B$1,[1]quests!$1:$1,0)+1,FALSE)</f>
        <v>ドロップイベント2-1（マルチ専用）</v>
      </c>
      <c r="E870" s="5">
        <v>1</v>
      </c>
      <c r="F870" s="3" t="str">
        <f ca="1">VLOOKUP($B870&amp;"_"&amp;$E870,OFFSET([1]stages!$A$1,0,0,COUNTA([1]stages!$A:$A),MATCH(F$1,[1]stages!$2:$2,0)-MATCH("temp_stage",[1]stages!$2:$2,0)+1),MATCH(F$1,[1]stages!$2:$2,0)-MATCH("temp_stage",[1]stages!$2:$2,0)+1,FALSE)</f>
        <v xml:space="preserve">【中級】ニンゲンにしてあげる </v>
      </c>
      <c r="G870" s="3" t="str">
        <f ca="1">VLOOKUP($B870&amp;"_"&amp;$E870,OFFSET([1]stages!$A$1,0,0,COUNTA([1]stages!$A:$A),MATCH(G$1,[1]stages!$2:$2,0)-MATCH("temp_stage",[1]stages!$2:$2,0)+1),MATCH(G$1,[1]stages!$2:$2,0)-MATCH("temp_stage",[1]stages!$2:$2,0)+1,FALSE)</f>
        <v>ドロップイベント2-1（マルチ専用）</v>
      </c>
      <c r="H870" s="18">
        <v>0</v>
      </c>
      <c r="I870">
        <v>3</v>
      </c>
      <c r="J870" s="5" t="s">
        <v>16</v>
      </c>
      <c r="K870" s="35" t="str">
        <f>VLOOKUP(I870,[2]stage_hints!$A:$C,3,FALSE)</f>
        <v>ターゲット</v>
      </c>
      <c r="L870" s="36" t="str">
        <f>VLOOKUP(I870,[2]stage_hints!$A:$D,4,FALSE)</f>
        <v>敵ユニットをタップすると_x000D_その敵を狙い撃ちできます</v>
      </c>
      <c r="M870" s="21" t="s">
        <v>23</v>
      </c>
      <c r="N870">
        <v>3</v>
      </c>
    </row>
    <row r="871" spans="1:14" x14ac:dyDescent="0.15">
      <c r="A871" s="26" t="s">
        <v>32</v>
      </c>
      <c r="B871" s="4">
        <v>30005</v>
      </c>
      <c r="C871" s="3" t="str">
        <f ca="1">VLOOKUP($B871,OFFSET([1]quests!$A$1,0,0,COUNTA([1]quests!$A:$A),MATCH(C$1,[1]quests!$1:$1,0)-MATCH($B$1,[1]quests!$1:$1,0)+1),MATCH(C$1,[1]quests!$1:$1,0)-MATCH($B$1,[1]quests!$1:$1,0)+1,FALSE)</f>
        <v>ニンゲンにしてあげる☆</v>
      </c>
      <c r="D871" s="3" t="str">
        <f ca="1">VLOOKUP($B871,OFFSET([1]quests!$A$1,0,0,COUNTA([1]quests!$A:$A),MATCH(D$1,[1]quests!$1:$1,0)-MATCH($B$1,[1]quests!$1:$1,0)+1),MATCH(D$1,[1]quests!$1:$1,0)-MATCH($B$1,[1]quests!$1:$1,0)+1,FALSE)</f>
        <v>ドロップイベント2-1（マルチ専用）</v>
      </c>
      <c r="E871" s="5">
        <v>1</v>
      </c>
      <c r="F871" s="3" t="str">
        <f ca="1">VLOOKUP($B871&amp;"_"&amp;$E871,OFFSET([1]stages!$A$1,0,0,COUNTA([1]stages!$A:$A),MATCH(F$1,[1]stages!$2:$2,0)-MATCH("temp_stage",[1]stages!$2:$2,0)+1),MATCH(F$1,[1]stages!$2:$2,0)-MATCH("temp_stage",[1]stages!$2:$2,0)+1,FALSE)</f>
        <v xml:space="preserve">【中級】ニンゲンにしてあげる </v>
      </c>
      <c r="G871" s="3" t="str">
        <f ca="1">VLOOKUP($B871&amp;"_"&amp;$E871,OFFSET([1]stages!$A$1,0,0,COUNTA([1]stages!$A:$A),MATCH(G$1,[1]stages!$2:$2,0)-MATCH("temp_stage",[1]stages!$2:$2,0)+1),MATCH(G$1,[1]stages!$2:$2,0)-MATCH("temp_stage",[1]stages!$2:$2,0)+1,FALSE)</f>
        <v>ドロップイベント2-1（マルチ専用）</v>
      </c>
      <c r="H871" s="18">
        <v>0</v>
      </c>
      <c r="I871">
        <v>6</v>
      </c>
      <c r="J871" s="5" t="s">
        <v>16</v>
      </c>
      <c r="K871" s="35" t="str">
        <f>VLOOKUP(I871,[2]stage_hints!$A:$C,3,FALSE)</f>
        <v>ユニット強化の属性ボーナス</v>
      </c>
      <c r="L871" s="36" t="str">
        <f>VLOOKUP(I871,[2]stage_hints!$A:$D,4,FALSE)</f>
        <v>同属性ユニットを強化素材にすると_x000D_経験値が多くもらえます</v>
      </c>
      <c r="M871" s="21" t="s">
        <v>23</v>
      </c>
      <c r="N871">
        <v>6</v>
      </c>
    </row>
    <row r="872" spans="1:14" x14ac:dyDescent="0.15">
      <c r="A872" s="26" t="s">
        <v>32</v>
      </c>
      <c r="B872" s="4">
        <v>30005</v>
      </c>
      <c r="C872" s="3" t="str">
        <f ca="1">VLOOKUP($B872,OFFSET([1]quests!$A$1,0,0,COUNTA([1]quests!$A:$A),MATCH(C$1,[1]quests!$1:$1,0)-MATCH($B$1,[1]quests!$1:$1,0)+1),MATCH(C$1,[1]quests!$1:$1,0)-MATCH($B$1,[1]quests!$1:$1,0)+1,FALSE)</f>
        <v>ニンゲンにしてあげる☆</v>
      </c>
      <c r="D872" s="3" t="str">
        <f ca="1">VLOOKUP($B872,OFFSET([1]quests!$A$1,0,0,COUNTA([1]quests!$A:$A),MATCH(D$1,[1]quests!$1:$1,0)-MATCH($B$1,[1]quests!$1:$1,0)+1),MATCH(D$1,[1]quests!$1:$1,0)-MATCH($B$1,[1]quests!$1:$1,0)+1,FALSE)</f>
        <v>ドロップイベント2-1（マルチ専用）</v>
      </c>
      <c r="E872" s="5">
        <v>1</v>
      </c>
      <c r="F872" s="3" t="str">
        <f ca="1">VLOOKUP($B872&amp;"_"&amp;$E872,OFFSET([1]stages!$A$1,0,0,COUNTA([1]stages!$A:$A),MATCH(F$1,[1]stages!$2:$2,0)-MATCH("temp_stage",[1]stages!$2:$2,0)+1),MATCH(F$1,[1]stages!$2:$2,0)-MATCH("temp_stage",[1]stages!$2:$2,0)+1,FALSE)</f>
        <v xml:space="preserve">【中級】ニンゲンにしてあげる </v>
      </c>
      <c r="G872" s="3" t="str">
        <f ca="1">VLOOKUP($B872&amp;"_"&amp;$E872,OFFSET([1]stages!$A$1,0,0,COUNTA([1]stages!$A:$A),MATCH(G$1,[1]stages!$2:$2,0)-MATCH("temp_stage",[1]stages!$2:$2,0)+1),MATCH(G$1,[1]stages!$2:$2,0)-MATCH("temp_stage",[1]stages!$2:$2,0)+1,FALSE)</f>
        <v>ドロップイベント2-1（マルチ専用）</v>
      </c>
      <c r="H872" s="18">
        <v>0</v>
      </c>
      <c r="I872">
        <v>7</v>
      </c>
      <c r="J872" s="5" t="s">
        <v>16</v>
      </c>
      <c r="K872" s="35" t="str">
        <f>VLOOKUP(I872,[2]stage_hints!$A:$C,3,FALSE)</f>
        <v>メタルダックで経験値を獲得</v>
      </c>
      <c r="L872" s="36" t="str">
        <f>VLOOKUP(I872,[2]stage_hints!$A:$D,4,FALSE)</f>
        <v>「メタルなアヒル」を強化素材にすると_x000D_大量の経験値がもらえます</v>
      </c>
      <c r="M872" s="21" t="s">
        <v>23</v>
      </c>
      <c r="N872">
        <v>7</v>
      </c>
    </row>
    <row r="873" spans="1:14" x14ac:dyDescent="0.15">
      <c r="A873" s="26" t="s">
        <v>32</v>
      </c>
      <c r="B873" s="4">
        <v>30005</v>
      </c>
      <c r="C873" s="3" t="str">
        <f ca="1">VLOOKUP($B873,OFFSET([1]quests!$A$1,0,0,COUNTA([1]quests!$A:$A),MATCH(C$1,[1]quests!$1:$1,0)-MATCH($B$1,[1]quests!$1:$1,0)+1),MATCH(C$1,[1]quests!$1:$1,0)-MATCH($B$1,[1]quests!$1:$1,0)+1,FALSE)</f>
        <v>ニンゲンにしてあげる☆</v>
      </c>
      <c r="D873" s="3" t="str">
        <f ca="1">VLOOKUP($B873,OFFSET([1]quests!$A$1,0,0,COUNTA([1]quests!$A:$A),MATCH(D$1,[1]quests!$1:$1,0)-MATCH($B$1,[1]quests!$1:$1,0)+1),MATCH(D$1,[1]quests!$1:$1,0)-MATCH($B$1,[1]quests!$1:$1,0)+1,FALSE)</f>
        <v>ドロップイベント2-1（マルチ専用）</v>
      </c>
      <c r="E873" s="5">
        <v>1</v>
      </c>
      <c r="F873" s="3" t="str">
        <f ca="1">VLOOKUP($B873&amp;"_"&amp;$E873,OFFSET([1]stages!$A$1,0,0,COUNTA([1]stages!$A:$A),MATCH(F$1,[1]stages!$2:$2,0)-MATCH("temp_stage",[1]stages!$2:$2,0)+1),MATCH(F$1,[1]stages!$2:$2,0)-MATCH("temp_stage",[1]stages!$2:$2,0)+1,FALSE)</f>
        <v xml:space="preserve">【中級】ニンゲンにしてあげる </v>
      </c>
      <c r="G873" s="3" t="str">
        <f ca="1">VLOOKUP($B873&amp;"_"&amp;$E873,OFFSET([1]stages!$A$1,0,0,COUNTA([1]stages!$A:$A),MATCH(G$1,[1]stages!$2:$2,0)-MATCH("temp_stage",[1]stages!$2:$2,0)+1),MATCH(G$1,[1]stages!$2:$2,0)-MATCH("temp_stage",[1]stages!$2:$2,0)+1,FALSE)</f>
        <v>ドロップイベント2-1（マルチ専用）</v>
      </c>
      <c r="H873" s="18">
        <v>0</v>
      </c>
      <c r="I873">
        <v>8</v>
      </c>
      <c r="J873" s="5" t="s">
        <v>16</v>
      </c>
      <c r="K873" s="35" t="str">
        <f>VLOOKUP(I873,[2]stage_hints!$A:$C,3,FALSE)</f>
        <v>ゲリラクエストは要チェック</v>
      </c>
      <c r="L873" s="36" t="str">
        <f>VLOOKUP(I873,[2]stage_hints!$A:$D,4,FALSE)</f>
        <v>時間限定の「アヒル捕獲作戦」では_x000D_経験値素材ユニットが多く手に入ります</v>
      </c>
      <c r="M873" s="21" t="s">
        <v>23</v>
      </c>
      <c r="N873">
        <v>8</v>
      </c>
    </row>
    <row r="874" spans="1:14" x14ac:dyDescent="0.15">
      <c r="A874" s="26" t="s">
        <v>32</v>
      </c>
      <c r="B874" s="4">
        <v>30005</v>
      </c>
      <c r="C874" s="3" t="str">
        <f ca="1">VLOOKUP($B874,OFFSET([1]quests!$A$1,0,0,COUNTA([1]quests!$A:$A),MATCH(C$1,[1]quests!$1:$1,0)-MATCH($B$1,[1]quests!$1:$1,0)+1),MATCH(C$1,[1]quests!$1:$1,0)-MATCH($B$1,[1]quests!$1:$1,0)+1,FALSE)</f>
        <v>ニンゲンにしてあげる☆</v>
      </c>
      <c r="D874" s="3" t="str">
        <f ca="1">VLOOKUP($B874,OFFSET([1]quests!$A$1,0,0,COUNTA([1]quests!$A:$A),MATCH(D$1,[1]quests!$1:$1,0)-MATCH($B$1,[1]quests!$1:$1,0)+1),MATCH(D$1,[1]quests!$1:$1,0)-MATCH($B$1,[1]quests!$1:$1,0)+1,FALSE)</f>
        <v>ドロップイベント2-1（マルチ専用）</v>
      </c>
      <c r="E874" s="5">
        <v>1</v>
      </c>
      <c r="F874" s="3" t="str">
        <f ca="1">VLOOKUP($B874&amp;"_"&amp;$E874,OFFSET([1]stages!$A$1,0,0,COUNTA([1]stages!$A:$A),MATCH(F$1,[1]stages!$2:$2,0)-MATCH("temp_stage",[1]stages!$2:$2,0)+1),MATCH(F$1,[1]stages!$2:$2,0)-MATCH("temp_stage",[1]stages!$2:$2,0)+1,FALSE)</f>
        <v xml:space="preserve">【中級】ニンゲンにしてあげる </v>
      </c>
      <c r="G874" s="3" t="str">
        <f ca="1">VLOOKUP($B874&amp;"_"&amp;$E874,OFFSET([1]stages!$A$1,0,0,COUNTA([1]stages!$A:$A),MATCH(G$1,[1]stages!$2:$2,0)-MATCH("temp_stage",[1]stages!$2:$2,0)+1),MATCH(G$1,[1]stages!$2:$2,0)-MATCH("temp_stage",[1]stages!$2:$2,0)+1,FALSE)</f>
        <v>ドロップイベント2-1（マルチ専用）</v>
      </c>
      <c r="H874" s="18">
        <v>0</v>
      </c>
      <c r="I874">
        <v>9</v>
      </c>
      <c r="J874" s="5" t="s">
        <v>16</v>
      </c>
      <c r="K874" s="35" t="str">
        <f>VLOOKUP(I874,[2]stage_hints!$A:$C,3,FALSE)</f>
        <v>ゴールドダックでビットを獲得</v>
      </c>
      <c r="L874" s="36" t="str">
        <f>VLOOKUP(I874,[2]stage_hints!$A:$D,4,FALSE)</f>
        <v>「ゴールドなアヒル」を売却すると_x000D_大量のビットがもらえます</v>
      </c>
      <c r="M874" s="21" t="s">
        <v>23</v>
      </c>
      <c r="N874">
        <v>9</v>
      </c>
    </row>
    <row r="875" spans="1:14" x14ac:dyDescent="0.15">
      <c r="A875" s="26" t="s">
        <v>32</v>
      </c>
      <c r="B875" s="4">
        <v>30005</v>
      </c>
      <c r="C875" s="3" t="str">
        <f ca="1">VLOOKUP($B875,OFFSET([1]quests!$A$1,0,0,COUNTA([1]quests!$A:$A),MATCH(C$1,[1]quests!$1:$1,0)-MATCH($B$1,[1]quests!$1:$1,0)+1),MATCH(C$1,[1]quests!$1:$1,0)-MATCH($B$1,[1]quests!$1:$1,0)+1,FALSE)</f>
        <v>ニンゲンにしてあげる☆</v>
      </c>
      <c r="D875" s="3" t="str">
        <f ca="1">VLOOKUP($B875,OFFSET([1]quests!$A$1,0,0,COUNTA([1]quests!$A:$A),MATCH(D$1,[1]quests!$1:$1,0)-MATCH($B$1,[1]quests!$1:$1,0)+1),MATCH(D$1,[1]quests!$1:$1,0)-MATCH($B$1,[1]quests!$1:$1,0)+1,FALSE)</f>
        <v>ドロップイベント2-1（マルチ専用）</v>
      </c>
      <c r="E875" s="5">
        <v>1</v>
      </c>
      <c r="F875" s="3" t="str">
        <f ca="1">VLOOKUP($B875&amp;"_"&amp;$E875,OFFSET([1]stages!$A$1,0,0,COUNTA([1]stages!$A:$A),MATCH(F$1,[1]stages!$2:$2,0)-MATCH("temp_stage",[1]stages!$2:$2,0)+1),MATCH(F$1,[1]stages!$2:$2,0)-MATCH("temp_stage",[1]stages!$2:$2,0)+1,FALSE)</f>
        <v xml:space="preserve">【中級】ニンゲンにしてあげる </v>
      </c>
      <c r="G875" s="3" t="str">
        <f ca="1">VLOOKUP($B875&amp;"_"&amp;$E875,OFFSET([1]stages!$A$1,0,0,COUNTA([1]stages!$A:$A),MATCH(G$1,[1]stages!$2:$2,0)-MATCH("temp_stage",[1]stages!$2:$2,0)+1),MATCH(G$1,[1]stages!$2:$2,0)-MATCH("temp_stage",[1]stages!$2:$2,0)+1,FALSE)</f>
        <v>ドロップイベント2-1（マルチ専用）</v>
      </c>
      <c r="H875" s="18">
        <v>0</v>
      </c>
      <c r="I875">
        <v>10</v>
      </c>
      <c r="J875" s="5" t="s">
        <v>16</v>
      </c>
      <c r="K875" s="35" t="str">
        <f>VLOOKUP(I875,[2]stage_hints!$A:$C,3,FALSE)</f>
        <v>土日に大量のビットを獲得</v>
      </c>
      <c r="L875" s="36" t="str">
        <f>VLOOKUP(I875,[2]stage_hints!$A:$D,4,FALSE)</f>
        <v>土日限定の「ゴールドカジノ」では_x000D_売却素材ユニットが多く手に入ります</v>
      </c>
      <c r="M875" s="21" t="s">
        <v>23</v>
      </c>
      <c r="N875">
        <v>10</v>
      </c>
    </row>
    <row r="876" spans="1:14" x14ac:dyDescent="0.15">
      <c r="A876" s="26" t="s">
        <v>32</v>
      </c>
      <c r="B876" s="4">
        <v>30005</v>
      </c>
      <c r="C876" s="3" t="str">
        <f ca="1">VLOOKUP($B876,OFFSET([1]quests!$A$1,0,0,COUNTA([1]quests!$A:$A),MATCH(C$1,[1]quests!$1:$1,0)-MATCH($B$1,[1]quests!$1:$1,0)+1),MATCH(C$1,[1]quests!$1:$1,0)-MATCH($B$1,[1]quests!$1:$1,0)+1,FALSE)</f>
        <v>ニンゲンにしてあげる☆</v>
      </c>
      <c r="D876" s="3" t="str">
        <f ca="1">VLOOKUP($B876,OFFSET([1]quests!$A$1,0,0,COUNTA([1]quests!$A:$A),MATCH(D$1,[1]quests!$1:$1,0)-MATCH($B$1,[1]quests!$1:$1,0)+1),MATCH(D$1,[1]quests!$1:$1,0)-MATCH($B$1,[1]quests!$1:$1,0)+1,FALSE)</f>
        <v>ドロップイベント2-1（マルチ専用）</v>
      </c>
      <c r="E876" s="5">
        <v>1</v>
      </c>
      <c r="F876" s="3" t="str">
        <f ca="1">VLOOKUP($B876&amp;"_"&amp;$E876,OFFSET([1]stages!$A$1,0,0,COUNTA([1]stages!$A:$A),MATCH(F$1,[1]stages!$2:$2,0)-MATCH("temp_stage",[1]stages!$2:$2,0)+1),MATCH(F$1,[1]stages!$2:$2,0)-MATCH("temp_stage",[1]stages!$2:$2,0)+1,FALSE)</f>
        <v xml:space="preserve">【中級】ニンゲンにしてあげる </v>
      </c>
      <c r="G876" s="3" t="str">
        <f ca="1">VLOOKUP($B876&amp;"_"&amp;$E876,OFFSET([1]stages!$A$1,0,0,COUNTA([1]stages!$A:$A),MATCH(G$1,[1]stages!$2:$2,0)-MATCH("temp_stage",[1]stages!$2:$2,0)+1),MATCH(G$1,[1]stages!$2:$2,0)-MATCH("temp_stage",[1]stages!$2:$2,0)+1,FALSE)</f>
        <v>ドロップイベント2-1（マルチ専用）</v>
      </c>
      <c r="H876" s="18">
        <v>0</v>
      </c>
      <c r="I876">
        <v>11</v>
      </c>
      <c r="J876" s="5" t="s">
        <v>16</v>
      </c>
      <c r="K876" s="35" t="str">
        <f>VLOOKUP(I876,[2]stage_hints!$A:$C,3,FALSE)</f>
        <v>ランク解放クエスト</v>
      </c>
      <c r="L876" s="36" t="str">
        <f>VLOOKUP(I876,[2]stage_hints!$A:$D,4,FALSE)</f>
        <v>一定ランクに到達すると_x000D_報酬付きのランク開放クエストが現れます</v>
      </c>
      <c r="M876" s="21" t="s">
        <v>23</v>
      </c>
      <c r="N876">
        <v>11</v>
      </c>
    </row>
    <row r="877" spans="1:14" x14ac:dyDescent="0.15">
      <c r="A877" s="26" t="s">
        <v>32</v>
      </c>
      <c r="B877" s="4">
        <v>30005</v>
      </c>
      <c r="C877" s="3" t="str">
        <f ca="1">VLOOKUP($B877,OFFSET([1]quests!$A$1,0,0,COUNTA([1]quests!$A:$A),MATCH(C$1,[1]quests!$1:$1,0)-MATCH($B$1,[1]quests!$1:$1,0)+1),MATCH(C$1,[1]quests!$1:$1,0)-MATCH($B$1,[1]quests!$1:$1,0)+1,FALSE)</f>
        <v>ニンゲンにしてあげる☆</v>
      </c>
      <c r="D877" s="3" t="str">
        <f ca="1">VLOOKUP($B877,OFFSET([1]quests!$A$1,0,0,COUNTA([1]quests!$A:$A),MATCH(D$1,[1]quests!$1:$1,0)-MATCH($B$1,[1]quests!$1:$1,0)+1),MATCH(D$1,[1]quests!$1:$1,0)-MATCH($B$1,[1]quests!$1:$1,0)+1,FALSE)</f>
        <v>ドロップイベント2-1（マルチ専用）</v>
      </c>
      <c r="E877" s="5">
        <v>1</v>
      </c>
      <c r="F877" s="3" t="str">
        <f ca="1">VLOOKUP($B877&amp;"_"&amp;$E877,OFFSET([1]stages!$A$1,0,0,COUNTA([1]stages!$A:$A),MATCH(F$1,[1]stages!$2:$2,0)-MATCH("temp_stage",[1]stages!$2:$2,0)+1),MATCH(F$1,[1]stages!$2:$2,0)-MATCH("temp_stage",[1]stages!$2:$2,0)+1,FALSE)</f>
        <v xml:space="preserve">【中級】ニンゲンにしてあげる </v>
      </c>
      <c r="G877" s="3" t="str">
        <f ca="1">VLOOKUP($B877&amp;"_"&amp;$E877,OFFSET([1]stages!$A$1,0,0,COUNTA([1]stages!$A:$A),MATCH(G$1,[1]stages!$2:$2,0)-MATCH("temp_stage",[1]stages!$2:$2,0)+1),MATCH(G$1,[1]stages!$2:$2,0)-MATCH("temp_stage",[1]stages!$2:$2,0)+1,FALSE)</f>
        <v>ドロップイベント2-1（マルチ専用）</v>
      </c>
      <c r="H877" s="18">
        <v>0</v>
      </c>
      <c r="I877">
        <v>12</v>
      </c>
      <c r="J877" s="5" t="s">
        <v>16</v>
      </c>
      <c r="K877" s="35" t="str">
        <f>VLOOKUP(I877,[2]stage_hints!$A:$C,3,FALSE)</f>
        <v>ユニットのお気に入り登録</v>
      </c>
      <c r="L877" s="36" t="str">
        <f>VLOOKUP(I877,[2]stage_hints!$A:$D,4,FALSE)</f>
        <v>大事なユニットを誤って消さないように_x000D_フォルダから「お気に入り登録」しましょう</v>
      </c>
      <c r="M877" s="21" t="s">
        <v>23</v>
      </c>
      <c r="N877">
        <v>12</v>
      </c>
    </row>
    <row r="878" spans="1:14" x14ac:dyDescent="0.15">
      <c r="A878" s="26" t="s">
        <v>32</v>
      </c>
      <c r="B878" s="4">
        <v>30005</v>
      </c>
      <c r="C878" s="3" t="str">
        <f ca="1">VLOOKUP($B878,OFFSET([1]quests!$A$1,0,0,COUNTA([1]quests!$A:$A),MATCH(C$1,[1]quests!$1:$1,0)-MATCH($B$1,[1]quests!$1:$1,0)+1),MATCH(C$1,[1]quests!$1:$1,0)-MATCH($B$1,[1]quests!$1:$1,0)+1,FALSE)</f>
        <v>ニンゲンにしてあげる☆</v>
      </c>
      <c r="D878" s="3" t="str">
        <f ca="1">VLOOKUP($B878,OFFSET([1]quests!$A$1,0,0,COUNTA([1]quests!$A:$A),MATCH(D$1,[1]quests!$1:$1,0)-MATCH($B$1,[1]quests!$1:$1,0)+1),MATCH(D$1,[1]quests!$1:$1,0)-MATCH($B$1,[1]quests!$1:$1,0)+1,FALSE)</f>
        <v>ドロップイベント2-1（マルチ専用）</v>
      </c>
      <c r="E878" s="5">
        <v>1</v>
      </c>
      <c r="F878" s="3" t="str">
        <f ca="1">VLOOKUP($B878&amp;"_"&amp;$E878,OFFSET([1]stages!$A$1,0,0,COUNTA([1]stages!$A:$A),MATCH(F$1,[1]stages!$2:$2,0)-MATCH("temp_stage",[1]stages!$2:$2,0)+1),MATCH(F$1,[1]stages!$2:$2,0)-MATCH("temp_stage",[1]stages!$2:$2,0)+1,FALSE)</f>
        <v xml:space="preserve">【中級】ニンゲンにしてあげる </v>
      </c>
      <c r="G878" s="3" t="str">
        <f ca="1">VLOOKUP($B878&amp;"_"&amp;$E878,OFFSET([1]stages!$A$1,0,0,COUNTA([1]stages!$A:$A),MATCH(G$1,[1]stages!$2:$2,0)-MATCH("temp_stage",[1]stages!$2:$2,0)+1),MATCH(G$1,[1]stages!$2:$2,0)-MATCH("temp_stage",[1]stages!$2:$2,0)+1,FALSE)</f>
        <v>ドロップイベント2-1（マルチ専用）</v>
      </c>
      <c r="H878" s="18">
        <v>0</v>
      </c>
      <c r="I878">
        <v>13</v>
      </c>
      <c r="J878" s="5" t="s">
        <v>16</v>
      </c>
      <c r="K878" s="35" t="str">
        <f>VLOOKUP(I878,[2]stage_hints!$A:$C,3,FALSE)</f>
        <v>ユニットの覚醒</v>
      </c>
      <c r="L878" s="36" t="str">
        <f>VLOOKUP(I878,[2]stage_hints!$A:$D,4,FALSE)</f>
        <v>ユニットを覚醒させると_x000D_比べものにならない強さが手に入ります</v>
      </c>
      <c r="M878" s="21" t="s">
        <v>23</v>
      </c>
      <c r="N878">
        <v>13</v>
      </c>
    </row>
    <row r="879" spans="1:14" x14ac:dyDescent="0.15">
      <c r="A879" s="26" t="s">
        <v>32</v>
      </c>
      <c r="B879" s="4">
        <v>30005</v>
      </c>
      <c r="C879" s="3" t="str">
        <f ca="1">VLOOKUP($B879,OFFSET([1]quests!$A$1,0,0,COUNTA([1]quests!$A:$A),MATCH(C$1,[1]quests!$1:$1,0)-MATCH($B$1,[1]quests!$1:$1,0)+1),MATCH(C$1,[1]quests!$1:$1,0)-MATCH($B$1,[1]quests!$1:$1,0)+1,FALSE)</f>
        <v>ニンゲンにしてあげる☆</v>
      </c>
      <c r="D879" s="3" t="str">
        <f ca="1">VLOOKUP($B879,OFFSET([1]quests!$A$1,0,0,COUNTA([1]quests!$A:$A),MATCH(D$1,[1]quests!$1:$1,0)-MATCH($B$1,[1]quests!$1:$1,0)+1),MATCH(D$1,[1]quests!$1:$1,0)-MATCH($B$1,[1]quests!$1:$1,0)+1,FALSE)</f>
        <v>ドロップイベント2-1（マルチ専用）</v>
      </c>
      <c r="E879" s="5">
        <v>1</v>
      </c>
      <c r="F879" s="3" t="str">
        <f ca="1">VLOOKUP($B879&amp;"_"&amp;$E879,OFFSET([1]stages!$A$1,0,0,COUNTA([1]stages!$A:$A),MATCH(F$1,[1]stages!$2:$2,0)-MATCH("temp_stage",[1]stages!$2:$2,0)+1),MATCH(F$1,[1]stages!$2:$2,0)-MATCH("temp_stage",[1]stages!$2:$2,0)+1,FALSE)</f>
        <v xml:space="preserve">【中級】ニンゲンにしてあげる </v>
      </c>
      <c r="G879" s="3" t="str">
        <f ca="1">VLOOKUP($B879&amp;"_"&amp;$E879,OFFSET([1]stages!$A$1,0,0,COUNTA([1]stages!$A:$A),MATCH(G$1,[1]stages!$2:$2,0)-MATCH("temp_stage",[1]stages!$2:$2,0)+1),MATCH(G$1,[1]stages!$2:$2,0)-MATCH("temp_stage",[1]stages!$2:$2,0)+1,FALSE)</f>
        <v>ドロップイベント2-1（マルチ専用）</v>
      </c>
      <c r="H879" s="18">
        <v>0</v>
      </c>
      <c r="I879">
        <v>14</v>
      </c>
      <c r="J879" s="5" t="s">
        <v>16</v>
      </c>
      <c r="K879" s="35" t="str">
        <f>VLOOKUP(I879,[2]stage_hints!$A:$C,3,FALSE)</f>
        <v>覚醒するにはレベルを最大に</v>
      </c>
      <c r="L879" s="36" t="str">
        <f>VLOOKUP(I879,[2]stage_hints!$A:$D,4,FALSE)</f>
        <v>覚醒するにはユニットのレベルを_x000D_最大まで上げる必要があります</v>
      </c>
      <c r="M879" s="21" t="s">
        <v>23</v>
      </c>
      <c r="N879">
        <v>14</v>
      </c>
    </row>
    <row r="880" spans="1:14" x14ac:dyDescent="0.15">
      <c r="A880" s="26" t="s">
        <v>32</v>
      </c>
      <c r="B880" s="4">
        <v>30005</v>
      </c>
      <c r="C880" s="3" t="str">
        <f ca="1">VLOOKUP($B880,OFFSET([1]quests!$A$1,0,0,COUNTA([1]quests!$A:$A),MATCH(C$1,[1]quests!$1:$1,0)-MATCH($B$1,[1]quests!$1:$1,0)+1),MATCH(C$1,[1]quests!$1:$1,0)-MATCH($B$1,[1]quests!$1:$1,0)+1,FALSE)</f>
        <v>ニンゲンにしてあげる☆</v>
      </c>
      <c r="D880" s="3" t="str">
        <f ca="1">VLOOKUP($B880,OFFSET([1]quests!$A$1,0,0,COUNTA([1]quests!$A:$A),MATCH(D$1,[1]quests!$1:$1,0)-MATCH($B$1,[1]quests!$1:$1,0)+1),MATCH(D$1,[1]quests!$1:$1,0)-MATCH($B$1,[1]quests!$1:$1,0)+1,FALSE)</f>
        <v>ドロップイベント2-1（マルチ専用）</v>
      </c>
      <c r="E880" s="5">
        <v>1</v>
      </c>
      <c r="F880" s="3" t="str">
        <f ca="1">VLOOKUP($B880&amp;"_"&amp;$E880,OFFSET([1]stages!$A$1,0,0,COUNTA([1]stages!$A:$A),MATCH(F$1,[1]stages!$2:$2,0)-MATCH("temp_stage",[1]stages!$2:$2,0)+1),MATCH(F$1,[1]stages!$2:$2,0)-MATCH("temp_stage",[1]stages!$2:$2,0)+1,FALSE)</f>
        <v xml:space="preserve">【中級】ニンゲンにしてあげる </v>
      </c>
      <c r="G880" s="3" t="str">
        <f ca="1">VLOOKUP($B880&amp;"_"&amp;$E880,OFFSET([1]stages!$A$1,0,0,COUNTA([1]stages!$A:$A),MATCH(G$1,[1]stages!$2:$2,0)-MATCH("temp_stage",[1]stages!$2:$2,0)+1),MATCH(G$1,[1]stages!$2:$2,0)-MATCH("temp_stage",[1]stages!$2:$2,0)+1,FALSE)</f>
        <v>ドロップイベント2-1（マルチ専用）</v>
      </c>
      <c r="H880" s="18">
        <v>0</v>
      </c>
      <c r="I880">
        <v>15</v>
      </c>
      <c r="J880" s="5" t="s">
        <v>16</v>
      </c>
      <c r="K880" s="35" t="str">
        <f>VLOOKUP(I880,[2]stage_hints!$A:$C,3,FALSE)</f>
        <v>覚醒素材を獲得</v>
      </c>
      <c r="L880" s="36" t="str">
        <f>VLOOKUP(I880,[2]stage_hints!$A:$D,4,FALSE)</f>
        <v>「曜日クエスト」では_x000D_ユニットの覚醒に必要な素材が手に入ります</v>
      </c>
      <c r="M880" s="21" t="s">
        <v>23</v>
      </c>
      <c r="N880">
        <v>15</v>
      </c>
    </row>
    <row r="881" spans="1:14" x14ac:dyDescent="0.15">
      <c r="A881" s="26" t="s">
        <v>32</v>
      </c>
      <c r="B881" s="4">
        <v>30005</v>
      </c>
      <c r="C881" s="3" t="str">
        <f ca="1">VLOOKUP($B881,OFFSET([1]quests!$A$1,0,0,COUNTA([1]quests!$A:$A),MATCH(C$1,[1]quests!$1:$1,0)-MATCH($B$1,[1]quests!$1:$1,0)+1),MATCH(C$1,[1]quests!$1:$1,0)-MATCH($B$1,[1]quests!$1:$1,0)+1,FALSE)</f>
        <v>ニンゲンにしてあげる☆</v>
      </c>
      <c r="D881" s="3" t="str">
        <f ca="1">VLOOKUP($B881,OFFSET([1]quests!$A$1,0,0,COUNTA([1]quests!$A:$A),MATCH(D$1,[1]quests!$1:$1,0)-MATCH($B$1,[1]quests!$1:$1,0)+1),MATCH(D$1,[1]quests!$1:$1,0)-MATCH($B$1,[1]quests!$1:$1,0)+1,FALSE)</f>
        <v>ドロップイベント2-1（マルチ専用）</v>
      </c>
      <c r="E881" s="5">
        <v>1</v>
      </c>
      <c r="F881" s="3" t="str">
        <f ca="1">VLOOKUP($B881&amp;"_"&amp;$E881,OFFSET([1]stages!$A$1,0,0,COUNTA([1]stages!$A:$A),MATCH(F$1,[1]stages!$2:$2,0)-MATCH("temp_stage",[1]stages!$2:$2,0)+1),MATCH(F$1,[1]stages!$2:$2,0)-MATCH("temp_stage",[1]stages!$2:$2,0)+1,FALSE)</f>
        <v xml:space="preserve">【中級】ニンゲンにしてあげる </v>
      </c>
      <c r="G881" s="3" t="str">
        <f ca="1">VLOOKUP($B881&amp;"_"&amp;$E881,OFFSET([1]stages!$A$1,0,0,COUNTA([1]stages!$A:$A),MATCH(G$1,[1]stages!$2:$2,0)-MATCH("temp_stage",[1]stages!$2:$2,0)+1),MATCH(G$1,[1]stages!$2:$2,0)-MATCH("temp_stage",[1]stages!$2:$2,0)+1,FALSE)</f>
        <v>ドロップイベント2-1（マルチ専用）</v>
      </c>
      <c r="H881" s="18">
        <v>0</v>
      </c>
      <c r="I881">
        <v>16</v>
      </c>
      <c r="J881" s="5" t="s">
        <v>16</v>
      </c>
      <c r="K881" s="35" t="str">
        <f>VLOOKUP(I881,[2]stage_hints!$A:$C,3,FALSE)</f>
        <v>マルチプレイのメリット（その1）</v>
      </c>
      <c r="L881" s="36" t="str">
        <f>VLOOKUP(I881,[2]stage_hints!$A:$D,4,FALSE)</f>
        <v>他のプレイヤーとマルチプレイで遊ぶと_x000D_ポリゴンがもらえます（100人まで）</v>
      </c>
      <c r="M881" s="21" t="s">
        <v>23</v>
      </c>
      <c r="N881">
        <v>16</v>
      </c>
    </row>
    <row r="882" spans="1:14" x14ac:dyDescent="0.15">
      <c r="A882" s="26" t="s">
        <v>32</v>
      </c>
      <c r="B882" s="4">
        <v>30005</v>
      </c>
      <c r="C882" s="3" t="str">
        <f ca="1">VLOOKUP($B882,OFFSET([1]quests!$A$1,0,0,COUNTA([1]quests!$A:$A),MATCH(C$1,[1]quests!$1:$1,0)-MATCH($B$1,[1]quests!$1:$1,0)+1),MATCH(C$1,[1]quests!$1:$1,0)-MATCH($B$1,[1]quests!$1:$1,0)+1,FALSE)</f>
        <v>ニンゲンにしてあげる☆</v>
      </c>
      <c r="D882" s="3" t="str">
        <f ca="1">VLOOKUP($B882,OFFSET([1]quests!$A$1,0,0,COUNTA([1]quests!$A:$A),MATCH(D$1,[1]quests!$1:$1,0)-MATCH($B$1,[1]quests!$1:$1,0)+1),MATCH(D$1,[1]quests!$1:$1,0)-MATCH($B$1,[1]quests!$1:$1,0)+1,FALSE)</f>
        <v>ドロップイベント2-1（マルチ専用）</v>
      </c>
      <c r="E882" s="5">
        <v>1</v>
      </c>
      <c r="F882" s="3" t="str">
        <f ca="1">VLOOKUP($B882&amp;"_"&amp;$E882,OFFSET([1]stages!$A$1,0,0,COUNTA([1]stages!$A:$A),MATCH(F$1,[1]stages!$2:$2,0)-MATCH("temp_stage",[1]stages!$2:$2,0)+1),MATCH(F$1,[1]stages!$2:$2,0)-MATCH("temp_stage",[1]stages!$2:$2,0)+1,FALSE)</f>
        <v xml:space="preserve">【中級】ニンゲンにしてあげる </v>
      </c>
      <c r="G882" s="3" t="str">
        <f ca="1">VLOOKUP($B882&amp;"_"&amp;$E882,OFFSET([1]stages!$A$1,0,0,COUNTA([1]stages!$A:$A),MATCH(G$1,[1]stages!$2:$2,0)-MATCH("temp_stage",[1]stages!$2:$2,0)+1),MATCH(G$1,[1]stages!$2:$2,0)-MATCH("temp_stage",[1]stages!$2:$2,0)+1,FALSE)</f>
        <v>ドロップイベント2-1（マルチ専用）</v>
      </c>
      <c r="H882" s="18">
        <v>0</v>
      </c>
      <c r="I882">
        <v>17</v>
      </c>
      <c r="J882" s="5" t="s">
        <v>16</v>
      </c>
      <c r="K882" s="35" t="str">
        <f>VLOOKUP(I882,[2]stage_hints!$A:$C,3,FALSE)</f>
        <v>リンクガチャ</v>
      </c>
      <c r="L882" s="36" t="str">
        <f>VLOOKUP(I882,[2]stage_hints!$A:$D,4,FALSE)</f>
        <v>無料のリンクガチャを回して_x000D_経験値素材や売却素材を獲得しましょう</v>
      </c>
      <c r="M882" s="21" t="s">
        <v>23</v>
      </c>
      <c r="N882">
        <v>17</v>
      </c>
    </row>
    <row r="883" spans="1:14" x14ac:dyDescent="0.15">
      <c r="A883" s="26" t="s">
        <v>32</v>
      </c>
      <c r="B883" s="4">
        <v>30005</v>
      </c>
      <c r="C883" s="3" t="str">
        <f ca="1">VLOOKUP($B883,OFFSET([1]quests!$A$1,0,0,COUNTA([1]quests!$A:$A),MATCH(C$1,[1]quests!$1:$1,0)-MATCH($B$1,[1]quests!$1:$1,0)+1),MATCH(C$1,[1]quests!$1:$1,0)-MATCH($B$1,[1]quests!$1:$1,0)+1,FALSE)</f>
        <v>ニンゲンにしてあげる☆</v>
      </c>
      <c r="D883" s="3" t="str">
        <f ca="1">VLOOKUP($B883,OFFSET([1]quests!$A$1,0,0,COUNTA([1]quests!$A:$A),MATCH(D$1,[1]quests!$1:$1,0)-MATCH($B$1,[1]quests!$1:$1,0)+1),MATCH(D$1,[1]quests!$1:$1,0)-MATCH($B$1,[1]quests!$1:$1,0)+1,FALSE)</f>
        <v>ドロップイベント2-1（マルチ専用）</v>
      </c>
      <c r="E883" s="5">
        <v>1</v>
      </c>
      <c r="F883" s="3" t="str">
        <f ca="1">VLOOKUP($B883&amp;"_"&amp;$E883,OFFSET([1]stages!$A$1,0,0,COUNTA([1]stages!$A:$A),MATCH(F$1,[1]stages!$2:$2,0)-MATCH("temp_stage",[1]stages!$2:$2,0)+1),MATCH(F$1,[1]stages!$2:$2,0)-MATCH("temp_stage",[1]stages!$2:$2,0)+1,FALSE)</f>
        <v xml:space="preserve">【中級】ニンゲンにしてあげる </v>
      </c>
      <c r="G883" s="3" t="str">
        <f ca="1">VLOOKUP($B883&amp;"_"&amp;$E883,OFFSET([1]stages!$A$1,0,0,COUNTA([1]stages!$A:$A),MATCH(G$1,[1]stages!$2:$2,0)-MATCH("temp_stage",[1]stages!$2:$2,0)+1),MATCH(G$1,[1]stages!$2:$2,0)-MATCH("temp_stage",[1]stages!$2:$2,0)+1,FALSE)</f>
        <v>ドロップイベント2-1（マルチ専用）</v>
      </c>
      <c r="H883" s="18">
        <v>0</v>
      </c>
      <c r="I883">
        <v>18</v>
      </c>
      <c r="J883" s="5" t="s">
        <v>16</v>
      </c>
      <c r="K883" s="35" t="str">
        <f>VLOOKUP(I883,[2]stage_hints!$A:$C,3,FALSE)</f>
        <v>マルチプレイのメリット（その2）</v>
      </c>
      <c r="L883" s="36" t="str">
        <f>VLOOKUP(I883,[2]stage_hints!$A:$D,4,FALSE)</f>
        <v>マルチプレイならリンクが2倍もらえます_x000D_リンクガチャをたくさん回しましょう</v>
      </c>
      <c r="M883" s="21" t="s">
        <v>23</v>
      </c>
      <c r="N883">
        <v>18</v>
      </c>
    </row>
    <row r="884" spans="1:14" x14ac:dyDescent="0.15">
      <c r="A884" s="26" t="s">
        <v>32</v>
      </c>
      <c r="B884" s="4">
        <v>30005</v>
      </c>
      <c r="C884" s="3" t="str">
        <f ca="1">VLOOKUP($B884,OFFSET([1]quests!$A$1,0,0,COUNTA([1]quests!$A:$A),MATCH(C$1,[1]quests!$1:$1,0)-MATCH($B$1,[1]quests!$1:$1,0)+1),MATCH(C$1,[1]quests!$1:$1,0)-MATCH($B$1,[1]quests!$1:$1,0)+1,FALSE)</f>
        <v>ニンゲンにしてあげる☆</v>
      </c>
      <c r="D884" s="3" t="str">
        <f ca="1">VLOOKUP($B884,OFFSET([1]quests!$A$1,0,0,COUNTA([1]quests!$A:$A),MATCH(D$1,[1]quests!$1:$1,0)-MATCH($B$1,[1]quests!$1:$1,0)+1),MATCH(D$1,[1]quests!$1:$1,0)-MATCH($B$1,[1]quests!$1:$1,0)+1,FALSE)</f>
        <v>ドロップイベント2-1（マルチ専用）</v>
      </c>
      <c r="E884" s="5">
        <v>1</v>
      </c>
      <c r="F884" s="3" t="str">
        <f ca="1">VLOOKUP($B884&amp;"_"&amp;$E884,OFFSET([1]stages!$A$1,0,0,COUNTA([1]stages!$A:$A),MATCH(F$1,[1]stages!$2:$2,0)-MATCH("temp_stage",[1]stages!$2:$2,0)+1),MATCH(F$1,[1]stages!$2:$2,0)-MATCH("temp_stage",[1]stages!$2:$2,0)+1,FALSE)</f>
        <v xml:space="preserve">【中級】ニンゲンにしてあげる </v>
      </c>
      <c r="G884" s="3" t="str">
        <f ca="1">VLOOKUP($B884&amp;"_"&amp;$E884,OFFSET([1]stages!$A$1,0,0,COUNTA([1]stages!$A:$A),MATCH(G$1,[1]stages!$2:$2,0)-MATCH("temp_stage",[1]stages!$2:$2,0)+1),MATCH(G$1,[1]stages!$2:$2,0)-MATCH("temp_stage",[1]stages!$2:$2,0)+1,FALSE)</f>
        <v>ドロップイベント2-1（マルチ専用）</v>
      </c>
      <c r="H884" s="18">
        <v>0</v>
      </c>
      <c r="I884">
        <v>19</v>
      </c>
      <c r="J884" s="5" t="s">
        <v>16</v>
      </c>
      <c r="K884" s="35" t="str">
        <f>VLOOKUP(I884,[2]stage_hints!$A:$C,3,FALSE)</f>
        <v>ソロ専用チャレンジタワー</v>
      </c>
      <c r="L884" s="36" t="str">
        <f>VLOOKUP(I884,[2]stage_hints!$A:$D,4,FALSE)</f>
        <v>ソロ専用の「チャレンジタワー」では_x000D_各フロアごとにクリア報酬がもらえます</v>
      </c>
      <c r="M884" s="21" t="s">
        <v>23</v>
      </c>
      <c r="N884">
        <v>19</v>
      </c>
    </row>
    <row r="885" spans="1:14" x14ac:dyDescent="0.15">
      <c r="A885" s="26" t="s">
        <v>32</v>
      </c>
      <c r="B885" s="4">
        <v>30005</v>
      </c>
      <c r="C885" s="3" t="str">
        <f ca="1">VLOOKUP($B885,OFFSET([1]quests!$A$1,0,0,COUNTA([1]quests!$A:$A),MATCH(C$1,[1]quests!$1:$1,0)-MATCH($B$1,[1]quests!$1:$1,0)+1),MATCH(C$1,[1]quests!$1:$1,0)-MATCH($B$1,[1]quests!$1:$1,0)+1,FALSE)</f>
        <v>ニンゲンにしてあげる☆</v>
      </c>
      <c r="D885" s="3" t="str">
        <f ca="1">VLOOKUP($B885,OFFSET([1]quests!$A$1,0,0,COUNTA([1]quests!$A:$A),MATCH(D$1,[1]quests!$1:$1,0)-MATCH($B$1,[1]quests!$1:$1,0)+1),MATCH(D$1,[1]quests!$1:$1,0)-MATCH($B$1,[1]quests!$1:$1,0)+1,FALSE)</f>
        <v>ドロップイベント2-1（マルチ専用）</v>
      </c>
      <c r="E885" s="5">
        <v>1</v>
      </c>
      <c r="F885" s="3" t="str">
        <f ca="1">VLOOKUP($B885&amp;"_"&amp;$E885,OFFSET([1]stages!$A$1,0,0,COUNTA([1]stages!$A:$A),MATCH(F$1,[1]stages!$2:$2,0)-MATCH("temp_stage",[1]stages!$2:$2,0)+1),MATCH(F$1,[1]stages!$2:$2,0)-MATCH("temp_stage",[1]stages!$2:$2,0)+1,FALSE)</f>
        <v xml:space="preserve">【中級】ニンゲンにしてあげる </v>
      </c>
      <c r="G885" s="3" t="str">
        <f ca="1">VLOOKUP($B885&amp;"_"&amp;$E885,OFFSET([1]stages!$A$1,0,0,COUNTA([1]stages!$A:$A),MATCH(G$1,[1]stages!$2:$2,0)-MATCH("temp_stage",[1]stages!$2:$2,0)+1),MATCH(G$1,[1]stages!$2:$2,0)-MATCH("temp_stage",[1]stages!$2:$2,0)+1,FALSE)</f>
        <v>ドロップイベント2-1（マルチ専用）</v>
      </c>
      <c r="H885" s="18">
        <v>0</v>
      </c>
      <c r="I885">
        <v>20</v>
      </c>
      <c r="J885" s="5" t="s">
        <v>16</v>
      </c>
      <c r="K885" s="35" t="str">
        <f>VLOOKUP(I885,[2]stage_hints!$A:$C,3,FALSE)</f>
        <v>マルチプレイのメリット（その3）</v>
      </c>
      <c r="L885" s="36" t="str">
        <f>VLOOKUP(I885,[2]stage_hints!$A:$D,4,FALSE)</f>
        <v>マルチプレイへの参加はエナジー消費ゼロ_x000D_いつでも好きなだけ遊ぶことができます</v>
      </c>
      <c r="M885" s="21" t="s">
        <v>23</v>
      </c>
      <c r="N885">
        <v>20</v>
      </c>
    </row>
    <row r="886" spans="1:14" x14ac:dyDescent="0.15">
      <c r="A886" s="26" t="s">
        <v>32</v>
      </c>
      <c r="B886" s="4">
        <v>30005</v>
      </c>
      <c r="C886" s="3" t="str">
        <f ca="1">VLOOKUP($B886,OFFSET([1]quests!$A$1,0,0,COUNTA([1]quests!$A:$A),MATCH(C$1,[1]quests!$1:$1,0)-MATCH($B$1,[1]quests!$1:$1,0)+1),MATCH(C$1,[1]quests!$1:$1,0)-MATCH($B$1,[1]quests!$1:$1,0)+1,FALSE)</f>
        <v>ニンゲンにしてあげる☆</v>
      </c>
      <c r="D886" s="3" t="str">
        <f ca="1">VLOOKUP($B886,OFFSET([1]quests!$A$1,0,0,COUNTA([1]quests!$A:$A),MATCH(D$1,[1]quests!$1:$1,0)-MATCH($B$1,[1]quests!$1:$1,0)+1),MATCH(D$1,[1]quests!$1:$1,0)-MATCH($B$1,[1]quests!$1:$1,0)+1,FALSE)</f>
        <v>ドロップイベント2-1（マルチ専用）</v>
      </c>
      <c r="E886" s="5">
        <v>1</v>
      </c>
      <c r="F886" s="3" t="str">
        <f ca="1">VLOOKUP($B886&amp;"_"&amp;$E886,OFFSET([1]stages!$A$1,0,0,COUNTA([1]stages!$A:$A),MATCH(F$1,[1]stages!$2:$2,0)-MATCH("temp_stage",[1]stages!$2:$2,0)+1),MATCH(F$1,[1]stages!$2:$2,0)-MATCH("temp_stage",[1]stages!$2:$2,0)+1,FALSE)</f>
        <v xml:space="preserve">【中級】ニンゲンにしてあげる </v>
      </c>
      <c r="G886" s="3" t="str">
        <f ca="1">VLOOKUP($B886&amp;"_"&amp;$E886,OFFSET([1]stages!$A$1,0,0,COUNTA([1]stages!$A:$A),MATCH(G$1,[1]stages!$2:$2,0)-MATCH("temp_stage",[1]stages!$2:$2,0)+1),MATCH(G$1,[1]stages!$2:$2,0)-MATCH("temp_stage",[1]stages!$2:$2,0)+1,FALSE)</f>
        <v>ドロップイベント2-1（マルチ専用）</v>
      </c>
      <c r="H886" s="18">
        <v>0</v>
      </c>
      <c r="I886">
        <v>21</v>
      </c>
      <c r="J886" s="5" t="s">
        <v>16</v>
      </c>
      <c r="K886" s="35" t="str">
        <f>VLOOKUP(I886,[2]stage_hints!$A:$C,3,FALSE)</f>
        <v>スキルを有効に</v>
      </c>
      <c r="L886" s="36" t="str">
        <f>VLOOKUP(I886,[2]stage_hints!$A:$D,4,FALSE)</f>
        <v>ターン経過でユニットのスキルが使えます_x000D_強力スキルでバトルを有利に進めましょう</v>
      </c>
      <c r="M886" s="21" t="s">
        <v>23</v>
      </c>
      <c r="N886">
        <v>21</v>
      </c>
    </row>
    <row r="887" spans="1:14" x14ac:dyDescent="0.15">
      <c r="A887" s="26" t="s">
        <v>32</v>
      </c>
      <c r="B887" s="4">
        <v>30005</v>
      </c>
      <c r="C887" s="3" t="str">
        <f ca="1">VLOOKUP($B887,OFFSET([1]quests!$A$1,0,0,COUNTA([1]quests!$A:$A),MATCH(C$1,[1]quests!$1:$1,0)-MATCH($B$1,[1]quests!$1:$1,0)+1),MATCH(C$1,[1]quests!$1:$1,0)-MATCH($B$1,[1]quests!$1:$1,0)+1,FALSE)</f>
        <v>ニンゲンにしてあげる☆</v>
      </c>
      <c r="D887" s="3" t="str">
        <f ca="1">VLOOKUP($B887,OFFSET([1]quests!$A$1,0,0,COUNTA([1]quests!$A:$A),MATCH(D$1,[1]quests!$1:$1,0)-MATCH($B$1,[1]quests!$1:$1,0)+1),MATCH(D$1,[1]quests!$1:$1,0)-MATCH($B$1,[1]quests!$1:$1,0)+1,FALSE)</f>
        <v>ドロップイベント2-1（マルチ専用）</v>
      </c>
      <c r="E887" s="5">
        <v>1</v>
      </c>
      <c r="F887" s="3" t="str">
        <f ca="1">VLOOKUP($B887&amp;"_"&amp;$E887,OFFSET([1]stages!$A$1,0,0,COUNTA([1]stages!$A:$A),MATCH(F$1,[1]stages!$2:$2,0)-MATCH("temp_stage",[1]stages!$2:$2,0)+1),MATCH(F$1,[1]stages!$2:$2,0)-MATCH("temp_stage",[1]stages!$2:$2,0)+1,FALSE)</f>
        <v xml:space="preserve">【中級】ニンゲンにしてあげる </v>
      </c>
      <c r="G887" s="3" t="str">
        <f ca="1">VLOOKUP($B887&amp;"_"&amp;$E887,OFFSET([1]stages!$A$1,0,0,COUNTA([1]stages!$A:$A),MATCH(G$1,[1]stages!$2:$2,0)-MATCH("temp_stage",[1]stages!$2:$2,0)+1),MATCH(G$1,[1]stages!$2:$2,0)-MATCH("temp_stage",[1]stages!$2:$2,0)+1,FALSE)</f>
        <v>ドロップイベント2-1（マルチ専用）</v>
      </c>
      <c r="H887" s="18">
        <v>0</v>
      </c>
      <c r="I887">
        <v>22</v>
      </c>
      <c r="J887" s="5" t="s">
        <v>16</v>
      </c>
      <c r="K887" s="35" t="str">
        <f>VLOOKUP(I887,[2]stage_hints!$A:$C,3,FALSE)</f>
        <v>フィーバーで一発逆転（その1）</v>
      </c>
      <c r="L887" s="36" t="str">
        <f>VLOOKUP(I887,[2]stage_hints!$A:$D,4,FALSE)</f>
        <v>フィーバーは攻撃と回復を兼ね備えます_x000D_ピンチからの一発逆転を狙いましょう</v>
      </c>
      <c r="M887" s="21" t="s">
        <v>23</v>
      </c>
      <c r="N887">
        <v>22</v>
      </c>
    </row>
    <row r="888" spans="1:14" x14ac:dyDescent="0.15">
      <c r="A888" s="26" t="s">
        <v>32</v>
      </c>
      <c r="B888" s="4">
        <v>30005</v>
      </c>
      <c r="C888" s="3" t="str">
        <f ca="1">VLOOKUP($B888,OFFSET([1]quests!$A$1,0,0,COUNTA([1]quests!$A:$A),MATCH(C$1,[1]quests!$1:$1,0)-MATCH($B$1,[1]quests!$1:$1,0)+1),MATCH(C$1,[1]quests!$1:$1,0)-MATCH($B$1,[1]quests!$1:$1,0)+1,FALSE)</f>
        <v>ニンゲンにしてあげる☆</v>
      </c>
      <c r="D888" s="3" t="str">
        <f ca="1">VLOOKUP($B888,OFFSET([1]quests!$A$1,0,0,COUNTA([1]quests!$A:$A),MATCH(D$1,[1]quests!$1:$1,0)-MATCH($B$1,[1]quests!$1:$1,0)+1),MATCH(D$1,[1]quests!$1:$1,0)-MATCH($B$1,[1]quests!$1:$1,0)+1,FALSE)</f>
        <v>ドロップイベント2-1（マルチ専用）</v>
      </c>
      <c r="E888" s="5">
        <v>1</v>
      </c>
      <c r="F888" s="3" t="str">
        <f ca="1">VLOOKUP($B888&amp;"_"&amp;$E888,OFFSET([1]stages!$A$1,0,0,COUNTA([1]stages!$A:$A),MATCH(F$1,[1]stages!$2:$2,0)-MATCH("temp_stage",[1]stages!$2:$2,0)+1),MATCH(F$1,[1]stages!$2:$2,0)-MATCH("temp_stage",[1]stages!$2:$2,0)+1,FALSE)</f>
        <v xml:space="preserve">【中級】ニンゲンにしてあげる </v>
      </c>
      <c r="G888" s="3" t="str">
        <f ca="1">VLOOKUP($B888&amp;"_"&amp;$E888,OFFSET([1]stages!$A$1,0,0,COUNTA([1]stages!$A:$A),MATCH(G$1,[1]stages!$2:$2,0)-MATCH("temp_stage",[1]stages!$2:$2,0)+1),MATCH(G$1,[1]stages!$2:$2,0)-MATCH("temp_stage",[1]stages!$2:$2,0)+1,FALSE)</f>
        <v>ドロップイベント2-1（マルチ専用）</v>
      </c>
      <c r="H888" s="18">
        <v>0</v>
      </c>
      <c r="I888">
        <v>23</v>
      </c>
      <c r="J888" s="5" t="s">
        <v>16</v>
      </c>
      <c r="K888" s="35" t="str">
        <f>VLOOKUP(I888,[2]stage_hints!$A:$C,3,FALSE)</f>
        <v>フィーバーで一発逆転（その2）</v>
      </c>
      <c r="L888" s="36" t="str">
        <f>VLOOKUP(I888,[2]stage_hints!$A:$D,4,FALSE)</f>
        <v>フィーバー中は虹色のボムパネルを狙って_x000D_画面上のパネルを一気に破壊しましょう</v>
      </c>
      <c r="M888" s="21" t="s">
        <v>23</v>
      </c>
      <c r="N888">
        <v>23</v>
      </c>
    </row>
    <row r="889" spans="1:14" x14ac:dyDescent="0.15">
      <c r="A889" s="26" t="s">
        <v>32</v>
      </c>
      <c r="B889" s="4">
        <v>30005</v>
      </c>
      <c r="C889" s="3" t="str">
        <f ca="1">VLOOKUP($B889,OFFSET([1]quests!$A$1,0,0,COUNTA([1]quests!$A:$A),MATCH(C$1,[1]quests!$1:$1,0)-MATCH($B$1,[1]quests!$1:$1,0)+1),MATCH(C$1,[1]quests!$1:$1,0)-MATCH($B$1,[1]quests!$1:$1,0)+1,FALSE)</f>
        <v>ニンゲンにしてあげる☆</v>
      </c>
      <c r="D889" s="3" t="str">
        <f ca="1">VLOOKUP($B889,OFFSET([1]quests!$A$1,0,0,COUNTA([1]quests!$A:$A),MATCH(D$1,[1]quests!$1:$1,0)-MATCH($B$1,[1]quests!$1:$1,0)+1),MATCH(D$1,[1]quests!$1:$1,0)-MATCH($B$1,[1]quests!$1:$1,0)+1,FALSE)</f>
        <v>ドロップイベント2-1（マルチ専用）</v>
      </c>
      <c r="E889" s="5">
        <v>1</v>
      </c>
      <c r="F889" s="3" t="str">
        <f ca="1">VLOOKUP($B889&amp;"_"&amp;$E889,OFFSET([1]stages!$A$1,0,0,COUNTA([1]stages!$A:$A),MATCH(F$1,[1]stages!$2:$2,0)-MATCH("temp_stage",[1]stages!$2:$2,0)+1),MATCH(F$1,[1]stages!$2:$2,0)-MATCH("temp_stage",[1]stages!$2:$2,0)+1,FALSE)</f>
        <v xml:space="preserve">【中級】ニンゲンにしてあげる </v>
      </c>
      <c r="G889" s="3" t="str">
        <f ca="1">VLOOKUP($B889&amp;"_"&amp;$E889,OFFSET([1]stages!$A$1,0,0,COUNTA([1]stages!$A:$A),MATCH(G$1,[1]stages!$2:$2,0)-MATCH("temp_stage",[1]stages!$2:$2,0)+1),MATCH(G$1,[1]stages!$2:$2,0)-MATCH("temp_stage",[1]stages!$2:$2,0)+1,FALSE)</f>
        <v>ドロップイベント2-1（マルチ専用）</v>
      </c>
      <c r="H889" s="18">
        <v>0</v>
      </c>
      <c r="I889">
        <v>24</v>
      </c>
      <c r="J889" s="5" t="s">
        <v>16</v>
      </c>
      <c r="K889" s="35" t="str">
        <f>VLOOKUP(I889,[2]stage_hints!$A:$C,3,FALSE)</f>
        <v>りんごを使って限界突破</v>
      </c>
      <c r="L889" s="36" t="str">
        <f>VLOOKUP(I889,[2]stage_hints!$A:$D,4,FALSE)</f>
        <v>赤りんご(攻撃力) 青りんご(回復力)_x000D_緑りんご(体力)をユニット強化に使うと_x000D_ステータスが限界突破します（計99個迄）</v>
      </c>
      <c r="M889" s="21" t="s">
        <v>23</v>
      </c>
      <c r="N889">
        <v>24</v>
      </c>
    </row>
    <row r="890" spans="1:14" x14ac:dyDescent="0.15">
      <c r="A890" s="26" t="s">
        <v>32</v>
      </c>
      <c r="B890" s="4">
        <v>30005</v>
      </c>
      <c r="C890" s="3" t="str">
        <f ca="1">VLOOKUP($B890,OFFSET([1]quests!$A$1,0,0,COUNTA([1]quests!$A:$A),MATCH(C$1,[1]quests!$1:$1,0)-MATCH($B$1,[1]quests!$1:$1,0)+1),MATCH(C$1,[1]quests!$1:$1,0)-MATCH($B$1,[1]quests!$1:$1,0)+1,FALSE)</f>
        <v>ニンゲンにしてあげる☆</v>
      </c>
      <c r="D890" s="3" t="str">
        <f ca="1">VLOOKUP($B890,OFFSET([1]quests!$A$1,0,0,COUNTA([1]quests!$A:$A),MATCH(D$1,[1]quests!$1:$1,0)-MATCH($B$1,[1]quests!$1:$1,0)+1),MATCH(D$1,[1]quests!$1:$1,0)-MATCH($B$1,[1]quests!$1:$1,0)+1,FALSE)</f>
        <v>ドロップイベント2-1（マルチ専用）</v>
      </c>
      <c r="E890" s="5">
        <v>1</v>
      </c>
      <c r="F890" s="3" t="str">
        <f ca="1">VLOOKUP($B890&amp;"_"&amp;$E890,OFFSET([1]stages!$A$1,0,0,COUNTA([1]stages!$A:$A),MATCH(F$1,[1]stages!$2:$2,0)-MATCH("temp_stage",[1]stages!$2:$2,0)+1),MATCH(F$1,[1]stages!$2:$2,0)-MATCH("temp_stage",[1]stages!$2:$2,0)+1,FALSE)</f>
        <v xml:space="preserve">【中級】ニンゲンにしてあげる </v>
      </c>
      <c r="G890" s="3" t="str">
        <f ca="1">VLOOKUP($B890&amp;"_"&amp;$E890,OFFSET([1]stages!$A$1,0,0,COUNTA([1]stages!$A:$A),MATCH(G$1,[1]stages!$2:$2,0)-MATCH("temp_stage",[1]stages!$2:$2,0)+1),MATCH(G$1,[1]stages!$2:$2,0)-MATCH("temp_stage",[1]stages!$2:$2,0)+1,FALSE)</f>
        <v>ドロップイベント2-1（マルチ専用）</v>
      </c>
      <c r="H890" s="18">
        <v>0</v>
      </c>
      <c r="I890">
        <v>25</v>
      </c>
      <c r="J890" s="5" t="s">
        <v>16</v>
      </c>
      <c r="K890" s="35" t="str">
        <f>VLOOKUP(I890,[2]stage_hints!$A:$C,3,FALSE)</f>
        <v>スキルレベルアップ</v>
      </c>
      <c r="L890" s="36" t="str">
        <f>VLOOKUP(I890,[2]stage_hints!$A:$D,4,FALSE)</f>
        <v>「クリスタルのりんご」を強化に使うと_x000D_スキルレベルを上げることができます</v>
      </c>
      <c r="M890" s="21" t="s">
        <v>23</v>
      </c>
      <c r="N890">
        <v>25</v>
      </c>
    </row>
    <row r="891" spans="1:14" x14ac:dyDescent="0.15">
      <c r="A891" s="26" t="s">
        <v>32</v>
      </c>
      <c r="B891" s="4">
        <v>30005</v>
      </c>
      <c r="C891" s="3" t="str">
        <f ca="1">VLOOKUP($B891,OFFSET([1]quests!$A$1,0,0,COUNTA([1]quests!$A:$A),MATCH(C$1,[1]quests!$1:$1,0)-MATCH($B$1,[1]quests!$1:$1,0)+1),MATCH(C$1,[1]quests!$1:$1,0)-MATCH($B$1,[1]quests!$1:$1,0)+1,FALSE)</f>
        <v>ニンゲンにしてあげる☆</v>
      </c>
      <c r="D891" s="3" t="str">
        <f ca="1">VLOOKUP($B891,OFFSET([1]quests!$A$1,0,0,COUNTA([1]quests!$A:$A),MATCH(D$1,[1]quests!$1:$1,0)-MATCH($B$1,[1]quests!$1:$1,0)+1),MATCH(D$1,[1]quests!$1:$1,0)-MATCH($B$1,[1]quests!$1:$1,0)+1,FALSE)</f>
        <v>ドロップイベント2-1（マルチ専用）</v>
      </c>
      <c r="E891" s="5">
        <v>1</v>
      </c>
      <c r="F891" s="3" t="str">
        <f ca="1">VLOOKUP($B891&amp;"_"&amp;$E891,OFFSET([1]stages!$A$1,0,0,COUNTA([1]stages!$A:$A),MATCH(F$1,[1]stages!$2:$2,0)-MATCH("temp_stage",[1]stages!$2:$2,0)+1),MATCH(F$1,[1]stages!$2:$2,0)-MATCH("temp_stage",[1]stages!$2:$2,0)+1,FALSE)</f>
        <v xml:space="preserve">【中級】ニンゲンにしてあげる </v>
      </c>
      <c r="G891" s="3" t="str">
        <f ca="1">VLOOKUP($B891&amp;"_"&amp;$E891,OFFSET([1]stages!$A$1,0,0,COUNTA([1]stages!$A:$A),MATCH(G$1,[1]stages!$2:$2,0)-MATCH("temp_stage",[1]stages!$2:$2,0)+1),MATCH(G$1,[1]stages!$2:$2,0)-MATCH("temp_stage",[1]stages!$2:$2,0)+1,FALSE)</f>
        <v>ドロップイベント2-1（マルチ専用）</v>
      </c>
      <c r="H891" s="18">
        <v>0</v>
      </c>
      <c r="I891">
        <v>26</v>
      </c>
      <c r="J891" s="5" t="s">
        <v>16</v>
      </c>
      <c r="K891" s="35" t="str">
        <f>VLOOKUP(I891,[2]stage_hints!$A:$C,3,FALSE)</f>
        <v>スキルレベルの効果</v>
      </c>
      <c r="L891" s="36" t="str">
        <f>VLOOKUP(I891,[2]stage_hints!$A:$D,4,FALSE)</f>
        <v>スキルレベルが上がると_x000D_短いターンでスキルを使うことができます</v>
      </c>
      <c r="M891" s="21" t="s">
        <v>23</v>
      </c>
      <c r="N891">
        <v>26</v>
      </c>
    </row>
    <row r="892" spans="1:14" x14ac:dyDescent="0.15">
      <c r="A892" s="26" t="s">
        <v>32</v>
      </c>
      <c r="B892" s="4">
        <v>30005</v>
      </c>
      <c r="C892" s="3" t="str">
        <f ca="1">VLOOKUP($B892,OFFSET([1]quests!$A$1,0,0,COUNTA([1]quests!$A:$A),MATCH(C$1,[1]quests!$1:$1,0)-MATCH($B$1,[1]quests!$1:$1,0)+1),MATCH(C$1,[1]quests!$1:$1,0)-MATCH($B$1,[1]quests!$1:$1,0)+1,FALSE)</f>
        <v>ニンゲンにしてあげる☆</v>
      </c>
      <c r="D892" s="3" t="str">
        <f ca="1">VLOOKUP($B892,OFFSET([1]quests!$A$1,0,0,COUNTA([1]quests!$A:$A),MATCH(D$1,[1]quests!$1:$1,0)-MATCH($B$1,[1]quests!$1:$1,0)+1),MATCH(D$1,[1]quests!$1:$1,0)-MATCH($B$1,[1]quests!$1:$1,0)+1,FALSE)</f>
        <v>ドロップイベント2-1（マルチ専用）</v>
      </c>
      <c r="E892" s="5">
        <v>1</v>
      </c>
      <c r="F892" s="3" t="str">
        <f ca="1">VLOOKUP($B892&amp;"_"&amp;$E892,OFFSET([1]stages!$A$1,0,0,COUNTA([1]stages!$A:$A),MATCH(F$1,[1]stages!$2:$2,0)-MATCH("temp_stage",[1]stages!$2:$2,0)+1),MATCH(F$1,[1]stages!$2:$2,0)-MATCH("temp_stage",[1]stages!$2:$2,0)+1,FALSE)</f>
        <v xml:space="preserve">【中級】ニンゲンにしてあげる </v>
      </c>
      <c r="G892" s="3" t="str">
        <f ca="1">VLOOKUP($B892&amp;"_"&amp;$E892,OFFSET([1]stages!$A$1,0,0,COUNTA([1]stages!$A:$A),MATCH(G$1,[1]stages!$2:$2,0)-MATCH("temp_stage",[1]stages!$2:$2,0)+1),MATCH(G$1,[1]stages!$2:$2,0)-MATCH("temp_stage",[1]stages!$2:$2,0)+1,FALSE)</f>
        <v>ドロップイベント2-1（マルチ専用）</v>
      </c>
      <c r="H892" s="18">
        <v>0</v>
      </c>
      <c r="I892">
        <v>27</v>
      </c>
      <c r="J892" s="5" t="s">
        <v>16</v>
      </c>
      <c r="K892" s="35" t="str">
        <f>VLOOKUP(I892,[2]stage_hints!$A:$C,3,FALSE)</f>
        <v>ホーム画面からデッキを編成</v>
      </c>
      <c r="L892" s="36" t="str">
        <f>VLOOKUP(I892,[2]stage_hints!$A:$D,4,FALSE)</f>
        <v>ホーム画面でユニットを長押しすると_x000D_すぐにパーティ編成に移動できます</v>
      </c>
      <c r="M892" s="21" t="s">
        <v>23</v>
      </c>
      <c r="N892">
        <v>27</v>
      </c>
    </row>
    <row r="893" spans="1:14" x14ac:dyDescent="0.15">
      <c r="A893" s="26" t="s">
        <v>32</v>
      </c>
      <c r="B893" s="4">
        <v>30005</v>
      </c>
      <c r="C893" s="3" t="str">
        <f ca="1">VLOOKUP($B893,OFFSET([1]quests!$A$1,0,0,COUNTA([1]quests!$A:$A),MATCH(C$1,[1]quests!$1:$1,0)-MATCH($B$1,[1]quests!$1:$1,0)+1),MATCH(C$1,[1]quests!$1:$1,0)-MATCH($B$1,[1]quests!$1:$1,0)+1,FALSE)</f>
        <v>ニンゲンにしてあげる☆</v>
      </c>
      <c r="D893" s="3" t="str">
        <f ca="1">VLOOKUP($B893,OFFSET([1]quests!$A$1,0,0,COUNTA([1]quests!$A:$A),MATCH(D$1,[1]quests!$1:$1,0)-MATCH($B$1,[1]quests!$1:$1,0)+1),MATCH(D$1,[1]quests!$1:$1,0)-MATCH($B$1,[1]quests!$1:$1,0)+1,FALSE)</f>
        <v>ドロップイベント2-1（マルチ専用）</v>
      </c>
      <c r="E893" s="5">
        <v>1</v>
      </c>
      <c r="F893" s="3" t="str">
        <f ca="1">VLOOKUP($B893&amp;"_"&amp;$E893,OFFSET([1]stages!$A$1,0,0,COUNTA([1]stages!$A:$A),MATCH(F$1,[1]stages!$2:$2,0)-MATCH("temp_stage",[1]stages!$2:$2,0)+1),MATCH(F$1,[1]stages!$2:$2,0)-MATCH("temp_stage",[1]stages!$2:$2,0)+1,FALSE)</f>
        <v xml:space="preserve">【中級】ニンゲンにしてあげる </v>
      </c>
      <c r="G893" s="3" t="str">
        <f ca="1">VLOOKUP($B893&amp;"_"&amp;$E893,OFFSET([1]stages!$A$1,0,0,COUNTA([1]stages!$A:$A),MATCH(G$1,[1]stages!$2:$2,0)-MATCH("temp_stage",[1]stages!$2:$2,0)+1),MATCH(G$1,[1]stages!$2:$2,0)-MATCH("temp_stage",[1]stages!$2:$2,0)+1,FALSE)</f>
        <v>ドロップイベント2-1（マルチ専用）</v>
      </c>
      <c r="H893" s="18">
        <v>0</v>
      </c>
      <c r="I893">
        <v>28</v>
      </c>
      <c r="J893" s="5" t="s">
        <v>16</v>
      </c>
      <c r="K893" s="35" t="str">
        <f>VLOOKUP(I893,[2]stage_hints!$A:$C,3,FALSE)</f>
        <v>ステータス情報は長押しで</v>
      </c>
      <c r="L893" s="36" t="str">
        <f>VLOOKUP(I893,[2]stage_hints!$A:$D,4,FALSE)</f>
        <v>ユニットのアイコンを長押しすると_x000D_ステータス情報を確認することができます</v>
      </c>
      <c r="M893" s="21" t="s">
        <v>23</v>
      </c>
      <c r="N893">
        <v>28</v>
      </c>
    </row>
    <row r="894" spans="1:14" x14ac:dyDescent="0.15">
      <c r="A894" s="26" t="s">
        <v>32</v>
      </c>
      <c r="B894" s="4">
        <v>30005</v>
      </c>
      <c r="C894" s="3" t="str">
        <f ca="1">VLOOKUP($B894,OFFSET([1]quests!$A$1,0,0,COUNTA([1]quests!$A:$A),MATCH(C$1,[1]quests!$1:$1,0)-MATCH($B$1,[1]quests!$1:$1,0)+1),MATCH(C$1,[1]quests!$1:$1,0)-MATCH($B$1,[1]quests!$1:$1,0)+1,FALSE)</f>
        <v>ニンゲンにしてあげる☆</v>
      </c>
      <c r="D894" s="3" t="str">
        <f ca="1">VLOOKUP($B894,OFFSET([1]quests!$A$1,0,0,COUNTA([1]quests!$A:$A),MATCH(D$1,[1]quests!$1:$1,0)-MATCH($B$1,[1]quests!$1:$1,0)+1),MATCH(D$1,[1]quests!$1:$1,0)-MATCH($B$1,[1]quests!$1:$1,0)+1,FALSE)</f>
        <v>ドロップイベント2-1（マルチ専用）</v>
      </c>
      <c r="E894" s="5">
        <v>1</v>
      </c>
      <c r="F894" s="3" t="str">
        <f ca="1">VLOOKUP($B894&amp;"_"&amp;$E894,OFFSET([1]stages!$A$1,0,0,COUNTA([1]stages!$A:$A),MATCH(F$1,[1]stages!$2:$2,0)-MATCH("temp_stage",[1]stages!$2:$2,0)+1),MATCH(F$1,[1]stages!$2:$2,0)-MATCH("temp_stage",[1]stages!$2:$2,0)+1,FALSE)</f>
        <v xml:space="preserve">【中級】ニンゲンにしてあげる </v>
      </c>
      <c r="G894" s="3" t="str">
        <f ca="1">VLOOKUP($B894&amp;"_"&amp;$E894,OFFSET([1]stages!$A$1,0,0,COUNTA([1]stages!$A:$A),MATCH(G$1,[1]stages!$2:$2,0)-MATCH("temp_stage",[1]stages!$2:$2,0)+1),MATCH(G$1,[1]stages!$2:$2,0)-MATCH("temp_stage",[1]stages!$2:$2,0)+1,FALSE)</f>
        <v>ドロップイベント2-1（マルチ専用）</v>
      </c>
      <c r="H894" s="18">
        <v>0</v>
      </c>
      <c r="I894">
        <v>29</v>
      </c>
      <c r="J894" s="5" t="s">
        <v>16</v>
      </c>
      <c r="K894" s="35" t="str">
        <f>VLOOKUP(I894,[2]stage_hints!$A:$C,3,FALSE)</f>
        <v>「バグ」のメリット</v>
      </c>
      <c r="L894" s="36" t="str">
        <f>VLOOKUP(I894,[2]stage_hints!$A:$D,4,FALSE)</f>
        <v>ユニットの「バグ」を増やすと_x000D_報酬をもらえる確率がアップします</v>
      </c>
      <c r="M894" s="21" t="s">
        <v>23</v>
      </c>
      <c r="N894">
        <v>29</v>
      </c>
    </row>
    <row r="895" spans="1:14" x14ac:dyDescent="0.15">
      <c r="A895" s="26" t="s">
        <v>32</v>
      </c>
      <c r="B895" s="4">
        <v>30005</v>
      </c>
      <c r="C895" s="3" t="str">
        <f ca="1">VLOOKUP($B895,OFFSET([1]quests!$A$1,0,0,COUNTA([1]quests!$A:$A),MATCH(C$1,[1]quests!$1:$1,0)-MATCH($B$1,[1]quests!$1:$1,0)+1),MATCH(C$1,[1]quests!$1:$1,0)-MATCH($B$1,[1]quests!$1:$1,0)+1,FALSE)</f>
        <v>ニンゲンにしてあげる☆</v>
      </c>
      <c r="D895" s="3" t="str">
        <f ca="1">VLOOKUP($B895,OFFSET([1]quests!$A$1,0,0,COUNTA([1]quests!$A:$A),MATCH(D$1,[1]quests!$1:$1,0)-MATCH($B$1,[1]quests!$1:$1,0)+1),MATCH(D$1,[1]quests!$1:$1,0)-MATCH($B$1,[1]quests!$1:$1,0)+1,FALSE)</f>
        <v>ドロップイベント2-1（マルチ専用）</v>
      </c>
      <c r="E895" s="5">
        <v>1</v>
      </c>
      <c r="F895" s="3" t="str">
        <f ca="1">VLOOKUP($B895&amp;"_"&amp;$E895,OFFSET([1]stages!$A$1,0,0,COUNTA([1]stages!$A:$A),MATCH(F$1,[1]stages!$2:$2,0)-MATCH("temp_stage",[1]stages!$2:$2,0)+1),MATCH(F$1,[1]stages!$2:$2,0)-MATCH("temp_stage",[1]stages!$2:$2,0)+1,FALSE)</f>
        <v xml:space="preserve">【中級】ニンゲンにしてあげる </v>
      </c>
      <c r="G895" s="3" t="str">
        <f ca="1">VLOOKUP($B895&amp;"_"&amp;$E895,OFFSET([1]stages!$A$1,0,0,COUNTA([1]stages!$A:$A),MATCH(G$1,[1]stages!$2:$2,0)-MATCH("temp_stage",[1]stages!$2:$2,0)+1),MATCH(G$1,[1]stages!$2:$2,0)-MATCH("temp_stage",[1]stages!$2:$2,0)+1,FALSE)</f>
        <v>ドロップイベント2-1（マルチ専用）</v>
      </c>
      <c r="H895" s="18">
        <v>0</v>
      </c>
      <c r="I895">
        <v>30</v>
      </c>
      <c r="J895" s="5" t="s">
        <v>16</v>
      </c>
      <c r="K895" s="35" t="str">
        <f>VLOOKUP(I895,[2]stage_hints!$A:$C,3,FALSE)</f>
        <v>「バグ」の増やし方</v>
      </c>
      <c r="L895" s="36" t="str">
        <f>VLOOKUP(I895,[2]stage_hints!$A:$D,4,FALSE)</f>
        <v>同じユニット同士を強化で合成すると_x000D_「バグ」を増やすことができます</v>
      </c>
      <c r="M895" s="21" t="s">
        <v>23</v>
      </c>
      <c r="N895">
        <v>30</v>
      </c>
    </row>
    <row r="896" spans="1:14" x14ac:dyDescent="0.15">
      <c r="A896" s="26" t="s">
        <v>32</v>
      </c>
      <c r="B896" s="4">
        <v>30005</v>
      </c>
      <c r="C896" s="3" t="str">
        <f ca="1">VLOOKUP($B896,OFFSET([1]quests!$A$1,0,0,COUNTA([1]quests!$A:$A),MATCH(C$1,[1]quests!$1:$1,0)-MATCH($B$1,[1]quests!$1:$1,0)+1),MATCH(C$1,[1]quests!$1:$1,0)-MATCH($B$1,[1]quests!$1:$1,0)+1,FALSE)</f>
        <v>ニンゲンにしてあげる☆</v>
      </c>
      <c r="D896" s="3" t="str">
        <f ca="1">VLOOKUP($B896,OFFSET([1]quests!$A$1,0,0,COUNTA([1]quests!$A:$A),MATCH(D$1,[1]quests!$1:$1,0)-MATCH($B$1,[1]quests!$1:$1,0)+1),MATCH(D$1,[1]quests!$1:$1,0)-MATCH($B$1,[1]quests!$1:$1,0)+1,FALSE)</f>
        <v>ドロップイベント2-1（マルチ専用）</v>
      </c>
      <c r="E896" s="5">
        <v>1</v>
      </c>
      <c r="F896" s="3" t="str">
        <f ca="1">VLOOKUP($B896&amp;"_"&amp;$E896,OFFSET([1]stages!$A$1,0,0,COUNTA([1]stages!$A:$A),MATCH(F$1,[1]stages!$2:$2,0)-MATCH("temp_stage",[1]stages!$2:$2,0)+1),MATCH(F$1,[1]stages!$2:$2,0)-MATCH("temp_stage",[1]stages!$2:$2,0)+1,FALSE)</f>
        <v xml:space="preserve">【中級】ニンゲンにしてあげる </v>
      </c>
      <c r="G896" s="3" t="str">
        <f ca="1">VLOOKUP($B896&amp;"_"&amp;$E896,OFFSET([1]stages!$A$1,0,0,COUNTA([1]stages!$A:$A),MATCH(G$1,[1]stages!$2:$2,0)-MATCH("temp_stage",[1]stages!$2:$2,0)+1),MATCH(G$1,[1]stages!$2:$2,0)-MATCH("temp_stage",[1]stages!$2:$2,0)+1,FALSE)</f>
        <v>ドロップイベント2-1（マルチ専用）</v>
      </c>
      <c r="H896" s="18">
        <v>0</v>
      </c>
      <c r="I896">
        <v>31</v>
      </c>
      <c r="J896" s="5" t="s">
        <v>16</v>
      </c>
      <c r="K896" s="35" t="str">
        <f>VLOOKUP(I896,[2]stage_hints!$A:$C,3,FALSE)</f>
        <v>イベントはお知らせでチェック</v>
      </c>
      <c r="L896" s="36" t="str">
        <f>VLOOKUP(I896,[2]stage_hints!$A:$D,4,FALSE)</f>
        <v>イベント限定ユニットを取り忘れないように_x000D_お知らせをこまめにチェックしましょう</v>
      </c>
      <c r="M896" s="21" t="s">
        <v>23</v>
      </c>
      <c r="N896">
        <v>31</v>
      </c>
    </row>
    <row r="897" spans="1:14" x14ac:dyDescent="0.15">
      <c r="A897" s="26" t="s">
        <v>32</v>
      </c>
      <c r="B897" s="4">
        <v>30005</v>
      </c>
      <c r="C897" s="3" t="str">
        <f ca="1">VLOOKUP($B897,OFFSET([1]quests!$A$1,0,0,COUNTA([1]quests!$A:$A),MATCH(C$1,[1]quests!$1:$1,0)-MATCH($B$1,[1]quests!$1:$1,0)+1),MATCH(C$1,[1]quests!$1:$1,0)-MATCH($B$1,[1]quests!$1:$1,0)+1,FALSE)</f>
        <v>ニンゲンにしてあげる☆</v>
      </c>
      <c r="D897" s="3" t="str">
        <f ca="1">VLOOKUP($B897,OFFSET([1]quests!$A$1,0,0,COUNTA([1]quests!$A:$A),MATCH(D$1,[1]quests!$1:$1,0)-MATCH($B$1,[1]quests!$1:$1,0)+1),MATCH(D$1,[1]quests!$1:$1,0)-MATCH($B$1,[1]quests!$1:$1,0)+1,FALSE)</f>
        <v>ドロップイベント2-1（マルチ専用）</v>
      </c>
      <c r="E897" s="5">
        <v>1</v>
      </c>
      <c r="F897" s="3" t="str">
        <f ca="1">VLOOKUP($B897&amp;"_"&amp;$E897,OFFSET([1]stages!$A$1,0,0,COUNTA([1]stages!$A:$A),MATCH(F$1,[1]stages!$2:$2,0)-MATCH("temp_stage",[1]stages!$2:$2,0)+1),MATCH(F$1,[1]stages!$2:$2,0)-MATCH("temp_stage",[1]stages!$2:$2,0)+1,FALSE)</f>
        <v xml:space="preserve">【中級】ニンゲンにしてあげる </v>
      </c>
      <c r="G897" s="3" t="str">
        <f ca="1">VLOOKUP($B897&amp;"_"&amp;$E897,OFFSET([1]stages!$A$1,0,0,COUNTA([1]stages!$A:$A),MATCH(G$1,[1]stages!$2:$2,0)-MATCH("temp_stage",[1]stages!$2:$2,0)+1),MATCH(G$1,[1]stages!$2:$2,0)-MATCH("temp_stage",[1]stages!$2:$2,0)+1,FALSE)</f>
        <v>ドロップイベント2-1（マルチ専用）</v>
      </c>
      <c r="H897" s="18">
        <v>0</v>
      </c>
      <c r="I897">
        <v>32</v>
      </c>
      <c r="J897" s="5" t="s">
        <v>16</v>
      </c>
      <c r="K897" s="35" t="str">
        <f>VLOOKUP(I897,[2]stage_hints!$A:$C,3,FALSE)</f>
        <v>敵の連続攻撃には</v>
      </c>
      <c r="L897" s="36" t="str">
        <f>VLOOKUP(I897,[2]stage_hints!$A:$D,4,FALSE)</f>
        <v>カウンタースキルを持つユニットがいれば_x000D_ダメージ回数分の反撃ができます</v>
      </c>
      <c r="M897" s="21" t="s">
        <v>23</v>
      </c>
      <c r="N897">
        <v>32</v>
      </c>
    </row>
    <row r="898" spans="1:14" x14ac:dyDescent="0.15">
      <c r="A898" s="26" t="s">
        <v>32</v>
      </c>
      <c r="B898" s="4">
        <v>30005</v>
      </c>
      <c r="C898" s="3" t="str">
        <f ca="1">VLOOKUP($B898,OFFSET([1]quests!$A$1,0,0,COUNTA([1]quests!$A:$A),MATCH(C$1,[1]quests!$1:$1,0)-MATCH($B$1,[1]quests!$1:$1,0)+1),MATCH(C$1,[1]quests!$1:$1,0)-MATCH($B$1,[1]quests!$1:$1,0)+1,FALSE)</f>
        <v>ニンゲンにしてあげる☆</v>
      </c>
      <c r="D898" s="3" t="str">
        <f ca="1">VLOOKUP($B898,OFFSET([1]quests!$A$1,0,0,COUNTA([1]quests!$A:$A),MATCH(D$1,[1]quests!$1:$1,0)-MATCH($B$1,[1]quests!$1:$1,0)+1),MATCH(D$1,[1]quests!$1:$1,0)-MATCH($B$1,[1]quests!$1:$1,0)+1,FALSE)</f>
        <v>ドロップイベント2-1（マルチ専用）</v>
      </c>
      <c r="E898" s="5">
        <v>1</v>
      </c>
      <c r="F898" s="3" t="str">
        <f ca="1">VLOOKUP($B898&amp;"_"&amp;$E898,OFFSET([1]stages!$A$1,0,0,COUNTA([1]stages!$A:$A),MATCH(F$1,[1]stages!$2:$2,0)-MATCH("temp_stage",[1]stages!$2:$2,0)+1),MATCH(F$1,[1]stages!$2:$2,0)-MATCH("temp_stage",[1]stages!$2:$2,0)+1,FALSE)</f>
        <v xml:space="preserve">【中級】ニンゲンにしてあげる </v>
      </c>
      <c r="G898" s="3" t="str">
        <f ca="1">VLOOKUP($B898&amp;"_"&amp;$E898,OFFSET([1]stages!$A$1,0,0,COUNTA([1]stages!$A:$A),MATCH(G$1,[1]stages!$2:$2,0)-MATCH("temp_stage",[1]stages!$2:$2,0)+1),MATCH(G$1,[1]stages!$2:$2,0)-MATCH("temp_stage",[1]stages!$2:$2,0)+1,FALSE)</f>
        <v>ドロップイベント2-1（マルチ専用）</v>
      </c>
      <c r="H898" s="18">
        <v>0</v>
      </c>
      <c r="I898">
        <v>33</v>
      </c>
      <c r="J898" s="5" t="s">
        <v>16</v>
      </c>
      <c r="K898" s="35" t="str">
        <f>VLOOKUP(I898,[2]stage_hints!$A:$C,3,FALSE)</f>
        <v>敵のカウンター攻撃には</v>
      </c>
      <c r="L898" s="36" t="str">
        <f>VLOOKUP(I898,[2]stage_hints!$A:$D,4,FALSE)</f>
        <v>カウンターブレイクスキルを持っていれば_x000D_敵のカウンターを解除して攻撃ができます</v>
      </c>
      <c r="M898" s="21" t="s">
        <v>23</v>
      </c>
      <c r="N898">
        <v>33</v>
      </c>
    </row>
    <row r="899" spans="1:14" x14ac:dyDescent="0.15">
      <c r="A899" s="26" t="s">
        <v>32</v>
      </c>
      <c r="B899" s="4">
        <v>30005</v>
      </c>
      <c r="C899" s="3" t="str">
        <f ca="1">VLOOKUP($B899,OFFSET([1]quests!$A$1,0,0,COUNTA([1]quests!$A:$A),MATCH(C$1,[1]quests!$1:$1,0)-MATCH($B$1,[1]quests!$1:$1,0)+1),MATCH(C$1,[1]quests!$1:$1,0)-MATCH($B$1,[1]quests!$1:$1,0)+1,FALSE)</f>
        <v>ニンゲンにしてあげる☆</v>
      </c>
      <c r="D899" s="3" t="str">
        <f ca="1">VLOOKUP($B899,OFFSET([1]quests!$A$1,0,0,COUNTA([1]quests!$A:$A),MATCH(D$1,[1]quests!$1:$1,0)-MATCH($B$1,[1]quests!$1:$1,0)+1),MATCH(D$1,[1]quests!$1:$1,0)-MATCH($B$1,[1]quests!$1:$1,0)+1,FALSE)</f>
        <v>ドロップイベント2-1（マルチ専用）</v>
      </c>
      <c r="E899" s="5">
        <v>1</v>
      </c>
      <c r="F899" s="3" t="str">
        <f ca="1">VLOOKUP($B899&amp;"_"&amp;$E899,OFFSET([1]stages!$A$1,0,0,COUNTA([1]stages!$A:$A),MATCH(F$1,[1]stages!$2:$2,0)-MATCH("temp_stage",[1]stages!$2:$2,0)+1),MATCH(F$1,[1]stages!$2:$2,0)-MATCH("temp_stage",[1]stages!$2:$2,0)+1,FALSE)</f>
        <v xml:space="preserve">【中級】ニンゲンにしてあげる </v>
      </c>
      <c r="G899" s="3" t="str">
        <f ca="1">VLOOKUP($B899&amp;"_"&amp;$E899,OFFSET([1]stages!$A$1,0,0,COUNTA([1]stages!$A:$A),MATCH(G$1,[1]stages!$2:$2,0)-MATCH("temp_stage",[1]stages!$2:$2,0)+1),MATCH(G$1,[1]stages!$2:$2,0)-MATCH("temp_stage",[1]stages!$2:$2,0)+1,FALSE)</f>
        <v>ドロップイベント2-1（マルチ専用）</v>
      </c>
      <c r="H899" s="18">
        <v>0</v>
      </c>
      <c r="I899">
        <v>34</v>
      </c>
      <c r="J899" s="5" t="s">
        <v>16</v>
      </c>
      <c r="K899" s="35" t="str">
        <f>VLOOKUP(I899,[2]stage_hints!$A:$C,3,FALSE)</f>
        <v>ステータスをスキルで下げられたら</v>
      </c>
      <c r="L899" s="36" t="str">
        <f>VLOOKUP(I899,[2]stage_hints!$A:$D,4,FALSE)</f>
        <v>ステータスダウンのスキルを受けたら_x000D_ステータスアップスキルで上書きしましょう</v>
      </c>
      <c r="M899" s="21" t="s">
        <v>23</v>
      </c>
      <c r="N899">
        <v>34</v>
      </c>
    </row>
    <row r="900" spans="1:14" x14ac:dyDescent="0.15">
      <c r="A900" s="26" t="s">
        <v>32</v>
      </c>
      <c r="B900" s="4">
        <v>30005</v>
      </c>
      <c r="C900" s="3" t="str">
        <f ca="1">VLOOKUP($B900,OFFSET([1]quests!$A$1,0,0,COUNTA([1]quests!$A:$A),MATCH(C$1,[1]quests!$1:$1,0)-MATCH($B$1,[1]quests!$1:$1,0)+1),MATCH(C$1,[1]quests!$1:$1,0)-MATCH($B$1,[1]quests!$1:$1,0)+1,FALSE)</f>
        <v>ニンゲンにしてあげる☆</v>
      </c>
      <c r="D900" s="3" t="str">
        <f ca="1">VLOOKUP($B900,OFFSET([1]quests!$A$1,0,0,COUNTA([1]quests!$A:$A),MATCH(D$1,[1]quests!$1:$1,0)-MATCH($B$1,[1]quests!$1:$1,0)+1),MATCH(D$1,[1]quests!$1:$1,0)-MATCH($B$1,[1]quests!$1:$1,0)+1,FALSE)</f>
        <v>ドロップイベント2-1（マルチ専用）</v>
      </c>
      <c r="E900" s="5">
        <v>1</v>
      </c>
      <c r="F900" s="3" t="str">
        <f ca="1">VLOOKUP($B900&amp;"_"&amp;$E900,OFFSET([1]stages!$A$1,0,0,COUNTA([1]stages!$A:$A),MATCH(F$1,[1]stages!$2:$2,0)-MATCH("temp_stage",[1]stages!$2:$2,0)+1),MATCH(F$1,[1]stages!$2:$2,0)-MATCH("temp_stage",[1]stages!$2:$2,0)+1,FALSE)</f>
        <v xml:space="preserve">【中級】ニンゲンにしてあげる </v>
      </c>
      <c r="G900" s="3" t="str">
        <f ca="1">VLOOKUP($B900&amp;"_"&amp;$E900,OFFSET([1]stages!$A$1,0,0,COUNTA([1]stages!$A:$A),MATCH(G$1,[1]stages!$2:$2,0)-MATCH("temp_stage",[1]stages!$2:$2,0)+1),MATCH(G$1,[1]stages!$2:$2,0)-MATCH("temp_stage",[1]stages!$2:$2,0)+1,FALSE)</f>
        <v>ドロップイベント2-1（マルチ専用）</v>
      </c>
      <c r="H900" s="18">
        <v>0</v>
      </c>
      <c r="I900">
        <v>35</v>
      </c>
      <c r="J900" s="5" t="s">
        <v>16</v>
      </c>
      <c r="K900" s="35" t="str">
        <f>VLOOKUP(I900,[2]stage_hints!$A:$C,3,FALSE)</f>
        <v>敵のステータスがスキルで上がったら</v>
      </c>
      <c r="L900" s="36" t="str">
        <f>VLOOKUP(I900,[2]stage_hints!$A:$D,4,FALSE)</f>
        <v>敵のステータスがスキルでアップしたときは_x000D_ステータスダウンスキルで上書きしましょう</v>
      </c>
      <c r="M900" s="21" t="s">
        <v>23</v>
      </c>
      <c r="N900">
        <v>35</v>
      </c>
    </row>
    <row r="901" spans="1:14" x14ac:dyDescent="0.15">
      <c r="A901" s="26" t="s">
        <v>32</v>
      </c>
      <c r="B901" s="4">
        <v>30006</v>
      </c>
      <c r="C901" s="3" t="str">
        <f ca="1">VLOOKUP($B901,OFFSET([1]quests!$A$1,0,0,COUNTA([1]quests!$A:$A),MATCH(C$1,[1]quests!$1:$1,0)-MATCH($B$1,[1]quests!$1:$1,0)+1),MATCH(C$1,[1]quests!$1:$1,0)-MATCH($B$1,[1]quests!$1:$1,0)+1,FALSE)</f>
        <v>それはお前を食べるためさ</v>
      </c>
      <c r="D901" s="3" t="str">
        <f ca="1">VLOOKUP($B901,OFFSET([1]quests!$A$1,0,0,COUNTA([1]quests!$A:$A),MATCH(D$1,[1]quests!$1:$1,0)-MATCH($B$1,[1]quests!$1:$1,0)+1),MATCH(D$1,[1]quests!$1:$1,0)-MATCH($B$1,[1]quests!$1:$1,0)+1,FALSE)</f>
        <v>ドロップイベント2-3（マルチ専用）</v>
      </c>
      <c r="E901" s="5">
        <v>1</v>
      </c>
      <c r="F901" s="3" t="str">
        <f ca="1">VLOOKUP($B901&amp;"_"&amp;$E901,OFFSET([1]stages!$A$1,0,0,COUNTA([1]stages!$A:$A),MATCH(F$1,[1]stages!$2:$2,0)-MATCH("temp_stage",[1]stages!$2:$2,0)+1),MATCH(F$1,[1]stages!$2:$2,0)-MATCH("temp_stage",[1]stages!$2:$2,0)+1,FALSE)</f>
        <v>【中級】それはお前を食べるためさ</v>
      </c>
      <c r="G901" s="3" t="str">
        <f ca="1">VLOOKUP($B901&amp;"_"&amp;$E901,OFFSET([1]stages!$A$1,0,0,COUNTA([1]stages!$A:$A),MATCH(G$1,[1]stages!$2:$2,0)-MATCH("temp_stage",[1]stages!$2:$2,0)+1),MATCH(G$1,[1]stages!$2:$2,0)-MATCH("temp_stage",[1]stages!$2:$2,0)+1,FALSE)</f>
        <v>ドロップイベント2-3（マルチ専用）</v>
      </c>
      <c r="H901" s="18">
        <v>0</v>
      </c>
      <c r="I901">
        <v>3</v>
      </c>
      <c r="J901" s="5" t="s">
        <v>16</v>
      </c>
      <c r="K901" s="35" t="str">
        <f>VLOOKUP(I901,[2]stage_hints!$A:$C,3,FALSE)</f>
        <v>ターゲット</v>
      </c>
      <c r="L901" s="36" t="str">
        <f>VLOOKUP(I901,[2]stage_hints!$A:$D,4,FALSE)</f>
        <v>敵ユニットをタップすると_x000D_その敵を狙い撃ちできます</v>
      </c>
      <c r="M901" s="21" t="s">
        <v>23</v>
      </c>
      <c r="N901">
        <v>3</v>
      </c>
    </row>
    <row r="902" spans="1:14" x14ac:dyDescent="0.15">
      <c r="A902" s="26" t="s">
        <v>32</v>
      </c>
      <c r="B902" s="4">
        <v>30006</v>
      </c>
      <c r="C902" s="3" t="str">
        <f ca="1">VLOOKUP($B902,OFFSET([1]quests!$A$1,0,0,COUNTA([1]quests!$A:$A),MATCH(C$1,[1]quests!$1:$1,0)-MATCH($B$1,[1]quests!$1:$1,0)+1),MATCH(C$1,[1]quests!$1:$1,0)-MATCH($B$1,[1]quests!$1:$1,0)+1,FALSE)</f>
        <v>それはお前を食べるためさ</v>
      </c>
      <c r="D902" s="3" t="str">
        <f ca="1">VLOOKUP($B902,OFFSET([1]quests!$A$1,0,0,COUNTA([1]quests!$A:$A),MATCH(D$1,[1]quests!$1:$1,0)-MATCH($B$1,[1]quests!$1:$1,0)+1),MATCH(D$1,[1]quests!$1:$1,0)-MATCH($B$1,[1]quests!$1:$1,0)+1,FALSE)</f>
        <v>ドロップイベント2-3（マルチ専用）</v>
      </c>
      <c r="E902" s="5">
        <v>1</v>
      </c>
      <c r="F902" s="3" t="str">
        <f ca="1">VLOOKUP($B902&amp;"_"&amp;$E902,OFFSET([1]stages!$A$1,0,0,COUNTA([1]stages!$A:$A),MATCH(F$1,[1]stages!$2:$2,0)-MATCH("temp_stage",[1]stages!$2:$2,0)+1),MATCH(F$1,[1]stages!$2:$2,0)-MATCH("temp_stage",[1]stages!$2:$2,0)+1,FALSE)</f>
        <v>【中級】それはお前を食べるためさ</v>
      </c>
      <c r="G902" s="3" t="str">
        <f ca="1">VLOOKUP($B902&amp;"_"&amp;$E902,OFFSET([1]stages!$A$1,0,0,COUNTA([1]stages!$A:$A),MATCH(G$1,[1]stages!$2:$2,0)-MATCH("temp_stage",[1]stages!$2:$2,0)+1),MATCH(G$1,[1]stages!$2:$2,0)-MATCH("temp_stage",[1]stages!$2:$2,0)+1,FALSE)</f>
        <v>ドロップイベント2-3（マルチ専用）</v>
      </c>
      <c r="H902" s="18">
        <v>0</v>
      </c>
      <c r="I902">
        <v>6</v>
      </c>
      <c r="J902" s="5" t="s">
        <v>16</v>
      </c>
      <c r="K902" s="35" t="str">
        <f>VLOOKUP(I902,[2]stage_hints!$A:$C,3,FALSE)</f>
        <v>ユニット強化の属性ボーナス</v>
      </c>
      <c r="L902" s="36" t="str">
        <f>VLOOKUP(I902,[2]stage_hints!$A:$D,4,FALSE)</f>
        <v>同属性ユニットを強化素材にすると_x000D_経験値が多くもらえます</v>
      </c>
      <c r="M902" s="21" t="s">
        <v>23</v>
      </c>
      <c r="N902">
        <v>6</v>
      </c>
    </row>
    <row r="903" spans="1:14" x14ac:dyDescent="0.15">
      <c r="A903" s="26" t="s">
        <v>32</v>
      </c>
      <c r="B903" s="4">
        <v>30006</v>
      </c>
      <c r="C903" s="3" t="str">
        <f ca="1">VLOOKUP($B903,OFFSET([1]quests!$A$1,0,0,COUNTA([1]quests!$A:$A),MATCH(C$1,[1]quests!$1:$1,0)-MATCH($B$1,[1]quests!$1:$1,0)+1),MATCH(C$1,[1]quests!$1:$1,0)-MATCH($B$1,[1]quests!$1:$1,0)+1,FALSE)</f>
        <v>それはお前を食べるためさ</v>
      </c>
      <c r="D903" s="3" t="str">
        <f ca="1">VLOOKUP($B903,OFFSET([1]quests!$A$1,0,0,COUNTA([1]quests!$A:$A),MATCH(D$1,[1]quests!$1:$1,0)-MATCH($B$1,[1]quests!$1:$1,0)+1),MATCH(D$1,[1]quests!$1:$1,0)-MATCH($B$1,[1]quests!$1:$1,0)+1,FALSE)</f>
        <v>ドロップイベント2-3（マルチ専用）</v>
      </c>
      <c r="E903" s="5">
        <v>1</v>
      </c>
      <c r="F903" s="3" t="str">
        <f ca="1">VLOOKUP($B903&amp;"_"&amp;$E903,OFFSET([1]stages!$A$1,0,0,COUNTA([1]stages!$A:$A),MATCH(F$1,[1]stages!$2:$2,0)-MATCH("temp_stage",[1]stages!$2:$2,0)+1),MATCH(F$1,[1]stages!$2:$2,0)-MATCH("temp_stage",[1]stages!$2:$2,0)+1,FALSE)</f>
        <v>【中級】それはお前を食べるためさ</v>
      </c>
      <c r="G903" s="3" t="str">
        <f ca="1">VLOOKUP($B903&amp;"_"&amp;$E903,OFFSET([1]stages!$A$1,0,0,COUNTA([1]stages!$A:$A),MATCH(G$1,[1]stages!$2:$2,0)-MATCH("temp_stage",[1]stages!$2:$2,0)+1),MATCH(G$1,[1]stages!$2:$2,0)-MATCH("temp_stage",[1]stages!$2:$2,0)+1,FALSE)</f>
        <v>ドロップイベント2-3（マルチ専用）</v>
      </c>
      <c r="H903" s="18">
        <v>0</v>
      </c>
      <c r="I903">
        <v>7</v>
      </c>
      <c r="J903" s="5" t="s">
        <v>16</v>
      </c>
      <c r="K903" s="35" t="str">
        <f>VLOOKUP(I903,[2]stage_hints!$A:$C,3,FALSE)</f>
        <v>メタルダックで経験値を獲得</v>
      </c>
      <c r="L903" s="36" t="str">
        <f>VLOOKUP(I903,[2]stage_hints!$A:$D,4,FALSE)</f>
        <v>「メタルなアヒル」を強化素材にすると_x000D_大量の経験値がもらえます</v>
      </c>
      <c r="M903" s="21" t="s">
        <v>23</v>
      </c>
      <c r="N903">
        <v>7</v>
      </c>
    </row>
    <row r="904" spans="1:14" x14ac:dyDescent="0.15">
      <c r="A904" s="26" t="s">
        <v>32</v>
      </c>
      <c r="B904" s="4">
        <v>30006</v>
      </c>
      <c r="C904" s="3" t="str">
        <f ca="1">VLOOKUP($B904,OFFSET([1]quests!$A$1,0,0,COUNTA([1]quests!$A:$A),MATCH(C$1,[1]quests!$1:$1,0)-MATCH($B$1,[1]quests!$1:$1,0)+1),MATCH(C$1,[1]quests!$1:$1,0)-MATCH($B$1,[1]quests!$1:$1,0)+1,FALSE)</f>
        <v>それはお前を食べるためさ</v>
      </c>
      <c r="D904" s="3" t="str">
        <f ca="1">VLOOKUP($B904,OFFSET([1]quests!$A$1,0,0,COUNTA([1]quests!$A:$A),MATCH(D$1,[1]quests!$1:$1,0)-MATCH($B$1,[1]quests!$1:$1,0)+1),MATCH(D$1,[1]quests!$1:$1,0)-MATCH($B$1,[1]quests!$1:$1,0)+1,FALSE)</f>
        <v>ドロップイベント2-3（マルチ専用）</v>
      </c>
      <c r="E904" s="5">
        <v>1</v>
      </c>
      <c r="F904" s="3" t="str">
        <f ca="1">VLOOKUP($B904&amp;"_"&amp;$E904,OFFSET([1]stages!$A$1,0,0,COUNTA([1]stages!$A:$A),MATCH(F$1,[1]stages!$2:$2,0)-MATCH("temp_stage",[1]stages!$2:$2,0)+1),MATCH(F$1,[1]stages!$2:$2,0)-MATCH("temp_stage",[1]stages!$2:$2,0)+1,FALSE)</f>
        <v>【中級】それはお前を食べるためさ</v>
      </c>
      <c r="G904" s="3" t="str">
        <f ca="1">VLOOKUP($B904&amp;"_"&amp;$E904,OFFSET([1]stages!$A$1,0,0,COUNTA([1]stages!$A:$A),MATCH(G$1,[1]stages!$2:$2,0)-MATCH("temp_stage",[1]stages!$2:$2,0)+1),MATCH(G$1,[1]stages!$2:$2,0)-MATCH("temp_stage",[1]stages!$2:$2,0)+1,FALSE)</f>
        <v>ドロップイベント2-3（マルチ専用）</v>
      </c>
      <c r="H904" s="18">
        <v>0</v>
      </c>
      <c r="I904">
        <v>8</v>
      </c>
      <c r="J904" s="5" t="s">
        <v>16</v>
      </c>
      <c r="K904" s="35" t="str">
        <f>VLOOKUP(I904,[2]stage_hints!$A:$C,3,FALSE)</f>
        <v>ゲリラクエストは要チェック</v>
      </c>
      <c r="L904" s="36" t="str">
        <f>VLOOKUP(I904,[2]stage_hints!$A:$D,4,FALSE)</f>
        <v>時間限定の「アヒル捕獲作戦」では_x000D_経験値素材ユニットが多く手に入ります</v>
      </c>
      <c r="M904" s="21" t="s">
        <v>23</v>
      </c>
      <c r="N904">
        <v>8</v>
      </c>
    </row>
    <row r="905" spans="1:14" x14ac:dyDescent="0.15">
      <c r="A905" s="26" t="s">
        <v>32</v>
      </c>
      <c r="B905" s="4">
        <v>30006</v>
      </c>
      <c r="C905" s="3" t="str">
        <f ca="1">VLOOKUP($B905,OFFSET([1]quests!$A$1,0,0,COUNTA([1]quests!$A:$A),MATCH(C$1,[1]quests!$1:$1,0)-MATCH($B$1,[1]quests!$1:$1,0)+1),MATCH(C$1,[1]quests!$1:$1,0)-MATCH($B$1,[1]quests!$1:$1,0)+1,FALSE)</f>
        <v>それはお前を食べるためさ</v>
      </c>
      <c r="D905" s="3" t="str">
        <f ca="1">VLOOKUP($B905,OFFSET([1]quests!$A$1,0,0,COUNTA([1]quests!$A:$A),MATCH(D$1,[1]quests!$1:$1,0)-MATCH($B$1,[1]quests!$1:$1,0)+1),MATCH(D$1,[1]quests!$1:$1,0)-MATCH($B$1,[1]quests!$1:$1,0)+1,FALSE)</f>
        <v>ドロップイベント2-3（マルチ専用）</v>
      </c>
      <c r="E905" s="5">
        <v>1</v>
      </c>
      <c r="F905" s="3" t="str">
        <f ca="1">VLOOKUP($B905&amp;"_"&amp;$E905,OFFSET([1]stages!$A$1,0,0,COUNTA([1]stages!$A:$A),MATCH(F$1,[1]stages!$2:$2,0)-MATCH("temp_stage",[1]stages!$2:$2,0)+1),MATCH(F$1,[1]stages!$2:$2,0)-MATCH("temp_stage",[1]stages!$2:$2,0)+1,FALSE)</f>
        <v>【中級】それはお前を食べるためさ</v>
      </c>
      <c r="G905" s="3" t="str">
        <f ca="1">VLOOKUP($B905&amp;"_"&amp;$E905,OFFSET([1]stages!$A$1,0,0,COUNTA([1]stages!$A:$A),MATCH(G$1,[1]stages!$2:$2,0)-MATCH("temp_stage",[1]stages!$2:$2,0)+1),MATCH(G$1,[1]stages!$2:$2,0)-MATCH("temp_stage",[1]stages!$2:$2,0)+1,FALSE)</f>
        <v>ドロップイベント2-3（マルチ専用）</v>
      </c>
      <c r="H905" s="18">
        <v>0</v>
      </c>
      <c r="I905">
        <v>9</v>
      </c>
      <c r="J905" s="5" t="s">
        <v>16</v>
      </c>
      <c r="K905" s="35" t="str">
        <f>VLOOKUP(I905,[2]stage_hints!$A:$C,3,FALSE)</f>
        <v>ゴールドダックでビットを獲得</v>
      </c>
      <c r="L905" s="36" t="str">
        <f>VLOOKUP(I905,[2]stage_hints!$A:$D,4,FALSE)</f>
        <v>「ゴールドなアヒル」を売却すると_x000D_大量のビットがもらえます</v>
      </c>
      <c r="M905" s="21" t="s">
        <v>23</v>
      </c>
      <c r="N905">
        <v>9</v>
      </c>
    </row>
    <row r="906" spans="1:14" x14ac:dyDescent="0.15">
      <c r="A906" s="26" t="s">
        <v>32</v>
      </c>
      <c r="B906" s="4">
        <v>30006</v>
      </c>
      <c r="C906" s="3" t="str">
        <f ca="1">VLOOKUP($B906,OFFSET([1]quests!$A$1,0,0,COUNTA([1]quests!$A:$A),MATCH(C$1,[1]quests!$1:$1,0)-MATCH($B$1,[1]quests!$1:$1,0)+1),MATCH(C$1,[1]quests!$1:$1,0)-MATCH($B$1,[1]quests!$1:$1,0)+1,FALSE)</f>
        <v>それはお前を食べるためさ</v>
      </c>
      <c r="D906" s="3" t="str">
        <f ca="1">VLOOKUP($B906,OFFSET([1]quests!$A$1,0,0,COUNTA([1]quests!$A:$A),MATCH(D$1,[1]quests!$1:$1,0)-MATCH($B$1,[1]quests!$1:$1,0)+1),MATCH(D$1,[1]quests!$1:$1,0)-MATCH($B$1,[1]quests!$1:$1,0)+1,FALSE)</f>
        <v>ドロップイベント2-3（マルチ専用）</v>
      </c>
      <c r="E906" s="5">
        <v>1</v>
      </c>
      <c r="F906" s="3" t="str">
        <f ca="1">VLOOKUP($B906&amp;"_"&amp;$E906,OFFSET([1]stages!$A$1,0,0,COUNTA([1]stages!$A:$A),MATCH(F$1,[1]stages!$2:$2,0)-MATCH("temp_stage",[1]stages!$2:$2,0)+1),MATCH(F$1,[1]stages!$2:$2,0)-MATCH("temp_stage",[1]stages!$2:$2,0)+1,FALSE)</f>
        <v>【中級】それはお前を食べるためさ</v>
      </c>
      <c r="G906" s="3" t="str">
        <f ca="1">VLOOKUP($B906&amp;"_"&amp;$E906,OFFSET([1]stages!$A$1,0,0,COUNTA([1]stages!$A:$A),MATCH(G$1,[1]stages!$2:$2,0)-MATCH("temp_stage",[1]stages!$2:$2,0)+1),MATCH(G$1,[1]stages!$2:$2,0)-MATCH("temp_stage",[1]stages!$2:$2,0)+1,FALSE)</f>
        <v>ドロップイベント2-3（マルチ専用）</v>
      </c>
      <c r="H906" s="18">
        <v>0</v>
      </c>
      <c r="I906">
        <v>10</v>
      </c>
      <c r="J906" s="5" t="s">
        <v>16</v>
      </c>
      <c r="K906" s="35" t="str">
        <f>VLOOKUP(I906,[2]stage_hints!$A:$C,3,FALSE)</f>
        <v>土日に大量のビットを獲得</v>
      </c>
      <c r="L906" s="36" t="str">
        <f>VLOOKUP(I906,[2]stage_hints!$A:$D,4,FALSE)</f>
        <v>土日限定の「ゴールドカジノ」では_x000D_売却素材ユニットが多く手に入ります</v>
      </c>
      <c r="M906" s="21" t="s">
        <v>23</v>
      </c>
      <c r="N906">
        <v>10</v>
      </c>
    </row>
    <row r="907" spans="1:14" x14ac:dyDescent="0.15">
      <c r="A907" s="26" t="s">
        <v>32</v>
      </c>
      <c r="B907" s="4">
        <v>30006</v>
      </c>
      <c r="C907" s="3" t="str">
        <f ca="1">VLOOKUP($B907,OFFSET([1]quests!$A$1,0,0,COUNTA([1]quests!$A:$A),MATCH(C$1,[1]quests!$1:$1,0)-MATCH($B$1,[1]quests!$1:$1,0)+1),MATCH(C$1,[1]quests!$1:$1,0)-MATCH($B$1,[1]quests!$1:$1,0)+1,FALSE)</f>
        <v>それはお前を食べるためさ</v>
      </c>
      <c r="D907" s="3" t="str">
        <f ca="1">VLOOKUP($B907,OFFSET([1]quests!$A$1,0,0,COUNTA([1]quests!$A:$A),MATCH(D$1,[1]quests!$1:$1,0)-MATCH($B$1,[1]quests!$1:$1,0)+1),MATCH(D$1,[1]quests!$1:$1,0)-MATCH($B$1,[1]quests!$1:$1,0)+1,FALSE)</f>
        <v>ドロップイベント2-3（マルチ専用）</v>
      </c>
      <c r="E907" s="5">
        <v>1</v>
      </c>
      <c r="F907" s="3" t="str">
        <f ca="1">VLOOKUP($B907&amp;"_"&amp;$E907,OFFSET([1]stages!$A$1,0,0,COUNTA([1]stages!$A:$A),MATCH(F$1,[1]stages!$2:$2,0)-MATCH("temp_stage",[1]stages!$2:$2,0)+1),MATCH(F$1,[1]stages!$2:$2,0)-MATCH("temp_stage",[1]stages!$2:$2,0)+1,FALSE)</f>
        <v>【中級】それはお前を食べるためさ</v>
      </c>
      <c r="G907" s="3" t="str">
        <f ca="1">VLOOKUP($B907&amp;"_"&amp;$E907,OFFSET([1]stages!$A$1,0,0,COUNTA([1]stages!$A:$A),MATCH(G$1,[1]stages!$2:$2,0)-MATCH("temp_stage",[1]stages!$2:$2,0)+1),MATCH(G$1,[1]stages!$2:$2,0)-MATCH("temp_stage",[1]stages!$2:$2,0)+1,FALSE)</f>
        <v>ドロップイベント2-3（マルチ専用）</v>
      </c>
      <c r="H907" s="18">
        <v>0</v>
      </c>
      <c r="I907">
        <v>11</v>
      </c>
      <c r="J907" s="5" t="s">
        <v>16</v>
      </c>
      <c r="K907" s="35" t="str">
        <f>VLOOKUP(I907,[2]stage_hints!$A:$C,3,FALSE)</f>
        <v>ランク解放クエスト</v>
      </c>
      <c r="L907" s="36" t="str">
        <f>VLOOKUP(I907,[2]stage_hints!$A:$D,4,FALSE)</f>
        <v>一定ランクに到達すると_x000D_報酬付きのランク開放クエストが現れます</v>
      </c>
      <c r="M907" s="21" t="s">
        <v>23</v>
      </c>
      <c r="N907">
        <v>11</v>
      </c>
    </row>
    <row r="908" spans="1:14" x14ac:dyDescent="0.15">
      <c r="A908" s="26" t="s">
        <v>32</v>
      </c>
      <c r="B908" s="4">
        <v>30006</v>
      </c>
      <c r="C908" s="3" t="str">
        <f ca="1">VLOOKUP($B908,OFFSET([1]quests!$A$1,0,0,COUNTA([1]quests!$A:$A),MATCH(C$1,[1]quests!$1:$1,0)-MATCH($B$1,[1]quests!$1:$1,0)+1),MATCH(C$1,[1]quests!$1:$1,0)-MATCH($B$1,[1]quests!$1:$1,0)+1,FALSE)</f>
        <v>それはお前を食べるためさ</v>
      </c>
      <c r="D908" s="3" t="str">
        <f ca="1">VLOOKUP($B908,OFFSET([1]quests!$A$1,0,0,COUNTA([1]quests!$A:$A),MATCH(D$1,[1]quests!$1:$1,0)-MATCH($B$1,[1]quests!$1:$1,0)+1),MATCH(D$1,[1]quests!$1:$1,0)-MATCH($B$1,[1]quests!$1:$1,0)+1,FALSE)</f>
        <v>ドロップイベント2-3（マルチ専用）</v>
      </c>
      <c r="E908" s="5">
        <v>1</v>
      </c>
      <c r="F908" s="3" t="str">
        <f ca="1">VLOOKUP($B908&amp;"_"&amp;$E908,OFFSET([1]stages!$A$1,0,0,COUNTA([1]stages!$A:$A),MATCH(F$1,[1]stages!$2:$2,0)-MATCH("temp_stage",[1]stages!$2:$2,0)+1),MATCH(F$1,[1]stages!$2:$2,0)-MATCH("temp_stage",[1]stages!$2:$2,0)+1,FALSE)</f>
        <v>【中級】それはお前を食べるためさ</v>
      </c>
      <c r="G908" s="3" t="str">
        <f ca="1">VLOOKUP($B908&amp;"_"&amp;$E908,OFFSET([1]stages!$A$1,0,0,COUNTA([1]stages!$A:$A),MATCH(G$1,[1]stages!$2:$2,0)-MATCH("temp_stage",[1]stages!$2:$2,0)+1),MATCH(G$1,[1]stages!$2:$2,0)-MATCH("temp_stage",[1]stages!$2:$2,0)+1,FALSE)</f>
        <v>ドロップイベント2-3（マルチ専用）</v>
      </c>
      <c r="H908" s="18">
        <v>0</v>
      </c>
      <c r="I908">
        <v>12</v>
      </c>
      <c r="J908" s="5" t="s">
        <v>16</v>
      </c>
      <c r="K908" s="35" t="str">
        <f>VLOOKUP(I908,[2]stage_hints!$A:$C,3,FALSE)</f>
        <v>ユニットのお気に入り登録</v>
      </c>
      <c r="L908" s="36" t="str">
        <f>VLOOKUP(I908,[2]stage_hints!$A:$D,4,FALSE)</f>
        <v>大事なユニットを誤って消さないように_x000D_フォルダから「お気に入り登録」しましょう</v>
      </c>
      <c r="M908" s="21" t="s">
        <v>23</v>
      </c>
      <c r="N908">
        <v>12</v>
      </c>
    </row>
    <row r="909" spans="1:14" x14ac:dyDescent="0.15">
      <c r="A909" s="26" t="s">
        <v>32</v>
      </c>
      <c r="B909" s="4">
        <v>30006</v>
      </c>
      <c r="C909" s="3" t="str">
        <f ca="1">VLOOKUP($B909,OFFSET([1]quests!$A$1,0,0,COUNTA([1]quests!$A:$A),MATCH(C$1,[1]quests!$1:$1,0)-MATCH($B$1,[1]quests!$1:$1,0)+1),MATCH(C$1,[1]quests!$1:$1,0)-MATCH($B$1,[1]quests!$1:$1,0)+1,FALSE)</f>
        <v>それはお前を食べるためさ</v>
      </c>
      <c r="D909" s="3" t="str">
        <f ca="1">VLOOKUP($B909,OFFSET([1]quests!$A$1,0,0,COUNTA([1]quests!$A:$A),MATCH(D$1,[1]quests!$1:$1,0)-MATCH($B$1,[1]quests!$1:$1,0)+1),MATCH(D$1,[1]quests!$1:$1,0)-MATCH($B$1,[1]quests!$1:$1,0)+1,FALSE)</f>
        <v>ドロップイベント2-3（マルチ専用）</v>
      </c>
      <c r="E909" s="5">
        <v>1</v>
      </c>
      <c r="F909" s="3" t="str">
        <f ca="1">VLOOKUP($B909&amp;"_"&amp;$E909,OFFSET([1]stages!$A$1,0,0,COUNTA([1]stages!$A:$A),MATCH(F$1,[1]stages!$2:$2,0)-MATCH("temp_stage",[1]stages!$2:$2,0)+1),MATCH(F$1,[1]stages!$2:$2,0)-MATCH("temp_stage",[1]stages!$2:$2,0)+1,FALSE)</f>
        <v>【中級】それはお前を食べるためさ</v>
      </c>
      <c r="G909" s="3" t="str">
        <f ca="1">VLOOKUP($B909&amp;"_"&amp;$E909,OFFSET([1]stages!$A$1,0,0,COUNTA([1]stages!$A:$A),MATCH(G$1,[1]stages!$2:$2,0)-MATCH("temp_stage",[1]stages!$2:$2,0)+1),MATCH(G$1,[1]stages!$2:$2,0)-MATCH("temp_stage",[1]stages!$2:$2,0)+1,FALSE)</f>
        <v>ドロップイベント2-3（マルチ専用）</v>
      </c>
      <c r="H909" s="18">
        <v>0</v>
      </c>
      <c r="I909">
        <v>13</v>
      </c>
      <c r="J909" s="5" t="s">
        <v>16</v>
      </c>
      <c r="K909" s="35" t="str">
        <f>VLOOKUP(I909,[2]stage_hints!$A:$C,3,FALSE)</f>
        <v>ユニットの覚醒</v>
      </c>
      <c r="L909" s="36" t="str">
        <f>VLOOKUP(I909,[2]stage_hints!$A:$D,4,FALSE)</f>
        <v>ユニットを覚醒させると_x000D_比べものにならない強さが手に入ります</v>
      </c>
      <c r="M909" s="21" t="s">
        <v>23</v>
      </c>
      <c r="N909">
        <v>13</v>
      </c>
    </row>
    <row r="910" spans="1:14" x14ac:dyDescent="0.15">
      <c r="A910" s="26" t="s">
        <v>32</v>
      </c>
      <c r="B910" s="4">
        <v>30006</v>
      </c>
      <c r="C910" s="3" t="str">
        <f ca="1">VLOOKUP($B910,OFFSET([1]quests!$A$1,0,0,COUNTA([1]quests!$A:$A),MATCH(C$1,[1]quests!$1:$1,0)-MATCH($B$1,[1]quests!$1:$1,0)+1),MATCH(C$1,[1]quests!$1:$1,0)-MATCH($B$1,[1]quests!$1:$1,0)+1,FALSE)</f>
        <v>それはお前を食べるためさ</v>
      </c>
      <c r="D910" s="3" t="str">
        <f ca="1">VLOOKUP($B910,OFFSET([1]quests!$A$1,0,0,COUNTA([1]quests!$A:$A),MATCH(D$1,[1]quests!$1:$1,0)-MATCH($B$1,[1]quests!$1:$1,0)+1),MATCH(D$1,[1]quests!$1:$1,0)-MATCH($B$1,[1]quests!$1:$1,0)+1,FALSE)</f>
        <v>ドロップイベント2-3（マルチ専用）</v>
      </c>
      <c r="E910" s="5">
        <v>1</v>
      </c>
      <c r="F910" s="3" t="str">
        <f ca="1">VLOOKUP($B910&amp;"_"&amp;$E910,OFFSET([1]stages!$A$1,0,0,COUNTA([1]stages!$A:$A),MATCH(F$1,[1]stages!$2:$2,0)-MATCH("temp_stage",[1]stages!$2:$2,0)+1),MATCH(F$1,[1]stages!$2:$2,0)-MATCH("temp_stage",[1]stages!$2:$2,0)+1,FALSE)</f>
        <v>【中級】それはお前を食べるためさ</v>
      </c>
      <c r="G910" s="3" t="str">
        <f ca="1">VLOOKUP($B910&amp;"_"&amp;$E910,OFFSET([1]stages!$A$1,0,0,COUNTA([1]stages!$A:$A),MATCH(G$1,[1]stages!$2:$2,0)-MATCH("temp_stage",[1]stages!$2:$2,0)+1),MATCH(G$1,[1]stages!$2:$2,0)-MATCH("temp_stage",[1]stages!$2:$2,0)+1,FALSE)</f>
        <v>ドロップイベント2-3（マルチ専用）</v>
      </c>
      <c r="H910" s="18">
        <v>0</v>
      </c>
      <c r="I910">
        <v>14</v>
      </c>
      <c r="J910" s="5" t="s">
        <v>16</v>
      </c>
      <c r="K910" s="35" t="str">
        <f>VLOOKUP(I910,[2]stage_hints!$A:$C,3,FALSE)</f>
        <v>覚醒するにはレベルを最大に</v>
      </c>
      <c r="L910" s="36" t="str">
        <f>VLOOKUP(I910,[2]stage_hints!$A:$D,4,FALSE)</f>
        <v>覚醒するにはユニットのレベルを_x000D_最大まで上げる必要があります</v>
      </c>
      <c r="M910" s="21" t="s">
        <v>23</v>
      </c>
      <c r="N910">
        <v>14</v>
      </c>
    </row>
    <row r="911" spans="1:14" x14ac:dyDescent="0.15">
      <c r="A911" s="26" t="s">
        <v>32</v>
      </c>
      <c r="B911" s="4">
        <v>30006</v>
      </c>
      <c r="C911" s="3" t="str">
        <f ca="1">VLOOKUP($B911,OFFSET([1]quests!$A$1,0,0,COUNTA([1]quests!$A:$A),MATCH(C$1,[1]quests!$1:$1,0)-MATCH($B$1,[1]quests!$1:$1,0)+1),MATCH(C$1,[1]quests!$1:$1,0)-MATCH($B$1,[1]quests!$1:$1,0)+1,FALSE)</f>
        <v>それはお前を食べるためさ</v>
      </c>
      <c r="D911" s="3" t="str">
        <f ca="1">VLOOKUP($B911,OFFSET([1]quests!$A$1,0,0,COUNTA([1]quests!$A:$A),MATCH(D$1,[1]quests!$1:$1,0)-MATCH($B$1,[1]quests!$1:$1,0)+1),MATCH(D$1,[1]quests!$1:$1,0)-MATCH($B$1,[1]quests!$1:$1,0)+1,FALSE)</f>
        <v>ドロップイベント2-3（マルチ専用）</v>
      </c>
      <c r="E911" s="5">
        <v>1</v>
      </c>
      <c r="F911" s="3" t="str">
        <f ca="1">VLOOKUP($B911&amp;"_"&amp;$E911,OFFSET([1]stages!$A$1,0,0,COUNTA([1]stages!$A:$A),MATCH(F$1,[1]stages!$2:$2,0)-MATCH("temp_stage",[1]stages!$2:$2,0)+1),MATCH(F$1,[1]stages!$2:$2,0)-MATCH("temp_stage",[1]stages!$2:$2,0)+1,FALSE)</f>
        <v>【中級】それはお前を食べるためさ</v>
      </c>
      <c r="G911" s="3" t="str">
        <f ca="1">VLOOKUP($B911&amp;"_"&amp;$E911,OFFSET([1]stages!$A$1,0,0,COUNTA([1]stages!$A:$A),MATCH(G$1,[1]stages!$2:$2,0)-MATCH("temp_stage",[1]stages!$2:$2,0)+1),MATCH(G$1,[1]stages!$2:$2,0)-MATCH("temp_stage",[1]stages!$2:$2,0)+1,FALSE)</f>
        <v>ドロップイベント2-3（マルチ専用）</v>
      </c>
      <c r="H911" s="18">
        <v>0</v>
      </c>
      <c r="I911">
        <v>15</v>
      </c>
      <c r="J911" s="5" t="s">
        <v>16</v>
      </c>
      <c r="K911" s="35" t="str">
        <f>VLOOKUP(I911,[2]stage_hints!$A:$C,3,FALSE)</f>
        <v>覚醒素材を獲得</v>
      </c>
      <c r="L911" s="36" t="str">
        <f>VLOOKUP(I911,[2]stage_hints!$A:$D,4,FALSE)</f>
        <v>「曜日クエスト」では_x000D_ユニットの覚醒に必要な素材が手に入ります</v>
      </c>
      <c r="M911" s="21" t="s">
        <v>23</v>
      </c>
      <c r="N911">
        <v>15</v>
      </c>
    </row>
    <row r="912" spans="1:14" x14ac:dyDescent="0.15">
      <c r="A912" s="26" t="s">
        <v>32</v>
      </c>
      <c r="B912" s="4">
        <v>30006</v>
      </c>
      <c r="C912" s="3" t="str">
        <f ca="1">VLOOKUP($B912,OFFSET([1]quests!$A$1,0,0,COUNTA([1]quests!$A:$A),MATCH(C$1,[1]quests!$1:$1,0)-MATCH($B$1,[1]quests!$1:$1,0)+1),MATCH(C$1,[1]quests!$1:$1,0)-MATCH($B$1,[1]quests!$1:$1,0)+1,FALSE)</f>
        <v>それはお前を食べるためさ</v>
      </c>
      <c r="D912" s="3" t="str">
        <f ca="1">VLOOKUP($B912,OFFSET([1]quests!$A$1,0,0,COUNTA([1]quests!$A:$A),MATCH(D$1,[1]quests!$1:$1,0)-MATCH($B$1,[1]quests!$1:$1,0)+1),MATCH(D$1,[1]quests!$1:$1,0)-MATCH($B$1,[1]quests!$1:$1,0)+1,FALSE)</f>
        <v>ドロップイベント2-3（マルチ専用）</v>
      </c>
      <c r="E912" s="5">
        <v>1</v>
      </c>
      <c r="F912" s="3" t="str">
        <f ca="1">VLOOKUP($B912&amp;"_"&amp;$E912,OFFSET([1]stages!$A$1,0,0,COUNTA([1]stages!$A:$A),MATCH(F$1,[1]stages!$2:$2,0)-MATCH("temp_stage",[1]stages!$2:$2,0)+1),MATCH(F$1,[1]stages!$2:$2,0)-MATCH("temp_stage",[1]stages!$2:$2,0)+1,FALSE)</f>
        <v>【中級】それはお前を食べるためさ</v>
      </c>
      <c r="G912" s="3" t="str">
        <f ca="1">VLOOKUP($B912&amp;"_"&amp;$E912,OFFSET([1]stages!$A$1,0,0,COUNTA([1]stages!$A:$A),MATCH(G$1,[1]stages!$2:$2,0)-MATCH("temp_stage",[1]stages!$2:$2,0)+1),MATCH(G$1,[1]stages!$2:$2,0)-MATCH("temp_stage",[1]stages!$2:$2,0)+1,FALSE)</f>
        <v>ドロップイベント2-3（マルチ専用）</v>
      </c>
      <c r="H912" s="18">
        <v>0</v>
      </c>
      <c r="I912">
        <v>16</v>
      </c>
      <c r="J912" s="5" t="s">
        <v>16</v>
      </c>
      <c r="K912" s="35" t="str">
        <f>VLOOKUP(I912,[2]stage_hints!$A:$C,3,FALSE)</f>
        <v>マルチプレイのメリット（その1）</v>
      </c>
      <c r="L912" s="36" t="str">
        <f>VLOOKUP(I912,[2]stage_hints!$A:$D,4,FALSE)</f>
        <v>他のプレイヤーとマルチプレイで遊ぶと_x000D_ポリゴンがもらえます（100人まで）</v>
      </c>
      <c r="M912" s="21" t="s">
        <v>23</v>
      </c>
      <c r="N912">
        <v>16</v>
      </c>
    </row>
    <row r="913" spans="1:14" x14ac:dyDescent="0.15">
      <c r="A913" s="26" t="s">
        <v>32</v>
      </c>
      <c r="B913" s="4">
        <v>30006</v>
      </c>
      <c r="C913" s="3" t="str">
        <f ca="1">VLOOKUP($B913,OFFSET([1]quests!$A$1,0,0,COUNTA([1]quests!$A:$A),MATCH(C$1,[1]quests!$1:$1,0)-MATCH($B$1,[1]quests!$1:$1,0)+1),MATCH(C$1,[1]quests!$1:$1,0)-MATCH($B$1,[1]quests!$1:$1,0)+1,FALSE)</f>
        <v>それはお前を食べるためさ</v>
      </c>
      <c r="D913" s="3" t="str">
        <f ca="1">VLOOKUP($B913,OFFSET([1]quests!$A$1,0,0,COUNTA([1]quests!$A:$A),MATCH(D$1,[1]quests!$1:$1,0)-MATCH($B$1,[1]quests!$1:$1,0)+1),MATCH(D$1,[1]quests!$1:$1,0)-MATCH($B$1,[1]quests!$1:$1,0)+1,FALSE)</f>
        <v>ドロップイベント2-3（マルチ専用）</v>
      </c>
      <c r="E913" s="5">
        <v>1</v>
      </c>
      <c r="F913" s="3" t="str">
        <f ca="1">VLOOKUP($B913&amp;"_"&amp;$E913,OFFSET([1]stages!$A$1,0,0,COUNTA([1]stages!$A:$A),MATCH(F$1,[1]stages!$2:$2,0)-MATCH("temp_stage",[1]stages!$2:$2,0)+1),MATCH(F$1,[1]stages!$2:$2,0)-MATCH("temp_stage",[1]stages!$2:$2,0)+1,FALSE)</f>
        <v>【中級】それはお前を食べるためさ</v>
      </c>
      <c r="G913" s="3" t="str">
        <f ca="1">VLOOKUP($B913&amp;"_"&amp;$E913,OFFSET([1]stages!$A$1,0,0,COUNTA([1]stages!$A:$A),MATCH(G$1,[1]stages!$2:$2,0)-MATCH("temp_stage",[1]stages!$2:$2,0)+1),MATCH(G$1,[1]stages!$2:$2,0)-MATCH("temp_stage",[1]stages!$2:$2,0)+1,FALSE)</f>
        <v>ドロップイベント2-3（マルチ専用）</v>
      </c>
      <c r="H913" s="18">
        <v>0</v>
      </c>
      <c r="I913">
        <v>17</v>
      </c>
      <c r="J913" s="5" t="s">
        <v>16</v>
      </c>
      <c r="K913" s="35" t="str">
        <f>VLOOKUP(I913,[2]stage_hints!$A:$C,3,FALSE)</f>
        <v>リンクガチャ</v>
      </c>
      <c r="L913" s="36" t="str">
        <f>VLOOKUP(I913,[2]stage_hints!$A:$D,4,FALSE)</f>
        <v>無料のリンクガチャを回して_x000D_経験値素材や売却素材を獲得しましょう</v>
      </c>
      <c r="M913" s="21" t="s">
        <v>23</v>
      </c>
      <c r="N913">
        <v>17</v>
      </c>
    </row>
    <row r="914" spans="1:14" x14ac:dyDescent="0.15">
      <c r="A914" s="26" t="s">
        <v>32</v>
      </c>
      <c r="B914" s="4">
        <v>30006</v>
      </c>
      <c r="C914" s="3" t="str">
        <f ca="1">VLOOKUP($B914,OFFSET([1]quests!$A$1,0,0,COUNTA([1]quests!$A:$A),MATCH(C$1,[1]quests!$1:$1,0)-MATCH($B$1,[1]quests!$1:$1,0)+1),MATCH(C$1,[1]quests!$1:$1,0)-MATCH($B$1,[1]quests!$1:$1,0)+1,FALSE)</f>
        <v>それはお前を食べるためさ</v>
      </c>
      <c r="D914" s="3" t="str">
        <f ca="1">VLOOKUP($B914,OFFSET([1]quests!$A$1,0,0,COUNTA([1]quests!$A:$A),MATCH(D$1,[1]quests!$1:$1,0)-MATCH($B$1,[1]quests!$1:$1,0)+1),MATCH(D$1,[1]quests!$1:$1,0)-MATCH($B$1,[1]quests!$1:$1,0)+1,FALSE)</f>
        <v>ドロップイベント2-3（マルチ専用）</v>
      </c>
      <c r="E914" s="5">
        <v>1</v>
      </c>
      <c r="F914" s="3" t="str">
        <f ca="1">VLOOKUP($B914&amp;"_"&amp;$E914,OFFSET([1]stages!$A$1,0,0,COUNTA([1]stages!$A:$A),MATCH(F$1,[1]stages!$2:$2,0)-MATCH("temp_stage",[1]stages!$2:$2,0)+1),MATCH(F$1,[1]stages!$2:$2,0)-MATCH("temp_stage",[1]stages!$2:$2,0)+1,FALSE)</f>
        <v>【中級】それはお前を食べるためさ</v>
      </c>
      <c r="G914" s="3" t="str">
        <f ca="1">VLOOKUP($B914&amp;"_"&amp;$E914,OFFSET([1]stages!$A$1,0,0,COUNTA([1]stages!$A:$A),MATCH(G$1,[1]stages!$2:$2,0)-MATCH("temp_stage",[1]stages!$2:$2,0)+1),MATCH(G$1,[1]stages!$2:$2,0)-MATCH("temp_stage",[1]stages!$2:$2,0)+1,FALSE)</f>
        <v>ドロップイベント2-3（マルチ専用）</v>
      </c>
      <c r="H914" s="18">
        <v>0</v>
      </c>
      <c r="I914">
        <v>18</v>
      </c>
      <c r="J914" s="5" t="s">
        <v>16</v>
      </c>
      <c r="K914" s="35" t="str">
        <f>VLOOKUP(I914,[2]stage_hints!$A:$C,3,FALSE)</f>
        <v>マルチプレイのメリット（その2）</v>
      </c>
      <c r="L914" s="36" t="str">
        <f>VLOOKUP(I914,[2]stage_hints!$A:$D,4,FALSE)</f>
        <v>マルチプレイならリンクが2倍もらえます_x000D_リンクガチャをたくさん回しましょう</v>
      </c>
      <c r="M914" s="21" t="s">
        <v>23</v>
      </c>
      <c r="N914">
        <v>18</v>
      </c>
    </row>
    <row r="915" spans="1:14" x14ac:dyDescent="0.15">
      <c r="A915" s="26" t="s">
        <v>32</v>
      </c>
      <c r="B915" s="4">
        <v>30006</v>
      </c>
      <c r="C915" s="3" t="str">
        <f ca="1">VLOOKUP($B915,OFFSET([1]quests!$A$1,0,0,COUNTA([1]quests!$A:$A),MATCH(C$1,[1]quests!$1:$1,0)-MATCH($B$1,[1]quests!$1:$1,0)+1),MATCH(C$1,[1]quests!$1:$1,0)-MATCH($B$1,[1]quests!$1:$1,0)+1,FALSE)</f>
        <v>それはお前を食べるためさ</v>
      </c>
      <c r="D915" s="3" t="str">
        <f ca="1">VLOOKUP($B915,OFFSET([1]quests!$A$1,0,0,COUNTA([1]quests!$A:$A),MATCH(D$1,[1]quests!$1:$1,0)-MATCH($B$1,[1]quests!$1:$1,0)+1),MATCH(D$1,[1]quests!$1:$1,0)-MATCH($B$1,[1]quests!$1:$1,0)+1,FALSE)</f>
        <v>ドロップイベント2-3（マルチ専用）</v>
      </c>
      <c r="E915" s="5">
        <v>1</v>
      </c>
      <c r="F915" s="3" t="str">
        <f ca="1">VLOOKUP($B915&amp;"_"&amp;$E915,OFFSET([1]stages!$A$1,0,0,COUNTA([1]stages!$A:$A),MATCH(F$1,[1]stages!$2:$2,0)-MATCH("temp_stage",[1]stages!$2:$2,0)+1),MATCH(F$1,[1]stages!$2:$2,0)-MATCH("temp_stage",[1]stages!$2:$2,0)+1,FALSE)</f>
        <v>【中級】それはお前を食べるためさ</v>
      </c>
      <c r="G915" s="3" t="str">
        <f ca="1">VLOOKUP($B915&amp;"_"&amp;$E915,OFFSET([1]stages!$A$1,0,0,COUNTA([1]stages!$A:$A),MATCH(G$1,[1]stages!$2:$2,0)-MATCH("temp_stage",[1]stages!$2:$2,0)+1),MATCH(G$1,[1]stages!$2:$2,0)-MATCH("temp_stage",[1]stages!$2:$2,0)+1,FALSE)</f>
        <v>ドロップイベント2-3（マルチ専用）</v>
      </c>
      <c r="H915" s="18">
        <v>0</v>
      </c>
      <c r="I915">
        <v>19</v>
      </c>
      <c r="J915" s="5" t="s">
        <v>16</v>
      </c>
      <c r="K915" s="35" t="str">
        <f>VLOOKUP(I915,[2]stage_hints!$A:$C,3,FALSE)</f>
        <v>ソロ専用チャレンジタワー</v>
      </c>
      <c r="L915" s="36" t="str">
        <f>VLOOKUP(I915,[2]stage_hints!$A:$D,4,FALSE)</f>
        <v>ソロ専用の「チャレンジタワー」では_x000D_各フロアごとにクリア報酬がもらえます</v>
      </c>
      <c r="M915" s="21" t="s">
        <v>23</v>
      </c>
      <c r="N915">
        <v>19</v>
      </c>
    </row>
    <row r="916" spans="1:14" x14ac:dyDescent="0.15">
      <c r="A916" s="26" t="s">
        <v>32</v>
      </c>
      <c r="B916" s="4">
        <v>30006</v>
      </c>
      <c r="C916" s="3" t="str">
        <f ca="1">VLOOKUP($B916,OFFSET([1]quests!$A$1,0,0,COUNTA([1]quests!$A:$A),MATCH(C$1,[1]quests!$1:$1,0)-MATCH($B$1,[1]quests!$1:$1,0)+1),MATCH(C$1,[1]quests!$1:$1,0)-MATCH($B$1,[1]quests!$1:$1,0)+1,FALSE)</f>
        <v>それはお前を食べるためさ</v>
      </c>
      <c r="D916" s="3" t="str">
        <f ca="1">VLOOKUP($B916,OFFSET([1]quests!$A$1,0,0,COUNTA([1]quests!$A:$A),MATCH(D$1,[1]quests!$1:$1,0)-MATCH($B$1,[1]quests!$1:$1,0)+1),MATCH(D$1,[1]quests!$1:$1,0)-MATCH($B$1,[1]quests!$1:$1,0)+1,FALSE)</f>
        <v>ドロップイベント2-3（マルチ専用）</v>
      </c>
      <c r="E916" s="5">
        <v>1</v>
      </c>
      <c r="F916" s="3" t="str">
        <f ca="1">VLOOKUP($B916&amp;"_"&amp;$E916,OFFSET([1]stages!$A$1,0,0,COUNTA([1]stages!$A:$A),MATCH(F$1,[1]stages!$2:$2,0)-MATCH("temp_stage",[1]stages!$2:$2,0)+1),MATCH(F$1,[1]stages!$2:$2,0)-MATCH("temp_stage",[1]stages!$2:$2,0)+1,FALSE)</f>
        <v>【中級】それはお前を食べるためさ</v>
      </c>
      <c r="G916" s="3" t="str">
        <f ca="1">VLOOKUP($B916&amp;"_"&amp;$E916,OFFSET([1]stages!$A$1,0,0,COUNTA([1]stages!$A:$A),MATCH(G$1,[1]stages!$2:$2,0)-MATCH("temp_stage",[1]stages!$2:$2,0)+1),MATCH(G$1,[1]stages!$2:$2,0)-MATCH("temp_stage",[1]stages!$2:$2,0)+1,FALSE)</f>
        <v>ドロップイベント2-3（マルチ専用）</v>
      </c>
      <c r="H916" s="18">
        <v>0</v>
      </c>
      <c r="I916">
        <v>20</v>
      </c>
      <c r="J916" s="5" t="s">
        <v>16</v>
      </c>
      <c r="K916" s="35" t="str">
        <f>VLOOKUP(I916,[2]stage_hints!$A:$C,3,FALSE)</f>
        <v>マルチプレイのメリット（その3）</v>
      </c>
      <c r="L916" s="36" t="str">
        <f>VLOOKUP(I916,[2]stage_hints!$A:$D,4,FALSE)</f>
        <v>マルチプレイへの参加はエナジー消費ゼロ_x000D_いつでも好きなだけ遊ぶことができます</v>
      </c>
      <c r="M916" s="21" t="s">
        <v>23</v>
      </c>
      <c r="N916">
        <v>20</v>
      </c>
    </row>
    <row r="917" spans="1:14" x14ac:dyDescent="0.15">
      <c r="A917" s="26" t="s">
        <v>32</v>
      </c>
      <c r="B917" s="4">
        <v>30006</v>
      </c>
      <c r="C917" s="3" t="str">
        <f ca="1">VLOOKUP($B917,OFFSET([1]quests!$A$1,0,0,COUNTA([1]quests!$A:$A),MATCH(C$1,[1]quests!$1:$1,0)-MATCH($B$1,[1]quests!$1:$1,0)+1),MATCH(C$1,[1]quests!$1:$1,0)-MATCH($B$1,[1]quests!$1:$1,0)+1,FALSE)</f>
        <v>それはお前を食べるためさ</v>
      </c>
      <c r="D917" s="3" t="str">
        <f ca="1">VLOOKUP($B917,OFFSET([1]quests!$A$1,0,0,COUNTA([1]quests!$A:$A),MATCH(D$1,[1]quests!$1:$1,0)-MATCH($B$1,[1]quests!$1:$1,0)+1),MATCH(D$1,[1]quests!$1:$1,0)-MATCH($B$1,[1]quests!$1:$1,0)+1,FALSE)</f>
        <v>ドロップイベント2-3（マルチ専用）</v>
      </c>
      <c r="E917" s="5">
        <v>1</v>
      </c>
      <c r="F917" s="3" t="str">
        <f ca="1">VLOOKUP($B917&amp;"_"&amp;$E917,OFFSET([1]stages!$A$1,0,0,COUNTA([1]stages!$A:$A),MATCH(F$1,[1]stages!$2:$2,0)-MATCH("temp_stage",[1]stages!$2:$2,0)+1),MATCH(F$1,[1]stages!$2:$2,0)-MATCH("temp_stage",[1]stages!$2:$2,0)+1,FALSE)</f>
        <v>【中級】それはお前を食べるためさ</v>
      </c>
      <c r="G917" s="3" t="str">
        <f ca="1">VLOOKUP($B917&amp;"_"&amp;$E917,OFFSET([1]stages!$A$1,0,0,COUNTA([1]stages!$A:$A),MATCH(G$1,[1]stages!$2:$2,0)-MATCH("temp_stage",[1]stages!$2:$2,0)+1),MATCH(G$1,[1]stages!$2:$2,0)-MATCH("temp_stage",[1]stages!$2:$2,0)+1,FALSE)</f>
        <v>ドロップイベント2-3（マルチ専用）</v>
      </c>
      <c r="H917" s="18">
        <v>0</v>
      </c>
      <c r="I917">
        <v>21</v>
      </c>
      <c r="J917" s="5" t="s">
        <v>16</v>
      </c>
      <c r="K917" s="35" t="str">
        <f>VLOOKUP(I917,[2]stage_hints!$A:$C,3,FALSE)</f>
        <v>スキルを有効に</v>
      </c>
      <c r="L917" s="36" t="str">
        <f>VLOOKUP(I917,[2]stage_hints!$A:$D,4,FALSE)</f>
        <v>ターン経過でユニットのスキルが使えます_x000D_強力スキルでバトルを有利に進めましょう</v>
      </c>
      <c r="M917" s="21" t="s">
        <v>23</v>
      </c>
      <c r="N917">
        <v>21</v>
      </c>
    </row>
    <row r="918" spans="1:14" x14ac:dyDescent="0.15">
      <c r="A918" s="26" t="s">
        <v>32</v>
      </c>
      <c r="B918" s="4">
        <v>30006</v>
      </c>
      <c r="C918" s="3" t="str">
        <f ca="1">VLOOKUP($B918,OFFSET([1]quests!$A$1,0,0,COUNTA([1]quests!$A:$A),MATCH(C$1,[1]quests!$1:$1,0)-MATCH($B$1,[1]quests!$1:$1,0)+1),MATCH(C$1,[1]quests!$1:$1,0)-MATCH($B$1,[1]quests!$1:$1,0)+1,FALSE)</f>
        <v>それはお前を食べるためさ</v>
      </c>
      <c r="D918" s="3" t="str">
        <f ca="1">VLOOKUP($B918,OFFSET([1]quests!$A$1,0,0,COUNTA([1]quests!$A:$A),MATCH(D$1,[1]quests!$1:$1,0)-MATCH($B$1,[1]quests!$1:$1,0)+1),MATCH(D$1,[1]quests!$1:$1,0)-MATCH($B$1,[1]quests!$1:$1,0)+1,FALSE)</f>
        <v>ドロップイベント2-3（マルチ専用）</v>
      </c>
      <c r="E918" s="5">
        <v>1</v>
      </c>
      <c r="F918" s="3" t="str">
        <f ca="1">VLOOKUP($B918&amp;"_"&amp;$E918,OFFSET([1]stages!$A$1,0,0,COUNTA([1]stages!$A:$A),MATCH(F$1,[1]stages!$2:$2,0)-MATCH("temp_stage",[1]stages!$2:$2,0)+1),MATCH(F$1,[1]stages!$2:$2,0)-MATCH("temp_stage",[1]stages!$2:$2,0)+1,FALSE)</f>
        <v>【中級】それはお前を食べるためさ</v>
      </c>
      <c r="G918" s="3" t="str">
        <f ca="1">VLOOKUP($B918&amp;"_"&amp;$E918,OFFSET([1]stages!$A$1,0,0,COUNTA([1]stages!$A:$A),MATCH(G$1,[1]stages!$2:$2,0)-MATCH("temp_stage",[1]stages!$2:$2,0)+1),MATCH(G$1,[1]stages!$2:$2,0)-MATCH("temp_stage",[1]stages!$2:$2,0)+1,FALSE)</f>
        <v>ドロップイベント2-3（マルチ専用）</v>
      </c>
      <c r="H918" s="18">
        <v>0</v>
      </c>
      <c r="I918">
        <v>22</v>
      </c>
      <c r="J918" s="5" t="s">
        <v>16</v>
      </c>
      <c r="K918" s="35" t="str">
        <f>VLOOKUP(I918,[2]stage_hints!$A:$C,3,FALSE)</f>
        <v>フィーバーで一発逆転（その1）</v>
      </c>
      <c r="L918" s="36" t="str">
        <f>VLOOKUP(I918,[2]stage_hints!$A:$D,4,FALSE)</f>
        <v>フィーバーは攻撃と回復を兼ね備えます_x000D_ピンチからの一発逆転を狙いましょう</v>
      </c>
      <c r="M918" s="21" t="s">
        <v>23</v>
      </c>
      <c r="N918">
        <v>22</v>
      </c>
    </row>
    <row r="919" spans="1:14" x14ac:dyDescent="0.15">
      <c r="A919" s="26" t="s">
        <v>32</v>
      </c>
      <c r="B919" s="4">
        <v>30006</v>
      </c>
      <c r="C919" s="3" t="str">
        <f ca="1">VLOOKUP($B919,OFFSET([1]quests!$A$1,0,0,COUNTA([1]quests!$A:$A),MATCH(C$1,[1]quests!$1:$1,0)-MATCH($B$1,[1]quests!$1:$1,0)+1),MATCH(C$1,[1]quests!$1:$1,0)-MATCH($B$1,[1]quests!$1:$1,0)+1,FALSE)</f>
        <v>それはお前を食べるためさ</v>
      </c>
      <c r="D919" s="3" t="str">
        <f ca="1">VLOOKUP($B919,OFFSET([1]quests!$A$1,0,0,COUNTA([1]quests!$A:$A),MATCH(D$1,[1]quests!$1:$1,0)-MATCH($B$1,[1]quests!$1:$1,0)+1),MATCH(D$1,[1]quests!$1:$1,0)-MATCH($B$1,[1]quests!$1:$1,0)+1,FALSE)</f>
        <v>ドロップイベント2-3（マルチ専用）</v>
      </c>
      <c r="E919" s="5">
        <v>1</v>
      </c>
      <c r="F919" s="3" t="str">
        <f ca="1">VLOOKUP($B919&amp;"_"&amp;$E919,OFFSET([1]stages!$A$1,0,0,COUNTA([1]stages!$A:$A),MATCH(F$1,[1]stages!$2:$2,0)-MATCH("temp_stage",[1]stages!$2:$2,0)+1),MATCH(F$1,[1]stages!$2:$2,0)-MATCH("temp_stage",[1]stages!$2:$2,0)+1,FALSE)</f>
        <v>【中級】それはお前を食べるためさ</v>
      </c>
      <c r="G919" s="3" t="str">
        <f ca="1">VLOOKUP($B919&amp;"_"&amp;$E919,OFFSET([1]stages!$A$1,0,0,COUNTA([1]stages!$A:$A),MATCH(G$1,[1]stages!$2:$2,0)-MATCH("temp_stage",[1]stages!$2:$2,0)+1),MATCH(G$1,[1]stages!$2:$2,0)-MATCH("temp_stage",[1]stages!$2:$2,0)+1,FALSE)</f>
        <v>ドロップイベント2-3（マルチ専用）</v>
      </c>
      <c r="H919" s="18">
        <v>0</v>
      </c>
      <c r="I919">
        <v>23</v>
      </c>
      <c r="J919" s="5" t="s">
        <v>16</v>
      </c>
      <c r="K919" s="35" t="str">
        <f>VLOOKUP(I919,[2]stage_hints!$A:$C,3,FALSE)</f>
        <v>フィーバーで一発逆転（その2）</v>
      </c>
      <c r="L919" s="36" t="str">
        <f>VLOOKUP(I919,[2]stage_hints!$A:$D,4,FALSE)</f>
        <v>フィーバー中は虹色のボムパネルを狙って_x000D_画面上のパネルを一気に破壊しましょう</v>
      </c>
      <c r="M919" s="21" t="s">
        <v>23</v>
      </c>
      <c r="N919">
        <v>23</v>
      </c>
    </row>
    <row r="920" spans="1:14" x14ac:dyDescent="0.15">
      <c r="A920" s="26" t="s">
        <v>32</v>
      </c>
      <c r="B920" s="4">
        <v>30006</v>
      </c>
      <c r="C920" s="3" t="str">
        <f ca="1">VLOOKUP($B920,OFFSET([1]quests!$A$1,0,0,COUNTA([1]quests!$A:$A),MATCH(C$1,[1]quests!$1:$1,0)-MATCH($B$1,[1]quests!$1:$1,0)+1),MATCH(C$1,[1]quests!$1:$1,0)-MATCH($B$1,[1]quests!$1:$1,0)+1,FALSE)</f>
        <v>それはお前を食べるためさ</v>
      </c>
      <c r="D920" s="3" t="str">
        <f ca="1">VLOOKUP($B920,OFFSET([1]quests!$A$1,0,0,COUNTA([1]quests!$A:$A),MATCH(D$1,[1]quests!$1:$1,0)-MATCH($B$1,[1]quests!$1:$1,0)+1),MATCH(D$1,[1]quests!$1:$1,0)-MATCH($B$1,[1]quests!$1:$1,0)+1,FALSE)</f>
        <v>ドロップイベント2-3（マルチ専用）</v>
      </c>
      <c r="E920" s="5">
        <v>1</v>
      </c>
      <c r="F920" s="3" t="str">
        <f ca="1">VLOOKUP($B920&amp;"_"&amp;$E920,OFFSET([1]stages!$A$1,0,0,COUNTA([1]stages!$A:$A),MATCH(F$1,[1]stages!$2:$2,0)-MATCH("temp_stage",[1]stages!$2:$2,0)+1),MATCH(F$1,[1]stages!$2:$2,0)-MATCH("temp_stage",[1]stages!$2:$2,0)+1,FALSE)</f>
        <v>【中級】それはお前を食べるためさ</v>
      </c>
      <c r="G920" s="3" t="str">
        <f ca="1">VLOOKUP($B920&amp;"_"&amp;$E920,OFFSET([1]stages!$A$1,0,0,COUNTA([1]stages!$A:$A),MATCH(G$1,[1]stages!$2:$2,0)-MATCH("temp_stage",[1]stages!$2:$2,0)+1),MATCH(G$1,[1]stages!$2:$2,0)-MATCH("temp_stage",[1]stages!$2:$2,0)+1,FALSE)</f>
        <v>ドロップイベント2-3（マルチ専用）</v>
      </c>
      <c r="H920" s="18">
        <v>0</v>
      </c>
      <c r="I920">
        <v>24</v>
      </c>
      <c r="J920" s="5" t="s">
        <v>16</v>
      </c>
      <c r="K920" s="35" t="str">
        <f>VLOOKUP(I920,[2]stage_hints!$A:$C,3,FALSE)</f>
        <v>りんごを使って限界突破</v>
      </c>
      <c r="L920" s="36" t="str">
        <f>VLOOKUP(I920,[2]stage_hints!$A:$D,4,FALSE)</f>
        <v>赤りんご(攻撃力) 青りんご(回復力)_x000D_緑りんご(体力)をユニット強化に使うと_x000D_ステータスが限界突破します（計99個迄）</v>
      </c>
      <c r="M920" s="21" t="s">
        <v>23</v>
      </c>
      <c r="N920">
        <v>24</v>
      </c>
    </row>
    <row r="921" spans="1:14" x14ac:dyDescent="0.15">
      <c r="A921" s="26" t="s">
        <v>32</v>
      </c>
      <c r="B921" s="4">
        <v>30006</v>
      </c>
      <c r="C921" s="3" t="str">
        <f ca="1">VLOOKUP($B921,OFFSET([1]quests!$A$1,0,0,COUNTA([1]quests!$A:$A),MATCH(C$1,[1]quests!$1:$1,0)-MATCH($B$1,[1]quests!$1:$1,0)+1),MATCH(C$1,[1]quests!$1:$1,0)-MATCH($B$1,[1]quests!$1:$1,0)+1,FALSE)</f>
        <v>それはお前を食べるためさ</v>
      </c>
      <c r="D921" s="3" t="str">
        <f ca="1">VLOOKUP($B921,OFFSET([1]quests!$A$1,0,0,COUNTA([1]quests!$A:$A),MATCH(D$1,[1]quests!$1:$1,0)-MATCH($B$1,[1]quests!$1:$1,0)+1),MATCH(D$1,[1]quests!$1:$1,0)-MATCH($B$1,[1]quests!$1:$1,0)+1,FALSE)</f>
        <v>ドロップイベント2-3（マルチ専用）</v>
      </c>
      <c r="E921" s="5">
        <v>1</v>
      </c>
      <c r="F921" s="3" t="str">
        <f ca="1">VLOOKUP($B921&amp;"_"&amp;$E921,OFFSET([1]stages!$A$1,0,0,COUNTA([1]stages!$A:$A),MATCH(F$1,[1]stages!$2:$2,0)-MATCH("temp_stage",[1]stages!$2:$2,0)+1),MATCH(F$1,[1]stages!$2:$2,0)-MATCH("temp_stage",[1]stages!$2:$2,0)+1,FALSE)</f>
        <v>【中級】それはお前を食べるためさ</v>
      </c>
      <c r="G921" s="3" t="str">
        <f ca="1">VLOOKUP($B921&amp;"_"&amp;$E921,OFFSET([1]stages!$A$1,0,0,COUNTA([1]stages!$A:$A),MATCH(G$1,[1]stages!$2:$2,0)-MATCH("temp_stage",[1]stages!$2:$2,0)+1),MATCH(G$1,[1]stages!$2:$2,0)-MATCH("temp_stage",[1]stages!$2:$2,0)+1,FALSE)</f>
        <v>ドロップイベント2-3（マルチ専用）</v>
      </c>
      <c r="H921" s="18">
        <v>0</v>
      </c>
      <c r="I921">
        <v>25</v>
      </c>
      <c r="J921" s="5" t="s">
        <v>16</v>
      </c>
      <c r="K921" s="35" t="str">
        <f>VLOOKUP(I921,[2]stage_hints!$A:$C,3,FALSE)</f>
        <v>スキルレベルアップ</v>
      </c>
      <c r="L921" s="36" t="str">
        <f>VLOOKUP(I921,[2]stage_hints!$A:$D,4,FALSE)</f>
        <v>「クリスタルのりんご」を強化に使うと_x000D_スキルレベルを上げることができます</v>
      </c>
      <c r="M921" s="21" t="s">
        <v>23</v>
      </c>
      <c r="N921">
        <v>25</v>
      </c>
    </row>
    <row r="922" spans="1:14" x14ac:dyDescent="0.15">
      <c r="A922" s="26" t="s">
        <v>32</v>
      </c>
      <c r="B922" s="4">
        <v>30006</v>
      </c>
      <c r="C922" s="3" t="str">
        <f ca="1">VLOOKUP($B922,OFFSET([1]quests!$A$1,0,0,COUNTA([1]quests!$A:$A),MATCH(C$1,[1]quests!$1:$1,0)-MATCH($B$1,[1]quests!$1:$1,0)+1),MATCH(C$1,[1]quests!$1:$1,0)-MATCH($B$1,[1]quests!$1:$1,0)+1,FALSE)</f>
        <v>それはお前を食べるためさ</v>
      </c>
      <c r="D922" s="3" t="str">
        <f ca="1">VLOOKUP($B922,OFFSET([1]quests!$A$1,0,0,COUNTA([1]quests!$A:$A),MATCH(D$1,[1]quests!$1:$1,0)-MATCH($B$1,[1]quests!$1:$1,0)+1),MATCH(D$1,[1]quests!$1:$1,0)-MATCH($B$1,[1]quests!$1:$1,0)+1,FALSE)</f>
        <v>ドロップイベント2-3（マルチ専用）</v>
      </c>
      <c r="E922" s="5">
        <v>1</v>
      </c>
      <c r="F922" s="3" t="str">
        <f ca="1">VLOOKUP($B922&amp;"_"&amp;$E922,OFFSET([1]stages!$A$1,0,0,COUNTA([1]stages!$A:$A),MATCH(F$1,[1]stages!$2:$2,0)-MATCH("temp_stage",[1]stages!$2:$2,0)+1),MATCH(F$1,[1]stages!$2:$2,0)-MATCH("temp_stage",[1]stages!$2:$2,0)+1,FALSE)</f>
        <v>【中級】それはお前を食べるためさ</v>
      </c>
      <c r="G922" s="3" t="str">
        <f ca="1">VLOOKUP($B922&amp;"_"&amp;$E922,OFFSET([1]stages!$A$1,0,0,COUNTA([1]stages!$A:$A),MATCH(G$1,[1]stages!$2:$2,0)-MATCH("temp_stage",[1]stages!$2:$2,0)+1),MATCH(G$1,[1]stages!$2:$2,0)-MATCH("temp_stage",[1]stages!$2:$2,0)+1,FALSE)</f>
        <v>ドロップイベント2-3（マルチ専用）</v>
      </c>
      <c r="H922" s="18">
        <v>0</v>
      </c>
      <c r="I922">
        <v>26</v>
      </c>
      <c r="J922" s="5" t="s">
        <v>16</v>
      </c>
      <c r="K922" s="35" t="str">
        <f>VLOOKUP(I922,[2]stage_hints!$A:$C,3,FALSE)</f>
        <v>スキルレベルの効果</v>
      </c>
      <c r="L922" s="36" t="str">
        <f>VLOOKUP(I922,[2]stage_hints!$A:$D,4,FALSE)</f>
        <v>スキルレベルが上がると_x000D_短いターンでスキルを使うことができます</v>
      </c>
      <c r="M922" s="21" t="s">
        <v>23</v>
      </c>
      <c r="N922">
        <v>26</v>
      </c>
    </row>
    <row r="923" spans="1:14" x14ac:dyDescent="0.15">
      <c r="A923" s="26" t="s">
        <v>32</v>
      </c>
      <c r="B923" s="4">
        <v>30006</v>
      </c>
      <c r="C923" s="3" t="str">
        <f ca="1">VLOOKUP($B923,OFFSET([1]quests!$A$1,0,0,COUNTA([1]quests!$A:$A),MATCH(C$1,[1]quests!$1:$1,0)-MATCH($B$1,[1]quests!$1:$1,0)+1),MATCH(C$1,[1]quests!$1:$1,0)-MATCH($B$1,[1]quests!$1:$1,0)+1,FALSE)</f>
        <v>それはお前を食べるためさ</v>
      </c>
      <c r="D923" s="3" t="str">
        <f ca="1">VLOOKUP($B923,OFFSET([1]quests!$A$1,0,0,COUNTA([1]quests!$A:$A),MATCH(D$1,[1]quests!$1:$1,0)-MATCH($B$1,[1]quests!$1:$1,0)+1),MATCH(D$1,[1]quests!$1:$1,0)-MATCH($B$1,[1]quests!$1:$1,0)+1,FALSE)</f>
        <v>ドロップイベント2-3（マルチ専用）</v>
      </c>
      <c r="E923" s="5">
        <v>1</v>
      </c>
      <c r="F923" s="3" t="str">
        <f ca="1">VLOOKUP($B923&amp;"_"&amp;$E923,OFFSET([1]stages!$A$1,0,0,COUNTA([1]stages!$A:$A),MATCH(F$1,[1]stages!$2:$2,0)-MATCH("temp_stage",[1]stages!$2:$2,0)+1),MATCH(F$1,[1]stages!$2:$2,0)-MATCH("temp_stage",[1]stages!$2:$2,0)+1,FALSE)</f>
        <v>【中級】それはお前を食べるためさ</v>
      </c>
      <c r="G923" s="3" t="str">
        <f ca="1">VLOOKUP($B923&amp;"_"&amp;$E923,OFFSET([1]stages!$A$1,0,0,COUNTA([1]stages!$A:$A),MATCH(G$1,[1]stages!$2:$2,0)-MATCH("temp_stage",[1]stages!$2:$2,0)+1),MATCH(G$1,[1]stages!$2:$2,0)-MATCH("temp_stage",[1]stages!$2:$2,0)+1,FALSE)</f>
        <v>ドロップイベント2-3（マルチ専用）</v>
      </c>
      <c r="H923" s="18">
        <v>0</v>
      </c>
      <c r="I923">
        <v>27</v>
      </c>
      <c r="J923" s="5" t="s">
        <v>16</v>
      </c>
      <c r="K923" s="35" t="str">
        <f>VLOOKUP(I923,[2]stage_hints!$A:$C,3,FALSE)</f>
        <v>ホーム画面からデッキを編成</v>
      </c>
      <c r="L923" s="36" t="str">
        <f>VLOOKUP(I923,[2]stage_hints!$A:$D,4,FALSE)</f>
        <v>ホーム画面でユニットを長押しすると_x000D_すぐにパーティ編成に移動できます</v>
      </c>
      <c r="M923" s="21" t="s">
        <v>23</v>
      </c>
      <c r="N923">
        <v>27</v>
      </c>
    </row>
    <row r="924" spans="1:14" x14ac:dyDescent="0.15">
      <c r="A924" s="26" t="s">
        <v>32</v>
      </c>
      <c r="B924" s="4">
        <v>30006</v>
      </c>
      <c r="C924" s="3" t="str">
        <f ca="1">VLOOKUP($B924,OFFSET([1]quests!$A$1,0,0,COUNTA([1]quests!$A:$A),MATCH(C$1,[1]quests!$1:$1,0)-MATCH($B$1,[1]quests!$1:$1,0)+1),MATCH(C$1,[1]quests!$1:$1,0)-MATCH($B$1,[1]quests!$1:$1,0)+1,FALSE)</f>
        <v>それはお前を食べるためさ</v>
      </c>
      <c r="D924" s="3" t="str">
        <f ca="1">VLOOKUP($B924,OFFSET([1]quests!$A$1,0,0,COUNTA([1]quests!$A:$A),MATCH(D$1,[1]quests!$1:$1,0)-MATCH($B$1,[1]quests!$1:$1,0)+1),MATCH(D$1,[1]quests!$1:$1,0)-MATCH($B$1,[1]quests!$1:$1,0)+1,FALSE)</f>
        <v>ドロップイベント2-3（マルチ専用）</v>
      </c>
      <c r="E924" s="5">
        <v>1</v>
      </c>
      <c r="F924" s="3" t="str">
        <f ca="1">VLOOKUP($B924&amp;"_"&amp;$E924,OFFSET([1]stages!$A$1,0,0,COUNTA([1]stages!$A:$A),MATCH(F$1,[1]stages!$2:$2,0)-MATCH("temp_stage",[1]stages!$2:$2,0)+1),MATCH(F$1,[1]stages!$2:$2,0)-MATCH("temp_stage",[1]stages!$2:$2,0)+1,FALSE)</f>
        <v>【中級】それはお前を食べるためさ</v>
      </c>
      <c r="G924" s="3" t="str">
        <f ca="1">VLOOKUP($B924&amp;"_"&amp;$E924,OFFSET([1]stages!$A$1,0,0,COUNTA([1]stages!$A:$A),MATCH(G$1,[1]stages!$2:$2,0)-MATCH("temp_stage",[1]stages!$2:$2,0)+1),MATCH(G$1,[1]stages!$2:$2,0)-MATCH("temp_stage",[1]stages!$2:$2,0)+1,FALSE)</f>
        <v>ドロップイベント2-3（マルチ専用）</v>
      </c>
      <c r="H924" s="18">
        <v>0</v>
      </c>
      <c r="I924">
        <v>28</v>
      </c>
      <c r="J924" s="5" t="s">
        <v>16</v>
      </c>
      <c r="K924" s="35" t="str">
        <f>VLOOKUP(I924,[2]stage_hints!$A:$C,3,FALSE)</f>
        <v>ステータス情報は長押しで</v>
      </c>
      <c r="L924" s="36" t="str">
        <f>VLOOKUP(I924,[2]stage_hints!$A:$D,4,FALSE)</f>
        <v>ユニットのアイコンを長押しすると_x000D_ステータス情報を確認することができます</v>
      </c>
      <c r="M924" s="21" t="s">
        <v>23</v>
      </c>
      <c r="N924">
        <v>28</v>
      </c>
    </row>
    <row r="925" spans="1:14" x14ac:dyDescent="0.15">
      <c r="A925" s="26" t="s">
        <v>32</v>
      </c>
      <c r="B925" s="4">
        <v>30006</v>
      </c>
      <c r="C925" s="3" t="str">
        <f ca="1">VLOOKUP($B925,OFFSET([1]quests!$A$1,0,0,COUNTA([1]quests!$A:$A),MATCH(C$1,[1]quests!$1:$1,0)-MATCH($B$1,[1]quests!$1:$1,0)+1),MATCH(C$1,[1]quests!$1:$1,0)-MATCH($B$1,[1]quests!$1:$1,0)+1,FALSE)</f>
        <v>それはお前を食べるためさ</v>
      </c>
      <c r="D925" s="3" t="str">
        <f ca="1">VLOOKUP($B925,OFFSET([1]quests!$A$1,0,0,COUNTA([1]quests!$A:$A),MATCH(D$1,[1]quests!$1:$1,0)-MATCH($B$1,[1]quests!$1:$1,0)+1),MATCH(D$1,[1]quests!$1:$1,0)-MATCH($B$1,[1]quests!$1:$1,0)+1,FALSE)</f>
        <v>ドロップイベント2-3（マルチ専用）</v>
      </c>
      <c r="E925" s="5">
        <v>1</v>
      </c>
      <c r="F925" s="3" t="str">
        <f ca="1">VLOOKUP($B925&amp;"_"&amp;$E925,OFFSET([1]stages!$A$1,0,0,COUNTA([1]stages!$A:$A),MATCH(F$1,[1]stages!$2:$2,0)-MATCH("temp_stage",[1]stages!$2:$2,0)+1),MATCH(F$1,[1]stages!$2:$2,0)-MATCH("temp_stage",[1]stages!$2:$2,0)+1,FALSE)</f>
        <v>【中級】それはお前を食べるためさ</v>
      </c>
      <c r="G925" s="3" t="str">
        <f ca="1">VLOOKUP($B925&amp;"_"&amp;$E925,OFFSET([1]stages!$A$1,0,0,COUNTA([1]stages!$A:$A),MATCH(G$1,[1]stages!$2:$2,0)-MATCH("temp_stage",[1]stages!$2:$2,0)+1),MATCH(G$1,[1]stages!$2:$2,0)-MATCH("temp_stage",[1]stages!$2:$2,0)+1,FALSE)</f>
        <v>ドロップイベント2-3（マルチ専用）</v>
      </c>
      <c r="H925" s="18">
        <v>0</v>
      </c>
      <c r="I925">
        <v>29</v>
      </c>
      <c r="J925" s="5" t="s">
        <v>16</v>
      </c>
      <c r="K925" s="35" t="str">
        <f>VLOOKUP(I925,[2]stage_hints!$A:$C,3,FALSE)</f>
        <v>「バグ」のメリット</v>
      </c>
      <c r="L925" s="36" t="str">
        <f>VLOOKUP(I925,[2]stage_hints!$A:$D,4,FALSE)</f>
        <v>ユニットの「バグ」を増やすと_x000D_報酬をもらえる確率がアップします</v>
      </c>
      <c r="M925" s="21" t="s">
        <v>23</v>
      </c>
      <c r="N925">
        <v>29</v>
      </c>
    </row>
    <row r="926" spans="1:14" x14ac:dyDescent="0.15">
      <c r="A926" s="26" t="s">
        <v>32</v>
      </c>
      <c r="B926" s="4">
        <v>30006</v>
      </c>
      <c r="C926" s="3" t="str">
        <f ca="1">VLOOKUP($B926,OFFSET([1]quests!$A$1,0,0,COUNTA([1]quests!$A:$A),MATCH(C$1,[1]quests!$1:$1,0)-MATCH($B$1,[1]quests!$1:$1,0)+1),MATCH(C$1,[1]quests!$1:$1,0)-MATCH($B$1,[1]quests!$1:$1,0)+1,FALSE)</f>
        <v>それはお前を食べるためさ</v>
      </c>
      <c r="D926" s="3" t="str">
        <f ca="1">VLOOKUP($B926,OFFSET([1]quests!$A$1,0,0,COUNTA([1]quests!$A:$A),MATCH(D$1,[1]quests!$1:$1,0)-MATCH($B$1,[1]quests!$1:$1,0)+1),MATCH(D$1,[1]quests!$1:$1,0)-MATCH($B$1,[1]quests!$1:$1,0)+1,FALSE)</f>
        <v>ドロップイベント2-3（マルチ専用）</v>
      </c>
      <c r="E926" s="5">
        <v>1</v>
      </c>
      <c r="F926" s="3" t="str">
        <f ca="1">VLOOKUP($B926&amp;"_"&amp;$E926,OFFSET([1]stages!$A$1,0,0,COUNTA([1]stages!$A:$A),MATCH(F$1,[1]stages!$2:$2,0)-MATCH("temp_stage",[1]stages!$2:$2,0)+1),MATCH(F$1,[1]stages!$2:$2,0)-MATCH("temp_stage",[1]stages!$2:$2,0)+1,FALSE)</f>
        <v>【中級】それはお前を食べるためさ</v>
      </c>
      <c r="G926" s="3" t="str">
        <f ca="1">VLOOKUP($B926&amp;"_"&amp;$E926,OFFSET([1]stages!$A$1,0,0,COUNTA([1]stages!$A:$A),MATCH(G$1,[1]stages!$2:$2,0)-MATCH("temp_stage",[1]stages!$2:$2,0)+1),MATCH(G$1,[1]stages!$2:$2,0)-MATCH("temp_stage",[1]stages!$2:$2,0)+1,FALSE)</f>
        <v>ドロップイベント2-3（マルチ専用）</v>
      </c>
      <c r="H926" s="18">
        <v>0</v>
      </c>
      <c r="I926">
        <v>30</v>
      </c>
      <c r="J926" s="5" t="s">
        <v>16</v>
      </c>
      <c r="K926" s="35" t="str">
        <f>VLOOKUP(I926,[2]stage_hints!$A:$C,3,FALSE)</f>
        <v>「バグ」の増やし方</v>
      </c>
      <c r="L926" s="36" t="str">
        <f>VLOOKUP(I926,[2]stage_hints!$A:$D,4,FALSE)</f>
        <v>同じユニット同士を強化で合成すると_x000D_「バグ」を増やすことができます</v>
      </c>
      <c r="M926" s="21" t="s">
        <v>23</v>
      </c>
      <c r="N926">
        <v>30</v>
      </c>
    </row>
    <row r="927" spans="1:14" x14ac:dyDescent="0.15">
      <c r="A927" s="26" t="s">
        <v>32</v>
      </c>
      <c r="B927" s="4">
        <v>30006</v>
      </c>
      <c r="C927" s="3" t="str">
        <f ca="1">VLOOKUP($B927,OFFSET([1]quests!$A$1,0,0,COUNTA([1]quests!$A:$A),MATCH(C$1,[1]quests!$1:$1,0)-MATCH($B$1,[1]quests!$1:$1,0)+1),MATCH(C$1,[1]quests!$1:$1,0)-MATCH($B$1,[1]quests!$1:$1,0)+1,FALSE)</f>
        <v>それはお前を食べるためさ</v>
      </c>
      <c r="D927" s="3" t="str">
        <f ca="1">VLOOKUP($B927,OFFSET([1]quests!$A$1,0,0,COUNTA([1]quests!$A:$A),MATCH(D$1,[1]quests!$1:$1,0)-MATCH($B$1,[1]quests!$1:$1,0)+1),MATCH(D$1,[1]quests!$1:$1,0)-MATCH($B$1,[1]quests!$1:$1,0)+1,FALSE)</f>
        <v>ドロップイベント2-3（マルチ専用）</v>
      </c>
      <c r="E927" s="5">
        <v>1</v>
      </c>
      <c r="F927" s="3" t="str">
        <f ca="1">VLOOKUP($B927&amp;"_"&amp;$E927,OFFSET([1]stages!$A$1,0,0,COUNTA([1]stages!$A:$A),MATCH(F$1,[1]stages!$2:$2,0)-MATCH("temp_stage",[1]stages!$2:$2,0)+1),MATCH(F$1,[1]stages!$2:$2,0)-MATCH("temp_stage",[1]stages!$2:$2,0)+1,FALSE)</f>
        <v>【中級】それはお前を食べるためさ</v>
      </c>
      <c r="G927" s="3" t="str">
        <f ca="1">VLOOKUP($B927&amp;"_"&amp;$E927,OFFSET([1]stages!$A$1,0,0,COUNTA([1]stages!$A:$A),MATCH(G$1,[1]stages!$2:$2,0)-MATCH("temp_stage",[1]stages!$2:$2,0)+1),MATCH(G$1,[1]stages!$2:$2,0)-MATCH("temp_stage",[1]stages!$2:$2,0)+1,FALSE)</f>
        <v>ドロップイベント2-3（マルチ専用）</v>
      </c>
      <c r="H927" s="18">
        <v>0</v>
      </c>
      <c r="I927">
        <v>31</v>
      </c>
      <c r="J927" s="5" t="s">
        <v>16</v>
      </c>
      <c r="K927" s="35" t="str">
        <f>VLOOKUP(I927,[2]stage_hints!$A:$C,3,FALSE)</f>
        <v>イベントはお知らせでチェック</v>
      </c>
      <c r="L927" s="36" t="str">
        <f>VLOOKUP(I927,[2]stage_hints!$A:$D,4,FALSE)</f>
        <v>イベント限定ユニットを取り忘れないように_x000D_お知らせをこまめにチェックしましょう</v>
      </c>
      <c r="M927" s="21" t="s">
        <v>23</v>
      </c>
      <c r="N927">
        <v>31</v>
      </c>
    </row>
    <row r="928" spans="1:14" x14ac:dyDescent="0.15">
      <c r="A928" s="26" t="s">
        <v>32</v>
      </c>
      <c r="B928" s="4">
        <v>30006</v>
      </c>
      <c r="C928" s="3" t="str">
        <f ca="1">VLOOKUP($B928,OFFSET([1]quests!$A$1,0,0,COUNTA([1]quests!$A:$A),MATCH(C$1,[1]quests!$1:$1,0)-MATCH($B$1,[1]quests!$1:$1,0)+1),MATCH(C$1,[1]quests!$1:$1,0)-MATCH($B$1,[1]quests!$1:$1,0)+1,FALSE)</f>
        <v>それはお前を食べるためさ</v>
      </c>
      <c r="D928" s="3" t="str">
        <f ca="1">VLOOKUP($B928,OFFSET([1]quests!$A$1,0,0,COUNTA([1]quests!$A:$A),MATCH(D$1,[1]quests!$1:$1,0)-MATCH($B$1,[1]quests!$1:$1,0)+1),MATCH(D$1,[1]quests!$1:$1,0)-MATCH($B$1,[1]quests!$1:$1,0)+1,FALSE)</f>
        <v>ドロップイベント2-3（マルチ専用）</v>
      </c>
      <c r="E928" s="5">
        <v>1</v>
      </c>
      <c r="F928" s="3" t="str">
        <f ca="1">VLOOKUP($B928&amp;"_"&amp;$E928,OFFSET([1]stages!$A$1,0,0,COUNTA([1]stages!$A:$A),MATCH(F$1,[1]stages!$2:$2,0)-MATCH("temp_stage",[1]stages!$2:$2,0)+1),MATCH(F$1,[1]stages!$2:$2,0)-MATCH("temp_stage",[1]stages!$2:$2,0)+1,FALSE)</f>
        <v>【中級】それはお前を食べるためさ</v>
      </c>
      <c r="G928" s="3" t="str">
        <f ca="1">VLOOKUP($B928&amp;"_"&amp;$E928,OFFSET([1]stages!$A$1,0,0,COUNTA([1]stages!$A:$A),MATCH(G$1,[1]stages!$2:$2,0)-MATCH("temp_stage",[1]stages!$2:$2,0)+1),MATCH(G$1,[1]stages!$2:$2,0)-MATCH("temp_stage",[1]stages!$2:$2,0)+1,FALSE)</f>
        <v>ドロップイベント2-3（マルチ専用）</v>
      </c>
      <c r="H928" s="18">
        <v>0</v>
      </c>
      <c r="I928">
        <v>32</v>
      </c>
      <c r="J928" s="5" t="s">
        <v>16</v>
      </c>
      <c r="K928" s="35" t="str">
        <f>VLOOKUP(I928,[2]stage_hints!$A:$C,3,FALSE)</f>
        <v>敵の連続攻撃には</v>
      </c>
      <c r="L928" s="36" t="str">
        <f>VLOOKUP(I928,[2]stage_hints!$A:$D,4,FALSE)</f>
        <v>カウンタースキルを持つユニットがいれば_x000D_ダメージ回数分の反撃ができます</v>
      </c>
      <c r="M928" s="21" t="s">
        <v>23</v>
      </c>
      <c r="N928">
        <v>32</v>
      </c>
    </row>
    <row r="929" spans="1:14" x14ac:dyDescent="0.15">
      <c r="A929" s="26" t="s">
        <v>32</v>
      </c>
      <c r="B929" s="4">
        <v>30006</v>
      </c>
      <c r="C929" s="3" t="str">
        <f ca="1">VLOOKUP($B929,OFFSET([1]quests!$A$1,0,0,COUNTA([1]quests!$A:$A),MATCH(C$1,[1]quests!$1:$1,0)-MATCH($B$1,[1]quests!$1:$1,0)+1),MATCH(C$1,[1]quests!$1:$1,0)-MATCH($B$1,[1]quests!$1:$1,0)+1,FALSE)</f>
        <v>それはお前を食べるためさ</v>
      </c>
      <c r="D929" s="3" t="str">
        <f ca="1">VLOOKUP($B929,OFFSET([1]quests!$A$1,0,0,COUNTA([1]quests!$A:$A),MATCH(D$1,[1]quests!$1:$1,0)-MATCH($B$1,[1]quests!$1:$1,0)+1),MATCH(D$1,[1]quests!$1:$1,0)-MATCH($B$1,[1]quests!$1:$1,0)+1,FALSE)</f>
        <v>ドロップイベント2-3（マルチ専用）</v>
      </c>
      <c r="E929" s="5">
        <v>1</v>
      </c>
      <c r="F929" s="3" t="str">
        <f ca="1">VLOOKUP($B929&amp;"_"&amp;$E929,OFFSET([1]stages!$A$1,0,0,COUNTA([1]stages!$A:$A),MATCH(F$1,[1]stages!$2:$2,0)-MATCH("temp_stage",[1]stages!$2:$2,0)+1),MATCH(F$1,[1]stages!$2:$2,0)-MATCH("temp_stage",[1]stages!$2:$2,0)+1,FALSE)</f>
        <v>【中級】それはお前を食べるためさ</v>
      </c>
      <c r="G929" s="3" t="str">
        <f ca="1">VLOOKUP($B929&amp;"_"&amp;$E929,OFFSET([1]stages!$A$1,0,0,COUNTA([1]stages!$A:$A),MATCH(G$1,[1]stages!$2:$2,0)-MATCH("temp_stage",[1]stages!$2:$2,0)+1),MATCH(G$1,[1]stages!$2:$2,0)-MATCH("temp_stage",[1]stages!$2:$2,0)+1,FALSE)</f>
        <v>ドロップイベント2-3（マルチ専用）</v>
      </c>
      <c r="H929" s="18">
        <v>0</v>
      </c>
      <c r="I929">
        <v>33</v>
      </c>
      <c r="J929" s="5" t="s">
        <v>16</v>
      </c>
      <c r="K929" s="35" t="str">
        <f>VLOOKUP(I929,[2]stage_hints!$A:$C,3,FALSE)</f>
        <v>敵のカウンター攻撃には</v>
      </c>
      <c r="L929" s="36" t="str">
        <f>VLOOKUP(I929,[2]stage_hints!$A:$D,4,FALSE)</f>
        <v>カウンターブレイクスキルを持っていれば_x000D_敵のカウンターを解除して攻撃ができます</v>
      </c>
      <c r="M929" s="21" t="s">
        <v>23</v>
      </c>
      <c r="N929">
        <v>33</v>
      </c>
    </row>
    <row r="930" spans="1:14" x14ac:dyDescent="0.15">
      <c r="A930" s="26" t="s">
        <v>32</v>
      </c>
      <c r="B930" s="4">
        <v>30006</v>
      </c>
      <c r="C930" s="3" t="str">
        <f ca="1">VLOOKUP($B930,OFFSET([1]quests!$A$1,0,0,COUNTA([1]quests!$A:$A),MATCH(C$1,[1]quests!$1:$1,0)-MATCH($B$1,[1]quests!$1:$1,0)+1),MATCH(C$1,[1]quests!$1:$1,0)-MATCH($B$1,[1]quests!$1:$1,0)+1,FALSE)</f>
        <v>それはお前を食べるためさ</v>
      </c>
      <c r="D930" s="3" t="str">
        <f ca="1">VLOOKUP($B930,OFFSET([1]quests!$A$1,0,0,COUNTA([1]quests!$A:$A),MATCH(D$1,[1]quests!$1:$1,0)-MATCH($B$1,[1]quests!$1:$1,0)+1),MATCH(D$1,[1]quests!$1:$1,0)-MATCH($B$1,[1]quests!$1:$1,0)+1,FALSE)</f>
        <v>ドロップイベント2-3（マルチ専用）</v>
      </c>
      <c r="E930" s="5">
        <v>1</v>
      </c>
      <c r="F930" s="3" t="str">
        <f ca="1">VLOOKUP($B930&amp;"_"&amp;$E930,OFFSET([1]stages!$A$1,0,0,COUNTA([1]stages!$A:$A),MATCH(F$1,[1]stages!$2:$2,0)-MATCH("temp_stage",[1]stages!$2:$2,0)+1),MATCH(F$1,[1]stages!$2:$2,0)-MATCH("temp_stage",[1]stages!$2:$2,0)+1,FALSE)</f>
        <v>【中級】それはお前を食べるためさ</v>
      </c>
      <c r="G930" s="3" t="str">
        <f ca="1">VLOOKUP($B930&amp;"_"&amp;$E930,OFFSET([1]stages!$A$1,0,0,COUNTA([1]stages!$A:$A),MATCH(G$1,[1]stages!$2:$2,0)-MATCH("temp_stage",[1]stages!$2:$2,0)+1),MATCH(G$1,[1]stages!$2:$2,0)-MATCH("temp_stage",[1]stages!$2:$2,0)+1,FALSE)</f>
        <v>ドロップイベント2-3（マルチ専用）</v>
      </c>
      <c r="H930" s="18">
        <v>0</v>
      </c>
      <c r="I930">
        <v>34</v>
      </c>
      <c r="J930" s="5" t="s">
        <v>16</v>
      </c>
      <c r="K930" s="35" t="str">
        <f>VLOOKUP(I930,[2]stage_hints!$A:$C,3,FALSE)</f>
        <v>ステータスをスキルで下げられたら</v>
      </c>
      <c r="L930" s="36" t="str">
        <f>VLOOKUP(I930,[2]stage_hints!$A:$D,4,FALSE)</f>
        <v>ステータスダウンのスキルを受けたら_x000D_ステータスアップスキルで上書きしましょう</v>
      </c>
      <c r="M930" s="21" t="s">
        <v>23</v>
      </c>
      <c r="N930">
        <v>34</v>
      </c>
    </row>
    <row r="931" spans="1:14" x14ac:dyDescent="0.15">
      <c r="A931" s="26" t="s">
        <v>32</v>
      </c>
      <c r="B931" s="4">
        <v>30006</v>
      </c>
      <c r="C931" s="3" t="str">
        <f ca="1">VLOOKUP($B931,OFFSET([1]quests!$A$1,0,0,COUNTA([1]quests!$A:$A),MATCH(C$1,[1]quests!$1:$1,0)-MATCH($B$1,[1]quests!$1:$1,0)+1),MATCH(C$1,[1]quests!$1:$1,0)-MATCH($B$1,[1]quests!$1:$1,0)+1,FALSE)</f>
        <v>それはお前を食べるためさ</v>
      </c>
      <c r="D931" s="3" t="str">
        <f ca="1">VLOOKUP($B931,OFFSET([1]quests!$A$1,0,0,COUNTA([1]quests!$A:$A),MATCH(D$1,[1]quests!$1:$1,0)-MATCH($B$1,[1]quests!$1:$1,0)+1),MATCH(D$1,[1]quests!$1:$1,0)-MATCH($B$1,[1]quests!$1:$1,0)+1,FALSE)</f>
        <v>ドロップイベント2-3（マルチ専用）</v>
      </c>
      <c r="E931" s="5">
        <v>1</v>
      </c>
      <c r="F931" s="3" t="str">
        <f ca="1">VLOOKUP($B931&amp;"_"&amp;$E931,OFFSET([1]stages!$A$1,0,0,COUNTA([1]stages!$A:$A),MATCH(F$1,[1]stages!$2:$2,0)-MATCH("temp_stage",[1]stages!$2:$2,0)+1),MATCH(F$1,[1]stages!$2:$2,0)-MATCH("temp_stage",[1]stages!$2:$2,0)+1,FALSE)</f>
        <v>【中級】それはお前を食べるためさ</v>
      </c>
      <c r="G931" s="3" t="str">
        <f ca="1">VLOOKUP($B931&amp;"_"&amp;$E931,OFFSET([1]stages!$A$1,0,0,COUNTA([1]stages!$A:$A),MATCH(G$1,[1]stages!$2:$2,0)-MATCH("temp_stage",[1]stages!$2:$2,0)+1),MATCH(G$1,[1]stages!$2:$2,0)-MATCH("temp_stage",[1]stages!$2:$2,0)+1,FALSE)</f>
        <v>ドロップイベント2-3（マルチ専用）</v>
      </c>
      <c r="H931" s="18">
        <v>0</v>
      </c>
      <c r="I931">
        <v>35</v>
      </c>
      <c r="J931" s="5" t="s">
        <v>16</v>
      </c>
      <c r="K931" s="35" t="str">
        <f>VLOOKUP(I931,[2]stage_hints!$A:$C,3,FALSE)</f>
        <v>敵のステータスがスキルで上がったら</v>
      </c>
      <c r="L931" s="36" t="str">
        <f>VLOOKUP(I931,[2]stage_hints!$A:$D,4,FALSE)</f>
        <v>敵のステータスがスキルでアップしたときは_x000D_ステータスダウンスキルで上書きしましょう</v>
      </c>
      <c r="M931" s="21" t="s">
        <v>23</v>
      </c>
      <c r="N931">
        <v>35</v>
      </c>
    </row>
    <row r="932" spans="1:14" x14ac:dyDescent="0.15">
      <c r="A932" s="26" t="s">
        <v>32</v>
      </c>
      <c r="B932" s="4">
        <v>30007</v>
      </c>
      <c r="C932" s="3" t="str">
        <f ca="1">VLOOKUP($B932,OFFSET([1]quests!$A$1,0,0,COUNTA([1]quests!$A:$A),MATCH(C$1,[1]quests!$1:$1,0)-MATCH($B$1,[1]quests!$1:$1,0)+1),MATCH(C$1,[1]quests!$1:$1,0)-MATCH($B$1,[1]quests!$1:$1,0)+1,FALSE)</f>
        <v>ガラスの靴は私のもの</v>
      </c>
      <c r="D932" s="3" t="str">
        <f ca="1">VLOOKUP($B932,OFFSET([1]quests!$A$1,0,0,COUNTA([1]quests!$A:$A),MATCH(D$1,[1]quests!$1:$1,0)-MATCH($B$1,[1]quests!$1:$1,0)+1),MATCH(D$1,[1]quests!$1:$1,0)-MATCH($B$1,[1]quests!$1:$1,0)+1,FALSE)</f>
        <v>ドロップイベント2-2（マルチ専用）</v>
      </c>
      <c r="E932" s="5">
        <v>1</v>
      </c>
      <c r="F932" s="3" t="str">
        <f ca="1">VLOOKUP($B932&amp;"_"&amp;$E932,OFFSET([1]stages!$A$1,0,0,COUNTA([1]stages!$A:$A),MATCH(F$1,[1]stages!$2:$2,0)-MATCH("temp_stage",[1]stages!$2:$2,0)+1),MATCH(F$1,[1]stages!$2:$2,0)-MATCH("temp_stage",[1]stages!$2:$2,0)+1,FALSE)</f>
        <v xml:space="preserve">【中級】ガラスの靴は私のもの </v>
      </c>
      <c r="G932" s="3" t="str">
        <f ca="1">VLOOKUP($B932&amp;"_"&amp;$E932,OFFSET([1]stages!$A$1,0,0,COUNTA([1]stages!$A:$A),MATCH(G$1,[1]stages!$2:$2,0)-MATCH("temp_stage",[1]stages!$2:$2,0)+1),MATCH(G$1,[1]stages!$2:$2,0)-MATCH("temp_stage",[1]stages!$2:$2,0)+1,FALSE)</f>
        <v>ドロップイベント2-2（マルチ専用）</v>
      </c>
      <c r="H932" s="18">
        <v>0</v>
      </c>
      <c r="I932">
        <v>3</v>
      </c>
      <c r="J932" s="5" t="s">
        <v>16</v>
      </c>
      <c r="K932" s="35" t="str">
        <f>VLOOKUP(I932,[2]stage_hints!$A:$C,3,FALSE)</f>
        <v>ターゲット</v>
      </c>
      <c r="L932" s="36" t="str">
        <f>VLOOKUP(I932,[2]stage_hints!$A:$D,4,FALSE)</f>
        <v>敵ユニットをタップすると_x000D_その敵を狙い撃ちできます</v>
      </c>
      <c r="M932" s="21" t="s">
        <v>23</v>
      </c>
      <c r="N932">
        <v>3</v>
      </c>
    </row>
    <row r="933" spans="1:14" x14ac:dyDescent="0.15">
      <c r="A933" s="26" t="s">
        <v>32</v>
      </c>
      <c r="B933" s="4">
        <v>30007</v>
      </c>
      <c r="C933" s="3" t="str">
        <f ca="1">VLOOKUP($B933,OFFSET([1]quests!$A$1,0,0,COUNTA([1]quests!$A:$A),MATCH(C$1,[1]quests!$1:$1,0)-MATCH($B$1,[1]quests!$1:$1,0)+1),MATCH(C$1,[1]quests!$1:$1,0)-MATCH($B$1,[1]quests!$1:$1,0)+1,FALSE)</f>
        <v>ガラスの靴は私のもの</v>
      </c>
      <c r="D933" s="3" t="str">
        <f ca="1">VLOOKUP($B933,OFFSET([1]quests!$A$1,0,0,COUNTA([1]quests!$A:$A),MATCH(D$1,[1]quests!$1:$1,0)-MATCH($B$1,[1]quests!$1:$1,0)+1),MATCH(D$1,[1]quests!$1:$1,0)-MATCH($B$1,[1]quests!$1:$1,0)+1,FALSE)</f>
        <v>ドロップイベント2-2（マルチ専用）</v>
      </c>
      <c r="E933" s="5">
        <v>1</v>
      </c>
      <c r="F933" s="3" t="str">
        <f ca="1">VLOOKUP($B933&amp;"_"&amp;$E933,OFFSET([1]stages!$A$1,0,0,COUNTA([1]stages!$A:$A),MATCH(F$1,[1]stages!$2:$2,0)-MATCH("temp_stage",[1]stages!$2:$2,0)+1),MATCH(F$1,[1]stages!$2:$2,0)-MATCH("temp_stage",[1]stages!$2:$2,0)+1,FALSE)</f>
        <v xml:space="preserve">【中級】ガラスの靴は私のもの </v>
      </c>
      <c r="G933" s="3" t="str">
        <f ca="1">VLOOKUP($B933&amp;"_"&amp;$E933,OFFSET([1]stages!$A$1,0,0,COUNTA([1]stages!$A:$A),MATCH(G$1,[1]stages!$2:$2,0)-MATCH("temp_stage",[1]stages!$2:$2,0)+1),MATCH(G$1,[1]stages!$2:$2,0)-MATCH("temp_stage",[1]stages!$2:$2,0)+1,FALSE)</f>
        <v>ドロップイベント2-2（マルチ専用）</v>
      </c>
      <c r="H933" s="18">
        <v>0</v>
      </c>
      <c r="I933">
        <v>6</v>
      </c>
      <c r="J933" s="5" t="s">
        <v>16</v>
      </c>
      <c r="K933" s="35" t="str">
        <f>VLOOKUP(I933,[2]stage_hints!$A:$C,3,FALSE)</f>
        <v>ユニット強化の属性ボーナス</v>
      </c>
      <c r="L933" s="36" t="str">
        <f>VLOOKUP(I933,[2]stage_hints!$A:$D,4,FALSE)</f>
        <v>同属性ユニットを強化素材にすると_x000D_経験値が多くもらえます</v>
      </c>
      <c r="M933" s="21" t="s">
        <v>23</v>
      </c>
      <c r="N933">
        <v>6</v>
      </c>
    </row>
    <row r="934" spans="1:14" x14ac:dyDescent="0.15">
      <c r="A934" s="26" t="s">
        <v>32</v>
      </c>
      <c r="B934" s="4">
        <v>30007</v>
      </c>
      <c r="C934" s="3" t="str">
        <f ca="1">VLOOKUP($B934,OFFSET([1]quests!$A$1,0,0,COUNTA([1]quests!$A:$A),MATCH(C$1,[1]quests!$1:$1,0)-MATCH($B$1,[1]quests!$1:$1,0)+1),MATCH(C$1,[1]quests!$1:$1,0)-MATCH($B$1,[1]quests!$1:$1,0)+1,FALSE)</f>
        <v>ガラスの靴は私のもの</v>
      </c>
      <c r="D934" s="3" t="str">
        <f ca="1">VLOOKUP($B934,OFFSET([1]quests!$A$1,0,0,COUNTA([1]quests!$A:$A),MATCH(D$1,[1]quests!$1:$1,0)-MATCH($B$1,[1]quests!$1:$1,0)+1),MATCH(D$1,[1]quests!$1:$1,0)-MATCH($B$1,[1]quests!$1:$1,0)+1,FALSE)</f>
        <v>ドロップイベント2-2（マルチ専用）</v>
      </c>
      <c r="E934" s="5">
        <v>1</v>
      </c>
      <c r="F934" s="3" t="str">
        <f ca="1">VLOOKUP($B934&amp;"_"&amp;$E934,OFFSET([1]stages!$A$1,0,0,COUNTA([1]stages!$A:$A),MATCH(F$1,[1]stages!$2:$2,0)-MATCH("temp_stage",[1]stages!$2:$2,0)+1),MATCH(F$1,[1]stages!$2:$2,0)-MATCH("temp_stage",[1]stages!$2:$2,0)+1,FALSE)</f>
        <v xml:space="preserve">【中級】ガラスの靴は私のもの </v>
      </c>
      <c r="G934" s="3" t="str">
        <f ca="1">VLOOKUP($B934&amp;"_"&amp;$E934,OFFSET([1]stages!$A$1,0,0,COUNTA([1]stages!$A:$A),MATCH(G$1,[1]stages!$2:$2,0)-MATCH("temp_stage",[1]stages!$2:$2,0)+1),MATCH(G$1,[1]stages!$2:$2,0)-MATCH("temp_stage",[1]stages!$2:$2,0)+1,FALSE)</f>
        <v>ドロップイベント2-2（マルチ専用）</v>
      </c>
      <c r="H934" s="18">
        <v>0</v>
      </c>
      <c r="I934">
        <v>7</v>
      </c>
      <c r="J934" s="5" t="s">
        <v>16</v>
      </c>
      <c r="K934" s="35" t="str">
        <f>VLOOKUP(I934,[2]stage_hints!$A:$C,3,FALSE)</f>
        <v>メタルダックで経験値を獲得</v>
      </c>
      <c r="L934" s="36" t="str">
        <f>VLOOKUP(I934,[2]stage_hints!$A:$D,4,FALSE)</f>
        <v>「メタルなアヒル」を強化素材にすると_x000D_大量の経験値がもらえます</v>
      </c>
      <c r="M934" s="21" t="s">
        <v>23</v>
      </c>
      <c r="N934">
        <v>7</v>
      </c>
    </row>
    <row r="935" spans="1:14" x14ac:dyDescent="0.15">
      <c r="A935" s="26" t="s">
        <v>32</v>
      </c>
      <c r="B935" s="4">
        <v>30007</v>
      </c>
      <c r="C935" s="3" t="str">
        <f ca="1">VLOOKUP($B935,OFFSET([1]quests!$A$1,0,0,COUNTA([1]quests!$A:$A),MATCH(C$1,[1]quests!$1:$1,0)-MATCH($B$1,[1]quests!$1:$1,0)+1),MATCH(C$1,[1]quests!$1:$1,0)-MATCH($B$1,[1]quests!$1:$1,0)+1,FALSE)</f>
        <v>ガラスの靴は私のもの</v>
      </c>
      <c r="D935" s="3" t="str">
        <f ca="1">VLOOKUP($B935,OFFSET([1]quests!$A$1,0,0,COUNTA([1]quests!$A:$A),MATCH(D$1,[1]quests!$1:$1,0)-MATCH($B$1,[1]quests!$1:$1,0)+1),MATCH(D$1,[1]quests!$1:$1,0)-MATCH($B$1,[1]quests!$1:$1,0)+1,FALSE)</f>
        <v>ドロップイベント2-2（マルチ専用）</v>
      </c>
      <c r="E935" s="5">
        <v>1</v>
      </c>
      <c r="F935" s="3" t="str">
        <f ca="1">VLOOKUP($B935&amp;"_"&amp;$E935,OFFSET([1]stages!$A$1,0,0,COUNTA([1]stages!$A:$A),MATCH(F$1,[1]stages!$2:$2,0)-MATCH("temp_stage",[1]stages!$2:$2,0)+1),MATCH(F$1,[1]stages!$2:$2,0)-MATCH("temp_stage",[1]stages!$2:$2,0)+1,FALSE)</f>
        <v xml:space="preserve">【中級】ガラスの靴は私のもの </v>
      </c>
      <c r="G935" s="3" t="str">
        <f ca="1">VLOOKUP($B935&amp;"_"&amp;$E935,OFFSET([1]stages!$A$1,0,0,COUNTA([1]stages!$A:$A),MATCH(G$1,[1]stages!$2:$2,0)-MATCH("temp_stage",[1]stages!$2:$2,0)+1),MATCH(G$1,[1]stages!$2:$2,0)-MATCH("temp_stage",[1]stages!$2:$2,0)+1,FALSE)</f>
        <v>ドロップイベント2-2（マルチ専用）</v>
      </c>
      <c r="H935" s="18">
        <v>0</v>
      </c>
      <c r="I935">
        <v>8</v>
      </c>
      <c r="J935" s="5" t="s">
        <v>16</v>
      </c>
      <c r="K935" s="35" t="str">
        <f>VLOOKUP(I935,[2]stage_hints!$A:$C,3,FALSE)</f>
        <v>ゲリラクエストは要チェック</v>
      </c>
      <c r="L935" s="36" t="str">
        <f>VLOOKUP(I935,[2]stage_hints!$A:$D,4,FALSE)</f>
        <v>時間限定の「アヒル捕獲作戦」では_x000D_経験値素材ユニットが多く手に入ります</v>
      </c>
      <c r="M935" s="21" t="s">
        <v>23</v>
      </c>
      <c r="N935">
        <v>8</v>
      </c>
    </row>
    <row r="936" spans="1:14" x14ac:dyDescent="0.15">
      <c r="A936" s="26" t="s">
        <v>32</v>
      </c>
      <c r="B936" s="4">
        <v>30007</v>
      </c>
      <c r="C936" s="3" t="str">
        <f ca="1">VLOOKUP($B936,OFFSET([1]quests!$A$1,0,0,COUNTA([1]quests!$A:$A),MATCH(C$1,[1]quests!$1:$1,0)-MATCH($B$1,[1]quests!$1:$1,0)+1),MATCH(C$1,[1]quests!$1:$1,0)-MATCH($B$1,[1]quests!$1:$1,0)+1,FALSE)</f>
        <v>ガラスの靴は私のもの</v>
      </c>
      <c r="D936" s="3" t="str">
        <f ca="1">VLOOKUP($B936,OFFSET([1]quests!$A$1,0,0,COUNTA([1]quests!$A:$A),MATCH(D$1,[1]quests!$1:$1,0)-MATCH($B$1,[1]quests!$1:$1,0)+1),MATCH(D$1,[1]quests!$1:$1,0)-MATCH($B$1,[1]quests!$1:$1,0)+1,FALSE)</f>
        <v>ドロップイベント2-2（マルチ専用）</v>
      </c>
      <c r="E936" s="5">
        <v>1</v>
      </c>
      <c r="F936" s="3" t="str">
        <f ca="1">VLOOKUP($B936&amp;"_"&amp;$E936,OFFSET([1]stages!$A$1,0,0,COUNTA([1]stages!$A:$A),MATCH(F$1,[1]stages!$2:$2,0)-MATCH("temp_stage",[1]stages!$2:$2,0)+1),MATCH(F$1,[1]stages!$2:$2,0)-MATCH("temp_stage",[1]stages!$2:$2,0)+1,FALSE)</f>
        <v xml:space="preserve">【中級】ガラスの靴は私のもの </v>
      </c>
      <c r="G936" s="3" t="str">
        <f ca="1">VLOOKUP($B936&amp;"_"&amp;$E936,OFFSET([1]stages!$A$1,0,0,COUNTA([1]stages!$A:$A),MATCH(G$1,[1]stages!$2:$2,0)-MATCH("temp_stage",[1]stages!$2:$2,0)+1),MATCH(G$1,[1]stages!$2:$2,0)-MATCH("temp_stage",[1]stages!$2:$2,0)+1,FALSE)</f>
        <v>ドロップイベント2-2（マルチ専用）</v>
      </c>
      <c r="H936" s="18">
        <v>0</v>
      </c>
      <c r="I936">
        <v>9</v>
      </c>
      <c r="J936" s="5" t="s">
        <v>16</v>
      </c>
      <c r="K936" s="35" t="str">
        <f>VLOOKUP(I936,[2]stage_hints!$A:$C,3,FALSE)</f>
        <v>ゴールドダックでビットを獲得</v>
      </c>
      <c r="L936" s="36" t="str">
        <f>VLOOKUP(I936,[2]stage_hints!$A:$D,4,FALSE)</f>
        <v>「ゴールドなアヒル」を売却すると_x000D_大量のビットがもらえます</v>
      </c>
      <c r="M936" s="21" t="s">
        <v>23</v>
      </c>
      <c r="N936">
        <v>9</v>
      </c>
    </row>
    <row r="937" spans="1:14" x14ac:dyDescent="0.15">
      <c r="A937" s="26" t="s">
        <v>32</v>
      </c>
      <c r="B937" s="4">
        <v>30007</v>
      </c>
      <c r="C937" s="3" t="str">
        <f ca="1">VLOOKUP($B937,OFFSET([1]quests!$A$1,0,0,COUNTA([1]quests!$A:$A),MATCH(C$1,[1]quests!$1:$1,0)-MATCH($B$1,[1]quests!$1:$1,0)+1),MATCH(C$1,[1]quests!$1:$1,0)-MATCH($B$1,[1]quests!$1:$1,0)+1,FALSE)</f>
        <v>ガラスの靴は私のもの</v>
      </c>
      <c r="D937" s="3" t="str">
        <f ca="1">VLOOKUP($B937,OFFSET([1]quests!$A$1,0,0,COUNTA([1]quests!$A:$A),MATCH(D$1,[1]quests!$1:$1,0)-MATCH($B$1,[1]quests!$1:$1,0)+1),MATCH(D$1,[1]quests!$1:$1,0)-MATCH($B$1,[1]quests!$1:$1,0)+1,FALSE)</f>
        <v>ドロップイベント2-2（マルチ専用）</v>
      </c>
      <c r="E937" s="5">
        <v>1</v>
      </c>
      <c r="F937" s="3" t="str">
        <f ca="1">VLOOKUP($B937&amp;"_"&amp;$E937,OFFSET([1]stages!$A$1,0,0,COUNTA([1]stages!$A:$A),MATCH(F$1,[1]stages!$2:$2,0)-MATCH("temp_stage",[1]stages!$2:$2,0)+1),MATCH(F$1,[1]stages!$2:$2,0)-MATCH("temp_stage",[1]stages!$2:$2,0)+1,FALSE)</f>
        <v xml:space="preserve">【中級】ガラスの靴は私のもの </v>
      </c>
      <c r="G937" s="3" t="str">
        <f ca="1">VLOOKUP($B937&amp;"_"&amp;$E937,OFFSET([1]stages!$A$1,0,0,COUNTA([1]stages!$A:$A),MATCH(G$1,[1]stages!$2:$2,0)-MATCH("temp_stage",[1]stages!$2:$2,0)+1),MATCH(G$1,[1]stages!$2:$2,0)-MATCH("temp_stage",[1]stages!$2:$2,0)+1,FALSE)</f>
        <v>ドロップイベント2-2（マルチ専用）</v>
      </c>
      <c r="H937" s="18">
        <v>0</v>
      </c>
      <c r="I937">
        <v>10</v>
      </c>
      <c r="J937" s="5" t="s">
        <v>16</v>
      </c>
      <c r="K937" s="35" t="str">
        <f>VLOOKUP(I937,[2]stage_hints!$A:$C,3,FALSE)</f>
        <v>土日に大量のビットを獲得</v>
      </c>
      <c r="L937" s="36" t="str">
        <f>VLOOKUP(I937,[2]stage_hints!$A:$D,4,FALSE)</f>
        <v>土日限定の「ゴールドカジノ」では_x000D_売却素材ユニットが多く手に入ります</v>
      </c>
      <c r="M937" s="21" t="s">
        <v>23</v>
      </c>
      <c r="N937">
        <v>10</v>
      </c>
    </row>
    <row r="938" spans="1:14" x14ac:dyDescent="0.15">
      <c r="A938" s="26" t="s">
        <v>32</v>
      </c>
      <c r="B938" s="4">
        <v>30007</v>
      </c>
      <c r="C938" s="3" t="str">
        <f ca="1">VLOOKUP($B938,OFFSET([1]quests!$A$1,0,0,COUNTA([1]quests!$A:$A),MATCH(C$1,[1]quests!$1:$1,0)-MATCH($B$1,[1]quests!$1:$1,0)+1),MATCH(C$1,[1]quests!$1:$1,0)-MATCH($B$1,[1]quests!$1:$1,0)+1,FALSE)</f>
        <v>ガラスの靴は私のもの</v>
      </c>
      <c r="D938" s="3" t="str">
        <f ca="1">VLOOKUP($B938,OFFSET([1]quests!$A$1,0,0,COUNTA([1]quests!$A:$A),MATCH(D$1,[1]quests!$1:$1,0)-MATCH($B$1,[1]quests!$1:$1,0)+1),MATCH(D$1,[1]quests!$1:$1,0)-MATCH($B$1,[1]quests!$1:$1,0)+1,FALSE)</f>
        <v>ドロップイベント2-2（マルチ専用）</v>
      </c>
      <c r="E938" s="5">
        <v>1</v>
      </c>
      <c r="F938" s="3" t="str">
        <f ca="1">VLOOKUP($B938&amp;"_"&amp;$E938,OFFSET([1]stages!$A$1,0,0,COUNTA([1]stages!$A:$A),MATCH(F$1,[1]stages!$2:$2,0)-MATCH("temp_stage",[1]stages!$2:$2,0)+1),MATCH(F$1,[1]stages!$2:$2,0)-MATCH("temp_stage",[1]stages!$2:$2,0)+1,FALSE)</f>
        <v xml:space="preserve">【中級】ガラスの靴は私のもの </v>
      </c>
      <c r="G938" s="3" t="str">
        <f ca="1">VLOOKUP($B938&amp;"_"&amp;$E938,OFFSET([1]stages!$A$1,0,0,COUNTA([1]stages!$A:$A),MATCH(G$1,[1]stages!$2:$2,0)-MATCH("temp_stage",[1]stages!$2:$2,0)+1),MATCH(G$1,[1]stages!$2:$2,0)-MATCH("temp_stage",[1]stages!$2:$2,0)+1,FALSE)</f>
        <v>ドロップイベント2-2（マルチ専用）</v>
      </c>
      <c r="H938" s="18">
        <v>0</v>
      </c>
      <c r="I938">
        <v>11</v>
      </c>
      <c r="J938" s="5" t="s">
        <v>16</v>
      </c>
      <c r="K938" s="35" t="str">
        <f>VLOOKUP(I938,[2]stage_hints!$A:$C,3,FALSE)</f>
        <v>ランク解放クエスト</v>
      </c>
      <c r="L938" s="36" t="str">
        <f>VLOOKUP(I938,[2]stage_hints!$A:$D,4,FALSE)</f>
        <v>一定ランクに到達すると_x000D_報酬付きのランク開放クエストが現れます</v>
      </c>
      <c r="M938" s="21" t="s">
        <v>23</v>
      </c>
      <c r="N938">
        <v>11</v>
      </c>
    </row>
    <row r="939" spans="1:14" x14ac:dyDescent="0.15">
      <c r="A939" s="26" t="s">
        <v>32</v>
      </c>
      <c r="B939" s="4">
        <v>30007</v>
      </c>
      <c r="C939" s="3" t="str">
        <f ca="1">VLOOKUP($B939,OFFSET([1]quests!$A$1,0,0,COUNTA([1]quests!$A:$A),MATCH(C$1,[1]quests!$1:$1,0)-MATCH($B$1,[1]quests!$1:$1,0)+1),MATCH(C$1,[1]quests!$1:$1,0)-MATCH($B$1,[1]quests!$1:$1,0)+1,FALSE)</f>
        <v>ガラスの靴は私のもの</v>
      </c>
      <c r="D939" s="3" t="str">
        <f ca="1">VLOOKUP($B939,OFFSET([1]quests!$A$1,0,0,COUNTA([1]quests!$A:$A),MATCH(D$1,[1]quests!$1:$1,0)-MATCH($B$1,[1]quests!$1:$1,0)+1),MATCH(D$1,[1]quests!$1:$1,0)-MATCH($B$1,[1]quests!$1:$1,0)+1,FALSE)</f>
        <v>ドロップイベント2-2（マルチ専用）</v>
      </c>
      <c r="E939" s="5">
        <v>1</v>
      </c>
      <c r="F939" s="3" t="str">
        <f ca="1">VLOOKUP($B939&amp;"_"&amp;$E939,OFFSET([1]stages!$A$1,0,0,COUNTA([1]stages!$A:$A),MATCH(F$1,[1]stages!$2:$2,0)-MATCH("temp_stage",[1]stages!$2:$2,0)+1),MATCH(F$1,[1]stages!$2:$2,0)-MATCH("temp_stage",[1]stages!$2:$2,0)+1,FALSE)</f>
        <v xml:space="preserve">【中級】ガラスの靴は私のもの </v>
      </c>
      <c r="G939" s="3" t="str">
        <f ca="1">VLOOKUP($B939&amp;"_"&amp;$E939,OFFSET([1]stages!$A$1,0,0,COUNTA([1]stages!$A:$A),MATCH(G$1,[1]stages!$2:$2,0)-MATCH("temp_stage",[1]stages!$2:$2,0)+1),MATCH(G$1,[1]stages!$2:$2,0)-MATCH("temp_stage",[1]stages!$2:$2,0)+1,FALSE)</f>
        <v>ドロップイベント2-2（マルチ専用）</v>
      </c>
      <c r="H939" s="18">
        <v>0</v>
      </c>
      <c r="I939">
        <v>12</v>
      </c>
      <c r="J939" s="5" t="s">
        <v>16</v>
      </c>
      <c r="K939" s="35" t="str">
        <f>VLOOKUP(I939,[2]stage_hints!$A:$C,3,FALSE)</f>
        <v>ユニットのお気に入り登録</v>
      </c>
      <c r="L939" s="36" t="str">
        <f>VLOOKUP(I939,[2]stage_hints!$A:$D,4,FALSE)</f>
        <v>大事なユニットを誤って消さないように_x000D_フォルダから「お気に入り登録」しましょう</v>
      </c>
      <c r="M939" s="21" t="s">
        <v>23</v>
      </c>
      <c r="N939">
        <v>12</v>
      </c>
    </row>
    <row r="940" spans="1:14" x14ac:dyDescent="0.15">
      <c r="A940" s="26" t="s">
        <v>32</v>
      </c>
      <c r="B940" s="4">
        <v>30007</v>
      </c>
      <c r="C940" s="3" t="str">
        <f ca="1">VLOOKUP($B940,OFFSET([1]quests!$A$1,0,0,COUNTA([1]quests!$A:$A),MATCH(C$1,[1]quests!$1:$1,0)-MATCH($B$1,[1]quests!$1:$1,0)+1),MATCH(C$1,[1]quests!$1:$1,0)-MATCH($B$1,[1]quests!$1:$1,0)+1,FALSE)</f>
        <v>ガラスの靴は私のもの</v>
      </c>
      <c r="D940" s="3" t="str">
        <f ca="1">VLOOKUP($B940,OFFSET([1]quests!$A$1,0,0,COUNTA([1]quests!$A:$A),MATCH(D$1,[1]quests!$1:$1,0)-MATCH($B$1,[1]quests!$1:$1,0)+1),MATCH(D$1,[1]quests!$1:$1,0)-MATCH($B$1,[1]quests!$1:$1,0)+1,FALSE)</f>
        <v>ドロップイベント2-2（マルチ専用）</v>
      </c>
      <c r="E940" s="5">
        <v>1</v>
      </c>
      <c r="F940" s="3" t="str">
        <f ca="1">VLOOKUP($B940&amp;"_"&amp;$E940,OFFSET([1]stages!$A$1,0,0,COUNTA([1]stages!$A:$A),MATCH(F$1,[1]stages!$2:$2,0)-MATCH("temp_stage",[1]stages!$2:$2,0)+1),MATCH(F$1,[1]stages!$2:$2,0)-MATCH("temp_stage",[1]stages!$2:$2,0)+1,FALSE)</f>
        <v xml:space="preserve">【中級】ガラスの靴は私のもの </v>
      </c>
      <c r="G940" s="3" t="str">
        <f ca="1">VLOOKUP($B940&amp;"_"&amp;$E940,OFFSET([1]stages!$A$1,0,0,COUNTA([1]stages!$A:$A),MATCH(G$1,[1]stages!$2:$2,0)-MATCH("temp_stage",[1]stages!$2:$2,0)+1),MATCH(G$1,[1]stages!$2:$2,0)-MATCH("temp_stage",[1]stages!$2:$2,0)+1,FALSE)</f>
        <v>ドロップイベント2-2（マルチ専用）</v>
      </c>
      <c r="H940" s="18">
        <v>0</v>
      </c>
      <c r="I940">
        <v>13</v>
      </c>
      <c r="J940" s="5" t="s">
        <v>16</v>
      </c>
      <c r="K940" s="35" t="str">
        <f>VLOOKUP(I940,[2]stage_hints!$A:$C,3,FALSE)</f>
        <v>ユニットの覚醒</v>
      </c>
      <c r="L940" s="36" t="str">
        <f>VLOOKUP(I940,[2]stage_hints!$A:$D,4,FALSE)</f>
        <v>ユニットを覚醒させると_x000D_比べものにならない強さが手に入ります</v>
      </c>
      <c r="M940" s="21" t="s">
        <v>23</v>
      </c>
      <c r="N940">
        <v>13</v>
      </c>
    </row>
    <row r="941" spans="1:14" x14ac:dyDescent="0.15">
      <c r="A941" s="26" t="s">
        <v>32</v>
      </c>
      <c r="B941" s="4">
        <v>30007</v>
      </c>
      <c r="C941" s="3" t="str">
        <f ca="1">VLOOKUP($B941,OFFSET([1]quests!$A$1,0,0,COUNTA([1]quests!$A:$A),MATCH(C$1,[1]quests!$1:$1,0)-MATCH($B$1,[1]quests!$1:$1,0)+1),MATCH(C$1,[1]quests!$1:$1,0)-MATCH($B$1,[1]quests!$1:$1,0)+1,FALSE)</f>
        <v>ガラスの靴は私のもの</v>
      </c>
      <c r="D941" s="3" t="str">
        <f ca="1">VLOOKUP($B941,OFFSET([1]quests!$A$1,0,0,COUNTA([1]quests!$A:$A),MATCH(D$1,[1]quests!$1:$1,0)-MATCH($B$1,[1]quests!$1:$1,0)+1),MATCH(D$1,[1]quests!$1:$1,0)-MATCH($B$1,[1]quests!$1:$1,0)+1,FALSE)</f>
        <v>ドロップイベント2-2（マルチ専用）</v>
      </c>
      <c r="E941" s="5">
        <v>1</v>
      </c>
      <c r="F941" s="3" t="str">
        <f ca="1">VLOOKUP($B941&amp;"_"&amp;$E941,OFFSET([1]stages!$A$1,0,0,COUNTA([1]stages!$A:$A),MATCH(F$1,[1]stages!$2:$2,0)-MATCH("temp_stage",[1]stages!$2:$2,0)+1),MATCH(F$1,[1]stages!$2:$2,0)-MATCH("temp_stage",[1]stages!$2:$2,0)+1,FALSE)</f>
        <v xml:space="preserve">【中級】ガラスの靴は私のもの </v>
      </c>
      <c r="G941" s="3" t="str">
        <f ca="1">VLOOKUP($B941&amp;"_"&amp;$E941,OFFSET([1]stages!$A$1,0,0,COUNTA([1]stages!$A:$A),MATCH(G$1,[1]stages!$2:$2,0)-MATCH("temp_stage",[1]stages!$2:$2,0)+1),MATCH(G$1,[1]stages!$2:$2,0)-MATCH("temp_stage",[1]stages!$2:$2,0)+1,FALSE)</f>
        <v>ドロップイベント2-2（マルチ専用）</v>
      </c>
      <c r="H941" s="18">
        <v>0</v>
      </c>
      <c r="I941">
        <v>14</v>
      </c>
      <c r="J941" s="5" t="s">
        <v>16</v>
      </c>
      <c r="K941" s="35" t="str">
        <f>VLOOKUP(I941,[2]stage_hints!$A:$C,3,FALSE)</f>
        <v>覚醒するにはレベルを最大に</v>
      </c>
      <c r="L941" s="36" t="str">
        <f>VLOOKUP(I941,[2]stage_hints!$A:$D,4,FALSE)</f>
        <v>覚醒するにはユニットのレベルを_x000D_最大まで上げる必要があります</v>
      </c>
      <c r="M941" s="21" t="s">
        <v>23</v>
      </c>
      <c r="N941">
        <v>14</v>
      </c>
    </row>
    <row r="942" spans="1:14" x14ac:dyDescent="0.15">
      <c r="A942" s="26" t="s">
        <v>32</v>
      </c>
      <c r="B942" s="4">
        <v>30007</v>
      </c>
      <c r="C942" s="3" t="str">
        <f ca="1">VLOOKUP($B942,OFFSET([1]quests!$A$1,0,0,COUNTA([1]quests!$A:$A),MATCH(C$1,[1]quests!$1:$1,0)-MATCH($B$1,[1]quests!$1:$1,0)+1),MATCH(C$1,[1]quests!$1:$1,0)-MATCH($B$1,[1]quests!$1:$1,0)+1,FALSE)</f>
        <v>ガラスの靴は私のもの</v>
      </c>
      <c r="D942" s="3" t="str">
        <f ca="1">VLOOKUP($B942,OFFSET([1]quests!$A$1,0,0,COUNTA([1]quests!$A:$A),MATCH(D$1,[1]quests!$1:$1,0)-MATCH($B$1,[1]quests!$1:$1,0)+1),MATCH(D$1,[1]quests!$1:$1,0)-MATCH($B$1,[1]quests!$1:$1,0)+1,FALSE)</f>
        <v>ドロップイベント2-2（マルチ専用）</v>
      </c>
      <c r="E942" s="5">
        <v>1</v>
      </c>
      <c r="F942" s="3" t="str">
        <f ca="1">VLOOKUP($B942&amp;"_"&amp;$E942,OFFSET([1]stages!$A$1,0,0,COUNTA([1]stages!$A:$A),MATCH(F$1,[1]stages!$2:$2,0)-MATCH("temp_stage",[1]stages!$2:$2,0)+1),MATCH(F$1,[1]stages!$2:$2,0)-MATCH("temp_stage",[1]stages!$2:$2,0)+1,FALSE)</f>
        <v xml:space="preserve">【中級】ガラスの靴は私のもの </v>
      </c>
      <c r="G942" s="3" t="str">
        <f ca="1">VLOOKUP($B942&amp;"_"&amp;$E942,OFFSET([1]stages!$A$1,0,0,COUNTA([1]stages!$A:$A),MATCH(G$1,[1]stages!$2:$2,0)-MATCH("temp_stage",[1]stages!$2:$2,0)+1),MATCH(G$1,[1]stages!$2:$2,0)-MATCH("temp_stage",[1]stages!$2:$2,0)+1,FALSE)</f>
        <v>ドロップイベント2-2（マルチ専用）</v>
      </c>
      <c r="H942" s="18">
        <v>0</v>
      </c>
      <c r="I942">
        <v>15</v>
      </c>
      <c r="J942" s="5" t="s">
        <v>16</v>
      </c>
      <c r="K942" s="35" t="str">
        <f>VLOOKUP(I942,[2]stage_hints!$A:$C,3,FALSE)</f>
        <v>覚醒素材を獲得</v>
      </c>
      <c r="L942" s="36" t="str">
        <f>VLOOKUP(I942,[2]stage_hints!$A:$D,4,FALSE)</f>
        <v>「曜日クエスト」では_x000D_ユニットの覚醒に必要な素材が手に入ります</v>
      </c>
      <c r="M942" s="21" t="s">
        <v>23</v>
      </c>
      <c r="N942">
        <v>15</v>
      </c>
    </row>
    <row r="943" spans="1:14" x14ac:dyDescent="0.15">
      <c r="A943" s="26" t="s">
        <v>32</v>
      </c>
      <c r="B943" s="4">
        <v>30007</v>
      </c>
      <c r="C943" s="3" t="str">
        <f ca="1">VLOOKUP($B943,OFFSET([1]quests!$A$1,0,0,COUNTA([1]quests!$A:$A),MATCH(C$1,[1]quests!$1:$1,0)-MATCH($B$1,[1]quests!$1:$1,0)+1),MATCH(C$1,[1]quests!$1:$1,0)-MATCH($B$1,[1]quests!$1:$1,0)+1,FALSE)</f>
        <v>ガラスの靴は私のもの</v>
      </c>
      <c r="D943" s="3" t="str">
        <f ca="1">VLOOKUP($B943,OFFSET([1]quests!$A$1,0,0,COUNTA([1]quests!$A:$A),MATCH(D$1,[1]quests!$1:$1,0)-MATCH($B$1,[1]quests!$1:$1,0)+1),MATCH(D$1,[1]quests!$1:$1,0)-MATCH($B$1,[1]quests!$1:$1,0)+1,FALSE)</f>
        <v>ドロップイベント2-2（マルチ専用）</v>
      </c>
      <c r="E943" s="5">
        <v>1</v>
      </c>
      <c r="F943" s="3" t="str">
        <f ca="1">VLOOKUP($B943&amp;"_"&amp;$E943,OFFSET([1]stages!$A$1,0,0,COUNTA([1]stages!$A:$A),MATCH(F$1,[1]stages!$2:$2,0)-MATCH("temp_stage",[1]stages!$2:$2,0)+1),MATCH(F$1,[1]stages!$2:$2,0)-MATCH("temp_stage",[1]stages!$2:$2,0)+1,FALSE)</f>
        <v xml:space="preserve">【中級】ガラスの靴は私のもの </v>
      </c>
      <c r="G943" s="3" t="str">
        <f ca="1">VLOOKUP($B943&amp;"_"&amp;$E943,OFFSET([1]stages!$A$1,0,0,COUNTA([1]stages!$A:$A),MATCH(G$1,[1]stages!$2:$2,0)-MATCH("temp_stage",[1]stages!$2:$2,0)+1),MATCH(G$1,[1]stages!$2:$2,0)-MATCH("temp_stage",[1]stages!$2:$2,0)+1,FALSE)</f>
        <v>ドロップイベント2-2（マルチ専用）</v>
      </c>
      <c r="H943" s="18">
        <v>0</v>
      </c>
      <c r="I943">
        <v>16</v>
      </c>
      <c r="J943" s="5" t="s">
        <v>16</v>
      </c>
      <c r="K943" s="35" t="str">
        <f>VLOOKUP(I943,[2]stage_hints!$A:$C,3,FALSE)</f>
        <v>マルチプレイのメリット（その1）</v>
      </c>
      <c r="L943" s="36" t="str">
        <f>VLOOKUP(I943,[2]stage_hints!$A:$D,4,FALSE)</f>
        <v>他のプレイヤーとマルチプレイで遊ぶと_x000D_ポリゴンがもらえます（100人まで）</v>
      </c>
      <c r="M943" s="21" t="s">
        <v>23</v>
      </c>
      <c r="N943">
        <v>16</v>
      </c>
    </row>
    <row r="944" spans="1:14" x14ac:dyDescent="0.15">
      <c r="A944" s="26" t="s">
        <v>32</v>
      </c>
      <c r="B944" s="4">
        <v>30007</v>
      </c>
      <c r="C944" s="3" t="str">
        <f ca="1">VLOOKUP($B944,OFFSET([1]quests!$A$1,0,0,COUNTA([1]quests!$A:$A),MATCH(C$1,[1]quests!$1:$1,0)-MATCH($B$1,[1]quests!$1:$1,0)+1),MATCH(C$1,[1]quests!$1:$1,0)-MATCH($B$1,[1]quests!$1:$1,0)+1,FALSE)</f>
        <v>ガラスの靴は私のもの</v>
      </c>
      <c r="D944" s="3" t="str">
        <f ca="1">VLOOKUP($B944,OFFSET([1]quests!$A$1,0,0,COUNTA([1]quests!$A:$A),MATCH(D$1,[1]quests!$1:$1,0)-MATCH($B$1,[1]quests!$1:$1,0)+1),MATCH(D$1,[1]quests!$1:$1,0)-MATCH($B$1,[1]quests!$1:$1,0)+1,FALSE)</f>
        <v>ドロップイベント2-2（マルチ専用）</v>
      </c>
      <c r="E944" s="5">
        <v>1</v>
      </c>
      <c r="F944" s="3" t="str">
        <f ca="1">VLOOKUP($B944&amp;"_"&amp;$E944,OFFSET([1]stages!$A$1,0,0,COUNTA([1]stages!$A:$A),MATCH(F$1,[1]stages!$2:$2,0)-MATCH("temp_stage",[1]stages!$2:$2,0)+1),MATCH(F$1,[1]stages!$2:$2,0)-MATCH("temp_stage",[1]stages!$2:$2,0)+1,FALSE)</f>
        <v xml:space="preserve">【中級】ガラスの靴は私のもの </v>
      </c>
      <c r="G944" s="3" t="str">
        <f ca="1">VLOOKUP($B944&amp;"_"&amp;$E944,OFFSET([1]stages!$A$1,0,0,COUNTA([1]stages!$A:$A),MATCH(G$1,[1]stages!$2:$2,0)-MATCH("temp_stage",[1]stages!$2:$2,0)+1),MATCH(G$1,[1]stages!$2:$2,0)-MATCH("temp_stage",[1]stages!$2:$2,0)+1,FALSE)</f>
        <v>ドロップイベント2-2（マルチ専用）</v>
      </c>
      <c r="H944" s="18">
        <v>0</v>
      </c>
      <c r="I944">
        <v>17</v>
      </c>
      <c r="J944" s="5" t="s">
        <v>16</v>
      </c>
      <c r="K944" s="35" t="str">
        <f>VLOOKUP(I944,[2]stage_hints!$A:$C,3,FALSE)</f>
        <v>リンクガチャ</v>
      </c>
      <c r="L944" s="36" t="str">
        <f>VLOOKUP(I944,[2]stage_hints!$A:$D,4,FALSE)</f>
        <v>無料のリンクガチャを回して_x000D_経験値素材や売却素材を獲得しましょう</v>
      </c>
      <c r="M944" s="21" t="s">
        <v>23</v>
      </c>
      <c r="N944">
        <v>17</v>
      </c>
    </row>
    <row r="945" spans="1:14" x14ac:dyDescent="0.15">
      <c r="A945" s="26" t="s">
        <v>32</v>
      </c>
      <c r="B945" s="4">
        <v>30007</v>
      </c>
      <c r="C945" s="3" t="str">
        <f ca="1">VLOOKUP($B945,OFFSET([1]quests!$A$1,0,0,COUNTA([1]quests!$A:$A),MATCH(C$1,[1]quests!$1:$1,0)-MATCH($B$1,[1]quests!$1:$1,0)+1),MATCH(C$1,[1]quests!$1:$1,0)-MATCH($B$1,[1]quests!$1:$1,0)+1,FALSE)</f>
        <v>ガラスの靴は私のもの</v>
      </c>
      <c r="D945" s="3" t="str">
        <f ca="1">VLOOKUP($B945,OFFSET([1]quests!$A$1,0,0,COUNTA([1]quests!$A:$A),MATCH(D$1,[1]quests!$1:$1,0)-MATCH($B$1,[1]quests!$1:$1,0)+1),MATCH(D$1,[1]quests!$1:$1,0)-MATCH($B$1,[1]quests!$1:$1,0)+1,FALSE)</f>
        <v>ドロップイベント2-2（マルチ専用）</v>
      </c>
      <c r="E945" s="5">
        <v>1</v>
      </c>
      <c r="F945" s="3" t="str">
        <f ca="1">VLOOKUP($B945&amp;"_"&amp;$E945,OFFSET([1]stages!$A$1,0,0,COUNTA([1]stages!$A:$A),MATCH(F$1,[1]stages!$2:$2,0)-MATCH("temp_stage",[1]stages!$2:$2,0)+1),MATCH(F$1,[1]stages!$2:$2,0)-MATCH("temp_stage",[1]stages!$2:$2,0)+1,FALSE)</f>
        <v xml:space="preserve">【中級】ガラスの靴は私のもの </v>
      </c>
      <c r="G945" s="3" t="str">
        <f ca="1">VLOOKUP($B945&amp;"_"&amp;$E945,OFFSET([1]stages!$A$1,0,0,COUNTA([1]stages!$A:$A),MATCH(G$1,[1]stages!$2:$2,0)-MATCH("temp_stage",[1]stages!$2:$2,0)+1),MATCH(G$1,[1]stages!$2:$2,0)-MATCH("temp_stage",[1]stages!$2:$2,0)+1,FALSE)</f>
        <v>ドロップイベント2-2（マルチ専用）</v>
      </c>
      <c r="H945" s="18">
        <v>0</v>
      </c>
      <c r="I945">
        <v>18</v>
      </c>
      <c r="J945" s="5" t="s">
        <v>16</v>
      </c>
      <c r="K945" s="35" t="str">
        <f>VLOOKUP(I945,[2]stage_hints!$A:$C,3,FALSE)</f>
        <v>マルチプレイのメリット（その2）</v>
      </c>
      <c r="L945" s="36" t="str">
        <f>VLOOKUP(I945,[2]stage_hints!$A:$D,4,FALSE)</f>
        <v>マルチプレイならリンクが2倍もらえます_x000D_リンクガチャをたくさん回しましょう</v>
      </c>
      <c r="M945" s="21" t="s">
        <v>23</v>
      </c>
      <c r="N945">
        <v>18</v>
      </c>
    </row>
    <row r="946" spans="1:14" x14ac:dyDescent="0.15">
      <c r="A946" s="26" t="s">
        <v>32</v>
      </c>
      <c r="B946" s="4">
        <v>30007</v>
      </c>
      <c r="C946" s="3" t="str">
        <f ca="1">VLOOKUP($B946,OFFSET([1]quests!$A$1,0,0,COUNTA([1]quests!$A:$A),MATCH(C$1,[1]quests!$1:$1,0)-MATCH($B$1,[1]quests!$1:$1,0)+1),MATCH(C$1,[1]quests!$1:$1,0)-MATCH($B$1,[1]quests!$1:$1,0)+1,FALSE)</f>
        <v>ガラスの靴は私のもの</v>
      </c>
      <c r="D946" s="3" t="str">
        <f ca="1">VLOOKUP($B946,OFFSET([1]quests!$A$1,0,0,COUNTA([1]quests!$A:$A),MATCH(D$1,[1]quests!$1:$1,0)-MATCH($B$1,[1]quests!$1:$1,0)+1),MATCH(D$1,[1]quests!$1:$1,0)-MATCH($B$1,[1]quests!$1:$1,0)+1,FALSE)</f>
        <v>ドロップイベント2-2（マルチ専用）</v>
      </c>
      <c r="E946" s="5">
        <v>1</v>
      </c>
      <c r="F946" s="3" t="str">
        <f ca="1">VLOOKUP($B946&amp;"_"&amp;$E946,OFFSET([1]stages!$A$1,0,0,COUNTA([1]stages!$A:$A),MATCH(F$1,[1]stages!$2:$2,0)-MATCH("temp_stage",[1]stages!$2:$2,0)+1),MATCH(F$1,[1]stages!$2:$2,0)-MATCH("temp_stage",[1]stages!$2:$2,0)+1,FALSE)</f>
        <v xml:space="preserve">【中級】ガラスの靴は私のもの </v>
      </c>
      <c r="G946" s="3" t="str">
        <f ca="1">VLOOKUP($B946&amp;"_"&amp;$E946,OFFSET([1]stages!$A$1,0,0,COUNTA([1]stages!$A:$A),MATCH(G$1,[1]stages!$2:$2,0)-MATCH("temp_stage",[1]stages!$2:$2,0)+1),MATCH(G$1,[1]stages!$2:$2,0)-MATCH("temp_stage",[1]stages!$2:$2,0)+1,FALSE)</f>
        <v>ドロップイベント2-2（マルチ専用）</v>
      </c>
      <c r="H946" s="18">
        <v>0</v>
      </c>
      <c r="I946">
        <v>19</v>
      </c>
      <c r="J946" s="5" t="s">
        <v>16</v>
      </c>
      <c r="K946" s="35" t="str">
        <f>VLOOKUP(I946,[2]stage_hints!$A:$C,3,FALSE)</f>
        <v>ソロ専用チャレンジタワー</v>
      </c>
      <c r="L946" s="36" t="str">
        <f>VLOOKUP(I946,[2]stage_hints!$A:$D,4,FALSE)</f>
        <v>ソロ専用の「チャレンジタワー」では_x000D_各フロアごとにクリア報酬がもらえます</v>
      </c>
      <c r="M946" s="21" t="s">
        <v>23</v>
      </c>
      <c r="N946">
        <v>19</v>
      </c>
    </row>
    <row r="947" spans="1:14" x14ac:dyDescent="0.15">
      <c r="A947" s="26" t="s">
        <v>32</v>
      </c>
      <c r="B947" s="4">
        <v>30007</v>
      </c>
      <c r="C947" s="3" t="str">
        <f ca="1">VLOOKUP($B947,OFFSET([1]quests!$A$1,0,0,COUNTA([1]quests!$A:$A),MATCH(C$1,[1]quests!$1:$1,0)-MATCH($B$1,[1]quests!$1:$1,0)+1),MATCH(C$1,[1]quests!$1:$1,0)-MATCH($B$1,[1]quests!$1:$1,0)+1,FALSE)</f>
        <v>ガラスの靴は私のもの</v>
      </c>
      <c r="D947" s="3" t="str">
        <f ca="1">VLOOKUP($B947,OFFSET([1]quests!$A$1,0,0,COUNTA([1]quests!$A:$A),MATCH(D$1,[1]quests!$1:$1,0)-MATCH($B$1,[1]quests!$1:$1,0)+1),MATCH(D$1,[1]quests!$1:$1,0)-MATCH($B$1,[1]quests!$1:$1,0)+1,FALSE)</f>
        <v>ドロップイベント2-2（マルチ専用）</v>
      </c>
      <c r="E947" s="5">
        <v>1</v>
      </c>
      <c r="F947" s="3" t="str">
        <f ca="1">VLOOKUP($B947&amp;"_"&amp;$E947,OFFSET([1]stages!$A$1,0,0,COUNTA([1]stages!$A:$A),MATCH(F$1,[1]stages!$2:$2,0)-MATCH("temp_stage",[1]stages!$2:$2,0)+1),MATCH(F$1,[1]stages!$2:$2,0)-MATCH("temp_stage",[1]stages!$2:$2,0)+1,FALSE)</f>
        <v xml:space="preserve">【中級】ガラスの靴は私のもの </v>
      </c>
      <c r="G947" s="3" t="str">
        <f ca="1">VLOOKUP($B947&amp;"_"&amp;$E947,OFFSET([1]stages!$A$1,0,0,COUNTA([1]stages!$A:$A),MATCH(G$1,[1]stages!$2:$2,0)-MATCH("temp_stage",[1]stages!$2:$2,0)+1),MATCH(G$1,[1]stages!$2:$2,0)-MATCH("temp_stage",[1]stages!$2:$2,0)+1,FALSE)</f>
        <v>ドロップイベント2-2（マルチ専用）</v>
      </c>
      <c r="H947" s="18">
        <v>0</v>
      </c>
      <c r="I947">
        <v>20</v>
      </c>
      <c r="J947" s="5" t="s">
        <v>16</v>
      </c>
      <c r="K947" s="35" t="str">
        <f>VLOOKUP(I947,[2]stage_hints!$A:$C,3,FALSE)</f>
        <v>マルチプレイのメリット（その3）</v>
      </c>
      <c r="L947" s="36" t="str">
        <f>VLOOKUP(I947,[2]stage_hints!$A:$D,4,FALSE)</f>
        <v>マルチプレイへの参加はエナジー消費ゼロ_x000D_いつでも好きなだけ遊ぶことができます</v>
      </c>
      <c r="M947" s="21" t="s">
        <v>23</v>
      </c>
      <c r="N947">
        <v>20</v>
      </c>
    </row>
    <row r="948" spans="1:14" x14ac:dyDescent="0.15">
      <c r="A948" s="26" t="s">
        <v>32</v>
      </c>
      <c r="B948" s="4">
        <v>30007</v>
      </c>
      <c r="C948" s="3" t="str">
        <f ca="1">VLOOKUP($B948,OFFSET([1]quests!$A$1,0,0,COUNTA([1]quests!$A:$A),MATCH(C$1,[1]quests!$1:$1,0)-MATCH($B$1,[1]quests!$1:$1,0)+1),MATCH(C$1,[1]quests!$1:$1,0)-MATCH($B$1,[1]quests!$1:$1,0)+1,FALSE)</f>
        <v>ガラスの靴は私のもの</v>
      </c>
      <c r="D948" s="3" t="str">
        <f ca="1">VLOOKUP($B948,OFFSET([1]quests!$A$1,0,0,COUNTA([1]quests!$A:$A),MATCH(D$1,[1]quests!$1:$1,0)-MATCH($B$1,[1]quests!$1:$1,0)+1),MATCH(D$1,[1]quests!$1:$1,0)-MATCH($B$1,[1]quests!$1:$1,0)+1,FALSE)</f>
        <v>ドロップイベント2-2（マルチ専用）</v>
      </c>
      <c r="E948" s="5">
        <v>1</v>
      </c>
      <c r="F948" s="3" t="str">
        <f ca="1">VLOOKUP($B948&amp;"_"&amp;$E948,OFFSET([1]stages!$A$1,0,0,COUNTA([1]stages!$A:$A),MATCH(F$1,[1]stages!$2:$2,0)-MATCH("temp_stage",[1]stages!$2:$2,0)+1),MATCH(F$1,[1]stages!$2:$2,0)-MATCH("temp_stage",[1]stages!$2:$2,0)+1,FALSE)</f>
        <v xml:space="preserve">【中級】ガラスの靴は私のもの </v>
      </c>
      <c r="G948" s="3" t="str">
        <f ca="1">VLOOKUP($B948&amp;"_"&amp;$E948,OFFSET([1]stages!$A$1,0,0,COUNTA([1]stages!$A:$A),MATCH(G$1,[1]stages!$2:$2,0)-MATCH("temp_stage",[1]stages!$2:$2,0)+1),MATCH(G$1,[1]stages!$2:$2,0)-MATCH("temp_stage",[1]stages!$2:$2,0)+1,FALSE)</f>
        <v>ドロップイベント2-2（マルチ専用）</v>
      </c>
      <c r="H948" s="18">
        <v>0</v>
      </c>
      <c r="I948">
        <v>21</v>
      </c>
      <c r="J948" s="5" t="s">
        <v>16</v>
      </c>
      <c r="K948" s="35" t="str">
        <f>VLOOKUP(I948,[2]stage_hints!$A:$C,3,FALSE)</f>
        <v>スキルを有効に</v>
      </c>
      <c r="L948" s="36" t="str">
        <f>VLOOKUP(I948,[2]stage_hints!$A:$D,4,FALSE)</f>
        <v>ターン経過でユニットのスキルが使えます_x000D_強力スキルでバトルを有利に進めましょう</v>
      </c>
      <c r="M948" s="21" t="s">
        <v>23</v>
      </c>
      <c r="N948">
        <v>21</v>
      </c>
    </row>
    <row r="949" spans="1:14" x14ac:dyDescent="0.15">
      <c r="A949" s="26" t="s">
        <v>32</v>
      </c>
      <c r="B949" s="4">
        <v>30007</v>
      </c>
      <c r="C949" s="3" t="str">
        <f ca="1">VLOOKUP($B949,OFFSET([1]quests!$A$1,0,0,COUNTA([1]quests!$A:$A),MATCH(C$1,[1]quests!$1:$1,0)-MATCH($B$1,[1]quests!$1:$1,0)+1),MATCH(C$1,[1]quests!$1:$1,0)-MATCH($B$1,[1]quests!$1:$1,0)+1,FALSE)</f>
        <v>ガラスの靴は私のもの</v>
      </c>
      <c r="D949" s="3" t="str">
        <f ca="1">VLOOKUP($B949,OFFSET([1]quests!$A$1,0,0,COUNTA([1]quests!$A:$A),MATCH(D$1,[1]quests!$1:$1,0)-MATCH($B$1,[1]quests!$1:$1,0)+1),MATCH(D$1,[1]quests!$1:$1,0)-MATCH($B$1,[1]quests!$1:$1,0)+1,FALSE)</f>
        <v>ドロップイベント2-2（マルチ専用）</v>
      </c>
      <c r="E949" s="5">
        <v>1</v>
      </c>
      <c r="F949" s="3" t="str">
        <f ca="1">VLOOKUP($B949&amp;"_"&amp;$E949,OFFSET([1]stages!$A$1,0,0,COUNTA([1]stages!$A:$A),MATCH(F$1,[1]stages!$2:$2,0)-MATCH("temp_stage",[1]stages!$2:$2,0)+1),MATCH(F$1,[1]stages!$2:$2,0)-MATCH("temp_stage",[1]stages!$2:$2,0)+1,FALSE)</f>
        <v xml:space="preserve">【中級】ガラスの靴は私のもの </v>
      </c>
      <c r="G949" s="3" t="str">
        <f ca="1">VLOOKUP($B949&amp;"_"&amp;$E949,OFFSET([1]stages!$A$1,0,0,COUNTA([1]stages!$A:$A),MATCH(G$1,[1]stages!$2:$2,0)-MATCH("temp_stage",[1]stages!$2:$2,0)+1),MATCH(G$1,[1]stages!$2:$2,0)-MATCH("temp_stage",[1]stages!$2:$2,0)+1,FALSE)</f>
        <v>ドロップイベント2-2（マルチ専用）</v>
      </c>
      <c r="H949" s="18">
        <v>0</v>
      </c>
      <c r="I949">
        <v>22</v>
      </c>
      <c r="J949" s="5" t="s">
        <v>16</v>
      </c>
      <c r="K949" s="35" t="str">
        <f>VLOOKUP(I949,[2]stage_hints!$A:$C,3,FALSE)</f>
        <v>フィーバーで一発逆転（その1）</v>
      </c>
      <c r="L949" s="36" t="str">
        <f>VLOOKUP(I949,[2]stage_hints!$A:$D,4,FALSE)</f>
        <v>フィーバーは攻撃と回復を兼ね備えます_x000D_ピンチからの一発逆転を狙いましょう</v>
      </c>
      <c r="M949" s="21" t="s">
        <v>23</v>
      </c>
      <c r="N949">
        <v>22</v>
      </c>
    </row>
    <row r="950" spans="1:14" x14ac:dyDescent="0.15">
      <c r="A950" s="26" t="s">
        <v>32</v>
      </c>
      <c r="B950" s="4">
        <v>30007</v>
      </c>
      <c r="C950" s="3" t="str">
        <f ca="1">VLOOKUP($B950,OFFSET([1]quests!$A$1,0,0,COUNTA([1]quests!$A:$A),MATCH(C$1,[1]quests!$1:$1,0)-MATCH($B$1,[1]quests!$1:$1,0)+1),MATCH(C$1,[1]quests!$1:$1,0)-MATCH($B$1,[1]quests!$1:$1,0)+1,FALSE)</f>
        <v>ガラスの靴は私のもの</v>
      </c>
      <c r="D950" s="3" t="str">
        <f ca="1">VLOOKUP($B950,OFFSET([1]quests!$A$1,0,0,COUNTA([1]quests!$A:$A),MATCH(D$1,[1]quests!$1:$1,0)-MATCH($B$1,[1]quests!$1:$1,0)+1),MATCH(D$1,[1]quests!$1:$1,0)-MATCH($B$1,[1]quests!$1:$1,0)+1,FALSE)</f>
        <v>ドロップイベント2-2（マルチ専用）</v>
      </c>
      <c r="E950" s="5">
        <v>1</v>
      </c>
      <c r="F950" s="3" t="str">
        <f ca="1">VLOOKUP($B950&amp;"_"&amp;$E950,OFFSET([1]stages!$A$1,0,0,COUNTA([1]stages!$A:$A),MATCH(F$1,[1]stages!$2:$2,0)-MATCH("temp_stage",[1]stages!$2:$2,0)+1),MATCH(F$1,[1]stages!$2:$2,0)-MATCH("temp_stage",[1]stages!$2:$2,0)+1,FALSE)</f>
        <v xml:space="preserve">【中級】ガラスの靴は私のもの </v>
      </c>
      <c r="G950" s="3" t="str">
        <f ca="1">VLOOKUP($B950&amp;"_"&amp;$E950,OFFSET([1]stages!$A$1,0,0,COUNTA([1]stages!$A:$A),MATCH(G$1,[1]stages!$2:$2,0)-MATCH("temp_stage",[1]stages!$2:$2,0)+1),MATCH(G$1,[1]stages!$2:$2,0)-MATCH("temp_stage",[1]stages!$2:$2,0)+1,FALSE)</f>
        <v>ドロップイベント2-2（マルチ専用）</v>
      </c>
      <c r="H950" s="18">
        <v>0</v>
      </c>
      <c r="I950">
        <v>23</v>
      </c>
      <c r="J950" s="5" t="s">
        <v>16</v>
      </c>
      <c r="K950" s="35" t="str">
        <f>VLOOKUP(I950,[2]stage_hints!$A:$C,3,FALSE)</f>
        <v>フィーバーで一発逆転（その2）</v>
      </c>
      <c r="L950" s="36" t="str">
        <f>VLOOKUP(I950,[2]stage_hints!$A:$D,4,FALSE)</f>
        <v>フィーバー中は虹色のボムパネルを狙って_x000D_画面上のパネルを一気に破壊しましょう</v>
      </c>
      <c r="M950" s="21" t="s">
        <v>23</v>
      </c>
      <c r="N950">
        <v>23</v>
      </c>
    </row>
    <row r="951" spans="1:14" x14ac:dyDescent="0.15">
      <c r="A951" s="26" t="s">
        <v>32</v>
      </c>
      <c r="B951" s="4">
        <v>30007</v>
      </c>
      <c r="C951" s="3" t="str">
        <f ca="1">VLOOKUP($B951,OFFSET([1]quests!$A$1,0,0,COUNTA([1]quests!$A:$A),MATCH(C$1,[1]quests!$1:$1,0)-MATCH($B$1,[1]quests!$1:$1,0)+1),MATCH(C$1,[1]quests!$1:$1,0)-MATCH($B$1,[1]quests!$1:$1,0)+1,FALSE)</f>
        <v>ガラスの靴は私のもの</v>
      </c>
      <c r="D951" s="3" t="str">
        <f ca="1">VLOOKUP($B951,OFFSET([1]quests!$A$1,0,0,COUNTA([1]quests!$A:$A),MATCH(D$1,[1]quests!$1:$1,0)-MATCH($B$1,[1]quests!$1:$1,0)+1),MATCH(D$1,[1]quests!$1:$1,0)-MATCH($B$1,[1]quests!$1:$1,0)+1,FALSE)</f>
        <v>ドロップイベント2-2（マルチ専用）</v>
      </c>
      <c r="E951" s="5">
        <v>1</v>
      </c>
      <c r="F951" s="3" t="str">
        <f ca="1">VLOOKUP($B951&amp;"_"&amp;$E951,OFFSET([1]stages!$A$1,0,0,COUNTA([1]stages!$A:$A),MATCH(F$1,[1]stages!$2:$2,0)-MATCH("temp_stage",[1]stages!$2:$2,0)+1),MATCH(F$1,[1]stages!$2:$2,0)-MATCH("temp_stage",[1]stages!$2:$2,0)+1,FALSE)</f>
        <v xml:space="preserve">【中級】ガラスの靴は私のもの </v>
      </c>
      <c r="G951" s="3" t="str">
        <f ca="1">VLOOKUP($B951&amp;"_"&amp;$E951,OFFSET([1]stages!$A$1,0,0,COUNTA([1]stages!$A:$A),MATCH(G$1,[1]stages!$2:$2,0)-MATCH("temp_stage",[1]stages!$2:$2,0)+1),MATCH(G$1,[1]stages!$2:$2,0)-MATCH("temp_stage",[1]stages!$2:$2,0)+1,FALSE)</f>
        <v>ドロップイベント2-2（マルチ専用）</v>
      </c>
      <c r="H951" s="18">
        <v>0</v>
      </c>
      <c r="I951">
        <v>24</v>
      </c>
      <c r="J951" s="5" t="s">
        <v>16</v>
      </c>
      <c r="K951" s="35" t="str">
        <f>VLOOKUP(I951,[2]stage_hints!$A:$C,3,FALSE)</f>
        <v>りんごを使って限界突破</v>
      </c>
      <c r="L951" s="36" t="str">
        <f>VLOOKUP(I951,[2]stage_hints!$A:$D,4,FALSE)</f>
        <v>赤りんご(攻撃力) 青りんご(回復力)_x000D_緑りんご(体力)をユニット強化に使うと_x000D_ステータスが限界突破します（計99個迄）</v>
      </c>
      <c r="M951" s="21" t="s">
        <v>23</v>
      </c>
      <c r="N951">
        <v>24</v>
      </c>
    </row>
    <row r="952" spans="1:14" x14ac:dyDescent="0.15">
      <c r="A952" s="26" t="s">
        <v>32</v>
      </c>
      <c r="B952" s="4">
        <v>30007</v>
      </c>
      <c r="C952" s="3" t="str">
        <f ca="1">VLOOKUP($B952,OFFSET([1]quests!$A$1,0,0,COUNTA([1]quests!$A:$A),MATCH(C$1,[1]quests!$1:$1,0)-MATCH($B$1,[1]quests!$1:$1,0)+1),MATCH(C$1,[1]quests!$1:$1,0)-MATCH($B$1,[1]quests!$1:$1,0)+1,FALSE)</f>
        <v>ガラスの靴は私のもの</v>
      </c>
      <c r="D952" s="3" t="str">
        <f ca="1">VLOOKUP($B952,OFFSET([1]quests!$A$1,0,0,COUNTA([1]quests!$A:$A),MATCH(D$1,[1]quests!$1:$1,0)-MATCH($B$1,[1]quests!$1:$1,0)+1),MATCH(D$1,[1]quests!$1:$1,0)-MATCH($B$1,[1]quests!$1:$1,0)+1,FALSE)</f>
        <v>ドロップイベント2-2（マルチ専用）</v>
      </c>
      <c r="E952" s="5">
        <v>1</v>
      </c>
      <c r="F952" s="3" t="str">
        <f ca="1">VLOOKUP($B952&amp;"_"&amp;$E952,OFFSET([1]stages!$A$1,0,0,COUNTA([1]stages!$A:$A),MATCH(F$1,[1]stages!$2:$2,0)-MATCH("temp_stage",[1]stages!$2:$2,0)+1),MATCH(F$1,[1]stages!$2:$2,0)-MATCH("temp_stage",[1]stages!$2:$2,0)+1,FALSE)</f>
        <v xml:space="preserve">【中級】ガラスの靴は私のもの </v>
      </c>
      <c r="G952" s="3" t="str">
        <f ca="1">VLOOKUP($B952&amp;"_"&amp;$E952,OFFSET([1]stages!$A$1,0,0,COUNTA([1]stages!$A:$A),MATCH(G$1,[1]stages!$2:$2,0)-MATCH("temp_stage",[1]stages!$2:$2,0)+1),MATCH(G$1,[1]stages!$2:$2,0)-MATCH("temp_stage",[1]stages!$2:$2,0)+1,FALSE)</f>
        <v>ドロップイベント2-2（マルチ専用）</v>
      </c>
      <c r="H952" s="18">
        <v>0</v>
      </c>
      <c r="I952">
        <v>25</v>
      </c>
      <c r="J952" s="5" t="s">
        <v>16</v>
      </c>
      <c r="K952" s="35" t="str">
        <f>VLOOKUP(I952,[2]stage_hints!$A:$C,3,FALSE)</f>
        <v>スキルレベルアップ</v>
      </c>
      <c r="L952" s="36" t="str">
        <f>VLOOKUP(I952,[2]stage_hints!$A:$D,4,FALSE)</f>
        <v>「クリスタルのりんご」を強化に使うと_x000D_スキルレベルを上げることができます</v>
      </c>
      <c r="M952" s="21" t="s">
        <v>23</v>
      </c>
      <c r="N952">
        <v>25</v>
      </c>
    </row>
    <row r="953" spans="1:14" x14ac:dyDescent="0.15">
      <c r="A953" s="26" t="s">
        <v>32</v>
      </c>
      <c r="B953" s="4">
        <v>30007</v>
      </c>
      <c r="C953" s="3" t="str">
        <f ca="1">VLOOKUP($B953,OFFSET([1]quests!$A$1,0,0,COUNTA([1]quests!$A:$A),MATCH(C$1,[1]quests!$1:$1,0)-MATCH($B$1,[1]quests!$1:$1,0)+1),MATCH(C$1,[1]quests!$1:$1,0)-MATCH($B$1,[1]quests!$1:$1,0)+1,FALSE)</f>
        <v>ガラスの靴は私のもの</v>
      </c>
      <c r="D953" s="3" t="str">
        <f ca="1">VLOOKUP($B953,OFFSET([1]quests!$A$1,0,0,COUNTA([1]quests!$A:$A),MATCH(D$1,[1]quests!$1:$1,0)-MATCH($B$1,[1]quests!$1:$1,0)+1),MATCH(D$1,[1]quests!$1:$1,0)-MATCH($B$1,[1]quests!$1:$1,0)+1,FALSE)</f>
        <v>ドロップイベント2-2（マルチ専用）</v>
      </c>
      <c r="E953" s="5">
        <v>1</v>
      </c>
      <c r="F953" s="3" t="str">
        <f ca="1">VLOOKUP($B953&amp;"_"&amp;$E953,OFFSET([1]stages!$A$1,0,0,COUNTA([1]stages!$A:$A),MATCH(F$1,[1]stages!$2:$2,0)-MATCH("temp_stage",[1]stages!$2:$2,0)+1),MATCH(F$1,[1]stages!$2:$2,0)-MATCH("temp_stage",[1]stages!$2:$2,0)+1,FALSE)</f>
        <v xml:space="preserve">【中級】ガラスの靴は私のもの </v>
      </c>
      <c r="G953" s="3" t="str">
        <f ca="1">VLOOKUP($B953&amp;"_"&amp;$E953,OFFSET([1]stages!$A$1,0,0,COUNTA([1]stages!$A:$A),MATCH(G$1,[1]stages!$2:$2,0)-MATCH("temp_stage",[1]stages!$2:$2,0)+1),MATCH(G$1,[1]stages!$2:$2,0)-MATCH("temp_stage",[1]stages!$2:$2,0)+1,FALSE)</f>
        <v>ドロップイベント2-2（マルチ専用）</v>
      </c>
      <c r="H953" s="18">
        <v>0</v>
      </c>
      <c r="I953">
        <v>26</v>
      </c>
      <c r="J953" s="5" t="s">
        <v>16</v>
      </c>
      <c r="K953" s="35" t="str">
        <f>VLOOKUP(I953,[2]stage_hints!$A:$C,3,FALSE)</f>
        <v>スキルレベルの効果</v>
      </c>
      <c r="L953" s="36" t="str">
        <f>VLOOKUP(I953,[2]stage_hints!$A:$D,4,FALSE)</f>
        <v>スキルレベルが上がると_x000D_短いターンでスキルを使うことができます</v>
      </c>
      <c r="M953" s="21" t="s">
        <v>23</v>
      </c>
      <c r="N953">
        <v>26</v>
      </c>
    </row>
    <row r="954" spans="1:14" x14ac:dyDescent="0.15">
      <c r="A954" s="26" t="s">
        <v>32</v>
      </c>
      <c r="B954" s="4">
        <v>30007</v>
      </c>
      <c r="C954" s="3" t="str">
        <f ca="1">VLOOKUP($B954,OFFSET([1]quests!$A$1,0,0,COUNTA([1]quests!$A:$A),MATCH(C$1,[1]quests!$1:$1,0)-MATCH($B$1,[1]quests!$1:$1,0)+1),MATCH(C$1,[1]quests!$1:$1,0)-MATCH($B$1,[1]quests!$1:$1,0)+1,FALSE)</f>
        <v>ガラスの靴は私のもの</v>
      </c>
      <c r="D954" s="3" t="str">
        <f ca="1">VLOOKUP($B954,OFFSET([1]quests!$A$1,0,0,COUNTA([1]quests!$A:$A),MATCH(D$1,[1]quests!$1:$1,0)-MATCH($B$1,[1]quests!$1:$1,0)+1),MATCH(D$1,[1]quests!$1:$1,0)-MATCH($B$1,[1]quests!$1:$1,0)+1,FALSE)</f>
        <v>ドロップイベント2-2（マルチ専用）</v>
      </c>
      <c r="E954" s="5">
        <v>1</v>
      </c>
      <c r="F954" s="3" t="str">
        <f ca="1">VLOOKUP($B954&amp;"_"&amp;$E954,OFFSET([1]stages!$A$1,0,0,COUNTA([1]stages!$A:$A),MATCH(F$1,[1]stages!$2:$2,0)-MATCH("temp_stage",[1]stages!$2:$2,0)+1),MATCH(F$1,[1]stages!$2:$2,0)-MATCH("temp_stage",[1]stages!$2:$2,0)+1,FALSE)</f>
        <v xml:space="preserve">【中級】ガラスの靴は私のもの </v>
      </c>
      <c r="G954" s="3" t="str">
        <f ca="1">VLOOKUP($B954&amp;"_"&amp;$E954,OFFSET([1]stages!$A$1,0,0,COUNTA([1]stages!$A:$A),MATCH(G$1,[1]stages!$2:$2,0)-MATCH("temp_stage",[1]stages!$2:$2,0)+1),MATCH(G$1,[1]stages!$2:$2,0)-MATCH("temp_stage",[1]stages!$2:$2,0)+1,FALSE)</f>
        <v>ドロップイベント2-2（マルチ専用）</v>
      </c>
      <c r="H954" s="18">
        <v>0</v>
      </c>
      <c r="I954">
        <v>27</v>
      </c>
      <c r="J954" s="5" t="s">
        <v>16</v>
      </c>
      <c r="K954" s="35" t="str">
        <f>VLOOKUP(I954,[2]stage_hints!$A:$C,3,FALSE)</f>
        <v>ホーム画面からデッキを編成</v>
      </c>
      <c r="L954" s="36" t="str">
        <f>VLOOKUP(I954,[2]stage_hints!$A:$D,4,FALSE)</f>
        <v>ホーム画面でユニットを長押しすると_x000D_すぐにパーティ編成に移動できます</v>
      </c>
      <c r="M954" s="21" t="s">
        <v>23</v>
      </c>
      <c r="N954">
        <v>27</v>
      </c>
    </row>
    <row r="955" spans="1:14" x14ac:dyDescent="0.15">
      <c r="A955" s="26" t="s">
        <v>32</v>
      </c>
      <c r="B955" s="4">
        <v>30007</v>
      </c>
      <c r="C955" s="3" t="str">
        <f ca="1">VLOOKUP($B955,OFFSET([1]quests!$A$1,0,0,COUNTA([1]quests!$A:$A),MATCH(C$1,[1]quests!$1:$1,0)-MATCH($B$1,[1]quests!$1:$1,0)+1),MATCH(C$1,[1]quests!$1:$1,0)-MATCH($B$1,[1]quests!$1:$1,0)+1,FALSE)</f>
        <v>ガラスの靴は私のもの</v>
      </c>
      <c r="D955" s="3" t="str">
        <f ca="1">VLOOKUP($B955,OFFSET([1]quests!$A$1,0,0,COUNTA([1]quests!$A:$A),MATCH(D$1,[1]quests!$1:$1,0)-MATCH($B$1,[1]quests!$1:$1,0)+1),MATCH(D$1,[1]quests!$1:$1,0)-MATCH($B$1,[1]quests!$1:$1,0)+1,FALSE)</f>
        <v>ドロップイベント2-2（マルチ専用）</v>
      </c>
      <c r="E955" s="5">
        <v>1</v>
      </c>
      <c r="F955" s="3" t="str">
        <f ca="1">VLOOKUP($B955&amp;"_"&amp;$E955,OFFSET([1]stages!$A$1,0,0,COUNTA([1]stages!$A:$A),MATCH(F$1,[1]stages!$2:$2,0)-MATCH("temp_stage",[1]stages!$2:$2,0)+1),MATCH(F$1,[1]stages!$2:$2,0)-MATCH("temp_stage",[1]stages!$2:$2,0)+1,FALSE)</f>
        <v xml:space="preserve">【中級】ガラスの靴は私のもの </v>
      </c>
      <c r="G955" s="3" t="str">
        <f ca="1">VLOOKUP($B955&amp;"_"&amp;$E955,OFFSET([1]stages!$A$1,0,0,COUNTA([1]stages!$A:$A),MATCH(G$1,[1]stages!$2:$2,0)-MATCH("temp_stage",[1]stages!$2:$2,0)+1),MATCH(G$1,[1]stages!$2:$2,0)-MATCH("temp_stage",[1]stages!$2:$2,0)+1,FALSE)</f>
        <v>ドロップイベント2-2（マルチ専用）</v>
      </c>
      <c r="H955" s="18">
        <v>0</v>
      </c>
      <c r="I955">
        <v>28</v>
      </c>
      <c r="J955" s="5" t="s">
        <v>16</v>
      </c>
      <c r="K955" s="35" t="str">
        <f>VLOOKUP(I955,[2]stage_hints!$A:$C,3,FALSE)</f>
        <v>ステータス情報は長押しで</v>
      </c>
      <c r="L955" s="36" t="str">
        <f>VLOOKUP(I955,[2]stage_hints!$A:$D,4,FALSE)</f>
        <v>ユニットのアイコンを長押しすると_x000D_ステータス情報を確認することができます</v>
      </c>
      <c r="M955" s="21" t="s">
        <v>23</v>
      </c>
      <c r="N955">
        <v>28</v>
      </c>
    </row>
    <row r="956" spans="1:14" x14ac:dyDescent="0.15">
      <c r="A956" s="26" t="s">
        <v>32</v>
      </c>
      <c r="B956" s="4">
        <v>30007</v>
      </c>
      <c r="C956" s="3" t="str">
        <f ca="1">VLOOKUP($B956,OFFSET([1]quests!$A$1,0,0,COUNTA([1]quests!$A:$A),MATCH(C$1,[1]quests!$1:$1,0)-MATCH($B$1,[1]quests!$1:$1,0)+1),MATCH(C$1,[1]quests!$1:$1,0)-MATCH($B$1,[1]quests!$1:$1,0)+1,FALSE)</f>
        <v>ガラスの靴は私のもの</v>
      </c>
      <c r="D956" s="3" t="str">
        <f ca="1">VLOOKUP($B956,OFFSET([1]quests!$A$1,0,0,COUNTA([1]quests!$A:$A),MATCH(D$1,[1]quests!$1:$1,0)-MATCH($B$1,[1]quests!$1:$1,0)+1),MATCH(D$1,[1]quests!$1:$1,0)-MATCH($B$1,[1]quests!$1:$1,0)+1,FALSE)</f>
        <v>ドロップイベント2-2（マルチ専用）</v>
      </c>
      <c r="E956" s="5">
        <v>1</v>
      </c>
      <c r="F956" s="3" t="str">
        <f ca="1">VLOOKUP($B956&amp;"_"&amp;$E956,OFFSET([1]stages!$A$1,0,0,COUNTA([1]stages!$A:$A),MATCH(F$1,[1]stages!$2:$2,0)-MATCH("temp_stage",[1]stages!$2:$2,0)+1),MATCH(F$1,[1]stages!$2:$2,0)-MATCH("temp_stage",[1]stages!$2:$2,0)+1,FALSE)</f>
        <v xml:space="preserve">【中級】ガラスの靴は私のもの </v>
      </c>
      <c r="G956" s="3" t="str">
        <f ca="1">VLOOKUP($B956&amp;"_"&amp;$E956,OFFSET([1]stages!$A$1,0,0,COUNTA([1]stages!$A:$A),MATCH(G$1,[1]stages!$2:$2,0)-MATCH("temp_stage",[1]stages!$2:$2,0)+1),MATCH(G$1,[1]stages!$2:$2,0)-MATCH("temp_stage",[1]stages!$2:$2,0)+1,FALSE)</f>
        <v>ドロップイベント2-2（マルチ専用）</v>
      </c>
      <c r="H956" s="18">
        <v>0</v>
      </c>
      <c r="I956">
        <v>29</v>
      </c>
      <c r="J956" s="5" t="s">
        <v>16</v>
      </c>
      <c r="K956" s="35" t="str">
        <f>VLOOKUP(I956,[2]stage_hints!$A:$C,3,FALSE)</f>
        <v>「バグ」のメリット</v>
      </c>
      <c r="L956" s="36" t="str">
        <f>VLOOKUP(I956,[2]stage_hints!$A:$D,4,FALSE)</f>
        <v>ユニットの「バグ」を増やすと_x000D_報酬をもらえる確率がアップします</v>
      </c>
      <c r="M956" s="21" t="s">
        <v>23</v>
      </c>
      <c r="N956">
        <v>29</v>
      </c>
    </row>
    <row r="957" spans="1:14" x14ac:dyDescent="0.15">
      <c r="A957" s="26" t="s">
        <v>32</v>
      </c>
      <c r="B957" s="4">
        <v>30007</v>
      </c>
      <c r="C957" s="3" t="str">
        <f ca="1">VLOOKUP($B957,OFFSET([1]quests!$A$1,0,0,COUNTA([1]quests!$A:$A),MATCH(C$1,[1]quests!$1:$1,0)-MATCH($B$1,[1]quests!$1:$1,0)+1),MATCH(C$1,[1]quests!$1:$1,0)-MATCH($B$1,[1]quests!$1:$1,0)+1,FALSE)</f>
        <v>ガラスの靴は私のもの</v>
      </c>
      <c r="D957" s="3" t="str">
        <f ca="1">VLOOKUP($B957,OFFSET([1]quests!$A$1,0,0,COUNTA([1]quests!$A:$A),MATCH(D$1,[1]quests!$1:$1,0)-MATCH($B$1,[1]quests!$1:$1,0)+1),MATCH(D$1,[1]quests!$1:$1,0)-MATCH($B$1,[1]quests!$1:$1,0)+1,FALSE)</f>
        <v>ドロップイベント2-2（マルチ専用）</v>
      </c>
      <c r="E957" s="5">
        <v>1</v>
      </c>
      <c r="F957" s="3" t="str">
        <f ca="1">VLOOKUP($B957&amp;"_"&amp;$E957,OFFSET([1]stages!$A$1,0,0,COUNTA([1]stages!$A:$A),MATCH(F$1,[1]stages!$2:$2,0)-MATCH("temp_stage",[1]stages!$2:$2,0)+1),MATCH(F$1,[1]stages!$2:$2,0)-MATCH("temp_stage",[1]stages!$2:$2,0)+1,FALSE)</f>
        <v xml:space="preserve">【中級】ガラスの靴は私のもの </v>
      </c>
      <c r="G957" s="3" t="str">
        <f ca="1">VLOOKUP($B957&amp;"_"&amp;$E957,OFFSET([1]stages!$A$1,0,0,COUNTA([1]stages!$A:$A),MATCH(G$1,[1]stages!$2:$2,0)-MATCH("temp_stage",[1]stages!$2:$2,0)+1),MATCH(G$1,[1]stages!$2:$2,0)-MATCH("temp_stage",[1]stages!$2:$2,0)+1,FALSE)</f>
        <v>ドロップイベント2-2（マルチ専用）</v>
      </c>
      <c r="H957" s="18">
        <v>0</v>
      </c>
      <c r="I957">
        <v>30</v>
      </c>
      <c r="J957" s="5" t="s">
        <v>16</v>
      </c>
      <c r="K957" s="35" t="str">
        <f>VLOOKUP(I957,[2]stage_hints!$A:$C,3,FALSE)</f>
        <v>「バグ」の増やし方</v>
      </c>
      <c r="L957" s="36" t="str">
        <f>VLOOKUP(I957,[2]stage_hints!$A:$D,4,FALSE)</f>
        <v>同じユニット同士を強化で合成すると_x000D_「バグ」を増やすことができます</v>
      </c>
      <c r="M957" s="21" t="s">
        <v>23</v>
      </c>
      <c r="N957">
        <v>30</v>
      </c>
    </row>
    <row r="958" spans="1:14" x14ac:dyDescent="0.15">
      <c r="A958" s="26" t="s">
        <v>32</v>
      </c>
      <c r="B958" s="4">
        <v>30007</v>
      </c>
      <c r="C958" s="3" t="str">
        <f ca="1">VLOOKUP($B958,OFFSET([1]quests!$A$1,0,0,COUNTA([1]quests!$A:$A),MATCH(C$1,[1]quests!$1:$1,0)-MATCH($B$1,[1]quests!$1:$1,0)+1),MATCH(C$1,[1]quests!$1:$1,0)-MATCH($B$1,[1]quests!$1:$1,0)+1,FALSE)</f>
        <v>ガラスの靴は私のもの</v>
      </c>
      <c r="D958" s="3" t="str">
        <f ca="1">VLOOKUP($B958,OFFSET([1]quests!$A$1,0,0,COUNTA([1]quests!$A:$A),MATCH(D$1,[1]quests!$1:$1,0)-MATCH($B$1,[1]quests!$1:$1,0)+1),MATCH(D$1,[1]quests!$1:$1,0)-MATCH($B$1,[1]quests!$1:$1,0)+1,FALSE)</f>
        <v>ドロップイベント2-2（マルチ専用）</v>
      </c>
      <c r="E958" s="5">
        <v>1</v>
      </c>
      <c r="F958" s="3" t="str">
        <f ca="1">VLOOKUP($B958&amp;"_"&amp;$E958,OFFSET([1]stages!$A$1,0,0,COUNTA([1]stages!$A:$A),MATCH(F$1,[1]stages!$2:$2,0)-MATCH("temp_stage",[1]stages!$2:$2,0)+1),MATCH(F$1,[1]stages!$2:$2,0)-MATCH("temp_stage",[1]stages!$2:$2,0)+1,FALSE)</f>
        <v xml:space="preserve">【中級】ガラスの靴は私のもの </v>
      </c>
      <c r="G958" s="3" t="str">
        <f ca="1">VLOOKUP($B958&amp;"_"&amp;$E958,OFFSET([1]stages!$A$1,0,0,COUNTA([1]stages!$A:$A),MATCH(G$1,[1]stages!$2:$2,0)-MATCH("temp_stage",[1]stages!$2:$2,0)+1),MATCH(G$1,[1]stages!$2:$2,0)-MATCH("temp_stage",[1]stages!$2:$2,0)+1,FALSE)</f>
        <v>ドロップイベント2-2（マルチ専用）</v>
      </c>
      <c r="H958" s="18">
        <v>0</v>
      </c>
      <c r="I958">
        <v>31</v>
      </c>
      <c r="J958" s="5" t="s">
        <v>16</v>
      </c>
      <c r="K958" s="35" t="str">
        <f>VLOOKUP(I958,[2]stage_hints!$A:$C,3,FALSE)</f>
        <v>イベントはお知らせでチェック</v>
      </c>
      <c r="L958" s="36" t="str">
        <f>VLOOKUP(I958,[2]stage_hints!$A:$D,4,FALSE)</f>
        <v>イベント限定ユニットを取り忘れないように_x000D_お知らせをこまめにチェックしましょう</v>
      </c>
      <c r="M958" s="21" t="s">
        <v>23</v>
      </c>
      <c r="N958">
        <v>31</v>
      </c>
    </row>
    <row r="959" spans="1:14" x14ac:dyDescent="0.15">
      <c r="A959" s="26" t="s">
        <v>32</v>
      </c>
      <c r="B959" s="4">
        <v>30007</v>
      </c>
      <c r="C959" s="3" t="str">
        <f ca="1">VLOOKUP($B959,OFFSET([1]quests!$A$1,0,0,COUNTA([1]quests!$A:$A),MATCH(C$1,[1]quests!$1:$1,0)-MATCH($B$1,[1]quests!$1:$1,0)+1),MATCH(C$1,[1]quests!$1:$1,0)-MATCH($B$1,[1]quests!$1:$1,0)+1,FALSE)</f>
        <v>ガラスの靴は私のもの</v>
      </c>
      <c r="D959" s="3" t="str">
        <f ca="1">VLOOKUP($B959,OFFSET([1]quests!$A$1,0,0,COUNTA([1]quests!$A:$A),MATCH(D$1,[1]quests!$1:$1,0)-MATCH($B$1,[1]quests!$1:$1,0)+1),MATCH(D$1,[1]quests!$1:$1,0)-MATCH($B$1,[1]quests!$1:$1,0)+1,FALSE)</f>
        <v>ドロップイベント2-2（マルチ専用）</v>
      </c>
      <c r="E959" s="5">
        <v>1</v>
      </c>
      <c r="F959" s="3" t="str">
        <f ca="1">VLOOKUP($B959&amp;"_"&amp;$E959,OFFSET([1]stages!$A$1,0,0,COUNTA([1]stages!$A:$A),MATCH(F$1,[1]stages!$2:$2,0)-MATCH("temp_stage",[1]stages!$2:$2,0)+1),MATCH(F$1,[1]stages!$2:$2,0)-MATCH("temp_stage",[1]stages!$2:$2,0)+1,FALSE)</f>
        <v xml:space="preserve">【中級】ガラスの靴は私のもの </v>
      </c>
      <c r="G959" s="3" t="str">
        <f ca="1">VLOOKUP($B959&amp;"_"&amp;$E959,OFFSET([1]stages!$A$1,0,0,COUNTA([1]stages!$A:$A),MATCH(G$1,[1]stages!$2:$2,0)-MATCH("temp_stage",[1]stages!$2:$2,0)+1),MATCH(G$1,[1]stages!$2:$2,0)-MATCH("temp_stage",[1]stages!$2:$2,0)+1,FALSE)</f>
        <v>ドロップイベント2-2（マルチ専用）</v>
      </c>
      <c r="H959" s="18">
        <v>0</v>
      </c>
      <c r="I959">
        <v>32</v>
      </c>
      <c r="J959" s="5" t="s">
        <v>16</v>
      </c>
      <c r="K959" s="35" t="str">
        <f>VLOOKUP(I959,[2]stage_hints!$A:$C,3,FALSE)</f>
        <v>敵の連続攻撃には</v>
      </c>
      <c r="L959" s="36" t="str">
        <f>VLOOKUP(I959,[2]stage_hints!$A:$D,4,FALSE)</f>
        <v>カウンタースキルを持つユニットがいれば_x000D_ダメージ回数分の反撃ができます</v>
      </c>
      <c r="M959" s="21" t="s">
        <v>23</v>
      </c>
      <c r="N959">
        <v>32</v>
      </c>
    </row>
    <row r="960" spans="1:14" x14ac:dyDescent="0.15">
      <c r="A960" s="26" t="s">
        <v>32</v>
      </c>
      <c r="B960" s="4">
        <v>30007</v>
      </c>
      <c r="C960" s="3" t="str">
        <f ca="1">VLOOKUP($B960,OFFSET([1]quests!$A$1,0,0,COUNTA([1]quests!$A:$A),MATCH(C$1,[1]quests!$1:$1,0)-MATCH($B$1,[1]quests!$1:$1,0)+1),MATCH(C$1,[1]quests!$1:$1,0)-MATCH($B$1,[1]quests!$1:$1,0)+1,FALSE)</f>
        <v>ガラスの靴は私のもの</v>
      </c>
      <c r="D960" s="3" t="str">
        <f ca="1">VLOOKUP($B960,OFFSET([1]quests!$A$1,0,0,COUNTA([1]quests!$A:$A),MATCH(D$1,[1]quests!$1:$1,0)-MATCH($B$1,[1]quests!$1:$1,0)+1),MATCH(D$1,[1]quests!$1:$1,0)-MATCH($B$1,[1]quests!$1:$1,0)+1,FALSE)</f>
        <v>ドロップイベント2-2（マルチ専用）</v>
      </c>
      <c r="E960" s="5">
        <v>1</v>
      </c>
      <c r="F960" s="3" t="str">
        <f ca="1">VLOOKUP($B960&amp;"_"&amp;$E960,OFFSET([1]stages!$A$1,0,0,COUNTA([1]stages!$A:$A),MATCH(F$1,[1]stages!$2:$2,0)-MATCH("temp_stage",[1]stages!$2:$2,0)+1),MATCH(F$1,[1]stages!$2:$2,0)-MATCH("temp_stage",[1]stages!$2:$2,0)+1,FALSE)</f>
        <v xml:space="preserve">【中級】ガラスの靴は私のもの </v>
      </c>
      <c r="G960" s="3" t="str">
        <f ca="1">VLOOKUP($B960&amp;"_"&amp;$E960,OFFSET([1]stages!$A$1,0,0,COUNTA([1]stages!$A:$A),MATCH(G$1,[1]stages!$2:$2,0)-MATCH("temp_stage",[1]stages!$2:$2,0)+1),MATCH(G$1,[1]stages!$2:$2,0)-MATCH("temp_stage",[1]stages!$2:$2,0)+1,FALSE)</f>
        <v>ドロップイベント2-2（マルチ専用）</v>
      </c>
      <c r="H960" s="18">
        <v>0</v>
      </c>
      <c r="I960">
        <v>33</v>
      </c>
      <c r="J960" s="5" t="s">
        <v>16</v>
      </c>
      <c r="K960" s="35" t="str">
        <f>VLOOKUP(I960,[2]stage_hints!$A:$C,3,FALSE)</f>
        <v>敵のカウンター攻撃には</v>
      </c>
      <c r="L960" s="36" t="str">
        <f>VLOOKUP(I960,[2]stage_hints!$A:$D,4,FALSE)</f>
        <v>カウンターブレイクスキルを持っていれば_x000D_敵のカウンターを解除して攻撃ができます</v>
      </c>
      <c r="M960" s="21" t="s">
        <v>23</v>
      </c>
      <c r="N960">
        <v>33</v>
      </c>
    </row>
    <row r="961" spans="1:14" x14ac:dyDescent="0.15">
      <c r="A961" s="26" t="s">
        <v>32</v>
      </c>
      <c r="B961" s="4">
        <v>30007</v>
      </c>
      <c r="C961" s="3" t="str">
        <f ca="1">VLOOKUP($B961,OFFSET([1]quests!$A$1,0,0,COUNTA([1]quests!$A:$A),MATCH(C$1,[1]quests!$1:$1,0)-MATCH($B$1,[1]quests!$1:$1,0)+1),MATCH(C$1,[1]quests!$1:$1,0)-MATCH($B$1,[1]quests!$1:$1,0)+1,FALSE)</f>
        <v>ガラスの靴は私のもの</v>
      </c>
      <c r="D961" s="3" t="str">
        <f ca="1">VLOOKUP($B961,OFFSET([1]quests!$A$1,0,0,COUNTA([1]quests!$A:$A),MATCH(D$1,[1]quests!$1:$1,0)-MATCH($B$1,[1]quests!$1:$1,0)+1),MATCH(D$1,[1]quests!$1:$1,0)-MATCH($B$1,[1]quests!$1:$1,0)+1,FALSE)</f>
        <v>ドロップイベント2-2（マルチ専用）</v>
      </c>
      <c r="E961" s="5">
        <v>1</v>
      </c>
      <c r="F961" s="3" t="str">
        <f ca="1">VLOOKUP($B961&amp;"_"&amp;$E961,OFFSET([1]stages!$A$1,0,0,COUNTA([1]stages!$A:$A),MATCH(F$1,[1]stages!$2:$2,0)-MATCH("temp_stage",[1]stages!$2:$2,0)+1),MATCH(F$1,[1]stages!$2:$2,0)-MATCH("temp_stage",[1]stages!$2:$2,0)+1,FALSE)</f>
        <v xml:space="preserve">【中級】ガラスの靴は私のもの </v>
      </c>
      <c r="G961" s="3" t="str">
        <f ca="1">VLOOKUP($B961&amp;"_"&amp;$E961,OFFSET([1]stages!$A$1,0,0,COUNTA([1]stages!$A:$A),MATCH(G$1,[1]stages!$2:$2,0)-MATCH("temp_stage",[1]stages!$2:$2,0)+1),MATCH(G$1,[1]stages!$2:$2,0)-MATCH("temp_stage",[1]stages!$2:$2,0)+1,FALSE)</f>
        <v>ドロップイベント2-2（マルチ専用）</v>
      </c>
      <c r="H961" s="18">
        <v>0</v>
      </c>
      <c r="I961">
        <v>34</v>
      </c>
      <c r="J961" s="5" t="s">
        <v>16</v>
      </c>
      <c r="K961" s="35" t="str">
        <f>VLOOKUP(I961,[2]stage_hints!$A:$C,3,FALSE)</f>
        <v>ステータスをスキルで下げられたら</v>
      </c>
      <c r="L961" s="36" t="str">
        <f>VLOOKUP(I961,[2]stage_hints!$A:$D,4,FALSE)</f>
        <v>ステータスダウンのスキルを受けたら_x000D_ステータスアップスキルで上書きしましょう</v>
      </c>
      <c r="M961" s="21" t="s">
        <v>23</v>
      </c>
      <c r="N961">
        <v>34</v>
      </c>
    </row>
    <row r="962" spans="1:14" x14ac:dyDescent="0.15">
      <c r="A962" s="26" t="s">
        <v>32</v>
      </c>
      <c r="B962" s="4">
        <v>30007</v>
      </c>
      <c r="C962" s="3" t="str">
        <f ca="1">VLOOKUP($B962,OFFSET([1]quests!$A$1,0,0,COUNTA([1]quests!$A:$A),MATCH(C$1,[1]quests!$1:$1,0)-MATCH($B$1,[1]quests!$1:$1,0)+1),MATCH(C$1,[1]quests!$1:$1,0)-MATCH($B$1,[1]quests!$1:$1,0)+1,FALSE)</f>
        <v>ガラスの靴は私のもの</v>
      </c>
      <c r="D962" s="3" t="str">
        <f ca="1">VLOOKUP($B962,OFFSET([1]quests!$A$1,0,0,COUNTA([1]quests!$A:$A),MATCH(D$1,[1]quests!$1:$1,0)-MATCH($B$1,[1]quests!$1:$1,0)+1),MATCH(D$1,[1]quests!$1:$1,0)-MATCH($B$1,[1]quests!$1:$1,0)+1,FALSE)</f>
        <v>ドロップイベント2-2（マルチ専用）</v>
      </c>
      <c r="E962" s="5">
        <v>1</v>
      </c>
      <c r="F962" s="3" t="str">
        <f ca="1">VLOOKUP($B962&amp;"_"&amp;$E962,OFFSET([1]stages!$A$1,0,0,COUNTA([1]stages!$A:$A),MATCH(F$1,[1]stages!$2:$2,0)-MATCH("temp_stage",[1]stages!$2:$2,0)+1),MATCH(F$1,[1]stages!$2:$2,0)-MATCH("temp_stage",[1]stages!$2:$2,0)+1,FALSE)</f>
        <v xml:space="preserve">【中級】ガラスの靴は私のもの </v>
      </c>
      <c r="G962" s="3" t="str">
        <f ca="1">VLOOKUP($B962&amp;"_"&amp;$E962,OFFSET([1]stages!$A$1,0,0,COUNTA([1]stages!$A:$A),MATCH(G$1,[1]stages!$2:$2,0)-MATCH("temp_stage",[1]stages!$2:$2,0)+1),MATCH(G$1,[1]stages!$2:$2,0)-MATCH("temp_stage",[1]stages!$2:$2,0)+1,FALSE)</f>
        <v>ドロップイベント2-2（マルチ専用）</v>
      </c>
      <c r="H962" s="18">
        <v>0</v>
      </c>
      <c r="I962">
        <v>35</v>
      </c>
      <c r="J962" s="5" t="s">
        <v>16</v>
      </c>
      <c r="K962" s="35" t="str">
        <f>VLOOKUP(I962,[2]stage_hints!$A:$C,3,FALSE)</f>
        <v>敵のステータスがスキルで上がったら</v>
      </c>
      <c r="L962" s="36" t="str">
        <f>VLOOKUP(I962,[2]stage_hints!$A:$D,4,FALSE)</f>
        <v>敵のステータスがスキルでアップしたときは_x000D_ステータスダウンスキルで上書きしましょう</v>
      </c>
      <c r="M962" s="21" t="s">
        <v>23</v>
      </c>
      <c r="N962">
        <v>35</v>
      </c>
    </row>
    <row r="963" spans="1:14" x14ac:dyDescent="0.15">
      <c r="A963" s="26" t="s">
        <v>32</v>
      </c>
      <c r="B963" s="4">
        <v>30008</v>
      </c>
      <c r="C963" s="3" t="str">
        <f ca="1">VLOOKUP($B963,OFFSET([1]quests!$A$1,0,0,COUNTA([1]quests!$A:$A),MATCH(C$1,[1]quests!$1:$1,0)-MATCH($B$1,[1]quests!$1:$1,0)+1),MATCH(C$1,[1]quests!$1:$1,0)-MATCH($B$1,[1]quests!$1:$1,0)+1,FALSE)</f>
        <v>わたしの嫁を返してもらおう</v>
      </c>
      <c r="D963" s="3" t="str">
        <f ca="1">VLOOKUP($B963,OFFSET([1]quests!$A$1,0,0,COUNTA([1]quests!$A:$A),MATCH(D$1,[1]quests!$1:$1,0)-MATCH($B$1,[1]quests!$1:$1,0)+1),MATCH(D$1,[1]quests!$1:$1,0)-MATCH($B$1,[1]quests!$1:$1,0)+1,FALSE)</f>
        <v>ドロップイベント2-4（マルチ専用）</v>
      </c>
      <c r="E963" s="5">
        <v>1</v>
      </c>
      <c r="F963" s="3" t="str">
        <f ca="1">VLOOKUP($B963&amp;"_"&amp;$E963,OFFSET([1]stages!$A$1,0,0,COUNTA([1]stages!$A:$A),MATCH(F$1,[1]stages!$2:$2,0)-MATCH("temp_stage",[1]stages!$2:$2,0)+1),MATCH(F$1,[1]stages!$2:$2,0)-MATCH("temp_stage",[1]stages!$2:$2,0)+1,FALSE)</f>
        <v>【中級】わたしの嫁を返してもらおう</v>
      </c>
      <c r="G963" s="3" t="str">
        <f ca="1">VLOOKUP($B963&amp;"_"&amp;$E963,OFFSET([1]stages!$A$1,0,0,COUNTA([1]stages!$A:$A),MATCH(G$1,[1]stages!$2:$2,0)-MATCH("temp_stage",[1]stages!$2:$2,0)+1),MATCH(G$1,[1]stages!$2:$2,0)-MATCH("temp_stage",[1]stages!$2:$2,0)+1,FALSE)</f>
        <v>ドロップイベント2-4（マルチ専用）</v>
      </c>
      <c r="H963" s="18">
        <v>0</v>
      </c>
      <c r="I963">
        <v>3</v>
      </c>
      <c r="J963" s="5" t="s">
        <v>16</v>
      </c>
      <c r="K963" s="35" t="str">
        <f>VLOOKUP(I963,[2]stage_hints!$A:$C,3,FALSE)</f>
        <v>ターゲット</v>
      </c>
      <c r="L963" s="36" t="str">
        <f>VLOOKUP(I963,[2]stage_hints!$A:$D,4,FALSE)</f>
        <v>敵ユニットをタップすると_x000D_その敵を狙い撃ちできます</v>
      </c>
      <c r="M963" s="21" t="s">
        <v>23</v>
      </c>
      <c r="N963">
        <v>3</v>
      </c>
    </row>
    <row r="964" spans="1:14" x14ac:dyDescent="0.15">
      <c r="A964" s="26" t="s">
        <v>32</v>
      </c>
      <c r="B964" s="4">
        <v>30008</v>
      </c>
      <c r="C964" s="3" t="str">
        <f ca="1">VLOOKUP($B964,OFFSET([1]quests!$A$1,0,0,COUNTA([1]quests!$A:$A),MATCH(C$1,[1]quests!$1:$1,0)-MATCH($B$1,[1]quests!$1:$1,0)+1),MATCH(C$1,[1]quests!$1:$1,0)-MATCH($B$1,[1]quests!$1:$1,0)+1,FALSE)</f>
        <v>わたしの嫁を返してもらおう</v>
      </c>
      <c r="D964" s="3" t="str">
        <f ca="1">VLOOKUP($B964,OFFSET([1]quests!$A$1,0,0,COUNTA([1]quests!$A:$A),MATCH(D$1,[1]quests!$1:$1,0)-MATCH($B$1,[1]quests!$1:$1,0)+1),MATCH(D$1,[1]quests!$1:$1,0)-MATCH($B$1,[1]quests!$1:$1,0)+1,FALSE)</f>
        <v>ドロップイベント2-4（マルチ専用）</v>
      </c>
      <c r="E964" s="5">
        <v>1</v>
      </c>
      <c r="F964" s="3" t="str">
        <f ca="1">VLOOKUP($B964&amp;"_"&amp;$E964,OFFSET([1]stages!$A$1,0,0,COUNTA([1]stages!$A:$A),MATCH(F$1,[1]stages!$2:$2,0)-MATCH("temp_stage",[1]stages!$2:$2,0)+1),MATCH(F$1,[1]stages!$2:$2,0)-MATCH("temp_stage",[1]stages!$2:$2,0)+1,FALSE)</f>
        <v>【中級】わたしの嫁を返してもらおう</v>
      </c>
      <c r="G964" s="3" t="str">
        <f ca="1">VLOOKUP($B964&amp;"_"&amp;$E964,OFFSET([1]stages!$A$1,0,0,COUNTA([1]stages!$A:$A),MATCH(G$1,[1]stages!$2:$2,0)-MATCH("temp_stage",[1]stages!$2:$2,0)+1),MATCH(G$1,[1]stages!$2:$2,0)-MATCH("temp_stage",[1]stages!$2:$2,0)+1,FALSE)</f>
        <v>ドロップイベント2-4（マルチ専用）</v>
      </c>
      <c r="H964" s="18">
        <v>0</v>
      </c>
      <c r="I964">
        <v>6</v>
      </c>
      <c r="J964" s="5" t="s">
        <v>16</v>
      </c>
      <c r="K964" s="35" t="str">
        <f>VLOOKUP(I964,[2]stage_hints!$A:$C,3,FALSE)</f>
        <v>ユニット強化の属性ボーナス</v>
      </c>
      <c r="L964" s="36" t="str">
        <f>VLOOKUP(I964,[2]stage_hints!$A:$D,4,FALSE)</f>
        <v>同属性ユニットを強化素材にすると_x000D_経験値が多くもらえます</v>
      </c>
      <c r="M964" s="21" t="s">
        <v>23</v>
      </c>
      <c r="N964">
        <v>6</v>
      </c>
    </row>
    <row r="965" spans="1:14" x14ac:dyDescent="0.15">
      <c r="A965" s="26" t="s">
        <v>32</v>
      </c>
      <c r="B965" s="4">
        <v>30008</v>
      </c>
      <c r="C965" s="3" t="str">
        <f ca="1">VLOOKUP($B965,OFFSET([1]quests!$A$1,0,0,COUNTA([1]quests!$A:$A),MATCH(C$1,[1]quests!$1:$1,0)-MATCH($B$1,[1]quests!$1:$1,0)+1),MATCH(C$1,[1]quests!$1:$1,0)-MATCH($B$1,[1]quests!$1:$1,0)+1,FALSE)</f>
        <v>わたしの嫁を返してもらおう</v>
      </c>
      <c r="D965" s="3" t="str">
        <f ca="1">VLOOKUP($B965,OFFSET([1]quests!$A$1,0,0,COUNTA([1]quests!$A:$A),MATCH(D$1,[1]quests!$1:$1,0)-MATCH($B$1,[1]quests!$1:$1,0)+1),MATCH(D$1,[1]quests!$1:$1,0)-MATCH($B$1,[1]quests!$1:$1,0)+1,FALSE)</f>
        <v>ドロップイベント2-4（マルチ専用）</v>
      </c>
      <c r="E965" s="5">
        <v>1</v>
      </c>
      <c r="F965" s="3" t="str">
        <f ca="1">VLOOKUP($B965&amp;"_"&amp;$E965,OFFSET([1]stages!$A$1,0,0,COUNTA([1]stages!$A:$A),MATCH(F$1,[1]stages!$2:$2,0)-MATCH("temp_stage",[1]stages!$2:$2,0)+1),MATCH(F$1,[1]stages!$2:$2,0)-MATCH("temp_stage",[1]stages!$2:$2,0)+1,FALSE)</f>
        <v>【中級】わたしの嫁を返してもらおう</v>
      </c>
      <c r="G965" s="3" t="str">
        <f ca="1">VLOOKUP($B965&amp;"_"&amp;$E965,OFFSET([1]stages!$A$1,0,0,COUNTA([1]stages!$A:$A),MATCH(G$1,[1]stages!$2:$2,0)-MATCH("temp_stage",[1]stages!$2:$2,0)+1),MATCH(G$1,[1]stages!$2:$2,0)-MATCH("temp_stage",[1]stages!$2:$2,0)+1,FALSE)</f>
        <v>ドロップイベント2-4（マルチ専用）</v>
      </c>
      <c r="H965" s="18">
        <v>0</v>
      </c>
      <c r="I965">
        <v>7</v>
      </c>
      <c r="J965" s="5" t="s">
        <v>16</v>
      </c>
      <c r="K965" s="35" t="str">
        <f>VLOOKUP(I965,[2]stage_hints!$A:$C,3,FALSE)</f>
        <v>メタルダックで経験値を獲得</v>
      </c>
      <c r="L965" s="36" t="str">
        <f>VLOOKUP(I965,[2]stage_hints!$A:$D,4,FALSE)</f>
        <v>「メタルなアヒル」を強化素材にすると_x000D_大量の経験値がもらえます</v>
      </c>
      <c r="M965" s="21" t="s">
        <v>23</v>
      </c>
      <c r="N965">
        <v>7</v>
      </c>
    </row>
    <row r="966" spans="1:14" x14ac:dyDescent="0.15">
      <c r="A966" s="26" t="s">
        <v>32</v>
      </c>
      <c r="B966" s="4">
        <v>30008</v>
      </c>
      <c r="C966" s="3" t="str">
        <f ca="1">VLOOKUP($B966,OFFSET([1]quests!$A$1,0,0,COUNTA([1]quests!$A:$A),MATCH(C$1,[1]quests!$1:$1,0)-MATCH($B$1,[1]quests!$1:$1,0)+1),MATCH(C$1,[1]quests!$1:$1,0)-MATCH($B$1,[1]quests!$1:$1,0)+1,FALSE)</f>
        <v>わたしの嫁を返してもらおう</v>
      </c>
      <c r="D966" s="3" t="str">
        <f ca="1">VLOOKUP($B966,OFFSET([1]quests!$A$1,0,0,COUNTA([1]quests!$A:$A),MATCH(D$1,[1]quests!$1:$1,0)-MATCH($B$1,[1]quests!$1:$1,0)+1),MATCH(D$1,[1]quests!$1:$1,0)-MATCH($B$1,[1]quests!$1:$1,0)+1,FALSE)</f>
        <v>ドロップイベント2-4（マルチ専用）</v>
      </c>
      <c r="E966" s="5">
        <v>1</v>
      </c>
      <c r="F966" s="3" t="str">
        <f ca="1">VLOOKUP($B966&amp;"_"&amp;$E966,OFFSET([1]stages!$A$1,0,0,COUNTA([1]stages!$A:$A),MATCH(F$1,[1]stages!$2:$2,0)-MATCH("temp_stage",[1]stages!$2:$2,0)+1),MATCH(F$1,[1]stages!$2:$2,0)-MATCH("temp_stage",[1]stages!$2:$2,0)+1,FALSE)</f>
        <v>【中級】わたしの嫁を返してもらおう</v>
      </c>
      <c r="G966" s="3" t="str">
        <f ca="1">VLOOKUP($B966&amp;"_"&amp;$E966,OFFSET([1]stages!$A$1,0,0,COUNTA([1]stages!$A:$A),MATCH(G$1,[1]stages!$2:$2,0)-MATCH("temp_stage",[1]stages!$2:$2,0)+1),MATCH(G$1,[1]stages!$2:$2,0)-MATCH("temp_stage",[1]stages!$2:$2,0)+1,FALSE)</f>
        <v>ドロップイベント2-4（マルチ専用）</v>
      </c>
      <c r="H966" s="18">
        <v>0</v>
      </c>
      <c r="I966">
        <v>8</v>
      </c>
      <c r="J966" s="5" t="s">
        <v>16</v>
      </c>
      <c r="K966" s="35" t="str">
        <f>VLOOKUP(I966,[2]stage_hints!$A:$C,3,FALSE)</f>
        <v>ゲリラクエストは要チェック</v>
      </c>
      <c r="L966" s="36" t="str">
        <f>VLOOKUP(I966,[2]stage_hints!$A:$D,4,FALSE)</f>
        <v>時間限定の「アヒル捕獲作戦」では_x000D_経験値素材ユニットが多く手に入ります</v>
      </c>
      <c r="M966" s="21" t="s">
        <v>23</v>
      </c>
      <c r="N966">
        <v>8</v>
      </c>
    </row>
    <row r="967" spans="1:14" x14ac:dyDescent="0.15">
      <c r="A967" s="26" t="s">
        <v>32</v>
      </c>
      <c r="B967" s="4">
        <v>30008</v>
      </c>
      <c r="C967" s="3" t="str">
        <f ca="1">VLOOKUP($B967,OFFSET([1]quests!$A$1,0,0,COUNTA([1]quests!$A:$A),MATCH(C$1,[1]quests!$1:$1,0)-MATCH($B$1,[1]quests!$1:$1,0)+1),MATCH(C$1,[1]quests!$1:$1,0)-MATCH($B$1,[1]quests!$1:$1,0)+1,FALSE)</f>
        <v>わたしの嫁を返してもらおう</v>
      </c>
      <c r="D967" s="3" t="str">
        <f ca="1">VLOOKUP($B967,OFFSET([1]quests!$A$1,0,0,COUNTA([1]quests!$A:$A),MATCH(D$1,[1]quests!$1:$1,0)-MATCH($B$1,[1]quests!$1:$1,0)+1),MATCH(D$1,[1]quests!$1:$1,0)-MATCH($B$1,[1]quests!$1:$1,0)+1,FALSE)</f>
        <v>ドロップイベント2-4（マルチ専用）</v>
      </c>
      <c r="E967" s="5">
        <v>1</v>
      </c>
      <c r="F967" s="3" t="str">
        <f ca="1">VLOOKUP($B967&amp;"_"&amp;$E967,OFFSET([1]stages!$A$1,0,0,COUNTA([1]stages!$A:$A),MATCH(F$1,[1]stages!$2:$2,0)-MATCH("temp_stage",[1]stages!$2:$2,0)+1),MATCH(F$1,[1]stages!$2:$2,0)-MATCH("temp_stage",[1]stages!$2:$2,0)+1,FALSE)</f>
        <v>【中級】わたしの嫁を返してもらおう</v>
      </c>
      <c r="G967" s="3" t="str">
        <f ca="1">VLOOKUP($B967&amp;"_"&amp;$E967,OFFSET([1]stages!$A$1,0,0,COUNTA([1]stages!$A:$A),MATCH(G$1,[1]stages!$2:$2,0)-MATCH("temp_stage",[1]stages!$2:$2,0)+1),MATCH(G$1,[1]stages!$2:$2,0)-MATCH("temp_stage",[1]stages!$2:$2,0)+1,FALSE)</f>
        <v>ドロップイベント2-4（マルチ専用）</v>
      </c>
      <c r="H967" s="18">
        <v>0</v>
      </c>
      <c r="I967">
        <v>9</v>
      </c>
      <c r="J967" s="5" t="s">
        <v>16</v>
      </c>
      <c r="K967" s="35" t="str">
        <f>VLOOKUP(I967,[2]stage_hints!$A:$C,3,FALSE)</f>
        <v>ゴールドダックでビットを獲得</v>
      </c>
      <c r="L967" s="36" t="str">
        <f>VLOOKUP(I967,[2]stage_hints!$A:$D,4,FALSE)</f>
        <v>「ゴールドなアヒル」を売却すると_x000D_大量のビットがもらえます</v>
      </c>
      <c r="M967" s="21" t="s">
        <v>23</v>
      </c>
      <c r="N967">
        <v>9</v>
      </c>
    </row>
    <row r="968" spans="1:14" x14ac:dyDescent="0.15">
      <c r="A968" s="26" t="s">
        <v>32</v>
      </c>
      <c r="B968" s="4">
        <v>30008</v>
      </c>
      <c r="C968" s="3" t="str">
        <f ca="1">VLOOKUP($B968,OFFSET([1]quests!$A$1,0,0,COUNTA([1]quests!$A:$A),MATCH(C$1,[1]quests!$1:$1,0)-MATCH($B$1,[1]quests!$1:$1,0)+1),MATCH(C$1,[1]quests!$1:$1,0)-MATCH($B$1,[1]quests!$1:$1,0)+1,FALSE)</f>
        <v>わたしの嫁を返してもらおう</v>
      </c>
      <c r="D968" s="3" t="str">
        <f ca="1">VLOOKUP($B968,OFFSET([1]quests!$A$1,0,0,COUNTA([1]quests!$A:$A),MATCH(D$1,[1]quests!$1:$1,0)-MATCH($B$1,[1]quests!$1:$1,0)+1),MATCH(D$1,[1]quests!$1:$1,0)-MATCH($B$1,[1]quests!$1:$1,0)+1,FALSE)</f>
        <v>ドロップイベント2-4（マルチ専用）</v>
      </c>
      <c r="E968" s="5">
        <v>1</v>
      </c>
      <c r="F968" s="3" t="str">
        <f ca="1">VLOOKUP($B968&amp;"_"&amp;$E968,OFFSET([1]stages!$A$1,0,0,COUNTA([1]stages!$A:$A),MATCH(F$1,[1]stages!$2:$2,0)-MATCH("temp_stage",[1]stages!$2:$2,0)+1),MATCH(F$1,[1]stages!$2:$2,0)-MATCH("temp_stage",[1]stages!$2:$2,0)+1,FALSE)</f>
        <v>【中級】わたしの嫁を返してもらおう</v>
      </c>
      <c r="G968" s="3" t="str">
        <f ca="1">VLOOKUP($B968&amp;"_"&amp;$E968,OFFSET([1]stages!$A$1,0,0,COUNTA([1]stages!$A:$A),MATCH(G$1,[1]stages!$2:$2,0)-MATCH("temp_stage",[1]stages!$2:$2,0)+1),MATCH(G$1,[1]stages!$2:$2,0)-MATCH("temp_stage",[1]stages!$2:$2,0)+1,FALSE)</f>
        <v>ドロップイベント2-4（マルチ専用）</v>
      </c>
      <c r="H968" s="18">
        <v>0</v>
      </c>
      <c r="I968">
        <v>10</v>
      </c>
      <c r="J968" s="5" t="s">
        <v>16</v>
      </c>
      <c r="K968" s="35" t="str">
        <f>VLOOKUP(I968,[2]stage_hints!$A:$C,3,FALSE)</f>
        <v>土日に大量のビットを獲得</v>
      </c>
      <c r="L968" s="36" t="str">
        <f>VLOOKUP(I968,[2]stage_hints!$A:$D,4,FALSE)</f>
        <v>土日限定の「ゴールドカジノ」では_x000D_売却素材ユニットが多く手に入ります</v>
      </c>
      <c r="M968" s="21" t="s">
        <v>23</v>
      </c>
      <c r="N968">
        <v>10</v>
      </c>
    </row>
    <row r="969" spans="1:14" x14ac:dyDescent="0.15">
      <c r="A969" s="26" t="s">
        <v>32</v>
      </c>
      <c r="B969" s="4">
        <v>30008</v>
      </c>
      <c r="C969" s="3" t="str">
        <f ca="1">VLOOKUP($B969,OFFSET([1]quests!$A$1,0,0,COUNTA([1]quests!$A:$A),MATCH(C$1,[1]quests!$1:$1,0)-MATCH($B$1,[1]quests!$1:$1,0)+1),MATCH(C$1,[1]quests!$1:$1,0)-MATCH($B$1,[1]quests!$1:$1,0)+1,FALSE)</f>
        <v>わたしの嫁を返してもらおう</v>
      </c>
      <c r="D969" s="3" t="str">
        <f ca="1">VLOOKUP($B969,OFFSET([1]quests!$A$1,0,0,COUNTA([1]quests!$A:$A),MATCH(D$1,[1]quests!$1:$1,0)-MATCH($B$1,[1]quests!$1:$1,0)+1),MATCH(D$1,[1]quests!$1:$1,0)-MATCH($B$1,[1]quests!$1:$1,0)+1,FALSE)</f>
        <v>ドロップイベント2-4（マルチ専用）</v>
      </c>
      <c r="E969" s="5">
        <v>1</v>
      </c>
      <c r="F969" s="3" t="str">
        <f ca="1">VLOOKUP($B969&amp;"_"&amp;$E969,OFFSET([1]stages!$A$1,0,0,COUNTA([1]stages!$A:$A),MATCH(F$1,[1]stages!$2:$2,0)-MATCH("temp_stage",[1]stages!$2:$2,0)+1),MATCH(F$1,[1]stages!$2:$2,0)-MATCH("temp_stage",[1]stages!$2:$2,0)+1,FALSE)</f>
        <v>【中級】わたしの嫁を返してもらおう</v>
      </c>
      <c r="G969" s="3" t="str">
        <f ca="1">VLOOKUP($B969&amp;"_"&amp;$E969,OFFSET([1]stages!$A$1,0,0,COUNTA([1]stages!$A:$A),MATCH(G$1,[1]stages!$2:$2,0)-MATCH("temp_stage",[1]stages!$2:$2,0)+1),MATCH(G$1,[1]stages!$2:$2,0)-MATCH("temp_stage",[1]stages!$2:$2,0)+1,FALSE)</f>
        <v>ドロップイベント2-4（マルチ専用）</v>
      </c>
      <c r="H969" s="18">
        <v>0</v>
      </c>
      <c r="I969">
        <v>11</v>
      </c>
      <c r="J969" s="5" t="s">
        <v>16</v>
      </c>
      <c r="K969" s="35" t="str">
        <f>VLOOKUP(I969,[2]stage_hints!$A:$C,3,FALSE)</f>
        <v>ランク解放クエスト</v>
      </c>
      <c r="L969" s="36" t="str">
        <f>VLOOKUP(I969,[2]stage_hints!$A:$D,4,FALSE)</f>
        <v>一定ランクに到達すると_x000D_報酬付きのランク開放クエストが現れます</v>
      </c>
      <c r="M969" s="21" t="s">
        <v>23</v>
      </c>
      <c r="N969">
        <v>11</v>
      </c>
    </row>
    <row r="970" spans="1:14" x14ac:dyDescent="0.15">
      <c r="A970" s="26" t="s">
        <v>32</v>
      </c>
      <c r="B970" s="4">
        <v>30008</v>
      </c>
      <c r="C970" s="3" t="str">
        <f ca="1">VLOOKUP($B970,OFFSET([1]quests!$A$1,0,0,COUNTA([1]quests!$A:$A),MATCH(C$1,[1]quests!$1:$1,0)-MATCH($B$1,[1]quests!$1:$1,0)+1),MATCH(C$1,[1]quests!$1:$1,0)-MATCH($B$1,[1]quests!$1:$1,0)+1,FALSE)</f>
        <v>わたしの嫁を返してもらおう</v>
      </c>
      <c r="D970" s="3" t="str">
        <f ca="1">VLOOKUP($B970,OFFSET([1]quests!$A$1,0,0,COUNTA([1]quests!$A:$A),MATCH(D$1,[1]quests!$1:$1,0)-MATCH($B$1,[1]quests!$1:$1,0)+1),MATCH(D$1,[1]quests!$1:$1,0)-MATCH($B$1,[1]quests!$1:$1,0)+1,FALSE)</f>
        <v>ドロップイベント2-4（マルチ専用）</v>
      </c>
      <c r="E970" s="5">
        <v>1</v>
      </c>
      <c r="F970" s="3" t="str">
        <f ca="1">VLOOKUP($B970&amp;"_"&amp;$E970,OFFSET([1]stages!$A$1,0,0,COUNTA([1]stages!$A:$A),MATCH(F$1,[1]stages!$2:$2,0)-MATCH("temp_stage",[1]stages!$2:$2,0)+1),MATCH(F$1,[1]stages!$2:$2,0)-MATCH("temp_stage",[1]stages!$2:$2,0)+1,FALSE)</f>
        <v>【中級】わたしの嫁を返してもらおう</v>
      </c>
      <c r="G970" s="3" t="str">
        <f ca="1">VLOOKUP($B970&amp;"_"&amp;$E970,OFFSET([1]stages!$A$1,0,0,COUNTA([1]stages!$A:$A),MATCH(G$1,[1]stages!$2:$2,0)-MATCH("temp_stage",[1]stages!$2:$2,0)+1),MATCH(G$1,[1]stages!$2:$2,0)-MATCH("temp_stage",[1]stages!$2:$2,0)+1,FALSE)</f>
        <v>ドロップイベント2-4（マルチ専用）</v>
      </c>
      <c r="H970" s="18">
        <v>0</v>
      </c>
      <c r="I970">
        <v>12</v>
      </c>
      <c r="J970" s="5" t="s">
        <v>16</v>
      </c>
      <c r="K970" s="35" t="str">
        <f>VLOOKUP(I970,[2]stage_hints!$A:$C,3,FALSE)</f>
        <v>ユニットのお気に入り登録</v>
      </c>
      <c r="L970" s="36" t="str">
        <f>VLOOKUP(I970,[2]stage_hints!$A:$D,4,FALSE)</f>
        <v>大事なユニットを誤って消さないように_x000D_フォルダから「お気に入り登録」しましょう</v>
      </c>
      <c r="M970" s="21" t="s">
        <v>23</v>
      </c>
      <c r="N970">
        <v>12</v>
      </c>
    </row>
    <row r="971" spans="1:14" x14ac:dyDescent="0.15">
      <c r="A971" s="26" t="s">
        <v>32</v>
      </c>
      <c r="B971" s="4">
        <v>30008</v>
      </c>
      <c r="C971" s="3" t="str">
        <f ca="1">VLOOKUP($B971,OFFSET([1]quests!$A$1,0,0,COUNTA([1]quests!$A:$A),MATCH(C$1,[1]quests!$1:$1,0)-MATCH($B$1,[1]quests!$1:$1,0)+1),MATCH(C$1,[1]quests!$1:$1,0)-MATCH($B$1,[1]quests!$1:$1,0)+1,FALSE)</f>
        <v>わたしの嫁を返してもらおう</v>
      </c>
      <c r="D971" s="3" t="str">
        <f ca="1">VLOOKUP($B971,OFFSET([1]quests!$A$1,0,0,COUNTA([1]quests!$A:$A),MATCH(D$1,[1]quests!$1:$1,0)-MATCH($B$1,[1]quests!$1:$1,0)+1),MATCH(D$1,[1]quests!$1:$1,0)-MATCH($B$1,[1]quests!$1:$1,0)+1,FALSE)</f>
        <v>ドロップイベント2-4（マルチ専用）</v>
      </c>
      <c r="E971" s="5">
        <v>1</v>
      </c>
      <c r="F971" s="3" t="str">
        <f ca="1">VLOOKUP($B971&amp;"_"&amp;$E971,OFFSET([1]stages!$A$1,0,0,COUNTA([1]stages!$A:$A),MATCH(F$1,[1]stages!$2:$2,0)-MATCH("temp_stage",[1]stages!$2:$2,0)+1),MATCH(F$1,[1]stages!$2:$2,0)-MATCH("temp_stage",[1]stages!$2:$2,0)+1,FALSE)</f>
        <v>【中級】わたしの嫁を返してもらおう</v>
      </c>
      <c r="G971" s="3" t="str">
        <f ca="1">VLOOKUP($B971&amp;"_"&amp;$E971,OFFSET([1]stages!$A$1,0,0,COUNTA([1]stages!$A:$A),MATCH(G$1,[1]stages!$2:$2,0)-MATCH("temp_stage",[1]stages!$2:$2,0)+1),MATCH(G$1,[1]stages!$2:$2,0)-MATCH("temp_stage",[1]stages!$2:$2,0)+1,FALSE)</f>
        <v>ドロップイベント2-4（マルチ専用）</v>
      </c>
      <c r="H971" s="18">
        <v>0</v>
      </c>
      <c r="I971">
        <v>13</v>
      </c>
      <c r="J971" s="5" t="s">
        <v>16</v>
      </c>
      <c r="K971" s="35" t="str">
        <f>VLOOKUP(I971,[2]stage_hints!$A:$C,3,FALSE)</f>
        <v>ユニットの覚醒</v>
      </c>
      <c r="L971" s="36" t="str">
        <f>VLOOKUP(I971,[2]stage_hints!$A:$D,4,FALSE)</f>
        <v>ユニットを覚醒させると_x000D_比べものにならない強さが手に入ります</v>
      </c>
      <c r="M971" s="21" t="s">
        <v>23</v>
      </c>
      <c r="N971">
        <v>13</v>
      </c>
    </row>
    <row r="972" spans="1:14" x14ac:dyDescent="0.15">
      <c r="A972" s="26" t="s">
        <v>32</v>
      </c>
      <c r="B972" s="4">
        <v>30008</v>
      </c>
      <c r="C972" s="3" t="str">
        <f ca="1">VLOOKUP($B972,OFFSET([1]quests!$A$1,0,0,COUNTA([1]quests!$A:$A),MATCH(C$1,[1]quests!$1:$1,0)-MATCH($B$1,[1]quests!$1:$1,0)+1),MATCH(C$1,[1]quests!$1:$1,0)-MATCH($B$1,[1]quests!$1:$1,0)+1,FALSE)</f>
        <v>わたしの嫁を返してもらおう</v>
      </c>
      <c r="D972" s="3" t="str">
        <f ca="1">VLOOKUP($B972,OFFSET([1]quests!$A$1,0,0,COUNTA([1]quests!$A:$A),MATCH(D$1,[1]quests!$1:$1,0)-MATCH($B$1,[1]quests!$1:$1,0)+1),MATCH(D$1,[1]quests!$1:$1,0)-MATCH($B$1,[1]quests!$1:$1,0)+1,FALSE)</f>
        <v>ドロップイベント2-4（マルチ専用）</v>
      </c>
      <c r="E972" s="5">
        <v>1</v>
      </c>
      <c r="F972" s="3" t="str">
        <f ca="1">VLOOKUP($B972&amp;"_"&amp;$E972,OFFSET([1]stages!$A$1,0,0,COUNTA([1]stages!$A:$A),MATCH(F$1,[1]stages!$2:$2,0)-MATCH("temp_stage",[1]stages!$2:$2,0)+1),MATCH(F$1,[1]stages!$2:$2,0)-MATCH("temp_stage",[1]stages!$2:$2,0)+1,FALSE)</f>
        <v>【中級】わたしの嫁を返してもらおう</v>
      </c>
      <c r="G972" s="3" t="str">
        <f ca="1">VLOOKUP($B972&amp;"_"&amp;$E972,OFFSET([1]stages!$A$1,0,0,COUNTA([1]stages!$A:$A),MATCH(G$1,[1]stages!$2:$2,0)-MATCH("temp_stage",[1]stages!$2:$2,0)+1),MATCH(G$1,[1]stages!$2:$2,0)-MATCH("temp_stage",[1]stages!$2:$2,0)+1,FALSE)</f>
        <v>ドロップイベント2-4（マルチ専用）</v>
      </c>
      <c r="H972" s="18">
        <v>0</v>
      </c>
      <c r="I972">
        <v>14</v>
      </c>
      <c r="J972" s="5" t="s">
        <v>16</v>
      </c>
      <c r="K972" s="35" t="str">
        <f>VLOOKUP(I972,[2]stage_hints!$A:$C,3,FALSE)</f>
        <v>覚醒するにはレベルを最大に</v>
      </c>
      <c r="L972" s="36" t="str">
        <f>VLOOKUP(I972,[2]stage_hints!$A:$D,4,FALSE)</f>
        <v>覚醒するにはユニットのレベルを_x000D_最大まで上げる必要があります</v>
      </c>
      <c r="M972" s="21" t="s">
        <v>23</v>
      </c>
      <c r="N972">
        <v>14</v>
      </c>
    </row>
    <row r="973" spans="1:14" x14ac:dyDescent="0.15">
      <c r="A973" s="26" t="s">
        <v>32</v>
      </c>
      <c r="B973" s="4">
        <v>30008</v>
      </c>
      <c r="C973" s="3" t="str">
        <f ca="1">VLOOKUP($B973,OFFSET([1]quests!$A$1,0,0,COUNTA([1]quests!$A:$A),MATCH(C$1,[1]quests!$1:$1,0)-MATCH($B$1,[1]quests!$1:$1,0)+1),MATCH(C$1,[1]quests!$1:$1,0)-MATCH($B$1,[1]quests!$1:$1,0)+1,FALSE)</f>
        <v>わたしの嫁を返してもらおう</v>
      </c>
      <c r="D973" s="3" t="str">
        <f ca="1">VLOOKUP($B973,OFFSET([1]quests!$A$1,0,0,COUNTA([1]quests!$A:$A),MATCH(D$1,[1]quests!$1:$1,0)-MATCH($B$1,[1]quests!$1:$1,0)+1),MATCH(D$1,[1]quests!$1:$1,0)-MATCH($B$1,[1]quests!$1:$1,0)+1,FALSE)</f>
        <v>ドロップイベント2-4（マルチ専用）</v>
      </c>
      <c r="E973" s="5">
        <v>1</v>
      </c>
      <c r="F973" s="3" t="str">
        <f ca="1">VLOOKUP($B973&amp;"_"&amp;$E973,OFFSET([1]stages!$A$1,0,0,COUNTA([1]stages!$A:$A),MATCH(F$1,[1]stages!$2:$2,0)-MATCH("temp_stage",[1]stages!$2:$2,0)+1),MATCH(F$1,[1]stages!$2:$2,0)-MATCH("temp_stage",[1]stages!$2:$2,0)+1,FALSE)</f>
        <v>【中級】わたしの嫁を返してもらおう</v>
      </c>
      <c r="G973" s="3" t="str">
        <f ca="1">VLOOKUP($B973&amp;"_"&amp;$E973,OFFSET([1]stages!$A$1,0,0,COUNTA([1]stages!$A:$A),MATCH(G$1,[1]stages!$2:$2,0)-MATCH("temp_stage",[1]stages!$2:$2,0)+1),MATCH(G$1,[1]stages!$2:$2,0)-MATCH("temp_stage",[1]stages!$2:$2,0)+1,FALSE)</f>
        <v>ドロップイベント2-4（マルチ専用）</v>
      </c>
      <c r="H973" s="18">
        <v>0</v>
      </c>
      <c r="I973">
        <v>15</v>
      </c>
      <c r="J973" s="5" t="s">
        <v>16</v>
      </c>
      <c r="K973" s="35" t="str">
        <f>VLOOKUP(I973,[2]stage_hints!$A:$C,3,FALSE)</f>
        <v>覚醒素材を獲得</v>
      </c>
      <c r="L973" s="36" t="str">
        <f>VLOOKUP(I973,[2]stage_hints!$A:$D,4,FALSE)</f>
        <v>「曜日クエスト」では_x000D_ユニットの覚醒に必要な素材が手に入ります</v>
      </c>
      <c r="M973" s="21" t="s">
        <v>23</v>
      </c>
      <c r="N973">
        <v>15</v>
      </c>
    </row>
    <row r="974" spans="1:14" x14ac:dyDescent="0.15">
      <c r="A974" s="26" t="s">
        <v>32</v>
      </c>
      <c r="B974" s="4">
        <v>30008</v>
      </c>
      <c r="C974" s="3" t="str">
        <f ca="1">VLOOKUP($B974,OFFSET([1]quests!$A$1,0,0,COUNTA([1]quests!$A:$A),MATCH(C$1,[1]quests!$1:$1,0)-MATCH($B$1,[1]quests!$1:$1,0)+1),MATCH(C$1,[1]quests!$1:$1,0)-MATCH($B$1,[1]quests!$1:$1,0)+1,FALSE)</f>
        <v>わたしの嫁を返してもらおう</v>
      </c>
      <c r="D974" s="3" t="str">
        <f ca="1">VLOOKUP($B974,OFFSET([1]quests!$A$1,0,0,COUNTA([1]quests!$A:$A),MATCH(D$1,[1]quests!$1:$1,0)-MATCH($B$1,[1]quests!$1:$1,0)+1),MATCH(D$1,[1]quests!$1:$1,0)-MATCH($B$1,[1]quests!$1:$1,0)+1,FALSE)</f>
        <v>ドロップイベント2-4（マルチ専用）</v>
      </c>
      <c r="E974" s="5">
        <v>1</v>
      </c>
      <c r="F974" s="3" t="str">
        <f ca="1">VLOOKUP($B974&amp;"_"&amp;$E974,OFFSET([1]stages!$A$1,0,0,COUNTA([1]stages!$A:$A),MATCH(F$1,[1]stages!$2:$2,0)-MATCH("temp_stage",[1]stages!$2:$2,0)+1),MATCH(F$1,[1]stages!$2:$2,0)-MATCH("temp_stage",[1]stages!$2:$2,0)+1,FALSE)</f>
        <v>【中級】わたしの嫁を返してもらおう</v>
      </c>
      <c r="G974" s="3" t="str">
        <f ca="1">VLOOKUP($B974&amp;"_"&amp;$E974,OFFSET([1]stages!$A$1,0,0,COUNTA([1]stages!$A:$A),MATCH(G$1,[1]stages!$2:$2,0)-MATCH("temp_stage",[1]stages!$2:$2,0)+1),MATCH(G$1,[1]stages!$2:$2,0)-MATCH("temp_stage",[1]stages!$2:$2,0)+1,FALSE)</f>
        <v>ドロップイベント2-4（マルチ専用）</v>
      </c>
      <c r="H974" s="18">
        <v>0</v>
      </c>
      <c r="I974">
        <v>16</v>
      </c>
      <c r="J974" s="5" t="s">
        <v>16</v>
      </c>
      <c r="K974" s="35" t="str">
        <f>VLOOKUP(I974,[2]stage_hints!$A:$C,3,FALSE)</f>
        <v>マルチプレイのメリット（その1）</v>
      </c>
      <c r="L974" s="36" t="str">
        <f>VLOOKUP(I974,[2]stage_hints!$A:$D,4,FALSE)</f>
        <v>他のプレイヤーとマルチプレイで遊ぶと_x000D_ポリゴンがもらえます（100人まで）</v>
      </c>
      <c r="M974" s="21" t="s">
        <v>23</v>
      </c>
      <c r="N974">
        <v>16</v>
      </c>
    </row>
    <row r="975" spans="1:14" x14ac:dyDescent="0.15">
      <c r="A975" s="26" t="s">
        <v>32</v>
      </c>
      <c r="B975" s="4">
        <v>30008</v>
      </c>
      <c r="C975" s="3" t="str">
        <f ca="1">VLOOKUP($B975,OFFSET([1]quests!$A$1,0,0,COUNTA([1]quests!$A:$A),MATCH(C$1,[1]quests!$1:$1,0)-MATCH($B$1,[1]quests!$1:$1,0)+1),MATCH(C$1,[1]quests!$1:$1,0)-MATCH($B$1,[1]quests!$1:$1,0)+1,FALSE)</f>
        <v>わたしの嫁を返してもらおう</v>
      </c>
      <c r="D975" s="3" t="str">
        <f ca="1">VLOOKUP($B975,OFFSET([1]quests!$A$1,0,0,COUNTA([1]quests!$A:$A),MATCH(D$1,[1]quests!$1:$1,0)-MATCH($B$1,[1]quests!$1:$1,0)+1),MATCH(D$1,[1]quests!$1:$1,0)-MATCH($B$1,[1]quests!$1:$1,0)+1,FALSE)</f>
        <v>ドロップイベント2-4（マルチ専用）</v>
      </c>
      <c r="E975" s="5">
        <v>1</v>
      </c>
      <c r="F975" s="3" t="str">
        <f ca="1">VLOOKUP($B975&amp;"_"&amp;$E975,OFFSET([1]stages!$A$1,0,0,COUNTA([1]stages!$A:$A),MATCH(F$1,[1]stages!$2:$2,0)-MATCH("temp_stage",[1]stages!$2:$2,0)+1),MATCH(F$1,[1]stages!$2:$2,0)-MATCH("temp_stage",[1]stages!$2:$2,0)+1,FALSE)</f>
        <v>【中級】わたしの嫁を返してもらおう</v>
      </c>
      <c r="G975" s="3" t="str">
        <f ca="1">VLOOKUP($B975&amp;"_"&amp;$E975,OFFSET([1]stages!$A$1,0,0,COUNTA([1]stages!$A:$A),MATCH(G$1,[1]stages!$2:$2,0)-MATCH("temp_stage",[1]stages!$2:$2,0)+1),MATCH(G$1,[1]stages!$2:$2,0)-MATCH("temp_stage",[1]stages!$2:$2,0)+1,FALSE)</f>
        <v>ドロップイベント2-4（マルチ専用）</v>
      </c>
      <c r="H975" s="18">
        <v>0</v>
      </c>
      <c r="I975">
        <v>17</v>
      </c>
      <c r="J975" s="5" t="s">
        <v>16</v>
      </c>
      <c r="K975" s="35" t="str">
        <f>VLOOKUP(I975,[2]stage_hints!$A:$C,3,FALSE)</f>
        <v>リンクガチャ</v>
      </c>
      <c r="L975" s="36" t="str">
        <f>VLOOKUP(I975,[2]stage_hints!$A:$D,4,FALSE)</f>
        <v>無料のリンクガチャを回して_x000D_経験値素材や売却素材を獲得しましょう</v>
      </c>
      <c r="M975" s="21" t="s">
        <v>23</v>
      </c>
      <c r="N975">
        <v>17</v>
      </c>
    </row>
    <row r="976" spans="1:14" x14ac:dyDescent="0.15">
      <c r="A976" s="26" t="s">
        <v>32</v>
      </c>
      <c r="B976" s="4">
        <v>30008</v>
      </c>
      <c r="C976" s="3" t="str">
        <f ca="1">VLOOKUP($B976,OFFSET([1]quests!$A$1,0,0,COUNTA([1]quests!$A:$A),MATCH(C$1,[1]quests!$1:$1,0)-MATCH($B$1,[1]quests!$1:$1,0)+1),MATCH(C$1,[1]quests!$1:$1,0)-MATCH($B$1,[1]quests!$1:$1,0)+1,FALSE)</f>
        <v>わたしの嫁を返してもらおう</v>
      </c>
      <c r="D976" s="3" t="str">
        <f ca="1">VLOOKUP($B976,OFFSET([1]quests!$A$1,0,0,COUNTA([1]quests!$A:$A),MATCH(D$1,[1]quests!$1:$1,0)-MATCH($B$1,[1]quests!$1:$1,0)+1),MATCH(D$1,[1]quests!$1:$1,0)-MATCH($B$1,[1]quests!$1:$1,0)+1,FALSE)</f>
        <v>ドロップイベント2-4（マルチ専用）</v>
      </c>
      <c r="E976" s="5">
        <v>1</v>
      </c>
      <c r="F976" s="3" t="str">
        <f ca="1">VLOOKUP($B976&amp;"_"&amp;$E976,OFFSET([1]stages!$A$1,0,0,COUNTA([1]stages!$A:$A),MATCH(F$1,[1]stages!$2:$2,0)-MATCH("temp_stage",[1]stages!$2:$2,0)+1),MATCH(F$1,[1]stages!$2:$2,0)-MATCH("temp_stage",[1]stages!$2:$2,0)+1,FALSE)</f>
        <v>【中級】わたしの嫁を返してもらおう</v>
      </c>
      <c r="G976" s="3" t="str">
        <f ca="1">VLOOKUP($B976&amp;"_"&amp;$E976,OFFSET([1]stages!$A$1,0,0,COUNTA([1]stages!$A:$A),MATCH(G$1,[1]stages!$2:$2,0)-MATCH("temp_stage",[1]stages!$2:$2,0)+1),MATCH(G$1,[1]stages!$2:$2,0)-MATCH("temp_stage",[1]stages!$2:$2,0)+1,FALSE)</f>
        <v>ドロップイベント2-4（マルチ専用）</v>
      </c>
      <c r="H976" s="18">
        <v>0</v>
      </c>
      <c r="I976">
        <v>18</v>
      </c>
      <c r="J976" s="5" t="s">
        <v>16</v>
      </c>
      <c r="K976" s="35" t="str">
        <f>VLOOKUP(I976,[2]stage_hints!$A:$C,3,FALSE)</f>
        <v>マルチプレイのメリット（その2）</v>
      </c>
      <c r="L976" s="36" t="str">
        <f>VLOOKUP(I976,[2]stage_hints!$A:$D,4,FALSE)</f>
        <v>マルチプレイならリンクが2倍もらえます_x000D_リンクガチャをたくさん回しましょう</v>
      </c>
      <c r="M976" s="21" t="s">
        <v>23</v>
      </c>
      <c r="N976">
        <v>18</v>
      </c>
    </row>
    <row r="977" spans="1:14" x14ac:dyDescent="0.15">
      <c r="A977" s="26" t="s">
        <v>32</v>
      </c>
      <c r="B977" s="4">
        <v>30008</v>
      </c>
      <c r="C977" s="3" t="str">
        <f ca="1">VLOOKUP($B977,OFFSET([1]quests!$A$1,0,0,COUNTA([1]quests!$A:$A),MATCH(C$1,[1]quests!$1:$1,0)-MATCH($B$1,[1]quests!$1:$1,0)+1),MATCH(C$1,[1]quests!$1:$1,0)-MATCH($B$1,[1]quests!$1:$1,0)+1,FALSE)</f>
        <v>わたしの嫁を返してもらおう</v>
      </c>
      <c r="D977" s="3" t="str">
        <f ca="1">VLOOKUP($B977,OFFSET([1]quests!$A$1,0,0,COUNTA([1]quests!$A:$A),MATCH(D$1,[1]quests!$1:$1,0)-MATCH($B$1,[1]quests!$1:$1,0)+1),MATCH(D$1,[1]quests!$1:$1,0)-MATCH($B$1,[1]quests!$1:$1,0)+1,FALSE)</f>
        <v>ドロップイベント2-4（マルチ専用）</v>
      </c>
      <c r="E977" s="5">
        <v>1</v>
      </c>
      <c r="F977" s="3" t="str">
        <f ca="1">VLOOKUP($B977&amp;"_"&amp;$E977,OFFSET([1]stages!$A$1,0,0,COUNTA([1]stages!$A:$A),MATCH(F$1,[1]stages!$2:$2,0)-MATCH("temp_stage",[1]stages!$2:$2,0)+1),MATCH(F$1,[1]stages!$2:$2,0)-MATCH("temp_stage",[1]stages!$2:$2,0)+1,FALSE)</f>
        <v>【中級】わたしの嫁を返してもらおう</v>
      </c>
      <c r="G977" s="3" t="str">
        <f ca="1">VLOOKUP($B977&amp;"_"&amp;$E977,OFFSET([1]stages!$A$1,0,0,COUNTA([1]stages!$A:$A),MATCH(G$1,[1]stages!$2:$2,0)-MATCH("temp_stage",[1]stages!$2:$2,0)+1),MATCH(G$1,[1]stages!$2:$2,0)-MATCH("temp_stage",[1]stages!$2:$2,0)+1,FALSE)</f>
        <v>ドロップイベント2-4（マルチ専用）</v>
      </c>
      <c r="H977" s="18">
        <v>0</v>
      </c>
      <c r="I977">
        <v>19</v>
      </c>
      <c r="J977" s="5" t="s">
        <v>16</v>
      </c>
      <c r="K977" s="35" t="str">
        <f>VLOOKUP(I977,[2]stage_hints!$A:$C,3,FALSE)</f>
        <v>ソロ専用チャレンジタワー</v>
      </c>
      <c r="L977" s="36" t="str">
        <f>VLOOKUP(I977,[2]stage_hints!$A:$D,4,FALSE)</f>
        <v>ソロ専用の「チャレンジタワー」では_x000D_各フロアごとにクリア報酬がもらえます</v>
      </c>
      <c r="M977" s="21" t="s">
        <v>23</v>
      </c>
      <c r="N977">
        <v>19</v>
      </c>
    </row>
    <row r="978" spans="1:14" x14ac:dyDescent="0.15">
      <c r="A978" s="26" t="s">
        <v>32</v>
      </c>
      <c r="B978" s="4">
        <v>30008</v>
      </c>
      <c r="C978" s="3" t="str">
        <f ca="1">VLOOKUP($B978,OFFSET([1]quests!$A$1,0,0,COUNTA([1]quests!$A:$A),MATCH(C$1,[1]quests!$1:$1,0)-MATCH($B$1,[1]quests!$1:$1,0)+1),MATCH(C$1,[1]quests!$1:$1,0)-MATCH($B$1,[1]quests!$1:$1,0)+1,FALSE)</f>
        <v>わたしの嫁を返してもらおう</v>
      </c>
      <c r="D978" s="3" t="str">
        <f ca="1">VLOOKUP($B978,OFFSET([1]quests!$A$1,0,0,COUNTA([1]quests!$A:$A),MATCH(D$1,[1]quests!$1:$1,0)-MATCH($B$1,[1]quests!$1:$1,0)+1),MATCH(D$1,[1]quests!$1:$1,0)-MATCH($B$1,[1]quests!$1:$1,0)+1,FALSE)</f>
        <v>ドロップイベント2-4（マルチ専用）</v>
      </c>
      <c r="E978" s="5">
        <v>1</v>
      </c>
      <c r="F978" s="3" t="str">
        <f ca="1">VLOOKUP($B978&amp;"_"&amp;$E978,OFFSET([1]stages!$A$1,0,0,COUNTA([1]stages!$A:$A),MATCH(F$1,[1]stages!$2:$2,0)-MATCH("temp_stage",[1]stages!$2:$2,0)+1),MATCH(F$1,[1]stages!$2:$2,0)-MATCH("temp_stage",[1]stages!$2:$2,0)+1,FALSE)</f>
        <v>【中級】わたしの嫁を返してもらおう</v>
      </c>
      <c r="G978" s="3" t="str">
        <f ca="1">VLOOKUP($B978&amp;"_"&amp;$E978,OFFSET([1]stages!$A$1,0,0,COUNTA([1]stages!$A:$A),MATCH(G$1,[1]stages!$2:$2,0)-MATCH("temp_stage",[1]stages!$2:$2,0)+1),MATCH(G$1,[1]stages!$2:$2,0)-MATCH("temp_stage",[1]stages!$2:$2,0)+1,FALSE)</f>
        <v>ドロップイベント2-4（マルチ専用）</v>
      </c>
      <c r="H978" s="18">
        <v>0</v>
      </c>
      <c r="I978">
        <v>20</v>
      </c>
      <c r="J978" s="5" t="s">
        <v>16</v>
      </c>
      <c r="K978" s="35" t="str">
        <f>VLOOKUP(I978,[2]stage_hints!$A:$C,3,FALSE)</f>
        <v>マルチプレイのメリット（その3）</v>
      </c>
      <c r="L978" s="36" t="str">
        <f>VLOOKUP(I978,[2]stage_hints!$A:$D,4,FALSE)</f>
        <v>マルチプレイへの参加はエナジー消費ゼロ_x000D_いつでも好きなだけ遊ぶことができます</v>
      </c>
      <c r="M978" s="21" t="s">
        <v>23</v>
      </c>
      <c r="N978">
        <v>20</v>
      </c>
    </row>
    <row r="979" spans="1:14" x14ac:dyDescent="0.15">
      <c r="A979" s="26" t="s">
        <v>32</v>
      </c>
      <c r="B979" s="4">
        <v>30008</v>
      </c>
      <c r="C979" s="3" t="str">
        <f ca="1">VLOOKUP($B979,OFFSET([1]quests!$A$1,0,0,COUNTA([1]quests!$A:$A),MATCH(C$1,[1]quests!$1:$1,0)-MATCH($B$1,[1]quests!$1:$1,0)+1),MATCH(C$1,[1]quests!$1:$1,0)-MATCH($B$1,[1]quests!$1:$1,0)+1,FALSE)</f>
        <v>わたしの嫁を返してもらおう</v>
      </c>
      <c r="D979" s="3" t="str">
        <f ca="1">VLOOKUP($B979,OFFSET([1]quests!$A$1,0,0,COUNTA([1]quests!$A:$A),MATCH(D$1,[1]quests!$1:$1,0)-MATCH($B$1,[1]quests!$1:$1,0)+1),MATCH(D$1,[1]quests!$1:$1,0)-MATCH($B$1,[1]quests!$1:$1,0)+1,FALSE)</f>
        <v>ドロップイベント2-4（マルチ専用）</v>
      </c>
      <c r="E979" s="5">
        <v>1</v>
      </c>
      <c r="F979" s="3" t="str">
        <f ca="1">VLOOKUP($B979&amp;"_"&amp;$E979,OFFSET([1]stages!$A$1,0,0,COUNTA([1]stages!$A:$A),MATCH(F$1,[1]stages!$2:$2,0)-MATCH("temp_stage",[1]stages!$2:$2,0)+1),MATCH(F$1,[1]stages!$2:$2,0)-MATCH("temp_stage",[1]stages!$2:$2,0)+1,FALSE)</f>
        <v>【中級】わたしの嫁を返してもらおう</v>
      </c>
      <c r="G979" s="3" t="str">
        <f ca="1">VLOOKUP($B979&amp;"_"&amp;$E979,OFFSET([1]stages!$A$1,0,0,COUNTA([1]stages!$A:$A),MATCH(G$1,[1]stages!$2:$2,0)-MATCH("temp_stage",[1]stages!$2:$2,0)+1),MATCH(G$1,[1]stages!$2:$2,0)-MATCH("temp_stage",[1]stages!$2:$2,0)+1,FALSE)</f>
        <v>ドロップイベント2-4（マルチ専用）</v>
      </c>
      <c r="H979" s="18">
        <v>0</v>
      </c>
      <c r="I979">
        <v>21</v>
      </c>
      <c r="J979" s="5" t="s">
        <v>16</v>
      </c>
      <c r="K979" s="35" t="str">
        <f>VLOOKUP(I979,[2]stage_hints!$A:$C,3,FALSE)</f>
        <v>スキルを有効に</v>
      </c>
      <c r="L979" s="36" t="str">
        <f>VLOOKUP(I979,[2]stage_hints!$A:$D,4,FALSE)</f>
        <v>ターン経過でユニットのスキルが使えます_x000D_強力スキルでバトルを有利に進めましょう</v>
      </c>
      <c r="M979" s="21" t="s">
        <v>23</v>
      </c>
      <c r="N979">
        <v>21</v>
      </c>
    </row>
    <row r="980" spans="1:14" x14ac:dyDescent="0.15">
      <c r="A980" s="26" t="s">
        <v>32</v>
      </c>
      <c r="B980" s="4">
        <v>30008</v>
      </c>
      <c r="C980" s="3" t="str">
        <f ca="1">VLOOKUP($B980,OFFSET([1]quests!$A$1,0,0,COUNTA([1]quests!$A:$A),MATCH(C$1,[1]quests!$1:$1,0)-MATCH($B$1,[1]quests!$1:$1,0)+1),MATCH(C$1,[1]quests!$1:$1,0)-MATCH($B$1,[1]quests!$1:$1,0)+1,FALSE)</f>
        <v>わたしの嫁を返してもらおう</v>
      </c>
      <c r="D980" s="3" t="str">
        <f ca="1">VLOOKUP($B980,OFFSET([1]quests!$A$1,0,0,COUNTA([1]quests!$A:$A),MATCH(D$1,[1]quests!$1:$1,0)-MATCH($B$1,[1]quests!$1:$1,0)+1),MATCH(D$1,[1]quests!$1:$1,0)-MATCH($B$1,[1]quests!$1:$1,0)+1,FALSE)</f>
        <v>ドロップイベント2-4（マルチ専用）</v>
      </c>
      <c r="E980" s="5">
        <v>1</v>
      </c>
      <c r="F980" s="3" t="str">
        <f ca="1">VLOOKUP($B980&amp;"_"&amp;$E980,OFFSET([1]stages!$A$1,0,0,COUNTA([1]stages!$A:$A),MATCH(F$1,[1]stages!$2:$2,0)-MATCH("temp_stage",[1]stages!$2:$2,0)+1),MATCH(F$1,[1]stages!$2:$2,0)-MATCH("temp_stage",[1]stages!$2:$2,0)+1,FALSE)</f>
        <v>【中級】わたしの嫁を返してもらおう</v>
      </c>
      <c r="G980" s="3" t="str">
        <f ca="1">VLOOKUP($B980&amp;"_"&amp;$E980,OFFSET([1]stages!$A$1,0,0,COUNTA([1]stages!$A:$A),MATCH(G$1,[1]stages!$2:$2,0)-MATCH("temp_stage",[1]stages!$2:$2,0)+1),MATCH(G$1,[1]stages!$2:$2,0)-MATCH("temp_stage",[1]stages!$2:$2,0)+1,FALSE)</f>
        <v>ドロップイベント2-4（マルチ専用）</v>
      </c>
      <c r="H980" s="18">
        <v>0</v>
      </c>
      <c r="I980">
        <v>22</v>
      </c>
      <c r="J980" s="5" t="s">
        <v>16</v>
      </c>
      <c r="K980" s="35" t="str">
        <f>VLOOKUP(I980,[2]stage_hints!$A:$C,3,FALSE)</f>
        <v>フィーバーで一発逆転（その1）</v>
      </c>
      <c r="L980" s="36" t="str">
        <f>VLOOKUP(I980,[2]stage_hints!$A:$D,4,FALSE)</f>
        <v>フィーバーは攻撃と回復を兼ね備えます_x000D_ピンチからの一発逆転を狙いましょう</v>
      </c>
      <c r="M980" s="21" t="s">
        <v>23</v>
      </c>
      <c r="N980">
        <v>22</v>
      </c>
    </row>
    <row r="981" spans="1:14" x14ac:dyDescent="0.15">
      <c r="A981" s="26" t="s">
        <v>32</v>
      </c>
      <c r="B981" s="4">
        <v>30008</v>
      </c>
      <c r="C981" s="3" t="str">
        <f ca="1">VLOOKUP($B981,OFFSET([1]quests!$A$1,0,0,COUNTA([1]quests!$A:$A),MATCH(C$1,[1]quests!$1:$1,0)-MATCH($B$1,[1]quests!$1:$1,0)+1),MATCH(C$1,[1]quests!$1:$1,0)-MATCH($B$1,[1]quests!$1:$1,0)+1,FALSE)</f>
        <v>わたしの嫁を返してもらおう</v>
      </c>
      <c r="D981" s="3" t="str">
        <f ca="1">VLOOKUP($B981,OFFSET([1]quests!$A$1,0,0,COUNTA([1]quests!$A:$A),MATCH(D$1,[1]quests!$1:$1,0)-MATCH($B$1,[1]quests!$1:$1,0)+1),MATCH(D$1,[1]quests!$1:$1,0)-MATCH($B$1,[1]quests!$1:$1,0)+1,FALSE)</f>
        <v>ドロップイベント2-4（マルチ専用）</v>
      </c>
      <c r="E981" s="5">
        <v>1</v>
      </c>
      <c r="F981" s="3" t="str">
        <f ca="1">VLOOKUP($B981&amp;"_"&amp;$E981,OFFSET([1]stages!$A$1,0,0,COUNTA([1]stages!$A:$A),MATCH(F$1,[1]stages!$2:$2,0)-MATCH("temp_stage",[1]stages!$2:$2,0)+1),MATCH(F$1,[1]stages!$2:$2,0)-MATCH("temp_stage",[1]stages!$2:$2,0)+1,FALSE)</f>
        <v>【中級】わたしの嫁を返してもらおう</v>
      </c>
      <c r="G981" s="3" t="str">
        <f ca="1">VLOOKUP($B981&amp;"_"&amp;$E981,OFFSET([1]stages!$A$1,0,0,COUNTA([1]stages!$A:$A),MATCH(G$1,[1]stages!$2:$2,0)-MATCH("temp_stage",[1]stages!$2:$2,0)+1),MATCH(G$1,[1]stages!$2:$2,0)-MATCH("temp_stage",[1]stages!$2:$2,0)+1,FALSE)</f>
        <v>ドロップイベント2-4（マルチ専用）</v>
      </c>
      <c r="H981" s="18">
        <v>0</v>
      </c>
      <c r="I981">
        <v>23</v>
      </c>
      <c r="J981" s="5" t="s">
        <v>16</v>
      </c>
      <c r="K981" s="35" t="str">
        <f>VLOOKUP(I981,[2]stage_hints!$A:$C,3,FALSE)</f>
        <v>フィーバーで一発逆転（その2）</v>
      </c>
      <c r="L981" s="36" t="str">
        <f>VLOOKUP(I981,[2]stage_hints!$A:$D,4,FALSE)</f>
        <v>フィーバー中は虹色のボムパネルを狙って_x000D_画面上のパネルを一気に破壊しましょう</v>
      </c>
      <c r="M981" s="21" t="s">
        <v>23</v>
      </c>
      <c r="N981">
        <v>23</v>
      </c>
    </row>
    <row r="982" spans="1:14" x14ac:dyDescent="0.15">
      <c r="A982" s="26" t="s">
        <v>32</v>
      </c>
      <c r="B982" s="4">
        <v>30008</v>
      </c>
      <c r="C982" s="3" t="str">
        <f ca="1">VLOOKUP($B982,OFFSET([1]quests!$A$1,0,0,COUNTA([1]quests!$A:$A),MATCH(C$1,[1]quests!$1:$1,0)-MATCH($B$1,[1]quests!$1:$1,0)+1),MATCH(C$1,[1]quests!$1:$1,0)-MATCH($B$1,[1]quests!$1:$1,0)+1,FALSE)</f>
        <v>わたしの嫁を返してもらおう</v>
      </c>
      <c r="D982" s="3" t="str">
        <f ca="1">VLOOKUP($B982,OFFSET([1]quests!$A$1,0,0,COUNTA([1]quests!$A:$A),MATCH(D$1,[1]quests!$1:$1,0)-MATCH($B$1,[1]quests!$1:$1,0)+1),MATCH(D$1,[1]quests!$1:$1,0)-MATCH($B$1,[1]quests!$1:$1,0)+1,FALSE)</f>
        <v>ドロップイベント2-4（マルチ専用）</v>
      </c>
      <c r="E982" s="5">
        <v>1</v>
      </c>
      <c r="F982" s="3" t="str">
        <f ca="1">VLOOKUP($B982&amp;"_"&amp;$E982,OFFSET([1]stages!$A$1,0,0,COUNTA([1]stages!$A:$A),MATCH(F$1,[1]stages!$2:$2,0)-MATCH("temp_stage",[1]stages!$2:$2,0)+1),MATCH(F$1,[1]stages!$2:$2,0)-MATCH("temp_stage",[1]stages!$2:$2,0)+1,FALSE)</f>
        <v>【中級】わたしの嫁を返してもらおう</v>
      </c>
      <c r="G982" s="3" t="str">
        <f ca="1">VLOOKUP($B982&amp;"_"&amp;$E982,OFFSET([1]stages!$A$1,0,0,COUNTA([1]stages!$A:$A),MATCH(G$1,[1]stages!$2:$2,0)-MATCH("temp_stage",[1]stages!$2:$2,0)+1),MATCH(G$1,[1]stages!$2:$2,0)-MATCH("temp_stage",[1]stages!$2:$2,0)+1,FALSE)</f>
        <v>ドロップイベント2-4（マルチ専用）</v>
      </c>
      <c r="H982" s="18">
        <v>0</v>
      </c>
      <c r="I982">
        <v>24</v>
      </c>
      <c r="J982" s="5" t="s">
        <v>16</v>
      </c>
      <c r="K982" s="35" t="str">
        <f>VLOOKUP(I982,[2]stage_hints!$A:$C,3,FALSE)</f>
        <v>りんごを使って限界突破</v>
      </c>
      <c r="L982" s="36" t="str">
        <f>VLOOKUP(I982,[2]stage_hints!$A:$D,4,FALSE)</f>
        <v>赤りんご(攻撃力) 青りんご(回復力)_x000D_緑りんご(体力)をユニット強化に使うと_x000D_ステータスが限界突破します（計99個迄）</v>
      </c>
      <c r="M982" s="21" t="s">
        <v>23</v>
      </c>
      <c r="N982">
        <v>24</v>
      </c>
    </row>
    <row r="983" spans="1:14" x14ac:dyDescent="0.15">
      <c r="A983" s="26" t="s">
        <v>32</v>
      </c>
      <c r="B983" s="4">
        <v>30008</v>
      </c>
      <c r="C983" s="3" t="str">
        <f ca="1">VLOOKUP($B983,OFFSET([1]quests!$A$1,0,0,COUNTA([1]quests!$A:$A),MATCH(C$1,[1]quests!$1:$1,0)-MATCH($B$1,[1]quests!$1:$1,0)+1),MATCH(C$1,[1]quests!$1:$1,0)-MATCH($B$1,[1]quests!$1:$1,0)+1,FALSE)</f>
        <v>わたしの嫁を返してもらおう</v>
      </c>
      <c r="D983" s="3" t="str">
        <f ca="1">VLOOKUP($B983,OFFSET([1]quests!$A$1,0,0,COUNTA([1]quests!$A:$A),MATCH(D$1,[1]quests!$1:$1,0)-MATCH($B$1,[1]quests!$1:$1,0)+1),MATCH(D$1,[1]quests!$1:$1,0)-MATCH($B$1,[1]quests!$1:$1,0)+1,FALSE)</f>
        <v>ドロップイベント2-4（マルチ専用）</v>
      </c>
      <c r="E983" s="5">
        <v>1</v>
      </c>
      <c r="F983" s="3" t="str">
        <f ca="1">VLOOKUP($B983&amp;"_"&amp;$E983,OFFSET([1]stages!$A$1,0,0,COUNTA([1]stages!$A:$A),MATCH(F$1,[1]stages!$2:$2,0)-MATCH("temp_stage",[1]stages!$2:$2,0)+1),MATCH(F$1,[1]stages!$2:$2,0)-MATCH("temp_stage",[1]stages!$2:$2,0)+1,FALSE)</f>
        <v>【中級】わたしの嫁を返してもらおう</v>
      </c>
      <c r="G983" s="3" t="str">
        <f ca="1">VLOOKUP($B983&amp;"_"&amp;$E983,OFFSET([1]stages!$A$1,0,0,COUNTA([1]stages!$A:$A),MATCH(G$1,[1]stages!$2:$2,0)-MATCH("temp_stage",[1]stages!$2:$2,0)+1),MATCH(G$1,[1]stages!$2:$2,0)-MATCH("temp_stage",[1]stages!$2:$2,0)+1,FALSE)</f>
        <v>ドロップイベント2-4（マルチ専用）</v>
      </c>
      <c r="H983" s="18">
        <v>0</v>
      </c>
      <c r="I983">
        <v>25</v>
      </c>
      <c r="J983" s="5" t="s">
        <v>16</v>
      </c>
      <c r="K983" s="35" t="str">
        <f>VLOOKUP(I983,[2]stage_hints!$A:$C,3,FALSE)</f>
        <v>スキルレベルアップ</v>
      </c>
      <c r="L983" s="36" t="str">
        <f>VLOOKUP(I983,[2]stage_hints!$A:$D,4,FALSE)</f>
        <v>「クリスタルのりんご」を強化に使うと_x000D_スキルレベルを上げることができます</v>
      </c>
      <c r="M983" s="21" t="s">
        <v>23</v>
      </c>
      <c r="N983">
        <v>25</v>
      </c>
    </row>
    <row r="984" spans="1:14" x14ac:dyDescent="0.15">
      <c r="A984" s="26" t="s">
        <v>32</v>
      </c>
      <c r="B984" s="4">
        <v>30008</v>
      </c>
      <c r="C984" s="3" t="str">
        <f ca="1">VLOOKUP($B984,OFFSET([1]quests!$A$1,0,0,COUNTA([1]quests!$A:$A),MATCH(C$1,[1]quests!$1:$1,0)-MATCH($B$1,[1]quests!$1:$1,0)+1),MATCH(C$1,[1]quests!$1:$1,0)-MATCH($B$1,[1]quests!$1:$1,0)+1,FALSE)</f>
        <v>わたしの嫁を返してもらおう</v>
      </c>
      <c r="D984" s="3" t="str">
        <f ca="1">VLOOKUP($B984,OFFSET([1]quests!$A$1,0,0,COUNTA([1]quests!$A:$A),MATCH(D$1,[1]quests!$1:$1,0)-MATCH($B$1,[1]quests!$1:$1,0)+1),MATCH(D$1,[1]quests!$1:$1,0)-MATCH($B$1,[1]quests!$1:$1,0)+1,FALSE)</f>
        <v>ドロップイベント2-4（マルチ専用）</v>
      </c>
      <c r="E984" s="5">
        <v>1</v>
      </c>
      <c r="F984" s="3" t="str">
        <f ca="1">VLOOKUP($B984&amp;"_"&amp;$E984,OFFSET([1]stages!$A$1,0,0,COUNTA([1]stages!$A:$A),MATCH(F$1,[1]stages!$2:$2,0)-MATCH("temp_stage",[1]stages!$2:$2,0)+1),MATCH(F$1,[1]stages!$2:$2,0)-MATCH("temp_stage",[1]stages!$2:$2,0)+1,FALSE)</f>
        <v>【中級】わたしの嫁を返してもらおう</v>
      </c>
      <c r="G984" s="3" t="str">
        <f ca="1">VLOOKUP($B984&amp;"_"&amp;$E984,OFFSET([1]stages!$A$1,0,0,COUNTA([1]stages!$A:$A),MATCH(G$1,[1]stages!$2:$2,0)-MATCH("temp_stage",[1]stages!$2:$2,0)+1),MATCH(G$1,[1]stages!$2:$2,0)-MATCH("temp_stage",[1]stages!$2:$2,0)+1,FALSE)</f>
        <v>ドロップイベント2-4（マルチ専用）</v>
      </c>
      <c r="H984" s="18">
        <v>0</v>
      </c>
      <c r="I984">
        <v>26</v>
      </c>
      <c r="J984" s="5" t="s">
        <v>16</v>
      </c>
      <c r="K984" s="35" t="str">
        <f>VLOOKUP(I984,[2]stage_hints!$A:$C,3,FALSE)</f>
        <v>スキルレベルの効果</v>
      </c>
      <c r="L984" s="36" t="str">
        <f>VLOOKUP(I984,[2]stage_hints!$A:$D,4,FALSE)</f>
        <v>スキルレベルが上がると_x000D_短いターンでスキルを使うことができます</v>
      </c>
      <c r="M984" s="21" t="s">
        <v>23</v>
      </c>
      <c r="N984">
        <v>26</v>
      </c>
    </row>
    <row r="985" spans="1:14" x14ac:dyDescent="0.15">
      <c r="A985" s="26" t="s">
        <v>32</v>
      </c>
      <c r="B985" s="4">
        <v>30008</v>
      </c>
      <c r="C985" s="3" t="str">
        <f ca="1">VLOOKUP($B985,OFFSET([1]quests!$A$1,0,0,COUNTA([1]quests!$A:$A),MATCH(C$1,[1]quests!$1:$1,0)-MATCH($B$1,[1]quests!$1:$1,0)+1),MATCH(C$1,[1]quests!$1:$1,0)-MATCH($B$1,[1]quests!$1:$1,0)+1,FALSE)</f>
        <v>わたしの嫁を返してもらおう</v>
      </c>
      <c r="D985" s="3" t="str">
        <f ca="1">VLOOKUP($B985,OFFSET([1]quests!$A$1,0,0,COUNTA([1]quests!$A:$A),MATCH(D$1,[1]quests!$1:$1,0)-MATCH($B$1,[1]quests!$1:$1,0)+1),MATCH(D$1,[1]quests!$1:$1,0)-MATCH($B$1,[1]quests!$1:$1,0)+1,FALSE)</f>
        <v>ドロップイベント2-4（マルチ専用）</v>
      </c>
      <c r="E985" s="5">
        <v>1</v>
      </c>
      <c r="F985" s="3" t="str">
        <f ca="1">VLOOKUP($B985&amp;"_"&amp;$E985,OFFSET([1]stages!$A$1,0,0,COUNTA([1]stages!$A:$A),MATCH(F$1,[1]stages!$2:$2,0)-MATCH("temp_stage",[1]stages!$2:$2,0)+1),MATCH(F$1,[1]stages!$2:$2,0)-MATCH("temp_stage",[1]stages!$2:$2,0)+1,FALSE)</f>
        <v>【中級】わたしの嫁を返してもらおう</v>
      </c>
      <c r="G985" s="3" t="str">
        <f ca="1">VLOOKUP($B985&amp;"_"&amp;$E985,OFFSET([1]stages!$A$1,0,0,COUNTA([1]stages!$A:$A),MATCH(G$1,[1]stages!$2:$2,0)-MATCH("temp_stage",[1]stages!$2:$2,0)+1),MATCH(G$1,[1]stages!$2:$2,0)-MATCH("temp_stage",[1]stages!$2:$2,0)+1,FALSE)</f>
        <v>ドロップイベント2-4（マルチ専用）</v>
      </c>
      <c r="H985" s="18">
        <v>0</v>
      </c>
      <c r="I985">
        <v>27</v>
      </c>
      <c r="J985" s="5" t="s">
        <v>16</v>
      </c>
      <c r="K985" s="35" t="str">
        <f>VLOOKUP(I985,[2]stage_hints!$A:$C,3,FALSE)</f>
        <v>ホーム画面からデッキを編成</v>
      </c>
      <c r="L985" s="36" t="str">
        <f>VLOOKUP(I985,[2]stage_hints!$A:$D,4,FALSE)</f>
        <v>ホーム画面でユニットを長押しすると_x000D_すぐにパーティ編成に移動できます</v>
      </c>
      <c r="M985" s="21" t="s">
        <v>23</v>
      </c>
      <c r="N985">
        <v>27</v>
      </c>
    </row>
    <row r="986" spans="1:14" x14ac:dyDescent="0.15">
      <c r="A986" s="26" t="s">
        <v>32</v>
      </c>
      <c r="B986" s="4">
        <v>30008</v>
      </c>
      <c r="C986" s="3" t="str">
        <f ca="1">VLOOKUP($B986,OFFSET([1]quests!$A$1,0,0,COUNTA([1]quests!$A:$A),MATCH(C$1,[1]quests!$1:$1,0)-MATCH($B$1,[1]quests!$1:$1,0)+1),MATCH(C$1,[1]quests!$1:$1,0)-MATCH($B$1,[1]quests!$1:$1,0)+1,FALSE)</f>
        <v>わたしの嫁を返してもらおう</v>
      </c>
      <c r="D986" s="3" t="str">
        <f ca="1">VLOOKUP($B986,OFFSET([1]quests!$A$1,0,0,COUNTA([1]quests!$A:$A),MATCH(D$1,[1]quests!$1:$1,0)-MATCH($B$1,[1]quests!$1:$1,0)+1),MATCH(D$1,[1]quests!$1:$1,0)-MATCH($B$1,[1]quests!$1:$1,0)+1,FALSE)</f>
        <v>ドロップイベント2-4（マルチ専用）</v>
      </c>
      <c r="E986" s="5">
        <v>1</v>
      </c>
      <c r="F986" s="3" t="str">
        <f ca="1">VLOOKUP($B986&amp;"_"&amp;$E986,OFFSET([1]stages!$A$1,0,0,COUNTA([1]stages!$A:$A),MATCH(F$1,[1]stages!$2:$2,0)-MATCH("temp_stage",[1]stages!$2:$2,0)+1),MATCH(F$1,[1]stages!$2:$2,0)-MATCH("temp_stage",[1]stages!$2:$2,0)+1,FALSE)</f>
        <v>【中級】わたしの嫁を返してもらおう</v>
      </c>
      <c r="G986" s="3" t="str">
        <f ca="1">VLOOKUP($B986&amp;"_"&amp;$E986,OFFSET([1]stages!$A$1,0,0,COUNTA([1]stages!$A:$A),MATCH(G$1,[1]stages!$2:$2,0)-MATCH("temp_stage",[1]stages!$2:$2,0)+1),MATCH(G$1,[1]stages!$2:$2,0)-MATCH("temp_stage",[1]stages!$2:$2,0)+1,FALSE)</f>
        <v>ドロップイベント2-4（マルチ専用）</v>
      </c>
      <c r="H986" s="18">
        <v>0</v>
      </c>
      <c r="I986">
        <v>28</v>
      </c>
      <c r="J986" s="5" t="s">
        <v>16</v>
      </c>
      <c r="K986" s="35" t="str">
        <f>VLOOKUP(I986,[2]stage_hints!$A:$C,3,FALSE)</f>
        <v>ステータス情報は長押しで</v>
      </c>
      <c r="L986" s="36" t="str">
        <f>VLOOKUP(I986,[2]stage_hints!$A:$D,4,FALSE)</f>
        <v>ユニットのアイコンを長押しすると_x000D_ステータス情報を確認することができます</v>
      </c>
      <c r="M986" s="21" t="s">
        <v>23</v>
      </c>
      <c r="N986">
        <v>28</v>
      </c>
    </row>
    <row r="987" spans="1:14" x14ac:dyDescent="0.15">
      <c r="A987" s="26" t="s">
        <v>32</v>
      </c>
      <c r="B987" s="4">
        <v>30008</v>
      </c>
      <c r="C987" s="3" t="str">
        <f ca="1">VLOOKUP($B987,OFFSET([1]quests!$A$1,0,0,COUNTA([1]quests!$A:$A),MATCH(C$1,[1]quests!$1:$1,0)-MATCH($B$1,[1]quests!$1:$1,0)+1),MATCH(C$1,[1]quests!$1:$1,0)-MATCH($B$1,[1]quests!$1:$1,0)+1,FALSE)</f>
        <v>わたしの嫁を返してもらおう</v>
      </c>
      <c r="D987" s="3" t="str">
        <f ca="1">VLOOKUP($B987,OFFSET([1]quests!$A$1,0,0,COUNTA([1]quests!$A:$A),MATCH(D$1,[1]quests!$1:$1,0)-MATCH($B$1,[1]quests!$1:$1,0)+1),MATCH(D$1,[1]quests!$1:$1,0)-MATCH($B$1,[1]quests!$1:$1,0)+1,FALSE)</f>
        <v>ドロップイベント2-4（マルチ専用）</v>
      </c>
      <c r="E987" s="5">
        <v>1</v>
      </c>
      <c r="F987" s="3" t="str">
        <f ca="1">VLOOKUP($B987&amp;"_"&amp;$E987,OFFSET([1]stages!$A$1,0,0,COUNTA([1]stages!$A:$A),MATCH(F$1,[1]stages!$2:$2,0)-MATCH("temp_stage",[1]stages!$2:$2,0)+1),MATCH(F$1,[1]stages!$2:$2,0)-MATCH("temp_stage",[1]stages!$2:$2,0)+1,FALSE)</f>
        <v>【中級】わたしの嫁を返してもらおう</v>
      </c>
      <c r="G987" s="3" t="str">
        <f ca="1">VLOOKUP($B987&amp;"_"&amp;$E987,OFFSET([1]stages!$A$1,0,0,COUNTA([1]stages!$A:$A),MATCH(G$1,[1]stages!$2:$2,0)-MATCH("temp_stage",[1]stages!$2:$2,0)+1),MATCH(G$1,[1]stages!$2:$2,0)-MATCH("temp_stage",[1]stages!$2:$2,0)+1,FALSE)</f>
        <v>ドロップイベント2-4（マルチ専用）</v>
      </c>
      <c r="H987" s="18">
        <v>0</v>
      </c>
      <c r="I987">
        <v>29</v>
      </c>
      <c r="J987" s="5" t="s">
        <v>16</v>
      </c>
      <c r="K987" s="35" t="str">
        <f>VLOOKUP(I987,[2]stage_hints!$A:$C,3,FALSE)</f>
        <v>「バグ」のメリット</v>
      </c>
      <c r="L987" s="36" t="str">
        <f>VLOOKUP(I987,[2]stage_hints!$A:$D,4,FALSE)</f>
        <v>ユニットの「バグ」を増やすと_x000D_報酬をもらえる確率がアップします</v>
      </c>
      <c r="M987" s="21" t="s">
        <v>23</v>
      </c>
      <c r="N987">
        <v>29</v>
      </c>
    </row>
    <row r="988" spans="1:14" x14ac:dyDescent="0.15">
      <c r="A988" s="26" t="s">
        <v>32</v>
      </c>
      <c r="B988" s="4">
        <v>30008</v>
      </c>
      <c r="C988" s="3" t="str">
        <f ca="1">VLOOKUP($B988,OFFSET([1]quests!$A$1,0,0,COUNTA([1]quests!$A:$A),MATCH(C$1,[1]quests!$1:$1,0)-MATCH($B$1,[1]quests!$1:$1,0)+1),MATCH(C$1,[1]quests!$1:$1,0)-MATCH($B$1,[1]quests!$1:$1,0)+1,FALSE)</f>
        <v>わたしの嫁を返してもらおう</v>
      </c>
      <c r="D988" s="3" t="str">
        <f ca="1">VLOOKUP($B988,OFFSET([1]quests!$A$1,0,0,COUNTA([1]quests!$A:$A),MATCH(D$1,[1]quests!$1:$1,0)-MATCH($B$1,[1]quests!$1:$1,0)+1),MATCH(D$1,[1]quests!$1:$1,0)-MATCH($B$1,[1]quests!$1:$1,0)+1,FALSE)</f>
        <v>ドロップイベント2-4（マルチ専用）</v>
      </c>
      <c r="E988" s="5">
        <v>1</v>
      </c>
      <c r="F988" s="3" t="str">
        <f ca="1">VLOOKUP($B988&amp;"_"&amp;$E988,OFFSET([1]stages!$A$1,0,0,COUNTA([1]stages!$A:$A),MATCH(F$1,[1]stages!$2:$2,0)-MATCH("temp_stage",[1]stages!$2:$2,0)+1),MATCH(F$1,[1]stages!$2:$2,0)-MATCH("temp_stage",[1]stages!$2:$2,0)+1,FALSE)</f>
        <v>【中級】わたしの嫁を返してもらおう</v>
      </c>
      <c r="G988" s="3" t="str">
        <f ca="1">VLOOKUP($B988&amp;"_"&amp;$E988,OFFSET([1]stages!$A$1,0,0,COUNTA([1]stages!$A:$A),MATCH(G$1,[1]stages!$2:$2,0)-MATCH("temp_stage",[1]stages!$2:$2,0)+1),MATCH(G$1,[1]stages!$2:$2,0)-MATCH("temp_stage",[1]stages!$2:$2,0)+1,FALSE)</f>
        <v>ドロップイベント2-4（マルチ専用）</v>
      </c>
      <c r="H988" s="18">
        <v>0</v>
      </c>
      <c r="I988">
        <v>30</v>
      </c>
      <c r="J988" s="5" t="s">
        <v>16</v>
      </c>
      <c r="K988" s="35" t="str">
        <f>VLOOKUP(I988,[2]stage_hints!$A:$C,3,FALSE)</f>
        <v>「バグ」の増やし方</v>
      </c>
      <c r="L988" s="36" t="str">
        <f>VLOOKUP(I988,[2]stage_hints!$A:$D,4,FALSE)</f>
        <v>同じユニット同士を強化で合成すると_x000D_「バグ」を増やすことができます</v>
      </c>
      <c r="M988" s="21" t="s">
        <v>23</v>
      </c>
      <c r="N988">
        <v>30</v>
      </c>
    </row>
    <row r="989" spans="1:14" x14ac:dyDescent="0.15">
      <c r="A989" s="26" t="s">
        <v>32</v>
      </c>
      <c r="B989" s="4">
        <v>30008</v>
      </c>
      <c r="C989" s="3" t="str">
        <f ca="1">VLOOKUP($B989,OFFSET([1]quests!$A$1,0,0,COUNTA([1]quests!$A:$A),MATCH(C$1,[1]quests!$1:$1,0)-MATCH($B$1,[1]quests!$1:$1,0)+1),MATCH(C$1,[1]quests!$1:$1,0)-MATCH($B$1,[1]quests!$1:$1,0)+1,FALSE)</f>
        <v>わたしの嫁を返してもらおう</v>
      </c>
      <c r="D989" s="3" t="str">
        <f ca="1">VLOOKUP($B989,OFFSET([1]quests!$A$1,0,0,COUNTA([1]quests!$A:$A),MATCH(D$1,[1]quests!$1:$1,0)-MATCH($B$1,[1]quests!$1:$1,0)+1),MATCH(D$1,[1]quests!$1:$1,0)-MATCH($B$1,[1]quests!$1:$1,0)+1,FALSE)</f>
        <v>ドロップイベント2-4（マルチ専用）</v>
      </c>
      <c r="E989" s="5">
        <v>1</v>
      </c>
      <c r="F989" s="3" t="str">
        <f ca="1">VLOOKUP($B989&amp;"_"&amp;$E989,OFFSET([1]stages!$A$1,0,0,COUNTA([1]stages!$A:$A),MATCH(F$1,[1]stages!$2:$2,0)-MATCH("temp_stage",[1]stages!$2:$2,0)+1),MATCH(F$1,[1]stages!$2:$2,0)-MATCH("temp_stage",[1]stages!$2:$2,0)+1,FALSE)</f>
        <v>【中級】わたしの嫁を返してもらおう</v>
      </c>
      <c r="G989" s="3" t="str">
        <f ca="1">VLOOKUP($B989&amp;"_"&amp;$E989,OFFSET([1]stages!$A$1,0,0,COUNTA([1]stages!$A:$A),MATCH(G$1,[1]stages!$2:$2,0)-MATCH("temp_stage",[1]stages!$2:$2,0)+1),MATCH(G$1,[1]stages!$2:$2,0)-MATCH("temp_stage",[1]stages!$2:$2,0)+1,FALSE)</f>
        <v>ドロップイベント2-4（マルチ専用）</v>
      </c>
      <c r="H989" s="18">
        <v>0</v>
      </c>
      <c r="I989">
        <v>31</v>
      </c>
      <c r="J989" s="5" t="s">
        <v>16</v>
      </c>
      <c r="K989" s="35" t="str">
        <f>VLOOKUP(I989,[2]stage_hints!$A:$C,3,FALSE)</f>
        <v>イベントはお知らせでチェック</v>
      </c>
      <c r="L989" s="36" t="str">
        <f>VLOOKUP(I989,[2]stage_hints!$A:$D,4,FALSE)</f>
        <v>イベント限定ユニットを取り忘れないように_x000D_お知らせをこまめにチェックしましょう</v>
      </c>
      <c r="M989" s="21" t="s">
        <v>23</v>
      </c>
      <c r="N989">
        <v>31</v>
      </c>
    </row>
    <row r="990" spans="1:14" x14ac:dyDescent="0.15">
      <c r="A990" s="26" t="s">
        <v>32</v>
      </c>
      <c r="B990" s="4">
        <v>30008</v>
      </c>
      <c r="C990" s="3" t="str">
        <f ca="1">VLOOKUP($B990,OFFSET([1]quests!$A$1,0,0,COUNTA([1]quests!$A:$A),MATCH(C$1,[1]quests!$1:$1,0)-MATCH($B$1,[1]quests!$1:$1,0)+1),MATCH(C$1,[1]quests!$1:$1,0)-MATCH($B$1,[1]quests!$1:$1,0)+1,FALSE)</f>
        <v>わたしの嫁を返してもらおう</v>
      </c>
      <c r="D990" s="3" t="str">
        <f ca="1">VLOOKUP($B990,OFFSET([1]quests!$A$1,0,0,COUNTA([1]quests!$A:$A),MATCH(D$1,[1]quests!$1:$1,0)-MATCH($B$1,[1]quests!$1:$1,0)+1),MATCH(D$1,[1]quests!$1:$1,0)-MATCH($B$1,[1]quests!$1:$1,0)+1,FALSE)</f>
        <v>ドロップイベント2-4（マルチ専用）</v>
      </c>
      <c r="E990" s="5">
        <v>1</v>
      </c>
      <c r="F990" s="3" t="str">
        <f ca="1">VLOOKUP($B990&amp;"_"&amp;$E990,OFFSET([1]stages!$A$1,0,0,COUNTA([1]stages!$A:$A),MATCH(F$1,[1]stages!$2:$2,0)-MATCH("temp_stage",[1]stages!$2:$2,0)+1),MATCH(F$1,[1]stages!$2:$2,0)-MATCH("temp_stage",[1]stages!$2:$2,0)+1,FALSE)</f>
        <v>【中級】わたしの嫁を返してもらおう</v>
      </c>
      <c r="G990" s="3" t="str">
        <f ca="1">VLOOKUP($B990&amp;"_"&amp;$E990,OFFSET([1]stages!$A$1,0,0,COUNTA([1]stages!$A:$A),MATCH(G$1,[1]stages!$2:$2,0)-MATCH("temp_stage",[1]stages!$2:$2,0)+1),MATCH(G$1,[1]stages!$2:$2,0)-MATCH("temp_stage",[1]stages!$2:$2,0)+1,FALSE)</f>
        <v>ドロップイベント2-4（マルチ専用）</v>
      </c>
      <c r="H990" s="18">
        <v>0</v>
      </c>
      <c r="I990">
        <v>32</v>
      </c>
      <c r="J990" s="5" t="s">
        <v>16</v>
      </c>
      <c r="K990" s="35" t="str">
        <f>VLOOKUP(I990,[2]stage_hints!$A:$C,3,FALSE)</f>
        <v>敵の連続攻撃には</v>
      </c>
      <c r="L990" s="36" t="str">
        <f>VLOOKUP(I990,[2]stage_hints!$A:$D,4,FALSE)</f>
        <v>カウンタースキルを持つユニットがいれば_x000D_ダメージ回数分の反撃ができます</v>
      </c>
      <c r="M990" s="21" t="s">
        <v>23</v>
      </c>
      <c r="N990">
        <v>32</v>
      </c>
    </row>
    <row r="991" spans="1:14" x14ac:dyDescent="0.15">
      <c r="A991" s="26" t="s">
        <v>32</v>
      </c>
      <c r="B991" s="4">
        <v>30008</v>
      </c>
      <c r="C991" s="3" t="str">
        <f ca="1">VLOOKUP($B991,OFFSET([1]quests!$A$1,0,0,COUNTA([1]quests!$A:$A),MATCH(C$1,[1]quests!$1:$1,0)-MATCH($B$1,[1]quests!$1:$1,0)+1),MATCH(C$1,[1]quests!$1:$1,0)-MATCH($B$1,[1]quests!$1:$1,0)+1,FALSE)</f>
        <v>わたしの嫁を返してもらおう</v>
      </c>
      <c r="D991" s="3" t="str">
        <f ca="1">VLOOKUP($B991,OFFSET([1]quests!$A$1,0,0,COUNTA([1]quests!$A:$A),MATCH(D$1,[1]quests!$1:$1,0)-MATCH($B$1,[1]quests!$1:$1,0)+1),MATCH(D$1,[1]quests!$1:$1,0)-MATCH($B$1,[1]quests!$1:$1,0)+1,FALSE)</f>
        <v>ドロップイベント2-4（マルチ専用）</v>
      </c>
      <c r="E991" s="5">
        <v>1</v>
      </c>
      <c r="F991" s="3" t="str">
        <f ca="1">VLOOKUP($B991&amp;"_"&amp;$E991,OFFSET([1]stages!$A$1,0,0,COUNTA([1]stages!$A:$A),MATCH(F$1,[1]stages!$2:$2,0)-MATCH("temp_stage",[1]stages!$2:$2,0)+1),MATCH(F$1,[1]stages!$2:$2,0)-MATCH("temp_stage",[1]stages!$2:$2,0)+1,FALSE)</f>
        <v>【中級】わたしの嫁を返してもらおう</v>
      </c>
      <c r="G991" s="3" t="str">
        <f ca="1">VLOOKUP($B991&amp;"_"&amp;$E991,OFFSET([1]stages!$A$1,0,0,COUNTA([1]stages!$A:$A),MATCH(G$1,[1]stages!$2:$2,0)-MATCH("temp_stage",[1]stages!$2:$2,0)+1),MATCH(G$1,[1]stages!$2:$2,0)-MATCH("temp_stage",[1]stages!$2:$2,0)+1,FALSE)</f>
        <v>ドロップイベント2-4（マルチ専用）</v>
      </c>
      <c r="H991" s="18">
        <v>0</v>
      </c>
      <c r="I991">
        <v>33</v>
      </c>
      <c r="J991" s="5" t="s">
        <v>16</v>
      </c>
      <c r="K991" s="35" t="str">
        <f>VLOOKUP(I991,[2]stage_hints!$A:$C,3,FALSE)</f>
        <v>敵のカウンター攻撃には</v>
      </c>
      <c r="L991" s="36" t="str">
        <f>VLOOKUP(I991,[2]stage_hints!$A:$D,4,FALSE)</f>
        <v>カウンターブレイクスキルを持っていれば_x000D_敵のカウンターを解除して攻撃ができます</v>
      </c>
      <c r="M991" s="21" t="s">
        <v>23</v>
      </c>
      <c r="N991">
        <v>33</v>
      </c>
    </row>
    <row r="992" spans="1:14" x14ac:dyDescent="0.15">
      <c r="A992" s="26" t="s">
        <v>32</v>
      </c>
      <c r="B992" s="4">
        <v>30008</v>
      </c>
      <c r="C992" s="3" t="str">
        <f ca="1">VLOOKUP($B992,OFFSET([1]quests!$A$1,0,0,COUNTA([1]quests!$A:$A),MATCH(C$1,[1]quests!$1:$1,0)-MATCH($B$1,[1]quests!$1:$1,0)+1),MATCH(C$1,[1]quests!$1:$1,0)-MATCH($B$1,[1]quests!$1:$1,0)+1,FALSE)</f>
        <v>わたしの嫁を返してもらおう</v>
      </c>
      <c r="D992" s="3" t="str">
        <f ca="1">VLOOKUP($B992,OFFSET([1]quests!$A$1,0,0,COUNTA([1]quests!$A:$A),MATCH(D$1,[1]quests!$1:$1,0)-MATCH($B$1,[1]quests!$1:$1,0)+1),MATCH(D$1,[1]quests!$1:$1,0)-MATCH($B$1,[1]quests!$1:$1,0)+1,FALSE)</f>
        <v>ドロップイベント2-4（マルチ専用）</v>
      </c>
      <c r="E992" s="5">
        <v>1</v>
      </c>
      <c r="F992" s="3" t="str">
        <f ca="1">VLOOKUP($B992&amp;"_"&amp;$E992,OFFSET([1]stages!$A$1,0,0,COUNTA([1]stages!$A:$A),MATCH(F$1,[1]stages!$2:$2,0)-MATCH("temp_stage",[1]stages!$2:$2,0)+1),MATCH(F$1,[1]stages!$2:$2,0)-MATCH("temp_stage",[1]stages!$2:$2,0)+1,FALSE)</f>
        <v>【中級】わたしの嫁を返してもらおう</v>
      </c>
      <c r="G992" s="3" t="str">
        <f ca="1">VLOOKUP($B992&amp;"_"&amp;$E992,OFFSET([1]stages!$A$1,0,0,COUNTA([1]stages!$A:$A),MATCH(G$1,[1]stages!$2:$2,0)-MATCH("temp_stage",[1]stages!$2:$2,0)+1),MATCH(G$1,[1]stages!$2:$2,0)-MATCH("temp_stage",[1]stages!$2:$2,0)+1,FALSE)</f>
        <v>ドロップイベント2-4（マルチ専用）</v>
      </c>
      <c r="H992" s="18">
        <v>0</v>
      </c>
      <c r="I992">
        <v>34</v>
      </c>
      <c r="J992" s="5" t="s">
        <v>16</v>
      </c>
      <c r="K992" s="35" t="str">
        <f>VLOOKUP(I992,[2]stage_hints!$A:$C,3,FALSE)</f>
        <v>ステータスをスキルで下げられたら</v>
      </c>
      <c r="L992" s="36" t="str">
        <f>VLOOKUP(I992,[2]stage_hints!$A:$D,4,FALSE)</f>
        <v>ステータスダウンのスキルを受けたら_x000D_ステータスアップスキルで上書きしましょう</v>
      </c>
      <c r="M992" s="21" t="s">
        <v>23</v>
      </c>
      <c r="N992">
        <v>34</v>
      </c>
    </row>
    <row r="993" spans="1:14" x14ac:dyDescent="0.15">
      <c r="A993" s="26" t="s">
        <v>32</v>
      </c>
      <c r="B993" s="4">
        <v>30008</v>
      </c>
      <c r="C993" s="3" t="str">
        <f ca="1">VLOOKUP($B993,OFFSET([1]quests!$A$1,0,0,COUNTA([1]quests!$A:$A),MATCH(C$1,[1]quests!$1:$1,0)-MATCH($B$1,[1]quests!$1:$1,0)+1),MATCH(C$1,[1]quests!$1:$1,0)-MATCH($B$1,[1]quests!$1:$1,0)+1,FALSE)</f>
        <v>わたしの嫁を返してもらおう</v>
      </c>
      <c r="D993" s="3" t="str">
        <f ca="1">VLOOKUP($B993,OFFSET([1]quests!$A$1,0,0,COUNTA([1]quests!$A:$A),MATCH(D$1,[1]quests!$1:$1,0)-MATCH($B$1,[1]quests!$1:$1,0)+1),MATCH(D$1,[1]quests!$1:$1,0)-MATCH($B$1,[1]quests!$1:$1,0)+1,FALSE)</f>
        <v>ドロップイベント2-4（マルチ専用）</v>
      </c>
      <c r="E993" s="5">
        <v>1</v>
      </c>
      <c r="F993" s="3" t="str">
        <f ca="1">VLOOKUP($B993&amp;"_"&amp;$E993,OFFSET([1]stages!$A$1,0,0,COUNTA([1]stages!$A:$A),MATCH(F$1,[1]stages!$2:$2,0)-MATCH("temp_stage",[1]stages!$2:$2,0)+1),MATCH(F$1,[1]stages!$2:$2,0)-MATCH("temp_stage",[1]stages!$2:$2,0)+1,FALSE)</f>
        <v>【中級】わたしの嫁を返してもらおう</v>
      </c>
      <c r="G993" s="3" t="str">
        <f ca="1">VLOOKUP($B993&amp;"_"&amp;$E993,OFFSET([1]stages!$A$1,0,0,COUNTA([1]stages!$A:$A),MATCH(G$1,[1]stages!$2:$2,0)-MATCH("temp_stage",[1]stages!$2:$2,0)+1),MATCH(G$1,[1]stages!$2:$2,0)-MATCH("temp_stage",[1]stages!$2:$2,0)+1,FALSE)</f>
        <v>ドロップイベント2-4（マルチ専用）</v>
      </c>
      <c r="H993" s="18">
        <v>0</v>
      </c>
      <c r="I993">
        <v>35</v>
      </c>
      <c r="J993" s="5" t="s">
        <v>16</v>
      </c>
      <c r="K993" s="35" t="str">
        <f>VLOOKUP(I993,[2]stage_hints!$A:$C,3,FALSE)</f>
        <v>敵のステータスがスキルで上がったら</v>
      </c>
      <c r="L993" s="36" t="str">
        <f>VLOOKUP(I993,[2]stage_hints!$A:$D,4,FALSE)</f>
        <v>敵のステータスがスキルでアップしたときは_x000D_ステータスダウンスキルで上書きしましょう</v>
      </c>
      <c r="M993" s="21" t="s">
        <v>23</v>
      </c>
      <c r="N993">
        <v>35</v>
      </c>
    </row>
  </sheetData>
  <phoneticPr fontId="5"/>
  <dataValidations count="1">
    <dataValidation type="list" allowBlank="1" showInputMessage="1" showErrorMessage="1" sqref="A2:A993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D39"/>
  <sheetViews>
    <sheetView workbookViewId="0">
      <selection activeCell="C12" sqref="C12"/>
    </sheetView>
  </sheetViews>
  <sheetFormatPr baseColWidth="12" defaultRowHeight="15" x14ac:dyDescent="0.15"/>
  <cols>
    <col min="3" max="3" width="75.33203125" customWidth="1"/>
    <col min="4" max="4" width="54.6640625" customWidth="1"/>
  </cols>
  <sheetData>
    <row r="1" spans="1:4" x14ac:dyDescent="0.15">
      <c r="A1" t="s">
        <v>108</v>
      </c>
      <c r="B1" t="s">
        <v>35</v>
      </c>
      <c r="C1" t="s">
        <v>36</v>
      </c>
    </row>
    <row r="2" spans="1:4" ht="30" x14ac:dyDescent="0.15">
      <c r="A2">
        <v>1</v>
      </c>
      <c r="B2" t="s">
        <v>37</v>
      </c>
      <c r="C2" s="28" t="s">
        <v>114</v>
      </c>
      <c r="D2" s="29" t="s">
        <v>38</v>
      </c>
    </row>
    <row r="3" spans="1:4" ht="30" x14ac:dyDescent="0.15">
      <c r="A3">
        <v>2</v>
      </c>
      <c r="B3" t="s">
        <v>39</v>
      </c>
      <c r="C3" s="28" t="s">
        <v>115</v>
      </c>
      <c r="D3" s="29" t="s">
        <v>40</v>
      </c>
    </row>
    <row r="4" spans="1:4" ht="30" x14ac:dyDescent="0.15">
      <c r="A4">
        <v>3</v>
      </c>
      <c r="B4" t="s">
        <v>41</v>
      </c>
      <c r="C4" s="28" t="s">
        <v>116</v>
      </c>
      <c r="D4" s="29" t="s">
        <v>42</v>
      </c>
    </row>
    <row r="5" spans="1:4" ht="45" x14ac:dyDescent="0.15">
      <c r="A5">
        <v>4</v>
      </c>
      <c r="B5" t="s">
        <v>43</v>
      </c>
      <c r="C5" s="28" t="s">
        <v>117</v>
      </c>
      <c r="D5" s="29" t="s">
        <v>44</v>
      </c>
    </row>
    <row r="6" spans="1:4" ht="45" x14ac:dyDescent="0.15">
      <c r="A6">
        <v>5</v>
      </c>
      <c r="B6" t="s">
        <v>45</v>
      </c>
      <c r="C6" s="28" t="s">
        <v>118</v>
      </c>
      <c r="D6" s="29" t="s">
        <v>46</v>
      </c>
    </row>
    <row r="7" spans="1:4" ht="45" x14ac:dyDescent="0.15">
      <c r="A7">
        <v>6</v>
      </c>
      <c r="B7" t="s">
        <v>47</v>
      </c>
      <c r="C7" s="28" t="s">
        <v>119</v>
      </c>
      <c r="D7" s="29" t="s">
        <v>48</v>
      </c>
    </row>
    <row r="8" spans="1:4" ht="45" x14ac:dyDescent="0.15">
      <c r="A8">
        <v>7</v>
      </c>
      <c r="B8" t="s">
        <v>49</v>
      </c>
      <c r="C8" s="28" t="s">
        <v>120</v>
      </c>
      <c r="D8" s="29" t="s">
        <v>50</v>
      </c>
    </row>
    <row r="9" spans="1:4" ht="45" x14ac:dyDescent="0.15">
      <c r="A9">
        <v>8</v>
      </c>
      <c r="B9" t="s">
        <v>51</v>
      </c>
      <c r="C9" s="28" t="s">
        <v>151</v>
      </c>
      <c r="D9" s="29" t="s">
        <v>52</v>
      </c>
    </row>
    <row r="10" spans="1:4" ht="45" x14ac:dyDescent="0.15">
      <c r="A10">
        <v>9</v>
      </c>
      <c r="B10" t="s">
        <v>53</v>
      </c>
      <c r="C10" s="28" t="s">
        <v>121</v>
      </c>
      <c r="D10" s="29" t="s">
        <v>54</v>
      </c>
    </row>
    <row r="11" spans="1:4" ht="45" x14ac:dyDescent="0.15">
      <c r="A11">
        <v>10</v>
      </c>
      <c r="B11" t="s">
        <v>55</v>
      </c>
      <c r="C11" s="28" t="s">
        <v>122</v>
      </c>
      <c r="D11" s="29" t="s">
        <v>56</v>
      </c>
    </row>
    <row r="12" spans="1:4" ht="45" x14ac:dyDescent="0.15">
      <c r="A12">
        <v>11</v>
      </c>
      <c r="B12" t="s">
        <v>57</v>
      </c>
      <c r="C12" s="30" t="s">
        <v>123</v>
      </c>
      <c r="D12" s="29" t="s">
        <v>58</v>
      </c>
    </row>
    <row r="13" spans="1:4" ht="30" x14ac:dyDescent="0.15">
      <c r="A13">
        <v>12</v>
      </c>
      <c r="B13" t="s">
        <v>33</v>
      </c>
      <c r="C13" s="28" t="s">
        <v>124</v>
      </c>
      <c r="D13" s="29" t="s">
        <v>59</v>
      </c>
    </row>
    <row r="14" spans="1:4" ht="30" x14ac:dyDescent="0.15">
      <c r="A14">
        <v>13</v>
      </c>
      <c r="B14" t="s">
        <v>60</v>
      </c>
      <c r="C14" s="28" t="s">
        <v>125</v>
      </c>
      <c r="D14" s="29" t="s">
        <v>61</v>
      </c>
    </row>
    <row r="15" spans="1:4" ht="45" x14ac:dyDescent="0.15">
      <c r="A15">
        <v>14</v>
      </c>
      <c r="B15" t="s">
        <v>62</v>
      </c>
      <c r="C15" s="28" t="s">
        <v>126</v>
      </c>
      <c r="D15" s="29" t="s">
        <v>63</v>
      </c>
    </row>
    <row r="16" spans="1:4" ht="30" x14ac:dyDescent="0.15">
      <c r="A16">
        <v>15</v>
      </c>
      <c r="B16" t="s">
        <v>64</v>
      </c>
      <c r="C16" s="28" t="s">
        <v>127</v>
      </c>
      <c r="D16" s="29" t="s">
        <v>65</v>
      </c>
    </row>
    <row r="17" spans="1:4" ht="45" x14ac:dyDescent="0.15">
      <c r="A17">
        <v>16</v>
      </c>
      <c r="B17" t="s">
        <v>66</v>
      </c>
      <c r="C17" s="28" t="s">
        <v>128</v>
      </c>
      <c r="D17" s="29" t="s">
        <v>67</v>
      </c>
    </row>
    <row r="18" spans="1:4" ht="45" x14ac:dyDescent="0.15">
      <c r="A18">
        <v>17</v>
      </c>
      <c r="B18" t="s">
        <v>68</v>
      </c>
      <c r="C18" s="30" t="s">
        <v>129</v>
      </c>
      <c r="D18" s="29" t="s">
        <v>69</v>
      </c>
    </row>
    <row r="19" spans="1:4" ht="30" x14ac:dyDescent="0.15">
      <c r="A19">
        <v>18</v>
      </c>
      <c r="B19" t="s">
        <v>70</v>
      </c>
      <c r="C19" s="28" t="s">
        <v>130</v>
      </c>
      <c r="D19" s="29" t="s">
        <v>71</v>
      </c>
    </row>
    <row r="20" spans="1:4" ht="45" x14ac:dyDescent="0.15">
      <c r="A20">
        <v>19</v>
      </c>
      <c r="B20" t="s">
        <v>72</v>
      </c>
      <c r="C20" s="30" t="s">
        <v>131</v>
      </c>
      <c r="D20" s="29" t="s">
        <v>73</v>
      </c>
    </row>
    <row r="21" spans="1:4" ht="30" x14ac:dyDescent="0.15">
      <c r="A21">
        <v>20</v>
      </c>
      <c r="B21" t="s">
        <v>34</v>
      </c>
      <c r="C21" s="31" t="s">
        <v>132</v>
      </c>
      <c r="D21" s="29" t="s">
        <v>74</v>
      </c>
    </row>
    <row r="22" spans="1:4" ht="60" x14ac:dyDescent="0.15">
      <c r="A22">
        <v>21</v>
      </c>
      <c r="B22" t="s">
        <v>75</v>
      </c>
      <c r="C22" s="30" t="s">
        <v>152</v>
      </c>
      <c r="D22" s="29" t="s">
        <v>76</v>
      </c>
    </row>
    <row r="23" spans="1:4" x14ac:dyDescent="0.15">
      <c r="A23">
        <v>22</v>
      </c>
      <c r="B23" t="s">
        <v>77</v>
      </c>
      <c r="C23" s="30" t="s">
        <v>133</v>
      </c>
      <c r="D23" t="s">
        <v>78</v>
      </c>
    </row>
    <row r="24" spans="1:4" ht="45" x14ac:dyDescent="0.15">
      <c r="A24">
        <v>23</v>
      </c>
      <c r="B24" t="s">
        <v>79</v>
      </c>
      <c r="C24" s="30" t="s">
        <v>134</v>
      </c>
      <c r="D24" s="29" t="s">
        <v>80</v>
      </c>
    </row>
    <row r="25" spans="1:4" ht="60" x14ac:dyDescent="0.15">
      <c r="A25">
        <v>24</v>
      </c>
      <c r="B25" t="s">
        <v>81</v>
      </c>
      <c r="C25" s="30" t="s">
        <v>135</v>
      </c>
      <c r="D25" s="29" t="s">
        <v>82</v>
      </c>
    </row>
    <row r="26" spans="1:4" ht="45" x14ac:dyDescent="0.15">
      <c r="A26">
        <v>25</v>
      </c>
      <c r="B26" t="s">
        <v>83</v>
      </c>
      <c r="C26" s="30" t="s">
        <v>136</v>
      </c>
      <c r="D26" s="29" t="s">
        <v>84</v>
      </c>
    </row>
    <row r="27" spans="1:4" ht="30" x14ac:dyDescent="0.15">
      <c r="A27">
        <v>26</v>
      </c>
      <c r="B27" t="s">
        <v>85</v>
      </c>
      <c r="C27" s="30" t="s">
        <v>137</v>
      </c>
      <c r="D27" s="29" t="s">
        <v>86</v>
      </c>
    </row>
    <row r="28" spans="1:4" ht="45" x14ac:dyDescent="0.15">
      <c r="A28">
        <v>27</v>
      </c>
      <c r="B28" t="s">
        <v>87</v>
      </c>
      <c r="C28" s="28" t="s">
        <v>138</v>
      </c>
      <c r="D28" s="29" t="s">
        <v>88</v>
      </c>
    </row>
    <row r="29" spans="1:4" ht="45" x14ac:dyDescent="0.15">
      <c r="A29">
        <v>28</v>
      </c>
      <c r="B29" t="s">
        <v>89</v>
      </c>
      <c r="C29" s="28" t="s">
        <v>139</v>
      </c>
      <c r="D29" s="29" t="s">
        <v>90</v>
      </c>
    </row>
    <row r="30" spans="1:4" x14ac:dyDescent="0.15">
      <c r="A30">
        <v>29</v>
      </c>
      <c r="B30" t="s">
        <v>91</v>
      </c>
      <c r="C30" s="32" t="s">
        <v>140</v>
      </c>
      <c r="D30" t="s">
        <v>92</v>
      </c>
    </row>
    <row r="31" spans="1:4" ht="30" x14ac:dyDescent="0.15">
      <c r="A31">
        <v>30</v>
      </c>
      <c r="B31" t="s">
        <v>93</v>
      </c>
      <c r="C31" s="33" t="s">
        <v>141</v>
      </c>
      <c r="D31" s="29" t="s">
        <v>94</v>
      </c>
    </row>
    <row r="32" spans="1:4" ht="30" x14ac:dyDescent="0.15">
      <c r="A32">
        <v>31</v>
      </c>
      <c r="B32" t="s">
        <v>109</v>
      </c>
      <c r="C32" s="34" t="s">
        <v>142</v>
      </c>
      <c r="D32" s="29" t="s">
        <v>95</v>
      </c>
    </row>
    <row r="33" spans="1:4" ht="28" x14ac:dyDescent="0.15">
      <c r="B33" t="s">
        <v>150</v>
      </c>
      <c r="C33" s="30" t="s">
        <v>143</v>
      </c>
      <c r="D33" s="30" t="s">
        <v>143</v>
      </c>
    </row>
    <row r="34" spans="1:4" ht="30" x14ac:dyDescent="0.15">
      <c r="A34">
        <v>32</v>
      </c>
      <c r="B34" t="s">
        <v>96</v>
      </c>
      <c r="C34" s="30" t="s">
        <v>144</v>
      </c>
      <c r="D34" s="29" t="s">
        <v>97</v>
      </c>
    </row>
    <row r="35" spans="1:4" ht="60" x14ac:dyDescent="0.15">
      <c r="A35">
        <v>33</v>
      </c>
      <c r="B35" t="s">
        <v>98</v>
      </c>
      <c r="C35" s="28" t="s">
        <v>145</v>
      </c>
      <c r="D35" s="29" t="s">
        <v>99</v>
      </c>
    </row>
    <row r="36" spans="1:4" ht="30" x14ac:dyDescent="0.15">
      <c r="A36">
        <v>34</v>
      </c>
      <c r="B36" t="s">
        <v>100</v>
      </c>
      <c r="C36" s="28" t="s">
        <v>146</v>
      </c>
      <c r="D36" s="29" t="s">
        <v>101</v>
      </c>
    </row>
    <row r="37" spans="1:4" ht="45" x14ac:dyDescent="0.15">
      <c r="A37">
        <v>35</v>
      </c>
      <c r="B37" t="s">
        <v>102</v>
      </c>
      <c r="C37" s="28" t="s">
        <v>147</v>
      </c>
      <c r="D37" s="29" t="s">
        <v>103</v>
      </c>
    </row>
    <row r="38" spans="1:4" ht="45" x14ac:dyDescent="0.15">
      <c r="A38">
        <v>36</v>
      </c>
      <c r="B38" t="s">
        <v>104</v>
      </c>
      <c r="C38" s="30" t="s">
        <v>148</v>
      </c>
      <c r="D38" s="29" t="s">
        <v>105</v>
      </c>
    </row>
    <row r="39" spans="1:4" ht="45" x14ac:dyDescent="0.15">
      <c r="A39">
        <v>37</v>
      </c>
      <c r="B39" t="s">
        <v>106</v>
      </c>
      <c r="C39" s="30" t="s">
        <v>149</v>
      </c>
      <c r="D39" s="29" t="s">
        <v>107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output</vt:lpstr>
      <vt:lpstr>stage_hints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¥98</dc:creator>
  <cp:lastModifiedBy>Microsoft Office ユーザー</cp:lastModifiedBy>
  <dcterms:created xsi:type="dcterms:W3CDTF">2013-10-07T08:00:17Z</dcterms:created>
  <dcterms:modified xsi:type="dcterms:W3CDTF">2016-07-26T07:33:37Z</dcterms:modified>
</cp:coreProperties>
</file>