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0" yWindow="460" windowWidth="28800" windowHeight="17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enemy_habitats!$B$1:$AH$3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1" l="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L27" i="19"/>
  <c r="K27" i="19"/>
  <c r="B27" i="19"/>
  <c r="G27" i="19"/>
  <c r="F27" i="19"/>
  <c r="D27" i="19"/>
  <c r="C27" i="19"/>
  <c r="L26" i="19"/>
  <c r="K26" i="19"/>
  <c r="B26" i="19"/>
  <c r="G26" i="19"/>
  <c r="F26" i="19"/>
  <c r="D26" i="19"/>
  <c r="C26" i="19"/>
  <c r="L25" i="19"/>
  <c r="K25" i="19"/>
  <c r="B25" i="19"/>
  <c r="G25" i="19"/>
  <c r="F25" i="19"/>
  <c r="D25" i="19"/>
  <c r="C25" i="19"/>
  <c r="L24" i="19"/>
  <c r="K24" i="19"/>
  <c r="B24" i="19"/>
  <c r="G24" i="19"/>
  <c r="F24" i="19"/>
  <c r="D24" i="19"/>
  <c r="C24" i="19"/>
  <c r="L23" i="19"/>
  <c r="K23" i="19"/>
  <c r="B23" i="19"/>
  <c r="G23" i="19"/>
  <c r="F23" i="19"/>
  <c r="D23" i="19"/>
  <c r="C23" i="19"/>
  <c r="L22" i="19"/>
  <c r="K22" i="19"/>
  <c r="B22" i="19"/>
  <c r="G22" i="19"/>
  <c r="F22" i="19"/>
  <c r="D22" i="19"/>
  <c r="C22" i="19"/>
  <c r="L21" i="19"/>
  <c r="K21" i="19"/>
  <c r="B21" i="19"/>
  <c r="G21" i="19"/>
  <c r="F21" i="19"/>
  <c r="D21" i="19"/>
  <c r="C21" i="19"/>
  <c r="L20" i="19"/>
  <c r="K20" i="19"/>
  <c r="B20" i="19"/>
  <c r="G20" i="19"/>
  <c r="F20" i="19"/>
  <c r="D20" i="19"/>
  <c r="C20" i="19"/>
  <c r="L19" i="19"/>
  <c r="K19" i="19"/>
  <c r="B19" i="19"/>
  <c r="G19" i="19"/>
  <c r="F19" i="19"/>
  <c r="D19" i="19"/>
  <c r="C19" i="19"/>
  <c r="L18" i="19"/>
  <c r="K18" i="19"/>
  <c r="B18" i="19"/>
  <c r="G18" i="19"/>
  <c r="F18" i="19"/>
  <c r="D18" i="19"/>
  <c r="C18" i="19"/>
  <c r="L17" i="19"/>
  <c r="K17" i="19"/>
  <c r="B17" i="19"/>
  <c r="G17" i="19"/>
  <c r="F17" i="19"/>
  <c r="D17" i="19"/>
  <c r="C17" i="19"/>
  <c r="L16" i="19"/>
  <c r="K16" i="19"/>
  <c r="B16" i="19"/>
  <c r="G16" i="19"/>
  <c r="F16" i="19"/>
  <c r="D16" i="19"/>
  <c r="C16" i="19"/>
  <c r="L15" i="19"/>
  <c r="K15" i="19"/>
  <c r="B15" i="19"/>
  <c r="G15" i="19"/>
  <c r="F15" i="19"/>
  <c r="D15" i="19"/>
  <c r="C15" i="19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W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AB17" i="1"/>
  <c r="AD17" i="1"/>
  <c r="AG17" i="1"/>
  <c r="AE17" i="1"/>
  <c r="AC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H11" i="2"/>
  <c r="E11" i="2"/>
  <c r="D11" i="2"/>
  <c r="H2" i="1"/>
  <c r="H3" i="1"/>
  <c r="H4" i="1"/>
  <c r="H5" i="1"/>
  <c r="H6" i="1"/>
  <c r="H7" i="1"/>
  <c r="H8" i="1"/>
  <c r="H9" i="1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M69" i="10"/>
  <c r="T69" i="10"/>
  <c r="W69" i="10"/>
  <c r="V69" i="10"/>
  <c r="X69" i="10"/>
  <c r="U69" i="10"/>
  <c r="Y69" i="10"/>
  <c r="S7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S7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M61" i="10"/>
  <c r="T61" i="10"/>
  <c r="W61" i="10"/>
  <c r="V61" i="10"/>
  <c r="X61" i="10"/>
  <c r="U61" i="10"/>
  <c r="Y61" i="10"/>
  <c r="S81" i="10"/>
  <c r="N71" i="10"/>
  <c r="Q71" i="10"/>
  <c r="P71" i="10"/>
  <c r="R71" i="10"/>
  <c r="O71" i="10"/>
  <c r="S7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S80" i="10"/>
  <c r="N70" i="10"/>
  <c r="Q70" i="10"/>
  <c r="P70" i="10"/>
  <c r="R70" i="10"/>
  <c r="O70" i="10"/>
  <c r="S7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M77" i="10"/>
  <c r="N77" i="10"/>
  <c r="Q77" i="10"/>
  <c r="P77" i="10"/>
  <c r="R77" i="10"/>
  <c r="O77" i="10"/>
  <c r="S77" i="10"/>
  <c r="N67" i="10"/>
  <c r="Q67" i="10"/>
  <c r="P67" i="10"/>
  <c r="R67" i="10"/>
  <c r="O67" i="10"/>
  <c r="S6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S76" i="10"/>
  <c r="N66" i="10"/>
  <c r="Q66" i="10"/>
  <c r="P66" i="10"/>
  <c r="R66" i="10"/>
  <c r="O66" i="10"/>
  <c r="S6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S75" i="10"/>
  <c r="N65" i="10"/>
  <c r="Q65" i="10"/>
  <c r="P65" i="10"/>
  <c r="R65" i="10"/>
  <c r="O65" i="10"/>
  <c r="S6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19" i="11"/>
  <c r="O9" i="9"/>
  <c r="N9" i="9"/>
  <c r="M9" i="9"/>
  <c r="L9" i="9"/>
  <c r="K9" i="9"/>
  <c r="J9" i="9"/>
  <c r="I9" i="9"/>
  <c r="H9" i="9"/>
  <c r="G9" i="9"/>
  <c r="E9" i="9"/>
  <c r="D9" i="9"/>
  <c r="A9" i="9"/>
  <c r="J40" i="11"/>
  <c r="O44" i="9"/>
  <c r="N44" i="9"/>
  <c r="M44" i="9"/>
  <c r="L44" i="9"/>
  <c r="K44" i="9"/>
  <c r="J44" i="9"/>
  <c r="I44" i="9"/>
  <c r="H44" i="9"/>
  <c r="G44" i="9"/>
  <c r="E44" i="9"/>
  <c r="D44" i="9"/>
  <c r="A44" i="9"/>
  <c r="J39" i="11"/>
  <c r="O43" i="9"/>
  <c r="N43" i="9"/>
  <c r="M43" i="9"/>
  <c r="L43" i="9"/>
  <c r="K43" i="9"/>
  <c r="J43" i="9"/>
  <c r="I43" i="9"/>
  <c r="H43" i="9"/>
  <c r="G43" i="9"/>
  <c r="E43" i="9"/>
  <c r="D43" i="9"/>
  <c r="A43" i="9"/>
  <c r="J38" i="11"/>
  <c r="O42" i="9"/>
  <c r="N42" i="9"/>
  <c r="M42" i="9"/>
  <c r="L42" i="9"/>
  <c r="K42" i="9"/>
  <c r="J42" i="9"/>
  <c r="I42" i="9"/>
  <c r="H42" i="9"/>
  <c r="G42" i="9"/>
  <c r="E42" i="9"/>
  <c r="D42" i="9"/>
  <c r="A42" i="9"/>
  <c r="J37" i="11"/>
  <c r="O41" i="9"/>
  <c r="N41" i="9"/>
  <c r="M41" i="9"/>
  <c r="L41" i="9"/>
  <c r="K41" i="9"/>
  <c r="J41" i="9"/>
  <c r="I41" i="9"/>
  <c r="H41" i="9"/>
  <c r="G41" i="9"/>
  <c r="E41" i="9"/>
  <c r="D41" i="9"/>
  <c r="A41" i="9"/>
  <c r="AB2" i="1"/>
  <c r="AD2" i="1"/>
  <c r="AG2" i="1"/>
  <c r="AE2" i="1"/>
  <c r="AC2" i="1"/>
  <c r="V2" i="1"/>
  <c r="Q2" i="1"/>
  <c r="P2" i="1"/>
  <c r="O2" i="1"/>
  <c r="N2" i="1"/>
  <c r="M2" i="1"/>
  <c r="J2" i="1"/>
  <c r="I2" i="1"/>
  <c r="D2" i="1"/>
  <c r="F2" i="1"/>
  <c r="E2" i="1"/>
  <c r="A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A2" i="9"/>
  <c r="D2" i="9"/>
  <c r="E2" i="9"/>
  <c r="G2" i="9"/>
  <c r="H2" i="9"/>
  <c r="I2" i="9"/>
  <c r="J2" i="9"/>
  <c r="K2" i="9"/>
  <c r="L2" i="9"/>
  <c r="M2" i="9"/>
  <c r="N2" i="9"/>
  <c r="J3" i="11"/>
  <c r="O2" i="9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J77" i="11"/>
  <c r="O40" i="9"/>
  <c r="N40" i="9"/>
  <c r="M40" i="9"/>
  <c r="L40" i="9"/>
  <c r="K40" i="9"/>
  <c r="J40" i="9"/>
  <c r="I40" i="9"/>
  <c r="H40" i="9"/>
  <c r="G40" i="9"/>
  <c r="E40" i="9"/>
  <c r="D40" i="9"/>
  <c r="A40" i="9"/>
  <c r="J76" i="11"/>
  <c r="O39" i="9"/>
  <c r="N39" i="9"/>
  <c r="M39" i="9"/>
  <c r="L39" i="9"/>
  <c r="K39" i="9"/>
  <c r="J39" i="9"/>
  <c r="I39" i="9"/>
  <c r="H39" i="9"/>
  <c r="G39" i="9"/>
  <c r="E39" i="9"/>
  <c r="D39" i="9"/>
  <c r="A39" i="9"/>
  <c r="J75" i="11"/>
  <c r="O38" i="9"/>
  <c r="N38" i="9"/>
  <c r="M38" i="9"/>
  <c r="L38" i="9"/>
  <c r="K38" i="9"/>
  <c r="J38" i="9"/>
  <c r="I38" i="9"/>
  <c r="H38" i="9"/>
  <c r="G38" i="9"/>
  <c r="E38" i="9"/>
  <c r="D38" i="9"/>
  <c r="A38" i="9"/>
  <c r="J74" i="11"/>
  <c r="O37" i="9"/>
  <c r="N37" i="9"/>
  <c r="M37" i="9"/>
  <c r="L37" i="9"/>
  <c r="K37" i="9"/>
  <c r="J37" i="9"/>
  <c r="I37" i="9"/>
  <c r="H37" i="9"/>
  <c r="G37" i="9"/>
  <c r="E37" i="9"/>
  <c r="D37" i="9"/>
  <c r="A37" i="9"/>
  <c r="J73" i="11"/>
  <c r="O36" i="9"/>
  <c r="N36" i="9"/>
  <c r="M36" i="9"/>
  <c r="L36" i="9"/>
  <c r="K36" i="9"/>
  <c r="J36" i="9"/>
  <c r="I36" i="9"/>
  <c r="H36" i="9"/>
  <c r="G36" i="9"/>
  <c r="E36" i="9"/>
  <c r="D36" i="9"/>
  <c r="A36" i="9"/>
  <c r="J72" i="11"/>
  <c r="O35" i="9"/>
  <c r="N35" i="9"/>
  <c r="M35" i="9"/>
  <c r="L35" i="9"/>
  <c r="K35" i="9"/>
  <c r="J35" i="9"/>
  <c r="I35" i="9"/>
  <c r="H35" i="9"/>
  <c r="G35" i="9"/>
  <c r="E35" i="9"/>
  <c r="D35" i="9"/>
  <c r="A35" i="9"/>
  <c r="J81" i="11"/>
  <c r="J80" i="11"/>
  <c r="J79" i="11"/>
  <c r="J78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81" i="10"/>
  <c r="T81" i="10"/>
  <c r="W81" i="10"/>
  <c r="V81" i="10"/>
  <c r="X81" i="10"/>
  <c r="U81" i="10"/>
  <c r="Y81" i="10"/>
  <c r="N81" i="10"/>
  <c r="Q81" i="10"/>
  <c r="P81" i="10"/>
  <c r="R81" i="10"/>
  <c r="O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G78" i="10"/>
  <c r="J78" i="10"/>
  <c r="I78" i="10"/>
  <c r="K78" i="10"/>
  <c r="H78" i="10"/>
  <c r="L78" i="10"/>
  <c r="T77" i="10"/>
  <c r="W77" i="10"/>
  <c r="V77" i="10"/>
  <c r="X77" i="10"/>
  <c r="U77" i="10"/>
  <c r="Y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G70" i="10"/>
  <c r="J70" i="10"/>
  <c r="I70" i="10"/>
  <c r="K70" i="10"/>
  <c r="H70" i="10"/>
  <c r="L70" i="10"/>
  <c r="M67" i="10"/>
  <c r="T67" i="10"/>
  <c r="W67" i="10"/>
  <c r="V67" i="10"/>
  <c r="X67" i="10"/>
  <c r="U67" i="10"/>
  <c r="Y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9" i="1"/>
  <c r="AD9" i="1"/>
  <c r="AG9" i="1"/>
  <c r="AE9" i="1"/>
  <c r="AC9" i="1"/>
  <c r="V9" i="1"/>
  <c r="Q9" i="1"/>
  <c r="P9" i="1"/>
  <c r="O9" i="1"/>
  <c r="N9" i="1"/>
  <c r="M9" i="1"/>
  <c r="J9" i="1"/>
  <c r="I9" i="1"/>
  <c r="D9" i="1"/>
  <c r="F9" i="1"/>
  <c r="E9" i="1"/>
  <c r="A9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E9" i="16"/>
  <c r="W2" i="7"/>
  <c r="V3" i="1"/>
  <c r="R2" i="7"/>
  <c r="Q2" i="7"/>
  <c r="P2" i="7"/>
  <c r="O2" i="7"/>
  <c r="N2" i="7"/>
  <c r="AB3" i="1"/>
  <c r="AE3" i="1"/>
  <c r="AD3" i="1"/>
  <c r="AC3" i="1"/>
  <c r="Q3" i="1"/>
  <c r="P3" i="1"/>
  <c r="O3" i="1"/>
  <c r="N3" i="1"/>
  <c r="M3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3" i="1"/>
  <c r="H2" i="7"/>
  <c r="J2" i="7"/>
  <c r="E8" i="16"/>
  <c r="E7" i="16"/>
  <c r="E6" i="16"/>
  <c r="E5" i="16"/>
  <c r="E4" i="16"/>
  <c r="E3" i="16"/>
  <c r="E2" i="16"/>
  <c r="A3" i="1"/>
  <c r="J2" i="11"/>
  <c r="A2" i="7"/>
  <c r="I2" i="7"/>
  <c r="D2" i="7"/>
  <c r="F2" i="7"/>
  <c r="E2" i="7"/>
  <c r="J3" i="1"/>
  <c r="I3" i="1"/>
  <c r="D2" i="2"/>
  <c r="E2" i="2"/>
  <c r="H2" i="2"/>
  <c r="D3" i="1"/>
  <c r="E3" i="1"/>
  <c r="F3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<sst xmlns="http://schemas.openxmlformats.org/spreadsheetml/2006/main" count="1268" uniqueCount="345">
  <si>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</si>
  <si>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</si>
  <si>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</si>
  <si>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</si>
  <si>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</si>
  <si>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</si>
  <si>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</si>
  <si>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</si>
  <si>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</si>
  <si>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</si>
  <si>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</si>
  <si>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</si>
  <si>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</si>
  <si>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</si>
  <si>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</si>
  <si>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</si>
  <si>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</si>
  <si>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</si>
  <si>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</si>
  <si>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</si>
  <si>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</si>
  <si>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</si>
  <si>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</si>
  <si>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</si>
  <si>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</si>
  <si>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</si>
  <si>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</si>
  <si>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</si>
  <si>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</si>
  <si>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</si>
  <si>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</si>
  <si>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</si>
  <si>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</si>
  <si>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</si>
  <si>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</si>
  <si>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</si>
  <si>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</si>
  <si>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</si>
  <si>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</si>
  <si>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</si>
  <si>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</si>
  <si>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</si>
  <si>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</si>
  <si>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</si>
  <si>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</si>
  <si>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</si>
  <si>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</si>
  <si>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</si>
  <si>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</si>
  <si>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</si>
  <si>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</si>
  <si>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</si>
  <si>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</si>
  <si>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</si>
  <si>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</si>
  <si>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</si>
  <si>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</si>
  <si>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</si>
  <si>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</si>
  <si>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</si>
  <si>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</si>
  <si>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</si>
  <si>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</si>
  <si>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</si>
  <si>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</si>
  <si>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</si>
  <si>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</si>
  <si>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</si>
  <si>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</si>
  <si>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</si>
  <si>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</si>
  <si>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</si>
  <si>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</si>
  <si>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</si>
  <si>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</si>
  <si>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</si>
  <si>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</si>
  <si>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</si>
  <si>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</si>
  <si>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</si>
  <si>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</si>
  <si>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</si>
  <si>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</si>
  <si>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</si>
  <si>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</si>
  <si>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</si>
  <si>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</si>
  <si>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</si>
  <si>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</si>
  <si>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</si>
  <si>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</si>
  <si>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</si>
  <si>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</si>
  <si>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</si>
  <si>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</si>
  <si>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</si>
  <si>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</si>
  <si>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</si>
  <si>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</si>
  <si>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</si>
  <si>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</si>
  <si>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</si>
  <si>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</si>
  <si>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</si>
  <si>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</si>
  <si>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</si>
  <si>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</si>
  <si>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</si>
  <si>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</si>
  <si>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</si>
  <si>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</si>
  <si>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</si>
  <si>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</si>
  <si>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</si>
  <si>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</si>
  <si>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</si>
  <si>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</si>
  <si>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</si>
  <si>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</si>
  <si>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</si>
  <si>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</si>
  <si>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</si>
  <si>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</si>
  <si>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</si>
  <si>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</si>
  <si>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</si>
  <si>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</si>
  <si>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</si>
  <si>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</si>
  <si>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</si>
  <si>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</si>
  <si>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</si>
  <si>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</si>
  <si>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</si>
  <si>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</si>
  <si>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</si>
  <si>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</si>
  <si>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</si>
  <si>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</si>
  <si>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</si>
  <si>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</si>
  <si>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</si>
  <si>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</si>
  <si>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</si>
  <si>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</si>
  <si>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</si>
  <si>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</si>
  <si>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</si>
  <si>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</si>
  <si>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</si>
  <si>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</si>
  <si>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</si>
  <si>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</si>
  <si>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</si>
  <si>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</si>
  <si>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</si>
  <si>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</si>
  <si>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</si>
  <si>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</si>
  <si>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</si>
  <si>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</si>
  <si>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</si>
  <si>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</si>
  <si>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</si>
  <si>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</si>
  <si>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</si>
  <si>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</si>
  <si>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</si>
  <si>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</si>
  <si>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</si>
  <si>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</si>
  <si>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</si>
  <si>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</si>
  <si>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</si>
  <si>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</si>
  <si>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</si>
  <si>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</si>
  <si>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</si>
  <si>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</si>
  <si>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</si>
  <si>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</si>
  <si>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</si>
  <si>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</si>
  <si>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</si>
  <si>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</si>
  <si>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</si>
  <si>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</si>
  <si>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</si>
  <si>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</si>
  <si>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</si>
  <si>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</si>
  <si>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</si>
  <si>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</si>
  <si>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</si>
  <si>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</si>
  <si>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</si>
  <si>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</si>
  <si>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</si>
  <si>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</si>
  <si>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</si>
  <si>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</si>
  <si>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</si>
  <si>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</si>
  <si>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</si>
  <si>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</si>
  <si>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</si>
  <si>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</si>
  <si>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</si>
  <si>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</si>
  <si>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</si>
  <si>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</si>
  <si>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</si>
  <si>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</si>
  <si>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</si>
  <si>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予約枠</t>
    <rPh sb="0" eb="3">
      <t>ヨヤk</t>
    </rPh>
    <phoneticPr fontId="5"/>
  </si>
  <si>
    <t>null</t>
    <phoneticPr fontId="5"/>
  </si>
  <si>
    <t>null</t>
    <phoneticPr fontId="5"/>
  </si>
  <si>
    <t>old</t>
  </si>
  <si>
    <t>1フロアザコA</t>
    <phoneticPr fontId="5"/>
  </si>
  <si>
    <t>1フロアザコB</t>
    <phoneticPr fontId="5"/>
  </si>
  <si>
    <t>セルティ</t>
    <phoneticPr fontId="5"/>
  </si>
  <si>
    <t>神羅</t>
    <rPh sb="0" eb="2">
      <t>シンラ</t>
    </rPh>
    <phoneticPr fontId="5"/>
  </si>
  <si>
    <t>3フロアザコA</t>
    <phoneticPr fontId="5"/>
  </si>
  <si>
    <t>3フロアザコB</t>
    <phoneticPr fontId="5"/>
  </si>
  <si>
    <t>贄川1</t>
    <rPh sb="0" eb="2">
      <t>ニ</t>
    </rPh>
    <phoneticPr fontId="5"/>
  </si>
  <si>
    <t>贄川2</t>
    <rPh sb="0" eb="2">
      <t>ニ</t>
    </rPh>
    <phoneticPr fontId="5"/>
  </si>
  <si>
    <t>園原2</t>
    <rPh sb="0" eb="2">
      <t>ソノハr</t>
    </rPh>
    <phoneticPr fontId="5"/>
  </si>
  <si>
    <t>園原3</t>
    <rPh sb="0" eb="2">
      <t>ソノハr</t>
    </rPh>
    <phoneticPr fontId="5"/>
  </si>
  <si>
    <t>連続攻撃</t>
    <rPh sb="0" eb="4">
      <t>レンゾk</t>
    </rPh>
    <phoneticPr fontId="5"/>
  </si>
  <si>
    <t>開幕セリフ</t>
    <rPh sb="0" eb="5">
      <t>カ</t>
    </rPh>
    <phoneticPr fontId="5"/>
  </si>
  <si>
    <t>クリティカル</t>
    <phoneticPr fontId="5"/>
  </si>
  <si>
    <t>連続攻撃＋HP消費</t>
    <rPh sb="0" eb="4">
      <t>レンゾk</t>
    </rPh>
    <rPh sb="7" eb="9">
      <t>ショ</t>
    </rPh>
    <phoneticPr fontId="5"/>
  </si>
  <si>
    <t>単体攻撃＋ハートパネルプロテクト</t>
    <rPh sb="0" eb="4">
      <t>タンタ</t>
    </rPh>
    <phoneticPr fontId="5"/>
  </si>
  <si>
    <t>連続攻撃</t>
    <rPh sb="0" eb="2">
      <t>レンゾk</t>
    </rPh>
    <rPh sb="2" eb="4">
      <t>コウゲk</t>
    </rPh>
    <phoneticPr fontId="5"/>
  </si>
  <si>
    <t>ハートパネル破壊攻撃</t>
    <rPh sb="6" eb="8">
      <t>ハカ</t>
    </rPh>
    <rPh sb="8" eb="10">
      <t>コウゲk</t>
    </rPh>
    <phoneticPr fontId="5"/>
  </si>
  <si>
    <t>クリティカル</t>
    <phoneticPr fontId="5"/>
  </si>
  <si>
    <t>全体攻撃＋スリープ</t>
    <rPh sb="0" eb="4">
      <t>ゼン</t>
    </rPh>
    <phoneticPr fontId="5"/>
  </si>
  <si>
    <t>クリティカル＋スキルバインド</t>
    <phoneticPr fontId="5"/>
  </si>
  <si>
    <t>[effect:nothing]</t>
    <phoneticPr fontId="5"/>
  </si>
  <si>
    <t>[effect:rush, count:3, val:0.4]</t>
    <phoneticPr fontId="5"/>
  </si>
  <si>
    <t>[effect:nothing]</t>
    <phoneticPr fontId="5"/>
  </si>
  <si>
    <t>[effect:rush, count:3, val:0.4]</t>
    <phoneticPr fontId="5"/>
  </si>
  <si>
    <t>[effect:critical, val:1.5]</t>
    <phoneticPr fontId="5"/>
  </si>
  <si>
    <t>[effect:critical, val:1.5],[effect:panel_freeze, target:block_heart, count:-1, break_count:1]</t>
    <phoneticPr fontId="5"/>
  </si>
  <si>
    <t>[effect:critical, val:1.5]</t>
    <phoneticPr fontId="5"/>
  </si>
  <si>
    <t>null</t>
    <phoneticPr fontId="5"/>
  </si>
  <si>
    <t>null</t>
    <phoneticPr fontId="5"/>
  </si>
  <si>
    <t>[effect:rush, count:2, val:0.6]</t>
    <phoneticPr fontId="5"/>
  </si>
  <si>
    <t>[effect:suicide, val:0.1, dead_type:suicide, target:enemy_blue, animation:enemy_suicide]</t>
    <phoneticPr fontId="5"/>
  </si>
  <si>
    <t>[effect:suicide, val:0.1, dead_type:suicide, target:myself, animation:enemy_suicide]</t>
    <phoneticPr fontId="5"/>
  </si>
  <si>
    <t>[effect:freq_turn, target:myself, turn:3, val:1]</t>
    <phoneticPr fontId="5"/>
  </si>
  <si>
    <t>[effect:suicide, val:0.1, dead_type:suicide, target:myself, animation:enemy_suicide],[effect:rush, count:10, val:0.1]</t>
    <phoneticPr fontId="5"/>
  </si>
  <si>
    <t>[effect:spread, val:0.3],[effect:sleep, target:unit_one, turn:1, rate:1, animation:sleep01],[effect:sleep, target:unit_one, turn:1, rate:1, animation:sleep01]</t>
    <phoneticPr fontId="5"/>
  </si>
  <si>
    <t>[effect:rush, count:5, val:0.2]</t>
    <phoneticPr fontId="5"/>
  </si>
  <si>
    <t>[effect:rush, count:3, val:0.4]</t>
    <phoneticPr fontId="5"/>
  </si>
  <si>
    <t>贄川0</t>
    <rPh sb="0" eb="2">
      <t>ニ</t>
    </rPh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</si>
  <si>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animation:enemy_tolerance],[effect:degrade_unit, target:unit_all, turn:3, status:attack, val:0.5, calc:mul]</t>
    <phoneticPr fontId="5"/>
  </si>
  <si>
    <t>あなたも私の邪魔をするの？</t>
    <rPh sb="4" eb="6">
      <t>ワタs</t>
    </rPh>
    <rPh sb="6" eb="9">
      <t>ジャm</t>
    </rPh>
    <phoneticPr fontId="5"/>
  </si>
  <si>
    <t>こちらに人影が迫ってくる！</t>
    <rPh sb="4" eb="6">
      <t>ヒt</t>
    </rPh>
    <rPh sb="7" eb="12">
      <t>セm</t>
    </rPh>
    <phoneticPr fontId="5"/>
  </si>
  <si>
    <t>何かに気を取られているようだ…</t>
    <rPh sb="0" eb="3">
      <t>ナン</t>
    </rPh>
    <rPh sb="3" eb="14">
      <t>キw</t>
    </rPh>
    <phoneticPr fontId="5"/>
  </si>
  <si>
    <t>………！</t>
    <phoneticPr fontId="5"/>
  </si>
  <si>
    <t>ナイフを構えて襲いかかってくる！</t>
    <rPh sb="4" eb="7">
      <t>カマ</t>
    </rPh>
    <rPh sb="7" eb="15">
      <t>オソ</t>
    </rPh>
    <phoneticPr fontId="5"/>
  </si>
  <si>
    <t>あなたに構う暇は無くなったわ</t>
    <rPh sb="4" eb="6">
      <t>カマ</t>
    </rPh>
    <rPh sb="6" eb="7">
      <t>ヒm</t>
    </rPh>
    <rPh sb="7" eb="8">
      <t>ヒm</t>
    </rPh>
    <rPh sb="8" eb="9">
      <t>ナ</t>
    </rPh>
    <phoneticPr fontId="5"/>
  </si>
  <si>
    <t>何かを追うように去っていく…</t>
    <rPh sb="0" eb="3">
      <t>ナン</t>
    </rPh>
    <rPh sb="3" eb="4">
      <t>オtt</t>
    </rPh>
    <rPh sb="8" eb="11">
      <t>サtt</t>
    </rPh>
    <phoneticPr fontId="5"/>
  </si>
  <si>
    <t>罪歌の子供が襲いかかってくる！</t>
    <rPh sb="0" eb="2">
      <t>ツm</t>
    </rPh>
    <rPh sb="3" eb="5">
      <t>コドm</t>
    </rPh>
    <rPh sb="6" eb="15">
      <t>オソイカカ</t>
    </rPh>
    <phoneticPr fontId="5"/>
  </si>
  <si>
    <t>[effect:nothing]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</si>
  <si>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animation:enemy_tolerance],[effect:hungup, target:unit_all, turn:3, rate:1, animation:hungup01]</t>
    <phoneticPr fontId="5"/>
  </si>
  <si>
    <t>『おい、待て！』</t>
    <rPh sb="4" eb="6">
      <t>マt</t>
    </rPh>
    <phoneticPr fontId="5"/>
  </si>
  <si>
    <t>『切り裂き魔を追っているのか？』</t>
    <rPh sb="1" eb="6">
      <t>キr</t>
    </rPh>
    <rPh sb="7" eb="15">
      <t>オtt</t>
    </rPh>
    <phoneticPr fontId="5"/>
  </si>
  <si>
    <t>こっちに行ったはずだよ</t>
    <rPh sb="4" eb="10">
      <t>イッタh</t>
    </rPh>
    <phoneticPr fontId="5"/>
  </si>
  <si>
    <t>最近よく噂に聞くね</t>
    <rPh sb="0" eb="2">
      <t>サイキン</t>
    </rPh>
    <rPh sb="4" eb="6">
      <t>ウワs</t>
    </rPh>
    <rPh sb="6" eb="9">
      <t>キk</t>
    </rPh>
    <phoneticPr fontId="5"/>
  </si>
  <si>
    <t>関わりたくなさそうだ</t>
    <rPh sb="0" eb="5">
      <t>カカw</t>
    </rPh>
    <phoneticPr fontId="5"/>
  </si>
  <si>
    <t>行きなさい、子供たち</t>
    <rPh sb="0" eb="5">
      <t>イk</t>
    </rPh>
    <rPh sb="6" eb="8">
      <t>コドm</t>
    </rPh>
    <phoneticPr fontId="5"/>
  </si>
  <si>
    <t>さぁ、愛し合いましょう</t>
    <rPh sb="3" eb="4">
      <t>アイ</t>
    </rPh>
    <rPh sb="5" eb="11">
      <t>アイマsy</t>
    </rPh>
    <phoneticPr fontId="5"/>
  </si>
  <si>
    <t>赤い目でこちらを見ている</t>
    <rPh sb="0" eb="3">
      <t>アk</t>
    </rPh>
    <rPh sb="8" eb="12">
      <t>ミ</t>
    </rPh>
    <phoneticPr fontId="5"/>
  </si>
  <si>
    <t>道を指差した</t>
    <rPh sb="0" eb="1">
      <t>ミt</t>
    </rPh>
    <phoneticPr fontId="5"/>
  </si>
  <si>
    <t>手を振って去っていった</t>
    <rPh sb="0" eb="11">
      <t>テw</t>
    </rPh>
    <phoneticPr fontId="5"/>
  </si>
  <si>
    <t>じゃあね</t>
    <phoneticPr fontId="5"/>
  </si>
  <si>
    <t>[effect:fix_speed, target:myself, turn:1]</t>
    <phoneticPr fontId="5"/>
  </si>
  <si>
    <t>後は子供たちに任せるわ…</t>
    <rPh sb="0" eb="1">
      <t>アト</t>
    </rPh>
    <rPh sb="2" eb="4">
      <t>コドm</t>
    </rPh>
    <rPh sb="7" eb="11">
      <t>マカs</t>
    </rPh>
    <phoneticPr fontId="5"/>
  </si>
  <si>
    <t>[effect:critical, val:1.2],[effect:hungup, target:unit_one, turn:1, rate:1, animation:hungup01]</t>
    <phoneticPr fontId="5"/>
  </si>
  <si>
    <t>[effect:fix_speed, target:myself, turn:5]</t>
    <phoneticPr fontId="5"/>
  </si>
  <si>
    <t>[effect:critical, val:1.2],[effect:panel_freeze, target:block_heart, count:-1, break_count:1]</t>
    <phoneticPr fontId="5"/>
  </si>
  <si>
    <t>[effect:suicide, val:1, dead_type:escape, target:myself]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</si>
  <si>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animation:enemy_tolerance][effect:fix_speed, target:myself, turn:1]</t>
    <phoneticPr fontId="5"/>
  </si>
  <si>
    <t>[effect:suicide, val:1, dead_type:escape, target:myself]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</si>
  <si>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animation:enemy_tolerance],[effect:suicide, val:1.0, dead_type:escape, target:enemy_blue]</t>
    <phoneticPr fontId="5"/>
  </si>
  <si>
    <t>[effect:break_attack_fix, val:200, lowest_val:7000, count:-1, block:block_heart, target:unit_one]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</si>
  <si>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animation:enemy_tolerance],[effect:enhance_enemy, target:enemy_all, turn:-1, status:attack, val:0.3, calc:mul, animation:enemy_enhance_attack]</t>
    <phoneticPr fontId="5"/>
  </si>
  <si>
    <t>null</t>
    <phoneticPr fontId="5"/>
  </si>
  <si>
    <t>両脇にいるおともは防御力が高く
通常の攻撃は全く通じません
中央の贄川春奈を優先して狙いましょう</t>
    <phoneticPr fontId="5"/>
  </si>
  <si>
    <t>園原杏里は特定のタイミングでハートパネルを
吸収して強力な攻撃を行ってきます
ハートパネルをこまめに消して対策しましょう</t>
    <phoneticPr fontId="5"/>
  </si>
  <si>
    <t>null</t>
    <phoneticPr fontId="5"/>
  </si>
  <si>
    <t>link</t>
    <phoneticPr fontId="5"/>
  </si>
  <si>
    <t>unit</t>
    <phoneticPr fontId="5"/>
  </si>
  <si>
    <t>unit</t>
    <phoneticPr fontId="5"/>
  </si>
  <si>
    <t>1フロア目の贄川春奈は
パーティーに対して攻撃を行いません
次のフロアに備えて準備をしましょう</t>
    <rPh sb="4" eb="5">
      <t>メ</t>
    </rPh>
    <phoneticPr fontId="5"/>
  </si>
  <si>
    <t>3フロア目のセルティと岸谷神羅は
パーティーに対して攻撃を行いません
次のフロアに備えて準備をしましょう</t>
    <rPh sb="4" eb="5">
      <t>メ</t>
    </rPh>
    <phoneticPr fontId="5"/>
  </si>
  <si>
    <t>2ゲージ目の贄川春奈はHPが減ると
強力な連続攻撃を行ってきます
残りのHPには十分注意しましょう</t>
    <rPh sb="4" eb="5">
      <t>メ</t>
    </rPh>
    <phoneticPr fontId="5"/>
  </si>
  <si>
    <t>園原杏里は2ゲージ目から攻撃が強力になります
速やかに倒せるようスキルやフィーバーは
可能な限り温存しておくとよいでしょう</t>
    <rPh sb="9" eb="10">
      <t>メ</t>
    </rPh>
    <phoneticPr fontId="5"/>
  </si>
  <si>
    <t>あなたにも『声』を聞かせてあげますよ</t>
  </si>
  <si>
    <t>私は寄生虫ですから・・・</t>
  </si>
  <si>
    <t>日常に戻りたいんです</t>
  </si>
  <si>
    <t>すこしだけ酷いことをしますね</t>
  </si>
  <si>
    <t>そうはさせませんよ</t>
  </si>
  <si>
    <t>ただ壊したくなかっただけなのに・・・</t>
  </si>
  <si>
    <t>ちょっと切るだけですから</t>
  </si>
  <si>
    <t>少しの間眠っていてください</t>
  </si>
  <si>
    <t>あなたは人を愛せますか？</t>
  </si>
  <si>
    <t>・・・お願い邪魔しないで</t>
  </si>
  <si>
    <t>これで貸し借りはなしですよ</t>
  </si>
  <si>
    <t>こっちが夢ならいいのに</t>
  </si>
  <si>
    <t>私の手で始末してあげるわ</t>
  </si>
  <si>
    <t>愛を得るには自分で動かなきゃ</t>
  </si>
  <si>
    <t>くだらない人間よね</t>
  </si>
  <si>
    <t>まさか・・・『母』が・・・？</t>
  </si>
  <si>
    <t>いつまでもあの人と・・・</t>
  </si>
  <si>
    <t>愛するだけじゃもう足りないの</t>
  </si>
  <si>
    <t>愛し続けてあげる</t>
  </si>
  <si>
    <t>もっと愛してあげる</t>
  </si>
  <si>
    <t>まだよ、あの人に会うまでは・・・！</t>
    <rPh sb="6" eb="7">
      <t>ヒト</t>
    </rPh>
    <rPh sb="8" eb="9">
      <t>ア</t>
    </rPh>
    <phoneticPr fontId="5"/>
  </si>
  <si>
    <t>罪歌の子達は去っていった</t>
    <rPh sb="0" eb="1">
      <t>ザイ</t>
    </rPh>
    <rPh sb="1" eb="2">
      <t>カ</t>
    </rPh>
    <rPh sb="3" eb="4">
      <t>コ</t>
    </rPh>
    <rPh sb="4" eb="5">
      <t>タチ</t>
    </rPh>
    <rPh sb="6" eb="7">
      <t>サ</t>
    </rPh>
    <phoneticPr fontId="5"/>
  </si>
  <si>
    <t>HP減少</t>
    <rPh sb="2" eb="4">
      <t>ゲンショ</t>
    </rPh>
    <phoneticPr fontId="5"/>
  </si>
  <si>
    <t>・・・・・・・？</t>
    <phoneticPr fontId="5"/>
  </si>
  <si>
    <t>・・・・・・・！</t>
    <phoneticPr fontId="5"/>
  </si>
  <si>
    <t>攻撃頻度UP</t>
    <rPh sb="0" eb="4">
      <t>コウゲk</t>
    </rPh>
    <phoneticPr fontId="5"/>
  </si>
  <si>
    <t>ふらふらと去っていった・・・</t>
    <rPh sb="5" eb="6">
      <t>サ</t>
    </rPh>
    <phoneticPr fontId="5"/>
  </si>
  <si>
    <t>[effect:break_attack_fix, val:200, lowest_val:7000, count:-1, block:block_heart, target:unit_one]</t>
    <phoneticPr fontId="5"/>
  </si>
  <si>
    <t>ハートパネル吸収攻撃</t>
    <rPh sb="6" eb="8">
      <t>キュウシュウ</t>
    </rPh>
    <rPh sb="8" eb="10">
      <t>ハカ</t>
    </rPh>
    <phoneticPr fontId="5"/>
  </si>
  <si>
    <t>竜ヶ峰君・・・！？なんで・・・！？</t>
    <phoneticPr fontId="5"/>
  </si>
  <si>
    <t>3ターンスキルバインド状態にする</t>
    <rPh sb="11" eb="13">
      <t>ジョ</t>
    </rPh>
    <phoneticPr fontId="5"/>
  </si>
  <si>
    <t>今はこの場を切り抜けなきゃ…</t>
    <rPh sb="0" eb="1">
      <t>イm</t>
    </rPh>
    <rPh sb="6" eb="7">
      <t>キr</t>
    </rPh>
    <phoneticPr fontId="5"/>
  </si>
  <si>
    <t>ごめんなさい…でも、私…</t>
    <rPh sb="10" eb="11">
      <t>ワタs</t>
    </rPh>
    <phoneticPr fontId="5"/>
  </si>
  <si>
    <t>状態異常無効+攻撃力UP</t>
    <rPh sb="0" eb="4">
      <t>j</t>
    </rPh>
    <rPh sb="4" eb="6">
      <t>ムコ</t>
    </rPh>
    <rPh sb="7" eb="10">
      <t>コウゲk</t>
    </rPh>
    <phoneticPr fontId="5"/>
  </si>
  <si>
    <t>状態異常無効+3ターン攻撃をDOWN</t>
    <rPh sb="0" eb="6">
      <t>j</t>
    </rPh>
    <rPh sb="11" eb="13">
      <t>コウゲk</t>
    </rPh>
    <phoneticPr fontId="5"/>
  </si>
  <si>
    <t>[effect:enemy_message, val1:1, val2:0, dead_type:suicide]</t>
    <phoneticPr fontId="5"/>
  </si>
  <si>
    <t>[effect:enemy_message, val1:1, val2:1, dead_type:escape]</t>
    <phoneticPr fontId="5"/>
  </si>
  <si>
    <t>[effect:enemy_message, val1:1, val2:0, dead_type:escape]</t>
    <phoneticPr fontId="5"/>
  </si>
  <si>
    <t>紀田君・・・！？なんで・・・！？</t>
  </si>
  <si>
    <t>セルティさん、どうしてここに・・・。</t>
  </si>
  <si>
    <t>貴方を斬らせて貰います。</t>
  </si>
  <si>
    <t>私の平穏を壊さないでください</t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</si>
  <si>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animation:enemy_tolerance],[effect:hungup, target:unit_all, turn:3, rate:1, animation:hungup01]</t>
    <phoneticPr fontId="5"/>
  </si>
  <si>
    <t>ハートパネル無効</t>
    <rPh sb="6" eb="8">
      <t>ムコ</t>
    </rPh>
    <phoneticPr fontId="5"/>
  </si>
  <si>
    <t>[effect:dis_heart, turn:-1, animation:enemy_dis_heart]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</si>
</sst>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name val="ＭＳ Ｐゴシック"/>
      <charset val="128"/>
    </font>
    <font>
      <sz val="12"/>
      <color theme="1"/>
      <name val="ＭＳ Ｐゴシック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8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1" applyNumberFormat="0" applyAlignment="0" applyProtection="0"/>
    <xf numFmtId="0" fontId="33" fillId="17" borderId="0" applyNumberFormat="0" applyBorder="0" applyAlignment="0" applyProtection="0"/>
    <xf numFmtId="0" fontId="34" fillId="18" borderId="12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3" applyNumberFormat="0" applyAlignment="0" applyProtection="0"/>
    <xf numFmtId="0" fontId="38" fillId="0" borderId="0" applyNumberFormat="0" applyFill="0" applyBorder="0" applyAlignment="0" applyProtection="0"/>
    <xf numFmtId="0" fontId="39" fillId="0" borderId="14" applyNumberFormat="0" applyFill="0" applyAlignment="0" applyProtection="0"/>
    <xf numFmtId="0" fontId="40" fillId="0" borderId="15" applyNumberFormat="0" applyFill="0" applyAlignment="0" applyProtection="0"/>
    <xf numFmtId="0" fontId="41" fillId="0" borderId="16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7" applyNumberFormat="0" applyFill="0" applyAlignment="0" applyProtection="0"/>
    <xf numFmtId="0" fontId="46" fillId="18" borderId="18" applyNumberFormat="0" applyAlignment="0" applyProtection="0"/>
    <xf numFmtId="0" fontId="46" fillId="29" borderId="18" applyNumberFormat="0" applyAlignment="0" applyProtection="0"/>
    <xf numFmtId="0" fontId="34" fillId="17" borderId="12" applyNumberFormat="0" applyAlignment="0" applyProtection="0"/>
    <xf numFmtId="0" fontId="47" fillId="0" borderId="19" applyNumberFormat="0" applyFill="0" applyAlignment="0" applyProtection="0"/>
    <xf numFmtId="0" fontId="48" fillId="29" borderId="12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0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2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12" fillId="7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9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0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0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38" fontId="16" fillId="0" borderId="7" xfId="628" applyFont="1" applyFill="1" applyBorder="1" applyAlignment="1">
      <alignment wrapText="1"/>
    </xf>
    <xf numFmtId="0" fontId="51" fillId="0" borderId="7" xfId="0" applyFont="1" applyFill="1" applyBorder="1" applyAlignment="1"/>
    <xf numFmtId="0" fontId="52" fillId="0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14" fontId="16" fillId="13" borderId="7" xfId="0" applyNumberFormat="1" applyFont="1" applyFill="1" applyBorder="1" applyAlignment="1">
      <alignment horizontal="left" vertical="center"/>
    </xf>
    <xf numFmtId="0" fontId="16" fillId="13" borderId="0" xfId="0" applyFont="1" applyFill="1" applyAlignment="1">
      <alignment vertical="center"/>
    </xf>
    <xf numFmtId="0" fontId="6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7" borderId="21" xfId="0" applyFont="1" applyFill="1" applyBorder="1" applyAlignment="1">
      <alignment vertical="center"/>
    </xf>
    <xf numFmtId="0" fontId="12" fillId="7" borderId="22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0" fontId="12" fillId="7" borderId="28" xfId="0" applyFont="1" applyFill="1" applyBorder="1" applyAlignment="1">
      <alignment vertical="center"/>
    </xf>
    <xf numFmtId="0" fontId="4" fillId="0" borderId="29" xfId="0" applyFont="1" applyFill="1" applyBorder="1" applyAlignment="1">
      <alignment vertical="center"/>
    </xf>
    <xf numFmtId="0" fontId="6" fillId="5" borderId="29" xfId="0" applyFont="1" applyFill="1" applyBorder="1" applyAlignment="1">
      <alignment vertical="center"/>
    </xf>
    <xf numFmtId="0" fontId="4" fillId="0" borderId="2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vertical="center"/>
    </xf>
    <xf numFmtId="0" fontId="6" fillId="0" borderId="30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31" xfId="0" applyFont="1" applyFill="1" applyBorder="1" applyAlignment="1">
      <alignment horizontal="left" vertical="center"/>
    </xf>
    <xf numFmtId="0" fontId="4" fillId="3" borderId="3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4" fillId="0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8" fillId="0" borderId="33" xfId="0" applyFont="1" applyBorder="1" applyAlignment="1">
      <alignment vertical="center"/>
    </xf>
    <xf numFmtId="177" fontId="8" fillId="0" borderId="33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0" xfId="0" applyFont="1" applyFill="1" applyBorder="1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176" fontId="4" fillId="0" borderId="35" xfId="0" applyNumberFormat="1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36" xfId="0" applyFont="1" applyFill="1" applyBorder="1" applyAlignment="1">
      <alignment vertical="center"/>
    </xf>
    <xf numFmtId="0" fontId="8" fillId="0" borderId="37" xfId="0" applyFont="1" applyBorder="1" applyAlignment="1">
      <alignment vertical="center"/>
    </xf>
    <xf numFmtId="177" fontId="8" fillId="0" borderId="37" xfId="0" applyNumberFormat="1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176" fontId="4" fillId="0" borderId="39" xfId="0" applyNumberFormat="1" applyFont="1" applyFill="1" applyBorder="1" applyAlignment="1">
      <alignment horizontal="center" vertical="center"/>
    </xf>
    <xf numFmtId="0" fontId="6" fillId="5" borderId="39" xfId="0" applyFont="1" applyFill="1" applyBorder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6" fillId="5" borderId="40" xfId="0" applyFont="1" applyFill="1" applyBorder="1" applyAlignment="1">
      <alignment vertical="center"/>
    </xf>
    <xf numFmtId="0" fontId="8" fillId="0" borderId="41" xfId="0" applyFont="1" applyBorder="1" applyAlignment="1">
      <alignment vertical="center"/>
    </xf>
    <xf numFmtId="177" fontId="8" fillId="0" borderId="41" xfId="0" applyNumberFormat="1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3" borderId="29" xfId="0" applyFont="1" applyFill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6" fillId="5" borderId="44" xfId="0" applyFont="1" applyFill="1" applyBorder="1" applyAlignment="1">
      <alignment vertical="center"/>
    </xf>
    <xf numFmtId="0" fontId="6" fillId="5" borderId="45" xfId="0" applyFont="1" applyFill="1" applyBorder="1" applyAlignment="1">
      <alignment vertical="center"/>
    </xf>
    <xf numFmtId="0" fontId="6" fillId="5" borderId="46" xfId="0" applyFont="1" applyFill="1" applyBorder="1" applyAlignment="1">
      <alignment vertical="center"/>
    </xf>
    <xf numFmtId="0" fontId="16" fillId="6" borderId="2" xfId="614" applyFont="1" applyFill="1" applyBorder="1" applyAlignment="1">
      <alignment horizontal="left"/>
    </xf>
    <xf numFmtId="0" fontId="16" fillId="3" borderId="2" xfId="614" applyFont="1" applyFill="1" applyBorder="1" applyAlignment="1">
      <alignment horizontal="left"/>
    </xf>
    <xf numFmtId="0" fontId="0" fillId="6" borderId="2" xfId="615" applyFont="1" applyFill="1" applyBorder="1"/>
    <xf numFmtId="0" fontId="0" fillId="0" borderId="10" xfId="0" applyBorder="1"/>
    <xf numFmtId="0" fontId="51" fillId="0" borderId="10" xfId="0" applyFont="1" applyFill="1" applyBorder="1" applyAlignment="1"/>
    <xf numFmtId="0" fontId="0" fillId="0" borderId="47" xfId="0" applyBorder="1"/>
    <xf numFmtId="0" fontId="51" fillId="0" borderId="23" xfId="0" applyFont="1" applyFill="1" applyBorder="1" applyAlignment="1"/>
    <xf numFmtId="0" fontId="0" fillId="0" borderId="22" xfId="0" applyBorder="1"/>
    <xf numFmtId="0" fontId="0" fillId="0" borderId="48" xfId="0" applyBorder="1"/>
    <xf numFmtId="0" fontId="0" fillId="0" borderId="0" xfId="0" applyBorder="1"/>
    <xf numFmtId="0" fontId="0" fillId="0" borderId="49" xfId="0" applyBorder="1"/>
    <xf numFmtId="0" fontId="51" fillId="0" borderId="29" xfId="0" applyFont="1" applyFill="1" applyBorder="1" applyAlignment="1"/>
    <xf numFmtId="0" fontId="0" fillId="0" borderId="28" xfId="0" applyBorder="1"/>
    <xf numFmtId="0" fontId="27" fillId="6" borderId="2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  <xf numFmtId="0" fontId="16" fillId="15" borderId="2" xfId="0" applyFont="1" applyFill="1" applyBorder="1" applyAlignment="1">
      <alignment horizontal="center"/>
    </xf>
    <xf numFmtId="0" fontId="16" fillId="14" borderId="2" xfId="0" applyFont="1" applyFill="1" applyBorder="1" applyAlignment="1">
      <alignment horizontal="center"/>
    </xf>
    <xf numFmtId="56" fontId="16" fillId="14" borderId="2" xfId="0" applyNumberFormat="1" applyFont="1" applyFill="1" applyBorder="1" applyAlignment="1">
      <alignment horizontal="center"/>
    </xf>
    <xf numFmtId="0" fontId="0" fillId="15" borderId="2" xfId="0" applyFill="1" applyBorder="1"/>
    <xf numFmtId="0" fontId="27" fillId="0" borderId="10" xfId="0" applyFont="1" applyFill="1" applyBorder="1"/>
    <xf numFmtId="0" fontId="28" fillId="0" borderId="10" xfId="0" applyFont="1" applyFill="1" applyBorder="1"/>
    <xf numFmtId="0" fontId="31" fillId="0" borderId="10" xfId="0" applyFont="1" applyFill="1" applyBorder="1"/>
    <xf numFmtId="0" fontId="30" fillId="0" borderId="10" xfId="0" applyFont="1" applyFill="1" applyBorder="1"/>
    <xf numFmtId="0" fontId="31" fillId="14" borderId="10" xfId="0" applyFont="1" applyFill="1" applyBorder="1"/>
    <xf numFmtId="38" fontId="16" fillId="14" borderId="10" xfId="628" applyFont="1" applyFill="1" applyBorder="1" applyAlignment="1"/>
    <xf numFmtId="0" fontId="27" fillId="0" borderId="47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1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0" borderId="23" xfId="0" applyFont="1" applyFill="1" applyBorder="1"/>
    <xf numFmtId="0" fontId="31" fillId="14" borderId="23" xfId="0" applyFont="1" applyFill="1" applyBorder="1"/>
    <xf numFmtId="38" fontId="16" fillId="14" borderId="23" xfId="628" applyFont="1" applyFill="1" applyBorder="1" applyAlignment="1"/>
    <xf numFmtId="0" fontId="0" fillId="0" borderId="23" xfId="0" applyBorder="1"/>
    <xf numFmtId="0" fontId="27" fillId="0" borderId="48" xfId="0" applyFont="1" applyFill="1" applyBorder="1"/>
    <xf numFmtId="0" fontId="27" fillId="0" borderId="49" xfId="0" applyFont="1" applyFill="1" applyBorder="1"/>
    <xf numFmtId="0" fontId="28" fillId="0" borderId="29" xfId="0" applyFont="1" applyFill="1" applyBorder="1"/>
    <xf numFmtId="0" fontId="29" fillId="3" borderId="50" xfId="0" applyFont="1" applyFill="1" applyBorder="1" applyAlignment="1">
      <alignment vertical="center"/>
    </xf>
    <xf numFmtId="0" fontId="31" fillId="0" borderId="29" xfId="0" applyFont="1" applyFill="1" applyBorder="1"/>
    <xf numFmtId="0" fontId="29" fillId="0" borderId="50" xfId="0" applyFont="1" applyFill="1" applyBorder="1" applyAlignment="1">
      <alignment vertical="center"/>
    </xf>
    <xf numFmtId="0" fontId="30" fillId="0" borderId="29" xfId="0" applyFont="1" applyFill="1" applyBorder="1"/>
    <xf numFmtId="0" fontId="31" fillId="14" borderId="29" xfId="0" applyFont="1" applyFill="1" applyBorder="1"/>
    <xf numFmtId="38" fontId="16" fillId="14" borderId="29" xfId="628" applyFont="1" applyFill="1" applyBorder="1" applyAlignment="1"/>
    <xf numFmtId="0" fontId="0" fillId="0" borderId="29" xfId="0" applyBorder="1"/>
    <xf numFmtId="0" fontId="27" fillId="0" borderId="2" xfId="0" applyFont="1" applyFill="1" applyBorder="1"/>
    <xf numFmtId="0" fontId="28" fillId="0" borderId="2" xfId="0" applyFont="1" applyFill="1" applyBorder="1"/>
    <xf numFmtId="0" fontId="29" fillId="3" borderId="51" xfId="0" applyFont="1" applyFill="1" applyBorder="1" applyAlignment="1">
      <alignment vertical="center"/>
    </xf>
    <xf numFmtId="0" fontId="30" fillId="0" borderId="2" xfId="0" applyFont="1" applyFill="1" applyBorder="1"/>
    <xf numFmtId="0" fontId="29" fillId="0" borderId="51" xfId="0" applyFont="1" applyFill="1" applyBorder="1" applyAlignment="1">
      <alignment vertical="center"/>
    </xf>
    <xf numFmtId="0" fontId="30" fillId="30" borderId="2" xfId="0" applyFont="1" applyFill="1" applyBorder="1"/>
    <xf numFmtId="0" fontId="30" fillId="14" borderId="2" xfId="0" applyFont="1" applyFill="1" applyBorder="1"/>
    <xf numFmtId="0" fontId="31" fillId="0" borderId="2" xfId="0" applyFont="1" applyFill="1" applyBorder="1"/>
    <xf numFmtId="38" fontId="16" fillId="0" borderId="2" xfId="628" applyFont="1" applyFill="1" applyBorder="1" applyAlignment="1">
      <alignment wrapText="1"/>
    </xf>
    <xf numFmtId="0" fontId="0" fillId="0" borderId="2" xfId="0" applyBorder="1"/>
    <xf numFmtId="0" fontId="30" fillId="30" borderId="23" xfId="0" applyFont="1" applyFill="1" applyBorder="1"/>
    <xf numFmtId="0" fontId="30" fillId="14" borderId="23" xfId="0" applyFont="1" applyFill="1" applyBorder="1"/>
    <xf numFmtId="38" fontId="16" fillId="0" borderId="23" xfId="628" applyFont="1" applyFill="1" applyBorder="1" applyAlignment="1">
      <alignment wrapText="1"/>
    </xf>
    <xf numFmtId="0" fontId="30" fillId="30" borderId="29" xfId="0" applyFont="1" applyFill="1" applyBorder="1"/>
    <xf numFmtId="0" fontId="30" fillId="14" borderId="29" xfId="0" applyFont="1" applyFill="1" applyBorder="1"/>
    <xf numFmtId="38" fontId="16" fillId="0" borderId="29" xfId="628" applyFont="1" applyFill="1" applyBorder="1" applyAlignment="1">
      <alignment wrapText="1"/>
    </xf>
  </cellXfs>
  <cellStyles count="98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30001</v>
          </cell>
        </row>
        <row r="110">
          <cell r="A110">
            <v>30002</v>
          </cell>
        </row>
        <row r="111">
          <cell r="A111">
            <v>30003</v>
          </cell>
        </row>
        <row r="112">
          <cell r="A112">
            <v>30004</v>
          </cell>
        </row>
        <row r="113">
          <cell r="A113">
            <v>30005</v>
          </cell>
        </row>
        <row r="114">
          <cell r="A114">
            <v>30006</v>
          </cell>
        </row>
        <row r="115">
          <cell r="A115">
            <v>30007</v>
          </cell>
        </row>
        <row r="116">
          <cell r="A116">
            <v>30008</v>
          </cell>
        </row>
        <row r="117">
          <cell r="A117">
            <v>30009</v>
          </cell>
        </row>
        <row r="118">
          <cell r="A118">
            <v>30010</v>
          </cell>
        </row>
        <row r="119">
          <cell r="A119">
            <v>30011</v>
          </cell>
        </row>
        <row r="120">
          <cell r="A120">
            <v>30012</v>
          </cell>
        </row>
        <row r="121">
          <cell r="A121">
            <v>30013</v>
          </cell>
        </row>
        <row r="122">
          <cell r="A122">
            <v>30014</v>
          </cell>
        </row>
        <row r="123">
          <cell r="A123">
            <v>30015</v>
          </cell>
        </row>
        <row r="124">
          <cell r="A124">
            <v>30016</v>
          </cell>
        </row>
        <row r="125">
          <cell r="A125">
            <v>30017</v>
          </cell>
        </row>
        <row r="126">
          <cell r="A126">
            <v>30018</v>
          </cell>
        </row>
        <row r="127">
          <cell r="A127">
            <v>30019</v>
          </cell>
        </row>
        <row r="128">
          <cell r="A128">
            <v>30020</v>
          </cell>
        </row>
        <row r="129">
          <cell r="A129">
            <v>30021</v>
          </cell>
        </row>
        <row r="130">
          <cell r="A130">
            <v>30022</v>
          </cell>
        </row>
        <row r="131">
          <cell r="A131">
            <v>30023</v>
          </cell>
        </row>
        <row r="132">
          <cell r="A132">
            <v>30024</v>
          </cell>
        </row>
        <row r="133">
          <cell r="A133">
            <v>30025</v>
          </cell>
        </row>
        <row r="134">
          <cell r="A134">
            <v>30026</v>
          </cell>
        </row>
        <row r="135">
          <cell r="A135">
            <v>30027</v>
          </cell>
        </row>
        <row r="136">
          <cell r="A136">
            <v>30028</v>
          </cell>
        </row>
        <row r="137">
          <cell r="A137">
            <v>30029</v>
          </cell>
        </row>
        <row r="138">
          <cell r="A138">
            <v>30030</v>
          </cell>
        </row>
        <row r="139">
          <cell r="A139">
            <v>30031</v>
          </cell>
        </row>
        <row r="140">
          <cell r="A140">
            <v>30032</v>
          </cell>
        </row>
        <row r="141">
          <cell r="A141">
            <v>30033</v>
          </cell>
        </row>
        <row r="142">
          <cell r="A142">
            <v>30034</v>
          </cell>
        </row>
        <row r="143">
          <cell r="A143">
            <v>39001</v>
          </cell>
        </row>
        <row r="144">
          <cell r="A144">
            <v>39002</v>
          </cell>
        </row>
        <row r="145">
          <cell r="A145">
            <v>39003</v>
          </cell>
        </row>
        <row r="146">
          <cell r="A146">
            <v>40001</v>
          </cell>
        </row>
        <row r="147">
          <cell r="A147">
            <v>40002</v>
          </cell>
        </row>
        <row r="148">
          <cell r="A148">
            <v>40003</v>
          </cell>
        </row>
        <row r="149">
          <cell r="A149">
            <v>40004</v>
          </cell>
        </row>
        <row r="150">
          <cell r="A150">
            <v>40005</v>
          </cell>
        </row>
        <row r="151">
          <cell r="A151">
            <v>40006</v>
          </cell>
        </row>
        <row r="152">
          <cell r="A152">
            <v>40007</v>
          </cell>
        </row>
        <row r="153">
          <cell r="A153">
            <v>40008</v>
          </cell>
        </row>
        <row r="154">
          <cell r="A154">
            <v>40009</v>
          </cell>
        </row>
        <row r="155">
          <cell r="A155">
            <v>40010</v>
          </cell>
        </row>
        <row r="156">
          <cell r="A156">
            <v>40011</v>
          </cell>
        </row>
        <row r="157">
          <cell r="A157">
            <v>40012</v>
          </cell>
        </row>
        <row r="158">
          <cell r="A158">
            <v>40013</v>
          </cell>
        </row>
        <row r="159">
          <cell r="A159">
            <v>40014</v>
          </cell>
        </row>
        <row r="160">
          <cell r="A160">
            <v>40015</v>
          </cell>
        </row>
        <row r="161">
          <cell r="A161">
            <v>40016</v>
          </cell>
        </row>
        <row r="162">
          <cell r="A162">
            <v>40017</v>
          </cell>
        </row>
        <row r="163">
          <cell r="A163">
            <v>41001</v>
          </cell>
        </row>
        <row r="164">
          <cell r="A164">
            <v>41002</v>
          </cell>
        </row>
        <row r="165">
          <cell r="A165">
            <v>41003</v>
          </cell>
        </row>
        <row r="166">
          <cell r="A166">
            <v>41004</v>
          </cell>
        </row>
        <row r="167">
          <cell r="A167">
            <v>49001</v>
          </cell>
        </row>
        <row r="168">
          <cell r="A168">
            <v>49002</v>
          </cell>
        </row>
        <row r="169">
          <cell r="A169">
            <v>49003</v>
          </cell>
        </row>
        <row r="170">
          <cell r="A170">
            <v>50001</v>
          </cell>
        </row>
        <row r="171">
          <cell r="A171">
            <v>50002</v>
          </cell>
        </row>
        <row r="172">
          <cell r="A172">
            <v>50003</v>
          </cell>
        </row>
        <row r="173">
          <cell r="A173">
            <v>60001</v>
          </cell>
        </row>
        <row r="174">
          <cell r="A174">
            <v>60002</v>
          </cell>
        </row>
        <row r="175">
          <cell r="A175">
            <v>60003</v>
          </cell>
        </row>
        <row r="176">
          <cell r="A176">
            <v>60004</v>
          </cell>
        </row>
        <row r="177">
          <cell r="A177">
            <v>60005</v>
          </cell>
        </row>
        <row r="178">
          <cell r="A178">
            <v>60006</v>
          </cell>
        </row>
        <row r="179">
          <cell r="A179">
            <v>60007</v>
          </cell>
        </row>
        <row r="180">
          <cell r="A180">
            <v>60010</v>
          </cell>
        </row>
        <row r="181">
          <cell r="A181">
            <v>65535</v>
          </cell>
        </row>
        <row r="182">
          <cell r="A182">
            <v>60021</v>
          </cell>
        </row>
        <row r="183">
          <cell r="A183">
            <v>60022</v>
          </cell>
        </row>
        <row r="184">
          <cell r="A184">
            <v>60023</v>
          </cell>
        </row>
        <row r="185">
          <cell r="A185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1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1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11101_1</v>
          </cell>
          <cell r="B223">
            <v>3</v>
          </cell>
          <cell r="C223">
            <v>11101</v>
          </cell>
          <cell r="D223" t="str">
            <v>【マルチ専用】 黄の素材</v>
          </cell>
          <cell r="E223" t="str">
            <v>月曜クエスト</v>
          </cell>
          <cell r="F223">
            <v>1</v>
          </cell>
          <cell r="G223" t="str">
            <v>ja</v>
          </cell>
          <cell r="H223" t="str">
            <v>【初級】雷のチェシャ猫</v>
          </cell>
          <cell r="I223" t="str">
            <v>初級</v>
          </cell>
          <cell r="J223">
            <v>113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101</v>
          </cell>
          <cell r="AD223">
            <v>6</v>
          </cell>
          <cell r="AE223" t="str">
            <v>multionly</v>
          </cell>
        </row>
        <row r="224">
          <cell r="A224" t="str">
            <v>11101_2</v>
          </cell>
          <cell r="B224">
            <v>3</v>
          </cell>
          <cell r="C224">
            <v>11101</v>
          </cell>
          <cell r="D224" t="str">
            <v>【マルチ専用】 黄の素材</v>
          </cell>
          <cell r="E224" t="str">
            <v>月曜クエスト</v>
          </cell>
          <cell r="F224">
            <v>2</v>
          </cell>
          <cell r="G224" t="str">
            <v>ja</v>
          </cell>
          <cell r="H224" t="str">
            <v xml:space="preserve">【中級】雷のウサギ </v>
          </cell>
          <cell r="I224" t="str">
            <v>中級</v>
          </cell>
          <cell r="J224">
            <v>114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101</v>
          </cell>
          <cell r="AD224">
            <v>6</v>
          </cell>
          <cell r="AE224" t="str">
            <v>multionly</v>
          </cell>
        </row>
        <row r="225">
          <cell r="A225" t="str">
            <v>11101_3</v>
          </cell>
          <cell r="B225">
            <v>0</v>
          </cell>
          <cell r="C225">
            <v>11101</v>
          </cell>
          <cell r="D225" t="str">
            <v>【マルチ専用】 黄の素材</v>
          </cell>
          <cell r="E225" t="str">
            <v>月曜クエスト</v>
          </cell>
          <cell r="F225">
            <v>3</v>
          </cell>
          <cell r="G225" t="str">
            <v>ja</v>
          </cell>
          <cell r="H225" t="str">
            <v>【上級】雷のイモムシ</v>
          </cell>
          <cell r="I225" t="str">
            <v>上級</v>
          </cell>
          <cell r="J225">
            <v>115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101</v>
          </cell>
          <cell r="AD225">
            <v>6</v>
          </cell>
          <cell r="AE225" t="str">
            <v>multionly</v>
          </cell>
        </row>
        <row r="226">
          <cell r="A226" t="str">
            <v>11101_4</v>
          </cell>
          <cell r="B226">
            <v>3</v>
          </cell>
          <cell r="C226">
            <v>11101</v>
          </cell>
          <cell r="D226" t="str">
            <v>【マルチ専用】 黄の素材</v>
          </cell>
          <cell r="E226" t="str">
            <v>月曜クエスト</v>
          </cell>
          <cell r="F226">
            <v>4</v>
          </cell>
          <cell r="G226" t="str">
            <v>ja</v>
          </cell>
          <cell r="H226" t="str">
            <v>【上級】雷のイモムシ</v>
          </cell>
          <cell r="I226" t="str">
            <v>上級</v>
          </cell>
          <cell r="J226">
            <v>115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101</v>
          </cell>
          <cell r="AD226">
            <v>6</v>
          </cell>
          <cell r="AE226" t="str">
            <v>multionly</v>
          </cell>
        </row>
        <row r="227">
          <cell r="A227" t="str">
            <v>11101_10</v>
          </cell>
          <cell r="B227">
            <v>1</v>
          </cell>
          <cell r="C227">
            <v>11101</v>
          </cell>
          <cell r="D227" t="str">
            <v>【マルチ専用】 黄の素材</v>
          </cell>
          <cell r="E227" t="str">
            <v>月曜クエスト</v>
          </cell>
          <cell r="F227">
            <v>10</v>
          </cell>
          <cell r="G227" t="str">
            <v>ja</v>
          </cell>
          <cell r="H227" t="str">
            <v>【超絶級】ネズミ</v>
          </cell>
          <cell r="I227" t="str">
            <v>超絶級（★6覚醒素材）</v>
          </cell>
          <cell r="J227">
            <v>359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101</v>
          </cell>
          <cell r="AD227">
            <v>6</v>
          </cell>
          <cell r="AE227" t="str">
            <v>multionly</v>
          </cell>
        </row>
        <row r="228">
          <cell r="A228" t="str">
            <v>11102_1</v>
          </cell>
          <cell r="B228">
            <v>3</v>
          </cell>
          <cell r="C228">
            <v>11102</v>
          </cell>
          <cell r="D228" t="str">
            <v>【マルチ専用】 赤の素材</v>
          </cell>
          <cell r="E228" t="str">
            <v>火曜クエスト</v>
          </cell>
          <cell r="F228">
            <v>1</v>
          </cell>
          <cell r="G228" t="str">
            <v>ja</v>
          </cell>
          <cell r="H228" t="str">
            <v xml:space="preserve">【初級】火のチェシャ猫 </v>
          </cell>
          <cell r="I228" t="str">
            <v>初級</v>
          </cell>
          <cell r="J228">
            <v>101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102</v>
          </cell>
          <cell r="AD228">
            <v>6</v>
          </cell>
          <cell r="AE228" t="str">
            <v>multionly</v>
          </cell>
        </row>
        <row r="229">
          <cell r="A229" t="str">
            <v>11102_2</v>
          </cell>
          <cell r="B229">
            <v>3</v>
          </cell>
          <cell r="C229">
            <v>11102</v>
          </cell>
          <cell r="D229" t="str">
            <v>【マルチ専用】 赤の素材</v>
          </cell>
          <cell r="E229" t="str">
            <v>火曜クエスト</v>
          </cell>
          <cell r="F229">
            <v>2</v>
          </cell>
          <cell r="G229" t="str">
            <v>ja</v>
          </cell>
          <cell r="H229" t="str">
            <v xml:space="preserve">【中級】火のウサギ </v>
          </cell>
          <cell r="I229" t="str">
            <v>中級</v>
          </cell>
          <cell r="J229">
            <v>102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102</v>
          </cell>
          <cell r="AD229">
            <v>6</v>
          </cell>
          <cell r="AE229" t="str">
            <v>multionly</v>
          </cell>
        </row>
        <row r="230">
          <cell r="A230" t="str">
            <v>11102_3</v>
          </cell>
          <cell r="B230">
            <v>0</v>
          </cell>
          <cell r="C230">
            <v>11102</v>
          </cell>
          <cell r="D230" t="str">
            <v>【マルチ専用】 赤の素材</v>
          </cell>
          <cell r="E230" t="str">
            <v>火曜クエスト</v>
          </cell>
          <cell r="F230">
            <v>3</v>
          </cell>
          <cell r="G230" t="str">
            <v>ja</v>
          </cell>
          <cell r="H230" t="str">
            <v xml:space="preserve">【上級】火のイモムシ </v>
          </cell>
          <cell r="I230" t="str">
            <v>上級</v>
          </cell>
          <cell r="J230">
            <v>103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102</v>
          </cell>
          <cell r="AD230">
            <v>6</v>
          </cell>
          <cell r="AE230" t="str">
            <v>multionly</v>
          </cell>
        </row>
        <row r="231">
          <cell r="A231" t="str">
            <v>11102_4</v>
          </cell>
          <cell r="B231">
            <v>3</v>
          </cell>
          <cell r="C231">
            <v>11102</v>
          </cell>
          <cell r="D231" t="str">
            <v>【マルチ専用】 赤の素材</v>
          </cell>
          <cell r="E231" t="str">
            <v>火曜クエスト</v>
          </cell>
          <cell r="F231">
            <v>4</v>
          </cell>
          <cell r="G231" t="str">
            <v>ja</v>
          </cell>
          <cell r="H231" t="str">
            <v xml:space="preserve">【上級】火のイモムシ </v>
          </cell>
          <cell r="I231" t="str">
            <v>上級</v>
          </cell>
          <cell r="J231">
            <v>103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102</v>
          </cell>
          <cell r="AD231">
            <v>6</v>
          </cell>
          <cell r="AE231" t="str">
            <v>multionly</v>
          </cell>
        </row>
        <row r="232">
          <cell r="A232" t="str">
            <v>11102_10</v>
          </cell>
          <cell r="B232">
            <v>3</v>
          </cell>
          <cell r="C232">
            <v>11102</v>
          </cell>
          <cell r="D232" t="str">
            <v>【マルチ専用】 赤の素材</v>
          </cell>
          <cell r="E232" t="str">
            <v>火曜クエスト</v>
          </cell>
          <cell r="F232">
            <v>10</v>
          </cell>
          <cell r="G232" t="str">
            <v>ja</v>
          </cell>
          <cell r="H232" t="str">
            <v>【超絶級】ドードー</v>
          </cell>
          <cell r="I232" t="str">
            <v>超絶級（★6覚醒素材）</v>
          </cell>
          <cell r="J232">
            <v>356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102</v>
          </cell>
          <cell r="AD232">
            <v>6</v>
          </cell>
          <cell r="AE232" t="str">
            <v>multionly</v>
          </cell>
        </row>
        <row r="233">
          <cell r="A233" t="str">
            <v>11103_1</v>
          </cell>
          <cell r="B233">
            <v>3</v>
          </cell>
          <cell r="C233">
            <v>11103</v>
          </cell>
          <cell r="D233" t="str">
            <v>【マルチ専用】 青の素材</v>
          </cell>
          <cell r="E233" t="str">
            <v>水曜クエスト</v>
          </cell>
          <cell r="F233">
            <v>1</v>
          </cell>
          <cell r="G233" t="str">
            <v>ja</v>
          </cell>
          <cell r="H233" t="str">
            <v>【初級】水のチェシャ猫</v>
          </cell>
          <cell r="I233" t="str">
            <v>初級</v>
          </cell>
          <cell r="J233">
            <v>109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multionly</v>
          </cell>
        </row>
        <row r="234">
          <cell r="A234" t="str">
            <v>11103_2</v>
          </cell>
          <cell r="B234">
            <v>3</v>
          </cell>
          <cell r="C234">
            <v>11103</v>
          </cell>
          <cell r="D234" t="str">
            <v>【マルチ専用】 青の素材</v>
          </cell>
          <cell r="E234" t="str">
            <v>水曜クエスト</v>
          </cell>
          <cell r="F234">
            <v>2</v>
          </cell>
          <cell r="G234" t="str">
            <v>ja</v>
          </cell>
          <cell r="H234" t="str">
            <v xml:space="preserve">【中級】水のウサギ </v>
          </cell>
          <cell r="I234" t="str">
            <v>中級</v>
          </cell>
          <cell r="J234">
            <v>110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103</v>
          </cell>
          <cell r="AD234">
            <v>6</v>
          </cell>
          <cell r="AE234" t="str">
            <v>multionly</v>
          </cell>
        </row>
        <row r="235">
          <cell r="A235" t="str">
            <v>11103_3</v>
          </cell>
          <cell r="B235">
            <v>0</v>
          </cell>
          <cell r="C235">
            <v>11103</v>
          </cell>
          <cell r="D235" t="str">
            <v>【マルチ専用】 青の素材</v>
          </cell>
          <cell r="E235" t="str">
            <v>水曜クエスト</v>
          </cell>
          <cell r="F235">
            <v>3</v>
          </cell>
          <cell r="G235" t="str">
            <v>ja</v>
          </cell>
          <cell r="H235" t="str">
            <v xml:space="preserve">【上級】水のイモムシ </v>
          </cell>
          <cell r="I235" t="str">
            <v>上級</v>
          </cell>
          <cell r="J235">
            <v>111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103</v>
          </cell>
          <cell r="AD235">
            <v>6</v>
          </cell>
          <cell r="AE235" t="str">
            <v>multionly</v>
          </cell>
        </row>
        <row r="236">
          <cell r="A236" t="str">
            <v>11103_4</v>
          </cell>
          <cell r="B236">
            <v>3</v>
          </cell>
          <cell r="C236">
            <v>11103</v>
          </cell>
          <cell r="D236" t="str">
            <v>【マルチ専用】 青の素材</v>
          </cell>
          <cell r="E236" t="str">
            <v>水曜クエスト</v>
          </cell>
          <cell r="F236">
            <v>4</v>
          </cell>
          <cell r="G236" t="str">
            <v>ja</v>
          </cell>
          <cell r="H236" t="str">
            <v xml:space="preserve">【上級】水のイモムシ </v>
          </cell>
          <cell r="I236" t="str">
            <v>上級</v>
          </cell>
          <cell r="J236">
            <v>111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103</v>
          </cell>
          <cell r="AD236">
            <v>6</v>
          </cell>
          <cell r="AE236" t="str">
            <v>multionly</v>
          </cell>
        </row>
        <row r="237">
          <cell r="A237" t="str">
            <v>11103_10</v>
          </cell>
          <cell r="B237">
            <v>1</v>
          </cell>
          <cell r="C237">
            <v>11103</v>
          </cell>
          <cell r="D237" t="str">
            <v>【マルチ専用】 青の素材</v>
          </cell>
          <cell r="E237" t="str">
            <v>水曜クエスト</v>
          </cell>
          <cell r="F237">
            <v>10</v>
          </cell>
          <cell r="G237" t="str">
            <v>ja</v>
          </cell>
          <cell r="H237" t="str">
            <v>【超絶級】ウミガメ</v>
          </cell>
          <cell r="I237" t="str">
            <v>超絶級（★6覚醒素材）</v>
          </cell>
          <cell r="J237">
            <v>358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multionly</v>
          </cell>
        </row>
        <row r="238">
          <cell r="A238" t="str">
            <v>11104_1</v>
          </cell>
          <cell r="B238">
            <v>3</v>
          </cell>
          <cell r="C238">
            <v>11104</v>
          </cell>
          <cell r="D238" t="str">
            <v>【マルチ専用】 緑の素材</v>
          </cell>
          <cell r="E238" t="str">
            <v>木曜クエスト</v>
          </cell>
          <cell r="F238">
            <v>1</v>
          </cell>
          <cell r="G238" t="str">
            <v>ja</v>
          </cell>
          <cell r="H238" t="str">
            <v xml:space="preserve">【初級】樹のチェシャ猫 </v>
          </cell>
          <cell r="I238" t="str">
            <v>初級</v>
          </cell>
          <cell r="J238">
            <v>105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104</v>
          </cell>
          <cell r="AD238">
            <v>6</v>
          </cell>
          <cell r="AE238" t="str">
            <v>multionly</v>
          </cell>
        </row>
        <row r="239">
          <cell r="A239" t="str">
            <v>11104_2</v>
          </cell>
          <cell r="B239">
            <v>3</v>
          </cell>
          <cell r="C239">
            <v>11104</v>
          </cell>
          <cell r="D239" t="str">
            <v>【マルチ専用】 緑の素材</v>
          </cell>
          <cell r="E239" t="str">
            <v>木曜クエスト</v>
          </cell>
          <cell r="F239">
            <v>2</v>
          </cell>
          <cell r="G239" t="str">
            <v>ja</v>
          </cell>
          <cell r="H239" t="str">
            <v xml:space="preserve">【中級】樹のウサギ </v>
          </cell>
          <cell r="I239" t="str">
            <v>中級</v>
          </cell>
          <cell r="J239">
            <v>106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104</v>
          </cell>
          <cell r="AD239">
            <v>6</v>
          </cell>
          <cell r="AE239" t="str">
            <v>multionly</v>
          </cell>
        </row>
        <row r="240">
          <cell r="A240" t="str">
            <v>11104_3</v>
          </cell>
          <cell r="B240">
            <v>0</v>
          </cell>
          <cell r="C240">
            <v>11104</v>
          </cell>
          <cell r="D240" t="str">
            <v>【マルチ専用】 緑の素材</v>
          </cell>
          <cell r="E240" t="str">
            <v>木曜クエスト</v>
          </cell>
          <cell r="F240">
            <v>3</v>
          </cell>
          <cell r="G240" t="str">
            <v>ja</v>
          </cell>
          <cell r="H240" t="str">
            <v>【上級】樹のイモムシ</v>
          </cell>
          <cell r="I240" t="str">
            <v>上級</v>
          </cell>
          <cell r="J240">
            <v>107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104</v>
          </cell>
          <cell r="AD240">
            <v>6</v>
          </cell>
          <cell r="AE240" t="str">
            <v>multionly</v>
          </cell>
        </row>
        <row r="241">
          <cell r="A241" t="str">
            <v>11104_4</v>
          </cell>
          <cell r="B241">
            <v>3</v>
          </cell>
          <cell r="C241">
            <v>11104</v>
          </cell>
          <cell r="D241" t="str">
            <v>【マルチ専用】 緑の素材</v>
          </cell>
          <cell r="E241" t="str">
            <v>木曜クエスト</v>
          </cell>
          <cell r="F241">
            <v>4</v>
          </cell>
          <cell r="G241" t="str">
            <v>ja</v>
          </cell>
          <cell r="H241" t="str">
            <v>【上級】樹のイモムシ</v>
          </cell>
          <cell r="I241" t="str">
            <v>上級</v>
          </cell>
          <cell r="J241">
            <v>107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104</v>
          </cell>
          <cell r="AD241">
            <v>6</v>
          </cell>
          <cell r="AE241" t="str">
            <v>multionly</v>
          </cell>
        </row>
        <row r="242">
          <cell r="A242" t="str">
            <v>11104_10</v>
          </cell>
          <cell r="B242">
            <v>3</v>
          </cell>
          <cell r="C242">
            <v>11104</v>
          </cell>
          <cell r="D242" t="str">
            <v>【マルチ専用】 緑の素材</v>
          </cell>
          <cell r="E242" t="str">
            <v>木曜クエスト</v>
          </cell>
          <cell r="F242">
            <v>10</v>
          </cell>
          <cell r="G242" t="str">
            <v>ja</v>
          </cell>
          <cell r="H242" t="str">
            <v>【超絶級】グリフォン</v>
          </cell>
          <cell r="I242" t="str">
            <v>超絶級（★6覚醒素材）</v>
          </cell>
          <cell r="J242">
            <v>357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104</v>
          </cell>
          <cell r="AD242">
            <v>6</v>
          </cell>
          <cell r="AE242" t="str">
            <v>multionly</v>
          </cell>
        </row>
        <row r="243">
          <cell r="A243" t="str">
            <v>11105_1</v>
          </cell>
          <cell r="B243">
            <v>3</v>
          </cell>
          <cell r="C243">
            <v>11105</v>
          </cell>
          <cell r="D243" t="str">
            <v>【マルチ専用】 帽子屋を追え！</v>
          </cell>
          <cell r="E243" t="str">
            <v>金曜クエスト</v>
          </cell>
          <cell r="F243">
            <v>1</v>
          </cell>
          <cell r="G243" t="str">
            <v>ja</v>
          </cell>
          <cell r="H243" t="str">
            <v xml:space="preserve">【超級】火の帽子屋 </v>
          </cell>
          <cell r="I243" t="str">
            <v>赤R5</v>
          </cell>
          <cell r="J243">
            <v>104</v>
          </cell>
          <cell r="K243">
            <v>30</v>
          </cell>
          <cell r="L243">
            <v>1400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multionly</v>
          </cell>
        </row>
        <row r="244">
          <cell r="A244" t="str">
            <v>11105_2</v>
          </cell>
          <cell r="B244">
            <v>3</v>
          </cell>
          <cell r="C244">
            <v>11105</v>
          </cell>
          <cell r="D244" t="str">
            <v>【マルチ専用】 帽子屋を追え！</v>
          </cell>
          <cell r="E244" t="str">
            <v>金曜クエスト</v>
          </cell>
          <cell r="F244">
            <v>2</v>
          </cell>
          <cell r="G244" t="str">
            <v>ja</v>
          </cell>
          <cell r="H244" t="str">
            <v>【超級】樹の帽子屋</v>
          </cell>
          <cell r="I244" t="str">
            <v>緑R5</v>
          </cell>
          <cell r="J244">
            <v>108</v>
          </cell>
          <cell r="K244">
            <v>30</v>
          </cell>
          <cell r="L244">
            <v>1400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104</v>
          </cell>
          <cell r="AD244">
            <v>6</v>
          </cell>
          <cell r="AE244" t="str">
            <v>multionly</v>
          </cell>
        </row>
        <row r="245">
          <cell r="A245" t="str">
            <v>11105_3</v>
          </cell>
          <cell r="B245">
            <v>3</v>
          </cell>
          <cell r="C245">
            <v>11105</v>
          </cell>
          <cell r="D245" t="str">
            <v>【マルチ専用】 帽子屋を追え！</v>
          </cell>
          <cell r="E245" t="str">
            <v>金曜クエスト</v>
          </cell>
          <cell r="F245">
            <v>3</v>
          </cell>
          <cell r="G245" t="str">
            <v>ja</v>
          </cell>
          <cell r="H245" t="str">
            <v xml:space="preserve">【超級】水の帽子屋 </v>
          </cell>
          <cell r="I245" t="str">
            <v>青R5</v>
          </cell>
          <cell r="J245">
            <v>112</v>
          </cell>
          <cell r="K245">
            <v>30</v>
          </cell>
          <cell r="L245">
            <v>1400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multionly</v>
          </cell>
        </row>
        <row r="246">
          <cell r="A246" t="str">
            <v>11105_4</v>
          </cell>
          <cell r="B246">
            <v>3</v>
          </cell>
          <cell r="C246">
            <v>11105</v>
          </cell>
          <cell r="D246" t="str">
            <v>【マルチ専用】 帽子屋を追え！</v>
          </cell>
          <cell r="E246" t="str">
            <v>金曜クエスト</v>
          </cell>
          <cell r="F246">
            <v>4</v>
          </cell>
          <cell r="G246" t="str">
            <v>ja</v>
          </cell>
          <cell r="H246" t="str">
            <v xml:space="preserve">【超級】雷の帽子屋 </v>
          </cell>
          <cell r="I246" t="str">
            <v>黄R5</v>
          </cell>
          <cell r="J246">
            <v>116</v>
          </cell>
          <cell r="K246">
            <v>30</v>
          </cell>
          <cell r="L246">
            <v>1400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101</v>
          </cell>
          <cell r="AD246">
            <v>6</v>
          </cell>
          <cell r="AE246" t="str">
            <v>multionly</v>
          </cell>
        </row>
        <row r="247">
          <cell r="A247" t="str">
            <v>11106_1</v>
          </cell>
          <cell r="B247">
            <v>0</v>
          </cell>
          <cell r="C247">
            <v>11106</v>
          </cell>
          <cell r="D247" t="str">
            <v>【キャンペーン限定】 ゴールドカジノ</v>
          </cell>
          <cell r="E247" t="str">
            <v>土日クエスト1</v>
          </cell>
          <cell r="F247">
            <v>1</v>
          </cell>
          <cell r="G247" t="str">
            <v>ja</v>
          </cell>
          <cell r="H247" t="str">
            <v xml:space="preserve">【初級】ゴールドカジノ </v>
          </cell>
          <cell r="I247" t="str">
            <v>初級</v>
          </cell>
          <cell r="J247">
            <v>117</v>
          </cell>
          <cell r="K247">
            <v>8</v>
          </cell>
          <cell r="L247">
            <v>140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105</v>
          </cell>
          <cell r="AD247">
            <v>6</v>
          </cell>
          <cell r="AE247" t="str">
            <v>everyone</v>
          </cell>
        </row>
        <row r="248">
          <cell r="A248" t="str">
            <v>11106_2</v>
          </cell>
          <cell r="B248">
            <v>0</v>
          </cell>
          <cell r="C248">
            <v>11106</v>
          </cell>
          <cell r="D248" t="str">
            <v>【キャンペーン限定】 ゴールドカジノ</v>
          </cell>
          <cell r="E248" t="str">
            <v>土日クエスト1</v>
          </cell>
          <cell r="F248">
            <v>2</v>
          </cell>
          <cell r="G248" t="str">
            <v>ja</v>
          </cell>
          <cell r="H248" t="str">
            <v xml:space="preserve">【中級】ゴールドカジノ </v>
          </cell>
          <cell r="I248" t="str">
            <v>中級</v>
          </cell>
          <cell r="J248">
            <v>118</v>
          </cell>
          <cell r="K248">
            <v>15</v>
          </cell>
          <cell r="L248">
            <v>350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105</v>
          </cell>
          <cell r="AD248">
            <v>6</v>
          </cell>
          <cell r="AE248" t="str">
            <v>everyone</v>
          </cell>
        </row>
        <row r="249">
          <cell r="A249" t="str">
            <v>11106_3</v>
          </cell>
          <cell r="B249">
            <v>0</v>
          </cell>
          <cell r="C249">
            <v>11106</v>
          </cell>
          <cell r="D249" t="str">
            <v>【キャンペーン限定】 ゴールドカジノ</v>
          </cell>
          <cell r="E249" t="str">
            <v>土日クエスト1</v>
          </cell>
          <cell r="F249">
            <v>3</v>
          </cell>
          <cell r="G249" t="str">
            <v>ja</v>
          </cell>
          <cell r="H249" t="str">
            <v xml:space="preserve">【上級】ゴールドカジノ </v>
          </cell>
          <cell r="I249" t="str">
            <v>上級</v>
          </cell>
          <cell r="J249">
            <v>119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105</v>
          </cell>
          <cell r="AD249">
            <v>6</v>
          </cell>
          <cell r="AE249" t="str">
            <v>everyone</v>
          </cell>
        </row>
        <row r="250">
          <cell r="A250" t="str">
            <v>11206_1</v>
          </cell>
          <cell r="B250">
            <v>0</v>
          </cell>
          <cell r="C250">
            <v>11206</v>
          </cell>
          <cell r="D250" t="str">
            <v>【キャンペーン限定】 ゴールドカジノ</v>
          </cell>
          <cell r="E250" t="str">
            <v>土日クエスト2</v>
          </cell>
          <cell r="F250">
            <v>1</v>
          </cell>
          <cell r="G250" t="str">
            <v>ja</v>
          </cell>
          <cell r="H250" t="str">
            <v>【初級】ゴールドカジノ</v>
          </cell>
          <cell r="I250" t="str">
            <v>初級</v>
          </cell>
          <cell r="J250">
            <v>117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105</v>
          </cell>
          <cell r="AD250">
            <v>6</v>
          </cell>
          <cell r="AE250" t="str">
            <v>everyone</v>
          </cell>
        </row>
        <row r="251">
          <cell r="A251" t="str">
            <v>11206_2</v>
          </cell>
          <cell r="B251">
            <v>0</v>
          </cell>
          <cell r="C251">
            <v>11206</v>
          </cell>
          <cell r="D251" t="str">
            <v>【キャンペーン限定】 ゴールドカジノ</v>
          </cell>
          <cell r="E251" t="str">
            <v>土日クエスト2</v>
          </cell>
          <cell r="F251">
            <v>2</v>
          </cell>
          <cell r="G251" t="str">
            <v>ja</v>
          </cell>
          <cell r="H251" t="str">
            <v xml:space="preserve">【中級】ゴールドカジノ </v>
          </cell>
          <cell r="I251" t="str">
            <v>中級</v>
          </cell>
          <cell r="J251">
            <v>118</v>
          </cell>
          <cell r="K251">
            <v>15</v>
          </cell>
          <cell r="L251">
            <v>350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11206_3</v>
          </cell>
          <cell r="B252">
            <v>0</v>
          </cell>
          <cell r="C252">
            <v>11206</v>
          </cell>
          <cell r="D252" t="str">
            <v>【キャンペーン限定】 ゴールドカジノ</v>
          </cell>
          <cell r="E252" t="str">
            <v>土日クエスト2</v>
          </cell>
          <cell r="F252">
            <v>3</v>
          </cell>
          <cell r="G252" t="str">
            <v>ja</v>
          </cell>
          <cell r="H252" t="str">
            <v xml:space="preserve">【上級】ゴールドカジノ </v>
          </cell>
          <cell r="I252" t="str">
            <v>上級</v>
          </cell>
          <cell r="J252">
            <v>119</v>
          </cell>
          <cell r="K252">
            <v>20</v>
          </cell>
          <cell r="L252">
            <v>860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105</v>
          </cell>
          <cell r="AD252">
            <v>6</v>
          </cell>
          <cell r="AE252" t="str">
            <v>everyone</v>
          </cell>
        </row>
        <row r="253">
          <cell r="A253" t="str">
            <v>11016_1</v>
          </cell>
          <cell r="B253">
            <v>3</v>
          </cell>
          <cell r="C253">
            <v>11016</v>
          </cell>
          <cell r="D253" t="str">
            <v>【マルチ専用1/2】 ゴールドカジノ</v>
          </cell>
          <cell r="E253" t="str">
            <v>土日クエスト1</v>
          </cell>
          <cell r="F253">
            <v>1</v>
          </cell>
          <cell r="G253" t="str">
            <v>ja</v>
          </cell>
          <cell r="H253" t="str">
            <v xml:space="preserve">【上級】ゴールドカジノ </v>
          </cell>
          <cell r="I253" t="str">
            <v>上級</v>
          </cell>
          <cell r="J253">
            <v>119</v>
          </cell>
          <cell r="K253">
            <v>10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multionly</v>
          </cell>
        </row>
        <row r="254">
          <cell r="A254" t="str">
            <v>11207_1</v>
          </cell>
          <cell r="B254">
            <v>3</v>
          </cell>
          <cell r="C254">
            <v>11207</v>
          </cell>
          <cell r="D254" t="str">
            <v>果実達の大宴会</v>
          </cell>
          <cell r="E254">
            <v>0</v>
          </cell>
          <cell r="F254">
            <v>1</v>
          </cell>
          <cell r="G254" t="str">
            <v>ja</v>
          </cell>
          <cell r="H254" t="str">
            <v>【上級】果実達の大宴会</v>
          </cell>
          <cell r="I254" t="str">
            <v>ボーナス</v>
          </cell>
          <cell r="J254" t="str">
            <v>NULL</v>
          </cell>
          <cell r="K254">
            <v>20</v>
          </cell>
          <cell r="L254">
            <v>525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21</v>
          </cell>
          <cell r="AD254">
            <v>6</v>
          </cell>
          <cell r="AE254" t="str">
            <v>singleonly</v>
          </cell>
        </row>
        <row r="255">
          <cell r="A255" t="str">
            <v>11207_2</v>
          </cell>
          <cell r="B255">
            <v>3</v>
          </cell>
          <cell r="C255">
            <v>11207</v>
          </cell>
          <cell r="D255" t="str">
            <v>果実達の大宴会</v>
          </cell>
          <cell r="E255">
            <v>0</v>
          </cell>
          <cell r="F255">
            <v>2</v>
          </cell>
          <cell r="G255" t="str">
            <v>ja</v>
          </cell>
          <cell r="H255" t="str">
            <v>【超級】果実達の大宴会</v>
          </cell>
          <cell r="I255" t="str">
            <v>ボーナス</v>
          </cell>
          <cell r="J255">
            <v>125</v>
          </cell>
          <cell r="K255">
            <v>40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21</v>
          </cell>
          <cell r="AD255">
            <v>6</v>
          </cell>
          <cell r="AE255" t="str">
            <v>singleonly</v>
          </cell>
        </row>
        <row r="256">
          <cell r="A256" t="str">
            <v>11208_1</v>
          </cell>
          <cell r="B256">
            <v>0</v>
          </cell>
          <cell r="C256">
            <v>11208</v>
          </cell>
          <cell r="D256" t="str">
            <v>果実達の大宴会</v>
          </cell>
          <cell r="E256">
            <v>0</v>
          </cell>
          <cell r="F256">
            <v>1</v>
          </cell>
          <cell r="G256" t="str">
            <v>ja</v>
          </cell>
          <cell r="H256" t="str">
            <v>【上級】果実達の大宴会</v>
          </cell>
          <cell r="I256" t="str">
            <v>ボーナス</v>
          </cell>
          <cell r="J256" t="str">
            <v>NULL</v>
          </cell>
          <cell r="K256">
            <v>20</v>
          </cell>
          <cell r="L256">
            <v>525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21</v>
          </cell>
          <cell r="AD256">
            <v>6</v>
          </cell>
          <cell r="AE256" t="str">
            <v>singleonly</v>
          </cell>
        </row>
        <row r="257">
          <cell r="A257" t="str">
            <v>11208_2</v>
          </cell>
          <cell r="B257">
            <v>0</v>
          </cell>
          <cell r="C257">
            <v>11208</v>
          </cell>
          <cell r="D257" t="str">
            <v>果実達の大宴会</v>
          </cell>
          <cell r="E257">
            <v>0</v>
          </cell>
          <cell r="F257">
            <v>2</v>
          </cell>
          <cell r="G257" t="str">
            <v>ja</v>
          </cell>
          <cell r="H257" t="str">
            <v>【超級】果実達の大宴会</v>
          </cell>
          <cell r="I257" t="str">
            <v>ボーナス</v>
          </cell>
          <cell r="J257">
            <v>125</v>
          </cell>
          <cell r="K257">
            <v>40</v>
          </cell>
          <cell r="L257">
            <v>860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21</v>
          </cell>
          <cell r="AD257">
            <v>6</v>
          </cell>
          <cell r="AE257" t="str">
            <v>singleonly</v>
          </cell>
        </row>
        <row r="258">
          <cell r="A258" t="str">
            <v>11209_1</v>
          </cell>
          <cell r="B258">
            <v>3</v>
          </cell>
          <cell r="C258">
            <v>11209</v>
          </cell>
          <cell r="D258" t="str">
            <v>スタートダッシュキャンペーンクエスト</v>
          </cell>
          <cell r="E258" t="str">
            <v>スタートダッシュキャンペーンクエスト</v>
          </cell>
          <cell r="F258">
            <v>1</v>
          </cell>
          <cell r="G258" t="str">
            <v>ja</v>
          </cell>
          <cell r="H258" t="str">
            <v>【初級】メタルダックを捕獲せよ！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11209_2</v>
          </cell>
          <cell r="B259">
            <v>3</v>
          </cell>
          <cell r="C259">
            <v>11209</v>
          </cell>
          <cell r="D259" t="str">
            <v>スタートダッシュキャンペーンクエスト</v>
          </cell>
          <cell r="E259" t="str">
            <v>スタートダッシュキャンペーンクエスト</v>
          </cell>
          <cell r="F259">
            <v>2</v>
          </cell>
          <cell r="G259" t="str">
            <v>ja</v>
          </cell>
          <cell r="H259" t="str">
            <v xml:space="preserve">【初級】ゴールドカジノ </v>
          </cell>
          <cell r="I259" t="str">
            <v>初級</v>
          </cell>
          <cell r="J259">
            <v>117</v>
          </cell>
          <cell r="K259">
            <v>8</v>
          </cell>
          <cell r="L259">
            <v>140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11210_1</v>
          </cell>
          <cell r="B260">
            <v>0</v>
          </cell>
          <cell r="C260">
            <v>11210</v>
          </cell>
          <cell r="D260" t="str">
            <v>100万DL記念★育成ブースト！</v>
          </cell>
          <cell r="E260" t="str">
            <v>ゲリラ【超級】</v>
          </cell>
          <cell r="F260">
            <v>1</v>
          </cell>
          <cell r="G260" t="str">
            <v>ja</v>
          </cell>
          <cell r="H260" t="str">
            <v>【超級】雷のジェントルを追え！</v>
          </cell>
          <cell r="I260" t="str">
            <v>超級ゲリラ</v>
          </cell>
          <cell r="J260">
            <v>347</v>
          </cell>
          <cell r="K260">
            <v>40</v>
          </cell>
          <cell r="L260">
            <v>500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12</v>
          </cell>
          <cell r="AD260">
            <v>6</v>
          </cell>
          <cell r="AE260" t="str">
            <v>singleonly</v>
          </cell>
        </row>
        <row r="261">
          <cell r="A261" t="str">
            <v>11210_2</v>
          </cell>
          <cell r="B261">
            <v>0</v>
          </cell>
          <cell r="C261">
            <v>11210</v>
          </cell>
          <cell r="D261" t="str">
            <v>100万DL記念★育成ブースト！</v>
          </cell>
          <cell r="E261" t="str">
            <v>ゲリラ【超級】</v>
          </cell>
          <cell r="F261">
            <v>2</v>
          </cell>
          <cell r="G261" t="str">
            <v>ja</v>
          </cell>
          <cell r="H261" t="str">
            <v>【超級】水のジェントルを追え！</v>
          </cell>
          <cell r="I261" t="str">
            <v>超級ゲリラ</v>
          </cell>
          <cell r="J261">
            <v>343</v>
          </cell>
          <cell r="K261">
            <v>40</v>
          </cell>
          <cell r="L261">
            <v>500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5</v>
          </cell>
          <cell r="AD261">
            <v>6</v>
          </cell>
          <cell r="AE261" t="str">
            <v>singleonly</v>
          </cell>
        </row>
        <row r="262">
          <cell r="A262" t="str">
            <v>11210_3</v>
          </cell>
          <cell r="B262">
            <v>0</v>
          </cell>
          <cell r="C262">
            <v>11210</v>
          </cell>
          <cell r="D262" t="str">
            <v>100万DL記念★育成ブースト！</v>
          </cell>
          <cell r="E262" t="str">
            <v>ゲリラ【超級】</v>
          </cell>
          <cell r="F262">
            <v>3</v>
          </cell>
          <cell r="G262" t="str">
            <v>ja</v>
          </cell>
          <cell r="H262" t="str">
            <v>【超級】森のジェントルを追え！</v>
          </cell>
          <cell r="I262" t="str">
            <v>超級ゲリラ</v>
          </cell>
          <cell r="J262">
            <v>339</v>
          </cell>
          <cell r="K262">
            <v>40</v>
          </cell>
          <cell r="L262">
            <v>500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7</v>
          </cell>
          <cell r="AD262">
            <v>6</v>
          </cell>
          <cell r="AE262" t="str">
            <v>singleonly</v>
          </cell>
        </row>
        <row r="263">
          <cell r="A263" t="str">
            <v>11210_4</v>
          </cell>
          <cell r="B263">
            <v>0</v>
          </cell>
          <cell r="C263">
            <v>11210</v>
          </cell>
          <cell r="D263" t="str">
            <v>100万DL記念★育成ブースト！</v>
          </cell>
          <cell r="E263" t="str">
            <v>ゲリラ【超級】</v>
          </cell>
          <cell r="F263">
            <v>4</v>
          </cell>
          <cell r="G263" t="str">
            <v>ja</v>
          </cell>
          <cell r="H263" t="str">
            <v>【超級】炎のジェントルを追え！</v>
          </cell>
          <cell r="I263" t="str">
            <v>超級ゲリラ</v>
          </cell>
          <cell r="J263">
            <v>335</v>
          </cell>
          <cell r="K263">
            <v>40</v>
          </cell>
          <cell r="L263">
            <v>500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</v>
          </cell>
          <cell r="AD263">
            <v>6</v>
          </cell>
          <cell r="AE263" t="str">
            <v>singleonly</v>
          </cell>
        </row>
        <row r="264">
          <cell r="A264" t="str">
            <v>11211_1</v>
          </cell>
          <cell r="B264">
            <v>0</v>
          </cell>
          <cell r="C264">
            <v>11211</v>
          </cell>
          <cell r="D264" t="str">
            <v>※欠番</v>
          </cell>
          <cell r="E264" t="str">
            <v>【超級】ゲリラ※欠番</v>
          </cell>
          <cell r="F264">
            <v>1</v>
          </cell>
          <cell r="G264" t="str">
            <v>ja</v>
          </cell>
          <cell r="H264" t="str">
            <v>【超級】雷のジェントルを追え！</v>
          </cell>
          <cell r="I264" t="str">
            <v>超級ゲリラ ※一時利用</v>
          </cell>
          <cell r="J264">
            <v>347</v>
          </cell>
          <cell r="K264">
            <v>40</v>
          </cell>
          <cell r="L264">
            <v>500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12</v>
          </cell>
          <cell r="AD264">
            <v>6</v>
          </cell>
          <cell r="AE264" t="str">
            <v>singleonly</v>
          </cell>
        </row>
        <row r="265">
          <cell r="A265" t="str">
            <v>11211_2</v>
          </cell>
          <cell r="B265">
            <v>0</v>
          </cell>
          <cell r="C265">
            <v>11211</v>
          </cell>
          <cell r="D265" t="str">
            <v>※欠番</v>
          </cell>
          <cell r="E265" t="str">
            <v>【超級】ゲリラ※欠番</v>
          </cell>
          <cell r="F265">
            <v>2</v>
          </cell>
          <cell r="G265" t="str">
            <v>ja</v>
          </cell>
          <cell r="H265" t="str">
            <v>【超級】水のジェントルを追え！</v>
          </cell>
          <cell r="I265" t="str">
            <v>超級ゲリラ ※一時利用</v>
          </cell>
          <cell r="J265">
            <v>343</v>
          </cell>
          <cell r="K265">
            <v>40</v>
          </cell>
          <cell r="L265">
            <v>500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5</v>
          </cell>
          <cell r="AD265">
            <v>6</v>
          </cell>
          <cell r="AE265" t="str">
            <v>singleonly</v>
          </cell>
        </row>
        <row r="266">
          <cell r="A266" t="str">
            <v>11211_3</v>
          </cell>
          <cell r="B266">
            <v>0</v>
          </cell>
          <cell r="C266">
            <v>11211</v>
          </cell>
          <cell r="D266" t="str">
            <v>※欠番</v>
          </cell>
          <cell r="E266" t="str">
            <v>【超級】ゲリラ※欠番</v>
          </cell>
          <cell r="F266">
            <v>3</v>
          </cell>
          <cell r="G266" t="str">
            <v>ja</v>
          </cell>
          <cell r="H266" t="str">
            <v>【超級】森のジェントルを追え！</v>
          </cell>
          <cell r="I266" t="str">
            <v>超級ゲリラ ※一時利用</v>
          </cell>
          <cell r="J266">
            <v>339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7</v>
          </cell>
          <cell r="AD266">
            <v>6</v>
          </cell>
          <cell r="AE266" t="str">
            <v>singleonly</v>
          </cell>
        </row>
        <row r="267">
          <cell r="A267" t="str">
            <v>11211_4</v>
          </cell>
          <cell r="B267">
            <v>0</v>
          </cell>
          <cell r="C267">
            <v>11211</v>
          </cell>
          <cell r="D267" t="str">
            <v>※欠番</v>
          </cell>
          <cell r="E267" t="str">
            <v>【超級】ゲリラ※欠番</v>
          </cell>
          <cell r="F267">
            <v>4</v>
          </cell>
          <cell r="G267" t="str">
            <v>ja</v>
          </cell>
          <cell r="H267" t="str">
            <v>【超級】炎のジェントルを追え！</v>
          </cell>
          <cell r="I267" t="str">
            <v>超級ゲリラ ※一時利用</v>
          </cell>
          <cell r="J267">
            <v>335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10</v>
          </cell>
          <cell r="AD267">
            <v>6</v>
          </cell>
          <cell r="AE267" t="str">
            <v>singleonly</v>
          </cell>
        </row>
        <row r="268">
          <cell r="A268" t="str">
            <v>11212_1</v>
          </cell>
          <cell r="B268">
            <v>0</v>
          </cell>
          <cell r="C268">
            <v>11212</v>
          </cell>
          <cell r="D268" t="str">
            <v>100万DL記念★特別クエスト</v>
          </cell>
          <cell r="E268" t="str">
            <v>100万DL記念★特別クエスト</v>
          </cell>
          <cell r="F268">
            <v>1</v>
          </cell>
          <cell r="G268" t="str">
            <v>ja</v>
          </cell>
          <cell r="H268" t="str">
            <v>ミリオンダックより愛をこめて</v>
          </cell>
          <cell r="I268" t="str">
            <v>100万DL記念限定クエスト</v>
          </cell>
          <cell r="J268">
            <v>97</v>
          </cell>
          <cell r="K268">
            <v>1</v>
          </cell>
          <cell r="L268">
            <v>100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11213_1</v>
          </cell>
          <cell r="B269">
            <v>0</v>
          </cell>
          <cell r="C269">
            <v>11213</v>
          </cell>
          <cell r="D269" t="str">
            <v>クエスト名</v>
          </cell>
          <cell r="E269" t="str">
            <v>【超級】カジノ</v>
          </cell>
          <cell r="F269">
            <v>1</v>
          </cell>
          <cell r="G269" t="str">
            <v>ja</v>
          </cell>
          <cell r="H269" t="str">
            <v xml:space="preserve">【超級】ゴールドカジノ </v>
          </cell>
          <cell r="I269" t="str">
            <v>超級カジノ</v>
          </cell>
          <cell r="J269">
            <v>119</v>
          </cell>
          <cell r="K269">
            <v>30</v>
          </cell>
          <cell r="L269">
            <v>777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105</v>
          </cell>
          <cell r="AD269">
            <v>6</v>
          </cell>
          <cell r="AE269" t="str">
            <v>everyone</v>
          </cell>
        </row>
        <row r="270">
          <cell r="A270" t="str">
            <v>11214_1</v>
          </cell>
          <cell r="B270">
            <v>0</v>
          </cell>
          <cell r="C270">
            <v>11214</v>
          </cell>
          <cell r="D270" t="str">
            <v>プロメテウスの恋</v>
          </cell>
          <cell r="E270" t="str">
            <v>2015年クリスマスクエスト</v>
          </cell>
          <cell r="F270">
            <v>1</v>
          </cell>
          <cell r="G270" t="str">
            <v>ja</v>
          </cell>
          <cell r="H270" t="str">
            <v>【ストーリー前編】勢いまかせ</v>
          </cell>
          <cell r="I270" t="str">
            <v>2015年クリスマスクエスト</v>
          </cell>
          <cell r="J270">
            <v>202</v>
          </cell>
          <cell r="K270">
            <v>1</v>
          </cell>
          <cell r="L270">
            <v>1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520,521,522,523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11214_2</v>
          </cell>
          <cell r="B271">
            <v>0</v>
          </cell>
          <cell r="C271">
            <v>11214</v>
          </cell>
          <cell r="D271" t="str">
            <v>プロメテウスの恋</v>
          </cell>
          <cell r="E271" t="str">
            <v>2015年クリスマスクエスト</v>
          </cell>
          <cell r="F271">
            <v>2</v>
          </cell>
          <cell r="G271" t="str">
            <v>ja</v>
          </cell>
          <cell r="H271" t="str">
            <v>【ストーリー中編】恋の奥義</v>
          </cell>
          <cell r="I271" t="str">
            <v>2015年クリスマスクエスト</v>
          </cell>
          <cell r="J271">
            <v>202</v>
          </cell>
          <cell r="K271">
            <v>1</v>
          </cell>
          <cell r="L271">
            <v>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>
            <v>11214</v>
          </cell>
          <cell r="V271">
            <v>1</v>
          </cell>
          <cell r="W271" t="str">
            <v>【ストーリー前編】勢いまかせ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105</v>
          </cell>
          <cell r="AD271">
            <v>6</v>
          </cell>
          <cell r="AE271" t="str">
            <v>singleonly</v>
          </cell>
        </row>
        <row r="272">
          <cell r="A272" t="str">
            <v>11214_3</v>
          </cell>
          <cell r="B272">
            <v>0</v>
          </cell>
          <cell r="C272">
            <v>11214</v>
          </cell>
          <cell r="D272" t="str">
            <v>プロメテウスの恋</v>
          </cell>
          <cell r="E272" t="str">
            <v>2015年クリスマスクエスト</v>
          </cell>
          <cell r="F272">
            <v>3</v>
          </cell>
          <cell r="G272" t="str">
            <v>ja</v>
          </cell>
          <cell r="H272" t="str">
            <v>【ストーリー後編】フィーバーの力</v>
          </cell>
          <cell r="I272" t="str">
            <v>2015年クリスマスクエスト</v>
          </cell>
          <cell r="J272">
            <v>202</v>
          </cell>
          <cell r="K272">
            <v>1</v>
          </cell>
          <cell r="L272">
            <v>2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520,521,522,523</v>
          </cell>
          <cell r="U272">
            <v>11214</v>
          </cell>
          <cell r="V272">
            <v>1</v>
          </cell>
          <cell r="W272" t="str">
            <v>【ストーリー前編】勢いまかせ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singleonly</v>
          </cell>
        </row>
        <row r="273">
          <cell r="A273" t="str">
            <v>11215_1</v>
          </cell>
          <cell r="B273">
            <v>0</v>
          </cell>
          <cell r="C273">
            <v>11215</v>
          </cell>
          <cell r="D273" t="str">
            <v>【マルチ】サンタダックを捕獲せよ！</v>
          </cell>
          <cell r="E273" t="str">
            <v>2015年クリスマスゲリラクエスト</v>
          </cell>
          <cell r="F273">
            <v>1</v>
          </cell>
          <cell r="G273" t="str">
            <v>ja</v>
          </cell>
          <cell r="H273" t="str">
            <v>【上級】サンタダックを捕獲せよ！</v>
          </cell>
          <cell r="I273" t="str">
            <v>2015年クリスマスゲリラクエスト</v>
          </cell>
          <cell r="J273">
            <v>520</v>
          </cell>
          <cell r="K273">
            <v>10</v>
          </cell>
          <cell r="L273">
            <v>350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105</v>
          </cell>
          <cell r="AD273">
            <v>6</v>
          </cell>
          <cell r="AE273" t="str">
            <v>multionly</v>
          </cell>
        </row>
        <row r="274">
          <cell r="A274" t="str">
            <v>11216_1</v>
          </cell>
          <cell r="B274">
            <v>0</v>
          </cell>
          <cell r="C274">
            <v>11216</v>
          </cell>
          <cell r="D274" t="str">
            <v>年越し★特別クエスト</v>
          </cell>
          <cell r="E274" t="str">
            <v>2015年年越しクエスト</v>
          </cell>
          <cell r="F274">
            <v>1</v>
          </cell>
          <cell r="G274" t="str">
            <v>ja</v>
          </cell>
          <cell r="H274" t="str">
            <v>【上級】年を越える宴（ハートなし）</v>
          </cell>
          <cell r="I274" t="str">
            <v>2015年年忘れクエスト</v>
          </cell>
          <cell r="J274">
            <v>377</v>
          </cell>
          <cell r="K274">
            <v>10</v>
          </cell>
          <cell r="L274">
            <v>350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0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901</v>
          </cell>
          <cell r="AD274">
            <v>6</v>
          </cell>
          <cell r="AE274" t="str">
            <v>multionly</v>
          </cell>
        </row>
        <row r="275">
          <cell r="A275" t="str">
            <v>11217_1</v>
          </cell>
          <cell r="B275">
            <v>0</v>
          </cell>
          <cell r="C275">
            <v>11217</v>
          </cell>
          <cell r="D275" t="str">
            <v>年明け★特別クエスト</v>
          </cell>
          <cell r="E275" t="str">
            <v>2016年あけおめクエスト</v>
          </cell>
          <cell r="F275">
            <v>1</v>
          </cell>
          <cell r="G275" t="str">
            <v>ja</v>
          </cell>
          <cell r="H275" t="str">
            <v>あけおめダックのお年玉</v>
          </cell>
          <cell r="I275" t="str">
            <v>2016年あけおめクエスト</v>
          </cell>
          <cell r="J275">
            <v>524</v>
          </cell>
          <cell r="K275">
            <v>1</v>
          </cell>
          <cell r="L275">
            <v>2016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0</v>
          </cell>
          <cell r="R275">
            <v>3</v>
          </cell>
          <cell r="S275" t="str">
            <v>polygon</v>
          </cell>
          <cell r="T275">
            <v>1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once</v>
          </cell>
          <cell r="AC275">
            <v>2</v>
          </cell>
          <cell r="AD275">
            <v>6</v>
          </cell>
          <cell r="AE275" t="str">
            <v>singleonly</v>
          </cell>
        </row>
        <row r="276">
          <cell r="A276" t="str">
            <v>11218_1</v>
          </cell>
          <cell r="B276">
            <v>3</v>
          </cell>
          <cell r="C276">
            <v>11218</v>
          </cell>
          <cell r="D276" t="str">
            <v>バレンタイン★特別クエスト</v>
          </cell>
          <cell r="E276" t="str">
            <v>2016年バレンタインクエスト</v>
          </cell>
          <cell r="F276">
            <v>1</v>
          </cell>
          <cell r="G276" t="str">
            <v>ja</v>
          </cell>
          <cell r="H276" t="str">
            <v>【ストーリー】バレンタイン狂想曲</v>
          </cell>
          <cell r="I276" t="str">
            <v>ストーリー</v>
          </cell>
          <cell r="J276">
            <v>572</v>
          </cell>
          <cell r="K276">
            <v>1</v>
          </cell>
          <cell r="L276">
            <v>214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polygon</v>
          </cell>
          <cell r="T276">
            <v>1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once</v>
          </cell>
          <cell r="AC276">
            <v>1</v>
          </cell>
          <cell r="AD276">
            <v>6</v>
          </cell>
          <cell r="AE276" t="str">
            <v>singleonly</v>
          </cell>
        </row>
        <row r="277">
          <cell r="A277" t="str">
            <v>11219_1</v>
          </cell>
          <cell r="B277">
            <v>3</v>
          </cell>
          <cell r="C277">
            <v>11219</v>
          </cell>
          <cell r="D277" t="str">
            <v>200万DL記念★特別クエスト</v>
          </cell>
          <cell r="E277" t="str">
            <v>200万DL記念★特別クエスト</v>
          </cell>
          <cell r="F277">
            <v>1</v>
          </cell>
          <cell r="G277" t="str">
            <v>ja</v>
          </cell>
          <cell r="H277" t="str">
            <v>ミリオンダックより愛を込めて 2</v>
          </cell>
          <cell r="I277" t="str">
            <v>200万DL記念限定クエスト</v>
          </cell>
          <cell r="J277">
            <v>97</v>
          </cell>
          <cell r="K277">
            <v>1</v>
          </cell>
          <cell r="L277">
            <v>200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polygon</v>
          </cell>
          <cell r="T277">
            <v>1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</v>
          </cell>
          <cell r="AD277">
            <v>6</v>
          </cell>
          <cell r="AE277" t="str">
            <v>singleonly</v>
          </cell>
        </row>
        <row r="278">
          <cell r="A278" t="str">
            <v>11220_1</v>
          </cell>
          <cell r="B278">
            <v>3</v>
          </cell>
          <cell r="C278">
            <v>11220</v>
          </cell>
          <cell r="D278" t="str">
            <v>ホワイトデー★特別クエスト</v>
          </cell>
          <cell r="E278" t="str">
            <v>2016年ホワイトデークエスト</v>
          </cell>
          <cell r="F278">
            <v>1</v>
          </cell>
          <cell r="G278" t="str">
            <v>ja</v>
          </cell>
          <cell r="H278" t="str">
            <v>【ストーリー】ホワイトデー独騒曲</v>
          </cell>
          <cell r="I278" t="str">
            <v>2016年ホワイトデークエスト</v>
          </cell>
          <cell r="J278">
            <v>350</v>
          </cell>
          <cell r="K278">
            <v>1</v>
          </cell>
          <cell r="L278">
            <v>314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polygon</v>
          </cell>
          <cell r="T278">
            <v>1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once</v>
          </cell>
          <cell r="AC278">
            <v>1</v>
          </cell>
          <cell r="AD278">
            <v>6</v>
          </cell>
          <cell r="AE278" t="str">
            <v>singleonly</v>
          </cell>
        </row>
        <row r="279">
          <cell r="A279" t="str">
            <v>11221_1</v>
          </cell>
          <cell r="B279">
            <v>3</v>
          </cell>
          <cell r="C279">
            <v>11221</v>
          </cell>
          <cell r="D279" t="str">
            <v>新生活★応援クエスト</v>
          </cell>
          <cell r="E279" t="str">
            <v>2016年卒業クエスト</v>
          </cell>
          <cell r="F279">
            <v>1</v>
          </cell>
          <cell r="G279" t="str">
            <v>ja</v>
          </cell>
          <cell r="H279" t="str">
            <v>【ストーリー】桜舞い散る樹の下で</v>
          </cell>
          <cell r="I279" t="str">
            <v>2016年卒業クエスト</v>
          </cell>
          <cell r="J279">
            <v>794</v>
          </cell>
          <cell r="K279">
            <v>1</v>
          </cell>
          <cell r="L279">
            <v>331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polygon</v>
          </cell>
          <cell r="T279">
            <v>1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once</v>
          </cell>
          <cell r="AC279">
            <v>926</v>
          </cell>
          <cell r="AD279">
            <v>6</v>
          </cell>
          <cell r="AE279" t="str">
            <v>singleonly</v>
          </cell>
        </row>
        <row r="280">
          <cell r="A280" t="str">
            <v>11224_1</v>
          </cell>
          <cell r="B280">
            <v>1</v>
          </cell>
          <cell r="C280">
            <v>11224</v>
          </cell>
          <cell r="D280" t="str">
            <v>記念★特別クエスト</v>
          </cell>
          <cell r="E280" t="str">
            <v>記念★特別クエスト</v>
          </cell>
          <cell r="F280">
            <v>1</v>
          </cell>
          <cell r="G280" t="str">
            <v>ja</v>
          </cell>
          <cell r="H280" t="str">
            <v>【超ウサード級】Usagi-kun襲来！</v>
          </cell>
          <cell r="I280" t="str">
            <v>記念クエスト</v>
          </cell>
          <cell r="J280">
            <v>202</v>
          </cell>
          <cell r="K280">
            <v>1</v>
          </cell>
          <cell r="L280">
            <v>331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1</v>
          </cell>
          <cell r="AD280">
            <v>6</v>
          </cell>
          <cell r="AE280" t="str">
            <v>singleonly</v>
          </cell>
        </row>
        <row r="281">
          <cell r="A281" t="str">
            <v>12001_1</v>
          </cell>
          <cell r="B281">
            <v>3</v>
          </cell>
          <cell r="C281">
            <v>12001</v>
          </cell>
          <cell r="D281" t="str">
            <v>【緊急！！】 アヒル捕獲作戦</v>
          </cell>
          <cell r="E281" t="str">
            <v>ゲリラクエスト</v>
          </cell>
          <cell r="F281">
            <v>1</v>
          </cell>
          <cell r="G281" t="str">
            <v>ja</v>
          </cell>
          <cell r="H281" t="str">
            <v xml:space="preserve">【初級】メタルダックを捕獲せよ！ </v>
          </cell>
          <cell r="I281" t="str">
            <v>経験値ゲリラ</v>
          </cell>
          <cell r="J281">
            <v>334</v>
          </cell>
          <cell r="K281">
            <v>8</v>
          </cell>
          <cell r="L281">
            <v>140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none</v>
          </cell>
          <cell r="T281">
            <v>0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201</v>
          </cell>
          <cell r="AD281">
            <v>6</v>
          </cell>
          <cell r="AE281" t="str">
            <v>everyone</v>
          </cell>
        </row>
        <row r="282">
          <cell r="A282" t="str">
            <v>12001_2</v>
          </cell>
          <cell r="B282">
            <v>3</v>
          </cell>
          <cell r="C282">
            <v>12001</v>
          </cell>
          <cell r="D282" t="str">
            <v>【緊急！！】 アヒル捕獲作戦</v>
          </cell>
          <cell r="E282" t="str">
            <v>ゲリラクエスト</v>
          </cell>
          <cell r="F282">
            <v>2</v>
          </cell>
          <cell r="G282" t="str">
            <v>ja</v>
          </cell>
          <cell r="H282" t="str">
            <v xml:space="preserve">【上級】メタルダックを捕獲せよ！ </v>
          </cell>
          <cell r="I282" t="str">
            <v>経験値ゲリラ</v>
          </cell>
          <cell r="J282">
            <v>334</v>
          </cell>
          <cell r="K282">
            <v>20</v>
          </cell>
          <cell r="L282">
            <v>350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201</v>
          </cell>
          <cell r="AD282">
            <v>6</v>
          </cell>
          <cell r="AE282" t="str">
            <v>everyone</v>
          </cell>
        </row>
        <row r="283">
          <cell r="A283" t="str">
            <v>12001_3</v>
          </cell>
          <cell r="B283">
            <v>0</v>
          </cell>
          <cell r="C283">
            <v>12001</v>
          </cell>
          <cell r="D283" t="str">
            <v>【緊急！！】 アヒル捕獲作戦</v>
          </cell>
          <cell r="E283" t="str">
            <v>ゲリラクエスト</v>
          </cell>
          <cell r="F283">
            <v>3</v>
          </cell>
          <cell r="G283" t="str">
            <v>ja</v>
          </cell>
          <cell r="H283" t="str">
            <v>★100DL記念 マルチ専用★_x000D_【上級】メタルダックを捕獲せよ！</v>
          </cell>
          <cell r="I283" t="str">
            <v>経験値ゲリラ</v>
          </cell>
          <cell r="J283">
            <v>334</v>
          </cell>
          <cell r="K283">
            <v>10</v>
          </cell>
          <cell r="L283">
            <v>350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none</v>
          </cell>
          <cell r="T283">
            <v>0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201</v>
          </cell>
          <cell r="AD283">
            <v>6</v>
          </cell>
          <cell r="AE283" t="str">
            <v>multionly</v>
          </cell>
        </row>
        <row r="284">
          <cell r="A284" t="str">
            <v>12002_3</v>
          </cell>
          <cell r="B284">
            <v>0</v>
          </cell>
          <cell r="C284">
            <v>12002</v>
          </cell>
          <cell r="D284" t="str">
            <v>【マルチ専用1/2】 アヒル捕獲作戦</v>
          </cell>
          <cell r="E284" t="str">
            <v>ゲリラクエスト</v>
          </cell>
          <cell r="F284">
            <v>3</v>
          </cell>
          <cell r="G284" t="str">
            <v>ja</v>
          </cell>
          <cell r="H284" t="str">
            <v xml:space="preserve">【初級】メタルダックを捕獲せよ！ </v>
          </cell>
          <cell r="I284" t="str">
            <v>経験値ゲリラ</v>
          </cell>
          <cell r="J284">
            <v>334</v>
          </cell>
          <cell r="K284">
            <v>8</v>
          </cell>
          <cell r="L284">
            <v>140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none</v>
          </cell>
          <cell r="T284">
            <v>0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201</v>
          </cell>
          <cell r="AD284">
            <v>6</v>
          </cell>
          <cell r="AE284" t="str">
            <v>everyone</v>
          </cell>
        </row>
        <row r="285">
          <cell r="A285" t="str">
            <v>12002_2</v>
          </cell>
          <cell r="B285">
            <v>0</v>
          </cell>
          <cell r="C285">
            <v>12002</v>
          </cell>
          <cell r="D285" t="str">
            <v>【マルチ専用1/2】 アヒル捕獲作戦</v>
          </cell>
          <cell r="E285" t="str">
            <v>ゲリラクエスト</v>
          </cell>
          <cell r="F285">
            <v>2</v>
          </cell>
          <cell r="G285" t="str">
            <v>ja</v>
          </cell>
          <cell r="H285" t="str">
            <v xml:space="preserve">【上級】メタルダックを捕獲せよ！ </v>
          </cell>
          <cell r="I285" t="str">
            <v>経験値ゲリラ</v>
          </cell>
          <cell r="J285">
            <v>334</v>
          </cell>
          <cell r="K285">
            <v>20</v>
          </cell>
          <cell r="L285">
            <v>350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none</v>
          </cell>
          <cell r="T285">
            <v>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201</v>
          </cell>
          <cell r="AD285">
            <v>6</v>
          </cell>
          <cell r="AE285" t="str">
            <v>everyone</v>
          </cell>
        </row>
        <row r="286">
          <cell r="A286" t="str">
            <v>12002_1</v>
          </cell>
          <cell r="B286">
            <v>3</v>
          </cell>
          <cell r="C286">
            <v>12002</v>
          </cell>
          <cell r="D286" t="str">
            <v>【マルチ専用1/2】 アヒル捕獲作戦</v>
          </cell>
          <cell r="E286" t="str">
            <v>ゲリラクエスト</v>
          </cell>
          <cell r="F286">
            <v>1</v>
          </cell>
          <cell r="G286" t="str">
            <v>ja</v>
          </cell>
          <cell r="H286" t="str">
            <v>【上級】メタルダックを捕獲せよ！</v>
          </cell>
          <cell r="I286" t="str">
            <v>経験値ゲリラ</v>
          </cell>
          <cell r="J286">
            <v>334</v>
          </cell>
          <cell r="K286">
            <v>10</v>
          </cell>
          <cell r="L286">
            <v>350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none</v>
          </cell>
          <cell r="T286">
            <v>0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201</v>
          </cell>
          <cell r="AD286">
            <v>6</v>
          </cell>
          <cell r="AE286" t="str">
            <v>multionly</v>
          </cell>
        </row>
        <row r="287">
          <cell r="A287" t="str">
            <v>12003_1</v>
          </cell>
          <cell r="B287">
            <v>3</v>
          </cell>
          <cell r="C287">
            <v>12003</v>
          </cell>
          <cell r="D287" t="str">
            <v>【超緊急！！】メタルジェントルを追え</v>
          </cell>
          <cell r="E287" t="str">
            <v>ゲリラ【超級】</v>
          </cell>
          <cell r="F287">
            <v>1</v>
          </cell>
          <cell r="G287" t="str">
            <v>ja</v>
          </cell>
          <cell r="H287" t="str">
            <v>【超級】雷のジェントルを追え！</v>
          </cell>
          <cell r="I287" t="str">
            <v>超級ゲリラ</v>
          </cell>
          <cell r="J287">
            <v>347</v>
          </cell>
          <cell r="K287">
            <v>40</v>
          </cell>
          <cell r="L287">
            <v>500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none</v>
          </cell>
          <cell r="T287">
            <v>0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12</v>
          </cell>
          <cell r="AD287">
            <v>6</v>
          </cell>
          <cell r="AE287" t="str">
            <v>singleonly</v>
          </cell>
        </row>
        <row r="288">
          <cell r="A288" t="str">
            <v>12003_2</v>
          </cell>
          <cell r="B288">
            <v>3</v>
          </cell>
          <cell r="C288">
            <v>12003</v>
          </cell>
          <cell r="D288" t="str">
            <v>【超緊急！！】メタルジェントルを追え</v>
          </cell>
          <cell r="E288" t="str">
            <v>ゲリラ【超級】</v>
          </cell>
          <cell r="F288">
            <v>2</v>
          </cell>
          <cell r="G288" t="str">
            <v>ja</v>
          </cell>
          <cell r="H288" t="str">
            <v>【超級】水のジェントルを追え！</v>
          </cell>
          <cell r="I288" t="str">
            <v>超級ゲリラ</v>
          </cell>
          <cell r="J288">
            <v>343</v>
          </cell>
          <cell r="K288">
            <v>40</v>
          </cell>
          <cell r="L288">
            <v>500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none</v>
          </cell>
          <cell r="T288">
            <v>0</v>
          </cell>
          <cell r="U288" t="str">
            <v>NULL</v>
          </cell>
          <cell r="V288" t="str">
            <v>NULL</v>
          </cell>
          <cell r="W288" t="str">
            <v/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5</v>
          </cell>
          <cell r="AD288">
            <v>6</v>
          </cell>
          <cell r="AE288" t="str">
            <v>singleonly</v>
          </cell>
        </row>
        <row r="289">
          <cell r="A289" t="str">
            <v>12003_3</v>
          </cell>
          <cell r="B289">
            <v>3</v>
          </cell>
          <cell r="C289">
            <v>12003</v>
          </cell>
          <cell r="D289" t="str">
            <v>【超緊急！！】メタルジェントルを追え</v>
          </cell>
          <cell r="E289" t="str">
            <v>ゲリラ【超級】</v>
          </cell>
          <cell r="F289">
            <v>3</v>
          </cell>
          <cell r="G289" t="str">
            <v>ja</v>
          </cell>
          <cell r="H289" t="str">
            <v>【超級】森のジェントルを追え！</v>
          </cell>
          <cell r="I289" t="str">
            <v>超級ゲリラ</v>
          </cell>
          <cell r="J289">
            <v>339</v>
          </cell>
          <cell r="K289">
            <v>40</v>
          </cell>
          <cell r="L289">
            <v>500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none</v>
          </cell>
          <cell r="T289">
            <v>0</v>
          </cell>
          <cell r="U289" t="str">
            <v>NULL</v>
          </cell>
          <cell r="V289" t="str">
            <v>NULL</v>
          </cell>
          <cell r="W289" t="str">
            <v/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7</v>
          </cell>
          <cell r="AD289">
            <v>6</v>
          </cell>
          <cell r="AE289" t="str">
            <v>singleonly</v>
          </cell>
        </row>
        <row r="290">
          <cell r="A290" t="str">
            <v>12003_4</v>
          </cell>
          <cell r="B290">
            <v>3</v>
          </cell>
          <cell r="C290">
            <v>12003</v>
          </cell>
          <cell r="D290" t="str">
            <v>【超緊急！！】メタルジェントルを追え</v>
          </cell>
          <cell r="E290" t="str">
            <v>ゲリラ【超級】</v>
          </cell>
          <cell r="F290">
            <v>4</v>
          </cell>
          <cell r="G290" t="str">
            <v>ja</v>
          </cell>
          <cell r="H290" t="str">
            <v>【超級】炎のジェントルを追え！</v>
          </cell>
          <cell r="I290" t="str">
            <v>超級ゲリラ</v>
          </cell>
          <cell r="J290">
            <v>335</v>
          </cell>
          <cell r="K290">
            <v>40</v>
          </cell>
          <cell r="L290">
            <v>500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none</v>
          </cell>
          <cell r="T290">
            <v>0</v>
          </cell>
          <cell r="U290" t="str">
            <v>NULL</v>
          </cell>
          <cell r="V290" t="str">
            <v>NULL</v>
          </cell>
          <cell r="W290" t="str">
            <v/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10</v>
          </cell>
          <cell r="AD290">
            <v>6</v>
          </cell>
          <cell r="AE290" t="str">
            <v>singleonly</v>
          </cell>
        </row>
        <row r="291">
          <cell r="A291" t="str">
            <v>12004_1</v>
          </cell>
          <cell r="B291">
            <v>3</v>
          </cell>
          <cell r="C291">
            <v>12004</v>
          </cell>
          <cell r="D291" t="str">
            <v>メタルフロッグをもとめて</v>
          </cell>
          <cell r="E291" t="str">
            <v>イベントクエスト</v>
          </cell>
          <cell r="F291">
            <v>1</v>
          </cell>
          <cell r="G291" t="str">
            <v>ja</v>
          </cell>
          <cell r="H291" t="str">
            <v>【上級】メタルフロッグをもとめて</v>
          </cell>
          <cell r="I291" t="str">
            <v>経験値イベント</v>
          </cell>
          <cell r="J291">
            <v>351</v>
          </cell>
          <cell r="K291">
            <v>20</v>
          </cell>
          <cell r="L291">
            <v>100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none</v>
          </cell>
          <cell r="T291">
            <v>0</v>
          </cell>
          <cell r="U291" t="str">
            <v>NULL</v>
          </cell>
          <cell r="V291" t="str">
            <v>NULL</v>
          </cell>
          <cell r="W291" t="str">
            <v/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23</v>
          </cell>
          <cell r="AD291">
            <v>6</v>
          </cell>
          <cell r="AE291" t="str">
            <v>everyone</v>
          </cell>
        </row>
        <row r="292">
          <cell r="A292" t="str">
            <v>13001_1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</v>
          </cell>
          <cell r="G292" t="str">
            <v>ja</v>
          </cell>
          <cell r="H292" t="str">
            <v>チャレンジタワー 1F</v>
          </cell>
          <cell r="I292" t="str">
            <v>試練の塔</v>
          </cell>
          <cell r="J292">
            <v>345</v>
          </cell>
          <cell r="K292">
            <v>3</v>
          </cell>
          <cell r="L292">
            <v>120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345,345</v>
          </cell>
          <cell r="U292" t="str">
            <v>NULL</v>
          </cell>
          <cell r="V292" t="str">
            <v>NULL</v>
          </cell>
          <cell r="W292" t="str">
            <v/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</v>
          </cell>
          <cell r="G293" t="str">
            <v>ja</v>
          </cell>
          <cell r="H293" t="str">
            <v>チャレンジタワー 2F</v>
          </cell>
          <cell r="I293" t="str">
            <v>試練の塔</v>
          </cell>
          <cell r="J293">
            <v>333</v>
          </cell>
          <cell r="K293">
            <v>4</v>
          </cell>
          <cell r="L293">
            <v>176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333,333</v>
          </cell>
          <cell r="U293">
            <v>13001</v>
          </cell>
          <cell r="V293">
            <v>1</v>
          </cell>
          <cell r="W293" t="str">
            <v>チャレンジタワー 1F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13001_3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3</v>
          </cell>
          <cell r="G294" t="str">
            <v>ja</v>
          </cell>
          <cell r="H294" t="str">
            <v>チャレンジタワー 3F</v>
          </cell>
          <cell r="I294" t="str">
            <v>試練の塔</v>
          </cell>
          <cell r="J294">
            <v>337</v>
          </cell>
          <cell r="K294">
            <v>5</v>
          </cell>
          <cell r="L294">
            <v>242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337,337</v>
          </cell>
          <cell r="U294">
            <v>13001</v>
          </cell>
          <cell r="V294">
            <v>2</v>
          </cell>
          <cell r="W294" t="str">
            <v>チャレンジタワー 2F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13001_4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4</v>
          </cell>
          <cell r="G295" t="str">
            <v>ja</v>
          </cell>
          <cell r="H295" t="str">
            <v>チャレンジタワー 4F</v>
          </cell>
          <cell r="I295" t="str">
            <v>試練の塔</v>
          </cell>
          <cell r="J295">
            <v>341</v>
          </cell>
          <cell r="K295">
            <v>7</v>
          </cell>
          <cell r="L295">
            <v>508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341,341</v>
          </cell>
          <cell r="U295">
            <v>13001</v>
          </cell>
          <cell r="V295">
            <v>3</v>
          </cell>
          <cell r="W295" t="str">
            <v>チャレンジタワー 3F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13001_5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5</v>
          </cell>
          <cell r="G296" t="str">
            <v>ja</v>
          </cell>
          <cell r="H296" t="str">
            <v>チャレンジタワー 5F</v>
          </cell>
          <cell r="I296" t="str">
            <v>試練の塔</v>
          </cell>
          <cell r="J296">
            <v>333</v>
          </cell>
          <cell r="K296">
            <v>7</v>
          </cell>
          <cell r="L296">
            <v>280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333,337,341,345</v>
          </cell>
          <cell r="U296">
            <v>13001</v>
          </cell>
          <cell r="V296">
            <v>4</v>
          </cell>
          <cell r="W296" t="str">
            <v>チャレンジタワー 4F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13001_6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6</v>
          </cell>
          <cell r="G297" t="str">
            <v>ja</v>
          </cell>
          <cell r="H297" t="str">
            <v>チャレンジタワー 6F</v>
          </cell>
          <cell r="I297" t="str">
            <v>試練の塔</v>
          </cell>
          <cell r="J297">
            <v>346</v>
          </cell>
          <cell r="K297">
            <v>8</v>
          </cell>
          <cell r="L297">
            <v>474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346,345</v>
          </cell>
          <cell r="U297">
            <v>13001</v>
          </cell>
          <cell r="V297">
            <v>5</v>
          </cell>
          <cell r="W297" t="str">
            <v>チャレンジタワー 5F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13001_7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7</v>
          </cell>
          <cell r="G298" t="str">
            <v>ja</v>
          </cell>
          <cell r="H298" t="str">
            <v>チャレンジタワー 7F</v>
          </cell>
          <cell r="I298" t="str">
            <v>試練の塔</v>
          </cell>
          <cell r="J298">
            <v>342</v>
          </cell>
          <cell r="K298">
            <v>8</v>
          </cell>
          <cell r="L298">
            <v>486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342,341</v>
          </cell>
          <cell r="U298">
            <v>13001</v>
          </cell>
          <cell r="V298">
            <v>6</v>
          </cell>
          <cell r="W298" t="str">
            <v>チャレンジタワー 6F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13001_8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8</v>
          </cell>
          <cell r="G299" t="str">
            <v>ja</v>
          </cell>
          <cell r="H299" t="str">
            <v>チャレンジタワー 8F</v>
          </cell>
          <cell r="I299" t="str">
            <v>試練の塔</v>
          </cell>
          <cell r="J299">
            <v>334</v>
          </cell>
          <cell r="K299">
            <v>10</v>
          </cell>
          <cell r="L299">
            <v>1006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334,333</v>
          </cell>
          <cell r="U299">
            <v>13001</v>
          </cell>
          <cell r="V299">
            <v>7</v>
          </cell>
          <cell r="W299" t="str">
            <v>チャレンジタワー 7F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13001_9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9</v>
          </cell>
          <cell r="G300" t="str">
            <v>ja</v>
          </cell>
          <cell r="H300" t="str">
            <v>チャレンジタワー 9F</v>
          </cell>
          <cell r="I300" t="str">
            <v>試練の塔</v>
          </cell>
          <cell r="J300">
            <v>338</v>
          </cell>
          <cell r="K300">
            <v>10</v>
          </cell>
          <cell r="L300">
            <v>702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337,337,338</v>
          </cell>
          <cell r="U300">
            <v>13001</v>
          </cell>
          <cell r="V300">
            <v>8</v>
          </cell>
          <cell r="W300" t="str">
            <v>チャレンジタワー 8F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13001_10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10</v>
          </cell>
          <cell r="G301" t="str">
            <v>ja</v>
          </cell>
          <cell r="H301" t="str">
            <v>チャレンジタワー 10F</v>
          </cell>
          <cell r="I301" t="str">
            <v>試練の塔</v>
          </cell>
          <cell r="J301">
            <v>346</v>
          </cell>
          <cell r="K301">
            <v>11</v>
          </cell>
          <cell r="L301">
            <v>788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346,333,337,341</v>
          </cell>
          <cell r="U301">
            <v>13001</v>
          </cell>
          <cell r="V301">
            <v>9</v>
          </cell>
          <cell r="W301" t="str">
            <v>チャレンジタワー 9F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13001_11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11</v>
          </cell>
          <cell r="G302" t="str">
            <v>ja</v>
          </cell>
          <cell r="H302" t="str">
            <v>チャレンジタワー 11F</v>
          </cell>
          <cell r="I302" t="str">
            <v>試練の塔</v>
          </cell>
          <cell r="J302">
            <v>346</v>
          </cell>
          <cell r="K302">
            <v>12</v>
          </cell>
          <cell r="L302">
            <v>936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346,346</v>
          </cell>
          <cell r="U302">
            <v>13001</v>
          </cell>
          <cell r="V302">
            <v>10</v>
          </cell>
          <cell r="W302" t="str">
            <v>チャレンジタワー 10F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13001_12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12</v>
          </cell>
          <cell r="G303" t="str">
            <v>ja</v>
          </cell>
          <cell r="H303" t="str">
            <v>チャレンジタワー 12F</v>
          </cell>
          <cell r="I303" t="str">
            <v>試練の塔</v>
          </cell>
          <cell r="J303">
            <v>342</v>
          </cell>
          <cell r="K303">
            <v>13</v>
          </cell>
          <cell r="L303">
            <v>1601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342,342</v>
          </cell>
          <cell r="U303">
            <v>13001</v>
          </cell>
          <cell r="V303">
            <v>11</v>
          </cell>
          <cell r="W303" t="str">
            <v>チャレンジタワー 11F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13001_13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13</v>
          </cell>
          <cell r="G304" t="str">
            <v>ja</v>
          </cell>
          <cell r="H304" t="str">
            <v>チャレンジタワー 13F</v>
          </cell>
          <cell r="I304" t="str">
            <v>試練の塔</v>
          </cell>
          <cell r="J304">
            <v>338</v>
          </cell>
          <cell r="K304">
            <v>14</v>
          </cell>
          <cell r="L304">
            <v>945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338,338</v>
          </cell>
          <cell r="U304">
            <v>13001</v>
          </cell>
          <cell r="V304">
            <v>12</v>
          </cell>
          <cell r="W304" t="str">
            <v>チャレンジタワー 12F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13001_14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14</v>
          </cell>
          <cell r="G305" t="str">
            <v>ja</v>
          </cell>
          <cell r="H305" t="str">
            <v>チャレンジタワー 14F</v>
          </cell>
          <cell r="I305" t="str">
            <v>試練の塔</v>
          </cell>
          <cell r="J305">
            <v>334</v>
          </cell>
          <cell r="K305">
            <v>14</v>
          </cell>
          <cell r="L305">
            <v>1188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334,334</v>
          </cell>
          <cell r="U305">
            <v>13001</v>
          </cell>
          <cell r="V305">
            <v>13</v>
          </cell>
          <cell r="W305" t="str">
            <v>チャレンジタワー 13F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13001_15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15</v>
          </cell>
          <cell r="G306" t="str">
            <v>ja</v>
          </cell>
          <cell r="H306" t="str">
            <v>チャレンジタワー 15F</v>
          </cell>
          <cell r="I306" t="str">
            <v>試練の塔</v>
          </cell>
          <cell r="J306">
            <v>316</v>
          </cell>
          <cell r="K306">
            <v>14</v>
          </cell>
          <cell r="L306">
            <v>1008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316</v>
          </cell>
          <cell r="U306">
            <v>13001</v>
          </cell>
          <cell r="V306">
            <v>14</v>
          </cell>
          <cell r="W306" t="str">
            <v>チャレンジタワー 14F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13001_16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16</v>
          </cell>
          <cell r="G307" t="str">
            <v>ja</v>
          </cell>
          <cell r="H307" t="str">
            <v>チャレンジタワー 16F</v>
          </cell>
          <cell r="I307" t="str">
            <v>試練の塔</v>
          </cell>
          <cell r="J307">
            <v>338</v>
          </cell>
          <cell r="K307">
            <v>16</v>
          </cell>
          <cell r="L307">
            <v>2573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338,338,337</v>
          </cell>
          <cell r="U307">
            <v>13001</v>
          </cell>
          <cell r="V307">
            <v>15</v>
          </cell>
          <cell r="W307" t="str">
            <v>チャレンジタワー 15F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13001_17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17</v>
          </cell>
          <cell r="G308" t="str">
            <v>ja</v>
          </cell>
          <cell r="H308" t="str">
            <v>チャレンジタワー 17F</v>
          </cell>
          <cell r="I308" t="str">
            <v>試練の塔</v>
          </cell>
          <cell r="J308">
            <v>346</v>
          </cell>
          <cell r="K308">
            <v>16</v>
          </cell>
          <cell r="L308">
            <v>1568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346,346,345</v>
          </cell>
          <cell r="U308">
            <v>13001</v>
          </cell>
          <cell r="V308">
            <v>16</v>
          </cell>
          <cell r="W308" t="str">
            <v>チャレンジタワー 16F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13001_18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18</v>
          </cell>
          <cell r="G309" t="str">
            <v>ja</v>
          </cell>
          <cell r="H309" t="str">
            <v>チャレンジタワー 18F</v>
          </cell>
          <cell r="I309" t="str">
            <v>試練の塔</v>
          </cell>
          <cell r="J309">
            <v>334</v>
          </cell>
          <cell r="K309">
            <v>17</v>
          </cell>
          <cell r="L309">
            <v>1821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334,334,333</v>
          </cell>
          <cell r="U309">
            <v>13001</v>
          </cell>
          <cell r="V309">
            <v>17</v>
          </cell>
          <cell r="W309" t="str">
            <v>チャレンジタワー 17F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13001_19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19</v>
          </cell>
          <cell r="G310" t="str">
            <v>ja</v>
          </cell>
          <cell r="H310" t="str">
            <v>チャレンジタワー 19F</v>
          </cell>
          <cell r="I310" t="str">
            <v>試練の塔</v>
          </cell>
          <cell r="J310">
            <v>342</v>
          </cell>
          <cell r="K310">
            <v>18</v>
          </cell>
          <cell r="L310">
            <v>2108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342,342,341</v>
          </cell>
          <cell r="U310">
            <v>13001</v>
          </cell>
          <cell r="V310">
            <v>18</v>
          </cell>
          <cell r="W310" t="str">
            <v>チャレンジタワー 18F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13001_20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20</v>
          </cell>
          <cell r="G311" t="str">
            <v>ja</v>
          </cell>
          <cell r="H311" t="str">
            <v>チャレンジタワー 20F</v>
          </cell>
          <cell r="I311" t="str">
            <v>試練の塔</v>
          </cell>
          <cell r="J311">
            <v>318</v>
          </cell>
          <cell r="K311">
            <v>18</v>
          </cell>
          <cell r="L311">
            <v>1620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318</v>
          </cell>
          <cell r="U311">
            <v>13001</v>
          </cell>
          <cell r="V311">
            <v>19</v>
          </cell>
          <cell r="W311" t="str">
            <v>チャレンジタワー 19F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13001_21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21</v>
          </cell>
          <cell r="G312" t="str">
            <v>ja</v>
          </cell>
          <cell r="H312" t="str">
            <v>チャレンジタワー 21F</v>
          </cell>
          <cell r="I312" t="str">
            <v>試練の塔</v>
          </cell>
          <cell r="J312" t="str">
            <v>335</v>
          </cell>
          <cell r="K312">
            <v>18</v>
          </cell>
          <cell r="L312">
            <v>1620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334,335,335</v>
          </cell>
          <cell r="U312">
            <v>13001</v>
          </cell>
          <cell r="V312">
            <v>20</v>
          </cell>
          <cell r="W312" t="str">
            <v>チャレンジタワー 20F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13001_22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22</v>
          </cell>
          <cell r="G313" t="str">
            <v>ja</v>
          </cell>
          <cell r="H313" t="str">
            <v>チャレンジタワー 22F</v>
          </cell>
          <cell r="I313" t="str">
            <v>試練の塔</v>
          </cell>
          <cell r="J313" t="str">
            <v>339</v>
          </cell>
          <cell r="K313">
            <v>18</v>
          </cell>
          <cell r="L313">
            <v>1620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338,339,339</v>
          </cell>
          <cell r="U313">
            <v>13001</v>
          </cell>
          <cell r="V313">
            <v>21</v>
          </cell>
          <cell r="W313" t="str">
            <v>チャレンジタワー 21F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13001_23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23</v>
          </cell>
          <cell r="G314" t="str">
            <v>ja</v>
          </cell>
          <cell r="H314" t="str">
            <v>チャレンジタワー 23F</v>
          </cell>
          <cell r="I314" t="str">
            <v>試練の塔</v>
          </cell>
          <cell r="J314" t="str">
            <v>347</v>
          </cell>
          <cell r="K314">
            <v>20</v>
          </cell>
          <cell r="L314">
            <v>1821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346,347,347</v>
          </cell>
          <cell r="U314">
            <v>13001</v>
          </cell>
          <cell r="V314">
            <v>22</v>
          </cell>
          <cell r="W314" t="str">
            <v>チャレンジタワー 22F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13001_24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24</v>
          </cell>
          <cell r="G315" t="str">
            <v>ja</v>
          </cell>
          <cell r="H315" t="str">
            <v>チャレンジタワー 24F</v>
          </cell>
          <cell r="I315" t="str">
            <v>試練の塔</v>
          </cell>
          <cell r="J315" t="str">
            <v>343</v>
          </cell>
          <cell r="K315">
            <v>20</v>
          </cell>
          <cell r="L315">
            <v>2871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342,343,343</v>
          </cell>
          <cell r="U315">
            <v>13001</v>
          </cell>
          <cell r="V315">
            <v>23</v>
          </cell>
          <cell r="W315" t="str">
            <v>チャレンジタワー 23F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13001_25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25</v>
          </cell>
          <cell r="G316" t="str">
            <v>ja</v>
          </cell>
          <cell r="H316" t="str">
            <v>チャレンジタワー 25F</v>
          </cell>
          <cell r="I316" t="str">
            <v>試練の塔</v>
          </cell>
          <cell r="J316" t="str">
            <v>368</v>
          </cell>
          <cell r="K316">
            <v>22</v>
          </cell>
          <cell r="L316">
            <v>3740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368</v>
          </cell>
          <cell r="U316">
            <v>13001</v>
          </cell>
          <cell r="V316">
            <v>24</v>
          </cell>
          <cell r="W316" t="str">
            <v>チャレンジタワー 24F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14001_1</v>
          </cell>
          <cell r="B317">
            <v>3</v>
          </cell>
          <cell r="C317">
            <v>14001</v>
          </cell>
          <cell r="D317" t="str">
            <v>【ロック】経験値/ソロ</v>
          </cell>
          <cell r="E317" t="str">
            <v>【ロック】経験値/ソロ</v>
          </cell>
          <cell r="F317">
            <v>1</v>
          </cell>
          <cell r="G317" t="str">
            <v>ja</v>
          </cell>
          <cell r="H317" t="str">
            <v>【超級】雷ファミリー（ハートなし）</v>
          </cell>
          <cell r="I317" t="str">
            <v>【ロッククエスト】経験値</v>
          </cell>
          <cell r="J317">
            <v>347</v>
          </cell>
          <cell r="K317">
            <v>1</v>
          </cell>
          <cell r="L317">
            <v>500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12</v>
          </cell>
          <cell r="AD317">
            <v>6</v>
          </cell>
          <cell r="AE317" t="str">
            <v>singleonly</v>
          </cell>
        </row>
        <row r="318">
          <cell r="A318" t="str">
            <v>14001_2</v>
          </cell>
          <cell r="B318">
            <v>3</v>
          </cell>
          <cell r="C318">
            <v>14001</v>
          </cell>
          <cell r="D318" t="str">
            <v>【ロック】経験値/ソロ</v>
          </cell>
          <cell r="E318" t="str">
            <v>【ロック】経験値/ソロ</v>
          </cell>
          <cell r="F318">
            <v>2</v>
          </cell>
          <cell r="G318" t="str">
            <v>ja</v>
          </cell>
          <cell r="H318" t="str">
            <v>【超級】水ファミリー（ハートなし）</v>
          </cell>
          <cell r="I318" t="str">
            <v>【ロッククエスト】経験値</v>
          </cell>
          <cell r="J318">
            <v>343</v>
          </cell>
          <cell r="K318">
            <v>1</v>
          </cell>
          <cell r="L318">
            <v>500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5</v>
          </cell>
          <cell r="AD318">
            <v>6</v>
          </cell>
          <cell r="AE318" t="str">
            <v>singleonly</v>
          </cell>
        </row>
        <row r="319">
          <cell r="A319" t="str">
            <v>14001_3</v>
          </cell>
          <cell r="B319">
            <v>3</v>
          </cell>
          <cell r="C319">
            <v>14001</v>
          </cell>
          <cell r="D319" t="str">
            <v>【ロック】経験値/ソロ</v>
          </cell>
          <cell r="E319" t="str">
            <v>【ロック】経験値/ソロ</v>
          </cell>
          <cell r="F319">
            <v>3</v>
          </cell>
          <cell r="G319" t="str">
            <v>ja</v>
          </cell>
          <cell r="H319" t="str">
            <v>【超級】森ファミリー（ハートなし）</v>
          </cell>
          <cell r="I319" t="str">
            <v>【ロッククエスト】経験値</v>
          </cell>
          <cell r="J319">
            <v>339</v>
          </cell>
          <cell r="K319">
            <v>1</v>
          </cell>
          <cell r="L319">
            <v>500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7</v>
          </cell>
          <cell r="AD319">
            <v>6</v>
          </cell>
          <cell r="AE319" t="str">
            <v>singleonly</v>
          </cell>
        </row>
        <row r="320">
          <cell r="A320" t="str">
            <v>14001_4</v>
          </cell>
          <cell r="B320">
            <v>3</v>
          </cell>
          <cell r="C320">
            <v>14001</v>
          </cell>
          <cell r="D320" t="str">
            <v>【ロック】経験値/ソロ</v>
          </cell>
          <cell r="E320" t="str">
            <v>【ロック】経験値/ソロ</v>
          </cell>
          <cell r="F320">
            <v>4</v>
          </cell>
          <cell r="G320" t="str">
            <v>ja</v>
          </cell>
          <cell r="H320" t="str">
            <v>【超級】炎ファミリー（ハートなし）</v>
          </cell>
          <cell r="I320" t="str">
            <v>【ロッククエスト】経験値</v>
          </cell>
          <cell r="J320">
            <v>335</v>
          </cell>
          <cell r="K320">
            <v>1</v>
          </cell>
          <cell r="L320">
            <v>500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10</v>
          </cell>
          <cell r="AD320">
            <v>6</v>
          </cell>
          <cell r="AE320" t="str">
            <v>singleonly</v>
          </cell>
        </row>
        <row r="321">
          <cell r="A321" t="str">
            <v>14002_1</v>
          </cell>
          <cell r="B321">
            <v>3</v>
          </cell>
          <cell r="C321">
            <v>14002</v>
          </cell>
          <cell r="D321" t="str">
            <v>【ロック】ビット/ソロ</v>
          </cell>
          <cell r="E321" t="str">
            <v>【ロック】ビット/ソロ</v>
          </cell>
          <cell r="F321">
            <v>1</v>
          </cell>
          <cell r="G321" t="str">
            <v>ja</v>
          </cell>
          <cell r="H321" t="str">
            <v>【超級】ハイローラー（ハートなし）</v>
          </cell>
          <cell r="I321" t="str">
            <v>【ロッククエスト】ビット</v>
          </cell>
          <cell r="J321">
            <v>119</v>
          </cell>
          <cell r="K321">
            <v>1</v>
          </cell>
          <cell r="L321">
            <v>777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105</v>
          </cell>
          <cell r="AD321">
            <v>6</v>
          </cell>
          <cell r="AE321" t="str">
            <v>singleonly</v>
          </cell>
        </row>
        <row r="322">
          <cell r="A322" t="str">
            <v>14003_1</v>
          </cell>
          <cell r="B322">
            <v>3</v>
          </cell>
          <cell r="C322">
            <v>14003</v>
          </cell>
          <cell r="D322" t="str">
            <v>【ロック】限界突破/ソロ</v>
          </cell>
          <cell r="E322" t="str">
            <v>【ロック】限界突破/ソロ</v>
          </cell>
          <cell r="F322">
            <v>1</v>
          </cell>
          <cell r="G322" t="str">
            <v>ja</v>
          </cell>
          <cell r="H322" t="str">
            <v>【超級】果実の楽園（ハートなし）</v>
          </cell>
          <cell r="I322" t="str">
            <v>【ロッククエスト】限界突破</v>
          </cell>
          <cell r="J322">
            <v>125</v>
          </cell>
          <cell r="K322">
            <v>1</v>
          </cell>
          <cell r="L322">
            <v>860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7</v>
          </cell>
          <cell r="AD322">
            <v>6</v>
          </cell>
          <cell r="AE322" t="str">
            <v>singleonly</v>
          </cell>
        </row>
        <row r="323">
          <cell r="A323" t="str">
            <v>14004_1</v>
          </cell>
          <cell r="B323">
            <v>1</v>
          </cell>
          <cell r="C323">
            <v>14004</v>
          </cell>
          <cell r="D323" t="str">
            <v>【ロック】経験値/LINEマルチ</v>
          </cell>
          <cell r="E323" t="str">
            <v>【ロック】経験値/LINEマルチ</v>
          </cell>
          <cell r="F323">
            <v>1</v>
          </cell>
          <cell r="G323" t="str">
            <v>ja</v>
          </cell>
          <cell r="H323" t="str">
            <v>【超級】雷ファミリー（ハートなし）</v>
          </cell>
          <cell r="I323" t="str">
            <v>【ロッククエスト】経験値</v>
          </cell>
          <cell r="J323">
            <v>347</v>
          </cell>
          <cell r="K323">
            <v>1</v>
          </cell>
          <cell r="L323">
            <v>500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0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12</v>
          </cell>
          <cell r="AD323">
            <v>6</v>
          </cell>
          <cell r="AE323" t="str">
            <v>lineonly</v>
          </cell>
        </row>
        <row r="324">
          <cell r="A324" t="str">
            <v>14004_2</v>
          </cell>
          <cell r="B324">
            <v>1</v>
          </cell>
          <cell r="C324">
            <v>14004</v>
          </cell>
          <cell r="D324" t="str">
            <v>【ロック】経験値/LINEマルチ</v>
          </cell>
          <cell r="E324" t="str">
            <v>【ロック】経験値/LINEマルチ</v>
          </cell>
          <cell r="F324">
            <v>2</v>
          </cell>
          <cell r="G324" t="str">
            <v>ja</v>
          </cell>
          <cell r="H324" t="str">
            <v>【超級】水ファミリー（ハートなし）</v>
          </cell>
          <cell r="I324" t="str">
            <v>【ロッククエスト】経験値</v>
          </cell>
          <cell r="J324">
            <v>343</v>
          </cell>
          <cell r="K324">
            <v>1</v>
          </cell>
          <cell r="L324">
            <v>500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0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5</v>
          </cell>
          <cell r="AD324">
            <v>6</v>
          </cell>
          <cell r="AE324" t="str">
            <v>lineonly</v>
          </cell>
        </row>
        <row r="325">
          <cell r="A325" t="str">
            <v>14004_3</v>
          </cell>
          <cell r="B325">
            <v>1</v>
          </cell>
          <cell r="C325">
            <v>14004</v>
          </cell>
          <cell r="D325" t="str">
            <v>【ロック】経験値/LINEマルチ</v>
          </cell>
          <cell r="E325" t="str">
            <v>【ロック】経験値/LINEマルチ</v>
          </cell>
          <cell r="F325">
            <v>3</v>
          </cell>
          <cell r="G325" t="str">
            <v>ja</v>
          </cell>
          <cell r="H325" t="str">
            <v>【超級】森ファミリー（ハートなし）</v>
          </cell>
          <cell r="I325" t="str">
            <v>【ロッククエスト】経験値</v>
          </cell>
          <cell r="J325">
            <v>339</v>
          </cell>
          <cell r="K325">
            <v>1</v>
          </cell>
          <cell r="L325">
            <v>500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0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7</v>
          </cell>
          <cell r="AD325">
            <v>6</v>
          </cell>
          <cell r="AE325" t="str">
            <v>lineonly</v>
          </cell>
        </row>
        <row r="326">
          <cell r="A326" t="str">
            <v>14004_4</v>
          </cell>
          <cell r="B326">
            <v>1</v>
          </cell>
          <cell r="C326">
            <v>14004</v>
          </cell>
          <cell r="D326" t="str">
            <v>【ロック】経験値/LINEマルチ</v>
          </cell>
          <cell r="E326" t="str">
            <v>【ロック】経験値/LINEマルチ</v>
          </cell>
          <cell r="F326">
            <v>4</v>
          </cell>
          <cell r="G326" t="str">
            <v>ja</v>
          </cell>
          <cell r="H326" t="str">
            <v>【超級】炎ファミリー（ハートなし）</v>
          </cell>
          <cell r="I326" t="str">
            <v>【ロッククエスト】経験値</v>
          </cell>
          <cell r="J326">
            <v>335</v>
          </cell>
          <cell r="K326">
            <v>1</v>
          </cell>
          <cell r="L326">
            <v>500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0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10</v>
          </cell>
          <cell r="AD326">
            <v>6</v>
          </cell>
          <cell r="AE326" t="str">
            <v>lineonly</v>
          </cell>
        </row>
        <row r="327">
          <cell r="A327" t="str">
            <v>14005_1</v>
          </cell>
          <cell r="B327">
            <v>1</v>
          </cell>
          <cell r="C327">
            <v>14005</v>
          </cell>
          <cell r="D327" t="str">
            <v>【ロック】ビット/LINEマルチ</v>
          </cell>
          <cell r="E327" t="str">
            <v>【ロック】ビット/LINEマルチ</v>
          </cell>
          <cell r="F327">
            <v>1</v>
          </cell>
          <cell r="G327" t="str">
            <v>ja</v>
          </cell>
          <cell r="H327" t="str">
            <v>【超級】ハイローラー（ハートなし）</v>
          </cell>
          <cell r="I327" t="str">
            <v>【ロッククエスト】ビット</v>
          </cell>
          <cell r="J327">
            <v>119</v>
          </cell>
          <cell r="K327">
            <v>1</v>
          </cell>
          <cell r="L327">
            <v>777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105</v>
          </cell>
          <cell r="AD327">
            <v>6</v>
          </cell>
          <cell r="AE327" t="str">
            <v>lineonly</v>
          </cell>
        </row>
        <row r="328">
          <cell r="A328" t="str">
            <v>14006_1</v>
          </cell>
          <cell r="B328">
            <v>1</v>
          </cell>
          <cell r="C328">
            <v>14006</v>
          </cell>
          <cell r="D328" t="str">
            <v>【ロック】限界突破/LINEマルチ</v>
          </cell>
          <cell r="E328" t="str">
            <v>【ロック】限界突破/LINEマルチ</v>
          </cell>
          <cell r="F328">
            <v>1</v>
          </cell>
          <cell r="G328" t="str">
            <v>ja</v>
          </cell>
          <cell r="H328" t="str">
            <v>【超級】果実の楽園（ハートなし）</v>
          </cell>
          <cell r="I328" t="str">
            <v>【ロッククエスト】限界突破</v>
          </cell>
          <cell r="J328">
            <v>125</v>
          </cell>
          <cell r="K328">
            <v>1</v>
          </cell>
          <cell r="L328">
            <v>860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0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7</v>
          </cell>
          <cell r="AD328">
            <v>6</v>
          </cell>
          <cell r="AE328" t="str">
            <v>lineonly</v>
          </cell>
        </row>
        <row r="329">
          <cell r="A329" t="str">
            <v>15027_1</v>
          </cell>
          <cell r="B329">
            <v>3</v>
          </cell>
          <cell r="C329">
            <v>15027</v>
          </cell>
          <cell r="D329" t="str">
            <v>27. 雷雨の登山道</v>
          </cell>
          <cell r="E329" t="str">
            <v>黄青DL6</v>
          </cell>
          <cell r="F329">
            <v>1</v>
          </cell>
          <cell r="G329" t="str">
            <v>ja</v>
          </cell>
          <cell r="H329" t="str">
            <v>27-1. 登山道入口</v>
          </cell>
          <cell r="I329" t="str">
            <v>27--1</v>
          </cell>
          <cell r="J329" t="str">
            <v>NULL</v>
          </cell>
          <cell r="K329">
            <v>18</v>
          </cell>
          <cell r="L329">
            <v>2080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>
            <v>26</v>
          </cell>
          <cell r="V329">
            <v>6</v>
          </cell>
          <cell r="W329" t="str">
            <v>26-6．【1回のみ】ボーナスステージ</v>
          </cell>
          <cell r="X329">
            <v>0</v>
          </cell>
          <cell r="Y329">
            <v>1</v>
          </cell>
          <cell r="Z329">
            <v>0</v>
          </cell>
          <cell r="AA329">
            <v>1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15027_2</v>
          </cell>
          <cell r="B330">
            <v>3</v>
          </cell>
          <cell r="C330">
            <v>15027</v>
          </cell>
          <cell r="D330" t="str">
            <v>27. 雷雨の登山道</v>
          </cell>
          <cell r="E330" t="str">
            <v>黄青DL6</v>
          </cell>
          <cell r="F330">
            <v>2</v>
          </cell>
          <cell r="G330" t="str">
            <v>ja</v>
          </cell>
          <cell r="H330" t="str">
            <v>27-2. 霊峰の守護者</v>
          </cell>
          <cell r="I330" t="str">
            <v>27--2</v>
          </cell>
          <cell r="J330" t="str">
            <v>NULL</v>
          </cell>
          <cell r="K330">
            <v>19</v>
          </cell>
          <cell r="L330">
            <v>2300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>
            <v>15027</v>
          </cell>
          <cell r="V330">
            <v>1</v>
          </cell>
          <cell r="W330" t="str">
            <v>27-1. 登山道入口</v>
          </cell>
          <cell r="X330">
            <v>0</v>
          </cell>
          <cell r="Y330">
            <v>1</v>
          </cell>
          <cell r="Z330">
            <v>0</v>
          </cell>
          <cell r="AA330">
            <v>1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15027_3</v>
          </cell>
          <cell r="B331">
            <v>3</v>
          </cell>
          <cell r="C331">
            <v>15027</v>
          </cell>
          <cell r="D331" t="str">
            <v>27. 雷雨の登山道</v>
          </cell>
          <cell r="E331" t="str">
            <v>黄青DL6</v>
          </cell>
          <cell r="F331">
            <v>3</v>
          </cell>
          <cell r="G331" t="str">
            <v>ja</v>
          </cell>
          <cell r="H331" t="str">
            <v>27-3. 山岳の王者</v>
          </cell>
          <cell r="I331" t="str">
            <v>27--3</v>
          </cell>
          <cell r="J331" t="str">
            <v>NULL</v>
          </cell>
          <cell r="K331">
            <v>22</v>
          </cell>
          <cell r="L331">
            <v>2920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>
            <v>15027</v>
          </cell>
          <cell r="V331">
            <v>2</v>
          </cell>
          <cell r="W331" t="str">
            <v>27-2. 霊峰の守護者</v>
          </cell>
          <cell r="X331">
            <v>0</v>
          </cell>
          <cell r="Y331">
            <v>1</v>
          </cell>
          <cell r="Z331">
            <v>0</v>
          </cell>
          <cell r="AA331">
            <v>1</v>
          </cell>
          <cell r="AB331" t="str">
            <v>anytime</v>
          </cell>
          <cell r="AC331">
            <v>27</v>
          </cell>
          <cell r="AD331">
            <v>6</v>
          </cell>
          <cell r="AE331" t="str">
            <v>everyone</v>
          </cell>
        </row>
        <row r="332">
          <cell r="A332" t="str">
            <v>15027_4</v>
          </cell>
          <cell r="B332">
            <v>3</v>
          </cell>
          <cell r="C332">
            <v>15027</v>
          </cell>
          <cell r="D332" t="str">
            <v>27. 雷雨の登山道</v>
          </cell>
          <cell r="E332" t="str">
            <v>黄青DL6</v>
          </cell>
          <cell r="F332">
            <v>4</v>
          </cell>
          <cell r="G332" t="str">
            <v>ja</v>
          </cell>
          <cell r="H332" t="str">
            <v>27-4. 【1回のみ】ボーナスステージ</v>
          </cell>
          <cell r="I332" t="str">
            <v>27--4</v>
          </cell>
          <cell r="J332">
            <v>343</v>
          </cell>
          <cell r="K332">
            <v>1</v>
          </cell>
          <cell r="L332">
            <v>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>
            <v>15027</v>
          </cell>
          <cell r="V332">
            <v>3</v>
          </cell>
          <cell r="W332" t="str">
            <v>27-3. 山岳の王者</v>
          </cell>
          <cell r="X332">
            <v>0</v>
          </cell>
          <cell r="Y332">
            <v>1</v>
          </cell>
          <cell r="Z332">
            <v>0</v>
          </cell>
          <cell r="AA332">
            <v>1</v>
          </cell>
          <cell r="AB332" t="str">
            <v>once</v>
          </cell>
          <cell r="AC332">
            <v>27</v>
          </cell>
          <cell r="AD332">
            <v>6</v>
          </cell>
          <cell r="AE332" t="str">
            <v>singleonly</v>
          </cell>
        </row>
        <row r="333">
          <cell r="A333" t="str">
            <v>15028_1</v>
          </cell>
          <cell r="B333">
            <v>3</v>
          </cell>
          <cell r="C333">
            <v>15028</v>
          </cell>
          <cell r="D333" t="str">
            <v>28. 暴風と灼熱の罪浄</v>
          </cell>
          <cell r="E333" t="str">
            <v>赤緑DL6</v>
          </cell>
          <cell r="F333">
            <v>1</v>
          </cell>
          <cell r="G333" t="str">
            <v>ja</v>
          </cell>
          <cell r="H333" t="str">
            <v>28-1. 轟翼のかまど</v>
          </cell>
          <cell r="I333" t="str">
            <v>28--1</v>
          </cell>
          <cell r="J333" t="str">
            <v>NULL</v>
          </cell>
          <cell r="K333">
            <v>18</v>
          </cell>
          <cell r="L333">
            <v>2150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>
            <v>15027</v>
          </cell>
          <cell r="V333">
            <v>4</v>
          </cell>
          <cell r="W333" t="str">
            <v>27-4. 【1回のみ】ボーナスステージ</v>
          </cell>
          <cell r="X333">
            <v>1</v>
          </cell>
          <cell r="Y333">
            <v>0</v>
          </cell>
          <cell r="Z333">
            <v>1</v>
          </cell>
          <cell r="AA333">
            <v>0</v>
          </cell>
          <cell r="AB333" t="str">
            <v>anytime</v>
          </cell>
          <cell r="AC333">
            <v>28</v>
          </cell>
          <cell r="AD333">
            <v>6</v>
          </cell>
          <cell r="AE333" t="str">
            <v>everyone</v>
          </cell>
        </row>
        <row r="334">
          <cell r="A334" t="str">
            <v>15028_2</v>
          </cell>
          <cell r="B334">
            <v>3</v>
          </cell>
          <cell r="C334">
            <v>15028</v>
          </cell>
          <cell r="D334" t="str">
            <v>28. 暴風と灼熱の罪浄</v>
          </cell>
          <cell r="E334" t="str">
            <v>赤緑DL6</v>
          </cell>
          <cell r="F334">
            <v>2</v>
          </cell>
          <cell r="G334" t="str">
            <v>ja</v>
          </cell>
          <cell r="H334" t="str">
            <v>28-2. 空の寝殿</v>
          </cell>
          <cell r="I334" t="str">
            <v>28--2</v>
          </cell>
          <cell r="J334" t="str">
            <v>NULL</v>
          </cell>
          <cell r="K334">
            <v>19</v>
          </cell>
          <cell r="L334">
            <v>2500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>
            <v>15028</v>
          </cell>
          <cell r="V334">
            <v>1</v>
          </cell>
          <cell r="W334" t="str">
            <v>28-1. 轟翼のかまど</v>
          </cell>
          <cell r="X334">
            <v>1</v>
          </cell>
          <cell r="Y334">
            <v>0</v>
          </cell>
          <cell r="Z334">
            <v>1</v>
          </cell>
          <cell r="AA334">
            <v>0</v>
          </cell>
          <cell r="AB334" t="str">
            <v>anytime</v>
          </cell>
          <cell r="AC334">
            <v>28</v>
          </cell>
          <cell r="AD334">
            <v>6</v>
          </cell>
          <cell r="AE334" t="str">
            <v>everyone</v>
          </cell>
        </row>
        <row r="335">
          <cell r="A335" t="str">
            <v>15028_3</v>
          </cell>
          <cell r="B335">
            <v>3</v>
          </cell>
          <cell r="C335">
            <v>15028</v>
          </cell>
          <cell r="D335" t="str">
            <v>28. 暴風と灼熱の罪浄</v>
          </cell>
          <cell r="E335" t="str">
            <v>赤緑DL6</v>
          </cell>
          <cell r="F335">
            <v>3</v>
          </cell>
          <cell r="G335" t="str">
            <v>ja</v>
          </cell>
          <cell r="H335" t="str">
            <v>28-3. 縛風の洞窟</v>
          </cell>
          <cell r="I335" t="str">
            <v>28--3</v>
          </cell>
          <cell r="J335" t="str">
            <v>NULL</v>
          </cell>
          <cell r="K335">
            <v>22</v>
          </cell>
          <cell r="L335">
            <v>3100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>
            <v>15028</v>
          </cell>
          <cell r="V335">
            <v>2</v>
          </cell>
          <cell r="W335" t="str">
            <v>28-2. 空の寝殿</v>
          </cell>
          <cell r="X335">
            <v>1</v>
          </cell>
          <cell r="Y335">
            <v>0</v>
          </cell>
          <cell r="Z335">
            <v>1</v>
          </cell>
          <cell r="AA335">
            <v>0</v>
          </cell>
          <cell r="AB335" t="str">
            <v>anytime</v>
          </cell>
          <cell r="AC335">
            <v>28</v>
          </cell>
          <cell r="AD335">
            <v>6</v>
          </cell>
          <cell r="AE335" t="str">
            <v>everyone</v>
          </cell>
        </row>
        <row r="336">
          <cell r="A336" t="str">
            <v>15028_4</v>
          </cell>
          <cell r="B336">
            <v>3</v>
          </cell>
          <cell r="C336">
            <v>15028</v>
          </cell>
          <cell r="D336" t="str">
            <v>28. 暴風と灼熱の罪浄</v>
          </cell>
          <cell r="E336" t="str">
            <v>赤緑DL6</v>
          </cell>
          <cell r="F336">
            <v>4</v>
          </cell>
          <cell r="G336" t="str">
            <v>ja</v>
          </cell>
          <cell r="H336" t="str">
            <v>28-4. 【1回のみ】ボーナスステージ</v>
          </cell>
          <cell r="I336" t="str">
            <v>28--4</v>
          </cell>
          <cell r="J336">
            <v>339</v>
          </cell>
          <cell r="K336">
            <v>1</v>
          </cell>
          <cell r="L336">
            <v>1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>
            <v>15028</v>
          </cell>
          <cell r="V336">
            <v>3</v>
          </cell>
          <cell r="W336" t="str">
            <v>28-3. 縛風の洞窟</v>
          </cell>
          <cell r="X336">
            <v>1</v>
          </cell>
          <cell r="Y336">
            <v>0</v>
          </cell>
          <cell r="Z336">
            <v>1</v>
          </cell>
          <cell r="AA336">
            <v>0</v>
          </cell>
          <cell r="AB336" t="str">
            <v>once</v>
          </cell>
          <cell r="AC336">
            <v>28</v>
          </cell>
          <cell r="AD336">
            <v>6</v>
          </cell>
          <cell r="AE336" t="str">
            <v>singleonly</v>
          </cell>
        </row>
        <row r="337">
          <cell r="A337" t="str">
            <v>15029_1</v>
          </cell>
          <cell r="B337">
            <v>3</v>
          </cell>
          <cell r="C337">
            <v>15029</v>
          </cell>
          <cell r="D337" t="str">
            <v>29. 雪の望郷</v>
          </cell>
          <cell r="E337" t="str">
            <v>緑黄DL6</v>
          </cell>
          <cell r="F337">
            <v>1</v>
          </cell>
          <cell r="G337" t="str">
            <v>ja</v>
          </cell>
          <cell r="H337" t="str">
            <v>29-1. 雪の中のケモノたち</v>
          </cell>
          <cell r="I337" t="str">
            <v>29--1</v>
          </cell>
          <cell r="J337" t="str">
            <v>NULL</v>
          </cell>
          <cell r="K337">
            <v>18</v>
          </cell>
          <cell r="L337">
            <v>2340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>
            <v>15028</v>
          </cell>
          <cell r="V337">
            <v>4</v>
          </cell>
          <cell r="W337" t="str">
            <v>28-4. 【1回のみ】ボーナスステージ</v>
          </cell>
          <cell r="X337">
            <v>0</v>
          </cell>
          <cell r="Y337">
            <v>0</v>
          </cell>
          <cell r="Z337">
            <v>1</v>
          </cell>
          <cell r="AA337">
            <v>1</v>
          </cell>
          <cell r="AB337" t="str">
            <v>anytime</v>
          </cell>
          <cell r="AC337">
            <v>29</v>
          </cell>
          <cell r="AD337">
            <v>6</v>
          </cell>
          <cell r="AE337" t="str">
            <v>everyone</v>
          </cell>
        </row>
        <row r="338">
          <cell r="A338" t="str">
            <v>15029_2</v>
          </cell>
          <cell r="B338">
            <v>3</v>
          </cell>
          <cell r="C338">
            <v>15029</v>
          </cell>
          <cell r="D338" t="str">
            <v>29. 雪の望郷</v>
          </cell>
          <cell r="E338" t="str">
            <v>緑黄DL6</v>
          </cell>
          <cell r="F338">
            <v>2</v>
          </cell>
          <cell r="G338" t="str">
            <v>ja</v>
          </cell>
          <cell r="H338" t="str">
            <v>29-2. ねこみみマフラー</v>
          </cell>
          <cell r="I338" t="str">
            <v>29--2</v>
          </cell>
          <cell r="J338" t="str">
            <v>NULL</v>
          </cell>
          <cell r="K338">
            <v>19</v>
          </cell>
          <cell r="L338">
            <v>2670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>
            <v>15029</v>
          </cell>
          <cell r="V338">
            <v>1</v>
          </cell>
          <cell r="W338" t="str">
            <v>29-1. 雪の中のケモノたち</v>
          </cell>
          <cell r="X338">
            <v>0</v>
          </cell>
          <cell r="Y338">
            <v>0</v>
          </cell>
          <cell r="Z338">
            <v>1</v>
          </cell>
          <cell r="AA338">
            <v>1</v>
          </cell>
          <cell r="AB338" t="str">
            <v>anytime</v>
          </cell>
          <cell r="AC338">
            <v>29</v>
          </cell>
          <cell r="AD338">
            <v>6</v>
          </cell>
          <cell r="AE338" t="str">
            <v>everyone</v>
          </cell>
        </row>
        <row r="339">
          <cell r="A339" t="str">
            <v>15029_3</v>
          </cell>
          <cell r="B339">
            <v>3</v>
          </cell>
          <cell r="C339">
            <v>15029</v>
          </cell>
          <cell r="D339" t="str">
            <v>29. 雪の望郷</v>
          </cell>
          <cell r="E339" t="str">
            <v>緑黄DL6</v>
          </cell>
          <cell r="F339">
            <v>3</v>
          </cell>
          <cell r="G339" t="str">
            <v>ja</v>
          </cell>
          <cell r="H339" t="str">
            <v>29-3. 仕立屋と兄妹</v>
          </cell>
          <cell r="I339" t="str">
            <v>29--3</v>
          </cell>
          <cell r="J339" t="str">
            <v>NULL</v>
          </cell>
          <cell r="K339">
            <v>22</v>
          </cell>
          <cell r="L339">
            <v>3320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>
            <v>15029</v>
          </cell>
          <cell r="V339">
            <v>2</v>
          </cell>
          <cell r="W339" t="str">
            <v>29-2. ねこみみマフラー</v>
          </cell>
          <cell r="X339">
            <v>0</v>
          </cell>
          <cell r="Y339">
            <v>0</v>
          </cell>
          <cell r="Z339">
            <v>1</v>
          </cell>
          <cell r="AA339">
            <v>1</v>
          </cell>
          <cell r="AB339" t="str">
            <v>anytime</v>
          </cell>
          <cell r="AC339">
            <v>29</v>
          </cell>
          <cell r="AD339">
            <v>6</v>
          </cell>
          <cell r="AE339" t="str">
            <v>everyone</v>
          </cell>
        </row>
        <row r="340">
          <cell r="A340" t="str">
            <v>15029_4</v>
          </cell>
          <cell r="B340">
            <v>3</v>
          </cell>
          <cell r="C340">
            <v>15029</v>
          </cell>
          <cell r="D340" t="str">
            <v>29. 雪の望郷</v>
          </cell>
          <cell r="E340" t="str">
            <v>緑黄DL6</v>
          </cell>
          <cell r="F340">
            <v>4</v>
          </cell>
          <cell r="G340" t="str">
            <v>ja</v>
          </cell>
          <cell r="H340" t="str">
            <v>29-4. 【1回のみ】ボーナスステージ</v>
          </cell>
          <cell r="I340" t="str">
            <v>29--4</v>
          </cell>
          <cell r="J340">
            <v>125</v>
          </cell>
          <cell r="K340">
            <v>1</v>
          </cell>
          <cell r="L340">
            <v>1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>
            <v>15029</v>
          </cell>
          <cell r="V340">
            <v>3</v>
          </cell>
          <cell r="W340" t="str">
            <v>29-3. 仕立屋と兄妹</v>
          </cell>
          <cell r="X340">
            <v>0</v>
          </cell>
          <cell r="Y340">
            <v>0</v>
          </cell>
          <cell r="Z340">
            <v>1</v>
          </cell>
          <cell r="AA340">
            <v>1</v>
          </cell>
          <cell r="AB340" t="str">
            <v>once</v>
          </cell>
          <cell r="AC340">
            <v>29</v>
          </cell>
          <cell r="AD340">
            <v>6</v>
          </cell>
          <cell r="AE340" t="str">
            <v>singleonly</v>
          </cell>
        </row>
        <row r="341">
          <cell r="A341" t="str">
            <v>15030_1</v>
          </cell>
          <cell r="B341">
            <v>3</v>
          </cell>
          <cell r="C341">
            <v>15030</v>
          </cell>
          <cell r="D341" t="str">
            <v>30. 月夜のオールドシティ</v>
          </cell>
          <cell r="E341" t="str">
            <v>赤青DL6</v>
          </cell>
          <cell r="F341">
            <v>1</v>
          </cell>
          <cell r="G341" t="str">
            <v>ja</v>
          </cell>
          <cell r="H341" t="str">
            <v>30-1. 月夜に煌めく刃</v>
          </cell>
          <cell r="I341" t="str">
            <v>30--1</v>
          </cell>
          <cell r="J341" t="str">
            <v>NULL</v>
          </cell>
          <cell r="K341">
            <v>18</v>
          </cell>
          <cell r="L341">
            <v>2480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>
            <v>15029</v>
          </cell>
          <cell r="V341">
            <v>4</v>
          </cell>
          <cell r="W341" t="str">
            <v>29-4. 【1回のみ】ボーナスステージ</v>
          </cell>
          <cell r="X341">
            <v>1</v>
          </cell>
          <cell r="Y341">
            <v>1</v>
          </cell>
          <cell r="Z341">
            <v>0</v>
          </cell>
          <cell r="AA341">
            <v>0</v>
          </cell>
          <cell r="AB341" t="str">
            <v>anytime</v>
          </cell>
          <cell r="AC341">
            <v>30</v>
          </cell>
          <cell r="AD341">
            <v>6</v>
          </cell>
          <cell r="AE341" t="str">
            <v>everyone</v>
          </cell>
        </row>
        <row r="342">
          <cell r="A342" t="str">
            <v>15030_2</v>
          </cell>
          <cell r="B342">
            <v>3</v>
          </cell>
          <cell r="C342">
            <v>15030</v>
          </cell>
          <cell r="D342" t="str">
            <v>30. 月夜のオールドシティ</v>
          </cell>
          <cell r="E342" t="str">
            <v>赤青DL6</v>
          </cell>
          <cell r="F342">
            <v>2</v>
          </cell>
          <cell r="G342" t="str">
            <v>ja</v>
          </cell>
          <cell r="H342" t="str">
            <v>30-2. 深夜のお茶会</v>
          </cell>
          <cell r="I342" t="str">
            <v>30--2</v>
          </cell>
          <cell r="J342" t="str">
            <v>NULL</v>
          </cell>
          <cell r="K342">
            <v>19</v>
          </cell>
          <cell r="L342">
            <v>2800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>
            <v>15030</v>
          </cell>
          <cell r="V342">
            <v>1</v>
          </cell>
          <cell r="W342" t="str">
            <v>30-1. 月夜に煌めく刃</v>
          </cell>
          <cell r="X342">
            <v>1</v>
          </cell>
          <cell r="Y342">
            <v>1</v>
          </cell>
          <cell r="Z342">
            <v>0</v>
          </cell>
          <cell r="AA342">
            <v>0</v>
          </cell>
          <cell r="AB342" t="str">
            <v>anytime</v>
          </cell>
          <cell r="AC342">
            <v>30</v>
          </cell>
          <cell r="AD342">
            <v>6</v>
          </cell>
          <cell r="AE342" t="str">
            <v>everyone</v>
          </cell>
        </row>
        <row r="343">
          <cell r="A343" t="str">
            <v>15030_3</v>
          </cell>
          <cell r="B343">
            <v>3</v>
          </cell>
          <cell r="C343">
            <v>15030</v>
          </cell>
          <cell r="D343" t="str">
            <v>30. 月夜のオールドシティ</v>
          </cell>
          <cell r="E343" t="str">
            <v>赤青DL6</v>
          </cell>
          <cell r="F343">
            <v>3</v>
          </cell>
          <cell r="G343" t="str">
            <v>ja</v>
          </cell>
          <cell r="H343" t="str">
            <v>30-3. 月影の襲撃者</v>
          </cell>
          <cell r="I343" t="str">
            <v>30--3</v>
          </cell>
          <cell r="J343" t="str">
            <v>NULL</v>
          </cell>
          <cell r="K343">
            <v>22</v>
          </cell>
          <cell r="L343">
            <v>3540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>
            <v>15030</v>
          </cell>
          <cell r="V343">
            <v>2</v>
          </cell>
          <cell r="W343" t="str">
            <v>30-2. 深夜のお茶会</v>
          </cell>
          <cell r="X343">
            <v>1</v>
          </cell>
          <cell r="Y343">
            <v>1</v>
          </cell>
          <cell r="Z343">
            <v>0</v>
          </cell>
          <cell r="AA343">
            <v>0</v>
          </cell>
          <cell r="AB343" t="str">
            <v>anytime</v>
          </cell>
          <cell r="AC343">
            <v>30</v>
          </cell>
          <cell r="AD343">
            <v>6</v>
          </cell>
          <cell r="AE343" t="str">
            <v>everyone</v>
          </cell>
        </row>
        <row r="344">
          <cell r="A344" t="str">
            <v>15030_4</v>
          </cell>
          <cell r="B344">
            <v>3</v>
          </cell>
          <cell r="C344">
            <v>15030</v>
          </cell>
          <cell r="D344" t="str">
            <v>30. 月夜のオールドシティ</v>
          </cell>
          <cell r="E344" t="str">
            <v>赤青DL6</v>
          </cell>
          <cell r="F344">
            <v>4</v>
          </cell>
          <cell r="G344" t="str">
            <v>ja</v>
          </cell>
          <cell r="H344" t="str">
            <v>30-4. 【1回のみ】ボーナスステージ</v>
          </cell>
          <cell r="I344" t="str">
            <v>30--4</v>
          </cell>
          <cell r="J344">
            <v>125</v>
          </cell>
          <cell r="K344">
            <v>1</v>
          </cell>
          <cell r="L344">
            <v>1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>
            <v>15030</v>
          </cell>
          <cell r="V344">
            <v>3</v>
          </cell>
          <cell r="W344" t="str">
            <v>30-3. 月影の襲撃者</v>
          </cell>
          <cell r="X344">
            <v>1</v>
          </cell>
          <cell r="Y344">
            <v>1</v>
          </cell>
          <cell r="Z344">
            <v>0</v>
          </cell>
          <cell r="AA344">
            <v>0</v>
          </cell>
          <cell r="AB344" t="str">
            <v>once</v>
          </cell>
          <cell r="AC344">
            <v>30</v>
          </cell>
          <cell r="AD344">
            <v>6</v>
          </cell>
          <cell r="AE344" t="str">
            <v>singleonly</v>
          </cell>
        </row>
        <row r="345">
          <cell r="A345" t="str">
            <v>15031_1</v>
          </cell>
          <cell r="B345">
            <v>1</v>
          </cell>
          <cell r="C345">
            <v>15031</v>
          </cell>
          <cell r="D345">
            <v>31</v>
          </cell>
          <cell r="E345" t="str">
            <v>混色DL6</v>
          </cell>
          <cell r="F345">
            <v>1</v>
          </cell>
          <cell r="G345" t="str">
            <v>ja</v>
          </cell>
          <cell r="H345" t="str">
            <v>31--1</v>
          </cell>
          <cell r="I345" t="str">
            <v>31--1</v>
          </cell>
          <cell r="J345" t="str">
            <v>NULL</v>
          </cell>
          <cell r="K345">
            <v>19</v>
          </cell>
          <cell r="L345">
            <v>2800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1</v>
          </cell>
          <cell r="Y345">
            <v>1</v>
          </cell>
          <cell r="Z345">
            <v>1</v>
          </cell>
          <cell r="AA345">
            <v>1</v>
          </cell>
          <cell r="AB345" t="str">
            <v>anytime</v>
          </cell>
          <cell r="AC345">
            <v>31</v>
          </cell>
          <cell r="AD345">
            <v>6</v>
          </cell>
          <cell r="AE345" t="str">
            <v>everyone</v>
          </cell>
        </row>
        <row r="346">
          <cell r="A346" t="str">
            <v>15031_2</v>
          </cell>
          <cell r="B346">
            <v>1</v>
          </cell>
          <cell r="C346">
            <v>15031</v>
          </cell>
          <cell r="D346">
            <v>31</v>
          </cell>
          <cell r="E346" t="str">
            <v>混色DL6</v>
          </cell>
          <cell r="F346">
            <v>2</v>
          </cell>
          <cell r="G346" t="str">
            <v>ja</v>
          </cell>
          <cell r="H346" t="str">
            <v>31--2</v>
          </cell>
          <cell r="I346" t="str">
            <v>31--2</v>
          </cell>
          <cell r="J346" t="str">
            <v>NULL</v>
          </cell>
          <cell r="K346">
            <v>21</v>
          </cell>
          <cell r="L346">
            <v>3200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1</v>
          </cell>
          <cell r="Y346">
            <v>1</v>
          </cell>
          <cell r="Z346">
            <v>1</v>
          </cell>
          <cell r="AA346">
            <v>1</v>
          </cell>
          <cell r="AB346" t="str">
            <v>anytime</v>
          </cell>
          <cell r="AC346">
            <v>31</v>
          </cell>
          <cell r="AD346">
            <v>6</v>
          </cell>
          <cell r="AE346" t="str">
            <v>everyone</v>
          </cell>
        </row>
        <row r="347">
          <cell r="A347" t="str">
            <v>15031_3</v>
          </cell>
          <cell r="B347">
            <v>1</v>
          </cell>
          <cell r="C347">
            <v>15031</v>
          </cell>
          <cell r="D347">
            <v>31</v>
          </cell>
          <cell r="E347" t="str">
            <v>混色DL6</v>
          </cell>
          <cell r="F347">
            <v>3</v>
          </cell>
          <cell r="G347" t="str">
            <v>ja</v>
          </cell>
          <cell r="H347" t="str">
            <v>31--3</v>
          </cell>
          <cell r="I347" t="str">
            <v>31--3</v>
          </cell>
          <cell r="J347" t="str">
            <v>NULL</v>
          </cell>
          <cell r="K347">
            <v>24</v>
          </cell>
          <cell r="L347">
            <v>4680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1</v>
          </cell>
          <cell r="Y347">
            <v>1</v>
          </cell>
          <cell r="Z347">
            <v>1</v>
          </cell>
          <cell r="AA347">
            <v>1</v>
          </cell>
          <cell r="AB347" t="str">
            <v>anytime</v>
          </cell>
          <cell r="AC347">
            <v>31</v>
          </cell>
          <cell r="AD347">
            <v>6</v>
          </cell>
          <cell r="AE347" t="str">
            <v>everyone</v>
          </cell>
        </row>
        <row r="348">
          <cell r="A348" t="str">
            <v>15031_4</v>
          </cell>
          <cell r="B348">
            <v>1</v>
          </cell>
          <cell r="C348">
            <v>15031</v>
          </cell>
          <cell r="D348">
            <v>31</v>
          </cell>
          <cell r="E348" t="str">
            <v>混色DL6</v>
          </cell>
          <cell r="F348">
            <v>4</v>
          </cell>
          <cell r="G348" t="str">
            <v>ja</v>
          </cell>
          <cell r="H348" t="str">
            <v>31--4</v>
          </cell>
          <cell r="I348" t="str">
            <v>31--4</v>
          </cell>
          <cell r="J348">
            <v>125</v>
          </cell>
          <cell r="K348">
            <v>1</v>
          </cell>
          <cell r="L348">
            <v>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1</v>
          </cell>
          <cell r="Y348">
            <v>1</v>
          </cell>
          <cell r="Z348">
            <v>1</v>
          </cell>
          <cell r="AA348">
            <v>1</v>
          </cell>
          <cell r="AB348" t="str">
            <v>once</v>
          </cell>
          <cell r="AC348">
            <v>31</v>
          </cell>
          <cell r="AD348">
            <v>6</v>
          </cell>
          <cell r="AE348" t="str">
            <v>singleonly</v>
          </cell>
        </row>
        <row r="349">
          <cell r="A349" t="str">
            <v>20001_1</v>
          </cell>
          <cell r="B349">
            <v>3</v>
          </cell>
          <cell r="C349">
            <v>20001</v>
          </cell>
          <cell r="D349" t="str">
            <v>紅き執行者</v>
          </cell>
          <cell r="E349" t="str">
            <v>ドロップイベント1-1</v>
          </cell>
          <cell r="F349">
            <v>1</v>
          </cell>
          <cell r="G349" t="str">
            <v>ja</v>
          </cell>
          <cell r="H349" t="str">
            <v xml:space="preserve">【初級】紅き執行者 </v>
          </cell>
          <cell r="I349" t="str">
            <v>初級</v>
          </cell>
          <cell r="J349">
            <v>262</v>
          </cell>
          <cell r="K349">
            <v>8</v>
          </cell>
          <cell r="L349">
            <v>384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14</v>
          </cell>
          <cell r="AD349">
            <v>6</v>
          </cell>
          <cell r="AE349" t="str">
            <v>everyone</v>
          </cell>
        </row>
        <row r="350">
          <cell r="A350" t="str">
            <v>20001_2</v>
          </cell>
          <cell r="B350">
            <v>3</v>
          </cell>
          <cell r="C350">
            <v>20001</v>
          </cell>
          <cell r="D350" t="str">
            <v>紅き執行者</v>
          </cell>
          <cell r="E350" t="str">
            <v>ドロップイベント1-1</v>
          </cell>
          <cell r="F350">
            <v>2</v>
          </cell>
          <cell r="G350" t="str">
            <v>ja</v>
          </cell>
          <cell r="H350" t="str">
            <v>【中級】紅き執行者</v>
          </cell>
          <cell r="I350" t="str">
            <v>中級</v>
          </cell>
          <cell r="J350">
            <v>262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14</v>
          </cell>
          <cell r="AD350">
            <v>6</v>
          </cell>
          <cell r="AE350" t="str">
            <v>everyone</v>
          </cell>
        </row>
        <row r="351">
          <cell r="A351" t="str">
            <v>20001_3</v>
          </cell>
          <cell r="B351">
            <v>3</v>
          </cell>
          <cell r="C351">
            <v>20001</v>
          </cell>
          <cell r="D351" t="str">
            <v>紅き執行者</v>
          </cell>
          <cell r="E351" t="str">
            <v>ドロップイベント1-1</v>
          </cell>
          <cell r="F351">
            <v>3</v>
          </cell>
          <cell r="G351" t="str">
            <v>ja</v>
          </cell>
          <cell r="H351" t="str">
            <v xml:space="preserve">【上級】紅き執行者 </v>
          </cell>
          <cell r="I351" t="str">
            <v>上級</v>
          </cell>
          <cell r="J351">
            <v>263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14</v>
          </cell>
          <cell r="AD351">
            <v>6</v>
          </cell>
          <cell r="AE351" t="str">
            <v>everyone</v>
          </cell>
        </row>
        <row r="352">
          <cell r="A352" t="str">
            <v>20002_1</v>
          </cell>
          <cell r="B352">
            <v>3</v>
          </cell>
          <cell r="C352">
            <v>20002</v>
          </cell>
          <cell r="D352" t="str">
            <v>孤高の一角獣</v>
          </cell>
          <cell r="E352" t="str">
            <v>ドロップイベント1-2</v>
          </cell>
          <cell r="F352">
            <v>1</v>
          </cell>
          <cell r="G352" t="str">
            <v>ja</v>
          </cell>
          <cell r="H352" t="str">
            <v>【初級】孤高の一角獣(ハートなし)</v>
          </cell>
          <cell r="I352" t="str">
            <v>初級</v>
          </cell>
          <cell r="J352">
            <v>264</v>
          </cell>
          <cell r="K352">
            <v>8</v>
          </cell>
          <cell r="L352">
            <v>384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0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19</v>
          </cell>
          <cell r="AD352">
            <v>6</v>
          </cell>
          <cell r="AE352" t="str">
            <v>everyone</v>
          </cell>
        </row>
        <row r="353">
          <cell r="A353" t="str">
            <v>20002_2</v>
          </cell>
          <cell r="B353">
            <v>3</v>
          </cell>
          <cell r="C353">
            <v>20002</v>
          </cell>
          <cell r="D353" t="str">
            <v>孤高の一角獣</v>
          </cell>
          <cell r="E353" t="str">
            <v>ドロップイベント1-2</v>
          </cell>
          <cell r="F353">
            <v>2</v>
          </cell>
          <cell r="G353" t="str">
            <v>ja</v>
          </cell>
          <cell r="H353" t="str">
            <v>【中級】孤高の一角獣(ハートなし)</v>
          </cell>
          <cell r="I353" t="str">
            <v>中級</v>
          </cell>
          <cell r="J353">
            <v>264</v>
          </cell>
          <cell r="K353">
            <v>15</v>
          </cell>
          <cell r="L353">
            <v>1200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0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19</v>
          </cell>
          <cell r="AD353">
            <v>6</v>
          </cell>
          <cell r="AE353" t="str">
            <v>everyone</v>
          </cell>
        </row>
        <row r="354">
          <cell r="A354" t="str">
            <v>20002_3</v>
          </cell>
          <cell r="B354">
            <v>3</v>
          </cell>
          <cell r="C354">
            <v>20002</v>
          </cell>
          <cell r="D354" t="str">
            <v>孤高の一角獣</v>
          </cell>
          <cell r="E354" t="str">
            <v>ドロップイベント1-2</v>
          </cell>
          <cell r="F354">
            <v>3</v>
          </cell>
          <cell r="G354" t="str">
            <v>ja</v>
          </cell>
          <cell r="H354" t="str">
            <v>【上級】孤高の一角獣(ハートなし)</v>
          </cell>
          <cell r="I354" t="str">
            <v>上級</v>
          </cell>
          <cell r="J354">
            <v>265</v>
          </cell>
          <cell r="K354">
            <v>20</v>
          </cell>
          <cell r="L354">
            <v>2000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0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19</v>
          </cell>
          <cell r="AD354">
            <v>6</v>
          </cell>
          <cell r="AE354" t="str">
            <v>everyone</v>
          </cell>
        </row>
        <row r="355">
          <cell r="A355" t="str">
            <v>20003_1</v>
          </cell>
          <cell r="B355">
            <v>3</v>
          </cell>
          <cell r="C355">
            <v>20003</v>
          </cell>
          <cell r="D355" t="str">
            <v>忍び寄る短剣</v>
          </cell>
          <cell r="E355" t="str">
            <v>ドロップイベント1-3</v>
          </cell>
          <cell r="F355">
            <v>1</v>
          </cell>
          <cell r="G355" t="str">
            <v>ja</v>
          </cell>
          <cell r="H355" t="str">
            <v xml:space="preserve">【初級】忍び寄る短剣 </v>
          </cell>
          <cell r="I355" t="str">
            <v>初級</v>
          </cell>
          <cell r="J355">
            <v>266</v>
          </cell>
          <cell r="K355">
            <v>8</v>
          </cell>
          <cell r="L355">
            <v>384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11</v>
          </cell>
          <cell r="AD355">
            <v>6</v>
          </cell>
          <cell r="AE355" t="str">
            <v>everyone</v>
          </cell>
        </row>
        <row r="356">
          <cell r="A356" t="str">
            <v>20003_2</v>
          </cell>
          <cell r="B356">
            <v>3</v>
          </cell>
          <cell r="C356">
            <v>20003</v>
          </cell>
          <cell r="D356" t="str">
            <v>忍び寄る短剣</v>
          </cell>
          <cell r="E356" t="str">
            <v>ドロップイベント1-3</v>
          </cell>
          <cell r="F356">
            <v>2</v>
          </cell>
          <cell r="G356" t="str">
            <v>ja</v>
          </cell>
          <cell r="H356" t="str">
            <v xml:space="preserve">【中級】忍び寄る短剣 </v>
          </cell>
          <cell r="I356" t="str">
            <v>中級</v>
          </cell>
          <cell r="J356">
            <v>266</v>
          </cell>
          <cell r="K356">
            <v>15</v>
          </cell>
          <cell r="L356">
            <v>1200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11</v>
          </cell>
          <cell r="AD356">
            <v>6</v>
          </cell>
          <cell r="AE356" t="str">
            <v>everyone</v>
          </cell>
        </row>
        <row r="357">
          <cell r="A357" t="str">
            <v>20003_3</v>
          </cell>
          <cell r="B357">
            <v>3</v>
          </cell>
          <cell r="C357">
            <v>20003</v>
          </cell>
          <cell r="D357" t="str">
            <v>忍び寄る短剣</v>
          </cell>
          <cell r="E357" t="str">
            <v>ドロップイベント1-3</v>
          </cell>
          <cell r="F357">
            <v>3</v>
          </cell>
          <cell r="G357" t="str">
            <v>ja</v>
          </cell>
          <cell r="H357" t="str">
            <v xml:space="preserve">【上級】忍び寄る短剣 </v>
          </cell>
          <cell r="I357" t="str">
            <v>上級</v>
          </cell>
          <cell r="J357">
            <v>267</v>
          </cell>
          <cell r="K357">
            <v>20</v>
          </cell>
          <cell r="L357">
            <v>2000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11</v>
          </cell>
          <cell r="AD357">
            <v>6</v>
          </cell>
          <cell r="AE357" t="str">
            <v>everyone</v>
          </cell>
        </row>
        <row r="358">
          <cell r="A358" t="str">
            <v>20004_1</v>
          </cell>
          <cell r="B358">
            <v>3</v>
          </cell>
          <cell r="C358">
            <v>20004</v>
          </cell>
          <cell r="D358" t="str">
            <v>雷雲からの刺客</v>
          </cell>
          <cell r="E358" t="str">
            <v>ドロップイベント1-4</v>
          </cell>
          <cell r="F358">
            <v>1</v>
          </cell>
          <cell r="G358" t="str">
            <v>ja</v>
          </cell>
          <cell r="H358" t="str">
            <v>【初級】雷雲からの刺客(ハートなし)</v>
          </cell>
          <cell r="I358" t="str">
            <v>初級</v>
          </cell>
          <cell r="J358">
            <v>268</v>
          </cell>
          <cell r="K358">
            <v>8</v>
          </cell>
          <cell r="L358">
            <v>384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0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4</v>
          </cell>
          <cell r="AD358">
            <v>6</v>
          </cell>
          <cell r="AE358" t="str">
            <v>everyone</v>
          </cell>
        </row>
        <row r="359">
          <cell r="A359" t="str">
            <v>20004_2</v>
          </cell>
          <cell r="B359">
            <v>3</v>
          </cell>
          <cell r="C359">
            <v>20004</v>
          </cell>
          <cell r="D359" t="str">
            <v>雷雲からの刺客</v>
          </cell>
          <cell r="E359" t="str">
            <v>ドロップイベント1-4</v>
          </cell>
          <cell r="F359">
            <v>2</v>
          </cell>
          <cell r="G359" t="str">
            <v>ja</v>
          </cell>
          <cell r="H359" t="str">
            <v>【中級】雷雲からの刺客(ハートなし)</v>
          </cell>
          <cell r="I359" t="str">
            <v>中級</v>
          </cell>
          <cell r="J359">
            <v>268</v>
          </cell>
          <cell r="K359">
            <v>15</v>
          </cell>
          <cell r="L359">
            <v>1200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0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4</v>
          </cell>
          <cell r="AD359">
            <v>6</v>
          </cell>
          <cell r="AE359" t="str">
            <v>everyone</v>
          </cell>
        </row>
        <row r="360">
          <cell r="A360" t="str">
            <v>20004_3</v>
          </cell>
          <cell r="B360">
            <v>3</v>
          </cell>
          <cell r="C360">
            <v>20004</v>
          </cell>
          <cell r="D360" t="str">
            <v>雷雲からの刺客</v>
          </cell>
          <cell r="E360" t="str">
            <v>ドロップイベント1-4</v>
          </cell>
          <cell r="F360">
            <v>3</v>
          </cell>
          <cell r="G360" t="str">
            <v>ja</v>
          </cell>
          <cell r="H360" t="str">
            <v>【上級】雷雲からの刺客(ハートなし)</v>
          </cell>
          <cell r="I360" t="str">
            <v>上級</v>
          </cell>
          <cell r="J360">
            <v>269</v>
          </cell>
          <cell r="K360">
            <v>20</v>
          </cell>
          <cell r="L360">
            <v>2000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0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4</v>
          </cell>
          <cell r="AD360">
            <v>6</v>
          </cell>
          <cell r="AE360" t="str">
            <v>everyone</v>
          </cell>
        </row>
        <row r="361">
          <cell r="A361" t="str">
            <v>20005_1</v>
          </cell>
          <cell r="B361">
            <v>3</v>
          </cell>
          <cell r="C361">
            <v>20005</v>
          </cell>
          <cell r="D361" t="str">
            <v>ザ・キャノン</v>
          </cell>
          <cell r="E361" t="str">
            <v>ドロップイベント2-2</v>
          </cell>
          <cell r="F361">
            <v>1</v>
          </cell>
          <cell r="G361" t="str">
            <v>ja</v>
          </cell>
          <cell r="H361" t="str">
            <v>【初級】ザ・キャノン(4タップ）</v>
          </cell>
          <cell r="I361" t="str">
            <v>初級</v>
          </cell>
          <cell r="J361">
            <v>286</v>
          </cell>
          <cell r="K361">
            <v>8</v>
          </cell>
          <cell r="L361">
            <v>384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4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14</v>
          </cell>
          <cell r="AD361">
            <v>6</v>
          </cell>
          <cell r="AE361" t="str">
            <v>everyone</v>
          </cell>
        </row>
        <row r="362">
          <cell r="A362" t="str">
            <v>20005_2</v>
          </cell>
          <cell r="B362">
            <v>3</v>
          </cell>
          <cell r="C362">
            <v>20005</v>
          </cell>
          <cell r="D362" t="str">
            <v>ザ・キャノン</v>
          </cell>
          <cell r="E362" t="str">
            <v>ドロップイベント2-2</v>
          </cell>
          <cell r="F362">
            <v>2</v>
          </cell>
          <cell r="G362" t="str">
            <v>ja</v>
          </cell>
          <cell r="H362" t="str">
            <v>【中級】ザ・キャノン(4タップ)</v>
          </cell>
          <cell r="I362" t="str">
            <v>中級</v>
          </cell>
          <cell r="J362">
            <v>286</v>
          </cell>
          <cell r="K362">
            <v>15</v>
          </cell>
          <cell r="L362">
            <v>1200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4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14</v>
          </cell>
          <cell r="AD362">
            <v>6</v>
          </cell>
          <cell r="AE362" t="str">
            <v>everyone</v>
          </cell>
        </row>
        <row r="363">
          <cell r="A363" t="str">
            <v>20005_3</v>
          </cell>
          <cell r="B363">
            <v>3</v>
          </cell>
          <cell r="C363">
            <v>20005</v>
          </cell>
          <cell r="D363" t="str">
            <v>ザ・キャノン</v>
          </cell>
          <cell r="E363" t="str">
            <v>ドロップイベント2-2</v>
          </cell>
          <cell r="F363">
            <v>3</v>
          </cell>
          <cell r="G363" t="str">
            <v>ja</v>
          </cell>
          <cell r="H363" t="str">
            <v>【上級】ザ・キャノン(4タップ)</v>
          </cell>
          <cell r="I363" t="str">
            <v>上級</v>
          </cell>
          <cell r="J363">
            <v>287</v>
          </cell>
          <cell r="K363">
            <v>20</v>
          </cell>
          <cell r="L363">
            <v>2000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4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14</v>
          </cell>
          <cell r="AD363">
            <v>6</v>
          </cell>
          <cell r="AE363" t="str">
            <v>everyone</v>
          </cell>
        </row>
        <row r="364">
          <cell r="A364" t="str">
            <v>20006_1</v>
          </cell>
          <cell r="B364">
            <v>3</v>
          </cell>
          <cell r="C364">
            <v>20006</v>
          </cell>
          <cell r="D364" t="str">
            <v>スチール・プレデター</v>
          </cell>
          <cell r="E364" t="str">
            <v>ドロップイベント2-3</v>
          </cell>
          <cell r="F364">
            <v>1</v>
          </cell>
          <cell r="G364" t="str">
            <v>ja</v>
          </cell>
          <cell r="H364" t="str">
            <v>【初級】スチール・プレデター</v>
          </cell>
          <cell r="I364" t="str">
            <v>初級</v>
          </cell>
          <cell r="J364">
            <v>280</v>
          </cell>
          <cell r="K364">
            <v>8</v>
          </cell>
          <cell r="L364">
            <v>384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2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19</v>
          </cell>
          <cell r="AD364">
            <v>6</v>
          </cell>
          <cell r="AE364" t="str">
            <v>everyone</v>
          </cell>
        </row>
        <row r="365">
          <cell r="A365" t="str">
            <v>20006_2</v>
          </cell>
          <cell r="B365">
            <v>3</v>
          </cell>
          <cell r="C365">
            <v>20006</v>
          </cell>
          <cell r="D365" t="str">
            <v>スチール・プレデター</v>
          </cell>
          <cell r="E365" t="str">
            <v>ドロップイベント2-3</v>
          </cell>
          <cell r="F365">
            <v>2</v>
          </cell>
          <cell r="G365" t="str">
            <v>ja</v>
          </cell>
          <cell r="H365" t="str">
            <v>【中級】スチール・プレデター</v>
          </cell>
          <cell r="I365" t="str">
            <v>中級</v>
          </cell>
          <cell r="J365">
            <v>280</v>
          </cell>
          <cell r="K365">
            <v>15</v>
          </cell>
          <cell r="L365">
            <v>1200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2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20006_3</v>
          </cell>
          <cell r="B366">
            <v>3</v>
          </cell>
          <cell r="C366">
            <v>20006</v>
          </cell>
          <cell r="D366" t="str">
            <v>スチール・プレデター</v>
          </cell>
          <cell r="E366" t="str">
            <v>ドロップイベント2-3</v>
          </cell>
          <cell r="F366">
            <v>3</v>
          </cell>
          <cell r="G366" t="str">
            <v>ja</v>
          </cell>
          <cell r="H366" t="str">
            <v>【上級】スチール・プレデター</v>
          </cell>
          <cell r="I366" t="str">
            <v>上級</v>
          </cell>
          <cell r="J366">
            <v>281</v>
          </cell>
          <cell r="K366">
            <v>20</v>
          </cell>
          <cell r="L366">
            <v>2000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2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20007_1</v>
          </cell>
          <cell r="B367">
            <v>3</v>
          </cell>
          <cell r="C367">
            <v>20007</v>
          </cell>
          <cell r="D367" t="str">
            <v>女王陛下の処刑龍</v>
          </cell>
          <cell r="E367" t="str">
            <v>ドロップイベント2-1</v>
          </cell>
          <cell r="F367">
            <v>1</v>
          </cell>
          <cell r="G367" t="str">
            <v>ja</v>
          </cell>
          <cell r="H367" t="str">
            <v>【初級】女王陛下の処刑龍(4タップ)</v>
          </cell>
          <cell r="I367" t="str">
            <v>初級</v>
          </cell>
          <cell r="J367">
            <v>282</v>
          </cell>
          <cell r="K367">
            <v>8</v>
          </cell>
          <cell r="L367">
            <v>384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4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17</v>
          </cell>
          <cell r="AD367">
            <v>6</v>
          </cell>
          <cell r="AE367" t="str">
            <v>everyone</v>
          </cell>
        </row>
        <row r="368">
          <cell r="A368" t="str">
            <v>20007_2</v>
          </cell>
          <cell r="B368">
            <v>3</v>
          </cell>
          <cell r="C368">
            <v>20007</v>
          </cell>
          <cell r="D368" t="str">
            <v>女王陛下の処刑龍</v>
          </cell>
          <cell r="E368" t="str">
            <v>ドロップイベント2-1</v>
          </cell>
          <cell r="F368">
            <v>2</v>
          </cell>
          <cell r="G368" t="str">
            <v>ja</v>
          </cell>
          <cell r="H368" t="str">
            <v>【中級】女王陛下の処刑龍(4タップ)</v>
          </cell>
          <cell r="I368" t="str">
            <v>中級</v>
          </cell>
          <cell r="J368">
            <v>282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4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17</v>
          </cell>
          <cell r="AD368">
            <v>6</v>
          </cell>
          <cell r="AE368" t="str">
            <v>everyone</v>
          </cell>
        </row>
        <row r="369">
          <cell r="A369" t="str">
            <v>20007_3</v>
          </cell>
          <cell r="B369">
            <v>3</v>
          </cell>
          <cell r="C369">
            <v>20007</v>
          </cell>
          <cell r="D369" t="str">
            <v>女王陛下の処刑龍</v>
          </cell>
          <cell r="E369" t="str">
            <v>ドロップイベント2-1</v>
          </cell>
          <cell r="F369">
            <v>3</v>
          </cell>
          <cell r="G369" t="str">
            <v>ja</v>
          </cell>
          <cell r="H369" t="str">
            <v>【上級】女王陛下の処刑龍(4タップ)</v>
          </cell>
          <cell r="I369" t="str">
            <v>上級</v>
          </cell>
          <cell r="J369">
            <v>283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4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17</v>
          </cell>
          <cell r="AD369">
            <v>6</v>
          </cell>
          <cell r="AE369" t="str">
            <v>everyone</v>
          </cell>
        </row>
        <row r="370">
          <cell r="A370" t="str">
            <v>20008_1</v>
          </cell>
          <cell r="B370">
            <v>3</v>
          </cell>
          <cell r="C370">
            <v>20008</v>
          </cell>
          <cell r="D370" t="str">
            <v>天翔ける金轟機龍</v>
          </cell>
          <cell r="E370" t="str">
            <v>ドロップイベント2-4</v>
          </cell>
          <cell r="F370">
            <v>1</v>
          </cell>
          <cell r="G370" t="str">
            <v>ja</v>
          </cell>
          <cell r="H370" t="str">
            <v>【初級】天翔ける金轟機龍</v>
          </cell>
          <cell r="I370" t="str">
            <v>初級</v>
          </cell>
          <cell r="J370">
            <v>284</v>
          </cell>
          <cell r="K370">
            <v>8</v>
          </cell>
          <cell r="L370">
            <v>384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20008_2</v>
          </cell>
          <cell r="B371">
            <v>3</v>
          </cell>
          <cell r="C371">
            <v>20008</v>
          </cell>
          <cell r="D371" t="str">
            <v>天翔ける金轟機龍</v>
          </cell>
          <cell r="E371" t="str">
            <v>ドロップイベント2-4</v>
          </cell>
          <cell r="F371">
            <v>2</v>
          </cell>
          <cell r="G371" t="str">
            <v>ja</v>
          </cell>
          <cell r="H371" t="str">
            <v>【中級】天翔ける金轟機龍</v>
          </cell>
          <cell r="I371" t="str">
            <v>中級</v>
          </cell>
          <cell r="J371">
            <v>284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8</v>
          </cell>
          <cell r="AD371">
            <v>6</v>
          </cell>
          <cell r="AE371" t="str">
            <v>everyone</v>
          </cell>
        </row>
        <row r="372">
          <cell r="A372" t="str">
            <v>20008_3</v>
          </cell>
          <cell r="B372">
            <v>3</v>
          </cell>
          <cell r="C372">
            <v>20008</v>
          </cell>
          <cell r="D372" t="str">
            <v>天翔ける金轟機龍</v>
          </cell>
          <cell r="E372" t="str">
            <v>ドロップイベント2-4</v>
          </cell>
          <cell r="F372">
            <v>3</v>
          </cell>
          <cell r="G372" t="str">
            <v>ja</v>
          </cell>
          <cell r="H372" t="str">
            <v>【上級】天翔ける金轟機龍</v>
          </cell>
          <cell r="I372" t="str">
            <v>上級</v>
          </cell>
          <cell r="J372">
            <v>285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8</v>
          </cell>
          <cell r="AD372">
            <v>6</v>
          </cell>
          <cell r="AE372" t="str">
            <v>everyone</v>
          </cell>
        </row>
        <row r="373">
          <cell r="A373" t="str">
            <v>20009_1</v>
          </cell>
          <cell r="B373">
            <v>0</v>
          </cell>
          <cell r="C373">
            <v>20009</v>
          </cell>
          <cell r="D373" t="str">
            <v>迫り来る窒息</v>
          </cell>
          <cell r="E373" t="str">
            <v>ドロップイベント3</v>
          </cell>
          <cell r="F373">
            <v>1</v>
          </cell>
          <cell r="G373" t="str">
            <v>ja</v>
          </cell>
          <cell r="H373" t="str">
            <v>【初級】迫り来る窒息</v>
          </cell>
          <cell r="I373" t="str">
            <v>初級</v>
          </cell>
          <cell r="J373" t="str">
            <v>NULL</v>
          </cell>
          <cell r="K373">
            <v>8</v>
          </cell>
          <cell r="L373">
            <v>384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25</v>
          </cell>
          <cell r="AD373">
            <v>5</v>
          </cell>
          <cell r="AE373" t="str">
            <v>everyone</v>
          </cell>
        </row>
        <row r="374">
          <cell r="A374" t="str">
            <v>20009_2</v>
          </cell>
          <cell r="B374">
            <v>3</v>
          </cell>
          <cell r="C374">
            <v>20009</v>
          </cell>
          <cell r="D374" t="str">
            <v>迫り来る窒息</v>
          </cell>
          <cell r="E374" t="str">
            <v>ドロップイベント3</v>
          </cell>
          <cell r="F374">
            <v>2</v>
          </cell>
          <cell r="G374" t="str">
            <v>ja</v>
          </cell>
          <cell r="H374" t="str">
            <v>【中級】迫り来る窒息</v>
          </cell>
          <cell r="I374" t="str">
            <v>中級</v>
          </cell>
          <cell r="J374">
            <v>302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25</v>
          </cell>
          <cell r="AD374">
            <v>5</v>
          </cell>
          <cell r="AE374" t="str">
            <v>everyone</v>
          </cell>
        </row>
        <row r="375">
          <cell r="A375" t="str">
            <v>20009_3</v>
          </cell>
          <cell r="B375">
            <v>3</v>
          </cell>
          <cell r="C375">
            <v>20009</v>
          </cell>
          <cell r="D375" t="str">
            <v>迫り来る窒息</v>
          </cell>
          <cell r="E375" t="str">
            <v>ドロップイベント3</v>
          </cell>
          <cell r="F375">
            <v>3</v>
          </cell>
          <cell r="G375" t="str">
            <v>ja</v>
          </cell>
          <cell r="H375" t="str">
            <v>【上級】迫り来る窒息</v>
          </cell>
          <cell r="I375" t="str">
            <v>上級</v>
          </cell>
          <cell r="J375">
            <v>303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polygon</v>
          </cell>
          <cell r="T375">
            <v>1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25</v>
          </cell>
          <cell r="AD375">
            <v>5</v>
          </cell>
          <cell r="AE375" t="str">
            <v>everyone</v>
          </cell>
        </row>
        <row r="376">
          <cell r="A376" t="str">
            <v>20010_1</v>
          </cell>
          <cell r="B376">
            <v>3</v>
          </cell>
          <cell r="C376">
            <v>20010</v>
          </cell>
          <cell r="D376" t="str">
            <v>悪夢の一目惚れ</v>
          </cell>
          <cell r="E376" t="str">
            <v>ドロップイベント3</v>
          </cell>
          <cell r="F376">
            <v>1</v>
          </cell>
          <cell r="G376" t="str">
            <v>ja</v>
          </cell>
          <cell r="H376" t="str">
            <v>【初級】悪夢の一目惚れ</v>
          </cell>
          <cell r="I376" t="str">
            <v>初級</v>
          </cell>
          <cell r="J376">
            <v>304</v>
          </cell>
          <cell r="K376">
            <v>8</v>
          </cell>
          <cell r="L376">
            <v>384</v>
          </cell>
          <cell r="M376">
            <v>1</v>
          </cell>
          <cell r="N376">
            <v>1</v>
          </cell>
          <cell r="O376">
            <v>0</v>
          </cell>
          <cell r="P376">
            <v>1</v>
          </cell>
          <cell r="Q376">
            <v>1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2601</v>
          </cell>
          <cell r="AD376">
            <v>6</v>
          </cell>
          <cell r="AE376" t="str">
            <v>everyone</v>
          </cell>
        </row>
        <row r="377">
          <cell r="A377" t="str">
            <v>20010_2</v>
          </cell>
          <cell r="B377">
            <v>3</v>
          </cell>
          <cell r="C377">
            <v>20010</v>
          </cell>
          <cell r="D377" t="str">
            <v>悪夢の一目惚れ</v>
          </cell>
          <cell r="E377" t="str">
            <v>ドロップイベント3</v>
          </cell>
          <cell r="F377">
            <v>2</v>
          </cell>
          <cell r="G377" t="str">
            <v>ja</v>
          </cell>
          <cell r="H377" t="str">
            <v>【中級】悪夢の一目惚れ</v>
          </cell>
          <cell r="I377" t="str">
            <v>中級</v>
          </cell>
          <cell r="J377">
            <v>304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0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2601</v>
          </cell>
          <cell r="AD377">
            <v>6</v>
          </cell>
          <cell r="AE377" t="str">
            <v>everyone</v>
          </cell>
        </row>
        <row r="378">
          <cell r="A378" t="str">
            <v>20010_3</v>
          </cell>
          <cell r="B378">
            <v>3</v>
          </cell>
          <cell r="C378">
            <v>20010</v>
          </cell>
          <cell r="D378" t="str">
            <v>悪夢の一目惚れ</v>
          </cell>
          <cell r="E378" t="str">
            <v>ドロップイベント3</v>
          </cell>
          <cell r="F378">
            <v>3</v>
          </cell>
          <cell r="G378" t="str">
            <v>ja</v>
          </cell>
          <cell r="H378" t="str">
            <v>【上級】悪夢の一目惚れ</v>
          </cell>
          <cell r="I378" t="str">
            <v>上級</v>
          </cell>
          <cell r="J378">
            <v>305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0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2601</v>
          </cell>
          <cell r="AD378">
            <v>6</v>
          </cell>
          <cell r="AE378" t="str">
            <v>everyone</v>
          </cell>
        </row>
        <row r="379">
          <cell r="A379" t="str">
            <v>20011_1</v>
          </cell>
          <cell r="B379">
            <v>3</v>
          </cell>
          <cell r="C379">
            <v>20011</v>
          </cell>
          <cell r="D379" t="str">
            <v>すべてが灰になる</v>
          </cell>
          <cell r="E379" t="str">
            <v>ドロップイベント3</v>
          </cell>
          <cell r="F379">
            <v>1</v>
          </cell>
          <cell r="G379" t="str">
            <v>ja</v>
          </cell>
          <cell r="H379" t="str">
            <v>【初級】すべてが灰になる</v>
          </cell>
          <cell r="I379" t="str">
            <v>初級</v>
          </cell>
          <cell r="J379">
            <v>298</v>
          </cell>
          <cell r="K379">
            <v>8</v>
          </cell>
          <cell r="L379">
            <v>384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10</v>
          </cell>
          <cell r="AD379">
            <v>5</v>
          </cell>
          <cell r="AE379" t="str">
            <v>everyone</v>
          </cell>
        </row>
        <row r="380">
          <cell r="A380" t="str">
            <v>20011_2</v>
          </cell>
          <cell r="B380">
            <v>3</v>
          </cell>
          <cell r="C380">
            <v>20011</v>
          </cell>
          <cell r="D380" t="str">
            <v>すべてが灰になる</v>
          </cell>
          <cell r="E380" t="str">
            <v>ドロップイベント3</v>
          </cell>
          <cell r="F380">
            <v>2</v>
          </cell>
          <cell r="G380" t="str">
            <v>ja</v>
          </cell>
          <cell r="H380" t="str">
            <v>【中級】すべてが灰になる</v>
          </cell>
          <cell r="I380" t="str">
            <v>中級</v>
          </cell>
          <cell r="J380">
            <v>298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10</v>
          </cell>
          <cell r="AD380">
            <v>5</v>
          </cell>
          <cell r="AE380" t="str">
            <v>everyone</v>
          </cell>
        </row>
        <row r="381">
          <cell r="A381" t="str">
            <v>20011_3</v>
          </cell>
          <cell r="B381">
            <v>3</v>
          </cell>
          <cell r="C381">
            <v>20011</v>
          </cell>
          <cell r="D381" t="str">
            <v>すべてが灰になる</v>
          </cell>
          <cell r="E381" t="str">
            <v>ドロップイベント3</v>
          </cell>
          <cell r="F381">
            <v>3</v>
          </cell>
          <cell r="G381" t="str">
            <v>ja</v>
          </cell>
          <cell r="H381" t="str">
            <v>【上級】すべてが灰になる</v>
          </cell>
          <cell r="I381" t="str">
            <v>上級</v>
          </cell>
          <cell r="J381">
            <v>299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10</v>
          </cell>
          <cell r="AD381">
            <v>5</v>
          </cell>
          <cell r="AE381" t="str">
            <v>everyone</v>
          </cell>
        </row>
        <row r="382">
          <cell r="A382" t="str">
            <v>20012_1</v>
          </cell>
          <cell r="B382">
            <v>3</v>
          </cell>
          <cell r="C382">
            <v>20012</v>
          </cell>
          <cell r="D382" t="str">
            <v>罪と劇薬</v>
          </cell>
          <cell r="E382" t="str">
            <v>ドロップイベント3</v>
          </cell>
          <cell r="F382">
            <v>1</v>
          </cell>
          <cell r="G382" t="str">
            <v>ja</v>
          </cell>
          <cell r="H382" t="str">
            <v>【初級】罪と劇薬</v>
          </cell>
          <cell r="I382" t="str">
            <v>初級</v>
          </cell>
          <cell r="J382">
            <v>300</v>
          </cell>
          <cell r="K382">
            <v>8</v>
          </cell>
          <cell r="L382">
            <v>384</v>
          </cell>
          <cell r="M382">
            <v>0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19</v>
          </cell>
          <cell r="AD382">
            <v>6</v>
          </cell>
          <cell r="AE382" t="str">
            <v>everyone</v>
          </cell>
        </row>
        <row r="383">
          <cell r="A383" t="str">
            <v>20012_2</v>
          </cell>
          <cell r="B383">
            <v>3</v>
          </cell>
          <cell r="C383">
            <v>20012</v>
          </cell>
          <cell r="D383" t="str">
            <v>罪と劇薬</v>
          </cell>
          <cell r="E383" t="str">
            <v>ドロップイベント3</v>
          </cell>
          <cell r="F383">
            <v>2</v>
          </cell>
          <cell r="G383" t="str">
            <v>ja</v>
          </cell>
          <cell r="H383" t="str">
            <v>【中級】罪と劇薬</v>
          </cell>
          <cell r="I383" t="str">
            <v>中級</v>
          </cell>
          <cell r="J383">
            <v>300</v>
          </cell>
          <cell r="K383">
            <v>15</v>
          </cell>
          <cell r="L383">
            <v>1200</v>
          </cell>
          <cell r="M383">
            <v>0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19</v>
          </cell>
          <cell r="AD383">
            <v>6</v>
          </cell>
          <cell r="AE383" t="str">
            <v>everyone</v>
          </cell>
        </row>
        <row r="384">
          <cell r="A384" t="str">
            <v>20012_3</v>
          </cell>
          <cell r="B384">
            <v>3</v>
          </cell>
          <cell r="C384">
            <v>20012</v>
          </cell>
          <cell r="D384" t="str">
            <v>罪と劇薬</v>
          </cell>
          <cell r="E384" t="str">
            <v>ドロップイベント3</v>
          </cell>
          <cell r="F384">
            <v>3</v>
          </cell>
          <cell r="G384" t="str">
            <v>ja</v>
          </cell>
          <cell r="H384" t="str">
            <v>【上級】罪と劇薬</v>
          </cell>
          <cell r="I384" t="str">
            <v>上級</v>
          </cell>
          <cell r="J384">
            <v>301</v>
          </cell>
          <cell r="K384">
            <v>20</v>
          </cell>
          <cell r="L384">
            <v>2000</v>
          </cell>
          <cell r="M384">
            <v>0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19</v>
          </cell>
          <cell r="AD384">
            <v>6</v>
          </cell>
          <cell r="AE384" t="str">
            <v>everyone</v>
          </cell>
        </row>
        <row r="385">
          <cell r="A385" t="str">
            <v>20013_1</v>
          </cell>
          <cell r="B385">
            <v>3</v>
          </cell>
          <cell r="C385">
            <v>20013</v>
          </cell>
          <cell r="D385" t="str">
            <v>天の時、地の利、人の和</v>
          </cell>
          <cell r="E385" t="str">
            <v>ドロップイベント4</v>
          </cell>
          <cell r="F385">
            <v>1</v>
          </cell>
          <cell r="G385" t="str">
            <v>ja</v>
          </cell>
          <cell r="H385" t="str">
            <v>【初級】天の時、地の利、人の和</v>
          </cell>
          <cell r="I385" t="str">
            <v>初級</v>
          </cell>
          <cell r="J385">
            <v>720</v>
          </cell>
          <cell r="K385">
            <v>8</v>
          </cell>
          <cell r="L385">
            <v>384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10</v>
          </cell>
          <cell r="AD385">
            <v>6</v>
          </cell>
          <cell r="AE385" t="str">
            <v>everyone</v>
          </cell>
        </row>
        <row r="386">
          <cell r="A386" t="str">
            <v>20013_2</v>
          </cell>
          <cell r="B386">
            <v>3</v>
          </cell>
          <cell r="C386">
            <v>20013</v>
          </cell>
          <cell r="D386" t="str">
            <v>天の時、地の利、人の和</v>
          </cell>
          <cell r="E386" t="str">
            <v>ドロップイベント4</v>
          </cell>
          <cell r="F386">
            <v>2</v>
          </cell>
          <cell r="G386" t="str">
            <v>ja</v>
          </cell>
          <cell r="H386" t="str">
            <v>【中級】天の時、地の利、人の和</v>
          </cell>
          <cell r="I386" t="str">
            <v>中級</v>
          </cell>
          <cell r="J386">
            <v>720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10</v>
          </cell>
          <cell r="AD386">
            <v>6</v>
          </cell>
          <cell r="AE386" t="str">
            <v>everyone</v>
          </cell>
        </row>
        <row r="387">
          <cell r="A387" t="str">
            <v>20013_3</v>
          </cell>
          <cell r="B387">
            <v>3</v>
          </cell>
          <cell r="C387">
            <v>20013</v>
          </cell>
          <cell r="D387" t="str">
            <v>天の時、地の利、人の和</v>
          </cell>
          <cell r="E387" t="str">
            <v>ドロップイベント4</v>
          </cell>
          <cell r="F387">
            <v>3</v>
          </cell>
          <cell r="G387" t="str">
            <v>ja</v>
          </cell>
          <cell r="H387" t="str">
            <v>【上級】天の時、地の利、人の和</v>
          </cell>
          <cell r="I387" t="str">
            <v>上級</v>
          </cell>
          <cell r="J387">
            <v>721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10</v>
          </cell>
          <cell r="AD387">
            <v>6</v>
          </cell>
          <cell r="AE387" t="str">
            <v>everyone</v>
          </cell>
        </row>
        <row r="388">
          <cell r="A388" t="str">
            <v>20014_1</v>
          </cell>
          <cell r="B388">
            <v>1</v>
          </cell>
          <cell r="C388">
            <v>20014</v>
          </cell>
          <cell r="D388" t="str">
            <v>上級　セイレーン</v>
          </cell>
          <cell r="E388" t="str">
            <v>天使と悪魔編1</v>
          </cell>
          <cell r="F388">
            <v>1</v>
          </cell>
          <cell r="G388" t="str">
            <v>ja</v>
          </cell>
          <cell r="H388" t="str">
            <v>【初級】セイレーン</v>
          </cell>
          <cell r="I388" t="str">
            <v>初級</v>
          </cell>
          <cell r="J388">
            <v>1</v>
          </cell>
          <cell r="K388">
            <v>8</v>
          </cell>
          <cell r="L388">
            <v>384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10</v>
          </cell>
          <cell r="AD388">
            <v>4</v>
          </cell>
          <cell r="AE388" t="str">
            <v>everyone</v>
          </cell>
        </row>
        <row r="389">
          <cell r="A389" t="str">
            <v>20014_2</v>
          </cell>
          <cell r="B389">
            <v>1</v>
          </cell>
          <cell r="C389">
            <v>20014</v>
          </cell>
          <cell r="D389" t="str">
            <v>上級　セイレーン</v>
          </cell>
          <cell r="E389" t="str">
            <v>天使と悪魔編1</v>
          </cell>
          <cell r="F389">
            <v>2</v>
          </cell>
          <cell r="G389" t="str">
            <v>ja</v>
          </cell>
          <cell r="H389" t="str">
            <v>【中級】セイレーン</v>
          </cell>
          <cell r="I389" t="str">
            <v>中級</v>
          </cell>
          <cell r="J389">
            <v>1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10</v>
          </cell>
          <cell r="AD389">
            <v>4</v>
          </cell>
          <cell r="AE389" t="str">
            <v>everyone</v>
          </cell>
        </row>
        <row r="390">
          <cell r="A390" t="str">
            <v>20014_3</v>
          </cell>
          <cell r="B390">
            <v>1</v>
          </cell>
          <cell r="C390">
            <v>20014</v>
          </cell>
          <cell r="D390" t="str">
            <v>上級　セイレーン</v>
          </cell>
          <cell r="E390" t="str">
            <v>天使と悪魔編1</v>
          </cell>
          <cell r="F390">
            <v>3</v>
          </cell>
          <cell r="G390" t="str">
            <v>ja</v>
          </cell>
          <cell r="H390" t="str">
            <v>【上級】セイレーン</v>
          </cell>
          <cell r="I390" t="str">
            <v>上級</v>
          </cell>
          <cell r="J390">
            <v>1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polygon</v>
          </cell>
          <cell r="T390">
            <v>1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10</v>
          </cell>
          <cell r="AD390">
            <v>4</v>
          </cell>
          <cell r="AE390" t="str">
            <v>everyone</v>
          </cell>
        </row>
        <row r="391">
          <cell r="A391" t="str">
            <v>30001_1</v>
          </cell>
          <cell r="B391">
            <v>3</v>
          </cell>
          <cell r="C391">
            <v>30001</v>
          </cell>
          <cell r="D391" t="str">
            <v>ハンター・オブ・ハンター</v>
          </cell>
          <cell r="E391" t="str">
            <v>ドロップイベント1-1（マルチ専用）</v>
          </cell>
          <cell r="F391">
            <v>1</v>
          </cell>
          <cell r="G391" t="str">
            <v>ja</v>
          </cell>
          <cell r="H391" t="str">
            <v xml:space="preserve">【中級】ハンター・オブ・ハンター </v>
          </cell>
          <cell r="I391" t="str">
            <v>中級</v>
          </cell>
          <cell r="J391">
            <v>270</v>
          </cell>
          <cell r="K391">
            <v>15</v>
          </cell>
          <cell r="L391">
            <v>1200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7</v>
          </cell>
          <cell r="AD391">
            <v>6</v>
          </cell>
          <cell r="AE391" t="str">
            <v>everyone</v>
          </cell>
        </row>
        <row r="392">
          <cell r="A392" t="str">
            <v>30001_2</v>
          </cell>
          <cell r="B392">
            <v>3</v>
          </cell>
          <cell r="C392">
            <v>30001</v>
          </cell>
          <cell r="D392" t="str">
            <v>ハンター・オブ・ハンター</v>
          </cell>
          <cell r="E392" t="str">
            <v>ドロップイベント1-1（マルチ専用）</v>
          </cell>
          <cell r="F392">
            <v>2</v>
          </cell>
          <cell r="G392" t="str">
            <v>ja</v>
          </cell>
          <cell r="H392" t="str">
            <v xml:space="preserve">【上級】ハンター・オブ・ハンター </v>
          </cell>
          <cell r="I392" t="str">
            <v>上級</v>
          </cell>
          <cell r="J392">
            <v>270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7</v>
          </cell>
          <cell r="AD392">
            <v>6</v>
          </cell>
          <cell r="AE392" t="str">
            <v>everyone</v>
          </cell>
        </row>
        <row r="393">
          <cell r="A393" t="str">
            <v>30001_3</v>
          </cell>
          <cell r="B393">
            <v>3</v>
          </cell>
          <cell r="C393">
            <v>30001</v>
          </cell>
          <cell r="D393" t="str">
            <v>ハンター・オブ・ハンター</v>
          </cell>
          <cell r="E393" t="str">
            <v>ドロップイベント1-1（マルチ専用）</v>
          </cell>
          <cell r="F393">
            <v>3</v>
          </cell>
          <cell r="G393" t="str">
            <v>ja</v>
          </cell>
          <cell r="H393" t="str">
            <v xml:space="preserve">【超級】ハンター・オブ・ハンター </v>
          </cell>
          <cell r="I393" t="str">
            <v>超級</v>
          </cell>
          <cell r="J393">
            <v>271</v>
          </cell>
          <cell r="K393">
            <v>30</v>
          </cell>
          <cell r="L393">
            <v>3300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7</v>
          </cell>
          <cell r="AD393">
            <v>6</v>
          </cell>
          <cell r="AE393" t="str">
            <v>everyone</v>
          </cell>
        </row>
        <row r="394">
          <cell r="A394" t="str">
            <v>30002_1</v>
          </cell>
          <cell r="B394">
            <v>3</v>
          </cell>
          <cell r="C394">
            <v>30002</v>
          </cell>
          <cell r="D394" t="str">
            <v>トリックスター</v>
          </cell>
          <cell r="E394" t="str">
            <v>ドロップイベント1-2（マルチ専用）</v>
          </cell>
          <cell r="F394">
            <v>1</v>
          </cell>
          <cell r="G394" t="str">
            <v>ja</v>
          </cell>
          <cell r="H394" t="str">
            <v xml:space="preserve">【中級】トリックスター </v>
          </cell>
          <cell r="I394" t="str">
            <v>中級</v>
          </cell>
          <cell r="J394">
            <v>272</v>
          </cell>
          <cell r="K394">
            <v>15</v>
          </cell>
          <cell r="L394">
            <v>1200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17</v>
          </cell>
          <cell r="AD394">
            <v>6</v>
          </cell>
          <cell r="AE394" t="str">
            <v>everyone</v>
          </cell>
        </row>
        <row r="395">
          <cell r="A395" t="str">
            <v>30002_2</v>
          </cell>
          <cell r="B395">
            <v>3</v>
          </cell>
          <cell r="C395">
            <v>30002</v>
          </cell>
          <cell r="D395" t="str">
            <v>トリックスター</v>
          </cell>
          <cell r="E395" t="str">
            <v>ドロップイベント1-2（マルチ専用）</v>
          </cell>
          <cell r="F395">
            <v>2</v>
          </cell>
          <cell r="G395" t="str">
            <v>ja</v>
          </cell>
          <cell r="H395" t="str">
            <v xml:space="preserve">【上級】トリックスター </v>
          </cell>
          <cell r="I395" t="str">
            <v>上級</v>
          </cell>
          <cell r="J395">
            <v>272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17</v>
          </cell>
          <cell r="AD395">
            <v>6</v>
          </cell>
          <cell r="AE395" t="str">
            <v>everyone</v>
          </cell>
        </row>
        <row r="396">
          <cell r="A396" t="str">
            <v>30002_3</v>
          </cell>
          <cell r="B396">
            <v>3</v>
          </cell>
          <cell r="C396">
            <v>30002</v>
          </cell>
          <cell r="D396" t="str">
            <v>トリックスター</v>
          </cell>
          <cell r="E396" t="str">
            <v>ドロップイベント1-2（マルチ専用）</v>
          </cell>
          <cell r="F396">
            <v>3</v>
          </cell>
          <cell r="G396" t="str">
            <v>ja</v>
          </cell>
          <cell r="H396" t="str">
            <v xml:space="preserve">【超級】トリックスター </v>
          </cell>
          <cell r="I396" t="str">
            <v>超級</v>
          </cell>
          <cell r="J396">
            <v>273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17</v>
          </cell>
          <cell r="AD396">
            <v>6</v>
          </cell>
          <cell r="AE396" t="str">
            <v>everyone</v>
          </cell>
        </row>
        <row r="397">
          <cell r="A397" t="str">
            <v>30003_1</v>
          </cell>
          <cell r="B397">
            <v>3</v>
          </cell>
          <cell r="C397">
            <v>30003</v>
          </cell>
          <cell r="D397" t="str">
            <v>打ち下ろされる砕棒</v>
          </cell>
          <cell r="E397" t="str">
            <v>ドロップイベント1-3（マルチ専用）</v>
          </cell>
          <cell r="F397">
            <v>1</v>
          </cell>
          <cell r="G397" t="str">
            <v>ja</v>
          </cell>
          <cell r="H397" t="str">
            <v xml:space="preserve">【中級】打ち下ろされる砕棒 </v>
          </cell>
          <cell r="I397" t="str">
            <v>中級</v>
          </cell>
          <cell r="J397">
            <v>274</v>
          </cell>
          <cell r="K397">
            <v>15</v>
          </cell>
          <cell r="L397">
            <v>1200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20</v>
          </cell>
          <cell r="AD397">
            <v>6</v>
          </cell>
          <cell r="AE397" t="str">
            <v>everyone</v>
          </cell>
        </row>
        <row r="398">
          <cell r="A398" t="str">
            <v>30003_2</v>
          </cell>
          <cell r="B398">
            <v>3</v>
          </cell>
          <cell r="C398">
            <v>30003</v>
          </cell>
          <cell r="D398" t="str">
            <v>打ち下ろされる砕棒</v>
          </cell>
          <cell r="E398" t="str">
            <v>ドロップイベント1-3（マルチ専用）</v>
          </cell>
          <cell r="F398">
            <v>2</v>
          </cell>
          <cell r="G398" t="str">
            <v>ja</v>
          </cell>
          <cell r="H398" t="str">
            <v>【上級】打ち下ろされる砕棒</v>
          </cell>
          <cell r="I398" t="str">
            <v>上級</v>
          </cell>
          <cell r="J398">
            <v>274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20</v>
          </cell>
          <cell r="AD398">
            <v>6</v>
          </cell>
          <cell r="AE398" t="str">
            <v>everyone</v>
          </cell>
        </row>
        <row r="399">
          <cell r="A399" t="str">
            <v>30003_3</v>
          </cell>
          <cell r="B399">
            <v>3</v>
          </cell>
          <cell r="C399">
            <v>30003</v>
          </cell>
          <cell r="D399" t="str">
            <v>打ち下ろされる砕棒</v>
          </cell>
          <cell r="E399" t="str">
            <v>ドロップイベント1-3（マルチ専用）</v>
          </cell>
          <cell r="F399">
            <v>3</v>
          </cell>
          <cell r="G399" t="str">
            <v>ja</v>
          </cell>
          <cell r="H399" t="str">
            <v xml:space="preserve">【超級】打ち下ろされる砕棒 </v>
          </cell>
          <cell r="I399" t="str">
            <v>超級</v>
          </cell>
          <cell r="J399">
            <v>275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polygon</v>
          </cell>
          <cell r="T399">
            <v>1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20</v>
          </cell>
          <cell r="AD399">
            <v>6</v>
          </cell>
          <cell r="AE399" t="str">
            <v>everyone</v>
          </cell>
        </row>
        <row r="400">
          <cell r="A400" t="str">
            <v>30004_1</v>
          </cell>
          <cell r="B400">
            <v>3</v>
          </cell>
          <cell r="C400">
            <v>30004</v>
          </cell>
          <cell r="D400" t="str">
            <v>危険な仲裁者</v>
          </cell>
          <cell r="E400" t="str">
            <v>ドロップイベント1-4（マルチ専用）</v>
          </cell>
          <cell r="F400">
            <v>1</v>
          </cell>
          <cell r="G400" t="str">
            <v>ja</v>
          </cell>
          <cell r="H400" t="str">
            <v xml:space="preserve">【中級】危険な仲裁者 </v>
          </cell>
          <cell r="I400" t="str">
            <v>中級</v>
          </cell>
          <cell r="J400">
            <v>276</v>
          </cell>
          <cell r="K400">
            <v>15</v>
          </cell>
          <cell r="L400">
            <v>1200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14</v>
          </cell>
          <cell r="AD400">
            <v>6</v>
          </cell>
          <cell r="AE400" t="str">
            <v>everyone</v>
          </cell>
        </row>
        <row r="401">
          <cell r="A401" t="str">
            <v>30004_2</v>
          </cell>
          <cell r="B401">
            <v>3</v>
          </cell>
          <cell r="C401">
            <v>30004</v>
          </cell>
          <cell r="D401" t="str">
            <v>危険な仲裁者</v>
          </cell>
          <cell r="E401" t="str">
            <v>ドロップイベント1-4（マルチ専用）</v>
          </cell>
          <cell r="F401">
            <v>2</v>
          </cell>
          <cell r="G401" t="str">
            <v>ja</v>
          </cell>
          <cell r="H401" t="str">
            <v xml:space="preserve">【上級】危険な仲裁者 </v>
          </cell>
          <cell r="I401" t="str">
            <v>上級</v>
          </cell>
          <cell r="J401">
            <v>276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14</v>
          </cell>
          <cell r="AD401">
            <v>6</v>
          </cell>
          <cell r="AE401" t="str">
            <v>everyone</v>
          </cell>
        </row>
        <row r="402">
          <cell r="A402" t="str">
            <v>30004_3</v>
          </cell>
          <cell r="B402">
            <v>3</v>
          </cell>
          <cell r="C402">
            <v>30004</v>
          </cell>
          <cell r="D402" t="str">
            <v>危険な仲裁者</v>
          </cell>
          <cell r="E402" t="str">
            <v>ドロップイベント1-4（マルチ専用）</v>
          </cell>
          <cell r="F402">
            <v>3</v>
          </cell>
          <cell r="G402" t="str">
            <v>ja</v>
          </cell>
          <cell r="H402" t="str">
            <v xml:space="preserve">【超級】危険な仲裁者 </v>
          </cell>
          <cell r="I402" t="str">
            <v>超級</v>
          </cell>
          <cell r="J402">
            <v>277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polygon</v>
          </cell>
          <cell r="T402">
            <v>1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14</v>
          </cell>
          <cell r="AD402">
            <v>6</v>
          </cell>
          <cell r="AE402" t="str">
            <v>everyone</v>
          </cell>
        </row>
        <row r="403">
          <cell r="A403" t="str">
            <v>30005_1</v>
          </cell>
          <cell r="B403">
            <v>3</v>
          </cell>
          <cell r="C403">
            <v>30005</v>
          </cell>
          <cell r="D403" t="str">
            <v>ニンゲンにしてあげる☆</v>
          </cell>
          <cell r="E403" t="str">
            <v>ドロップイベント2-1（マルチ専用）</v>
          </cell>
          <cell r="F403">
            <v>1</v>
          </cell>
          <cell r="G403" t="str">
            <v>ja</v>
          </cell>
          <cell r="H403" t="str">
            <v xml:space="preserve">【中級】ニンゲンにしてあげる </v>
          </cell>
          <cell r="I403" t="str">
            <v>中級</v>
          </cell>
          <cell r="J403">
            <v>290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11</v>
          </cell>
          <cell r="AD403">
            <v>6</v>
          </cell>
          <cell r="AE403" t="str">
            <v>everyone</v>
          </cell>
        </row>
        <row r="404">
          <cell r="A404" t="str">
            <v>30005_2</v>
          </cell>
          <cell r="B404">
            <v>3</v>
          </cell>
          <cell r="C404">
            <v>30005</v>
          </cell>
          <cell r="D404" t="str">
            <v>ニンゲンにしてあげる☆</v>
          </cell>
          <cell r="E404" t="str">
            <v>ドロップイベント2-1（マルチ専用）</v>
          </cell>
          <cell r="F404">
            <v>2</v>
          </cell>
          <cell r="G404" t="str">
            <v>ja</v>
          </cell>
          <cell r="H404" t="str">
            <v xml:space="preserve">【上級】ニンゲンにしてあげる </v>
          </cell>
          <cell r="I404" t="str">
            <v>上級</v>
          </cell>
          <cell r="J404">
            <v>290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11</v>
          </cell>
          <cell r="AD404">
            <v>6</v>
          </cell>
          <cell r="AE404" t="str">
            <v>everyone</v>
          </cell>
        </row>
        <row r="405">
          <cell r="A405" t="str">
            <v>30005_3</v>
          </cell>
          <cell r="B405">
            <v>3</v>
          </cell>
          <cell r="C405">
            <v>30005</v>
          </cell>
          <cell r="D405" t="str">
            <v>ニンゲンにしてあげる☆</v>
          </cell>
          <cell r="E405" t="str">
            <v>ドロップイベント2-1（マルチ専用）</v>
          </cell>
          <cell r="F405">
            <v>3</v>
          </cell>
          <cell r="G405" t="str">
            <v>ja</v>
          </cell>
          <cell r="H405" t="str">
            <v>【超級】ニンゲンにしてあげる</v>
          </cell>
          <cell r="I405" t="str">
            <v>超級</v>
          </cell>
          <cell r="J405">
            <v>291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11</v>
          </cell>
          <cell r="AD405">
            <v>6</v>
          </cell>
          <cell r="AE405" t="str">
            <v>everyone</v>
          </cell>
        </row>
        <row r="406">
          <cell r="A406" t="str">
            <v>30006_1</v>
          </cell>
          <cell r="B406">
            <v>3</v>
          </cell>
          <cell r="C406">
            <v>30006</v>
          </cell>
          <cell r="D406" t="str">
            <v>それはお前を食べるためさ</v>
          </cell>
          <cell r="E406" t="str">
            <v>ドロップイベント2-3（マルチ専用）</v>
          </cell>
          <cell r="F406">
            <v>1</v>
          </cell>
          <cell r="G406" t="str">
            <v>ja</v>
          </cell>
          <cell r="H406" t="str">
            <v>【中級】それはお前を食べるためさ</v>
          </cell>
          <cell r="I406" t="str">
            <v>中級</v>
          </cell>
          <cell r="J406">
            <v>294</v>
          </cell>
          <cell r="K406">
            <v>15</v>
          </cell>
          <cell r="L406">
            <v>1200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7</v>
          </cell>
          <cell r="AD406">
            <v>6</v>
          </cell>
          <cell r="AE406" t="str">
            <v>everyone</v>
          </cell>
        </row>
        <row r="407">
          <cell r="A407" t="str">
            <v>30006_2</v>
          </cell>
          <cell r="B407">
            <v>3</v>
          </cell>
          <cell r="C407">
            <v>30006</v>
          </cell>
          <cell r="D407" t="str">
            <v>それはお前を食べるためさ</v>
          </cell>
          <cell r="E407" t="str">
            <v>ドロップイベント2-3（マルチ専用）</v>
          </cell>
          <cell r="F407">
            <v>2</v>
          </cell>
          <cell r="G407" t="str">
            <v>ja</v>
          </cell>
          <cell r="H407" t="str">
            <v>【上級】それはお前を食べるためさ</v>
          </cell>
          <cell r="I407" t="str">
            <v>上級</v>
          </cell>
          <cell r="J407">
            <v>294</v>
          </cell>
          <cell r="K407">
            <v>20</v>
          </cell>
          <cell r="L407">
            <v>2000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7</v>
          </cell>
          <cell r="AD407">
            <v>6</v>
          </cell>
          <cell r="AE407" t="str">
            <v>everyone</v>
          </cell>
        </row>
        <row r="408">
          <cell r="A408" t="str">
            <v>30006_3</v>
          </cell>
          <cell r="B408">
            <v>3</v>
          </cell>
          <cell r="C408">
            <v>30006</v>
          </cell>
          <cell r="D408" t="str">
            <v>それはお前を食べるためさ</v>
          </cell>
          <cell r="E408" t="str">
            <v>ドロップイベント2-3（マルチ専用）</v>
          </cell>
          <cell r="F408">
            <v>3</v>
          </cell>
          <cell r="G408" t="str">
            <v>ja</v>
          </cell>
          <cell r="H408" t="str">
            <v>【超級】それはお前を食べるためさ</v>
          </cell>
          <cell r="I408" t="str">
            <v>超級</v>
          </cell>
          <cell r="J408">
            <v>295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7</v>
          </cell>
          <cell r="AD408">
            <v>6</v>
          </cell>
          <cell r="AE408" t="str">
            <v>everyone</v>
          </cell>
        </row>
        <row r="409">
          <cell r="A409" t="str">
            <v>30007_1</v>
          </cell>
          <cell r="B409">
            <v>3</v>
          </cell>
          <cell r="C409">
            <v>30007</v>
          </cell>
          <cell r="D409" t="str">
            <v>ガラスの靴は私のもの</v>
          </cell>
          <cell r="E409" t="str">
            <v>ドロップイベント2-2（マルチ専用）</v>
          </cell>
          <cell r="F409">
            <v>1</v>
          </cell>
          <cell r="G409" t="str">
            <v>ja</v>
          </cell>
          <cell r="H409" t="str">
            <v xml:space="preserve">【中級】ガラスの靴は私のもの </v>
          </cell>
          <cell r="I409" t="str">
            <v>中級</v>
          </cell>
          <cell r="J409">
            <v>292</v>
          </cell>
          <cell r="K409">
            <v>15</v>
          </cell>
          <cell r="L409">
            <v>1200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</v>
          </cell>
          <cell r="AD409">
            <v>6</v>
          </cell>
          <cell r="AE409" t="str">
            <v>everyone</v>
          </cell>
        </row>
        <row r="410">
          <cell r="A410" t="str">
            <v>30007_2</v>
          </cell>
          <cell r="B410">
            <v>3</v>
          </cell>
          <cell r="C410">
            <v>30007</v>
          </cell>
          <cell r="D410" t="str">
            <v>ガラスの靴は私のもの</v>
          </cell>
          <cell r="E410" t="str">
            <v>ドロップイベント2-2（マルチ専用）</v>
          </cell>
          <cell r="F410">
            <v>2</v>
          </cell>
          <cell r="G410" t="str">
            <v>ja</v>
          </cell>
          <cell r="H410" t="str">
            <v>【上級】ガラスの靴は私のもの</v>
          </cell>
          <cell r="I410" t="str">
            <v>上級</v>
          </cell>
          <cell r="J410">
            <v>292</v>
          </cell>
          <cell r="K410">
            <v>20</v>
          </cell>
          <cell r="L410">
            <v>2000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</v>
          </cell>
          <cell r="AD410">
            <v>6</v>
          </cell>
          <cell r="AE410" t="str">
            <v>everyone</v>
          </cell>
        </row>
        <row r="411">
          <cell r="A411" t="str">
            <v>30007_3</v>
          </cell>
          <cell r="B411">
            <v>3</v>
          </cell>
          <cell r="C411">
            <v>30007</v>
          </cell>
          <cell r="D411" t="str">
            <v>ガラスの靴は私のもの</v>
          </cell>
          <cell r="E411" t="str">
            <v>ドロップイベント2-2（マルチ専用）</v>
          </cell>
          <cell r="F411">
            <v>3</v>
          </cell>
          <cell r="G411" t="str">
            <v>ja</v>
          </cell>
          <cell r="H411" t="str">
            <v xml:space="preserve">【超級】ガラスの靴は私のもの </v>
          </cell>
          <cell r="I411" t="str">
            <v>超級</v>
          </cell>
          <cell r="J411">
            <v>293</v>
          </cell>
          <cell r="K411">
            <v>30</v>
          </cell>
          <cell r="L411">
            <v>3300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</v>
          </cell>
          <cell r="AD411">
            <v>6</v>
          </cell>
          <cell r="AE411" t="str">
            <v>everyone</v>
          </cell>
        </row>
        <row r="412">
          <cell r="A412" t="str">
            <v>30008_1</v>
          </cell>
          <cell r="B412">
            <v>3</v>
          </cell>
          <cell r="C412">
            <v>30008</v>
          </cell>
          <cell r="D412" t="str">
            <v>わたしの嫁を返してもらおう</v>
          </cell>
          <cell r="E412" t="str">
            <v>ドロップイベント2-4（マルチ専用）</v>
          </cell>
          <cell r="F412">
            <v>1</v>
          </cell>
          <cell r="G412" t="str">
            <v>ja</v>
          </cell>
          <cell r="H412" t="str">
            <v>【中級】わたしの嫁を返してもらおう</v>
          </cell>
          <cell r="I412" t="str">
            <v>中級</v>
          </cell>
          <cell r="J412">
            <v>288</v>
          </cell>
          <cell r="K412">
            <v>15</v>
          </cell>
          <cell r="L412">
            <v>1200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22</v>
          </cell>
          <cell r="AD412">
            <v>6</v>
          </cell>
          <cell r="AE412" t="str">
            <v>everyone</v>
          </cell>
        </row>
        <row r="413">
          <cell r="A413" t="str">
            <v>30008_2</v>
          </cell>
          <cell r="B413">
            <v>3</v>
          </cell>
          <cell r="C413">
            <v>30008</v>
          </cell>
          <cell r="D413" t="str">
            <v>わたしの嫁を返してもらおう</v>
          </cell>
          <cell r="E413" t="str">
            <v>ドロップイベント2-4（マルチ専用）</v>
          </cell>
          <cell r="F413">
            <v>2</v>
          </cell>
          <cell r="G413" t="str">
            <v>ja</v>
          </cell>
          <cell r="H413" t="str">
            <v>【上級】わたしの嫁を返してもらおう</v>
          </cell>
          <cell r="I413" t="str">
            <v>上級</v>
          </cell>
          <cell r="J413">
            <v>288</v>
          </cell>
          <cell r="K413">
            <v>20</v>
          </cell>
          <cell r="L413">
            <v>2000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22</v>
          </cell>
          <cell r="AD413">
            <v>6</v>
          </cell>
          <cell r="AE413" t="str">
            <v>everyone</v>
          </cell>
        </row>
        <row r="414">
          <cell r="A414" t="str">
            <v>30008_3</v>
          </cell>
          <cell r="B414">
            <v>3</v>
          </cell>
          <cell r="C414">
            <v>30008</v>
          </cell>
          <cell r="D414" t="str">
            <v>わたしの嫁を返してもらおう</v>
          </cell>
          <cell r="E414" t="str">
            <v>ドロップイベント2-4（マルチ専用）</v>
          </cell>
          <cell r="F414">
            <v>3</v>
          </cell>
          <cell r="G414" t="str">
            <v>ja</v>
          </cell>
          <cell r="H414" t="str">
            <v>【超級】わたしの嫁を返してもらおう</v>
          </cell>
          <cell r="I414" t="str">
            <v>超級</v>
          </cell>
          <cell r="J414">
            <v>289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22</v>
          </cell>
          <cell r="AD414">
            <v>6</v>
          </cell>
          <cell r="AE414" t="str">
            <v>everyone</v>
          </cell>
        </row>
        <row r="415">
          <cell r="A415" t="str">
            <v>30009_3</v>
          </cell>
          <cell r="B415">
            <v>0</v>
          </cell>
          <cell r="C415">
            <v>30009</v>
          </cell>
          <cell r="D415" t="str">
            <v>復活の捕食者</v>
          </cell>
          <cell r="E415" t="str">
            <v>ドロップイベント3（マルチ専用）</v>
          </cell>
          <cell r="F415">
            <v>3</v>
          </cell>
          <cell r="G415" t="str">
            <v>ja</v>
          </cell>
          <cell r="H415" t="str">
            <v>【上級】復活の捕食者</v>
          </cell>
          <cell r="I415" t="str">
            <v>上級</v>
          </cell>
          <cell r="J415">
            <v>312</v>
          </cell>
          <cell r="K415">
            <v>20</v>
          </cell>
          <cell r="L415">
            <v>2000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2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8</v>
          </cell>
          <cell r="AD415">
            <v>6</v>
          </cell>
          <cell r="AE415" t="str">
            <v>everyone</v>
          </cell>
        </row>
        <row r="416">
          <cell r="A416" t="str">
            <v>30009_1</v>
          </cell>
          <cell r="B416">
            <v>3</v>
          </cell>
          <cell r="C416">
            <v>30009</v>
          </cell>
          <cell r="D416" t="str">
            <v>復活の捕食者</v>
          </cell>
          <cell r="E416" t="str">
            <v>ドロップイベント3（マルチ専用）</v>
          </cell>
          <cell r="F416">
            <v>1</v>
          </cell>
          <cell r="G416" t="str">
            <v>ja</v>
          </cell>
          <cell r="H416" t="str">
            <v>【超級】復活の捕食者</v>
          </cell>
          <cell r="I416" t="str">
            <v>超級</v>
          </cell>
          <cell r="J416">
            <v>312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2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8</v>
          </cell>
          <cell r="AD416">
            <v>6</v>
          </cell>
          <cell r="AE416" t="str">
            <v>everyone</v>
          </cell>
        </row>
        <row r="417">
          <cell r="A417" t="str">
            <v>30009_2</v>
          </cell>
          <cell r="B417">
            <v>3</v>
          </cell>
          <cell r="C417">
            <v>30009</v>
          </cell>
          <cell r="D417" t="str">
            <v>復活の捕食者</v>
          </cell>
          <cell r="E417" t="str">
            <v>ドロップイベント3（マルチ専用）</v>
          </cell>
          <cell r="F417">
            <v>2</v>
          </cell>
          <cell r="G417" t="str">
            <v>ja</v>
          </cell>
          <cell r="H417" t="str">
            <v>【超絶級】復活の捕食者</v>
          </cell>
          <cell r="I417" t="str">
            <v>超絶級</v>
          </cell>
          <cell r="J417">
            <v>312</v>
          </cell>
          <cell r="K417">
            <v>35</v>
          </cell>
          <cell r="L417">
            <v>4200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2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8</v>
          </cell>
          <cell r="AD417">
            <v>6</v>
          </cell>
          <cell r="AE417" t="str">
            <v>everyone</v>
          </cell>
        </row>
        <row r="418">
          <cell r="A418" t="str">
            <v>30010_1</v>
          </cell>
          <cell r="B418">
            <v>3</v>
          </cell>
          <cell r="C418">
            <v>30010</v>
          </cell>
          <cell r="D418" t="str">
            <v>最大最凶</v>
          </cell>
          <cell r="E418" t="str">
            <v>ドロップイベント3（マルチ専用）</v>
          </cell>
          <cell r="F418">
            <v>1</v>
          </cell>
          <cell r="G418" t="str">
            <v>ja</v>
          </cell>
          <cell r="H418" t="str">
            <v>【上級】最大最凶</v>
          </cell>
          <cell r="I418" t="str">
            <v>上級</v>
          </cell>
          <cell r="J418">
            <v>306</v>
          </cell>
          <cell r="K418">
            <v>20</v>
          </cell>
          <cell r="L418">
            <v>2000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2</v>
          </cell>
          <cell r="AD418">
            <v>7</v>
          </cell>
          <cell r="AE418" t="str">
            <v>everyone</v>
          </cell>
        </row>
        <row r="419">
          <cell r="A419" t="str">
            <v>30010_2</v>
          </cell>
          <cell r="B419">
            <v>3</v>
          </cell>
          <cell r="C419">
            <v>30010</v>
          </cell>
          <cell r="D419" t="str">
            <v>最大最凶</v>
          </cell>
          <cell r="E419" t="str">
            <v>ドロップイベント3（マルチ専用）</v>
          </cell>
          <cell r="F419">
            <v>2</v>
          </cell>
          <cell r="G419" t="str">
            <v>ja</v>
          </cell>
          <cell r="H419" t="str">
            <v>【超級】最大最凶</v>
          </cell>
          <cell r="I419" t="str">
            <v>超級</v>
          </cell>
          <cell r="J419">
            <v>306</v>
          </cell>
          <cell r="K419">
            <v>30</v>
          </cell>
          <cell r="L419">
            <v>3300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2</v>
          </cell>
          <cell r="AD419">
            <v>7</v>
          </cell>
          <cell r="AE419" t="str">
            <v>everyone</v>
          </cell>
        </row>
        <row r="420">
          <cell r="A420" t="str">
            <v>30010_3</v>
          </cell>
          <cell r="B420">
            <v>3</v>
          </cell>
          <cell r="C420">
            <v>30010</v>
          </cell>
          <cell r="D420" t="str">
            <v>最大最凶</v>
          </cell>
          <cell r="E420" t="str">
            <v>ドロップイベント3（マルチ専用）</v>
          </cell>
          <cell r="F420">
            <v>3</v>
          </cell>
          <cell r="G420" t="str">
            <v>ja</v>
          </cell>
          <cell r="H420" t="str">
            <v>【超絶級】最大最凶</v>
          </cell>
          <cell r="I420" t="str">
            <v>超絶級</v>
          </cell>
          <cell r="J420">
            <v>306</v>
          </cell>
          <cell r="K420">
            <v>35</v>
          </cell>
          <cell r="L420">
            <v>4200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polygon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2</v>
          </cell>
          <cell r="AD420">
            <v>7</v>
          </cell>
          <cell r="AE420" t="str">
            <v>everyone</v>
          </cell>
        </row>
        <row r="421">
          <cell r="A421" t="str">
            <v>30011_1</v>
          </cell>
          <cell r="B421">
            <v>3</v>
          </cell>
          <cell r="C421">
            <v>30011</v>
          </cell>
          <cell r="D421" t="str">
            <v>気怠い巨読者</v>
          </cell>
          <cell r="E421" t="str">
            <v>ドロップイベント3（マルチ専用）</v>
          </cell>
          <cell r="F421">
            <v>1</v>
          </cell>
          <cell r="G421" t="str">
            <v>ja</v>
          </cell>
          <cell r="H421" t="str">
            <v>【上級】気怠い巨読者</v>
          </cell>
          <cell r="I421" t="str">
            <v>上級</v>
          </cell>
          <cell r="J421">
            <v>308</v>
          </cell>
          <cell r="K421">
            <v>20</v>
          </cell>
          <cell r="L421">
            <v>2000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2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19</v>
          </cell>
          <cell r="AD421">
            <v>6</v>
          </cell>
          <cell r="AE421" t="str">
            <v>everyone</v>
          </cell>
        </row>
        <row r="422">
          <cell r="A422" t="str">
            <v>30011_2</v>
          </cell>
          <cell r="B422">
            <v>3</v>
          </cell>
          <cell r="C422">
            <v>30011</v>
          </cell>
          <cell r="D422" t="str">
            <v>気怠い巨読者</v>
          </cell>
          <cell r="E422" t="str">
            <v>ドロップイベント3（マルチ専用）</v>
          </cell>
          <cell r="F422">
            <v>2</v>
          </cell>
          <cell r="G422" t="str">
            <v>ja</v>
          </cell>
          <cell r="H422" t="str">
            <v>【超級】気怠い巨読者</v>
          </cell>
          <cell r="I422" t="str">
            <v>超級</v>
          </cell>
          <cell r="J422">
            <v>308</v>
          </cell>
          <cell r="K422">
            <v>30</v>
          </cell>
          <cell r="L422">
            <v>3300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2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19</v>
          </cell>
          <cell r="AD422">
            <v>6</v>
          </cell>
          <cell r="AE422" t="str">
            <v>everyone</v>
          </cell>
        </row>
        <row r="423">
          <cell r="A423" t="str">
            <v>30011_3</v>
          </cell>
          <cell r="B423">
            <v>3</v>
          </cell>
          <cell r="C423">
            <v>30011</v>
          </cell>
          <cell r="D423" t="str">
            <v>気怠い巨読者</v>
          </cell>
          <cell r="E423" t="str">
            <v>ドロップイベント3（マルチ専用）</v>
          </cell>
          <cell r="F423">
            <v>3</v>
          </cell>
          <cell r="G423" t="str">
            <v>ja</v>
          </cell>
          <cell r="H423" t="str">
            <v>【超絶級】気怠い巨読者</v>
          </cell>
          <cell r="I423" t="str">
            <v>超絶級</v>
          </cell>
          <cell r="J423">
            <v>309</v>
          </cell>
          <cell r="K423">
            <v>35</v>
          </cell>
          <cell r="L423">
            <v>4200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2</v>
          </cell>
          <cell r="S423" t="str">
            <v>polygon</v>
          </cell>
          <cell r="T423">
            <v>1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19</v>
          </cell>
          <cell r="AD423">
            <v>6</v>
          </cell>
          <cell r="AE423" t="str">
            <v>everyone</v>
          </cell>
        </row>
        <row r="424">
          <cell r="A424" t="str">
            <v>30012_1</v>
          </cell>
          <cell r="B424">
            <v>3</v>
          </cell>
          <cell r="C424">
            <v>30012</v>
          </cell>
          <cell r="D424" t="str">
            <v>底なしの胃袋</v>
          </cell>
          <cell r="E424" t="str">
            <v>ドロップイベント3（マルチ専用）</v>
          </cell>
          <cell r="F424">
            <v>1</v>
          </cell>
          <cell r="G424" t="str">
            <v>ja</v>
          </cell>
          <cell r="H424" t="str">
            <v>【上級】底なしの胃袋</v>
          </cell>
          <cell r="I424" t="str">
            <v>上級</v>
          </cell>
          <cell r="J424">
            <v>310</v>
          </cell>
          <cell r="K424">
            <v>20</v>
          </cell>
          <cell r="L424">
            <v>2000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5</v>
          </cell>
          <cell r="AD424">
            <v>6</v>
          </cell>
          <cell r="AE424" t="str">
            <v>everyone</v>
          </cell>
        </row>
        <row r="425">
          <cell r="A425" t="str">
            <v>30012_2</v>
          </cell>
          <cell r="B425">
            <v>3</v>
          </cell>
          <cell r="C425">
            <v>30012</v>
          </cell>
          <cell r="D425" t="str">
            <v>底なしの胃袋</v>
          </cell>
          <cell r="E425" t="str">
            <v>ドロップイベント3（マルチ専用）</v>
          </cell>
          <cell r="F425">
            <v>2</v>
          </cell>
          <cell r="G425" t="str">
            <v>ja</v>
          </cell>
          <cell r="H425" t="str">
            <v>【超級】底なしの胃袋</v>
          </cell>
          <cell r="I425" t="str">
            <v>超級</v>
          </cell>
          <cell r="J425">
            <v>310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5</v>
          </cell>
          <cell r="AD425">
            <v>6</v>
          </cell>
          <cell r="AE425" t="str">
            <v>everyone</v>
          </cell>
        </row>
        <row r="426">
          <cell r="A426" t="str">
            <v>30012_3</v>
          </cell>
          <cell r="B426">
            <v>3</v>
          </cell>
          <cell r="C426">
            <v>30012</v>
          </cell>
          <cell r="D426" t="str">
            <v>底なしの胃袋</v>
          </cell>
          <cell r="E426" t="str">
            <v>ドロップイベント3（マルチ専用）</v>
          </cell>
          <cell r="F426">
            <v>3</v>
          </cell>
          <cell r="G426" t="str">
            <v>ja</v>
          </cell>
          <cell r="H426" t="str">
            <v>【超絶級】底なしの胃袋</v>
          </cell>
          <cell r="I426" t="str">
            <v>超絶級</v>
          </cell>
          <cell r="J426">
            <v>310</v>
          </cell>
          <cell r="K426">
            <v>35</v>
          </cell>
          <cell r="L426">
            <v>4200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polygon</v>
          </cell>
          <cell r="T426">
            <v>1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5</v>
          </cell>
          <cell r="AD426">
            <v>6</v>
          </cell>
          <cell r="AE426" t="str">
            <v>everyone</v>
          </cell>
        </row>
        <row r="427">
          <cell r="A427" t="str">
            <v>30013_1</v>
          </cell>
          <cell r="B427">
            <v>3</v>
          </cell>
          <cell r="C427">
            <v>30013</v>
          </cell>
          <cell r="D427" t="str">
            <v>決戦・竜宮城</v>
          </cell>
          <cell r="E427" t="str">
            <v>ドロップイベント4（マルチ専用）</v>
          </cell>
          <cell r="F427">
            <v>1</v>
          </cell>
          <cell r="G427" t="str">
            <v>ja</v>
          </cell>
          <cell r="H427" t="str">
            <v>【超級】決戦・竜宮城</v>
          </cell>
          <cell r="I427" t="str">
            <v>超級</v>
          </cell>
          <cell r="J427">
            <v>418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17</v>
          </cell>
          <cell r="AD427">
            <v>6</v>
          </cell>
          <cell r="AE427" t="str">
            <v>everyone</v>
          </cell>
        </row>
        <row r="428">
          <cell r="A428" t="str">
            <v>30013_2</v>
          </cell>
          <cell r="B428">
            <v>3</v>
          </cell>
          <cell r="C428">
            <v>30013</v>
          </cell>
          <cell r="D428" t="str">
            <v>決戦・竜宮城</v>
          </cell>
          <cell r="E428" t="str">
            <v>ドロップイベント4（マルチ専用）</v>
          </cell>
          <cell r="F428">
            <v>2</v>
          </cell>
          <cell r="G428" t="str">
            <v>ja</v>
          </cell>
          <cell r="H428" t="str">
            <v>【超絶級】決戦・竜宮城</v>
          </cell>
          <cell r="I428" t="str">
            <v>超絶級</v>
          </cell>
          <cell r="J428">
            <v>419</v>
          </cell>
          <cell r="K428">
            <v>35</v>
          </cell>
          <cell r="L428">
            <v>4200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polygon</v>
          </cell>
          <cell r="T428">
            <v>1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17</v>
          </cell>
          <cell r="AD428">
            <v>6</v>
          </cell>
          <cell r="AE428" t="str">
            <v>everyone</v>
          </cell>
        </row>
        <row r="429">
          <cell r="A429" t="str">
            <v>30014_1</v>
          </cell>
          <cell r="B429">
            <v>3</v>
          </cell>
          <cell r="C429">
            <v>30014</v>
          </cell>
          <cell r="D429" t="str">
            <v>親指を突き立てろ！</v>
          </cell>
          <cell r="E429" t="str">
            <v>ドロップイベント4（マルチ専用）</v>
          </cell>
          <cell r="F429">
            <v>1</v>
          </cell>
          <cell r="G429" t="str">
            <v>ja</v>
          </cell>
          <cell r="H429" t="str">
            <v>【超級】親指を突き立てろ！</v>
          </cell>
          <cell r="I429" t="str">
            <v>超級</v>
          </cell>
          <cell r="J429">
            <v>420</v>
          </cell>
          <cell r="K429">
            <v>30</v>
          </cell>
          <cell r="L429">
            <v>3300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23</v>
          </cell>
          <cell r="AD429">
            <v>5</v>
          </cell>
          <cell r="AE429" t="str">
            <v>everyone</v>
          </cell>
        </row>
        <row r="430">
          <cell r="A430" t="str">
            <v>30014_2</v>
          </cell>
          <cell r="B430">
            <v>3</v>
          </cell>
          <cell r="C430">
            <v>30014</v>
          </cell>
          <cell r="D430" t="str">
            <v>親指を突き立てろ！</v>
          </cell>
          <cell r="E430" t="str">
            <v>ドロップイベント4（マルチ専用）</v>
          </cell>
          <cell r="F430">
            <v>2</v>
          </cell>
          <cell r="G430" t="str">
            <v>ja</v>
          </cell>
          <cell r="H430" t="str">
            <v>【超絶級】親指を突き立てろ！</v>
          </cell>
          <cell r="I430" t="str">
            <v>超絶級</v>
          </cell>
          <cell r="J430">
            <v>421</v>
          </cell>
          <cell r="K430">
            <v>35</v>
          </cell>
          <cell r="L430">
            <v>4200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23</v>
          </cell>
          <cell r="AD430">
            <v>5</v>
          </cell>
          <cell r="AE430" t="str">
            <v>everyone</v>
          </cell>
        </row>
        <row r="431">
          <cell r="A431" t="str">
            <v>30015_1</v>
          </cell>
          <cell r="B431">
            <v>3</v>
          </cell>
          <cell r="C431">
            <v>30015</v>
          </cell>
          <cell r="D431" t="str">
            <v>兄妹の大冒険</v>
          </cell>
          <cell r="E431" t="str">
            <v>ドロップイベント4（マルチ専用）</v>
          </cell>
          <cell r="F431">
            <v>1</v>
          </cell>
          <cell r="G431" t="str">
            <v>ja</v>
          </cell>
          <cell r="H431" t="str">
            <v>【超級】兄妹の大冒険</v>
          </cell>
          <cell r="I431" t="str">
            <v>超級</v>
          </cell>
          <cell r="J431">
            <v>422</v>
          </cell>
          <cell r="K431">
            <v>30</v>
          </cell>
          <cell r="L431">
            <v>3300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16</v>
          </cell>
          <cell r="AD431">
            <v>6</v>
          </cell>
          <cell r="AE431" t="str">
            <v>everyone</v>
          </cell>
        </row>
        <row r="432">
          <cell r="A432" t="str">
            <v>30015_2</v>
          </cell>
          <cell r="B432">
            <v>3</v>
          </cell>
          <cell r="C432">
            <v>30015</v>
          </cell>
          <cell r="D432" t="str">
            <v>兄妹の大冒険</v>
          </cell>
          <cell r="E432" t="str">
            <v>ドロップイベント4（マルチ専用）</v>
          </cell>
          <cell r="F432">
            <v>2</v>
          </cell>
          <cell r="G432" t="str">
            <v>ja</v>
          </cell>
          <cell r="H432" t="str">
            <v>【超絶級】兄妹の大冒険</v>
          </cell>
          <cell r="I432" t="str">
            <v>超絶級</v>
          </cell>
          <cell r="J432">
            <v>423</v>
          </cell>
          <cell r="K432">
            <v>35</v>
          </cell>
          <cell r="L432">
            <v>4200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polygon</v>
          </cell>
          <cell r="T432">
            <v>1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16</v>
          </cell>
          <cell r="AD432">
            <v>6</v>
          </cell>
          <cell r="AE432" t="str">
            <v>everyone</v>
          </cell>
        </row>
        <row r="433">
          <cell r="A433" t="str">
            <v>30016_1</v>
          </cell>
          <cell r="B433">
            <v>3</v>
          </cell>
          <cell r="C433">
            <v>30016</v>
          </cell>
          <cell r="D433" t="str">
            <v>私がワニの天敵よ？</v>
          </cell>
          <cell r="E433" t="str">
            <v>ドロップイベント4（マルチ専用）</v>
          </cell>
          <cell r="F433">
            <v>1</v>
          </cell>
          <cell r="G433" t="str">
            <v>ja</v>
          </cell>
          <cell r="H433" t="str">
            <v>【超級】私がワニの天敵よ？</v>
          </cell>
          <cell r="I433" t="str">
            <v>超級</v>
          </cell>
          <cell r="J433">
            <v>424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4</v>
          </cell>
          <cell r="AD433">
            <v>6</v>
          </cell>
          <cell r="AE433" t="str">
            <v>everyone</v>
          </cell>
        </row>
        <row r="434">
          <cell r="A434" t="str">
            <v>30016_2</v>
          </cell>
          <cell r="B434">
            <v>3</v>
          </cell>
          <cell r="C434">
            <v>30016</v>
          </cell>
          <cell r="D434" t="str">
            <v>私がワニの天敵よ？</v>
          </cell>
          <cell r="E434" t="str">
            <v>ドロップイベント4（マルチ専用）</v>
          </cell>
          <cell r="F434">
            <v>2</v>
          </cell>
          <cell r="G434" t="str">
            <v>ja</v>
          </cell>
          <cell r="H434" t="str">
            <v>【超絶級】私がワニの天敵よ？</v>
          </cell>
          <cell r="I434" t="str">
            <v>超絶級</v>
          </cell>
          <cell r="J434">
            <v>425</v>
          </cell>
          <cell r="K434">
            <v>35</v>
          </cell>
          <cell r="L434">
            <v>4200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polygon</v>
          </cell>
          <cell r="T434">
            <v>1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4</v>
          </cell>
          <cell r="AD434">
            <v>6</v>
          </cell>
          <cell r="AE434" t="str">
            <v>everyone</v>
          </cell>
        </row>
        <row r="435">
          <cell r="A435" t="str">
            <v>30017_1</v>
          </cell>
          <cell r="B435">
            <v>3</v>
          </cell>
          <cell r="C435">
            <v>30017</v>
          </cell>
          <cell r="D435" t="str">
            <v>狩人の挽歌</v>
          </cell>
          <cell r="E435" t="str">
            <v>ドロップイベント5（マルチ専用）</v>
          </cell>
          <cell r="F435">
            <v>1</v>
          </cell>
          <cell r="G435" t="str">
            <v>ja</v>
          </cell>
          <cell r="H435" t="str">
            <v>【超級】狩人の挽歌</v>
          </cell>
          <cell r="I435" t="str">
            <v>超級</v>
          </cell>
          <cell r="J435">
            <v>452</v>
          </cell>
          <cell r="K435">
            <v>30</v>
          </cell>
          <cell r="L435">
            <v>3300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20</v>
          </cell>
          <cell r="AD435">
            <v>6</v>
          </cell>
          <cell r="AE435" t="str">
            <v>multionly</v>
          </cell>
        </row>
        <row r="436">
          <cell r="A436" t="str">
            <v>30017_2</v>
          </cell>
          <cell r="B436">
            <v>3</v>
          </cell>
          <cell r="C436">
            <v>30017</v>
          </cell>
          <cell r="D436" t="str">
            <v>狩人の挽歌</v>
          </cell>
          <cell r="E436" t="str">
            <v>ドロップイベント5（マルチ専用）</v>
          </cell>
          <cell r="F436">
            <v>2</v>
          </cell>
          <cell r="G436" t="str">
            <v>ja</v>
          </cell>
          <cell r="H436" t="str">
            <v>【超絶級】狩人の挽歌</v>
          </cell>
          <cell r="I436" t="str">
            <v>超絶級</v>
          </cell>
          <cell r="J436">
            <v>453</v>
          </cell>
          <cell r="K436">
            <v>35</v>
          </cell>
          <cell r="L436">
            <v>4200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20</v>
          </cell>
          <cell r="AD436">
            <v>6</v>
          </cell>
          <cell r="AE436" t="str">
            <v>multionly</v>
          </cell>
        </row>
        <row r="437">
          <cell r="A437" t="str">
            <v>30018_1</v>
          </cell>
          <cell r="B437">
            <v>3</v>
          </cell>
          <cell r="C437">
            <v>30018</v>
          </cell>
          <cell r="D437" t="str">
            <v>バックストリートファイト</v>
          </cell>
          <cell r="E437" t="str">
            <v>ドロップイベント5（マルチ専用）</v>
          </cell>
          <cell r="F437">
            <v>1</v>
          </cell>
          <cell r="G437" t="str">
            <v>ja</v>
          </cell>
          <cell r="H437" t="str">
            <v>【超級】バックストリートファイト</v>
          </cell>
          <cell r="I437" t="str">
            <v>超級</v>
          </cell>
          <cell r="J437">
            <v>454</v>
          </cell>
          <cell r="K437">
            <v>30</v>
          </cell>
          <cell r="L437">
            <v>3300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14</v>
          </cell>
          <cell r="AD437">
            <v>6</v>
          </cell>
          <cell r="AE437" t="str">
            <v>everyone</v>
          </cell>
        </row>
        <row r="438">
          <cell r="A438" t="str">
            <v>30018_2</v>
          </cell>
          <cell r="B438">
            <v>3</v>
          </cell>
          <cell r="C438">
            <v>30018</v>
          </cell>
          <cell r="D438" t="str">
            <v>バックストリートファイト</v>
          </cell>
          <cell r="E438" t="str">
            <v>ドロップイベント5（マルチ専用）</v>
          </cell>
          <cell r="F438">
            <v>2</v>
          </cell>
          <cell r="G438" t="str">
            <v>ja</v>
          </cell>
          <cell r="H438" t="str">
            <v>【超絶級】バックストリートファイト</v>
          </cell>
          <cell r="I438" t="str">
            <v>超絶級</v>
          </cell>
          <cell r="J438">
            <v>455</v>
          </cell>
          <cell r="K438">
            <v>35</v>
          </cell>
          <cell r="L438">
            <v>4200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polygon</v>
          </cell>
          <cell r="T438">
            <v>1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14</v>
          </cell>
          <cell r="AD438">
            <v>6</v>
          </cell>
          <cell r="AE438" t="str">
            <v>everyone</v>
          </cell>
        </row>
        <row r="439">
          <cell r="A439" t="str">
            <v>30019_1</v>
          </cell>
          <cell r="B439">
            <v>3</v>
          </cell>
          <cell r="C439">
            <v>30019</v>
          </cell>
          <cell r="D439" t="str">
            <v>狙撃は終わらない</v>
          </cell>
          <cell r="E439" t="str">
            <v>ドロップイベント5（マルチ専用）</v>
          </cell>
          <cell r="F439">
            <v>1</v>
          </cell>
          <cell r="G439" t="str">
            <v>ja</v>
          </cell>
          <cell r="H439" t="str">
            <v>【超級】狙撃は終わらない</v>
          </cell>
          <cell r="I439" t="str">
            <v>超級</v>
          </cell>
          <cell r="J439">
            <v>456</v>
          </cell>
          <cell r="K439">
            <v>30</v>
          </cell>
          <cell r="L439">
            <v>3300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24</v>
          </cell>
          <cell r="AD439">
            <v>6</v>
          </cell>
          <cell r="AE439" t="str">
            <v>multionly</v>
          </cell>
        </row>
        <row r="440">
          <cell r="A440" t="str">
            <v>30019_2</v>
          </cell>
          <cell r="B440">
            <v>3</v>
          </cell>
          <cell r="C440">
            <v>30019</v>
          </cell>
          <cell r="D440" t="str">
            <v>狙撃は終わらない</v>
          </cell>
          <cell r="E440" t="str">
            <v>ドロップイベント5（マルチ専用）</v>
          </cell>
          <cell r="F440">
            <v>2</v>
          </cell>
          <cell r="G440" t="str">
            <v>ja</v>
          </cell>
          <cell r="H440" t="str">
            <v>【超絶級】狙撃は終わらない</v>
          </cell>
          <cell r="I440" t="str">
            <v>超絶級</v>
          </cell>
          <cell r="J440">
            <v>457</v>
          </cell>
          <cell r="K440">
            <v>35</v>
          </cell>
          <cell r="L440">
            <v>4200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polygon</v>
          </cell>
          <cell r="T440">
            <v>1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24</v>
          </cell>
          <cell r="AD440">
            <v>6</v>
          </cell>
          <cell r="AE440" t="str">
            <v>multionly</v>
          </cell>
        </row>
        <row r="441">
          <cell r="A441" t="str">
            <v>30020_1</v>
          </cell>
          <cell r="B441">
            <v>3</v>
          </cell>
          <cell r="C441">
            <v>30020</v>
          </cell>
          <cell r="D441" t="str">
            <v>若造よ、身の程を知れ</v>
          </cell>
          <cell r="E441" t="str">
            <v>ドロップイベント5（マルチ専用）</v>
          </cell>
          <cell r="F441">
            <v>1</v>
          </cell>
          <cell r="G441" t="str">
            <v>ja</v>
          </cell>
          <cell r="H441" t="str">
            <v>【超級】若造よ、身の程を知れ</v>
          </cell>
          <cell r="I441" t="str">
            <v>超級</v>
          </cell>
          <cell r="J441">
            <v>458</v>
          </cell>
          <cell r="K441">
            <v>30</v>
          </cell>
          <cell r="L441">
            <v>3300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13</v>
          </cell>
          <cell r="AD441">
            <v>6</v>
          </cell>
          <cell r="AE441" t="str">
            <v>everyone</v>
          </cell>
        </row>
        <row r="442">
          <cell r="A442" t="str">
            <v>30020_2</v>
          </cell>
          <cell r="B442">
            <v>3</v>
          </cell>
          <cell r="C442">
            <v>30020</v>
          </cell>
          <cell r="D442" t="str">
            <v>若造よ、身の程を知れ</v>
          </cell>
          <cell r="E442" t="str">
            <v>ドロップイベント5（マルチ専用）</v>
          </cell>
          <cell r="F442">
            <v>2</v>
          </cell>
          <cell r="G442" t="str">
            <v>ja</v>
          </cell>
          <cell r="H442" t="str">
            <v>【超絶級】若造よ、身の程を知れ</v>
          </cell>
          <cell r="I442" t="str">
            <v>超絶級</v>
          </cell>
          <cell r="J442">
            <v>459</v>
          </cell>
          <cell r="K442">
            <v>35</v>
          </cell>
          <cell r="L442">
            <v>4200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13</v>
          </cell>
          <cell r="AD442">
            <v>6</v>
          </cell>
          <cell r="AE442" t="str">
            <v>everyone</v>
          </cell>
        </row>
        <row r="443">
          <cell r="A443" t="str">
            <v>30021_1</v>
          </cell>
          <cell r="B443">
            <v>3</v>
          </cell>
          <cell r="C443">
            <v>30021</v>
          </cell>
          <cell r="D443" t="str">
            <v>野獣死すべしっ！</v>
          </cell>
          <cell r="E443" t="str">
            <v>ドロップイベント6（マルチ専用）</v>
          </cell>
          <cell r="F443">
            <v>1</v>
          </cell>
          <cell r="G443" t="str">
            <v>ja</v>
          </cell>
          <cell r="H443" t="str">
            <v>【中級】野獣死すべしっ！</v>
          </cell>
          <cell r="I443" t="str">
            <v>中級</v>
          </cell>
          <cell r="J443">
            <v>502</v>
          </cell>
          <cell r="K443">
            <v>15</v>
          </cell>
          <cell r="L443">
            <v>1200</v>
          </cell>
          <cell r="M443">
            <v>1</v>
          </cell>
          <cell r="N443">
            <v>1</v>
          </cell>
          <cell r="O443">
            <v>0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14</v>
          </cell>
          <cell r="AD443">
            <v>6</v>
          </cell>
          <cell r="AE443" t="str">
            <v>everyone</v>
          </cell>
        </row>
        <row r="444">
          <cell r="A444" t="str">
            <v>30021_2</v>
          </cell>
          <cell r="B444">
            <v>3</v>
          </cell>
          <cell r="C444">
            <v>30021</v>
          </cell>
          <cell r="D444" t="str">
            <v>野獣死すべしっ！</v>
          </cell>
          <cell r="E444" t="str">
            <v>ドロップイベント6（マルチ専用）</v>
          </cell>
          <cell r="F444">
            <v>2</v>
          </cell>
          <cell r="G444" t="str">
            <v>ja</v>
          </cell>
          <cell r="H444" t="str">
            <v>【上級】野獣死すべしっ！</v>
          </cell>
          <cell r="I444" t="str">
            <v>上級</v>
          </cell>
          <cell r="J444">
            <v>502</v>
          </cell>
          <cell r="K444">
            <v>20</v>
          </cell>
          <cell r="L444">
            <v>2000</v>
          </cell>
          <cell r="M444">
            <v>1</v>
          </cell>
          <cell r="N444">
            <v>1</v>
          </cell>
          <cell r="O444">
            <v>0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14</v>
          </cell>
          <cell r="AD444">
            <v>6</v>
          </cell>
          <cell r="AE444" t="str">
            <v>everyone</v>
          </cell>
        </row>
        <row r="445">
          <cell r="A445" t="str">
            <v>30021_3</v>
          </cell>
          <cell r="B445">
            <v>3</v>
          </cell>
          <cell r="C445">
            <v>30021</v>
          </cell>
          <cell r="D445" t="str">
            <v>野獣死すべしっ！</v>
          </cell>
          <cell r="E445" t="str">
            <v>ドロップイベント6（マルチ専用）</v>
          </cell>
          <cell r="F445">
            <v>3</v>
          </cell>
          <cell r="G445" t="str">
            <v>ja</v>
          </cell>
          <cell r="H445" t="str">
            <v>【超級】野獣死すべしっ！</v>
          </cell>
          <cell r="I445" t="str">
            <v>超級</v>
          </cell>
          <cell r="J445">
            <v>503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0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14</v>
          </cell>
          <cell r="AD445">
            <v>6</v>
          </cell>
          <cell r="AE445" t="str">
            <v>everyone</v>
          </cell>
        </row>
        <row r="446">
          <cell r="A446" t="str">
            <v>30022_1</v>
          </cell>
          <cell r="B446">
            <v>3</v>
          </cell>
          <cell r="C446">
            <v>30022</v>
          </cell>
          <cell r="D446" t="str">
            <v>凶鼠ネコを咬む</v>
          </cell>
          <cell r="E446" t="str">
            <v>ドロップイベント6（マルチ専用）</v>
          </cell>
          <cell r="F446">
            <v>1</v>
          </cell>
          <cell r="G446" t="str">
            <v>ja</v>
          </cell>
          <cell r="H446" t="str">
            <v>【超級】凶鼠ネコを咬む</v>
          </cell>
          <cell r="I446" t="str">
            <v>超級</v>
          </cell>
          <cell r="J446">
            <v>504</v>
          </cell>
          <cell r="K446">
            <v>30</v>
          </cell>
          <cell r="L446">
            <v>3300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6</v>
          </cell>
          <cell r="AD446">
            <v>6</v>
          </cell>
          <cell r="AE446" t="str">
            <v>everyone</v>
          </cell>
        </row>
        <row r="447">
          <cell r="A447" t="str">
            <v>30022_2</v>
          </cell>
          <cell r="B447">
            <v>3</v>
          </cell>
          <cell r="C447">
            <v>30022</v>
          </cell>
          <cell r="D447" t="str">
            <v>凶鼠ネコを咬む</v>
          </cell>
          <cell r="E447" t="str">
            <v>ドロップイベント6（マルチ専用）</v>
          </cell>
          <cell r="F447">
            <v>2</v>
          </cell>
          <cell r="G447" t="str">
            <v>ja</v>
          </cell>
          <cell r="H447" t="str">
            <v>【超絶級】凶鼠ネコを咬む</v>
          </cell>
          <cell r="I447" t="str">
            <v>超絶級</v>
          </cell>
          <cell r="J447">
            <v>505</v>
          </cell>
          <cell r="K447">
            <v>35</v>
          </cell>
          <cell r="L447">
            <v>4200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polygon</v>
          </cell>
          <cell r="T447">
            <v>1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6</v>
          </cell>
          <cell r="AD447">
            <v>6</v>
          </cell>
          <cell r="AE447" t="str">
            <v>everyone</v>
          </cell>
        </row>
        <row r="448">
          <cell r="A448" t="str">
            <v>30023_1</v>
          </cell>
          <cell r="B448">
            <v>3</v>
          </cell>
          <cell r="C448">
            <v>30023</v>
          </cell>
          <cell r="D448" t="str">
            <v>隔離からのエスケイプ</v>
          </cell>
          <cell r="E448" t="str">
            <v>ドロップイベント6（マルチ専用）</v>
          </cell>
          <cell r="F448">
            <v>1</v>
          </cell>
          <cell r="G448" t="str">
            <v>ja</v>
          </cell>
          <cell r="H448" t="str">
            <v>【中級】隔離からのエスケイプ</v>
          </cell>
          <cell r="I448" t="str">
            <v>中級</v>
          </cell>
          <cell r="J448">
            <v>506</v>
          </cell>
          <cell r="K448">
            <v>15</v>
          </cell>
          <cell r="L448">
            <v>1200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25</v>
          </cell>
          <cell r="AD448">
            <v>6</v>
          </cell>
          <cell r="AE448" t="str">
            <v>everyone</v>
          </cell>
        </row>
        <row r="449">
          <cell r="A449" t="str">
            <v>30023_2</v>
          </cell>
          <cell r="B449">
            <v>3</v>
          </cell>
          <cell r="C449">
            <v>30023</v>
          </cell>
          <cell r="D449" t="str">
            <v>隔離からのエスケイプ</v>
          </cell>
          <cell r="E449" t="str">
            <v>ドロップイベント6（マルチ専用）</v>
          </cell>
          <cell r="F449">
            <v>2</v>
          </cell>
          <cell r="G449" t="str">
            <v>ja</v>
          </cell>
          <cell r="H449" t="str">
            <v>【上級】隔離からのエスケイプ</v>
          </cell>
          <cell r="I449" t="str">
            <v>上級</v>
          </cell>
          <cell r="J449">
            <v>506</v>
          </cell>
          <cell r="K449">
            <v>20</v>
          </cell>
          <cell r="L449">
            <v>2000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25</v>
          </cell>
          <cell r="AD449">
            <v>6</v>
          </cell>
          <cell r="AE449" t="str">
            <v>everyone</v>
          </cell>
        </row>
        <row r="450">
          <cell r="A450" t="str">
            <v>30023_3</v>
          </cell>
          <cell r="B450">
            <v>3</v>
          </cell>
          <cell r="C450">
            <v>30023</v>
          </cell>
          <cell r="D450" t="str">
            <v>隔離からのエスケイプ</v>
          </cell>
          <cell r="E450" t="str">
            <v>ドロップイベント6（マルチ専用）</v>
          </cell>
          <cell r="F450">
            <v>3</v>
          </cell>
          <cell r="G450" t="str">
            <v>ja</v>
          </cell>
          <cell r="H450" t="str">
            <v>【超級】隔離からのエスケイプ</v>
          </cell>
          <cell r="I450" t="str">
            <v>超級</v>
          </cell>
          <cell r="J450">
            <v>507</v>
          </cell>
          <cell r="K450">
            <v>30</v>
          </cell>
          <cell r="L450">
            <v>3300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polygon</v>
          </cell>
          <cell r="T450">
            <v>1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25</v>
          </cell>
          <cell r="AD450">
            <v>6</v>
          </cell>
          <cell r="AE450" t="str">
            <v>everyone</v>
          </cell>
        </row>
        <row r="451">
          <cell r="A451" t="str">
            <v>30024_1</v>
          </cell>
          <cell r="B451">
            <v>3</v>
          </cell>
          <cell r="C451">
            <v>30024</v>
          </cell>
          <cell r="D451" t="str">
            <v>雷鎚の選定</v>
          </cell>
          <cell r="E451" t="str">
            <v>ドロップイベント7（マルチ専用）</v>
          </cell>
          <cell r="F451">
            <v>1</v>
          </cell>
          <cell r="G451" t="str">
            <v>ja</v>
          </cell>
          <cell r="H451" t="str">
            <v>【中級】雷鎚の選定</v>
          </cell>
          <cell r="I451" t="str">
            <v>中級</v>
          </cell>
          <cell r="J451">
            <v>583</v>
          </cell>
          <cell r="K451">
            <v>15</v>
          </cell>
          <cell r="L451">
            <v>1200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20</v>
          </cell>
          <cell r="AD451">
            <v>6</v>
          </cell>
          <cell r="AE451" t="str">
            <v>multionly</v>
          </cell>
        </row>
        <row r="452">
          <cell r="A452" t="str">
            <v>30024_2</v>
          </cell>
          <cell r="B452">
            <v>3</v>
          </cell>
          <cell r="C452">
            <v>30024</v>
          </cell>
          <cell r="D452" t="str">
            <v>雷鎚の選定</v>
          </cell>
          <cell r="E452" t="str">
            <v>ドロップイベント7（マルチ専用）</v>
          </cell>
          <cell r="F452">
            <v>2</v>
          </cell>
          <cell r="G452" t="str">
            <v>ja</v>
          </cell>
          <cell r="H452" t="str">
            <v>【上級】雷鎚の選定</v>
          </cell>
          <cell r="I452" t="str">
            <v>上級</v>
          </cell>
          <cell r="J452">
            <v>583</v>
          </cell>
          <cell r="K452">
            <v>20</v>
          </cell>
          <cell r="L452">
            <v>2000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20</v>
          </cell>
          <cell r="AD452">
            <v>6</v>
          </cell>
          <cell r="AE452" t="str">
            <v>multionly</v>
          </cell>
        </row>
        <row r="453">
          <cell r="A453" t="str">
            <v>30024_3</v>
          </cell>
          <cell r="B453">
            <v>3</v>
          </cell>
          <cell r="C453">
            <v>30024</v>
          </cell>
          <cell r="D453" t="str">
            <v>雷鎚の選定</v>
          </cell>
          <cell r="E453" t="str">
            <v>ドロップイベント7（マルチ専用）</v>
          </cell>
          <cell r="F453">
            <v>3</v>
          </cell>
          <cell r="G453" t="str">
            <v>ja</v>
          </cell>
          <cell r="H453" t="str">
            <v>【超級】雷鎚の選定</v>
          </cell>
          <cell r="I453" t="str">
            <v>超級</v>
          </cell>
          <cell r="J453">
            <v>584</v>
          </cell>
          <cell r="K453">
            <v>30</v>
          </cell>
          <cell r="L453">
            <v>3300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polygon</v>
          </cell>
          <cell r="T453">
            <v>1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20</v>
          </cell>
          <cell r="AD453">
            <v>6</v>
          </cell>
          <cell r="AE453" t="str">
            <v>multionly</v>
          </cell>
        </row>
        <row r="454">
          <cell r="A454" t="str">
            <v>30025_1</v>
          </cell>
          <cell r="B454">
            <v>3</v>
          </cell>
          <cell r="C454">
            <v>30025</v>
          </cell>
          <cell r="D454" t="str">
            <v>真実の探求者</v>
          </cell>
          <cell r="E454" t="str">
            <v>ドロップイベント7（マルチ専用）</v>
          </cell>
          <cell r="F454">
            <v>1</v>
          </cell>
          <cell r="G454" t="str">
            <v>ja</v>
          </cell>
          <cell r="H454" t="str">
            <v>【中級】真実の探求者</v>
          </cell>
          <cell r="I454" t="str">
            <v>中級</v>
          </cell>
          <cell r="J454">
            <v>579</v>
          </cell>
          <cell r="K454">
            <v>15</v>
          </cell>
          <cell r="L454">
            <v>1200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7</v>
          </cell>
          <cell r="AD454">
            <v>6</v>
          </cell>
          <cell r="AE454" t="str">
            <v>everyone</v>
          </cell>
        </row>
        <row r="455">
          <cell r="A455" t="str">
            <v>30025_2</v>
          </cell>
          <cell r="B455">
            <v>3</v>
          </cell>
          <cell r="C455">
            <v>30025</v>
          </cell>
          <cell r="D455" t="str">
            <v>真実の探求者</v>
          </cell>
          <cell r="E455" t="str">
            <v>ドロップイベント7（マルチ専用）</v>
          </cell>
          <cell r="F455">
            <v>2</v>
          </cell>
          <cell r="G455" t="str">
            <v>ja</v>
          </cell>
          <cell r="H455" t="str">
            <v>【上級】真実の探求者</v>
          </cell>
          <cell r="I455" t="str">
            <v>上級</v>
          </cell>
          <cell r="J455">
            <v>579</v>
          </cell>
          <cell r="K455">
            <v>20</v>
          </cell>
          <cell r="L455">
            <v>2000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7</v>
          </cell>
          <cell r="AD455">
            <v>6</v>
          </cell>
          <cell r="AE455" t="str">
            <v>everyone</v>
          </cell>
        </row>
        <row r="456">
          <cell r="A456" t="str">
            <v>30025_3</v>
          </cell>
          <cell r="B456">
            <v>3</v>
          </cell>
          <cell r="C456">
            <v>30025</v>
          </cell>
          <cell r="D456" t="str">
            <v>真実の探求者</v>
          </cell>
          <cell r="E456" t="str">
            <v>ドロップイベント7（マルチ専用）</v>
          </cell>
          <cell r="F456">
            <v>3</v>
          </cell>
          <cell r="G456" t="str">
            <v>ja</v>
          </cell>
          <cell r="H456" t="str">
            <v>【超級】真実の探求者</v>
          </cell>
          <cell r="I456" t="str">
            <v>超級</v>
          </cell>
          <cell r="J456">
            <v>580</v>
          </cell>
          <cell r="K456">
            <v>30</v>
          </cell>
          <cell r="L456">
            <v>3300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polygon</v>
          </cell>
          <cell r="T456">
            <v>1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7</v>
          </cell>
          <cell r="AD456">
            <v>6</v>
          </cell>
          <cell r="AE456" t="str">
            <v>everyone</v>
          </cell>
        </row>
        <row r="457">
          <cell r="A457" t="str">
            <v>30026_1</v>
          </cell>
          <cell r="B457">
            <v>3</v>
          </cell>
          <cell r="C457">
            <v>30026</v>
          </cell>
          <cell r="D457" t="str">
            <v>道を阻む妖精夫婦</v>
          </cell>
          <cell r="E457" t="str">
            <v>ドロップイベント7（マルチ専用）</v>
          </cell>
          <cell r="F457">
            <v>1</v>
          </cell>
          <cell r="G457" t="str">
            <v>ja</v>
          </cell>
          <cell r="H457" t="str">
            <v>【中級】道を阻む妖精夫婦</v>
          </cell>
          <cell r="I457" t="str">
            <v>中級</v>
          </cell>
          <cell r="J457">
            <v>577</v>
          </cell>
          <cell r="K457">
            <v>15</v>
          </cell>
          <cell r="L457">
            <v>1200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21</v>
          </cell>
          <cell r="AD457">
            <v>6</v>
          </cell>
          <cell r="AE457" t="str">
            <v>everyone</v>
          </cell>
        </row>
        <row r="458">
          <cell r="A458" t="str">
            <v>30026_2</v>
          </cell>
          <cell r="B458">
            <v>3</v>
          </cell>
          <cell r="C458">
            <v>30026</v>
          </cell>
          <cell r="D458" t="str">
            <v>道を阻む妖精夫婦</v>
          </cell>
          <cell r="E458" t="str">
            <v>ドロップイベント7（マルチ専用）</v>
          </cell>
          <cell r="F458">
            <v>2</v>
          </cell>
          <cell r="G458" t="str">
            <v>ja</v>
          </cell>
          <cell r="H458" t="str">
            <v>【上級】道を阻む妖精夫婦</v>
          </cell>
          <cell r="I458" t="str">
            <v>上級</v>
          </cell>
          <cell r="J458">
            <v>577</v>
          </cell>
          <cell r="K458">
            <v>20</v>
          </cell>
          <cell r="L458">
            <v>2000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21</v>
          </cell>
          <cell r="AD458">
            <v>6</v>
          </cell>
          <cell r="AE458" t="str">
            <v>everyone</v>
          </cell>
        </row>
        <row r="459">
          <cell r="A459" t="str">
            <v>30026_3</v>
          </cell>
          <cell r="B459">
            <v>3</v>
          </cell>
          <cell r="C459">
            <v>30026</v>
          </cell>
          <cell r="D459" t="str">
            <v>道を阻む妖精夫婦</v>
          </cell>
          <cell r="E459" t="str">
            <v>ドロップイベント7（マルチ専用）</v>
          </cell>
          <cell r="F459">
            <v>3</v>
          </cell>
          <cell r="G459" t="str">
            <v>ja</v>
          </cell>
          <cell r="H459" t="str">
            <v>【超級】道を阻む妖精夫婦</v>
          </cell>
          <cell r="I459" t="str">
            <v>超級</v>
          </cell>
          <cell r="J459">
            <v>578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21</v>
          </cell>
          <cell r="AD459">
            <v>6</v>
          </cell>
          <cell r="AE459" t="str">
            <v>everyone</v>
          </cell>
        </row>
        <row r="460">
          <cell r="A460" t="str">
            <v>30027_1</v>
          </cell>
          <cell r="B460">
            <v>3</v>
          </cell>
          <cell r="C460">
            <v>30027</v>
          </cell>
          <cell r="D460" t="str">
            <v>凍りつくまで愛してあげる</v>
          </cell>
          <cell r="E460" t="str">
            <v>ドロップイベント7（マルチ専用）</v>
          </cell>
          <cell r="F460">
            <v>1</v>
          </cell>
          <cell r="G460" t="str">
            <v>ja</v>
          </cell>
          <cell r="H460" t="str">
            <v>【中級】凍りつくまで愛してあげる</v>
          </cell>
          <cell r="I460" t="str">
            <v>中級</v>
          </cell>
          <cell r="J460">
            <v>646</v>
          </cell>
          <cell r="K460">
            <v>15</v>
          </cell>
          <cell r="L460">
            <v>1200</v>
          </cell>
          <cell r="M460">
            <v>0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9</v>
          </cell>
          <cell r="AD460">
            <v>6</v>
          </cell>
          <cell r="AE460" t="str">
            <v>everyone</v>
          </cell>
        </row>
        <row r="461">
          <cell r="A461" t="str">
            <v>30027_2</v>
          </cell>
          <cell r="B461">
            <v>3</v>
          </cell>
          <cell r="C461">
            <v>30027</v>
          </cell>
          <cell r="D461" t="str">
            <v>凍りつくまで愛してあげる</v>
          </cell>
          <cell r="E461" t="str">
            <v>ドロップイベント7（マルチ専用）</v>
          </cell>
          <cell r="F461">
            <v>2</v>
          </cell>
          <cell r="G461" t="str">
            <v>ja</v>
          </cell>
          <cell r="H461" t="str">
            <v>【上級】凍りつくまで愛してあげる</v>
          </cell>
          <cell r="I461" t="str">
            <v>上級</v>
          </cell>
          <cell r="J461">
            <v>646</v>
          </cell>
          <cell r="K461">
            <v>20</v>
          </cell>
          <cell r="L461">
            <v>2000</v>
          </cell>
          <cell r="M461">
            <v>0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9</v>
          </cell>
          <cell r="AD461">
            <v>6</v>
          </cell>
          <cell r="AE461" t="str">
            <v>everyone</v>
          </cell>
        </row>
        <row r="462">
          <cell r="A462" t="str">
            <v>30027_3</v>
          </cell>
          <cell r="B462">
            <v>3</v>
          </cell>
          <cell r="C462">
            <v>30027</v>
          </cell>
          <cell r="D462" t="str">
            <v>凍りつくまで愛してあげる</v>
          </cell>
          <cell r="E462" t="str">
            <v>ドロップイベント7（マルチ専用）</v>
          </cell>
          <cell r="F462">
            <v>3</v>
          </cell>
          <cell r="G462" t="str">
            <v>ja</v>
          </cell>
          <cell r="H462" t="str">
            <v>【超級】凍りつくまで愛してあげる</v>
          </cell>
          <cell r="I462" t="str">
            <v>超級</v>
          </cell>
          <cell r="J462">
            <v>647</v>
          </cell>
          <cell r="K462">
            <v>30</v>
          </cell>
          <cell r="L462">
            <v>3300</v>
          </cell>
          <cell r="M462">
            <v>0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polygon</v>
          </cell>
          <cell r="T462">
            <v>1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9</v>
          </cell>
          <cell r="AD462">
            <v>6</v>
          </cell>
          <cell r="AE462" t="str">
            <v>everyone</v>
          </cell>
        </row>
        <row r="463">
          <cell r="A463" t="str">
            <v>30028_1</v>
          </cell>
          <cell r="B463">
            <v>3</v>
          </cell>
          <cell r="C463">
            <v>30028</v>
          </cell>
          <cell r="D463" t="str">
            <v>最悪の刺客</v>
          </cell>
          <cell r="E463" t="str">
            <v>ドロップイベント8（マルチ専用）</v>
          </cell>
          <cell r="F463">
            <v>1</v>
          </cell>
          <cell r="G463" t="str">
            <v>ja</v>
          </cell>
          <cell r="H463" t="str">
            <v>【中級】最悪の刺客</v>
          </cell>
          <cell r="I463" t="str">
            <v>中級</v>
          </cell>
          <cell r="J463">
            <v>650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2601</v>
          </cell>
          <cell r="AD463">
            <v>6</v>
          </cell>
          <cell r="AE463" t="str">
            <v>everyone</v>
          </cell>
        </row>
        <row r="464">
          <cell r="A464" t="str">
            <v>30028_2</v>
          </cell>
          <cell r="B464">
            <v>3</v>
          </cell>
          <cell r="C464">
            <v>30028</v>
          </cell>
          <cell r="D464" t="str">
            <v>最悪の刺客</v>
          </cell>
          <cell r="E464" t="str">
            <v>ドロップイベント8（マルチ専用）</v>
          </cell>
          <cell r="F464">
            <v>2</v>
          </cell>
          <cell r="G464" t="str">
            <v>ja</v>
          </cell>
          <cell r="H464" t="str">
            <v>【上級】最悪の刺客</v>
          </cell>
          <cell r="I464" t="str">
            <v>上級</v>
          </cell>
          <cell r="J464">
            <v>650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2601</v>
          </cell>
          <cell r="AD464">
            <v>6</v>
          </cell>
          <cell r="AE464" t="str">
            <v>everyone</v>
          </cell>
        </row>
        <row r="465">
          <cell r="A465" t="str">
            <v>30028_3</v>
          </cell>
          <cell r="B465">
            <v>3</v>
          </cell>
          <cell r="C465">
            <v>30028</v>
          </cell>
          <cell r="D465" t="str">
            <v>最悪の刺客</v>
          </cell>
          <cell r="E465" t="str">
            <v>ドロップイベント8（マルチ専用）</v>
          </cell>
          <cell r="F465">
            <v>3</v>
          </cell>
          <cell r="G465" t="str">
            <v>ja</v>
          </cell>
          <cell r="H465" t="str">
            <v>【超級】最悪の刺客</v>
          </cell>
          <cell r="I465" t="str">
            <v>超級</v>
          </cell>
          <cell r="J465">
            <v>651</v>
          </cell>
          <cell r="K465">
            <v>30</v>
          </cell>
          <cell r="L465">
            <v>3300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2601</v>
          </cell>
          <cell r="AD465">
            <v>6</v>
          </cell>
          <cell r="AE465" t="str">
            <v>everyone</v>
          </cell>
        </row>
        <row r="466">
          <cell r="A466" t="str">
            <v>30029_1</v>
          </cell>
          <cell r="B466">
            <v>3</v>
          </cell>
          <cell r="C466">
            <v>30029</v>
          </cell>
          <cell r="D466" t="str">
            <v>全ては主のために</v>
          </cell>
          <cell r="E466" t="str">
            <v>ドロップイベント8（マルチ専用）</v>
          </cell>
          <cell r="F466">
            <v>1</v>
          </cell>
          <cell r="G466" t="str">
            <v>ja</v>
          </cell>
          <cell r="H466" t="str">
            <v>【中級】全ては主のために</v>
          </cell>
          <cell r="I466" t="str">
            <v>中級</v>
          </cell>
          <cell r="J466">
            <v>648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5</v>
          </cell>
          <cell r="AD466">
            <v>6</v>
          </cell>
          <cell r="AE466" t="str">
            <v>everyone</v>
          </cell>
        </row>
        <row r="467">
          <cell r="A467" t="str">
            <v>30029_2</v>
          </cell>
          <cell r="B467">
            <v>3</v>
          </cell>
          <cell r="C467">
            <v>30029</v>
          </cell>
          <cell r="D467" t="str">
            <v>全ては主のために</v>
          </cell>
          <cell r="E467" t="str">
            <v>ドロップイベント8（マルチ専用）</v>
          </cell>
          <cell r="F467">
            <v>2</v>
          </cell>
          <cell r="G467" t="str">
            <v>ja</v>
          </cell>
          <cell r="H467" t="str">
            <v>【上級】全ては主のために</v>
          </cell>
          <cell r="I467" t="str">
            <v>上級</v>
          </cell>
          <cell r="J467">
            <v>648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5</v>
          </cell>
          <cell r="AD467">
            <v>6</v>
          </cell>
          <cell r="AE467" t="str">
            <v>everyone</v>
          </cell>
        </row>
        <row r="468">
          <cell r="A468" t="str">
            <v>30029_3</v>
          </cell>
          <cell r="B468">
            <v>3</v>
          </cell>
          <cell r="C468">
            <v>30029</v>
          </cell>
          <cell r="D468" t="str">
            <v>全ては主のために</v>
          </cell>
          <cell r="E468" t="str">
            <v>ドロップイベント8（マルチ専用）</v>
          </cell>
          <cell r="F468">
            <v>3</v>
          </cell>
          <cell r="G468" t="str">
            <v>ja</v>
          </cell>
          <cell r="H468" t="str">
            <v>【超級】全ては主のために</v>
          </cell>
          <cell r="I468" t="str">
            <v>超級</v>
          </cell>
          <cell r="J468">
            <v>648</v>
          </cell>
          <cell r="K468">
            <v>30</v>
          </cell>
          <cell r="L468">
            <v>3300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polygon</v>
          </cell>
          <cell r="T468">
            <v>1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5</v>
          </cell>
          <cell r="AD468">
            <v>6</v>
          </cell>
          <cell r="AE468" t="str">
            <v>everyone</v>
          </cell>
        </row>
        <row r="469">
          <cell r="A469" t="str">
            <v>30030_1</v>
          </cell>
          <cell r="B469">
            <v>3</v>
          </cell>
          <cell r="C469">
            <v>30030</v>
          </cell>
          <cell r="D469" t="str">
            <v>ここは誰の箱庭じゃ？</v>
          </cell>
          <cell r="E469" t="str">
            <v>ドロップイベント9（マルチ専用）</v>
          </cell>
          <cell r="F469">
            <v>1</v>
          </cell>
          <cell r="G469" t="str">
            <v>ja</v>
          </cell>
          <cell r="H469" t="str">
            <v>【中級】ここは誰の箱庭じゃ？</v>
          </cell>
          <cell r="I469" t="str">
            <v>中級</v>
          </cell>
          <cell r="J469">
            <v>652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8</v>
          </cell>
          <cell r="AD469">
            <v>6</v>
          </cell>
          <cell r="AE469" t="str">
            <v>everyone</v>
          </cell>
        </row>
        <row r="470">
          <cell r="A470" t="str">
            <v>30030_2</v>
          </cell>
          <cell r="B470">
            <v>3</v>
          </cell>
          <cell r="C470">
            <v>30030</v>
          </cell>
          <cell r="D470" t="str">
            <v>ここは誰の箱庭じゃ？</v>
          </cell>
          <cell r="E470" t="str">
            <v>ドロップイベント9（マルチ専用）</v>
          </cell>
          <cell r="F470">
            <v>2</v>
          </cell>
          <cell r="G470" t="str">
            <v>ja</v>
          </cell>
          <cell r="H470" t="str">
            <v>【上級】ここは誰の箱庭じゃ？</v>
          </cell>
          <cell r="I470" t="str">
            <v>上級</v>
          </cell>
          <cell r="J470">
            <v>653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8</v>
          </cell>
          <cell r="AD470">
            <v>6</v>
          </cell>
          <cell r="AE470" t="str">
            <v>everyone</v>
          </cell>
        </row>
        <row r="471">
          <cell r="A471" t="str">
            <v>30030_3</v>
          </cell>
          <cell r="B471">
            <v>3</v>
          </cell>
          <cell r="C471">
            <v>30030</v>
          </cell>
          <cell r="D471" t="str">
            <v>ここは誰の箱庭じゃ？</v>
          </cell>
          <cell r="E471" t="str">
            <v>ドロップイベント9（マルチ専用）</v>
          </cell>
          <cell r="F471">
            <v>3</v>
          </cell>
          <cell r="G471" t="str">
            <v>ja</v>
          </cell>
          <cell r="H471" t="str">
            <v>【超級】ここは誰の箱庭じゃ？</v>
          </cell>
          <cell r="I471" t="str">
            <v>超級</v>
          </cell>
          <cell r="J471">
            <v>653</v>
          </cell>
          <cell r="K471">
            <v>30</v>
          </cell>
          <cell r="L471">
            <v>3300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polygon</v>
          </cell>
          <cell r="T471">
            <v>1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8</v>
          </cell>
          <cell r="AD471">
            <v>6</v>
          </cell>
          <cell r="AE471" t="str">
            <v>everyone</v>
          </cell>
        </row>
        <row r="472">
          <cell r="A472" t="str">
            <v>30031_1</v>
          </cell>
          <cell r="B472">
            <v>3</v>
          </cell>
          <cell r="C472">
            <v>30031</v>
          </cell>
          <cell r="D472" t="str">
            <v>力への羨望</v>
          </cell>
          <cell r="E472" t="str">
            <v>ドロップイベント10（マルチ専用）</v>
          </cell>
          <cell r="F472">
            <v>1</v>
          </cell>
          <cell r="G472" t="str">
            <v>ja</v>
          </cell>
          <cell r="H472" t="str">
            <v>【中級】力への羨望</v>
          </cell>
          <cell r="I472" t="str">
            <v>中級</v>
          </cell>
          <cell r="J472">
            <v>764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20</v>
          </cell>
          <cell r="AD472">
            <v>6</v>
          </cell>
          <cell r="AE472" t="str">
            <v>everyone</v>
          </cell>
        </row>
        <row r="473">
          <cell r="A473" t="str">
            <v>30031_2</v>
          </cell>
          <cell r="B473">
            <v>3</v>
          </cell>
          <cell r="C473">
            <v>30031</v>
          </cell>
          <cell r="D473" t="str">
            <v>力への羨望</v>
          </cell>
          <cell r="E473" t="str">
            <v>ドロップイベント10（マルチ専用）</v>
          </cell>
          <cell r="F473">
            <v>2</v>
          </cell>
          <cell r="G473" t="str">
            <v>ja</v>
          </cell>
          <cell r="H473" t="str">
            <v>【上級】力への羨望</v>
          </cell>
          <cell r="I473" t="str">
            <v>上級</v>
          </cell>
          <cell r="J473">
            <v>764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20</v>
          </cell>
          <cell r="AD473">
            <v>6</v>
          </cell>
          <cell r="AE473" t="str">
            <v>everyone</v>
          </cell>
        </row>
        <row r="474">
          <cell r="A474" t="str">
            <v>30031_3</v>
          </cell>
          <cell r="B474">
            <v>3</v>
          </cell>
          <cell r="C474">
            <v>30031</v>
          </cell>
          <cell r="D474" t="str">
            <v>力への羨望</v>
          </cell>
          <cell r="E474" t="str">
            <v>ドロップイベント10（マルチ専用）</v>
          </cell>
          <cell r="F474">
            <v>3</v>
          </cell>
          <cell r="G474" t="str">
            <v>ja</v>
          </cell>
          <cell r="H474" t="str">
            <v>【超級】力への羨望</v>
          </cell>
          <cell r="I474" t="str">
            <v>超級</v>
          </cell>
          <cell r="J474">
            <v>765</v>
          </cell>
          <cell r="K474">
            <v>30</v>
          </cell>
          <cell r="L474">
            <v>3300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polygon</v>
          </cell>
          <cell r="T474">
            <v>1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20</v>
          </cell>
          <cell r="AD474">
            <v>6</v>
          </cell>
          <cell r="AE474" t="str">
            <v>everyone</v>
          </cell>
        </row>
        <row r="475">
          <cell r="A475" t="str">
            <v>30032_1</v>
          </cell>
          <cell r="B475">
            <v>3</v>
          </cell>
          <cell r="C475">
            <v>30032</v>
          </cell>
          <cell r="D475" t="str">
            <v>赤き竜の制裁</v>
          </cell>
          <cell r="E475" t="str">
            <v>円卓2（マルチ専用）</v>
          </cell>
          <cell r="F475">
            <v>1</v>
          </cell>
          <cell r="G475" t="str">
            <v>ja</v>
          </cell>
          <cell r="H475" t="str">
            <v>【中級】赤き竜の制裁</v>
          </cell>
          <cell r="I475" t="str">
            <v>中級</v>
          </cell>
          <cell r="J475">
            <v>767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14</v>
          </cell>
          <cell r="AD475">
            <v>6</v>
          </cell>
          <cell r="AE475" t="str">
            <v>everyone</v>
          </cell>
        </row>
        <row r="476">
          <cell r="A476" t="str">
            <v>30032_2</v>
          </cell>
          <cell r="B476">
            <v>3</v>
          </cell>
          <cell r="C476">
            <v>30032</v>
          </cell>
          <cell r="D476" t="str">
            <v>赤き竜の制裁</v>
          </cell>
          <cell r="E476" t="str">
            <v>円卓2（マルチ専用）</v>
          </cell>
          <cell r="F476">
            <v>2</v>
          </cell>
          <cell r="G476" t="str">
            <v>ja</v>
          </cell>
          <cell r="H476" t="str">
            <v>【上級】赤き竜の制裁</v>
          </cell>
          <cell r="I476" t="str">
            <v>上級</v>
          </cell>
          <cell r="J476">
            <v>767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14</v>
          </cell>
          <cell r="AD476">
            <v>6</v>
          </cell>
          <cell r="AE476" t="str">
            <v>everyone</v>
          </cell>
        </row>
        <row r="477">
          <cell r="A477" t="str">
            <v>30032_3</v>
          </cell>
          <cell r="B477">
            <v>3</v>
          </cell>
          <cell r="C477">
            <v>30032</v>
          </cell>
          <cell r="D477" t="str">
            <v>赤き竜の制裁</v>
          </cell>
          <cell r="E477" t="str">
            <v>円卓2（マルチ専用）</v>
          </cell>
          <cell r="F477">
            <v>3</v>
          </cell>
          <cell r="G477" t="str">
            <v>ja</v>
          </cell>
          <cell r="H477" t="str">
            <v>【超級】赤き竜の制裁</v>
          </cell>
          <cell r="I477" t="str">
            <v>超級</v>
          </cell>
          <cell r="J477">
            <v>767</v>
          </cell>
          <cell r="K477">
            <v>30</v>
          </cell>
          <cell r="L477">
            <v>3300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polygon</v>
          </cell>
          <cell r="T477">
            <v>1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14</v>
          </cell>
          <cell r="AD477">
            <v>6</v>
          </cell>
          <cell r="AE477" t="str">
            <v>everyone</v>
          </cell>
        </row>
        <row r="478">
          <cell r="A478" t="str">
            <v>30033_1</v>
          </cell>
          <cell r="B478">
            <v>3</v>
          </cell>
          <cell r="C478">
            <v>30033</v>
          </cell>
          <cell r="D478" t="str">
            <v>御館様の懐刀</v>
          </cell>
          <cell r="E478" t="str">
            <v>戦国１</v>
          </cell>
          <cell r="F478">
            <v>1</v>
          </cell>
          <cell r="G478" t="str">
            <v>ja</v>
          </cell>
          <cell r="H478" t="str">
            <v>【中級】御館様の懐刀</v>
          </cell>
          <cell r="I478" t="str">
            <v>中級</v>
          </cell>
          <cell r="J478">
            <v>722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2</v>
          </cell>
          <cell r="AD478">
            <v>6</v>
          </cell>
          <cell r="AE478" t="str">
            <v>everyone</v>
          </cell>
        </row>
        <row r="479">
          <cell r="A479" t="str">
            <v>30033_2</v>
          </cell>
          <cell r="B479">
            <v>3</v>
          </cell>
          <cell r="C479">
            <v>30033</v>
          </cell>
          <cell r="D479" t="str">
            <v>御館様の懐刀</v>
          </cell>
          <cell r="E479" t="str">
            <v>戦国１</v>
          </cell>
          <cell r="F479">
            <v>2</v>
          </cell>
          <cell r="G479" t="str">
            <v>ja</v>
          </cell>
          <cell r="H479" t="str">
            <v>【上級】御館様の懐刀</v>
          </cell>
          <cell r="I479" t="str">
            <v>上級</v>
          </cell>
          <cell r="J479">
            <v>722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2</v>
          </cell>
          <cell r="AD479">
            <v>6</v>
          </cell>
          <cell r="AE479" t="str">
            <v>everyone</v>
          </cell>
        </row>
        <row r="480">
          <cell r="A480" t="str">
            <v>30033_3</v>
          </cell>
          <cell r="B480">
            <v>3</v>
          </cell>
          <cell r="C480">
            <v>30033</v>
          </cell>
          <cell r="D480" t="str">
            <v>御館様の懐刀</v>
          </cell>
          <cell r="E480" t="str">
            <v>戦国１</v>
          </cell>
          <cell r="F480">
            <v>3</v>
          </cell>
          <cell r="G480" t="str">
            <v>ja</v>
          </cell>
          <cell r="H480" t="str">
            <v>【超級】御館様の懐刀</v>
          </cell>
          <cell r="I480" t="str">
            <v>超級</v>
          </cell>
          <cell r="J480">
            <v>723</v>
          </cell>
          <cell r="K480">
            <v>30</v>
          </cell>
          <cell r="L480">
            <v>3300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polygon</v>
          </cell>
          <cell r="T480">
            <v>1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2</v>
          </cell>
          <cell r="AD480">
            <v>6</v>
          </cell>
          <cell r="AE480" t="str">
            <v>everyone</v>
          </cell>
        </row>
        <row r="481">
          <cell r="A481" t="str">
            <v>30034_1</v>
          </cell>
          <cell r="B481">
            <v>1</v>
          </cell>
          <cell r="C481">
            <v>30034</v>
          </cell>
          <cell r="D481" t="str">
            <v>超級　フェニックス</v>
          </cell>
          <cell r="E481" t="str">
            <v>天使と悪魔</v>
          </cell>
          <cell r="F481">
            <v>1</v>
          </cell>
          <cell r="G481" t="str">
            <v>ja</v>
          </cell>
          <cell r="H481" t="str">
            <v>【中級】フェニックス</v>
          </cell>
          <cell r="I481" t="str">
            <v>中級</v>
          </cell>
          <cell r="J481">
            <v>1</v>
          </cell>
          <cell r="K481">
            <v>8</v>
          </cell>
          <cell r="L481">
            <v>384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10</v>
          </cell>
          <cell r="AD481">
            <v>6</v>
          </cell>
          <cell r="AE481" t="str">
            <v>everyone</v>
          </cell>
        </row>
        <row r="482">
          <cell r="A482" t="str">
            <v>30034_2</v>
          </cell>
          <cell r="B482">
            <v>1</v>
          </cell>
          <cell r="C482">
            <v>30034</v>
          </cell>
          <cell r="D482" t="str">
            <v>超級　フェニックス</v>
          </cell>
          <cell r="E482" t="str">
            <v>天使と悪魔</v>
          </cell>
          <cell r="F482">
            <v>2</v>
          </cell>
          <cell r="G482" t="str">
            <v>ja</v>
          </cell>
          <cell r="H482" t="str">
            <v>【上級】フェニックス</v>
          </cell>
          <cell r="I482" t="str">
            <v>上級</v>
          </cell>
          <cell r="J482">
            <v>1</v>
          </cell>
          <cell r="K482">
            <v>15</v>
          </cell>
          <cell r="L482">
            <v>1200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10</v>
          </cell>
          <cell r="AD482">
            <v>6</v>
          </cell>
          <cell r="AE482" t="str">
            <v>everyone</v>
          </cell>
        </row>
        <row r="483">
          <cell r="A483" t="str">
            <v>30034_3</v>
          </cell>
          <cell r="B483">
            <v>1</v>
          </cell>
          <cell r="C483">
            <v>30034</v>
          </cell>
          <cell r="D483" t="str">
            <v>超級　フェニックス</v>
          </cell>
          <cell r="E483" t="str">
            <v>天使と悪魔</v>
          </cell>
          <cell r="F483">
            <v>3</v>
          </cell>
          <cell r="G483" t="str">
            <v>ja</v>
          </cell>
          <cell r="H483" t="str">
            <v>【超級】フェニックス</v>
          </cell>
          <cell r="I483" t="str">
            <v>超級</v>
          </cell>
          <cell r="J483">
            <v>1</v>
          </cell>
          <cell r="K483">
            <v>20</v>
          </cell>
          <cell r="L483">
            <v>2000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polygon</v>
          </cell>
          <cell r="T483">
            <v>1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10</v>
          </cell>
          <cell r="AD483">
            <v>6</v>
          </cell>
          <cell r="AE483" t="str">
            <v>everyone</v>
          </cell>
        </row>
        <row r="484">
          <cell r="A484" t="str">
            <v>39001_1</v>
          </cell>
          <cell r="B484">
            <v>3</v>
          </cell>
          <cell r="C484">
            <v>39001</v>
          </cell>
          <cell r="D484" t="str">
            <v>雪の歌姫</v>
          </cell>
          <cell r="E484" t="str">
            <v>コラボクエスト</v>
          </cell>
          <cell r="F484">
            <v>1</v>
          </cell>
          <cell r="G484" t="str">
            <v>ja</v>
          </cell>
          <cell r="H484" t="str">
            <v>【初級】雪の歌姫</v>
          </cell>
          <cell r="I484" t="str">
            <v>初級</v>
          </cell>
          <cell r="J484">
            <v>525</v>
          </cell>
          <cell r="K484">
            <v>8</v>
          </cell>
          <cell r="L484">
            <v>384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909</v>
          </cell>
          <cell r="AD484">
            <v>6</v>
          </cell>
          <cell r="AE484" t="str">
            <v>everyone</v>
          </cell>
        </row>
        <row r="485">
          <cell r="A485" t="str">
            <v>39001_2</v>
          </cell>
          <cell r="B485">
            <v>3</v>
          </cell>
          <cell r="C485">
            <v>39001</v>
          </cell>
          <cell r="D485" t="str">
            <v>雪の歌姫</v>
          </cell>
          <cell r="E485" t="str">
            <v>コラボクエスト</v>
          </cell>
          <cell r="F485">
            <v>2</v>
          </cell>
          <cell r="G485" t="str">
            <v>ja</v>
          </cell>
          <cell r="H485" t="str">
            <v>【中級】雪の歌姫</v>
          </cell>
          <cell r="I485" t="str">
            <v>中級</v>
          </cell>
          <cell r="J485">
            <v>525</v>
          </cell>
          <cell r="K485">
            <v>15</v>
          </cell>
          <cell r="L485">
            <v>1200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909</v>
          </cell>
          <cell r="AD485">
            <v>6</v>
          </cell>
          <cell r="AE485" t="str">
            <v>everyone</v>
          </cell>
        </row>
        <row r="486">
          <cell r="A486" t="str">
            <v>39001_3</v>
          </cell>
          <cell r="B486">
            <v>3</v>
          </cell>
          <cell r="C486">
            <v>39001</v>
          </cell>
          <cell r="D486" t="str">
            <v>雪の歌姫</v>
          </cell>
          <cell r="E486" t="str">
            <v>コラボクエスト</v>
          </cell>
          <cell r="F486">
            <v>3</v>
          </cell>
          <cell r="G486" t="str">
            <v>ja</v>
          </cell>
          <cell r="H486" t="str">
            <v>【上級】雪の歌姫</v>
          </cell>
          <cell r="I486" t="str">
            <v>上級</v>
          </cell>
          <cell r="J486">
            <v>525</v>
          </cell>
          <cell r="K486">
            <v>20</v>
          </cell>
          <cell r="L486">
            <v>2000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909</v>
          </cell>
          <cell r="AD486">
            <v>6</v>
          </cell>
          <cell r="AE486" t="str">
            <v>everyone</v>
          </cell>
        </row>
        <row r="487">
          <cell r="A487" t="str">
            <v>39001_4</v>
          </cell>
          <cell r="B487">
            <v>3</v>
          </cell>
          <cell r="C487">
            <v>39001</v>
          </cell>
          <cell r="D487" t="str">
            <v>雪の歌姫</v>
          </cell>
          <cell r="E487" t="str">
            <v>コラボクエスト</v>
          </cell>
          <cell r="F487">
            <v>4</v>
          </cell>
          <cell r="G487" t="str">
            <v>ja</v>
          </cell>
          <cell r="H487" t="str">
            <v>【超級】雪の歌姫</v>
          </cell>
          <cell r="I487" t="str">
            <v>超級</v>
          </cell>
          <cell r="J487">
            <v>526</v>
          </cell>
          <cell r="K487">
            <v>30</v>
          </cell>
          <cell r="L487">
            <v>3300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909</v>
          </cell>
          <cell r="AD487">
            <v>6</v>
          </cell>
          <cell r="AE487" t="str">
            <v>everyone</v>
          </cell>
        </row>
        <row r="488">
          <cell r="A488" t="str">
            <v>39001_5</v>
          </cell>
          <cell r="B488">
            <v>3</v>
          </cell>
          <cell r="C488">
            <v>39001</v>
          </cell>
          <cell r="D488" t="str">
            <v>雪の歌姫</v>
          </cell>
          <cell r="E488" t="str">
            <v>コラボクエスト</v>
          </cell>
          <cell r="F488">
            <v>5</v>
          </cell>
          <cell r="G488" t="str">
            <v>ja</v>
          </cell>
          <cell r="H488" t="str">
            <v>【超絶級】雪の歌姫</v>
          </cell>
          <cell r="I488" t="str">
            <v>超絶級</v>
          </cell>
          <cell r="J488">
            <v>526</v>
          </cell>
          <cell r="K488">
            <v>35</v>
          </cell>
          <cell r="L488">
            <v>4200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909</v>
          </cell>
          <cell r="AD488">
            <v>6</v>
          </cell>
          <cell r="AE488" t="str">
            <v>everyone</v>
          </cell>
        </row>
        <row r="489">
          <cell r="A489" t="str">
            <v>39002_1</v>
          </cell>
          <cell r="B489">
            <v>3</v>
          </cell>
          <cell r="C489">
            <v>39002</v>
          </cell>
          <cell r="D489" t="str">
            <v>黄巾賊の暴走を止めろ</v>
          </cell>
          <cell r="E489" t="str">
            <v>コラボクエスト</v>
          </cell>
          <cell r="F489">
            <v>1</v>
          </cell>
          <cell r="G489" t="str">
            <v>ja</v>
          </cell>
          <cell r="H489" t="str">
            <v>【初級】黄巾賊の暴走を止めろ</v>
          </cell>
          <cell r="I489" t="str">
            <v>初級</v>
          </cell>
          <cell r="J489">
            <v>694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12</v>
          </cell>
          <cell r="AD489">
            <v>6</v>
          </cell>
          <cell r="AE489" t="str">
            <v>everyone</v>
          </cell>
        </row>
        <row r="490">
          <cell r="A490" t="str">
            <v>39002_2</v>
          </cell>
          <cell r="B490">
            <v>3</v>
          </cell>
          <cell r="C490">
            <v>39002</v>
          </cell>
          <cell r="D490" t="str">
            <v>黄巾賊の暴走を止めろ</v>
          </cell>
          <cell r="E490" t="str">
            <v>コラボクエスト</v>
          </cell>
          <cell r="F490">
            <v>2</v>
          </cell>
          <cell r="G490" t="str">
            <v>ja</v>
          </cell>
          <cell r="H490" t="str">
            <v>【中級】黄巾賊の暴走を止めろ</v>
          </cell>
          <cell r="I490" t="str">
            <v>中級</v>
          </cell>
          <cell r="J490">
            <v>694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12</v>
          </cell>
          <cell r="AD490">
            <v>6</v>
          </cell>
          <cell r="AE490" t="str">
            <v>everyone</v>
          </cell>
        </row>
        <row r="491">
          <cell r="A491" t="str">
            <v>39002_3</v>
          </cell>
          <cell r="B491">
            <v>3</v>
          </cell>
          <cell r="C491">
            <v>39002</v>
          </cell>
          <cell r="D491" t="str">
            <v>黄巾賊の暴走を止めろ</v>
          </cell>
          <cell r="E491" t="str">
            <v>コラボクエスト</v>
          </cell>
          <cell r="F491">
            <v>3</v>
          </cell>
          <cell r="G491" t="str">
            <v>ja</v>
          </cell>
          <cell r="H491" t="str">
            <v>【上級】黄巾賊の暴走を止めろ</v>
          </cell>
          <cell r="I491" t="str">
            <v>上級</v>
          </cell>
          <cell r="J491">
            <v>694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12</v>
          </cell>
          <cell r="AD491">
            <v>6</v>
          </cell>
          <cell r="AE491" t="str">
            <v>everyone</v>
          </cell>
        </row>
        <row r="492">
          <cell r="A492" t="str">
            <v>39002_4</v>
          </cell>
          <cell r="B492">
            <v>3</v>
          </cell>
          <cell r="C492">
            <v>39002</v>
          </cell>
          <cell r="D492" t="str">
            <v>黄巾賊の暴走を止めろ</v>
          </cell>
          <cell r="E492" t="str">
            <v>コラボクエスト</v>
          </cell>
          <cell r="F492">
            <v>4</v>
          </cell>
          <cell r="G492" t="str">
            <v>ja</v>
          </cell>
          <cell r="H492" t="str">
            <v>【超級】黄巾賊の暴走を止めろ</v>
          </cell>
          <cell r="I492" t="str">
            <v>超級</v>
          </cell>
          <cell r="J492">
            <v>694</v>
          </cell>
          <cell r="K492">
            <v>30</v>
          </cell>
          <cell r="L492">
            <v>3300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polygon</v>
          </cell>
          <cell r="T492">
            <v>1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12</v>
          </cell>
          <cell r="AD492">
            <v>6</v>
          </cell>
          <cell r="AE492" t="str">
            <v>everyone</v>
          </cell>
        </row>
        <row r="493">
          <cell r="A493" t="str">
            <v>39003_1</v>
          </cell>
          <cell r="B493">
            <v>3</v>
          </cell>
          <cell r="C493">
            <v>39003</v>
          </cell>
          <cell r="D493" t="str">
            <v>ブルースクウェアを追え！</v>
          </cell>
          <cell r="E493" t="str">
            <v>コラボクエスト</v>
          </cell>
          <cell r="F493">
            <v>1</v>
          </cell>
          <cell r="G493" t="str">
            <v>ja</v>
          </cell>
          <cell r="H493" t="str">
            <v>【初級】ブルースクウェアを追え！</v>
          </cell>
          <cell r="I493" t="str">
            <v>初級</v>
          </cell>
          <cell r="J493">
            <v>691</v>
          </cell>
          <cell r="K493">
            <v>8</v>
          </cell>
          <cell r="L493">
            <v>384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14</v>
          </cell>
          <cell r="AD493">
            <v>6</v>
          </cell>
          <cell r="AE493" t="str">
            <v>everyone</v>
          </cell>
        </row>
        <row r="494">
          <cell r="A494" t="str">
            <v>39003_2</v>
          </cell>
          <cell r="B494">
            <v>3</v>
          </cell>
          <cell r="C494">
            <v>39003</v>
          </cell>
          <cell r="D494" t="str">
            <v>ブルースクウェアを追え！</v>
          </cell>
          <cell r="E494" t="str">
            <v>コラボクエスト</v>
          </cell>
          <cell r="F494">
            <v>2</v>
          </cell>
          <cell r="G494" t="str">
            <v>ja</v>
          </cell>
          <cell r="H494" t="str">
            <v>【中級】ブルースクウェアを追え！</v>
          </cell>
          <cell r="I494" t="str">
            <v>中級</v>
          </cell>
          <cell r="J494">
            <v>691</v>
          </cell>
          <cell r="K494">
            <v>15</v>
          </cell>
          <cell r="L494">
            <v>1200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14</v>
          </cell>
          <cell r="AD494">
            <v>6</v>
          </cell>
          <cell r="AE494" t="str">
            <v>everyone</v>
          </cell>
        </row>
        <row r="495">
          <cell r="A495" t="str">
            <v>39003_3</v>
          </cell>
          <cell r="B495">
            <v>3</v>
          </cell>
          <cell r="C495">
            <v>39003</v>
          </cell>
          <cell r="D495" t="str">
            <v>ブルースクウェアを追え！</v>
          </cell>
          <cell r="E495" t="str">
            <v>コラボクエスト</v>
          </cell>
          <cell r="F495">
            <v>3</v>
          </cell>
          <cell r="G495" t="str">
            <v>ja</v>
          </cell>
          <cell r="H495" t="str">
            <v>【上級】ブルースクウェアを追え！</v>
          </cell>
          <cell r="I495" t="str">
            <v>上級</v>
          </cell>
          <cell r="J495">
            <v>691</v>
          </cell>
          <cell r="K495">
            <v>20</v>
          </cell>
          <cell r="L495">
            <v>2000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14</v>
          </cell>
          <cell r="AD495">
            <v>6</v>
          </cell>
          <cell r="AE495" t="str">
            <v>everyone</v>
          </cell>
        </row>
        <row r="496">
          <cell r="A496" t="str">
            <v>39003_4</v>
          </cell>
          <cell r="B496">
            <v>3</v>
          </cell>
          <cell r="C496">
            <v>39003</v>
          </cell>
          <cell r="D496" t="str">
            <v>ブルースクウェアを追え！</v>
          </cell>
          <cell r="E496" t="str">
            <v>コラボクエスト</v>
          </cell>
          <cell r="F496">
            <v>4</v>
          </cell>
          <cell r="G496" t="str">
            <v>ja</v>
          </cell>
          <cell r="H496" t="str">
            <v>【超級】ブルースクウェアを追え！</v>
          </cell>
          <cell r="I496" t="str">
            <v>超級</v>
          </cell>
          <cell r="J496">
            <v>691</v>
          </cell>
          <cell r="K496">
            <v>30</v>
          </cell>
          <cell r="L496">
            <v>3300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polygon</v>
          </cell>
          <cell r="T496">
            <v>1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14</v>
          </cell>
          <cell r="AD496">
            <v>6</v>
          </cell>
          <cell r="AE496" t="str">
            <v>everyone</v>
          </cell>
        </row>
        <row r="497">
          <cell r="A497" t="str">
            <v>40001_1</v>
          </cell>
          <cell r="B497">
            <v>3</v>
          </cell>
          <cell r="C497">
            <v>40001</v>
          </cell>
          <cell r="D497" t="str">
            <v>アマテラス襲来！</v>
          </cell>
          <cell r="E497" t="str">
            <v>降臨1</v>
          </cell>
          <cell r="F497">
            <v>1</v>
          </cell>
          <cell r="G497" t="str">
            <v>ja</v>
          </cell>
          <cell r="H497" t="str">
            <v xml:space="preserve">【ウィザード級】アマテラス襲来 </v>
          </cell>
          <cell r="I497" t="str">
            <v>地獄級</v>
          </cell>
          <cell r="J497">
            <v>278</v>
          </cell>
          <cell r="K497">
            <v>35</v>
          </cell>
          <cell r="L497">
            <v>4200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901</v>
          </cell>
          <cell r="AD497">
            <v>6</v>
          </cell>
          <cell r="AE497" t="str">
            <v>everyone</v>
          </cell>
        </row>
        <row r="498">
          <cell r="A498" t="str">
            <v>40002_1</v>
          </cell>
          <cell r="B498">
            <v>3</v>
          </cell>
          <cell r="C498">
            <v>40002</v>
          </cell>
          <cell r="D498" t="str">
            <v>アザゼル襲来！</v>
          </cell>
          <cell r="E498" t="str">
            <v>降臨2</v>
          </cell>
          <cell r="F498">
            <v>1</v>
          </cell>
          <cell r="G498" t="str">
            <v>ja</v>
          </cell>
          <cell r="H498" t="str">
            <v xml:space="preserve">【超級】アザゼル襲来 </v>
          </cell>
          <cell r="I498" t="str">
            <v>超級</v>
          </cell>
          <cell r="J498">
            <v>296</v>
          </cell>
          <cell r="K498">
            <v>25</v>
          </cell>
          <cell r="L498">
            <v>2000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902</v>
          </cell>
          <cell r="AD498">
            <v>6</v>
          </cell>
          <cell r="AE498" t="str">
            <v>everyone</v>
          </cell>
        </row>
        <row r="499">
          <cell r="A499" t="str">
            <v>40002_2</v>
          </cell>
          <cell r="B499">
            <v>3</v>
          </cell>
          <cell r="C499">
            <v>40002</v>
          </cell>
          <cell r="D499" t="str">
            <v>アザゼル襲来！</v>
          </cell>
          <cell r="E499" t="str">
            <v>降臨2</v>
          </cell>
          <cell r="F499">
            <v>2</v>
          </cell>
          <cell r="G499" t="str">
            <v>ja</v>
          </cell>
          <cell r="H499" t="str">
            <v>【超絶級】アザゼル襲来</v>
          </cell>
          <cell r="I499" t="str">
            <v>超絶級</v>
          </cell>
          <cell r="J499">
            <v>297</v>
          </cell>
          <cell r="K499">
            <v>30</v>
          </cell>
          <cell r="L499">
            <v>3300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902</v>
          </cell>
          <cell r="AD499">
            <v>6</v>
          </cell>
          <cell r="AE499" t="str">
            <v>everyone</v>
          </cell>
        </row>
        <row r="500">
          <cell r="A500" t="str">
            <v>40002_3</v>
          </cell>
          <cell r="B500">
            <v>3</v>
          </cell>
          <cell r="C500">
            <v>40002</v>
          </cell>
          <cell r="D500" t="str">
            <v>アザゼル襲来！</v>
          </cell>
          <cell r="E500" t="str">
            <v>降臨2</v>
          </cell>
          <cell r="F500">
            <v>3</v>
          </cell>
          <cell r="G500" t="str">
            <v>ja</v>
          </cell>
          <cell r="H500" t="str">
            <v xml:space="preserve">【ウィザード級】アザゼル襲来 </v>
          </cell>
          <cell r="I500" t="str">
            <v>地獄級</v>
          </cell>
          <cell r="J500">
            <v>297</v>
          </cell>
          <cell r="K500">
            <v>35</v>
          </cell>
          <cell r="L500">
            <v>4200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character</v>
          </cell>
          <cell r="T500">
            <v>296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902</v>
          </cell>
          <cell r="AD500">
            <v>6</v>
          </cell>
          <cell r="AE500" t="str">
            <v>everyone</v>
          </cell>
        </row>
        <row r="501">
          <cell r="A501" t="str">
            <v>40003_1</v>
          </cell>
          <cell r="B501">
            <v>3</v>
          </cell>
          <cell r="C501">
            <v>40003</v>
          </cell>
          <cell r="D501" t="str">
            <v>ジャンヌ襲来！</v>
          </cell>
          <cell r="E501" t="str">
            <v>降臨3</v>
          </cell>
          <cell r="F501">
            <v>1</v>
          </cell>
          <cell r="G501" t="str">
            <v>ja</v>
          </cell>
          <cell r="H501" t="str">
            <v xml:space="preserve">【ウィザード級】ジャンヌ襲来 </v>
          </cell>
          <cell r="I501" t="str">
            <v>地獄級</v>
          </cell>
          <cell r="J501">
            <v>315</v>
          </cell>
          <cell r="K501">
            <v>35</v>
          </cell>
          <cell r="L501">
            <v>4200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character</v>
          </cell>
          <cell r="T501">
            <v>314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903</v>
          </cell>
          <cell r="AD501">
            <v>6</v>
          </cell>
          <cell r="AE501" t="str">
            <v>everyone</v>
          </cell>
        </row>
        <row r="502">
          <cell r="A502" t="str">
            <v>40004_1</v>
          </cell>
          <cell r="B502">
            <v>3</v>
          </cell>
          <cell r="C502">
            <v>40004</v>
          </cell>
          <cell r="D502" t="str">
            <v>宮本武蔵襲来！</v>
          </cell>
          <cell r="E502" t="str">
            <v>降臨4</v>
          </cell>
          <cell r="F502">
            <v>1</v>
          </cell>
          <cell r="G502" t="str">
            <v>ja</v>
          </cell>
          <cell r="H502" t="str">
            <v xml:space="preserve">【ウィザード級】宮本武蔵襲来 </v>
          </cell>
          <cell r="I502" t="str">
            <v>地獄級</v>
          </cell>
          <cell r="J502">
            <v>427</v>
          </cell>
          <cell r="K502">
            <v>35</v>
          </cell>
          <cell r="L502">
            <v>4200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character</v>
          </cell>
          <cell r="T502">
            <v>426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904</v>
          </cell>
          <cell r="AD502">
            <v>6</v>
          </cell>
          <cell r="AE502" t="str">
            <v>everyone</v>
          </cell>
        </row>
        <row r="503">
          <cell r="A503" t="str">
            <v>40005_1</v>
          </cell>
          <cell r="B503">
            <v>3</v>
          </cell>
          <cell r="C503">
            <v>40005</v>
          </cell>
          <cell r="D503" t="str">
            <v>オズ襲来！</v>
          </cell>
          <cell r="E503" t="str">
            <v>降臨5</v>
          </cell>
          <cell r="F503">
            <v>1</v>
          </cell>
          <cell r="G503" t="str">
            <v>ja</v>
          </cell>
          <cell r="H503" t="str">
            <v xml:space="preserve">【ウィザード級】オズ襲来 </v>
          </cell>
          <cell r="I503" t="str">
            <v>地獄級</v>
          </cell>
          <cell r="J503">
            <v>461</v>
          </cell>
          <cell r="K503">
            <v>35</v>
          </cell>
          <cell r="L503">
            <v>4200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character</v>
          </cell>
          <cell r="T503">
            <v>460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906</v>
          </cell>
          <cell r="AD503">
            <v>6</v>
          </cell>
          <cell r="AE503" t="str">
            <v>everyone</v>
          </cell>
        </row>
        <row r="504">
          <cell r="A504" t="str">
            <v>40006_1</v>
          </cell>
          <cell r="B504">
            <v>3</v>
          </cell>
          <cell r="C504">
            <v>40006</v>
          </cell>
          <cell r="D504" t="str">
            <v>アーサー襲来！</v>
          </cell>
          <cell r="E504" t="str">
            <v>降臨6</v>
          </cell>
          <cell r="F504">
            <v>1</v>
          </cell>
          <cell r="G504" t="str">
            <v>ja</v>
          </cell>
          <cell r="H504" t="str">
            <v xml:space="preserve">【ウィザード級】アーサー襲来 </v>
          </cell>
          <cell r="I504" t="str">
            <v>地獄級</v>
          </cell>
          <cell r="J504">
            <v>473</v>
          </cell>
          <cell r="K504">
            <v>35</v>
          </cell>
          <cell r="L504">
            <v>4200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character</v>
          </cell>
          <cell r="T504">
            <v>472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907</v>
          </cell>
          <cell r="AD504">
            <v>6</v>
          </cell>
          <cell r="AE504" t="str">
            <v>everyone</v>
          </cell>
        </row>
        <row r="505">
          <cell r="A505" t="str">
            <v>40007_1</v>
          </cell>
          <cell r="B505">
            <v>3</v>
          </cell>
          <cell r="C505">
            <v>40007</v>
          </cell>
          <cell r="D505" t="str">
            <v>グリム襲来！</v>
          </cell>
          <cell r="E505" t="str">
            <v>降臨7</v>
          </cell>
          <cell r="F505">
            <v>1</v>
          </cell>
          <cell r="G505" t="str">
            <v>ja</v>
          </cell>
          <cell r="H505" t="str">
            <v xml:space="preserve">【ウィザード級】グリム襲来 </v>
          </cell>
          <cell r="I505" t="str">
            <v>地獄級</v>
          </cell>
          <cell r="J505">
            <v>491</v>
          </cell>
          <cell r="K505">
            <v>35</v>
          </cell>
          <cell r="L505">
            <v>4200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character</v>
          </cell>
          <cell r="T505">
            <v>490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908</v>
          </cell>
          <cell r="AD505">
            <v>6</v>
          </cell>
          <cell r="AE505" t="str">
            <v>everyone</v>
          </cell>
        </row>
        <row r="506">
          <cell r="A506" t="str">
            <v>40008_1</v>
          </cell>
          <cell r="B506">
            <v>3</v>
          </cell>
          <cell r="C506">
            <v>40008</v>
          </cell>
          <cell r="D506" t="str">
            <v>Gスター襲来！</v>
          </cell>
          <cell r="E506" t="str">
            <v>降臨8</v>
          </cell>
          <cell r="F506">
            <v>1</v>
          </cell>
          <cell r="G506" t="str">
            <v>ja</v>
          </cell>
          <cell r="H506" t="str">
            <v xml:space="preserve">【ウィザード級】Gスター襲来 </v>
          </cell>
          <cell r="I506" t="str">
            <v>地獄級</v>
          </cell>
          <cell r="J506">
            <v>509</v>
          </cell>
          <cell r="K506">
            <v>35</v>
          </cell>
          <cell r="L506">
            <v>4200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character</v>
          </cell>
          <cell r="T506">
            <v>508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2601</v>
          </cell>
          <cell r="AD506">
            <v>6</v>
          </cell>
          <cell r="AE506" t="str">
            <v>everyone</v>
          </cell>
        </row>
        <row r="507">
          <cell r="A507" t="str">
            <v>40009_1</v>
          </cell>
          <cell r="B507">
            <v>3</v>
          </cell>
          <cell r="C507">
            <v>40009</v>
          </cell>
          <cell r="D507" t="str">
            <v>フギンとムニン襲来！</v>
          </cell>
          <cell r="E507" t="str">
            <v>降臨9</v>
          </cell>
          <cell r="F507">
            <v>1</v>
          </cell>
          <cell r="G507" t="str">
            <v>ja</v>
          </cell>
          <cell r="H507" t="str">
            <v xml:space="preserve">【ウィザード級】フギンとムニン襲来 </v>
          </cell>
          <cell r="I507" t="str">
            <v>地獄級</v>
          </cell>
          <cell r="J507">
            <v>582</v>
          </cell>
          <cell r="K507">
            <v>35</v>
          </cell>
          <cell r="L507">
            <v>4200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character</v>
          </cell>
          <cell r="T507">
            <v>581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25</v>
          </cell>
          <cell r="AD507">
            <v>6</v>
          </cell>
          <cell r="AE507" t="str">
            <v>everyone</v>
          </cell>
        </row>
        <row r="508">
          <cell r="A508" t="str">
            <v>40010_1</v>
          </cell>
          <cell r="B508">
            <v>3</v>
          </cell>
          <cell r="C508">
            <v>40010</v>
          </cell>
          <cell r="D508" t="str">
            <v>フレイ襲来！</v>
          </cell>
          <cell r="E508" t="str">
            <v>降臨10</v>
          </cell>
          <cell r="F508">
            <v>1</v>
          </cell>
          <cell r="G508" t="str">
            <v>ja</v>
          </cell>
          <cell r="H508" t="str">
            <v xml:space="preserve">【ウィザード級】フレイ襲来 </v>
          </cell>
          <cell r="I508" t="str">
            <v>地獄級</v>
          </cell>
          <cell r="J508">
            <v>575</v>
          </cell>
          <cell r="K508">
            <v>35</v>
          </cell>
          <cell r="L508">
            <v>4200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character</v>
          </cell>
          <cell r="T508">
            <v>575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912</v>
          </cell>
          <cell r="AD508">
            <v>6</v>
          </cell>
          <cell r="AE508" t="str">
            <v>everyone</v>
          </cell>
        </row>
        <row r="509">
          <cell r="A509" t="str">
            <v>40011_1</v>
          </cell>
          <cell r="B509">
            <v>3</v>
          </cell>
          <cell r="C509">
            <v>40011</v>
          </cell>
          <cell r="D509" t="str">
            <v>ヨミ襲来！</v>
          </cell>
          <cell r="E509" t="str">
            <v>降臨11</v>
          </cell>
          <cell r="F509">
            <v>1</v>
          </cell>
          <cell r="G509" t="str">
            <v>ja</v>
          </cell>
          <cell r="H509" t="str">
            <v xml:space="preserve">【ウィザード級】ヨミ襲来 </v>
          </cell>
          <cell r="I509" t="str">
            <v>地獄級</v>
          </cell>
          <cell r="J509">
            <v>655</v>
          </cell>
          <cell r="K509">
            <v>35</v>
          </cell>
          <cell r="L509">
            <v>4200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character</v>
          </cell>
          <cell r="T509">
            <v>654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913</v>
          </cell>
          <cell r="AD509">
            <v>6</v>
          </cell>
          <cell r="AE509" t="str">
            <v>everyone</v>
          </cell>
        </row>
        <row r="510">
          <cell r="A510" t="str">
            <v>40012_1</v>
          </cell>
          <cell r="B510">
            <v>3</v>
          </cell>
          <cell r="C510">
            <v>40012</v>
          </cell>
          <cell r="D510" t="str">
            <v>ショウキ襲来！</v>
          </cell>
          <cell r="E510" t="str">
            <v>降臨12</v>
          </cell>
          <cell r="F510">
            <v>1</v>
          </cell>
          <cell r="G510" t="str">
            <v>ja</v>
          </cell>
          <cell r="H510" t="str">
            <v xml:space="preserve">【ウィザード級】ショウキ襲来 </v>
          </cell>
          <cell r="I510" t="str">
            <v>地獄級</v>
          </cell>
          <cell r="J510">
            <v>645</v>
          </cell>
          <cell r="K510">
            <v>35</v>
          </cell>
          <cell r="L510">
            <v>4200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character</v>
          </cell>
          <cell r="T510">
            <v>644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915</v>
          </cell>
          <cell r="AD510">
            <v>6</v>
          </cell>
          <cell r="AE510" t="str">
            <v>everyone</v>
          </cell>
        </row>
        <row r="511">
          <cell r="A511" t="str">
            <v>40013_1</v>
          </cell>
          <cell r="B511">
            <v>3</v>
          </cell>
          <cell r="C511">
            <v>40013</v>
          </cell>
          <cell r="D511" t="str">
            <v>カーマ襲来！</v>
          </cell>
          <cell r="E511" t="str">
            <v>降臨13</v>
          </cell>
          <cell r="F511">
            <v>1</v>
          </cell>
          <cell r="G511" t="str">
            <v>ja</v>
          </cell>
          <cell r="H511" t="str">
            <v xml:space="preserve">【ウィザード級】カーマ襲来 </v>
          </cell>
          <cell r="I511" t="str">
            <v>地獄級</v>
          </cell>
          <cell r="J511">
            <v>643</v>
          </cell>
          <cell r="K511">
            <v>35</v>
          </cell>
          <cell r="L511">
            <v>4200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0</v>
          </cell>
          <cell r="R511">
            <v>3</v>
          </cell>
          <cell r="S511" t="str">
            <v>character</v>
          </cell>
          <cell r="T511">
            <v>642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916</v>
          </cell>
          <cell r="AD511">
            <v>6</v>
          </cell>
          <cell r="AE511" t="str">
            <v>everyone</v>
          </cell>
        </row>
        <row r="512">
          <cell r="A512" t="str">
            <v>40014_1</v>
          </cell>
          <cell r="B512">
            <v>3</v>
          </cell>
          <cell r="C512">
            <v>40014</v>
          </cell>
          <cell r="D512" t="str">
            <v>シヴァ襲来！</v>
          </cell>
          <cell r="E512" t="str">
            <v>降臨14</v>
          </cell>
          <cell r="F512">
            <v>1</v>
          </cell>
          <cell r="G512" t="str">
            <v>ja</v>
          </cell>
          <cell r="H512" t="str">
            <v xml:space="preserve">【ウィザード級】シヴァ襲来 </v>
          </cell>
          <cell r="I512" t="str">
            <v>地獄級</v>
          </cell>
          <cell r="J512">
            <v>657</v>
          </cell>
          <cell r="K512">
            <v>35</v>
          </cell>
          <cell r="L512">
            <v>4200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character</v>
          </cell>
          <cell r="T512">
            <v>656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916</v>
          </cell>
          <cell r="AD512">
            <v>6</v>
          </cell>
          <cell r="AE512" t="str">
            <v>everyone</v>
          </cell>
        </row>
        <row r="513">
          <cell r="A513" t="str">
            <v>40015_1</v>
          </cell>
          <cell r="B513">
            <v>3</v>
          </cell>
          <cell r="C513">
            <v>40015</v>
          </cell>
          <cell r="D513" t="str">
            <v>ガレス襲来！</v>
          </cell>
          <cell r="E513" t="str">
            <v>降臨15</v>
          </cell>
          <cell r="F513">
            <v>1</v>
          </cell>
          <cell r="G513" t="str">
            <v>ja</v>
          </cell>
          <cell r="H513" t="str">
            <v xml:space="preserve">【ウィザード級】ガレス襲来 </v>
          </cell>
          <cell r="I513" t="str">
            <v>地獄級</v>
          </cell>
          <cell r="J513">
            <v>769</v>
          </cell>
          <cell r="K513">
            <v>35</v>
          </cell>
          <cell r="L513">
            <v>4200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character</v>
          </cell>
          <cell r="T513">
            <v>768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907</v>
          </cell>
          <cell r="AD513">
            <v>6</v>
          </cell>
          <cell r="AE513" t="str">
            <v>everyone</v>
          </cell>
        </row>
        <row r="514">
          <cell r="A514" t="str">
            <v>40016_1</v>
          </cell>
          <cell r="B514">
            <v>3</v>
          </cell>
          <cell r="C514">
            <v>40016</v>
          </cell>
          <cell r="D514" t="str">
            <v>武田信玄襲来！</v>
          </cell>
          <cell r="E514" t="str">
            <v>降臨16</v>
          </cell>
          <cell r="F514">
            <v>1</v>
          </cell>
          <cell r="G514" t="str">
            <v>ja</v>
          </cell>
          <cell r="H514" t="str">
            <v xml:space="preserve">【ウィザード級】武田信玄襲来 </v>
          </cell>
          <cell r="I514" t="str">
            <v>地獄級</v>
          </cell>
          <cell r="J514">
            <v>725</v>
          </cell>
          <cell r="K514">
            <v>40</v>
          </cell>
          <cell r="L514">
            <v>4200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polygon</v>
          </cell>
          <cell r="T514">
            <v>1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919</v>
          </cell>
          <cell r="AD514">
            <v>6</v>
          </cell>
          <cell r="AE514" t="str">
            <v>everyone</v>
          </cell>
        </row>
        <row r="515">
          <cell r="A515" t="str">
            <v>40016_2</v>
          </cell>
          <cell r="B515">
            <v>3</v>
          </cell>
          <cell r="C515">
            <v>40016</v>
          </cell>
          <cell r="D515" t="str">
            <v>武田信玄襲来！</v>
          </cell>
          <cell r="E515" t="str">
            <v>降臨16</v>
          </cell>
          <cell r="F515">
            <v>2</v>
          </cell>
          <cell r="G515" t="str">
            <v>ja</v>
          </cell>
          <cell r="H515" t="str">
            <v xml:space="preserve">【ノーコンテニュー】武田信玄襲来 </v>
          </cell>
          <cell r="I515" t="str">
            <v>地獄級</v>
          </cell>
          <cell r="J515">
            <v>725</v>
          </cell>
          <cell r="K515">
            <v>40</v>
          </cell>
          <cell r="L515">
            <v>4200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919</v>
          </cell>
          <cell r="AD515">
            <v>6</v>
          </cell>
          <cell r="AE515" t="str">
            <v>everyone</v>
          </cell>
        </row>
        <row r="516">
          <cell r="A516" t="str">
            <v>40017_1</v>
          </cell>
          <cell r="B516">
            <v>1</v>
          </cell>
          <cell r="C516">
            <v>40017</v>
          </cell>
          <cell r="D516" t="str">
            <v>ベルゼブブ襲来！</v>
          </cell>
          <cell r="E516" t="str">
            <v>降臨17</v>
          </cell>
          <cell r="F516">
            <v>1</v>
          </cell>
          <cell r="G516" t="str">
            <v>ja</v>
          </cell>
          <cell r="H516" t="str">
            <v>【超絶級】ベルゼブブ襲来 ！</v>
          </cell>
          <cell r="I516" t="str">
            <v>地獄級</v>
          </cell>
          <cell r="J516">
            <v>1</v>
          </cell>
          <cell r="K516">
            <v>35</v>
          </cell>
          <cell r="L516">
            <v>4200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polygon</v>
          </cell>
          <cell r="T516">
            <v>1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919</v>
          </cell>
          <cell r="AD516">
            <v>6</v>
          </cell>
          <cell r="AE516" t="str">
            <v>everyone</v>
          </cell>
        </row>
        <row r="517">
          <cell r="A517" t="str">
            <v>40017_2</v>
          </cell>
          <cell r="B517">
            <v>1</v>
          </cell>
          <cell r="C517">
            <v>40017</v>
          </cell>
          <cell r="D517" t="str">
            <v>ベルゼブブ襲来！</v>
          </cell>
          <cell r="E517" t="str">
            <v>降臨17</v>
          </cell>
          <cell r="F517">
            <v>2</v>
          </cell>
          <cell r="G517" t="str">
            <v>ja</v>
          </cell>
          <cell r="H517" t="str">
            <v>【ウィザード級】ベルゼブブ襲来！</v>
          </cell>
          <cell r="I517" t="str">
            <v>地獄級</v>
          </cell>
          <cell r="J517">
            <v>1</v>
          </cell>
          <cell r="K517">
            <v>35</v>
          </cell>
          <cell r="L517">
            <v>4200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polygon</v>
          </cell>
          <cell r="T517">
            <v>1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919</v>
          </cell>
          <cell r="AD517">
            <v>6</v>
          </cell>
          <cell r="AE517" t="str">
            <v>everyone</v>
          </cell>
        </row>
        <row r="518">
          <cell r="A518" t="str">
            <v>40017_3</v>
          </cell>
          <cell r="B518">
            <v>1</v>
          </cell>
          <cell r="C518">
            <v>40017</v>
          </cell>
          <cell r="D518" t="str">
            <v>ベルゼブブ襲来！</v>
          </cell>
          <cell r="E518" t="str">
            <v>降臨17</v>
          </cell>
          <cell r="F518">
            <v>3</v>
          </cell>
          <cell r="G518" t="str">
            <v>ja</v>
          </cell>
          <cell r="H518" t="str">
            <v>【ノーコンテニュー】ベルゼブブ襲来！</v>
          </cell>
          <cell r="I518" t="str">
            <v>地獄級</v>
          </cell>
          <cell r="J518">
            <v>1</v>
          </cell>
          <cell r="K518">
            <v>35</v>
          </cell>
          <cell r="L518">
            <v>4200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919</v>
          </cell>
          <cell r="AD518">
            <v>6</v>
          </cell>
          <cell r="AE518" t="str">
            <v>everyone</v>
          </cell>
        </row>
        <row r="519">
          <cell r="A519" t="str">
            <v>41001_1</v>
          </cell>
          <cell r="B519">
            <v>3</v>
          </cell>
          <cell r="C519">
            <v>41001</v>
          </cell>
          <cell r="D519" t="str">
            <v>アマテラス襲来！</v>
          </cell>
          <cell r="E519" t="str">
            <v>降臨1</v>
          </cell>
          <cell r="F519">
            <v>1</v>
          </cell>
          <cell r="G519" t="str">
            <v>ja</v>
          </cell>
          <cell r="H519" t="str">
            <v>【超絶級】アマテラス襲来！</v>
          </cell>
          <cell r="I519" t="str">
            <v>超絶級</v>
          </cell>
          <cell r="J519">
            <v>278</v>
          </cell>
          <cell r="K519">
            <v>35</v>
          </cell>
          <cell r="L519">
            <v>4200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polygon</v>
          </cell>
          <cell r="T519">
            <v>1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901</v>
          </cell>
          <cell r="AD519">
            <v>6</v>
          </cell>
          <cell r="AE519" t="str">
            <v>everyone</v>
          </cell>
        </row>
        <row r="520">
          <cell r="A520" t="str">
            <v>41001_2</v>
          </cell>
          <cell r="B520">
            <v>3</v>
          </cell>
          <cell r="C520">
            <v>41001</v>
          </cell>
          <cell r="D520" t="str">
            <v>アマテラス襲来！</v>
          </cell>
          <cell r="E520" t="str">
            <v>降臨1</v>
          </cell>
          <cell r="F520">
            <v>2</v>
          </cell>
          <cell r="G520" t="str">
            <v>ja</v>
          </cell>
          <cell r="H520" t="str">
            <v>【ウィザード級】アマテラス襲来！</v>
          </cell>
          <cell r="I520" t="str">
            <v>地獄級</v>
          </cell>
          <cell r="J520">
            <v>278</v>
          </cell>
          <cell r="K520">
            <v>40</v>
          </cell>
          <cell r="L520">
            <v>4200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polygon</v>
          </cell>
          <cell r="T520">
            <v>1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901</v>
          </cell>
          <cell r="AD520">
            <v>6</v>
          </cell>
          <cell r="AE520" t="str">
            <v>everyone</v>
          </cell>
        </row>
        <row r="521">
          <cell r="A521" t="str">
            <v>41001_3</v>
          </cell>
          <cell r="B521">
            <v>3</v>
          </cell>
          <cell r="C521">
            <v>41001</v>
          </cell>
          <cell r="D521" t="str">
            <v>アマテラス襲来！</v>
          </cell>
          <cell r="E521" t="str">
            <v>降臨1</v>
          </cell>
          <cell r="F521">
            <v>3</v>
          </cell>
          <cell r="G521" t="str">
            <v>ja</v>
          </cell>
          <cell r="H521" t="str">
            <v>【ノーコンテニュー】アマテラス襲来！</v>
          </cell>
          <cell r="I521" t="str">
            <v>地獄級</v>
          </cell>
          <cell r="J521">
            <v>278</v>
          </cell>
          <cell r="K521">
            <v>40</v>
          </cell>
          <cell r="L521">
            <v>4200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901</v>
          </cell>
          <cell r="AD521">
            <v>6</v>
          </cell>
          <cell r="AE521" t="str">
            <v>everyone</v>
          </cell>
        </row>
        <row r="522">
          <cell r="A522" t="str">
            <v>41002_1</v>
          </cell>
          <cell r="B522">
            <v>3</v>
          </cell>
          <cell r="C522">
            <v>41002</v>
          </cell>
          <cell r="D522" t="str">
            <v>アザゼル襲来！</v>
          </cell>
          <cell r="E522" t="str">
            <v>降臨1</v>
          </cell>
          <cell r="F522">
            <v>1</v>
          </cell>
          <cell r="G522" t="str">
            <v>ja</v>
          </cell>
          <cell r="H522" t="str">
            <v>【超絶級】アザゼル襲来！</v>
          </cell>
          <cell r="I522" t="str">
            <v>超絶級</v>
          </cell>
          <cell r="J522">
            <v>296</v>
          </cell>
          <cell r="K522">
            <v>35</v>
          </cell>
          <cell r="L522">
            <v>4200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902</v>
          </cell>
          <cell r="AD522">
            <v>6</v>
          </cell>
          <cell r="AE522" t="str">
            <v>everyone</v>
          </cell>
        </row>
        <row r="523">
          <cell r="A523" t="str">
            <v>41002_2</v>
          </cell>
          <cell r="B523">
            <v>3</v>
          </cell>
          <cell r="C523">
            <v>41002</v>
          </cell>
          <cell r="D523" t="str">
            <v>アザゼル襲来！</v>
          </cell>
          <cell r="E523" t="str">
            <v>降臨1</v>
          </cell>
          <cell r="F523">
            <v>2</v>
          </cell>
          <cell r="G523" t="str">
            <v>ja</v>
          </cell>
          <cell r="H523" t="str">
            <v>【ウィザード級】アザゼル襲来！</v>
          </cell>
          <cell r="I523" t="str">
            <v>地獄級</v>
          </cell>
          <cell r="J523">
            <v>296</v>
          </cell>
          <cell r="K523">
            <v>40</v>
          </cell>
          <cell r="L523">
            <v>4200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polygon</v>
          </cell>
          <cell r="T523">
            <v>1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902</v>
          </cell>
          <cell r="AD523">
            <v>6</v>
          </cell>
          <cell r="AE523" t="str">
            <v>everyone</v>
          </cell>
        </row>
        <row r="524">
          <cell r="A524" t="str">
            <v>41002_3</v>
          </cell>
          <cell r="B524">
            <v>3</v>
          </cell>
          <cell r="C524">
            <v>41002</v>
          </cell>
          <cell r="D524" t="str">
            <v>アザゼル襲来！</v>
          </cell>
          <cell r="E524" t="str">
            <v>降臨1</v>
          </cell>
          <cell r="F524">
            <v>3</v>
          </cell>
          <cell r="G524" t="str">
            <v>ja</v>
          </cell>
          <cell r="H524" t="str">
            <v>【ノーコンテニュー】アザゼル襲来！</v>
          </cell>
          <cell r="I524" t="str">
            <v>地獄級</v>
          </cell>
          <cell r="J524">
            <v>296</v>
          </cell>
          <cell r="K524">
            <v>40</v>
          </cell>
          <cell r="L524">
            <v>4200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902</v>
          </cell>
          <cell r="AD524">
            <v>6</v>
          </cell>
          <cell r="AE524" t="str">
            <v>everyone</v>
          </cell>
        </row>
        <row r="525">
          <cell r="A525" t="str">
            <v>41003_1</v>
          </cell>
          <cell r="B525">
            <v>1</v>
          </cell>
          <cell r="C525">
            <v>41003</v>
          </cell>
          <cell r="D525" t="str">
            <v>ジャンヌ襲来！</v>
          </cell>
          <cell r="E525" t="str">
            <v>降臨1</v>
          </cell>
          <cell r="F525">
            <v>1</v>
          </cell>
          <cell r="G525" t="str">
            <v>ja</v>
          </cell>
          <cell r="H525" t="str">
            <v>【超絶級】ジャンヌ襲来</v>
          </cell>
          <cell r="I525" t="str">
            <v>超絶級</v>
          </cell>
          <cell r="J525">
            <v>1</v>
          </cell>
          <cell r="K525">
            <v>35</v>
          </cell>
          <cell r="L525">
            <v>4200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902</v>
          </cell>
          <cell r="AD525">
            <v>6</v>
          </cell>
          <cell r="AE525" t="str">
            <v>everyone</v>
          </cell>
        </row>
        <row r="526">
          <cell r="A526" t="str">
            <v>41003_2</v>
          </cell>
          <cell r="B526">
            <v>1</v>
          </cell>
          <cell r="C526">
            <v>41003</v>
          </cell>
          <cell r="D526" t="str">
            <v>ジャンヌ襲来！</v>
          </cell>
          <cell r="E526" t="str">
            <v>降臨1</v>
          </cell>
          <cell r="F526">
            <v>2</v>
          </cell>
          <cell r="G526" t="str">
            <v>ja</v>
          </cell>
          <cell r="H526" t="str">
            <v>【ウィザード級】ジャンヌ襲来</v>
          </cell>
          <cell r="I526" t="str">
            <v>地獄級</v>
          </cell>
          <cell r="J526">
            <v>1</v>
          </cell>
          <cell r="K526">
            <v>40</v>
          </cell>
          <cell r="L526">
            <v>4200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polygon</v>
          </cell>
          <cell r="T526">
            <v>1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902</v>
          </cell>
          <cell r="AD526">
            <v>6</v>
          </cell>
          <cell r="AE526" t="str">
            <v>everyone</v>
          </cell>
        </row>
        <row r="527">
          <cell r="A527" t="str">
            <v>41003_3</v>
          </cell>
          <cell r="B527">
            <v>1</v>
          </cell>
          <cell r="C527">
            <v>41003</v>
          </cell>
          <cell r="D527" t="str">
            <v>ジャンヌ襲来！</v>
          </cell>
          <cell r="E527" t="str">
            <v>降臨1</v>
          </cell>
          <cell r="F527">
            <v>3</v>
          </cell>
          <cell r="G527" t="str">
            <v>ja</v>
          </cell>
          <cell r="H527" t="str">
            <v>【ノーコンテニュー】ジャンヌ襲来</v>
          </cell>
          <cell r="I527" t="str">
            <v>地獄級</v>
          </cell>
          <cell r="J527">
            <v>1</v>
          </cell>
          <cell r="K527">
            <v>40</v>
          </cell>
          <cell r="L527">
            <v>4200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polygon</v>
          </cell>
          <cell r="T527">
            <v>1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902</v>
          </cell>
          <cell r="AD527">
            <v>6</v>
          </cell>
          <cell r="AE527" t="str">
            <v>everyone</v>
          </cell>
        </row>
        <row r="528">
          <cell r="A528" t="str">
            <v>41004_1</v>
          </cell>
          <cell r="B528">
            <v>1</v>
          </cell>
          <cell r="C528">
            <v>41004</v>
          </cell>
          <cell r="D528" t="str">
            <v>武蔵襲来！</v>
          </cell>
          <cell r="E528" t="str">
            <v>降臨1</v>
          </cell>
          <cell r="F528">
            <v>1</v>
          </cell>
          <cell r="G528" t="str">
            <v>ja</v>
          </cell>
          <cell r="H528" t="str">
            <v>【超絶級】武蔵襲来</v>
          </cell>
          <cell r="I528" t="str">
            <v>超絶級</v>
          </cell>
          <cell r="J528">
            <v>1</v>
          </cell>
          <cell r="K528">
            <v>35</v>
          </cell>
          <cell r="L528">
            <v>4200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902</v>
          </cell>
          <cell r="AD528">
            <v>6</v>
          </cell>
          <cell r="AE528" t="str">
            <v>everyone</v>
          </cell>
        </row>
        <row r="529">
          <cell r="A529" t="str">
            <v>41004_2</v>
          </cell>
          <cell r="B529">
            <v>1</v>
          </cell>
          <cell r="C529">
            <v>41004</v>
          </cell>
          <cell r="D529" t="str">
            <v>武蔵襲来！</v>
          </cell>
          <cell r="E529" t="str">
            <v>降臨1</v>
          </cell>
          <cell r="F529">
            <v>2</v>
          </cell>
          <cell r="G529" t="str">
            <v>ja</v>
          </cell>
          <cell r="H529" t="str">
            <v>【ウィザード級】武蔵襲来</v>
          </cell>
          <cell r="I529" t="str">
            <v>地獄級</v>
          </cell>
          <cell r="J529">
            <v>1</v>
          </cell>
          <cell r="K529">
            <v>40</v>
          </cell>
          <cell r="L529">
            <v>4200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polygon</v>
          </cell>
          <cell r="T529">
            <v>1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902</v>
          </cell>
          <cell r="AD529">
            <v>6</v>
          </cell>
          <cell r="AE529" t="str">
            <v>everyone</v>
          </cell>
        </row>
        <row r="530">
          <cell r="A530" t="str">
            <v>41004_3</v>
          </cell>
          <cell r="B530">
            <v>1</v>
          </cell>
          <cell r="C530">
            <v>41004</v>
          </cell>
          <cell r="D530" t="str">
            <v>武蔵襲来！</v>
          </cell>
          <cell r="E530" t="str">
            <v>降臨1</v>
          </cell>
          <cell r="F530">
            <v>3</v>
          </cell>
          <cell r="G530" t="str">
            <v>ja</v>
          </cell>
          <cell r="H530" t="str">
            <v>【ノーコンテニュー】武蔵襲来</v>
          </cell>
          <cell r="I530" t="str">
            <v>地獄級</v>
          </cell>
          <cell r="J530">
            <v>1</v>
          </cell>
          <cell r="K530">
            <v>40</v>
          </cell>
          <cell r="L530">
            <v>4200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polygon</v>
          </cell>
          <cell r="T530">
            <v>1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902</v>
          </cell>
          <cell r="AD530">
            <v>6</v>
          </cell>
          <cell r="AE530" t="str">
            <v>everyone</v>
          </cell>
        </row>
        <row r="531">
          <cell r="A531" t="str">
            <v>49001_1</v>
          </cell>
          <cell r="B531">
            <v>3</v>
          </cell>
          <cell r="C531">
            <v>49001</v>
          </cell>
          <cell r="D531" t="str">
            <v>熱唱！初音ミクV3</v>
          </cell>
          <cell r="E531" t="str">
            <v>コラボ降臨1</v>
          </cell>
          <cell r="F531">
            <v>1</v>
          </cell>
          <cell r="G531" t="str">
            <v>ja</v>
          </cell>
          <cell r="H531" t="str">
            <v>【ウィザード級】熱唱！初音ミクV3</v>
          </cell>
          <cell r="I531" t="str">
            <v>地獄級</v>
          </cell>
          <cell r="J531">
            <v>528</v>
          </cell>
          <cell r="K531">
            <v>40</v>
          </cell>
          <cell r="L531">
            <v>4200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910</v>
          </cell>
          <cell r="AD531">
            <v>6</v>
          </cell>
          <cell r="AE531" t="str">
            <v>everyone</v>
          </cell>
        </row>
        <row r="532">
          <cell r="A532" t="str">
            <v>49002_1</v>
          </cell>
          <cell r="B532">
            <v>3</v>
          </cell>
          <cell r="C532">
            <v>49002</v>
          </cell>
          <cell r="D532" t="str">
            <v>園原杏里襲来！</v>
          </cell>
          <cell r="E532" t="str">
            <v>コラボ降臨2</v>
          </cell>
          <cell r="F532">
            <v>1</v>
          </cell>
          <cell r="G532" t="str">
            <v>ja</v>
          </cell>
          <cell r="H532" t="str">
            <v>【ウィザード級】園原杏里襲来</v>
          </cell>
          <cell r="I532" t="str">
            <v>地獄級</v>
          </cell>
          <cell r="J532">
            <v>699</v>
          </cell>
          <cell r="K532">
            <v>40</v>
          </cell>
          <cell r="L532">
            <v>4200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polygon</v>
          </cell>
          <cell r="T532">
            <v>1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917</v>
          </cell>
          <cell r="AD532">
            <v>6</v>
          </cell>
          <cell r="AE532" t="str">
            <v>everyone</v>
          </cell>
        </row>
        <row r="533">
          <cell r="A533" t="str">
            <v>49002_2</v>
          </cell>
          <cell r="B533">
            <v>3</v>
          </cell>
          <cell r="C533">
            <v>49002</v>
          </cell>
          <cell r="D533" t="str">
            <v>園原杏里襲来！</v>
          </cell>
          <cell r="E533" t="str">
            <v>コラボ降臨2</v>
          </cell>
          <cell r="F533">
            <v>2</v>
          </cell>
          <cell r="G533" t="str">
            <v>ja</v>
          </cell>
          <cell r="H533" t="str">
            <v>【ノーコンテニュー】園原杏里襲来</v>
          </cell>
          <cell r="I533" t="str">
            <v>地獄級</v>
          </cell>
          <cell r="J533">
            <v>699</v>
          </cell>
          <cell r="K533">
            <v>40</v>
          </cell>
          <cell r="L533">
            <v>4200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polygon</v>
          </cell>
          <cell r="T533">
            <v>1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917</v>
          </cell>
          <cell r="AD533">
            <v>6</v>
          </cell>
          <cell r="AE533" t="str">
            <v>everyone</v>
          </cell>
        </row>
        <row r="534">
          <cell r="A534" t="str">
            <v>49003_1</v>
          </cell>
          <cell r="B534">
            <v>3</v>
          </cell>
          <cell r="C534">
            <v>49003</v>
          </cell>
          <cell r="D534" t="str">
            <v>折原臨也襲来！</v>
          </cell>
          <cell r="E534" t="str">
            <v>コラボ降臨3</v>
          </cell>
          <cell r="F534">
            <v>1</v>
          </cell>
          <cell r="G534" t="str">
            <v>ja</v>
          </cell>
          <cell r="H534" t="str">
            <v>【ウィザード級】折原臨也襲来</v>
          </cell>
          <cell r="I534" t="str">
            <v>地獄級</v>
          </cell>
          <cell r="J534">
            <v>701</v>
          </cell>
          <cell r="K534">
            <v>40</v>
          </cell>
          <cell r="L534">
            <v>4200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918</v>
          </cell>
          <cell r="AD534">
            <v>6</v>
          </cell>
          <cell r="AE534" t="str">
            <v>everyone</v>
          </cell>
        </row>
        <row r="535">
          <cell r="A535" t="str">
            <v>49003_2</v>
          </cell>
          <cell r="B535">
            <v>3</v>
          </cell>
          <cell r="C535">
            <v>49003</v>
          </cell>
          <cell r="D535" t="str">
            <v>折原臨也襲来！</v>
          </cell>
          <cell r="E535" t="str">
            <v>コラボ降臨3</v>
          </cell>
          <cell r="F535">
            <v>2</v>
          </cell>
          <cell r="G535" t="str">
            <v>ja</v>
          </cell>
          <cell r="H535" t="str">
            <v>【ノーコンテニュー】折原臨也襲来</v>
          </cell>
          <cell r="I535" t="str">
            <v>地獄級</v>
          </cell>
          <cell r="J535">
            <v>701</v>
          </cell>
          <cell r="K535">
            <v>40</v>
          </cell>
          <cell r="L535">
            <v>4200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polygon</v>
          </cell>
          <cell r="T535">
            <v>1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918</v>
          </cell>
          <cell r="AD535">
            <v>6</v>
          </cell>
          <cell r="AE535" t="str">
            <v>everyone</v>
          </cell>
        </row>
        <row r="536">
          <cell r="A536" t="str">
            <v>50001_1</v>
          </cell>
          <cell r="B536">
            <v>3</v>
          </cell>
          <cell r="C536">
            <v>50001</v>
          </cell>
          <cell r="D536" t="str">
            <v>麒麟襲来！</v>
          </cell>
          <cell r="E536" t="str">
            <v>超降臨1</v>
          </cell>
          <cell r="F536">
            <v>1</v>
          </cell>
          <cell r="G536" t="str">
            <v>ja</v>
          </cell>
          <cell r="H536" t="str">
            <v xml:space="preserve">【超ウィザード級】麒麟襲来 </v>
          </cell>
          <cell r="I536" t="str">
            <v>超地獄級</v>
          </cell>
          <cell r="J536">
            <v>329</v>
          </cell>
          <cell r="K536">
            <v>40</v>
          </cell>
          <cell r="L536">
            <v>5200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character</v>
          </cell>
          <cell r="T536">
            <v>432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905</v>
          </cell>
          <cell r="AD536">
            <v>6</v>
          </cell>
          <cell r="AE536" t="str">
            <v>everyone</v>
          </cell>
        </row>
        <row r="537">
          <cell r="A537" t="str">
            <v>50002_1</v>
          </cell>
          <cell r="B537">
            <v>3</v>
          </cell>
          <cell r="C537">
            <v>50002</v>
          </cell>
          <cell r="D537" t="str">
            <v>オーディン襲来！</v>
          </cell>
          <cell r="E537" t="str">
            <v>超降臨2</v>
          </cell>
          <cell r="F537">
            <v>1</v>
          </cell>
          <cell r="G537" t="str">
            <v>ja</v>
          </cell>
          <cell r="H537" t="str">
            <v xml:space="preserve">【超ウィザード級】オーディン襲来 </v>
          </cell>
          <cell r="I537" t="str">
            <v>超地獄級</v>
          </cell>
          <cell r="J537">
            <v>331</v>
          </cell>
          <cell r="K537">
            <v>40</v>
          </cell>
          <cell r="L537">
            <v>5200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character</v>
          </cell>
          <cell r="T537">
            <v>573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911</v>
          </cell>
          <cell r="AD537">
            <v>6</v>
          </cell>
          <cell r="AE537" t="str">
            <v>everyone</v>
          </cell>
        </row>
        <row r="538">
          <cell r="A538" t="str">
            <v>50003_1</v>
          </cell>
          <cell r="B538">
            <v>3</v>
          </cell>
          <cell r="C538">
            <v>50003</v>
          </cell>
          <cell r="D538" t="str">
            <v>織田信長襲来！</v>
          </cell>
          <cell r="E538" t="str">
            <v>超降臨3</v>
          </cell>
          <cell r="F538">
            <v>1</v>
          </cell>
          <cell r="G538" t="str">
            <v>ja</v>
          </cell>
          <cell r="H538" t="str">
            <v>【超ウィザード級】織田信長襲来 !</v>
          </cell>
          <cell r="I538" t="str">
            <v>超地獄級</v>
          </cell>
          <cell r="J538">
            <v>567</v>
          </cell>
          <cell r="K538">
            <v>40</v>
          </cell>
          <cell r="L538">
            <v>5200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character</v>
          </cell>
          <cell r="T538">
            <v>726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920</v>
          </cell>
          <cell r="AD538">
            <v>6</v>
          </cell>
          <cell r="AE538" t="str">
            <v>everyone</v>
          </cell>
        </row>
        <row r="539">
          <cell r="A539" t="str">
            <v>60001_1</v>
          </cell>
          <cell r="B539">
            <v>1</v>
          </cell>
          <cell r="C539">
            <v>60001</v>
          </cell>
          <cell r="D539" t="str">
            <v>ヘンペルチャレンジ</v>
          </cell>
          <cell r="E539" t="str">
            <v>ランキング1</v>
          </cell>
          <cell r="F539">
            <v>1</v>
          </cell>
          <cell r="G539" t="str">
            <v>ja</v>
          </cell>
          <cell r="H539" t="str">
            <v>[ウィザード] 第一回</v>
          </cell>
          <cell r="I539" t="str">
            <v>ランキング</v>
          </cell>
          <cell r="J539">
            <v>488</v>
          </cell>
          <cell r="K539">
            <v>5</v>
          </cell>
          <cell r="L539">
            <v>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911</v>
          </cell>
          <cell r="AD539">
            <v>6</v>
          </cell>
          <cell r="AE539" t="str">
            <v>singleonly</v>
          </cell>
        </row>
        <row r="540">
          <cell r="A540" t="str">
            <v>60002_1</v>
          </cell>
          <cell r="B540">
            <v>1</v>
          </cell>
          <cell r="C540">
            <v>60002</v>
          </cell>
          <cell r="D540" t="str">
            <v>ヘンペルチャレンジ</v>
          </cell>
          <cell r="E540" t="str">
            <v>ランキング1</v>
          </cell>
          <cell r="F540">
            <v>1</v>
          </cell>
          <cell r="G540" t="str">
            <v>ja</v>
          </cell>
          <cell r="H540" t="str">
            <v>[超級] 第2回　※Wizと難易度は同じ</v>
          </cell>
          <cell r="I540" t="str">
            <v>ランキング</v>
          </cell>
          <cell r="J540">
            <v>488</v>
          </cell>
          <cell r="K540">
            <v>5</v>
          </cell>
          <cell r="L540">
            <v>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none</v>
          </cell>
          <cell r="T540">
            <v>0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911</v>
          </cell>
          <cell r="AD540">
            <v>6</v>
          </cell>
          <cell r="AE540" t="str">
            <v>singleonly</v>
          </cell>
        </row>
        <row r="541">
          <cell r="A541" t="str">
            <v>60002_2</v>
          </cell>
          <cell r="B541">
            <v>1</v>
          </cell>
          <cell r="C541">
            <v>60002</v>
          </cell>
          <cell r="D541" t="str">
            <v>ヘンペルチャレンジ</v>
          </cell>
          <cell r="E541" t="str">
            <v>ランキング1</v>
          </cell>
          <cell r="F541">
            <v>2</v>
          </cell>
          <cell r="G541" t="str">
            <v>ja</v>
          </cell>
          <cell r="H541" t="str">
            <v>[ウィザード] 第2回　※Wizと難易度は同じ</v>
          </cell>
          <cell r="I541" t="str">
            <v>ランキング</v>
          </cell>
          <cell r="J541">
            <v>488</v>
          </cell>
          <cell r="K541">
            <v>5</v>
          </cell>
          <cell r="L541">
            <v>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911</v>
          </cell>
          <cell r="AD541">
            <v>6</v>
          </cell>
          <cell r="AE541" t="str">
            <v>singleonly</v>
          </cell>
        </row>
        <row r="542">
          <cell r="A542" t="str">
            <v>60003_1</v>
          </cell>
          <cell r="B542">
            <v>1</v>
          </cell>
          <cell r="C542">
            <v>60003</v>
          </cell>
          <cell r="D542" t="str">
            <v>ヘンペルチャレンジ</v>
          </cell>
          <cell r="E542" t="str">
            <v>ランキング1</v>
          </cell>
          <cell r="F542">
            <v>1</v>
          </cell>
          <cell r="G542" t="str">
            <v>ja</v>
          </cell>
          <cell r="H542" t="str">
            <v>[中級] 第3回　</v>
          </cell>
          <cell r="I542" t="str">
            <v>ランキング</v>
          </cell>
          <cell r="J542">
            <v>488</v>
          </cell>
          <cell r="K542">
            <v>5</v>
          </cell>
          <cell r="L542">
            <v>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911</v>
          </cell>
          <cell r="AD542">
            <v>6</v>
          </cell>
          <cell r="AE542" t="str">
            <v>singleonly</v>
          </cell>
        </row>
        <row r="543">
          <cell r="A543" t="str">
            <v>60003_2</v>
          </cell>
          <cell r="B543">
            <v>1</v>
          </cell>
          <cell r="C543">
            <v>60003</v>
          </cell>
          <cell r="D543" t="str">
            <v>ヘンペルチャレンジ</v>
          </cell>
          <cell r="E543" t="str">
            <v>ランキング1</v>
          </cell>
          <cell r="F543">
            <v>2</v>
          </cell>
          <cell r="G543" t="str">
            <v>ja</v>
          </cell>
          <cell r="H543" t="str">
            <v>[超級] 第3回　</v>
          </cell>
          <cell r="I543" t="str">
            <v>ランキング</v>
          </cell>
          <cell r="J543">
            <v>488</v>
          </cell>
          <cell r="K543">
            <v>5</v>
          </cell>
          <cell r="L543">
            <v>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none</v>
          </cell>
          <cell r="T543">
            <v>0</v>
          </cell>
          <cell r="U543">
            <v>60003</v>
          </cell>
          <cell r="V543">
            <v>1</v>
          </cell>
          <cell r="W543" t="str">
            <v>[中級] 第3回　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911</v>
          </cell>
          <cell r="AD543">
            <v>6</v>
          </cell>
          <cell r="AE543" t="str">
            <v>singleonly</v>
          </cell>
        </row>
        <row r="544">
          <cell r="A544" t="str">
            <v>60003_3</v>
          </cell>
          <cell r="B544">
            <v>1</v>
          </cell>
          <cell r="C544">
            <v>60003</v>
          </cell>
          <cell r="D544" t="str">
            <v>ヘンペルチャレンジ</v>
          </cell>
          <cell r="E544" t="str">
            <v>ランキング1</v>
          </cell>
          <cell r="F544">
            <v>3</v>
          </cell>
          <cell r="G544" t="str">
            <v>ja</v>
          </cell>
          <cell r="H544" t="str">
            <v>[ウィザード] 第3回　</v>
          </cell>
          <cell r="I544" t="str">
            <v>ランキング</v>
          </cell>
          <cell r="J544">
            <v>488</v>
          </cell>
          <cell r="K544">
            <v>5</v>
          </cell>
          <cell r="L544">
            <v>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>
            <v>60003</v>
          </cell>
          <cell r="V544">
            <v>2</v>
          </cell>
          <cell r="W544" t="str">
            <v>[超級] 第3回　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911</v>
          </cell>
          <cell r="AD544">
            <v>6</v>
          </cell>
          <cell r="AE544" t="str">
            <v>singleonly</v>
          </cell>
        </row>
        <row r="545">
          <cell r="A545" t="str">
            <v>60004_1</v>
          </cell>
          <cell r="B545">
            <v>1</v>
          </cell>
          <cell r="C545">
            <v>60004</v>
          </cell>
          <cell r="D545" t="str">
            <v>ヘンペルチャレンジ</v>
          </cell>
          <cell r="E545" t="str">
            <v>ランキング1</v>
          </cell>
          <cell r="F545">
            <v>1</v>
          </cell>
          <cell r="G545" t="str">
            <v>ja</v>
          </cell>
          <cell r="H545" t="str">
            <v>[ウィザード] 第4回　</v>
          </cell>
          <cell r="I545" t="str">
            <v>ランキング</v>
          </cell>
          <cell r="J545">
            <v>488</v>
          </cell>
          <cell r="K545">
            <v>5</v>
          </cell>
          <cell r="L545">
            <v>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911</v>
          </cell>
          <cell r="AD545">
            <v>6</v>
          </cell>
          <cell r="AE545" t="str">
            <v>singleonly</v>
          </cell>
        </row>
        <row r="546">
          <cell r="A546" t="str">
            <v>60005_1</v>
          </cell>
          <cell r="B546">
            <v>1</v>
          </cell>
          <cell r="C546">
            <v>60005</v>
          </cell>
          <cell r="D546" t="str">
            <v>オイラーチャレンジ</v>
          </cell>
          <cell r="E546" t="str">
            <v>ランキング1</v>
          </cell>
          <cell r="F546">
            <v>1</v>
          </cell>
          <cell r="G546" t="str">
            <v>ja</v>
          </cell>
          <cell r="H546" t="str">
            <v>[ウィザード] 第5回　</v>
          </cell>
          <cell r="I546" t="str">
            <v>ランキング</v>
          </cell>
          <cell r="J546">
            <v>379</v>
          </cell>
          <cell r="K546">
            <v>5</v>
          </cell>
          <cell r="L546">
            <v>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none</v>
          </cell>
          <cell r="T546">
            <v>0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923</v>
          </cell>
          <cell r="AD546">
            <v>6</v>
          </cell>
          <cell r="AE546" t="str">
            <v>singleonly</v>
          </cell>
        </row>
        <row r="547">
          <cell r="A547" t="str">
            <v>60006_1</v>
          </cell>
          <cell r="B547">
            <v>3</v>
          </cell>
          <cell r="C547">
            <v>60006</v>
          </cell>
          <cell r="D547" t="str">
            <v>オイラーチャレンジ</v>
          </cell>
          <cell r="E547" t="str">
            <v>ランキング1（本番実装用）</v>
          </cell>
          <cell r="F547">
            <v>1</v>
          </cell>
          <cell r="G547" t="str">
            <v>ja</v>
          </cell>
          <cell r="H547" t="str">
            <v>【中級】オイラーチャレンジ</v>
          </cell>
          <cell r="I547" t="str">
            <v>中級</v>
          </cell>
          <cell r="J547">
            <v>378</v>
          </cell>
          <cell r="K547">
            <v>15</v>
          </cell>
          <cell r="L547">
            <v>1200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>
            <v>60006</v>
          </cell>
          <cell r="V547">
            <v>1</v>
          </cell>
          <cell r="W547" t="str">
            <v>【中級】オイラーチャレンジ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923</v>
          </cell>
          <cell r="AD547">
            <v>6</v>
          </cell>
          <cell r="AE547" t="str">
            <v>singleonly</v>
          </cell>
        </row>
        <row r="548">
          <cell r="A548" t="str">
            <v>60006_2</v>
          </cell>
          <cell r="B548">
            <v>3</v>
          </cell>
          <cell r="C548">
            <v>60006</v>
          </cell>
          <cell r="D548" t="str">
            <v>オイラーチャレンジ</v>
          </cell>
          <cell r="E548" t="str">
            <v>ランキング1（本番実装用）</v>
          </cell>
          <cell r="F548">
            <v>2</v>
          </cell>
          <cell r="G548" t="str">
            <v>ja</v>
          </cell>
          <cell r="H548" t="str">
            <v>【超級】オイラーチャレンジ</v>
          </cell>
          <cell r="I548" t="str">
            <v>超級</v>
          </cell>
          <cell r="J548">
            <v>378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none</v>
          </cell>
          <cell r="T548">
            <v>0</v>
          </cell>
          <cell r="U548">
            <v>60006</v>
          </cell>
          <cell r="V548">
            <v>2</v>
          </cell>
          <cell r="W548" t="str">
            <v>【超級】オイラーチャレンジ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923</v>
          </cell>
          <cell r="AD548">
            <v>6</v>
          </cell>
          <cell r="AE548" t="str">
            <v>singleonly</v>
          </cell>
        </row>
        <row r="549">
          <cell r="A549" t="str">
            <v>60006_3</v>
          </cell>
          <cell r="B549">
            <v>3</v>
          </cell>
          <cell r="C549">
            <v>60006</v>
          </cell>
          <cell r="D549" t="str">
            <v>オイラーチャレンジ</v>
          </cell>
          <cell r="E549" t="str">
            <v>ランキング1（本番実装用）</v>
          </cell>
          <cell r="F549">
            <v>3</v>
          </cell>
          <cell r="G549" t="str">
            <v>ja</v>
          </cell>
          <cell r="H549" t="str">
            <v>【ウィザード級】オイラーチャレンジ</v>
          </cell>
          <cell r="I549" t="str">
            <v>ウィザード級</v>
          </cell>
          <cell r="J549">
            <v>379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none</v>
          </cell>
          <cell r="T549">
            <v>0</v>
          </cell>
          <cell r="U549">
            <v>60006</v>
          </cell>
          <cell r="V549">
            <v>3</v>
          </cell>
          <cell r="W549" t="str">
            <v>【ウィザード級】オイラーチャレンジ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923</v>
          </cell>
          <cell r="AD549">
            <v>6</v>
          </cell>
          <cell r="AE549" t="str">
            <v>singleonly</v>
          </cell>
        </row>
        <row r="550">
          <cell r="A550" t="str">
            <v>60007_1</v>
          </cell>
          <cell r="B550">
            <v>1</v>
          </cell>
          <cell r="C550">
            <v>60007</v>
          </cell>
          <cell r="D550" t="str">
            <v>オイラーチャレンジ</v>
          </cell>
          <cell r="E550" t="str">
            <v>ランキング1</v>
          </cell>
          <cell r="F550">
            <v>1</v>
          </cell>
          <cell r="G550" t="str">
            <v>ja</v>
          </cell>
          <cell r="H550" t="str">
            <v>【中級】オイラーチャレンジ</v>
          </cell>
          <cell r="I550" t="str">
            <v>中級</v>
          </cell>
          <cell r="J550">
            <v>378</v>
          </cell>
          <cell r="K550">
            <v>15</v>
          </cell>
          <cell r="L550">
            <v>1200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>
            <v>60006</v>
          </cell>
          <cell r="V550" t="str">
            <v>NULL</v>
          </cell>
          <cell r="W550" t="e">
            <v>#N/A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923</v>
          </cell>
          <cell r="AD550">
            <v>6</v>
          </cell>
          <cell r="AE550" t="str">
            <v>singleonly</v>
          </cell>
        </row>
        <row r="551">
          <cell r="A551" t="str">
            <v>60007_2</v>
          </cell>
          <cell r="B551">
            <v>1</v>
          </cell>
          <cell r="C551">
            <v>60007</v>
          </cell>
          <cell r="D551" t="str">
            <v>オイラーチャレンジ</v>
          </cell>
          <cell r="E551" t="str">
            <v>ランキング1</v>
          </cell>
          <cell r="F551">
            <v>2</v>
          </cell>
          <cell r="G551" t="str">
            <v>ja</v>
          </cell>
          <cell r="H551" t="str">
            <v>【超級】オイラーチャレンジ</v>
          </cell>
          <cell r="I551" t="str">
            <v>超級</v>
          </cell>
          <cell r="J551">
            <v>378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>
            <v>60006</v>
          </cell>
          <cell r="V551" t="str">
            <v>NULL</v>
          </cell>
          <cell r="W551" t="e">
            <v>#N/A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923</v>
          </cell>
          <cell r="AD551">
            <v>6</v>
          </cell>
          <cell r="AE551" t="str">
            <v>singleonly</v>
          </cell>
        </row>
        <row r="552">
          <cell r="A552" t="str">
            <v>60007_3</v>
          </cell>
          <cell r="B552">
            <v>1</v>
          </cell>
          <cell r="C552">
            <v>60007</v>
          </cell>
          <cell r="D552" t="str">
            <v>オイラーチャレンジ</v>
          </cell>
          <cell r="E552" t="str">
            <v>ランキング1</v>
          </cell>
          <cell r="F552">
            <v>3</v>
          </cell>
          <cell r="G552" t="str">
            <v>ja</v>
          </cell>
          <cell r="H552" t="str">
            <v>【ウィザード級】オイラーチャレンジ</v>
          </cell>
          <cell r="I552" t="str">
            <v>ウィザード級</v>
          </cell>
          <cell r="J552">
            <v>379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none</v>
          </cell>
          <cell r="T552">
            <v>0</v>
          </cell>
          <cell r="U552">
            <v>60006</v>
          </cell>
          <cell r="V552" t="str">
            <v>NULL</v>
          </cell>
          <cell r="W552" t="e">
            <v>#N/A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923</v>
          </cell>
          <cell r="AD552">
            <v>6</v>
          </cell>
          <cell r="AE552" t="str">
            <v>singleonly</v>
          </cell>
        </row>
        <row r="553">
          <cell r="A553" t="str">
            <v>60007_4</v>
          </cell>
          <cell r="B553">
            <v>1</v>
          </cell>
          <cell r="C553">
            <v>60007</v>
          </cell>
          <cell r="D553" t="str">
            <v>オイラーチャレンジ</v>
          </cell>
          <cell r="E553" t="str">
            <v>ランキング1</v>
          </cell>
          <cell r="F553">
            <v>4</v>
          </cell>
          <cell r="G553" t="str">
            <v>ja</v>
          </cell>
          <cell r="H553" t="str">
            <v>【中級】オイラーチャレンジ改</v>
          </cell>
          <cell r="I553" t="str">
            <v>中級</v>
          </cell>
          <cell r="J553">
            <v>378</v>
          </cell>
          <cell r="K553">
            <v>15</v>
          </cell>
          <cell r="L553">
            <v>1200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>
            <v>60006</v>
          </cell>
          <cell r="V553" t="str">
            <v>NULL</v>
          </cell>
          <cell r="W553" t="e">
            <v>#N/A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923</v>
          </cell>
          <cell r="AD553">
            <v>6</v>
          </cell>
          <cell r="AE553" t="str">
            <v>singleonly</v>
          </cell>
        </row>
        <row r="554">
          <cell r="A554" t="str">
            <v>60007_5</v>
          </cell>
          <cell r="B554">
            <v>1</v>
          </cell>
          <cell r="C554">
            <v>60007</v>
          </cell>
          <cell r="D554" t="str">
            <v>オイラーチャレンジ</v>
          </cell>
          <cell r="E554" t="str">
            <v>ランキング1</v>
          </cell>
          <cell r="F554">
            <v>5</v>
          </cell>
          <cell r="G554" t="str">
            <v>ja</v>
          </cell>
          <cell r="H554" t="str">
            <v>【超級】オイラーチャレンジ改</v>
          </cell>
          <cell r="I554" t="str">
            <v>超級</v>
          </cell>
          <cell r="J554">
            <v>378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none</v>
          </cell>
          <cell r="T554">
            <v>0</v>
          </cell>
          <cell r="U554">
            <v>60006</v>
          </cell>
          <cell r="V554" t="str">
            <v>NULL</v>
          </cell>
          <cell r="W554" t="e">
            <v>#N/A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923</v>
          </cell>
          <cell r="AD554">
            <v>6</v>
          </cell>
          <cell r="AE554" t="str">
            <v>singleonly</v>
          </cell>
        </row>
        <row r="555">
          <cell r="A555" t="str">
            <v>60007_6</v>
          </cell>
          <cell r="B555">
            <v>1</v>
          </cell>
          <cell r="C555">
            <v>60007</v>
          </cell>
          <cell r="D555" t="str">
            <v>オイラーチャレンジ</v>
          </cell>
          <cell r="E555" t="str">
            <v>ランキング1</v>
          </cell>
          <cell r="F555">
            <v>6</v>
          </cell>
          <cell r="G555" t="str">
            <v>ja</v>
          </cell>
          <cell r="H555" t="str">
            <v>【ウィザード級】オイラーチャレンジ改</v>
          </cell>
          <cell r="I555" t="str">
            <v>ウィザード級</v>
          </cell>
          <cell r="J555">
            <v>379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none</v>
          </cell>
          <cell r="T555">
            <v>0</v>
          </cell>
          <cell r="U555">
            <v>60006</v>
          </cell>
          <cell r="V555" t="str">
            <v>NULL</v>
          </cell>
          <cell r="W555" t="e">
            <v>#N/A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923</v>
          </cell>
          <cell r="AD555">
            <v>6</v>
          </cell>
          <cell r="AE555" t="str">
            <v>singleonly</v>
          </cell>
        </row>
        <row r="556">
          <cell r="A556" t="str">
            <v>60010_1</v>
          </cell>
          <cell r="B556">
            <v>1</v>
          </cell>
          <cell r="C556">
            <v>60010</v>
          </cell>
          <cell r="D556" t="str">
            <v>ハップルチャレンジ</v>
          </cell>
          <cell r="E556" t="str">
            <v>ランキング2（ハップル）</v>
          </cell>
          <cell r="F556">
            <v>1</v>
          </cell>
          <cell r="G556" t="str">
            <v>ja</v>
          </cell>
          <cell r="H556" t="str">
            <v>【中級】ハップルチャレンジ</v>
          </cell>
          <cell r="I556" t="str">
            <v>中級</v>
          </cell>
          <cell r="J556">
            <v>489</v>
          </cell>
          <cell r="K556">
            <v>35</v>
          </cell>
          <cell r="L556">
            <v>4200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none</v>
          </cell>
          <cell r="T556">
            <v>0</v>
          </cell>
          <cell r="U556">
            <v>60010</v>
          </cell>
          <cell r="V556">
            <v>1</v>
          </cell>
          <cell r="W556" t="str">
            <v>【中級】ハップルチャレンジ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923</v>
          </cell>
          <cell r="AD556">
            <v>6</v>
          </cell>
          <cell r="AE556" t="str">
            <v>singleonly</v>
          </cell>
        </row>
        <row r="557">
          <cell r="A557" t="str">
            <v>60010_2</v>
          </cell>
          <cell r="B557">
            <v>1</v>
          </cell>
          <cell r="C557">
            <v>60010</v>
          </cell>
          <cell r="D557" t="str">
            <v>ハップルチャレンジ</v>
          </cell>
          <cell r="E557" t="str">
            <v>ランキング2（ハップル）</v>
          </cell>
          <cell r="F557">
            <v>2</v>
          </cell>
          <cell r="G557" t="str">
            <v>ja</v>
          </cell>
          <cell r="H557" t="str">
            <v>【超級】ハップルチャレンジ</v>
          </cell>
          <cell r="I557" t="str">
            <v>超級</v>
          </cell>
          <cell r="J557">
            <v>489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none</v>
          </cell>
          <cell r="T557">
            <v>0</v>
          </cell>
          <cell r="U557">
            <v>60010</v>
          </cell>
          <cell r="V557">
            <v>2</v>
          </cell>
          <cell r="W557" t="str">
            <v>【超級】ハップルチャレンジ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923</v>
          </cell>
          <cell r="AD557">
            <v>6</v>
          </cell>
          <cell r="AE557" t="str">
            <v>singleonly</v>
          </cell>
        </row>
        <row r="558">
          <cell r="A558" t="str">
            <v>60010_3</v>
          </cell>
          <cell r="B558">
            <v>1</v>
          </cell>
          <cell r="C558">
            <v>60010</v>
          </cell>
          <cell r="D558" t="str">
            <v>ハップルチャレンジ</v>
          </cell>
          <cell r="E558" t="str">
            <v>ランキング2（ハップル）</v>
          </cell>
          <cell r="F558">
            <v>3</v>
          </cell>
          <cell r="G558" t="str">
            <v>ja</v>
          </cell>
          <cell r="H558" t="str">
            <v>【ウィザード級】ハップルチャレンジ</v>
          </cell>
          <cell r="I558" t="str">
            <v>ウィザード級</v>
          </cell>
          <cell r="J558">
            <v>1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none</v>
          </cell>
          <cell r="T558">
            <v>0</v>
          </cell>
          <cell r="U558">
            <v>60010</v>
          </cell>
          <cell r="V558">
            <v>3</v>
          </cell>
          <cell r="W558" t="str">
            <v>【ウィザード級】ハップルチャレンジ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923</v>
          </cell>
          <cell r="AD558">
            <v>6</v>
          </cell>
          <cell r="AE558" t="str">
            <v>singleonly</v>
          </cell>
        </row>
        <row r="559">
          <cell r="A559" t="str">
            <v>65535_1</v>
          </cell>
          <cell r="B559">
            <v>1</v>
          </cell>
          <cell r="C559">
            <v>65535</v>
          </cell>
          <cell r="D559" t="str">
            <v>検証クエスト</v>
          </cell>
          <cell r="E559" t="str">
            <v>検証</v>
          </cell>
          <cell r="F559">
            <v>1</v>
          </cell>
          <cell r="G559" t="str">
            <v>ja</v>
          </cell>
          <cell r="H559" t="str">
            <v>テンプレート</v>
          </cell>
          <cell r="I559" t="str">
            <v>検証</v>
          </cell>
          <cell r="J559" t="str">
            <v>NULL</v>
          </cell>
          <cell r="K559">
            <v>1</v>
          </cell>
          <cell r="L559">
            <v>1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903</v>
          </cell>
          <cell r="AD559">
            <v>6</v>
          </cell>
          <cell r="AE559" t="str">
            <v>everyone</v>
          </cell>
        </row>
        <row r="560">
          <cell r="A560" t="str">
            <v>65535_2</v>
          </cell>
          <cell r="B560">
            <v>1</v>
          </cell>
          <cell r="C560">
            <v>65535</v>
          </cell>
          <cell r="D560" t="str">
            <v>検証クエスト</v>
          </cell>
          <cell r="E560" t="str">
            <v>検証</v>
          </cell>
          <cell r="F560">
            <v>2</v>
          </cell>
          <cell r="G560" t="str">
            <v>ja</v>
          </cell>
          <cell r="H560" t="str">
            <v>ランクアップクエスト</v>
          </cell>
          <cell r="I560" t="str">
            <v>検証</v>
          </cell>
          <cell r="J560" t="str">
            <v>NULL</v>
          </cell>
          <cell r="K560">
            <v>1</v>
          </cell>
          <cell r="L560">
            <v>65535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none</v>
          </cell>
          <cell r="T560">
            <v>0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903</v>
          </cell>
          <cell r="AD560">
            <v>6</v>
          </cell>
          <cell r="AE560" t="str">
            <v>everyone</v>
          </cell>
        </row>
        <row r="561">
          <cell r="A561" t="str">
            <v>65535_3</v>
          </cell>
          <cell r="B561">
            <v>1</v>
          </cell>
          <cell r="C561">
            <v>65535</v>
          </cell>
          <cell r="D561" t="str">
            <v>検証クエスト</v>
          </cell>
          <cell r="E561" t="str">
            <v>検証</v>
          </cell>
          <cell r="F561">
            <v>3</v>
          </cell>
          <cell r="G561" t="str">
            <v>ja</v>
          </cell>
          <cell r="H561" t="str">
            <v>サンドボックス</v>
          </cell>
          <cell r="I561" t="str">
            <v>検証</v>
          </cell>
          <cell r="J561" t="str">
            <v>NULL</v>
          </cell>
          <cell r="K561">
            <v>1</v>
          </cell>
          <cell r="L561">
            <v>1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105</v>
          </cell>
          <cell r="AD561">
            <v>6</v>
          </cell>
          <cell r="AE561" t="str">
            <v>everyone</v>
          </cell>
        </row>
        <row r="562">
          <cell r="A562" t="str">
            <v>60021_3</v>
          </cell>
          <cell r="B562">
            <v>1</v>
          </cell>
          <cell r="C562">
            <v>60021</v>
          </cell>
          <cell r="D562" t="str">
            <v>【月曜限定】 黄の素材verハンプ検証</v>
          </cell>
          <cell r="E562" t="str">
            <v>検証</v>
          </cell>
          <cell r="F562">
            <v>3</v>
          </cell>
          <cell r="G562" t="str">
            <v>ja</v>
          </cell>
          <cell r="H562" t="str">
            <v>【上級】ハンプティ検証</v>
          </cell>
          <cell r="I562" t="str">
            <v>上級</v>
          </cell>
          <cell r="J562">
            <v>84</v>
          </cell>
          <cell r="K562">
            <v>20</v>
          </cell>
          <cell r="L562">
            <v>860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none</v>
          </cell>
          <cell r="T562">
            <v>0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101</v>
          </cell>
          <cell r="AD562">
            <v>6</v>
          </cell>
          <cell r="AE562" t="str">
            <v>everyone</v>
          </cell>
        </row>
        <row r="563">
          <cell r="A563" t="str">
            <v>60022_3</v>
          </cell>
          <cell r="B563">
            <v>1</v>
          </cell>
          <cell r="C563">
            <v>60022</v>
          </cell>
          <cell r="D563" t="str">
            <v>【火曜限定】 赤の素材verハンプ検証</v>
          </cell>
          <cell r="E563" t="str">
            <v>検証</v>
          </cell>
          <cell r="F563">
            <v>3</v>
          </cell>
          <cell r="G563" t="str">
            <v>ja</v>
          </cell>
          <cell r="H563" t="str">
            <v>【上級】ハンプティ検証</v>
          </cell>
          <cell r="I563" t="str">
            <v>上級</v>
          </cell>
          <cell r="J563">
            <v>84</v>
          </cell>
          <cell r="K563">
            <v>20</v>
          </cell>
          <cell r="L563">
            <v>860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101</v>
          </cell>
          <cell r="AD563">
            <v>6</v>
          </cell>
          <cell r="AE563" t="str">
            <v>everyone</v>
          </cell>
        </row>
        <row r="564">
          <cell r="A564" t="str">
            <v>60023_3</v>
          </cell>
          <cell r="B564">
            <v>1</v>
          </cell>
          <cell r="C564">
            <v>60023</v>
          </cell>
          <cell r="D564" t="str">
            <v>【水曜限定】 青の素材verハンプ検証</v>
          </cell>
          <cell r="E564" t="str">
            <v>検証</v>
          </cell>
          <cell r="F564">
            <v>3</v>
          </cell>
          <cell r="G564" t="str">
            <v>ja</v>
          </cell>
          <cell r="H564" t="str">
            <v>【上級】ハンプティ検証</v>
          </cell>
          <cell r="I564" t="str">
            <v>上級</v>
          </cell>
          <cell r="J564">
            <v>84</v>
          </cell>
          <cell r="K564">
            <v>20</v>
          </cell>
          <cell r="L564">
            <v>860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none</v>
          </cell>
          <cell r="T564">
            <v>0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101</v>
          </cell>
          <cell r="AD564">
            <v>6</v>
          </cell>
          <cell r="AE564" t="str">
            <v>everyone</v>
          </cell>
        </row>
        <row r="565">
          <cell r="A565" t="str">
            <v>60024_3</v>
          </cell>
          <cell r="B565">
            <v>1</v>
          </cell>
          <cell r="C565">
            <v>60024</v>
          </cell>
          <cell r="D565" t="str">
            <v>【木曜限定】 緑の素材verハンプ検証</v>
          </cell>
          <cell r="E565" t="str">
            <v>検証</v>
          </cell>
          <cell r="F565">
            <v>3</v>
          </cell>
          <cell r="G565" t="str">
            <v>ja</v>
          </cell>
          <cell r="H565" t="str">
            <v>【上級】ハンプティ検証</v>
          </cell>
          <cell r="I565" t="str">
            <v>上級</v>
          </cell>
          <cell r="J565">
            <v>84</v>
          </cell>
          <cell r="K565">
            <v>20</v>
          </cell>
          <cell r="L565">
            <v>860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101</v>
          </cell>
          <cell r="AD565">
            <v>6</v>
          </cell>
          <cell r="AE565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1040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20" sqref="B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8" t="s">
        <v>131</v>
      </c>
      <c r="B1" s="43" t="s">
        <v>101</v>
      </c>
      <c r="C1" s="43" t="s">
        <v>102</v>
      </c>
      <c r="D1" s="43" t="s">
        <v>103</v>
      </c>
      <c r="E1" s="43" t="s">
        <v>104</v>
      </c>
      <c r="F1" s="43" t="s">
        <v>105</v>
      </c>
      <c r="G1" s="43" t="s">
        <v>106</v>
      </c>
      <c r="H1" s="43"/>
      <c r="I1" s="43"/>
      <c r="J1" s="43"/>
      <c r="K1" s="43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</row>
    <row r="2" spans="1:30" x14ac:dyDescent="0.15">
      <c r="A2" s="49" t="s">
        <v>217</v>
      </c>
      <c r="B2" s="45" t="s">
        <v>107</v>
      </c>
      <c r="C2" s="50">
        <v>49002</v>
      </c>
      <c r="D2" s="45" t="s">
        <v>108</v>
      </c>
      <c r="E2" s="44" t="str">
        <f>B2&amp;C2&amp;D2</f>
        <v>floors_49002.tmp</v>
      </c>
      <c r="F2" s="45" t="s">
        <v>109</v>
      </c>
      <c r="G2" s="46" t="s">
        <v>0</v>
      </c>
      <c r="H2" s="46" t="s">
        <v>1</v>
      </c>
      <c r="I2" s="46" t="s">
        <v>13</v>
      </c>
      <c r="J2" s="46" t="s">
        <v>14</v>
      </c>
      <c r="K2" s="46" t="s">
        <v>15</v>
      </c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</row>
    <row r="3" spans="1:30" x14ac:dyDescent="0.15">
      <c r="A3" s="49" t="s">
        <v>217</v>
      </c>
      <c r="B3" s="45" t="s">
        <v>110</v>
      </c>
      <c r="C3" s="50">
        <v>49002</v>
      </c>
      <c r="D3" s="45" t="s">
        <v>108</v>
      </c>
      <c r="E3" s="44" t="str">
        <f>B3&amp;C3&amp;D3</f>
        <v>enemy_habitats_49002.tmp</v>
      </c>
      <c r="F3" s="45" t="s">
        <v>111</v>
      </c>
      <c r="G3" s="46" t="s">
        <v>0</v>
      </c>
      <c r="H3" s="46" t="s">
        <v>1</v>
      </c>
      <c r="I3" s="46" t="s">
        <v>13</v>
      </c>
      <c r="J3" s="46" t="s">
        <v>2</v>
      </c>
      <c r="K3" s="46" t="s">
        <v>3</v>
      </c>
      <c r="L3" s="46" t="s">
        <v>47</v>
      </c>
      <c r="M3" s="46" t="s">
        <v>49</v>
      </c>
      <c r="N3" s="46" t="s">
        <v>51</v>
      </c>
      <c r="O3" s="46" t="s">
        <v>22</v>
      </c>
      <c r="P3" s="46" t="s">
        <v>5</v>
      </c>
      <c r="Q3" s="46" t="s">
        <v>6</v>
      </c>
      <c r="R3" s="46" t="s">
        <v>7</v>
      </c>
      <c r="S3" s="46" t="s">
        <v>8</v>
      </c>
      <c r="T3" s="46" t="s">
        <v>9</v>
      </c>
      <c r="U3" s="46" t="s">
        <v>10</v>
      </c>
      <c r="V3" s="46" t="s">
        <v>11</v>
      </c>
      <c r="W3" s="46" t="s">
        <v>12</v>
      </c>
      <c r="X3" s="46" t="s">
        <v>37</v>
      </c>
      <c r="Y3" s="46" t="s">
        <v>39</v>
      </c>
      <c r="Z3" s="46" t="s">
        <v>41</v>
      </c>
      <c r="AA3" s="46" t="s">
        <v>43</v>
      </c>
      <c r="AB3" s="46" t="s">
        <v>45</v>
      </c>
      <c r="AC3" s="46" t="s">
        <v>54</v>
      </c>
      <c r="AD3" s="46" t="s">
        <v>179</v>
      </c>
    </row>
    <row r="4" spans="1:30" x14ac:dyDescent="0.15">
      <c r="A4" s="49" t="s">
        <v>217</v>
      </c>
      <c r="B4" s="45" t="s">
        <v>112</v>
      </c>
      <c r="C4" s="50">
        <v>49002</v>
      </c>
      <c r="D4" s="45" t="s">
        <v>108</v>
      </c>
      <c r="E4" s="44" t="str">
        <f>B4&amp;C4&amp;D4</f>
        <v>enemy_habitat_S_49002.tmp</v>
      </c>
      <c r="F4" s="45" t="s">
        <v>113</v>
      </c>
      <c r="G4" s="46" t="s">
        <v>0</v>
      </c>
      <c r="H4" s="46" t="s">
        <v>1</v>
      </c>
      <c r="I4" s="46" t="s">
        <v>13</v>
      </c>
      <c r="J4" s="46" t="s">
        <v>54</v>
      </c>
      <c r="K4" s="46" t="s">
        <v>55</v>
      </c>
      <c r="L4" s="46" t="s">
        <v>56</v>
      </c>
      <c r="M4" s="46" t="s">
        <v>57</v>
      </c>
      <c r="N4" s="46" t="s">
        <v>58</v>
      </c>
      <c r="O4" s="46" t="s">
        <v>59</v>
      </c>
      <c r="P4" s="46" t="s">
        <v>48</v>
      </c>
      <c r="Q4" s="46" t="s">
        <v>50</v>
      </c>
      <c r="R4" s="46" t="s">
        <v>52</v>
      </c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</row>
    <row r="5" spans="1:30" x14ac:dyDescent="0.15">
      <c r="A5" s="49" t="s">
        <v>217</v>
      </c>
      <c r="B5" s="45" t="s">
        <v>114</v>
      </c>
      <c r="C5" s="50">
        <v>49002</v>
      </c>
      <c r="D5" s="45" t="s">
        <v>108</v>
      </c>
      <c r="E5" s="44" t="str">
        <f>B5&amp;C5&amp;D5</f>
        <v>enemy_skill_sets_49002.tmp</v>
      </c>
      <c r="F5" s="45" t="s">
        <v>115</v>
      </c>
      <c r="G5" s="47" t="s">
        <v>22</v>
      </c>
      <c r="H5" s="47" t="s">
        <v>100</v>
      </c>
      <c r="I5" s="47" t="s">
        <v>95</v>
      </c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30" x14ac:dyDescent="0.15">
      <c r="A6" s="49" t="s">
        <v>217</v>
      </c>
      <c r="B6" s="45" t="s">
        <v>116</v>
      </c>
      <c r="C6" s="50">
        <v>49002</v>
      </c>
      <c r="D6" s="45" t="s">
        <v>117</v>
      </c>
      <c r="E6" s="44" t="str">
        <f t="shared" ref="E6:E10" si="0">B6&amp;C6&amp;D6</f>
        <v>enemy_skills_tmp_49002.tmp</v>
      </c>
      <c r="F6" s="45" t="s">
        <v>91</v>
      </c>
      <c r="G6" s="46" t="s">
        <v>79</v>
      </c>
      <c r="H6" s="46" t="s">
        <v>80</v>
      </c>
      <c r="I6" s="46" t="s">
        <v>81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</row>
    <row r="7" spans="1:30" x14ac:dyDescent="0.15">
      <c r="A7" s="49" t="s">
        <v>217</v>
      </c>
      <c r="B7" s="45" t="s">
        <v>118</v>
      </c>
      <c r="C7" s="50">
        <v>49002</v>
      </c>
      <c r="D7" s="45" t="s">
        <v>108</v>
      </c>
      <c r="E7" s="44" t="str">
        <f>B7&amp;C7&amp;D7</f>
        <v>enemy_skills_i18n_49002.tmp</v>
      </c>
      <c r="F7" s="45" t="s">
        <v>119</v>
      </c>
      <c r="G7" s="46" t="s">
        <v>79</v>
      </c>
      <c r="H7" s="46" t="s">
        <v>92</v>
      </c>
      <c r="I7" s="46" t="s">
        <v>93</v>
      </c>
      <c r="J7" s="46" t="s">
        <v>94</v>
      </c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</row>
    <row r="8" spans="1:30" x14ac:dyDescent="0.15">
      <c r="A8" s="49" t="s">
        <v>217</v>
      </c>
      <c r="B8" s="45" t="s">
        <v>120</v>
      </c>
      <c r="C8" s="50">
        <v>49002</v>
      </c>
      <c r="D8" s="45" t="s">
        <v>121</v>
      </c>
      <c r="E8" s="44" t="str">
        <f t="shared" si="0"/>
        <v>enemy_skill_triggers_49002.tmp</v>
      </c>
      <c r="F8" s="45" t="s">
        <v>122</v>
      </c>
      <c r="G8" s="46" t="s">
        <v>95</v>
      </c>
      <c r="H8" s="46" t="s">
        <v>96</v>
      </c>
      <c r="I8" s="46" t="s">
        <v>97</v>
      </c>
      <c r="J8" s="46" t="s">
        <v>98</v>
      </c>
      <c r="K8" s="46" t="s">
        <v>123</v>
      </c>
      <c r="L8" s="46" t="s">
        <v>99</v>
      </c>
      <c r="M8" s="46" t="s">
        <v>124</v>
      </c>
      <c r="N8" s="46" t="s">
        <v>125</v>
      </c>
      <c r="O8" s="46" t="s">
        <v>126</v>
      </c>
      <c r="P8" s="46" t="s">
        <v>67</v>
      </c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</row>
    <row r="9" spans="1:30" x14ac:dyDescent="0.15">
      <c r="A9" s="49" t="s">
        <v>217</v>
      </c>
      <c r="B9" s="55" t="s">
        <v>178</v>
      </c>
      <c r="C9" s="50">
        <v>49002</v>
      </c>
      <c r="D9" s="55" t="s">
        <v>172</v>
      </c>
      <c r="E9" s="56" t="str">
        <f t="shared" si="0"/>
        <v>stage_bug_bonuses_49002.tmp</v>
      </c>
      <c r="F9" s="55" t="s">
        <v>173</v>
      </c>
      <c r="G9" s="52" t="s">
        <v>151</v>
      </c>
      <c r="H9" s="52" t="s">
        <v>174</v>
      </c>
      <c r="I9" s="52" t="s">
        <v>175</v>
      </c>
      <c r="J9" s="54" t="s">
        <v>176</v>
      </c>
      <c r="K9" s="52" t="s">
        <v>177</v>
      </c>
      <c r="L9" s="52" t="s">
        <v>157</v>
      </c>
      <c r="M9" s="52" t="s">
        <v>158</v>
      </c>
      <c r="N9" s="52" t="s">
        <v>159</v>
      </c>
      <c r="O9" s="52" t="s">
        <v>160</v>
      </c>
      <c r="P9" s="52" t="s">
        <v>161</v>
      </c>
      <c r="Q9" s="52" t="s">
        <v>162</v>
      </c>
      <c r="R9" s="52" t="s">
        <v>163</v>
      </c>
      <c r="S9" s="52" t="s">
        <v>164</v>
      </c>
      <c r="T9" s="52" t="s">
        <v>165</v>
      </c>
      <c r="U9" s="52" t="s">
        <v>166</v>
      </c>
      <c r="V9" s="52" t="s">
        <v>167</v>
      </c>
      <c r="W9" s="52" t="s">
        <v>168</v>
      </c>
    </row>
    <row r="10" spans="1:30" s="62" customFormat="1" x14ac:dyDescent="0.15">
      <c r="A10" s="49" t="s">
        <v>217</v>
      </c>
      <c r="B10" s="55" t="s">
        <v>202</v>
      </c>
      <c r="C10" s="50">
        <v>49002</v>
      </c>
      <c r="D10" s="55" t="s">
        <v>181</v>
      </c>
      <c r="E10" s="56" t="str">
        <f t="shared" si="0"/>
        <v>stage_hints_data_c_49002.tmp</v>
      </c>
      <c r="F10" s="55" t="s">
        <v>210</v>
      </c>
      <c r="G10" s="59" t="s">
        <v>182</v>
      </c>
      <c r="H10" s="59" t="s">
        <v>174</v>
      </c>
      <c r="I10" s="60" t="s">
        <v>183</v>
      </c>
      <c r="J10" s="54" t="s">
        <v>184</v>
      </c>
      <c r="K10" s="61" t="s">
        <v>185</v>
      </c>
    </row>
    <row r="11" spans="1:30" s="62" customFormat="1" x14ac:dyDescent="0.15">
      <c r="A11" s="49" t="s">
        <v>217</v>
      </c>
      <c r="B11" s="55" t="s">
        <v>203</v>
      </c>
      <c r="C11" s="50">
        <v>49002</v>
      </c>
      <c r="D11" s="55" t="s">
        <v>172</v>
      </c>
      <c r="E11" s="56" t="str">
        <f t="shared" ref="E11:E12" si="1">B11&amp;C11&amp;D11</f>
        <v>stage_hints_data_f_49002.tmp</v>
      </c>
      <c r="F11" s="55" t="s">
        <v>212</v>
      </c>
      <c r="G11" s="59" t="s">
        <v>182</v>
      </c>
      <c r="H11" s="59" t="s">
        <v>174</v>
      </c>
      <c r="I11" s="60" t="s">
        <v>183</v>
      </c>
      <c r="J11" s="54" t="s">
        <v>184</v>
      </c>
      <c r="K11" s="61" t="s">
        <v>185</v>
      </c>
    </row>
    <row r="12" spans="1:30" s="62" customFormat="1" x14ac:dyDescent="0.15">
      <c r="A12" s="49" t="s">
        <v>217</v>
      </c>
      <c r="B12" s="55" t="s">
        <v>204</v>
      </c>
      <c r="C12" s="50">
        <v>49002</v>
      </c>
      <c r="D12" s="55" t="s">
        <v>172</v>
      </c>
      <c r="E12" s="56" t="str">
        <f t="shared" si="1"/>
        <v>stage_hints_i18n_49002.tmp</v>
      </c>
      <c r="F12" s="55" t="s">
        <v>213</v>
      </c>
      <c r="G12" s="60" t="s">
        <v>205</v>
      </c>
      <c r="H12" s="82" t="s">
        <v>206</v>
      </c>
      <c r="I12" s="59" t="s">
        <v>207</v>
      </c>
      <c r="J12" s="83" t="s">
        <v>208</v>
      </c>
      <c r="K12" s="61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D16" sqref="D16"/>
    </sheetView>
  </sheetViews>
  <sheetFormatPr baseColWidth="12" defaultColWidth="13" defaultRowHeight="21" customHeight="1" outlineLevelCol="1" x14ac:dyDescent="0.15"/>
  <cols>
    <col min="1" max="1" width="8.83203125" style="16" bestFit="1" customWidth="1"/>
    <col min="2" max="2" width="5" style="16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6" customWidth="1" outlineLevel="1"/>
    <col min="8" max="8" width="26.832031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3" t="s">
        <v>30</v>
      </c>
      <c r="B1" s="13" t="s">
        <v>36</v>
      </c>
      <c r="C1" s="117" t="s">
        <v>0</v>
      </c>
      <c r="D1" s="93" t="s">
        <v>18</v>
      </c>
      <c r="E1" s="93" t="s">
        <v>33</v>
      </c>
      <c r="F1" s="117" t="s">
        <v>1</v>
      </c>
      <c r="G1" s="92" t="s">
        <v>32</v>
      </c>
      <c r="H1" s="93" t="s">
        <v>34</v>
      </c>
      <c r="I1" s="117" t="s">
        <v>13</v>
      </c>
      <c r="J1" s="117" t="s">
        <v>14</v>
      </c>
      <c r="K1" s="117" t="s">
        <v>15</v>
      </c>
    </row>
    <row r="2" spans="1:11" ht="21" customHeight="1" x14ac:dyDescent="0.15">
      <c r="A2" s="94" t="str">
        <f>G2&amp;"-"&amp;I2</f>
        <v>49002_1-1</v>
      </c>
      <c r="B2" s="95" t="str">
        <f>IF(COUNTIF(enemy_habitats!$H:$H,A2),"OK","NG")</f>
        <v>OK</v>
      </c>
      <c r="C2" s="96">
        <v>49002</v>
      </c>
      <c r="D2" s="97" t="e">
        <f ca="1">VLOOKUP($C2,OFFSET([2]quests!$A$1,0,0,COUNTA([2]quests!$A:$A),MATCH(D$1,[2]quests!$1:$1,0)-MATCH($C$1,[2]quests!$1:$1,0)+1),MATCH(D$1,[2]quests!$1:$1,0)-MATCH($C$1,[2]quests!$1:$1,0)+1,FALSE)</f>
        <v>#VALUE!</v>
      </c>
      <c r="E2" s="97" t="e">
        <f ca="1">VLOOKUP($C2,OFFSET([2]quests!$A$1,0,0,COUNTA([2]quests!$A:$A),MATCH(E$1,[2]quests!$1:$1,0)-MATCH($C$1,[2]quests!$1:$1,0)+1),MATCH(E$1,[2]quests!$1:$1,0)-MATCH($C$1,[2]quests!$1:$1,0)+1,FALSE)</f>
        <v>#VALUE!</v>
      </c>
      <c r="F2" s="98">
        <v>1</v>
      </c>
      <c r="G2" s="99" t="str">
        <f>C2&amp;"_"&amp;F2</f>
        <v>49002_1</v>
      </c>
      <c r="H2" s="100" t="e">
        <f ca="1">VLOOKUP($G2,OFFSET([2]stages!$A$1,0,0,COUNTA([2]stages!$A:$A),MATCH(H$1,[2]stages!$2:$2,0)-MATCH($G$1,[2]stages!$2:$2,0)+1),MATCH(H$1,[2]stages!$2:$2,0)-MATCH($G$1,[2]stages!$2:$2,0)+1,FALSE)</f>
        <v>#VALUE!</v>
      </c>
      <c r="I2" s="98">
        <v>1</v>
      </c>
      <c r="J2" s="101">
        <v>60</v>
      </c>
      <c r="K2" s="102">
        <v>60</v>
      </c>
    </row>
    <row r="3" spans="1:11" ht="21" customHeight="1" x14ac:dyDescent="0.15">
      <c r="A3" s="103" t="str">
        <f>G3&amp;"-"&amp;I3</f>
        <v>49002_1-2</v>
      </c>
      <c r="B3" s="104" t="str">
        <f>IF(COUNTIF(enemy_habitats!$H:$H,A3),"OK","NG")</f>
        <v>OK</v>
      </c>
      <c r="C3" s="105">
        <v>49002</v>
      </c>
      <c r="D3" s="15" t="e">
        <f ca="1">VLOOKUP($C3,OFFSET([2]quests!$A$1,0,0,COUNTA([2]quests!$A:$A),MATCH(D$1,[2]quests!$1:$1,0)-MATCH($C$1,[2]quests!$1:$1,0)+1),MATCH(D$1,[2]quests!$1:$1,0)-MATCH($C$1,[2]quests!$1:$1,0)+1,FALSE)</f>
        <v>#VALUE!</v>
      </c>
      <c r="E3" s="15" t="e">
        <f ca="1">VLOOKUP($C3,OFFSET([2]quests!$A$1,0,0,COUNTA([2]quests!$A:$A),MATCH(E$1,[2]quests!$1:$1,0)-MATCH($C$1,[2]quests!$1:$1,0)+1),MATCH(E$1,[2]quests!$1:$1,0)-MATCH($C$1,[2]quests!$1:$1,0)+1,FALSE)</f>
        <v>#VALUE!</v>
      </c>
      <c r="F3" s="106">
        <v>1</v>
      </c>
      <c r="G3" s="20" t="str">
        <f>C3&amp;"_"&amp;F3</f>
        <v>49002_1</v>
      </c>
      <c r="H3" s="12" t="e">
        <f ca="1">VLOOKUP($G3,OFFSET([2]stages!$A$1,0,0,COUNTA([2]stages!$A:$A),MATCH(H$1,[2]stages!$2:$2,0)-MATCH($G$1,[2]stages!$2:$2,0)+1),MATCH(H$1,[2]stages!$2:$2,0)-MATCH($G$1,[2]stages!$2:$2,0)+1,FALSE)</f>
        <v>#VALUE!</v>
      </c>
      <c r="I3" s="106">
        <v>2</v>
      </c>
      <c r="J3" s="26">
        <v>60</v>
      </c>
      <c r="K3" s="107">
        <v>60</v>
      </c>
    </row>
    <row r="4" spans="1:11" ht="21" customHeight="1" x14ac:dyDescent="0.15">
      <c r="A4" s="103" t="str">
        <f>G4&amp;"-"&amp;I4</f>
        <v>49002_1-3</v>
      </c>
      <c r="B4" s="104" t="str">
        <f>IF(COUNTIF(enemy_habitats!$H:$H,A4),"OK","NG")</f>
        <v>OK</v>
      </c>
      <c r="C4" s="105">
        <v>49002</v>
      </c>
      <c r="D4" s="15" t="e">
        <f ca="1">VLOOKUP($C4,OFFSET([2]quests!$A$1,0,0,COUNTA([2]quests!$A:$A),MATCH(D$1,[2]quests!$1:$1,0)-MATCH($C$1,[2]quests!$1:$1,0)+1),MATCH(D$1,[2]quests!$1:$1,0)-MATCH($C$1,[2]quests!$1:$1,0)+1,FALSE)</f>
        <v>#VALUE!</v>
      </c>
      <c r="E4" s="15" t="e">
        <f ca="1">VLOOKUP($C4,OFFSET([2]quests!$A$1,0,0,COUNTA([2]quests!$A:$A),MATCH(E$1,[2]quests!$1:$1,0)-MATCH($C$1,[2]quests!$1:$1,0)+1),MATCH(E$1,[2]quests!$1:$1,0)-MATCH($C$1,[2]quests!$1:$1,0)+1,FALSE)</f>
        <v>#VALUE!</v>
      </c>
      <c r="F4" s="106">
        <v>1</v>
      </c>
      <c r="G4" s="20" t="str">
        <f>C4&amp;"_"&amp;F4</f>
        <v>49002_1</v>
      </c>
      <c r="H4" s="12" t="e">
        <f ca="1">VLOOKUP($G4,OFFSET([2]stages!$A$1,0,0,COUNTA([2]stages!$A:$A),MATCH(H$1,[2]stages!$2:$2,0)-MATCH($G$1,[2]stages!$2:$2,0)+1),MATCH(H$1,[2]stages!$2:$2,0)-MATCH($G$1,[2]stages!$2:$2,0)+1,FALSE)</f>
        <v>#VALUE!</v>
      </c>
      <c r="I4" s="106">
        <v>3</v>
      </c>
      <c r="J4" s="26">
        <v>60</v>
      </c>
      <c r="K4" s="107">
        <v>60</v>
      </c>
    </row>
    <row r="5" spans="1:11" ht="21" customHeight="1" x14ac:dyDescent="0.15">
      <c r="A5" s="103" t="str">
        <f t="shared" ref="A5:A6" si="0">G5&amp;"-"&amp;I5</f>
        <v>49002_1-4</v>
      </c>
      <c r="B5" s="104" t="str">
        <f>IF(COUNTIF(enemy_habitats!$H:$H,A5),"OK","NG")</f>
        <v>OK</v>
      </c>
      <c r="C5" s="105">
        <v>49002</v>
      </c>
      <c r="D5" s="15" t="e">
        <f ca="1">VLOOKUP($C5,OFFSET([2]quests!$A$1,0,0,COUNTA([2]quests!$A:$A),MATCH(D$1,[2]quests!$1:$1,0)-MATCH($C$1,[2]quests!$1:$1,0)+1),MATCH(D$1,[2]quests!$1:$1,0)-MATCH($C$1,[2]quests!$1:$1,0)+1,FALSE)</f>
        <v>#VALUE!</v>
      </c>
      <c r="E5" s="15" t="e">
        <f ca="1">VLOOKUP($C5,OFFSET([2]quests!$A$1,0,0,COUNTA([2]quests!$A:$A),MATCH(E$1,[2]quests!$1:$1,0)-MATCH($C$1,[2]quests!$1:$1,0)+1),MATCH(E$1,[2]quests!$1:$1,0)-MATCH($C$1,[2]quests!$1:$1,0)+1,FALSE)</f>
        <v>#VALUE!</v>
      </c>
      <c r="F5" s="106">
        <v>1</v>
      </c>
      <c r="G5" s="20" t="str">
        <f t="shared" ref="G5:G6" si="1">C5&amp;"_"&amp;F5</f>
        <v>49002_1</v>
      </c>
      <c r="H5" s="12" t="e">
        <f ca="1">VLOOKUP($G5,OFFSET([2]stages!$A$1,0,0,COUNTA([2]stages!$A:$A),MATCH(H$1,[2]stages!$2:$2,0)-MATCH($G$1,[2]stages!$2:$2,0)+1),MATCH(H$1,[2]stages!$2:$2,0)-MATCH($G$1,[2]stages!$2:$2,0)+1,FALSE)</f>
        <v>#VALUE!</v>
      </c>
      <c r="I5" s="106">
        <v>4</v>
      </c>
      <c r="J5" s="26">
        <v>60</v>
      </c>
      <c r="K5" s="107">
        <v>60</v>
      </c>
    </row>
    <row r="6" spans="1:11" ht="21" customHeight="1" thickBot="1" x14ac:dyDescent="0.2">
      <c r="A6" s="108" t="str">
        <f t="shared" si="0"/>
        <v>49002_1-5</v>
      </c>
      <c r="B6" s="109" t="str">
        <f>IF(COUNTIF(enemy_habitats!$H:$H,A6),"OK","NG")</f>
        <v>OK</v>
      </c>
      <c r="C6" s="110">
        <v>49002</v>
      </c>
      <c r="D6" s="111" t="e">
        <f ca="1">VLOOKUP($C6,OFFSET([2]quests!$A$1,0,0,COUNTA([2]quests!$A:$A),MATCH(D$1,[2]quests!$1:$1,0)-MATCH($C$1,[2]quests!$1:$1,0)+1),MATCH(D$1,[2]quests!$1:$1,0)-MATCH($C$1,[2]quests!$1:$1,0)+1,FALSE)</f>
        <v>#VALUE!</v>
      </c>
      <c r="E6" s="111" t="e">
        <f ca="1">VLOOKUP($C6,OFFSET([2]quests!$A$1,0,0,COUNTA([2]quests!$A:$A),MATCH(E$1,[2]quests!$1:$1,0)-MATCH($C$1,[2]quests!$1:$1,0)+1),MATCH(E$1,[2]quests!$1:$1,0)-MATCH($C$1,[2]quests!$1:$1,0)+1,FALSE)</f>
        <v>#VALUE!</v>
      </c>
      <c r="F6" s="112">
        <v>1</v>
      </c>
      <c r="G6" s="113" t="str">
        <f t="shared" si="1"/>
        <v>49002_1</v>
      </c>
      <c r="H6" s="114" t="e">
        <f ca="1">VLOOKUP($G6,OFFSET([2]stages!$A$1,0,0,COUNTA([2]stages!$A:$A),MATCH(H$1,[2]stages!$2:$2,0)-MATCH($G$1,[2]stages!$2:$2,0)+1),MATCH(H$1,[2]stages!$2:$2,0)-MATCH($G$1,[2]stages!$2:$2,0)+1,FALSE)</f>
        <v>#VALUE!</v>
      </c>
      <c r="I6" s="112">
        <v>5</v>
      </c>
      <c r="J6" s="115">
        <v>60</v>
      </c>
      <c r="K6" s="116">
        <v>60</v>
      </c>
    </row>
    <row r="7" spans="1:11" ht="21" customHeight="1" x14ac:dyDescent="0.15">
      <c r="A7" s="94" t="str">
        <f>G7&amp;"-"&amp;I7</f>
        <v>49002_2-1</v>
      </c>
      <c r="B7" s="95" t="str">
        <f>IF(COUNTIF(enemy_habitats!$H:$H,A7),"OK","NG")</f>
        <v>OK</v>
      </c>
      <c r="C7" s="96">
        <v>49002</v>
      </c>
      <c r="D7" s="97" t="e">
        <f ca="1">VLOOKUP($C7,OFFSET([2]quests!$A$1,0,0,COUNTA([2]quests!$A:$A),MATCH(D$1,[2]quests!$1:$1,0)-MATCH($C$1,[2]quests!$1:$1,0)+1),MATCH(D$1,[2]quests!$1:$1,0)-MATCH($C$1,[2]quests!$1:$1,0)+1,FALSE)</f>
        <v>#VALUE!</v>
      </c>
      <c r="E7" s="97" t="e">
        <f ca="1">VLOOKUP($C7,OFFSET([2]quests!$A$1,0,0,COUNTA([2]quests!$A:$A),MATCH(E$1,[2]quests!$1:$1,0)-MATCH($C$1,[2]quests!$1:$1,0)+1),MATCH(E$1,[2]quests!$1:$1,0)-MATCH($C$1,[2]quests!$1:$1,0)+1,FALSE)</f>
        <v>#VALUE!</v>
      </c>
      <c r="F7" s="98">
        <v>2</v>
      </c>
      <c r="G7" s="99" t="str">
        <f>C7&amp;"_"&amp;F7</f>
        <v>49002_2</v>
      </c>
      <c r="H7" s="100" t="e">
        <f ca="1">VLOOKUP($G7,OFFSET([2]stages!$A$1,0,0,COUNTA([2]stages!$A:$A),MATCH(H$1,[2]stages!$2:$2,0)-MATCH($G$1,[2]stages!$2:$2,0)+1),MATCH(H$1,[2]stages!$2:$2,0)-MATCH($G$1,[2]stages!$2:$2,0)+1,FALSE)</f>
        <v>#VALUE!</v>
      </c>
      <c r="I7" s="98">
        <v>1</v>
      </c>
      <c r="J7" s="101">
        <v>60</v>
      </c>
      <c r="K7" s="102">
        <v>60</v>
      </c>
    </row>
    <row r="8" spans="1:11" ht="21" customHeight="1" x14ac:dyDescent="0.15">
      <c r="A8" s="103" t="str">
        <f>G8&amp;"-"&amp;I8</f>
        <v>49002_2-2</v>
      </c>
      <c r="B8" s="104" t="str">
        <f>IF(COUNTIF(enemy_habitats!$H:$H,A8),"OK","NG")</f>
        <v>OK</v>
      </c>
      <c r="C8" s="105">
        <v>49002</v>
      </c>
      <c r="D8" s="15" t="e">
        <f ca="1">VLOOKUP($C8,OFFSET([2]quests!$A$1,0,0,COUNTA([2]quests!$A:$A),MATCH(D$1,[2]quests!$1:$1,0)-MATCH($C$1,[2]quests!$1:$1,0)+1),MATCH(D$1,[2]quests!$1:$1,0)-MATCH($C$1,[2]quests!$1:$1,0)+1,FALSE)</f>
        <v>#VALUE!</v>
      </c>
      <c r="E8" s="15" t="e">
        <f ca="1">VLOOKUP($C8,OFFSET([2]quests!$A$1,0,0,COUNTA([2]quests!$A:$A),MATCH(E$1,[2]quests!$1:$1,0)-MATCH($C$1,[2]quests!$1:$1,0)+1),MATCH(E$1,[2]quests!$1:$1,0)-MATCH($C$1,[2]quests!$1:$1,0)+1,FALSE)</f>
        <v>#VALUE!</v>
      </c>
      <c r="F8" s="106">
        <v>2</v>
      </c>
      <c r="G8" s="20" t="str">
        <f>C8&amp;"_"&amp;F8</f>
        <v>49002_2</v>
      </c>
      <c r="H8" s="12" t="e">
        <f ca="1">VLOOKUP($G8,OFFSET([2]stages!$A$1,0,0,COUNTA([2]stages!$A:$A),MATCH(H$1,[2]stages!$2:$2,0)-MATCH($G$1,[2]stages!$2:$2,0)+1),MATCH(H$1,[2]stages!$2:$2,0)-MATCH($G$1,[2]stages!$2:$2,0)+1,FALSE)</f>
        <v>#VALUE!</v>
      </c>
      <c r="I8" s="106">
        <v>2</v>
      </c>
      <c r="J8" s="26">
        <v>60</v>
      </c>
      <c r="K8" s="107">
        <v>60</v>
      </c>
    </row>
    <row r="9" spans="1:11" ht="21" customHeight="1" x14ac:dyDescent="0.15">
      <c r="A9" s="103" t="str">
        <f>G9&amp;"-"&amp;I9</f>
        <v>49002_2-3</v>
      </c>
      <c r="B9" s="104" t="str">
        <f>IF(COUNTIF(enemy_habitats!$H:$H,A9),"OK","NG")</f>
        <v>OK</v>
      </c>
      <c r="C9" s="105">
        <v>49002</v>
      </c>
      <c r="D9" s="15" t="e">
        <f ca="1">VLOOKUP($C9,OFFSET([2]quests!$A$1,0,0,COUNTA([2]quests!$A:$A),MATCH(D$1,[2]quests!$1:$1,0)-MATCH($C$1,[2]quests!$1:$1,0)+1),MATCH(D$1,[2]quests!$1:$1,0)-MATCH($C$1,[2]quests!$1:$1,0)+1,FALSE)</f>
        <v>#VALUE!</v>
      </c>
      <c r="E9" s="15" t="e">
        <f ca="1">VLOOKUP($C9,OFFSET([2]quests!$A$1,0,0,COUNTA([2]quests!$A:$A),MATCH(E$1,[2]quests!$1:$1,0)-MATCH($C$1,[2]quests!$1:$1,0)+1),MATCH(E$1,[2]quests!$1:$1,0)-MATCH($C$1,[2]quests!$1:$1,0)+1,FALSE)</f>
        <v>#VALUE!</v>
      </c>
      <c r="F9" s="106">
        <v>2</v>
      </c>
      <c r="G9" s="20" t="str">
        <f>C9&amp;"_"&amp;F9</f>
        <v>49002_2</v>
      </c>
      <c r="H9" s="12" t="e">
        <f ca="1">VLOOKUP($G9,OFFSET([2]stages!$A$1,0,0,COUNTA([2]stages!$A:$A),MATCH(H$1,[2]stages!$2:$2,0)-MATCH($G$1,[2]stages!$2:$2,0)+1),MATCH(H$1,[2]stages!$2:$2,0)-MATCH($G$1,[2]stages!$2:$2,0)+1,FALSE)</f>
        <v>#VALUE!</v>
      </c>
      <c r="I9" s="106">
        <v>3</v>
      </c>
      <c r="J9" s="26">
        <v>60</v>
      </c>
      <c r="K9" s="107">
        <v>60</v>
      </c>
    </row>
    <row r="10" spans="1:11" ht="21" customHeight="1" x14ac:dyDescent="0.15">
      <c r="A10" s="103" t="str">
        <f t="shared" ref="A10:A11" si="2">G10&amp;"-"&amp;I10</f>
        <v>49002_2-4</v>
      </c>
      <c r="B10" s="104" t="str">
        <f>IF(COUNTIF(enemy_habitats!$H:$H,A10),"OK","NG")</f>
        <v>OK</v>
      </c>
      <c r="C10" s="105">
        <v>49002</v>
      </c>
      <c r="D10" s="15" t="e">
        <f ca="1">VLOOKUP($C10,OFFSET([2]quests!$A$1,0,0,COUNTA([2]quests!$A:$A),MATCH(D$1,[2]quests!$1:$1,0)-MATCH($C$1,[2]quests!$1:$1,0)+1),MATCH(D$1,[2]quests!$1:$1,0)-MATCH($C$1,[2]quests!$1:$1,0)+1,FALSE)</f>
        <v>#VALUE!</v>
      </c>
      <c r="E10" s="15" t="e">
        <f ca="1">VLOOKUP($C10,OFFSET([2]quests!$A$1,0,0,COUNTA([2]quests!$A:$A),MATCH(E$1,[2]quests!$1:$1,0)-MATCH($C$1,[2]quests!$1:$1,0)+1),MATCH(E$1,[2]quests!$1:$1,0)-MATCH($C$1,[2]quests!$1:$1,0)+1,FALSE)</f>
        <v>#VALUE!</v>
      </c>
      <c r="F10" s="106">
        <v>2</v>
      </c>
      <c r="G10" s="20" t="str">
        <f t="shared" ref="G10:G11" si="3">C10&amp;"_"&amp;F10</f>
        <v>49002_2</v>
      </c>
      <c r="H10" s="12" t="e">
        <f ca="1">VLOOKUP($G10,OFFSET([2]stages!$A$1,0,0,COUNTA([2]stages!$A:$A),MATCH(H$1,[2]stages!$2:$2,0)-MATCH($G$1,[2]stages!$2:$2,0)+1),MATCH(H$1,[2]stages!$2:$2,0)-MATCH($G$1,[2]stages!$2:$2,0)+1,FALSE)</f>
        <v>#VALUE!</v>
      </c>
      <c r="I10" s="106">
        <v>4</v>
      </c>
      <c r="J10" s="26">
        <v>60</v>
      </c>
      <c r="K10" s="107">
        <v>60</v>
      </c>
    </row>
    <row r="11" spans="1:11" ht="21" customHeight="1" thickBot="1" x14ac:dyDescent="0.2">
      <c r="A11" s="108" t="str">
        <f t="shared" si="2"/>
        <v>49002_2-5</v>
      </c>
      <c r="B11" s="109" t="str">
        <f>IF(COUNTIF(enemy_habitats!$H:$H,A11),"OK","NG")</f>
        <v>OK</v>
      </c>
      <c r="C11" s="110">
        <v>49002</v>
      </c>
      <c r="D11" s="111" t="e">
        <f ca="1">VLOOKUP($C11,OFFSET([2]quests!$A$1,0,0,COUNTA([2]quests!$A:$A),MATCH(D$1,[2]quests!$1:$1,0)-MATCH($C$1,[2]quests!$1:$1,0)+1),MATCH(D$1,[2]quests!$1:$1,0)-MATCH($C$1,[2]quests!$1:$1,0)+1,FALSE)</f>
        <v>#VALUE!</v>
      </c>
      <c r="E11" s="111" t="e">
        <f ca="1">VLOOKUP($C11,OFFSET([2]quests!$A$1,0,0,COUNTA([2]quests!$A:$A),MATCH(E$1,[2]quests!$1:$1,0)-MATCH($C$1,[2]quests!$1:$1,0)+1),MATCH(E$1,[2]quests!$1:$1,0)-MATCH($C$1,[2]quests!$1:$1,0)+1,FALSE)</f>
        <v>#VALUE!</v>
      </c>
      <c r="F11" s="112">
        <v>2</v>
      </c>
      <c r="G11" s="113" t="str">
        <f t="shared" si="3"/>
        <v>49002_2</v>
      </c>
      <c r="H11" s="114" t="e">
        <f ca="1">VLOOKUP($G11,OFFSET([2]stages!$A$1,0,0,COUNTA([2]stages!$A:$A),MATCH(H$1,[2]stages!$2:$2,0)-MATCH($G$1,[2]stages!$2:$2,0)+1),MATCH(H$1,[2]stages!$2:$2,0)-MATCH($G$1,[2]stages!$2:$2,0)+1,FALSE)</f>
        <v>#VALUE!</v>
      </c>
      <c r="I11" s="112">
        <v>5</v>
      </c>
      <c r="J11" s="115">
        <v>60</v>
      </c>
      <c r="K11" s="116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7"/>
  <sheetViews>
    <sheetView showGridLines="0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P16" sqref="P16"/>
    </sheetView>
  </sheetViews>
  <sheetFormatPr baseColWidth="12" defaultColWidth="13" defaultRowHeight="21" customHeight="1" outlineLevelCol="1" x14ac:dyDescent="0.15"/>
  <cols>
    <col min="1" max="1" width="15.83203125" style="16" bestFit="1" customWidth="1"/>
    <col min="2" max="2" width="10.83203125" style="2" bestFit="1" customWidth="1"/>
    <col min="3" max="3" width="10.6640625" style="2" bestFit="1" customWidth="1" collapsed="1"/>
    <col min="4" max="4" width="13" style="11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8" bestFit="1" customWidth="1"/>
    <col min="13" max="13" width="8.83203125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7.5" style="2" bestFit="1" customWidth="1"/>
    <col min="21" max="21" width="18.33203125" style="2" bestFit="1" customWidth="1"/>
    <col min="22" max="22" width="10" style="2" customWidth="1"/>
    <col min="23" max="23" width="12.1640625" style="2" customWidth="1" outlineLevel="1"/>
    <col min="24" max="24" width="11.33203125" style="2" bestFit="1" customWidth="1"/>
    <col min="25" max="25" width="11.6640625" style="2" bestFit="1" customWidth="1"/>
    <col min="26" max="26" width="10.6640625" style="2" bestFit="1" customWidth="1"/>
    <col min="27" max="27" width="9.33203125" style="2" bestFit="1" customWidth="1"/>
    <col min="28" max="28" width="13" style="2" bestFit="1" customWidth="1"/>
    <col min="29" max="29" width="8.83203125" style="10" bestFit="1" customWidth="1" outlineLevel="1"/>
    <col min="30" max="30" width="8" style="11" bestFit="1" customWidth="1" outlineLevel="1"/>
    <col min="31" max="31" width="12" style="11" bestFit="1" customWidth="1" outlineLevel="1"/>
    <col min="32" max="32" width="15" style="9" bestFit="1" customWidth="1" collapsed="1"/>
    <col min="33" max="34" width="14.83203125" style="2" bestFit="1" customWidth="1"/>
    <col min="35" max="35" width="6.6640625" style="2" bestFit="1" customWidth="1"/>
    <col min="36" max="36" width="9.33203125" style="2" bestFit="1" customWidth="1"/>
    <col min="37" max="37" width="10.33203125" style="2" bestFit="1" customWidth="1"/>
    <col min="38" max="38" width="7.6640625" style="2" bestFit="1" customWidth="1"/>
    <col min="39" max="39" width="4" style="2" bestFit="1" customWidth="1"/>
    <col min="40" max="16384" width="13" style="2"/>
  </cols>
  <sheetData>
    <row r="1" spans="1:40" s="25" customFormat="1" ht="21" customHeight="1" thickBot="1" x14ac:dyDescent="0.2">
      <c r="A1" s="23" t="s">
        <v>29</v>
      </c>
      <c r="B1" s="24" t="s">
        <v>0</v>
      </c>
      <c r="C1" s="24" t="s">
        <v>1</v>
      </c>
      <c r="D1" s="118" t="s">
        <v>28</v>
      </c>
      <c r="E1" s="118" t="s">
        <v>20</v>
      </c>
      <c r="F1" s="118" t="s">
        <v>20</v>
      </c>
      <c r="G1" s="24" t="s">
        <v>19</v>
      </c>
      <c r="H1" s="118" t="s">
        <v>35</v>
      </c>
      <c r="I1" s="118" t="s">
        <v>14</v>
      </c>
      <c r="J1" s="118" t="s">
        <v>15</v>
      </c>
      <c r="K1" s="119" t="s">
        <v>54</v>
      </c>
      <c r="L1" s="119" t="s">
        <v>2</v>
      </c>
      <c r="M1" s="120" t="s">
        <v>21</v>
      </c>
      <c r="N1" s="118" t="s">
        <v>24</v>
      </c>
      <c r="O1" s="118" t="s">
        <v>23</v>
      </c>
      <c r="P1" s="121" t="s">
        <v>26</v>
      </c>
      <c r="Q1" s="118" t="s">
        <v>25</v>
      </c>
      <c r="R1" s="24" t="s">
        <v>3</v>
      </c>
      <c r="S1" s="24" t="s">
        <v>48</v>
      </c>
      <c r="T1" s="24" t="s">
        <v>50</v>
      </c>
      <c r="U1" s="24" t="s">
        <v>52</v>
      </c>
      <c r="V1" s="118" t="s">
        <v>31</v>
      </c>
      <c r="W1" s="24" t="s">
        <v>4</v>
      </c>
      <c r="X1" s="24" t="s">
        <v>5</v>
      </c>
      <c r="Y1" s="24" t="s">
        <v>6</v>
      </c>
      <c r="Z1" s="24" t="s">
        <v>7</v>
      </c>
      <c r="AA1" s="24" t="s">
        <v>8</v>
      </c>
      <c r="AB1" s="24" t="s">
        <v>9</v>
      </c>
      <c r="AC1" s="122" t="s">
        <v>16</v>
      </c>
      <c r="AD1" s="122" t="s">
        <v>17</v>
      </c>
      <c r="AE1" s="122" t="s">
        <v>27</v>
      </c>
      <c r="AF1" s="24" t="s">
        <v>10</v>
      </c>
      <c r="AG1" s="24" t="s">
        <v>11</v>
      </c>
      <c r="AH1" s="24" t="s">
        <v>12</v>
      </c>
      <c r="AI1" s="24" t="s">
        <v>38</v>
      </c>
      <c r="AJ1" s="24" t="s">
        <v>40</v>
      </c>
      <c r="AK1" s="24" t="s">
        <v>42</v>
      </c>
      <c r="AL1" s="24" t="s">
        <v>44</v>
      </c>
      <c r="AM1" s="24" t="s">
        <v>46</v>
      </c>
      <c r="AN1" s="119" t="s">
        <v>180</v>
      </c>
    </row>
    <row r="2" spans="1:40" s="144" customFormat="1" ht="21" customHeight="1" x14ac:dyDescent="0.15">
      <c r="A2" s="94" t="str">
        <f t="shared" ref="A2" si="0">B2&amp;"_"&amp;C2&amp;"-"&amp;G2&amp;"/"&amp;L2&amp;"&lt;lv"&amp;R2&amp;"&gt;s"&amp;AA2</f>
        <v>49002_1-1/704&lt;lv60&gt;s1</v>
      </c>
      <c r="B2" s="134">
        <v>49002</v>
      </c>
      <c r="C2" s="98">
        <v>1</v>
      </c>
      <c r="D2" s="100" t="str">
        <f t="shared" ref="D2" si="1">B2&amp;"_"&amp;C2</f>
        <v>49002_1</v>
      </c>
      <c r="E2" s="135" t="e">
        <f ca="1">VLOOKUP($B2,OFFSET([2]quests!$A$1,0,0,COUNTA([2]quests!$A:$A),MATCH(E$1,[2]quests!$1:$1,0)-MATCH($B$1,[2]quests!$1:$1,0)+1),MATCH(E$1,[2]quests!$1:$1,0)-MATCH($B$1,[2]quests!$1:$1,0)+1,FALSE)</f>
        <v>#VALUE!</v>
      </c>
      <c r="F2" s="135" t="e">
        <f ca="1">VLOOKUP($D2,OFFSET([2]stages!$A$1,0,0,COUNTA([2]stages!$A:$A),MATCH(F$1,[2]stages!$2:$2,0)-MATCH($D$1,[2]stages!$2:$2,0)+1),MATCH(F$1,[2]stages!$2:$2,0)-MATCH($D$1,[2]stages!$2:$2,0)+1,FALSE)</f>
        <v>#VALUE!</v>
      </c>
      <c r="G2" s="98">
        <v>1</v>
      </c>
      <c r="H2" s="100" t="str">
        <f t="shared" ref="H2" si="2">B2&amp;"_"&amp;C2&amp;"-"&amp;G2</f>
        <v>49002_1-1</v>
      </c>
      <c r="I2" s="135">
        <f ca="1">VLOOKUP($H2,OFFSET(floors!$A$1,0,0,COUNTA(floors!$A:$A),MATCH(I$1,floors!$1:$1,0)-MATCH($H$1,floors!$1:$1,0)+1),MATCH(I$1,floors!$1:$1,0)-MATCH($H$1,floors!$1:$1,0)+1,FALSE)</f>
        <v>60</v>
      </c>
      <c r="J2" s="135">
        <f ca="1">VLOOKUP($H2,OFFSET(floors!$A$1,0,0,COUNTA(floors!$A:$A),MATCH(J$1,floors!$1:$1,0)-MATCH($H$1,floors!$1:$1,0)+1),MATCH(J$1,floors!$1:$1,0)-MATCH($H$1,floors!$1:$1,0)+1,FALSE)</f>
        <v>60</v>
      </c>
      <c r="K2" s="101" t="s">
        <v>53</v>
      </c>
      <c r="L2" s="136">
        <v>704</v>
      </c>
      <c r="M2" s="137" t="str">
        <f ca="1">VLOOKUP($L2,OFFSET([3]enemies!$A$1,0,0,COUNTA([3]enemies!$A:$A),MATCH(M$1,[3]enemies!$1:$1,0)-MATCH($L$1,[3]enemies!$1:$1,0)+1),MATCH(M$1,[3]enemies!$1:$1,0)-MATCH($L$1,[3]enemies!$1:$1,0)+1,FALSE)</f>
        <v>贄川春奈</v>
      </c>
      <c r="N2" s="13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37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3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37">
        <f ca="1">VLOOKUP($L2,OFFSET([3]enemies!$A$1,0,0,COUNTA([3]enemies!$A:$A),MATCH(Q$1,[3]enemies!$1:$1,0)-MATCH($L$1,[3]enemies!$1:$1,0)+1),MATCH(Q$1,[3]enemies!$1:$1,0)-MATCH($L$1,[3]enemies!$1:$1,0)+1,FALSE)</f>
        <v>25</v>
      </c>
      <c r="R2" s="138">
        <v>60</v>
      </c>
      <c r="S2" s="139">
        <v>1</v>
      </c>
      <c r="T2" s="139">
        <v>1</v>
      </c>
      <c r="U2" s="138">
        <v>10000</v>
      </c>
      <c r="V2" s="135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" s="135">
        <v>49002011</v>
      </c>
      <c r="X2" s="140">
        <v>1</v>
      </c>
      <c r="Y2" s="140">
        <v>100</v>
      </c>
      <c r="Z2" s="140">
        <v>1</v>
      </c>
      <c r="AA2" s="137">
        <v>1</v>
      </c>
      <c r="AB2" s="141">
        <f t="shared" ref="AB2" si="3">L2</f>
        <v>704</v>
      </c>
      <c r="AC2" s="135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贄川春奈</v>
      </c>
      <c r="AD2" s="135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135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" s="96">
        <v>1</v>
      </c>
      <c r="AG2" s="141">
        <f t="shared" ref="AG2" ca="1" si="4">AD2</f>
        <v>3</v>
      </c>
      <c r="AH2" s="142">
        <v>0</v>
      </c>
      <c r="AI2" s="96">
        <v>0</v>
      </c>
      <c r="AJ2" s="96">
        <v>0</v>
      </c>
      <c r="AK2" s="96">
        <v>0</v>
      </c>
      <c r="AL2" s="96">
        <v>0</v>
      </c>
      <c r="AM2" s="96">
        <v>1</v>
      </c>
      <c r="AN2" s="143">
        <v>1</v>
      </c>
    </row>
    <row r="3" spans="1:40" s="147" customFormat="1" ht="21" customHeight="1" x14ac:dyDescent="0.15">
      <c r="A3" s="103" t="str">
        <f>B3&amp;"_"&amp;C3&amp;"-"&amp;G3&amp;"/"&amp;L3&amp;"&lt;lv"&amp;R3&amp;"&gt;s"&amp;AA3</f>
        <v>49002_1-2/53&lt;lv55&gt;s1</v>
      </c>
      <c r="B3" s="19">
        <v>49002</v>
      </c>
      <c r="C3" s="106">
        <v>1</v>
      </c>
      <c r="D3" s="12" t="str">
        <f>B3&amp;"_"&amp;C3</f>
        <v>49002_1</v>
      </c>
      <c r="E3" s="3" t="e">
        <f ca="1">VLOOKUP($B3,OFFSET([2]quests!$A$1,0,0,COUNTA([2]quests!$A:$A),MATCH(E$1,[2]quests!$1:$1,0)-MATCH($B$1,[2]quests!$1:$1,0)+1),MATCH(E$1,[2]quests!$1:$1,0)-MATCH($B$1,[2]quests!$1:$1,0)+1,FALSE)</f>
        <v>#VALUE!</v>
      </c>
      <c r="F3" s="3" t="e">
        <f ca="1">VLOOKUP($D3,OFFSET([2]stages!$A$1,0,0,COUNTA([2]stages!$A:$A),MATCH(F$1,[2]stages!$2:$2,0)-MATCH($D$1,[2]stages!$2:$2,0)+1),MATCH(F$1,[2]stages!$2:$2,0)-MATCH($D$1,[2]stages!$2:$2,0)+1,FALSE)</f>
        <v>#VALUE!</v>
      </c>
      <c r="G3" s="106">
        <v>2</v>
      </c>
      <c r="H3" s="12" t="str">
        <f>B3&amp;"_"&amp;C3&amp;"-"&amp;G3</f>
        <v>49002_1-2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26" t="s">
        <v>53</v>
      </c>
      <c r="L3" s="145">
        <v>53</v>
      </c>
      <c r="M3" s="14" t="str">
        <f ca="1">VLOOKUP($L3,OFFSET([3]enemies!$A$1,0,0,COUNTA([3]enemies!$A:$A),MATCH(M$1,[3]enemies!$1:$1,0)-MATCH($L$1,[3]enemies!$1:$1,0)+1),MATCH(M$1,[3]enemies!$1:$1,0)-MATCH($L$1,[3]enemies!$1:$1,0)+1,FALSE)</f>
        <v>ケンジ</v>
      </c>
      <c r="N3" s="14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4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4">
        <f ca="1">VLOOKUP($L3,OFFSET([3]enemies!$A$1,0,0,COUNTA([3]enemies!$A:$A),MATCH(Q$1,[3]enemies!$1:$1,0)-MATCH($L$1,[3]enemies!$1:$1,0)+1),MATCH(Q$1,[3]enemies!$1:$1,0)-MATCH($L$1,[3]enemies!$1:$1,0)+1,FALSE)</f>
        <v>15</v>
      </c>
      <c r="R3" s="4">
        <v>55</v>
      </c>
      <c r="S3" s="22">
        <v>1.5</v>
      </c>
      <c r="T3" s="22">
        <v>1.2</v>
      </c>
      <c r="U3" s="4">
        <v>0</v>
      </c>
      <c r="V3" s="3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" s="3">
        <v>49002000</v>
      </c>
      <c r="X3" s="5">
        <v>2</v>
      </c>
      <c r="Y3" s="5">
        <v>100</v>
      </c>
      <c r="Z3" s="5">
        <v>0</v>
      </c>
      <c r="AA3" s="14">
        <v>1</v>
      </c>
      <c r="AB3" s="146">
        <f>L3</f>
        <v>53</v>
      </c>
      <c r="AC3" s="3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3" s="3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3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105">
        <v>1</v>
      </c>
      <c r="AG3" s="146">
        <f ca="1">AD3</f>
        <v>2</v>
      </c>
      <c r="AH3" s="7">
        <v>0</v>
      </c>
      <c r="AI3" s="105">
        <v>0</v>
      </c>
      <c r="AJ3" s="105">
        <v>0</v>
      </c>
      <c r="AK3" s="105">
        <v>0</v>
      </c>
      <c r="AL3" s="105">
        <v>0</v>
      </c>
      <c r="AM3" s="105">
        <v>1</v>
      </c>
      <c r="AN3" s="57">
        <v>1</v>
      </c>
    </row>
    <row r="4" spans="1:40" s="147" customFormat="1" ht="21" customHeight="1" x14ac:dyDescent="0.15">
      <c r="A4" s="103" t="str">
        <f>B4&amp;"_"&amp;C4&amp;"-"&amp;G4&amp;"/"&amp;L4&amp;"&lt;lv"&amp;R4&amp;"&gt;s"&amp;AA4</f>
        <v>49002_1-2/162&lt;lv50&gt;s2</v>
      </c>
      <c r="B4" s="19">
        <v>49002</v>
      </c>
      <c r="C4" s="106">
        <v>1</v>
      </c>
      <c r="D4" s="12" t="str">
        <f>B4&amp;"_"&amp;C4</f>
        <v>49002_1</v>
      </c>
      <c r="E4" s="3" t="e">
        <f ca="1">VLOOKUP($B4,OFFSET([2]quests!$A$1,0,0,COUNTA([2]quests!$A:$A),MATCH(E$1,[2]quests!$1:$1,0)-MATCH($B$1,[2]quests!$1:$1,0)+1),MATCH(E$1,[2]quests!$1:$1,0)-MATCH($B$1,[2]quests!$1:$1,0)+1,FALSE)</f>
        <v>#VALUE!</v>
      </c>
      <c r="F4" s="3" t="e">
        <f ca="1">VLOOKUP($D4,OFFSET([2]stages!$A$1,0,0,COUNTA([2]stages!$A:$A),MATCH(F$1,[2]stages!$2:$2,0)-MATCH($D$1,[2]stages!$2:$2,0)+1),MATCH(F$1,[2]stages!$2:$2,0)-MATCH($D$1,[2]stages!$2:$2,0)+1,FALSE)</f>
        <v>#VALUE!</v>
      </c>
      <c r="G4" s="106">
        <v>2</v>
      </c>
      <c r="H4" s="12" t="str">
        <f>B4&amp;"_"&amp;C4&amp;"-"&amp;G4</f>
        <v>49002_1-2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26" t="s">
        <v>53</v>
      </c>
      <c r="L4" s="145">
        <v>162</v>
      </c>
      <c r="M4" s="14" t="str">
        <f ca="1">VLOOKUP($L4,OFFSET([3]enemies!$A$1,0,0,COUNTA([3]enemies!$A:$A),MATCH(M$1,[3]enemies!$1:$1,0)-MATCH($L$1,[3]enemies!$1:$1,0)+1),MATCH(M$1,[3]enemies!$1:$1,0)-MATCH($L$1,[3]enemies!$1:$1,0)+1,FALSE)</f>
        <v>狂女 クララ</v>
      </c>
      <c r="N4" s="14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4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4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4">
        <f ca="1">VLOOKUP($L4,OFFSET([3]enemies!$A$1,0,0,COUNTA([3]enemies!$A:$A),MATCH(Q$1,[3]enemies!$1:$1,0)-MATCH($L$1,[3]enemies!$1:$1,0)+1),MATCH(Q$1,[3]enemies!$1:$1,0)-MATCH($L$1,[3]enemies!$1:$1,0)+1,FALSE)</f>
        <v>20</v>
      </c>
      <c r="R4" s="4">
        <v>50</v>
      </c>
      <c r="S4" s="22">
        <v>1.2</v>
      </c>
      <c r="T4" s="22">
        <v>1</v>
      </c>
      <c r="U4" s="4">
        <v>0</v>
      </c>
      <c r="V4" s="3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" s="3">
        <v>49002001</v>
      </c>
      <c r="X4" s="5">
        <v>1</v>
      </c>
      <c r="Y4" s="5">
        <v>100</v>
      </c>
      <c r="Z4" s="5">
        <v>1</v>
      </c>
      <c r="AA4" s="14">
        <v>2</v>
      </c>
      <c r="AB4" s="146">
        <f>L4</f>
        <v>162</v>
      </c>
      <c r="AC4" s="3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狂女 クララ</v>
      </c>
      <c r="AD4" s="3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3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4" s="105">
        <v>1</v>
      </c>
      <c r="AG4" s="146">
        <f ca="1">AD4</f>
        <v>3</v>
      </c>
      <c r="AH4" s="7">
        <v>0</v>
      </c>
      <c r="AI4" s="105">
        <v>0</v>
      </c>
      <c r="AJ4" s="105">
        <v>0</v>
      </c>
      <c r="AK4" s="105">
        <v>0</v>
      </c>
      <c r="AL4" s="105">
        <v>0</v>
      </c>
      <c r="AM4" s="105">
        <v>1</v>
      </c>
      <c r="AN4" s="57">
        <v>1</v>
      </c>
    </row>
    <row r="5" spans="1:40" s="147" customFormat="1" ht="21" customHeight="1" x14ac:dyDescent="0.15">
      <c r="A5" s="103" t="str">
        <f t="shared" ref="A5:A10" si="5">B5&amp;"_"&amp;C5&amp;"-"&amp;G5&amp;"/"&amp;L5&amp;"&lt;lv"&amp;R5&amp;"&gt;s"&amp;AA5</f>
        <v>49002_1-3/696&lt;lv60&gt;s1</v>
      </c>
      <c r="B5" s="19">
        <v>49002</v>
      </c>
      <c r="C5" s="106">
        <v>1</v>
      </c>
      <c r="D5" s="12" t="str">
        <f t="shared" ref="D5:D10" si="6">B5&amp;"_"&amp;C5</f>
        <v>49002_1</v>
      </c>
      <c r="E5" s="3" t="e">
        <f ca="1">VLOOKUP($B5,OFFSET([2]quests!$A$1,0,0,COUNTA([2]quests!$A:$A),MATCH(E$1,[2]quests!$1:$1,0)-MATCH($B$1,[2]quests!$1:$1,0)+1),MATCH(E$1,[2]quests!$1:$1,0)-MATCH($B$1,[2]quests!$1:$1,0)+1,FALSE)</f>
        <v>#VALUE!</v>
      </c>
      <c r="F5" s="3" t="e">
        <f ca="1">VLOOKUP($D5,OFFSET([2]stages!$A$1,0,0,COUNTA([2]stages!$A:$A),MATCH(F$1,[2]stages!$2:$2,0)-MATCH($D$1,[2]stages!$2:$2,0)+1),MATCH(F$1,[2]stages!$2:$2,0)-MATCH($D$1,[2]stages!$2:$2,0)+1,FALSE)</f>
        <v>#VALUE!</v>
      </c>
      <c r="G5" s="106">
        <v>3</v>
      </c>
      <c r="H5" s="12" t="str">
        <f t="shared" ref="H5:H10" si="7">B5&amp;"_"&amp;C5&amp;"-"&amp;G5</f>
        <v>49002_1-3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26" t="s">
        <v>53</v>
      </c>
      <c r="L5" s="145">
        <v>696</v>
      </c>
      <c r="M5" s="14" t="str">
        <f ca="1">VLOOKUP($L5,OFFSET([3]enemies!$A$1,0,0,COUNTA([3]enemies!$A:$A),MATCH(M$1,[3]enemies!$1:$1,0)-MATCH($L$1,[3]enemies!$1:$1,0)+1),MATCH(M$1,[3]enemies!$1:$1,0)-MATCH($L$1,[3]enemies!$1:$1,0)+1,FALSE)</f>
        <v>生きる都市伝説　セルティ</v>
      </c>
      <c r="N5" s="14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4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4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4">
        <f ca="1">VLOOKUP($L5,OFFSET([3]enemies!$A$1,0,0,COUNTA([3]enemies!$A:$A),MATCH(Q$1,[3]enemies!$1:$1,0)-MATCH($L$1,[3]enemies!$1:$1,0)+1),MATCH(Q$1,[3]enemies!$1:$1,0)-MATCH($L$1,[3]enemies!$1:$1,0)+1,FALSE)</f>
        <v>30</v>
      </c>
      <c r="R5" s="4">
        <v>60</v>
      </c>
      <c r="S5" s="22">
        <v>1</v>
      </c>
      <c r="T5" s="22">
        <v>1</v>
      </c>
      <c r="U5" s="4">
        <v>10000</v>
      </c>
      <c r="V5" s="3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" s="3">
        <v>49002002</v>
      </c>
      <c r="X5" s="5">
        <v>1</v>
      </c>
      <c r="Y5" s="5">
        <v>100</v>
      </c>
      <c r="Z5" s="5">
        <v>1</v>
      </c>
      <c r="AA5" s="14">
        <v>1</v>
      </c>
      <c r="AB5" s="146">
        <f t="shared" ref="AB5:AB10" si="8">L5</f>
        <v>696</v>
      </c>
      <c r="AC5" s="3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生きる都市伝説　セルティ</v>
      </c>
      <c r="AD5" s="3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3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Drop2N</v>
      </c>
      <c r="AF5" s="105">
        <v>1</v>
      </c>
      <c r="AG5" s="146">
        <f t="shared" ref="AG5:AG10" ca="1" si="9">AD5</f>
        <v>4</v>
      </c>
      <c r="AH5" s="7">
        <v>0</v>
      </c>
      <c r="AI5" s="105">
        <v>0</v>
      </c>
      <c r="AJ5" s="105">
        <v>0</v>
      </c>
      <c r="AK5" s="105">
        <v>0</v>
      </c>
      <c r="AL5" s="105">
        <v>0</v>
      </c>
      <c r="AM5" s="105">
        <v>1</v>
      </c>
      <c r="AN5" s="57">
        <v>1</v>
      </c>
    </row>
    <row r="6" spans="1:40" s="147" customFormat="1" ht="21" customHeight="1" x14ac:dyDescent="0.15">
      <c r="A6" s="103" t="str">
        <f t="shared" ref="A6" si="10">B6&amp;"_"&amp;C6&amp;"-"&amp;G6&amp;"/"&amp;L6&amp;"&lt;lv"&amp;R6&amp;"&gt;s"&amp;AA6</f>
        <v>49002_1-3/706&lt;lv60&gt;s1</v>
      </c>
      <c r="B6" s="19">
        <v>49002</v>
      </c>
      <c r="C6" s="106">
        <v>1</v>
      </c>
      <c r="D6" s="12" t="str">
        <f t="shared" ref="D6" si="11">B6&amp;"_"&amp;C6</f>
        <v>49002_1</v>
      </c>
      <c r="E6" s="3" t="e">
        <f ca="1">VLOOKUP($B6,OFFSET([2]quests!$A$1,0,0,COUNTA([2]quests!$A:$A),MATCH(E$1,[2]quests!$1:$1,0)-MATCH($B$1,[2]quests!$1:$1,0)+1),MATCH(E$1,[2]quests!$1:$1,0)-MATCH($B$1,[2]quests!$1:$1,0)+1,FALSE)</f>
        <v>#VALUE!</v>
      </c>
      <c r="F6" s="3" t="e">
        <f ca="1">VLOOKUP($D6,OFFSET([2]stages!$A$1,0,0,COUNTA([2]stages!$A:$A),MATCH(F$1,[2]stages!$2:$2,0)-MATCH($D$1,[2]stages!$2:$2,0)+1),MATCH(F$1,[2]stages!$2:$2,0)-MATCH($D$1,[2]stages!$2:$2,0)+1,FALSE)</f>
        <v>#VALUE!</v>
      </c>
      <c r="G6" s="106">
        <v>3</v>
      </c>
      <c r="H6" s="12" t="str">
        <f t="shared" ref="H6" si="12">B6&amp;"_"&amp;C6&amp;"-"&amp;G6</f>
        <v>49002_1-3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26" t="s">
        <v>53</v>
      </c>
      <c r="L6" s="145">
        <v>706</v>
      </c>
      <c r="M6" s="14" t="str">
        <f ca="1">VLOOKUP($L6,OFFSET([3]enemies!$A$1,0,0,COUNTA([3]enemies!$A:$A),MATCH(M$1,[3]enemies!$1:$1,0)-MATCH($L$1,[3]enemies!$1:$1,0)+1),MATCH(M$1,[3]enemies!$1:$1,0)-MATCH($L$1,[3]enemies!$1:$1,0)+1,FALSE)</f>
        <v>岸谷新羅</v>
      </c>
      <c r="N6" s="14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4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4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4">
        <f ca="1">VLOOKUP($L6,OFFSET([3]enemies!$A$1,0,0,COUNTA([3]enemies!$A:$A),MATCH(Q$1,[3]enemies!$1:$1,0)-MATCH($L$1,[3]enemies!$1:$1,0)+1),MATCH(Q$1,[3]enemies!$1:$1,0)-MATCH($L$1,[3]enemies!$1:$1,0)+1,FALSE)</f>
        <v>30</v>
      </c>
      <c r="R6" s="4">
        <v>60</v>
      </c>
      <c r="S6" s="22">
        <v>1</v>
      </c>
      <c r="T6" s="22">
        <v>1</v>
      </c>
      <c r="U6" s="4">
        <v>10000</v>
      </c>
      <c r="V6" s="3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" s="3">
        <v>49002003</v>
      </c>
      <c r="X6" s="5">
        <v>1</v>
      </c>
      <c r="Y6" s="5">
        <v>100</v>
      </c>
      <c r="Z6" s="5">
        <v>1</v>
      </c>
      <c r="AA6" s="14">
        <v>1</v>
      </c>
      <c r="AB6" s="146">
        <f t="shared" ref="AB6" si="13">L6</f>
        <v>706</v>
      </c>
      <c r="AC6" s="3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岸谷新羅</v>
      </c>
      <c r="AD6" s="3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3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105">
        <v>1</v>
      </c>
      <c r="AG6" s="146">
        <f t="shared" ref="AG6" ca="1" si="14">AD6</f>
        <v>4</v>
      </c>
      <c r="AH6" s="7">
        <v>0</v>
      </c>
      <c r="AI6" s="105">
        <v>0</v>
      </c>
      <c r="AJ6" s="105">
        <v>0</v>
      </c>
      <c r="AK6" s="105">
        <v>0</v>
      </c>
      <c r="AL6" s="105">
        <v>0</v>
      </c>
      <c r="AM6" s="105">
        <v>1</v>
      </c>
      <c r="AN6" s="57">
        <v>1</v>
      </c>
    </row>
    <row r="7" spans="1:40" s="147" customFormat="1" ht="21" customHeight="1" x14ac:dyDescent="0.15">
      <c r="A7" s="103" t="str">
        <f t="shared" si="5"/>
        <v>49002_1-4/374&lt;lv55&gt;s2</v>
      </c>
      <c r="B7" s="19">
        <v>49002</v>
      </c>
      <c r="C7" s="106">
        <v>1</v>
      </c>
      <c r="D7" s="12" t="str">
        <f t="shared" si="6"/>
        <v>49002_1</v>
      </c>
      <c r="E7" s="3" t="e">
        <f ca="1">VLOOKUP($B7,OFFSET([2]quests!$A$1,0,0,COUNTA([2]quests!$A:$A),MATCH(E$1,[2]quests!$1:$1,0)-MATCH($B$1,[2]quests!$1:$1,0)+1),MATCH(E$1,[2]quests!$1:$1,0)-MATCH($B$1,[2]quests!$1:$1,0)+1,FALSE)</f>
        <v>#VALUE!</v>
      </c>
      <c r="F7" s="3" t="e">
        <f ca="1">VLOOKUP($D7,OFFSET([2]stages!$A$1,0,0,COUNTA([2]stages!$A:$A),MATCH(F$1,[2]stages!$2:$2,0)-MATCH($D$1,[2]stages!$2:$2,0)+1),MATCH(F$1,[2]stages!$2:$2,0)-MATCH($D$1,[2]stages!$2:$2,0)+1,FALSE)</f>
        <v>#VALUE!</v>
      </c>
      <c r="G7" s="106">
        <v>4</v>
      </c>
      <c r="H7" s="12" t="str">
        <f t="shared" si="7"/>
        <v>49002_1-4</v>
      </c>
      <c r="I7" s="3">
        <f ca="1">VLOOKUP($H7,OFFSET(floors!$A$1,0,0,COUNTA(floors!$A:$A),MATCH(I$1,floors!$1:$1,0)-MATCH($H$1,floors!$1:$1,0)+1),MATCH(I$1,floors!$1:$1,0)-MATCH($H$1,floors!$1:$1,0)+1,FALSE)</f>
        <v>60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26" t="s">
        <v>53</v>
      </c>
      <c r="L7" s="145">
        <v>374</v>
      </c>
      <c r="M7" s="14" t="str">
        <f ca="1">VLOOKUP($L7,OFFSET([3]enemies!$A$1,0,0,COUNTA([3]enemies!$A:$A),MATCH(M$1,[3]enemies!$1:$1,0)-MATCH($L$1,[3]enemies!$1:$1,0)+1),MATCH(M$1,[3]enemies!$1:$1,0)-MATCH($L$1,[3]enemies!$1:$1,0)+1,FALSE)</f>
        <v>影丸</v>
      </c>
      <c r="N7" s="14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4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4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4">
        <f ca="1">VLOOKUP($L7,OFFSET([3]enemies!$A$1,0,0,COUNTA([3]enemies!$A:$A),MATCH(Q$1,[3]enemies!$1:$1,0)-MATCH($L$1,[3]enemies!$1:$1,0)+1),MATCH(Q$1,[3]enemies!$1:$1,0)-MATCH($L$1,[3]enemies!$1:$1,0)+1,FALSE)</f>
        <v>15</v>
      </c>
      <c r="R7" s="4">
        <v>55</v>
      </c>
      <c r="S7" s="22">
        <v>10</v>
      </c>
      <c r="T7" s="22">
        <v>1.6</v>
      </c>
      <c r="U7" s="4">
        <v>10000</v>
      </c>
      <c r="V7" s="3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" s="3">
        <v>0</v>
      </c>
      <c r="X7" s="5">
        <v>2</v>
      </c>
      <c r="Y7" s="5">
        <v>100</v>
      </c>
      <c r="Z7" s="5">
        <v>0</v>
      </c>
      <c r="AA7" s="14">
        <v>2</v>
      </c>
      <c r="AB7" s="146">
        <f t="shared" si="8"/>
        <v>374</v>
      </c>
      <c r="AC7" s="3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影丸</v>
      </c>
      <c r="AD7" s="3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3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105">
        <v>1</v>
      </c>
      <c r="AG7" s="146">
        <f t="shared" ca="1" si="9"/>
        <v>2</v>
      </c>
      <c r="AH7" s="7">
        <v>0</v>
      </c>
      <c r="AI7" s="105">
        <v>0</v>
      </c>
      <c r="AJ7" s="105">
        <v>0</v>
      </c>
      <c r="AK7" s="105">
        <v>0</v>
      </c>
      <c r="AL7" s="105">
        <v>0</v>
      </c>
      <c r="AM7" s="105">
        <v>1</v>
      </c>
      <c r="AN7" s="57">
        <v>1</v>
      </c>
    </row>
    <row r="8" spans="1:40" s="147" customFormat="1" ht="21" customHeight="1" x14ac:dyDescent="0.15">
      <c r="A8" s="103" t="str">
        <f t="shared" ref="A8" si="15">B8&amp;"_"&amp;C8&amp;"-"&amp;G8&amp;"/"&amp;L8&amp;"&lt;lv"&amp;R8&amp;"&gt;s"&amp;AA8</f>
        <v>49002_1-4/704&lt;lv60&gt;s2</v>
      </c>
      <c r="B8" s="19">
        <v>49002</v>
      </c>
      <c r="C8" s="106">
        <v>1</v>
      </c>
      <c r="D8" s="12" t="str">
        <f t="shared" ref="D8" si="16">B8&amp;"_"&amp;C8</f>
        <v>49002_1</v>
      </c>
      <c r="E8" s="3" t="e">
        <f ca="1">VLOOKUP($B8,OFFSET([2]quests!$A$1,0,0,COUNTA([2]quests!$A:$A),MATCH(E$1,[2]quests!$1:$1,0)-MATCH($B$1,[2]quests!$1:$1,0)+1),MATCH(E$1,[2]quests!$1:$1,0)-MATCH($B$1,[2]quests!$1:$1,0)+1,FALSE)</f>
        <v>#VALUE!</v>
      </c>
      <c r="F8" s="3" t="e">
        <f ca="1">VLOOKUP($D8,OFFSET([2]stages!$A$1,0,0,COUNTA([2]stages!$A:$A),MATCH(F$1,[2]stages!$2:$2,0)-MATCH($D$1,[2]stages!$2:$2,0)+1),MATCH(F$1,[2]stages!$2:$2,0)-MATCH($D$1,[2]stages!$2:$2,0)+1,FALSE)</f>
        <v>#VALUE!</v>
      </c>
      <c r="G8" s="106">
        <v>4</v>
      </c>
      <c r="H8" s="12" t="str">
        <f t="shared" ref="H8" si="17">B8&amp;"_"&amp;C8&amp;"-"&amp;G8</f>
        <v>49002_1-4</v>
      </c>
      <c r="I8" s="3">
        <f ca="1">VLOOKUP($H8,OFFSET(floors!$A$1,0,0,COUNTA(floors!$A:$A),MATCH(I$1,floors!$1:$1,0)-MATCH($H$1,floors!$1:$1,0)+1),MATCH(I$1,floors!$1:$1,0)-MATCH($H$1,floors!$1:$1,0)+1,FALSE)</f>
        <v>60</v>
      </c>
      <c r="J8" s="3">
        <f ca="1">VLOOKUP($H8,OFFSET(floors!$A$1,0,0,COUNTA(floors!$A:$A),MATCH(J$1,floors!$1:$1,0)-MATCH($H$1,floors!$1:$1,0)+1),MATCH(J$1,floors!$1:$1,0)-MATCH($H$1,floors!$1:$1,0)+1,FALSE)</f>
        <v>60</v>
      </c>
      <c r="K8" s="26">
        <v>1</v>
      </c>
      <c r="L8" s="145">
        <v>704</v>
      </c>
      <c r="M8" s="14" t="str">
        <f ca="1">VLOOKUP($L8,OFFSET([3]enemies!$A$1,0,0,COUNTA([3]enemies!$A:$A),MATCH(M$1,[3]enemies!$1:$1,0)-MATCH($L$1,[3]enemies!$1:$1,0)+1),MATCH(M$1,[3]enemies!$1:$1,0)-MATCH($L$1,[3]enemies!$1:$1,0)+1,FALSE)</f>
        <v>贄川春奈</v>
      </c>
      <c r="N8" s="14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4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4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4">
        <f ca="1">VLOOKUP($L8,OFFSET([3]enemies!$A$1,0,0,COUNTA([3]enemies!$A:$A),MATCH(Q$1,[3]enemies!$1:$1,0)-MATCH($L$1,[3]enemies!$1:$1,0)+1),MATCH(Q$1,[3]enemies!$1:$1,0)-MATCH($L$1,[3]enemies!$1:$1,0)+1,FALSE)</f>
        <v>25</v>
      </c>
      <c r="R8" s="4">
        <v>60</v>
      </c>
      <c r="S8" s="22">
        <v>2</v>
      </c>
      <c r="T8" s="22">
        <v>1.2</v>
      </c>
      <c r="U8" s="4">
        <v>0</v>
      </c>
      <c r="V8" s="3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8" s="3">
        <v>49002006</v>
      </c>
      <c r="X8" s="5">
        <v>1</v>
      </c>
      <c r="Y8" s="5">
        <v>100</v>
      </c>
      <c r="Z8" s="5">
        <v>1</v>
      </c>
      <c r="AA8" s="14">
        <v>2</v>
      </c>
      <c r="AB8" s="146">
        <f t="shared" ref="AB8" si="18">L8</f>
        <v>704</v>
      </c>
      <c r="AC8" s="3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贄川春奈</v>
      </c>
      <c r="AD8" s="3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3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8" s="105">
        <v>1</v>
      </c>
      <c r="AG8" s="146">
        <f t="shared" ref="AG8" ca="1" si="19">AD8</f>
        <v>3</v>
      </c>
      <c r="AH8" s="7">
        <v>0</v>
      </c>
      <c r="AI8" s="105">
        <v>0</v>
      </c>
      <c r="AJ8" s="105">
        <v>0</v>
      </c>
      <c r="AK8" s="105">
        <v>0</v>
      </c>
      <c r="AL8" s="105">
        <v>0</v>
      </c>
      <c r="AM8" s="105">
        <v>1</v>
      </c>
      <c r="AN8" s="57">
        <v>1</v>
      </c>
    </row>
    <row r="9" spans="1:40" s="158" customFormat="1" ht="21" customHeight="1" thickBot="1" x14ac:dyDescent="0.2">
      <c r="A9" s="108" t="str">
        <f t="shared" si="5"/>
        <v>49002_1-5/698&lt;lv70&gt;s2</v>
      </c>
      <c r="B9" s="148">
        <v>49002</v>
      </c>
      <c r="C9" s="112">
        <v>1</v>
      </c>
      <c r="D9" s="114" t="str">
        <f t="shared" si="6"/>
        <v>49002_1</v>
      </c>
      <c r="E9" s="149" t="e">
        <f ca="1">VLOOKUP($B9,OFFSET([2]quests!$A$1,0,0,COUNTA([2]quests!$A:$A),MATCH(E$1,[2]quests!$1:$1,0)-MATCH($B$1,[2]quests!$1:$1,0)+1),MATCH(E$1,[2]quests!$1:$1,0)-MATCH($B$1,[2]quests!$1:$1,0)+1,FALSE)</f>
        <v>#VALUE!</v>
      </c>
      <c r="F9" s="149" t="e">
        <f ca="1">VLOOKUP($D9,OFFSET([2]stages!$A$1,0,0,COUNTA([2]stages!$A:$A),MATCH(F$1,[2]stages!$2:$2,0)-MATCH($D$1,[2]stages!$2:$2,0)+1),MATCH(F$1,[2]stages!$2:$2,0)-MATCH($D$1,[2]stages!$2:$2,0)+1,FALSE)</f>
        <v>#VALUE!</v>
      </c>
      <c r="G9" s="112">
        <v>5</v>
      </c>
      <c r="H9" s="114" t="str">
        <f t="shared" si="7"/>
        <v>49002_1-5</v>
      </c>
      <c r="I9" s="149">
        <f ca="1">VLOOKUP($H9,OFFSET(floors!$A$1,0,0,COUNTA(floors!$A:$A),MATCH(I$1,floors!$1:$1,0)-MATCH($H$1,floors!$1:$1,0)+1),MATCH(I$1,floors!$1:$1,0)-MATCH($H$1,floors!$1:$1,0)+1,FALSE)</f>
        <v>60</v>
      </c>
      <c r="J9" s="149">
        <f ca="1">VLOOKUP($H9,OFFSET(floors!$A$1,0,0,COUNTA(floors!$A:$A),MATCH(J$1,floors!$1:$1,0)-MATCH($H$1,floors!$1:$1,0)+1),MATCH(J$1,floors!$1:$1,0)-MATCH($H$1,floors!$1:$1,0)+1,FALSE)</f>
        <v>60</v>
      </c>
      <c r="K9" s="115">
        <v>2</v>
      </c>
      <c r="L9" s="150">
        <v>698</v>
      </c>
      <c r="M9" s="151" t="str">
        <f ca="1">VLOOKUP($L9,OFFSET([3]enemies!$A$1,0,0,COUNTA([3]enemies!$A:$A),MATCH(M$1,[3]enemies!$1:$1,0)-MATCH($L$1,[3]enemies!$1:$1,0)+1),MATCH(M$1,[3]enemies!$1:$1,0)-MATCH($L$1,[3]enemies!$1:$1,0)+1,FALSE)</f>
        <v>園原杏里</v>
      </c>
      <c r="N9" s="151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51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51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51">
        <f ca="1">VLOOKUP($L9,OFFSET([3]enemies!$A$1,0,0,COUNTA([3]enemies!$A:$A),MATCH(Q$1,[3]enemies!$1:$1,0)-MATCH($L$1,[3]enemies!$1:$1,0)+1),MATCH(Q$1,[3]enemies!$1:$1,0)-MATCH($L$1,[3]enemies!$1:$1,0)+1,FALSE)</f>
        <v>60</v>
      </c>
      <c r="R9" s="152">
        <v>70</v>
      </c>
      <c r="S9" s="153">
        <v>2</v>
      </c>
      <c r="T9" s="153">
        <v>1</v>
      </c>
      <c r="U9" s="152">
        <v>0</v>
      </c>
      <c r="V9" s="149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9" s="149">
        <v>49002008</v>
      </c>
      <c r="X9" s="154">
        <v>1</v>
      </c>
      <c r="Y9" s="154">
        <v>100</v>
      </c>
      <c r="Z9" s="154">
        <v>1</v>
      </c>
      <c r="AA9" s="151">
        <v>2</v>
      </c>
      <c r="AB9" s="155">
        <f t="shared" si="8"/>
        <v>698</v>
      </c>
      <c r="AC9" s="149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園原杏里</v>
      </c>
      <c r="AD9" s="149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149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110">
        <v>1</v>
      </c>
      <c r="AG9" s="155">
        <f t="shared" ca="1" si="9"/>
        <v>5</v>
      </c>
      <c r="AH9" s="156">
        <v>30</v>
      </c>
      <c r="AI9" s="110">
        <v>0</v>
      </c>
      <c r="AJ9" s="110">
        <v>0</v>
      </c>
      <c r="AK9" s="110">
        <v>0</v>
      </c>
      <c r="AL9" s="110">
        <v>0</v>
      </c>
      <c r="AM9" s="110">
        <v>1</v>
      </c>
      <c r="AN9" s="157">
        <v>1</v>
      </c>
    </row>
    <row r="10" spans="1:40" ht="21" customHeight="1" x14ac:dyDescent="0.15">
      <c r="A10" s="13" t="str">
        <f t="shared" si="5"/>
        <v>49002_2-1/704&lt;lv60&gt;s1</v>
      </c>
      <c r="B10" s="19">
        <v>49002</v>
      </c>
      <c r="C10" s="123">
        <v>2</v>
      </c>
      <c r="D10" s="124" t="str">
        <f t="shared" si="6"/>
        <v>49002_2</v>
      </c>
      <c r="E10" s="3" t="e">
        <f ca="1">VLOOKUP($B10,OFFSET([2]quests!$A$1,0,0,COUNTA([2]quests!$A:$A),MATCH(E$1,[2]quests!$1:$1,0)-MATCH($B$1,[2]quests!$1:$1,0)+1),MATCH(E$1,[2]quests!$1:$1,0)-MATCH($B$1,[2]quests!$1:$1,0)+1,FALSE)</f>
        <v>#VALUE!</v>
      </c>
      <c r="F10" s="3" t="e">
        <f ca="1">VLOOKUP($D10,OFFSET([2]stages!$A$1,0,0,COUNTA([2]stages!$A:$A),MATCH(F$1,[2]stages!$2:$2,0)-MATCH($D$1,[2]stages!$2:$2,0)+1),MATCH(F$1,[2]stages!$2:$2,0)-MATCH($D$1,[2]stages!$2:$2,0)+1,FALSE)</f>
        <v>#VALUE!</v>
      </c>
      <c r="G10" s="123">
        <v>1</v>
      </c>
      <c r="H10" s="124" t="str">
        <f t="shared" si="7"/>
        <v>49002_2-1</v>
      </c>
      <c r="I10" s="3">
        <f ca="1">VLOOKUP($H10,OFFSET(floors!$A$1,0,0,COUNTA(floors!$A:$A),MATCH(I$1,floors!$1:$1,0)-MATCH($H$1,floors!$1:$1,0)+1),MATCH(I$1,floors!$1:$1,0)-MATCH($H$1,floors!$1:$1,0)+1,FALSE)</f>
        <v>60</v>
      </c>
      <c r="J10" s="3">
        <f ca="1">VLOOKUP($H10,OFFSET(floors!$A$1,0,0,COUNTA(floors!$A:$A),MATCH(J$1,floors!$1:$1,0)-MATCH($H$1,floors!$1:$1,0)+1),MATCH(J$1,floors!$1:$1,0)-MATCH($H$1,floors!$1:$1,0)+1,FALSE)</f>
        <v>60</v>
      </c>
      <c r="K10" s="125" t="s">
        <v>53</v>
      </c>
      <c r="L10" s="126">
        <v>704</v>
      </c>
      <c r="M10" s="14" t="str">
        <f ca="1">VLOOKUP($L10,OFFSET([3]enemies!$A$1,0,0,COUNTA([3]enemies!$A:$A),MATCH(M$1,[3]enemies!$1:$1,0)-MATCH($L$1,[3]enemies!$1:$1,0)+1),MATCH(M$1,[3]enemies!$1:$1,0)-MATCH($L$1,[3]enemies!$1:$1,0)+1,FALSE)</f>
        <v>贄川春奈</v>
      </c>
      <c r="N10" s="14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4" t="str">
        <f ca="1">VLOOKUP($L10,OFFSET([4]characters!$A$1,0,0,COUNTA([4]characters!$A:$A),MATCH(O$1,[4]characters!$1:$1,0)-MATCH($L$1,[4]characters!$1:$1,0)+1),MATCH(O$1,[4]characters!$1:$1,0)-MATCH($L$1,[4]characters!$1:$1,0)+1,FALSE)</f>
        <v>PremiumN</v>
      </c>
      <c r="P10" s="14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4">
        <f ca="1">VLOOKUP($L10,OFFSET([3]enemies!$A$1,0,0,COUNTA([3]enemies!$A:$A),MATCH(Q$1,[3]enemies!$1:$1,0)-MATCH($L$1,[3]enemies!$1:$1,0)+1),MATCH(Q$1,[3]enemies!$1:$1,0)-MATCH($L$1,[3]enemies!$1:$1,0)+1,FALSE)</f>
        <v>25</v>
      </c>
      <c r="R10" s="127">
        <v>60</v>
      </c>
      <c r="S10" s="128">
        <v>1</v>
      </c>
      <c r="T10" s="128">
        <v>1</v>
      </c>
      <c r="U10" s="127">
        <v>10000</v>
      </c>
      <c r="V10" s="3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0" s="3">
        <v>49002011</v>
      </c>
      <c r="X10" s="129">
        <v>1</v>
      </c>
      <c r="Y10" s="129">
        <v>100</v>
      </c>
      <c r="Z10" s="129">
        <v>1</v>
      </c>
      <c r="AA10" s="14">
        <v>1</v>
      </c>
      <c r="AB10" s="130">
        <f t="shared" si="8"/>
        <v>704</v>
      </c>
      <c r="AC10" s="3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贄川春奈</v>
      </c>
      <c r="AD10" s="3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3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0" s="131">
        <v>1</v>
      </c>
      <c r="AG10" s="130">
        <f t="shared" ca="1" si="9"/>
        <v>3</v>
      </c>
      <c r="AH10" s="132">
        <v>0</v>
      </c>
      <c r="AI10" s="131">
        <v>0</v>
      </c>
      <c r="AJ10" s="131">
        <v>0</v>
      </c>
      <c r="AK10" s="131">
        <v>0</v>
      </c>
      <c r="AL10" s="131">
        <v>0</v>
      </c>
      <c r="AM10" s="131">
        <v>1</v>
      </c>
      <c r="AN10" s="133">
        <v>1</v>
      </c>
    </row>
    <row r="11" spans="1:40" ht="21" customHeight="1" x14ac:dyDescent="0.15">
      <c r="A11" s="13" t="str">
        <f>B11&amp;"_"&amp;C11&amp;"-"&amp;G11&amp;"/"&amp;L11&amp;"&lt;lv"&amp;R11&amp;"&gt;s"&amp;AA11</f>
        <v>49002_2-2/53&lt;lv55&gt;s1</v>
      </c>
      <c r="B11" s="19">
        <v>49002</v>
      </c>
      <c r="C11" s="18">
        <v>2</v>
      </c>
      <c r="D11" s="1" t="str">
        <f>B11&amp;"_"&amp;C11</f>
        <v>49002_2</v>
      </c>
      <c r="E11" s="3" t="e">
        <f ca="1">VLOOKUP($B11,OFFSET([2]quests!$A$1,0,0,COUNTA([2]quests!$A:$A),MATCH(E$1,[2]quests!$1:$1,0)-MATCH($B$1,[2]quests!$1:$1,0)+1),MATCH(E$1,[2]quests!$1:$1,0)-MATCH($B$1,[2]quests!$1:$1,0)+1,FALSE)</f>
        <v>#VALUE!</v>
      </c>
      <c r="F11" s="3" t="e">
        <f ca="1">VLOOKUP($D11,OFFSET([2]stages!$A$1,0,0,COUNTA([2]stages!$A:$A),MATCH(F$1,[2]stages!$2:$2,0)-MATCH($D$1,[2]stages!$2:$2,0)+1),MATCH(F$1,[2]stages!$2:$2,0)-MATCH($D$1,[2]stages!$2:$2,0)+1,FALSE)</f>
        <v>#VALUE!</v>
      </c>
      <c r="G11" s="18">
        <v>2</v>
      </c>
      <c r="H11" s="12" t="str">
        <f>B11&amp;"_"&amp;C11&amp;"-"&amp;G11</f>
        <v>49002_2-2</v>
      </c>
      <c r="I11" s="3">
        <f ca="1">VLOOKUP($H11,OFFSET(floors!$A$1,0,0,COUNTA(floors!$A:$A),MATCH(I$1,floors!$1:$1,0)-MATCH($H$1,floors!$1:$1,0)+1),MATCH(I$1,floors!$1:$1,0)-MATCH($H$1,floors!$1:$1,0)+1,FALSE)</f>
        <v>60</v>
      </c>
      <c r="J11" s="3">
        <f ca="1">VLOOKUP($H11,OFFSET(floors!$A$1,0,0,COUNTA(floors!$A:$A),MATCH(J$1,floors!$1:$1,0)-MATCH($H$1,floors!$1:$1,0)+1),MATCH(J$1,floors!$1:$1,0)-MATCH($H$1,floors!$1:$1,0)+1,FALSE)</f>
        <v>60</v>
      </c>
      <c r="K11" s="26" t="s">
        <v>53</v>
      </c>
      <c r="L11" s="17">
        <v>53</v>
      </c>
      <c r="M11" s="14" t="str">
        <f ca="1">VLOOKUP($L11,OFFSET([3]enemies!$A$1,0,0,COUNTA([3]enemies!$A:$A),MATCH(M$1,[3]enemies!$1:$1,0)-MATCH($L$1,[3]enemies!$1:$1,0)+1),MATCH(M$1,[3]enemies!$1:$1,0)-MATCH($L$1,[3]enemies!$1:$1,0)+1,FALSE)</f>
        <v>ケンジ</v>
      </c>
      <c r="N11" s="14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4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4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4">
        <f ca="1">VLOOKUP($L11,OFFSET([3]enemies!$A$1,0,0,COUNTA([3]enemies!$A:$A),MATCH(Q$1,[3]enemies!$1:$1,0)-MATCH($L$1,[3]enemies!$1:$1,0)+1),MATCH(Q$1,[3]enemies!$1:$1,0)-MATCH($L$1,[3]enemies!$1:$1,0)+1,FALSE)</f>
        <v>15</v>
      </c>
      <c r="R11" s="4">
        <v>55</v>
      </c>
      <c r="S11" s="22">
        <v>1.5</v>
      </c>
      <c r="T11" s="22">
        <v>1.2</v>
      </c>
      <c r="U11" s="4">
        <v>0</v>
      </c>
      <c r="V11" s="3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1" s="3">
        <v>49002000</v>
      </c>
      <c r="X11" s="5">
        <v>2</v>
      </c>
      <c r="Y11" s="5">
        <v>100</v>
      </c>
      <c r="Z11" s="5">
        <v>0</v>
      </c>
      <c r="AA11" s="14">
        <v>1</v>
      </c>
      <c r="AB11" s="21">
        <f>L11</f>
        <v>53</v>
      </c>
      <c r="AC11" s="3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11" s="3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3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6">
        <v>1</v>
      </c>
      <c r="AG11" s="21">
        <f ca="1">AD11</f>
        <v>2</v>
      </c>
      <c r="AH11" s="7">
        <v>0</v>
      </c>
      <c r="AI11" s="6">
        <v>0</v>
      </c>
      <c r="AJ11" s="6">
        <v>0</v>
      </c>
      <c r="AK11" s="6">
        <v>0</v>
      </c>
      <c r="AL11" s="6">
        <v>0</v>
      </c>
      <c r="AM11" s="6">
        <v>1</v>
      </c>
      <c r="AN11" s="57">
        <v>1</v>
      </c>
    </row>
    <row r="12" spans="1:40" ht="21" customHeight="1" x14ac:dyDescent="0.15">
      <c r="A12" s="13" t="str">
        <f>B12&amp;"_"&amp;C12&amp;"-"&amp;G12&amp;"/"&amp;L12&amp;"&lt;lv"&amp;R12&amp;"&gt;s"&amp;AA12</f>
        <v>49002_2-2/162&lt;lv50&gt;s2</v>
      </c>
      <c r="B12" s="19">
        <v>49002</v>
      </c>
      <c r="C12" s="18">
        <v>2</v>
      </c>
      <c r="D12" s="1" t="str">
        <f>B12&amp;"_"&amp;C12</f>
        <v>49002_2</v>
      </c>
      <c r="E12" s="3" t="e">
        <f ca="1">VLOOKUP($B12,OFFSET([2]quests!$A$1,0,0,COUNTA([2]quests!$A:$A),MATCH(E$1,[2]quests!$1:$1,0)-MATCH($B$1,[2]quests!$1:$1,0)+1),MATCH(E$1,[2]quests!$1:$1,0)-MATCH($B$1,[2]quests!$1:$1,0)+1,FALSE)</f>
        <v>#VALUE!</v>
      </c>
      <c r="F12" s="3" t="e">
        <f ca="1">VLOOKUP($D12,OFFSET([2]stages!$A$1,0,0,COUNTA([2]stages!$A:$A),MATCH(F$1,[2]stages!$2:$2,0)-MATCH($D$1,[2]stages!$2:$2,0)+1),MATCH(F$1,[2]stages!$2:$2,0)-MATCH($D$1,[2]stages!$2:$2,0)+1,FALSE)</f>
        <v>#VALUE!</v>
      </c>
      <c r="G12" s="18">
        <v>2</v>
      </c>
      <c r="H12" s="12" t="str">
        <f>B12&amp;"_"&amp;C12&amp;"-"&amp;G12</f>
        <v>49002_2-2</v>
      </c>
      <c r="I12" s="3">
        <f ca="1">VLOOKUP($H12,OFFSET(floors!$A$1,0,0,COUNTA(floors!$A:$A),MATCH(I$1,floors!$1:$1,0)-MATCH($H$1,floors!$1:$1,0)+1),MATCH(I$1,floors!$1:$1,0)-MATCH($H$1,floors!$1:$1,0)+1,FALSE)</f>
        <v>60</v>
      </c>
      <c r="J12" s="3">
        <f ca="1">VLOOKUP($H12,OFFSET(floors!$A$1,0,0,COUNTA(floors!$A:$A),MATCH(J$1,floors!$1:$1,0)-MATCH($H$1,floors!$1:$1,0)+1),MATCH(J$1,floors!$1:$1,0)-MATCH($H$1,floors!$1:$1,0)+1,FALSE)</f>
        <v>60</v>
      </c>
      <c r="K12" s="26" t="s">
        <v>53</v>
      </c>
      <c r="L12" s="17">
        <v>162</v>
      </c>
      <c r="M12" s="14" t="str">
        <f ca="1">VLOOKUP($L12,OFFSET([3]enemies!$A$1,0,0,COUNTA([3]enemies!$A:$A),MATCH(M$1,[3]enemies!$1:$1,0)-MATCH($L$1,[3]enemies!$1:$1,0)+1),MATCH(M$1,[3]enemies!$1:$1,0)-MATCH($L$1,[3]enemies!$1:$1,0)+1,FALSE)</f>
        <v>狂女 クララ</v>
      </c>
      <c r="N12" s="14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4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4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4">
        <f ca="1">VLOOKUP($L12,OFFSET([3]enemies!$A$1,0,0,COUNTA([3]enemies!$A:$A),MATCH(Q$1,[3]enemies!$1:$1,0)-MATCH($L$1,[3]enemies!$1:$1,0)+1),MATCH(Q$1,[3]enemies!$1:$1,0)-MATCH($L$1,[3]enemies!$1:$1,0)+1,FALSE)</f>
        <v>20</v>
      </c>
      <c r="R12" s="4">
        <v>50</v>
      </c>
      <c r="S12" s="22">
        <v>1.2</v>
      </c>
      <c r="T12" s="22">
        <v>1</v>
      </c>
      <c r="U12" s="4">
        <v>0</v>
      </c>
      <c r="V12" s="3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2" s="3">
        <v>49002001</v>
      </c>
      <c r="X12" s="5">
        <v>1</v>
      </c>
      <c r="Y12" s="5">
        <v>100</v>
      </c>
      <c r="Z12" s="5">
        <v>1</v>
      </c>
      <c r="AA12" s="14">
        <v>2</v>
      </c>
      <c r="AB12" s="21">
        <f>L12</f>
        <v>162</v>
      </c>
      <c r="AC12" s="3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狂女 クララ</v>
      </c>
      <c r="AD12" s="3">
        <f ca="1">VLOOKUP($AB12,OFFSET([4]characters!$A$1,0,0,COUNTA([4]characters!$A:$A),MATCH(AD$1,[4]characters!$1:$1,0)-MATCH("character_id",[4]characters!$1:$1,0)+1),MATCH(AD$1,[4]characters!$1:$1,0)-MATCH("character_id",[4]characters!$1:$1,0)+1,FALSE)</f>
        <v>3</v>
      </c>
      <c r="AE12" s="3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2" s="6">
        <v>1</v>
      </c>
      <c r="AG12" s="21">
        <f ca="1">AD12</f>
        <v>3</v>
      </c>
      <c r="AH12" s="7">
        <v>0</v>
      </c>
      <c r="AI12" s="6">
        <v>0</v>
      </c>
      <c r="AJ12" s="6">
        <v>0</v>
      </c>
      <c r="AK12" s="6">
        <v>0</v>
      </c>
      <c r="AL12" s="6">
        <v>0</v>
      </c>
      <c r="AM12" s="6">
        <v>1</v>
      </c>
      <c r="AN12" s="57">
        <v>1</v>
      </c>
    </row>
    <row r="13" spans="1:40" ht="21" customHeight="1" x14ac:dyDescent="0.15">
      <c r="A13" s="13" t="str">
        <f t="shared" ref="A13:A17" si="20">B13&amp;"_"&amp;C13&amp;"-"&amp;G13&amp;"/"&amp;L13&amp;"&lt;lv"&amp;R13&amp;"&gt;s"&amp;AA13</f>
        <v>49002_2-3/696&lt;lv60&gt;s1</v>
      </c>
      <c r="B13" s="19">
        <v>49002</v>
      </c>
      <c r="C13" s="18">
        <v>2</v>
      </c>
      <c r="D13" s="1" t="str">
        <f t="shared" ref="D13:D17" si="21">B13&amp;"_"&amp;C13</f>
        <v>49002_2</v>
      </c>
      <c r="E13" s="3" t="e">
        <f ca="1">VLOOKUP($B13,OFFSET([2]quests!$A$1,0,0,COUNTA([2]quests!$A:$A),MATCH(E$1,[2]quests!$1:$1,0)-MATCH($B$1,[2]quests!$1:$1,0)+1),MATCH(E$1,[2]quests!$1:$1,0)-MATCH($B$1,[2]quests!$1:$1,0)+1,FALSE)</f>
        <v>#VALUE!</v>
      </c>
      <c r="F13" s="3" t="e">
        <f ca="1">VLOOKUP($D13,OFFSET([2]stages!$A$1,0,0,COUNTA([2]stages!$A:$A),MATCH(F$1,[2]stages!$2:$2,0)-MATCH($D$1,[2]stages!$2:$2,0)+1),MATCH(F$1,[2]stages!$2:$2,0)-MATCH($D$1,[2]stages!$2:$2,0)+1,FALSE)</f>
        <v>#VALUE!</v>
      </c>
      <c r="G13" s="18">
        <v>3</v>
      </c>
      <c r="H13" s="12" t="str">
        <f t="shared" ref="H13:H17" si="22">B13&amp;"_"&amp;C13&amp;"-"&amp;G13</f>
        <v>49002_2-3</v>
      </c>
      <c r="I13" s="3">
        <f ca="1">VLOOKUP($H13,OFFSET(floors!$A$1,0,0,COUNTA(floors!$A:$A),MATCH(I$1,floors!$1:$1,0)-MATCH($H$1,floors!$1:$1,0)+1),MATCH(I$1,floors!$1:$1,0)-MATCH($H$1,floors!$1:$1,0)+1,FALSE)</f>
        <v>60</v>
      </c>
      <c r="J13" s="3">
        <f ca="1">VLOOKUP($H13,OFFSET(floors!$A$1,0,0,COUNTA(floors!$A:$A),MATCH(J$1,floors!$1:$1,0)-MATCH($H$1,floors!$1:$1,0)+1),MATCH(J$1,floors!$1:$1,0)-MATCH($H$1,floors!$1:$1,0)+1,FALSE)</f>
        <v>60</v>
      </c>
      <c r="K13" s="26" t="s">
        <v>53</v>
      </c>
      <c r="L13" s="17">
        <v>696</v>
      </c>
      <c r="M13" s="14" t="str">
        <f ca="1">VLOOKUP($L13,OFFSET([3]enemies!$A$1,0,0,COUNTA([3]enemies!$A:$A),MATCH(M$1,[3]enemies!$1:$1,0)-MATCH($L$1,[3]enemies!$1:$1,0)+1),MATCH(M$1,[3]enemies!$1:$1,0)-MATCH($L$1,[3]enemies!$1:$1,0)+1,FALSE)</f>
        <v>生きる都市伝説　セルティ</v>
      </c>
      <c r="N13" s="14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4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4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4">
        <f ca="1">VLOOKUP($L13,OFFSET([3]enemies!$A$1,0,0,COUNTA([3]enemies!$A:$A),MATCH(Q$1,[3]enemies!$1:$1,0)-MATCH($L$1,[3]enemies!$1:$1,0)+1),MATCH(Q$1,[3]enemies!$1:$1,0)-MATCH($L$1,[3]enemies!$1:$1,0)+1,FALSE)</f>
        <v>30</v>
      </c>
      <c r="R13" s="4">
        <v>60</v>
      </c>
      <c r="S13" s="22">
        <v>1</v>
      </c>
      <c r="T13" s="22">
        <v>1</v>
      </c>
      <c r="U13" s="4">
        <v>10000</v>
      </c>
      <c r="V13" s="3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3" s="3">
        <v>49002002</v>
      </c>
      <c r="X13" s="5">
        <v>1</v>
      </c>
      <c r="Y13" s="5">
        <v>100</v>
      </c>
      <c r="Z13" s="5">
        <v>1</v>
      </c>
      <c r="AA13" s="14">
        <v>1</v>
      </c>
      <c r="AB13" s="21">
        <f t="shared" ref="AB13:AB17" si="23">L13</f>
        <v>696</v>
      </c>
      <c r="AC13" s="3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生きる都市伝説　セルティ</v>
      </c>
      <c r="AD13" s="3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3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6">
        <v>1</v>
      </c>
      <c r="AG13" s="21">
        <f t="shared" ref="AG13:AG17" ca="1" si="24">AD13</f>
        <v>4</v>
      </c>
      <c r="AH13" s="7">
        <v>0</v>
      </c>
      <c r="AI13" s="6">
        <v>0</v>
      </c>
      <c r="AJ13" s="6">
        <v>0</v>
      </c>
      <c r="AK13" s="6">
        <v>0</v>
      </c>
      <c r="AL13" s="6">
        <v>0</v>
      </c>
      <c r="AM13" s="6">
        <v>1</v>
      </c>
      <c r="AN13" s="57">
        <v>1</v>
      </c>
    </row>
    <row r="14" spans="1:40" ht="21" customHeight="1" x14ac:dyDescent="0.15">
      <c r="A14" s="13" t="str">
        <f t="shared" si="20"/>
        <v>49002_2-3/706&lt;lv60&gt;s1</v>
      </c>
      <c r="B14" s="19">
        <v>49002</v>
      </c>
      <c r="C14" s="18">
        <v>2</v>
      </c>
      <c r="D14" s="1" t="str">
        <f t="shared" si="21"/>
        <v>49002_2</v>
      </c>
      <c r="E14" s="3" t="e">
        <f ca="1">VLOOKUP($B14,OFFSET([2]quests!$A$1,0,0,COUNTA([2]quests!$A:$A),MATCH(E$1,[2]quests!$1:$1,0)-MATCH($B$1,[2]quests!$1:$1,0)+1),MATCH(E$1,[2]quests!$1:$1,0)-MATCH($B$1,[2]quests!$1:$1,0)+1,FALSE)</f>
        <v>#VALUE!</v>
      </c>
      <c r="F14" s="3" t="e">
        <f ca="1">VLOOKUP($D14,OFFSET([2]stages!$A$1,0,0,COUNTA([2]stages!$A:$A),MATCH(F$1,[2]stages!$2:$2,0)-MATCH($D$1,[2]stages!$2:$2,0)+1),MATCH(F$1,[2]stages!$2:$2,0)-MATCH($D$1,[2]stages!$2:$2,0)+1,FALSE)</f>
        <v>#VALUE!</v>
      </c>
      <c r="G14" s="18">
        <v>3</v>
      </c>
      <c r="H14" s="12" t="str">
        <f t="shared" si="22"/>
        <v>49002_2-3</v>
      </c>
      <c r="I14" s="3">
        <f ca="1">VLOOKUP($H14,OFFSET(floors!$A$1,0,0,COUNTA(floors!$A:$A),MATCH(I$1,floors!$1:$1,0)-MATCH($H$1,floors!$1:$1,0)+1),MATCH(I$1,floors!$1:$1,0)-MATCH($H$1,floors!$1:$1,0)+1,FALSE)</f>
        <v>60</v>
      </c>
      <c r="J14" s="3">
        <f ca="1">VLOOKUP($H14,OFFSET(floors!$A$1,0,0,COUNTA(floors!$A:$A),MATCH(J$1,floors!$1:$1,0)-MATCH($H$1,floors!$1:$1,0)+1),MATCH(J$1,floors!$1:$1,0)-MATCH($H$1,floors!$1:$1,0)+1,FALSE)</f>
        <v>60</v>
      </c>
      <c r="K14" s="26" t="s">
        <v>53</v>
      </c>
      <c r="L14" s="17">
        <v>706</v>
      </c>
      <c r="M14" s="14" t="str">
        <f ca="1">VLOOKUP($L14,OFFSET([3]enemies!$A$1,0,0,COUNTA([3]enemies!$A:$A),MATCH(M$1,[3]enemies!$1:$1,0)-MATCH($L$1,[3]enemies!$1:$1,0)+1),MATCH(M$1,[3]enemies!$1:$1,0)-MATCH($L$1,[3]enemies!$1:$1,0)+1,FALSE)</f>
        <v>岸谷新羅</v>
      </c>
      <c r="N14" s="14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4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4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4">
        <f ca="1">VLOOKUP($L14,OFFSET([3]enemies!$A$1,0,0,COUNTA([3]enemies!$A:$A),MATCH(Q$1,[3]enemies!$1:$1,0)-MATCH($L$1,[3]enemies!$1:$1,0)+1),MATCH(Q$1,[3]enemies!$1:$1,0)-MATCH($L$1,[3]enemies!$1:$1,0)+1,FALSE)</f>
        <v>30</v>
      </c>
      <c r="R14" s="4">
        <v>60</v>
      </c>
      <c r="S14" s="22">
        <v>1</v>
      </c>
      <c r="T14" s="22">
        <v>1</v>
      </c>
      <c r="U14" s="4">
        <v>10000</v>
      </c>
      <c r="V14" s="3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4" s="3">
        <v>49002003</v>
      </c>
      <c r="X14" s="5">
        <v>1</v>
      </c>
      <c r="Y14" s="5">
        <v>100</v>
      </c>
      <c r="Z14" s="5">
        <v>1</v>
      </c>
      <c r="AA14" s="14">
        <v>1</v>
      </c>
      <c r="AB14" s="21">
        <f t="shared" si="23"/>
        <v>706</v>
      </c>
      <c r="AC14" s="3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岸谷新羅</v>
      </c>
      <c r="AD14" s="3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3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4" s="6">
        <v>1</v>
      </c>
      <c r="AG14" s="21">
        <f t="shared" ca="1" si="24"/>
        <v>4</v>
      </c>
      <c r="AH14" s="7">
        <v>0</v>
      </c>
      <c r="AI14" s="6">
        <v>0</v>
      </c>
      <c r="AJ14" s="6">
        <v>0</v>
      </c>
      <c r="AK14" s="6">
        <v>0</v>
      </c>
      <c r="AL14" s="6">
        <v>0</v>
      </c>
      <c r="AM14" s="6">
        <v>1</v>
      </c>
      <c r="AN14" s="57">
        <v>1</v>
      </c>
    </row>
    <row r="15" spans="1:40" ht="21" customHeight="1" x14ac:dyDescent="0.15">
      <c r="A15" s="13" t="str">
        <f t="shared" si="20"/>
        <v>49002_2-4/374&lt;lv55&gt;s2</v>
      </c>
      <c r="B15" s="19">
        <v>49002</v>
      </c>
      <c r="C15" s="18">
        <v>2</v>
      </c>
      <c r="D15" s="1" t="str">
        <f t="shared" si="21"/>
        <v>49002_2</v>
      </c>
      <c r="E15" s="3" t="e">
        <f ca="1">VLOOKUP($B15,OFFSET([2]quests!$A$1,0,0,COUNTA([2]quests!$A:$A),MATCH(E$1,[2]quests!$1:$1,0)-MATCH($B$1,[2]quests!$1:$1,0)+1),MATCH(E$1,[2]quests!$1:$1,0)-MATCH($B$1,[2]quests!$1:$1,0)+1,FALSE)</f>
        <v>#VALUE!</v>
      </c>
      <c r="F15" s="3" t="e">
        <f ca="1">VLOOKUP($D15,OFFSET([2]stages!$A$1,0,0,COUNTA([2]stages!$A:$A),MATCH(F$1,[2]stages!$2:$2,0)-MATCH($D$1,[2]stages!$2:$2,0)+1),MATCH(F$1,[2]stages!$2:$2,0)-MATCH($D$1,[2]stages!$2:$2,0)+1,FALSE)</f>
        <v>#VALUE!</v>
      </c>
      <c r="G15" s="18">
        <v>4</v>
      </c>
      <c r="H15" s="12" t="str">
        <f t="shared" si="22"/>
        <v>49002_2-4</v>
      </c>
      <c r="I15" s="3">
        <f ca="1">VLOOKUP($H15,OFFSET(floors!$A$1,0,0,COUNTA(floors!$A:$A),MATCH(I$1,floors!$1:$1,0)-MATCH($H$1,floors!$1:$1,0)+1),MATCH(I$1,floors!$1:$1,0)-MATCH($H$1,floors!$1:$1,0)+1,FALSE)</f>
        <v>60</v>
      </c>
      <c r="J15" s="3">
        <f ca="1">VLOOKUP($H15,OFFSET(floors!$A$1,0,0,COUNTA(floors!$A:$A),MATCH(J$1,floors!$1:$1,0)-MATCH($H$1,floors!$1:$1,0)+1),MATCH(J$1,floors!$1:$1,0)-MATCH($H$1,floors!$1:$1,0)+1,FALSE)</f>
        <v>60</v>
      </c>
      <c r="K15" s="26" t="s">
        <v>53</v>
      </c>
      <c r="L15" s="17">
        <v>374</v>
      </c>
      <c r="M15" s="14" t="str">
        <f ca="1">VLOOKUP($L15,OFFSET([3]enemies!$A$1,0,0,COUNTA([3]enemies!$A:$A),MATCH(M$1,[3]enemies!$1:$1,0)-MATCH($L$1,[3]enemies!$1:$1,0)+1),MATCH(M$1,[3]enemies!$1:$1,0)-MATCH($L$1,[3]enemies!$1:$1,0)+1,FALSE)</f>
        <v>影丸</v>
      </c>
      <c r="N15" s="14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4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4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4">
        <f ca="1">VLOOKUP($L15,OFFSET([3]enemies!$A$1,0,0,COUNTA([3]enemies!$A:$A),MATCH(Q$1,[3]enemies!$1:$1,0)-MATCH($L$1,[3]enemies!$1:$1,0)+1),MATCH(Q$1,[3]enemies!$1:$1,0)-MATCH($L$1,[3]enemies!$1:$1,0)+1,FALSE)</f>
        <v>15</v>
      </c>
      <c r="R15" s="4">
        <v>55</v>
      </c>
      <c r="S15" s="22">
        <v>10</v>
      </c>
      <c r="T15" s="22">
        <v>1.6</v>
      </c>
      <c r="U15" s="4">
        <v>10000</v>
      </c>
      <c r="V15" s="3" t="e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5" s="3">
        <v>0</v>
      </c>
      <c r="X15" s="5">
        <v>2</v>
      </c>
      <c r="Y15" s="5">
        <v>100</v>
      </c>
      <c r="Z15" s="5">
        <v>0</v>
      </c>
      <c r="AA15" s="14">
        <v>2</v>
      </c>
      <c r="AB15" s="21">
        <f t="shared" si="23"/>
        <v>374</v>
      </c>
      <c r="AC15" s="3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影丸</v>
      </c>
      <c r="AD15" s="3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3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" s="6">
        <v>1</v>
      </c>
      <c r="AG15" s="21">
        <f t="shared" ca="1" si="24"/>
        <v>2</v>
      </c>
      <c r="AH15" s="7">
        <v>0</v>
      </c>
      <c r="AI15" s="6">
        <v>0</v>
      </c>
      <c r="AJ15" s="6">
        <v>0</v>
      </c>
      <c r="AK15" s="6">
        <v>0</v>
      </c>
      <c r="AL15" s="6">
        <v>0</v>
      </c>
      <c r="AM15" s="6">
        <v>1</v>
      </c>
      <c r="AN15" s="57">
        <v>1</v>
      </c>
    </row>
    <row r="16" spans="1:40" ht="21" customHeight="1" x14ac:dyDescent="0.15">
      <c r="A16" s="13" t="str">
        <f t="shared" si="20"/>
        <v>49002_2-4/704&lt;lv60&gt;s2</v>
      </c>
      <c r="B16" s="19">
        <v>49002</v>
      </c>
      <c r="C16" s="18">
        <v>2</v>
      </c>
      <c r="D16" s="1" t="str">
        <f t="shared" si="21"/>
        <v>49002_2</v>
      </c>
      <c r="E16" s="3" t="e">
        <f ca="1">VLOOKUP($B16,OFFSET([2]quests!$A$1,0,0,COUNTA([2]quests!$A:$A),MATCH(E$1,[2]quests!$1:$1,0)-MATCH($B$1,[2]quests!$1:$1,0)+1),MATCH(E$1,[2]quests!$1:$1,0)-MATCH($B$1,[2]quests!$1:$1,0)+1,FALSE)</f>
        <v>#VALUE!</v>
      </c>
      <c r="F16" s="3" t="e">
        <f ca="1">VLOOKUP($D16,OFFSET([2]stages!$A$1,0,0,COUNTA([2]stages!$A:$A),MATCH(F$1,[2]stages!$2:$2,0)-MATCH($D$1,[2]stages!$2:$2,0)+1),MATCH(F$1,[2]stages!$2:$2,0)-MATCH($D$1,[2]stages!$2:$2,0)+1,FALSE)</f>
        <v>#VALUE!</v>
      </c>
      <c r="G16" s="18">
        <v>4</v>
      </c>
      <c r="H16" s="12" t="str">
        <f t="shared" si="22"/>
        <v>49002_2-4</v>
      </c>
      <c r="I16" s="3">
        <f ca="1">VLOOKUP($H16,OFFSET(floors!$A$1,0,0,COUNTA(floors!$A:$A),MATCH(I$1,floors!$1:$1,0)-MATCH($H$1,floors!$1:$1,0)+1),MATCH(I$1,floors!$1:$1,0)-MATCH($H$1,floors!$1:$1,0)+1,FALSE)</f>
        <v>60</v>
      </c>
      <c r="J16" s="3">
        <f ca="1">VLOOKUP($H16,OFFSET(floors!$A$1,0,0,COUNTA(floors!$A:$A),MATCH(J$1,floors!$1:$1,0)-MATCH($H$1,floors!$1:$1,0)+1),MATCH(J$1,floors!$1:$1,0)-MATCH($H$1,floors!$1:$1,0)+1,FALSE)</f>
        <v>60</v>
      </c>
      <c r="K16" s="26">
        <v>1</v>
      </c>
      <c r="L16" s="17">
        <v>704</v>
      </c>
      <c r="M16" s="14" t="str">
        <f ca="1">VLOOKUP($L16,OFFSET([3]enemies!$A$1,0,0,COUNTA([3]enemies!$A:$A),MATCH(M$1,[3]enemies!$1:$1,0)-MATCH($L$1,[3]enemies!$1:$1,0)+1),MATCH(M$1,[3]enemies!$1:$1,0)-MATCH($L$1,[3]enemies!$1:$1,0)+1,FALSE)</f>
        <v>贄川春奈</v>
      </c>
      <c r="N16" s="14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4" t="str">
        <f ca="1">VLOOKUP($L16,OFFSET([4]characters!$A$1,0,0,COUNTA([4]characters!$A:$A),MATCH(O$1,[4]characters!$1:$1,0)-MATCH($L$1,[4]characters!$1:$1,0)+1),MATCH(O$1,[4]characters!$1:$1,0)-MATCH($L$1,[4]characters!$1:$1,0)+1,FALSE)</f>
        <v>PremiumN</v>
      </c>
      <c r="P16" s="14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4">
        <f ca="1">VLOOKUP($L16,OFFSET([3]enemies!$A$1,0,0,COUNTA([3]enemies!$A:$A),MATCH(Q$1,[3]enemies!$1:$1,0)-MATCH($L$1,[3]enemies!$1:$1,0)+1),MATCH(Q$1,[3]enemies!$1:$1,0)-MATCH($L$1,[3]enemies!$1:$1,0)+1,FALSE)</f>
        <v>25</v>
      </c>
      <c r="R16" s="4">
        <v>60</v>
      </c>
      <c r="S16" s="22">
        <v>2</v>
      </c>
      <c r="T16" s="22">
        <v>1.2</v>
      </c>
      <c r="U16" s="4">
        <v>0</v>
      </c>
      <c r="V16" s="3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6" s="3">
        <v>49002006</v>
      </c>
      <c r="X16" s="5">
        <v>1</v>
      </c>
      <c r="Y16" s="5">
        <v>100</v>
      </c>
      <c r="Z16" s="5">
        <v>1</v>
      </c>
      <c r="AA16" s="14">
        <v>2</v>
      </c>
      <c r="AB16" s="21">
        <f t="shared" si="23"/>
        <v>704</v>
      </c>
      <c r="AC16" s="3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贄川春奈</v>
      </c>
      <c r="AD16" s="3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3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6" s="6">
        <v>1</v>
      </c>
      <c r="AG16" s="21">
        <f t="shared" ca="1" si="24"/>
        <v>3</v>
      </c>
      <c r="AH16" s="7">
        <v>0</v>
      </c>
      <c r="AI16" s="6">
        <v>0</v>
      </c>
      <c r="AJ16" s="6">
        <v>0</v>
      </c>
      <c r="AK16" s="6">
        <v>0</v>
      </c>
      <c r="AL16" s="6">
        <v>0</v>
      </c>
      <c r="AM16" s="6">
        <v>1</v>
      </c>
      <c r="AN16" s="57">
        <v>1</v>
      </c>
    </row>
    <row r="17" spans="1:40" ht="21" customHeight="1" x14ac:dyDescent="0.15">
      <c r="A17" s="13" t="str">
        <f t="shared" si="20"/>
        <v>49002_2-5/698&lt;lv70&gt;s2</v>
      </c>
      <c r="B17" s="19">
        <v>49002</v>
      </c>
      <c r="C17" s="18">
        <v>2</v>
      </c>
      <c r="D17" s="1" t="str">
        <f t="shared" si="21"/>
        <v>49002_2</v>
      </c>
      <c r="E17" s="3" t="e">
        <f ca="1">VLOOKUP($B17,OFFSET([2]quests!$A$1,0,0,COUNTA([2]quests!$A:$A),MATCH(E$1,[2]quests!$1:$1,0)-MATCH($B$1,[2]quests!$1:$1,0)+1),MATCH(E$1,[2]quests!$1:$1,0)-MATCH($B$1,[2]quests!$1:$1,0)+1,FALSE)</f>
        <v>#VALUE!</v>
      </c>
      <c r="F17" s="3" t="e">
        <f ca="1">VLOOKUP($D17,OFFSET([2]stages!$A$1,0,0,COUNTA([2]stages!$A:$A),MATCH(F$1,[2]stages!$2:$2,0)-MATCH($D$1,[2]stages!$2:$2,0)+1),MATCH(F$1,[2]stages!$2:$2,0)-MATCH($D$1,[2]stages!$2:$2,0)+1,FALSE)</f>
        <v>#VALUE!</v>
      </c>
      <c r="G17" s="18">
        <v>5</v>
      </c>
      <c r="H17" s="12" t="str">
        <f t="shared" si="22"/>
        <v>49002_2-5</v>
      </c>
      <c r="I17" s="3">
        <f ca="1">VLOOKUP($H17,OFFSET(floors!$A$1,0,0,COUNTA(floors!$A:$A),MATCH(I$1,floors!$1:$1,0)-MATCH($H$1,floors!$1:$1,0)+1),MATCH(I$1,floors!$1:$1,0)-MATCH($H$1,floors!$1:$1,0)+1,FALSE)</f>
        <v>60</v>
      </c>
      <c r="J17" s="3">
        <f ca="1">VLOOKUP($H17,OFFSET(floors!$A$1,0,0,COUNTA(floors!$A:$A),MATCH(J$1,floors!$1:$1,0)-MATCH($H$1,floors!$1:$1,0)+1),MATCH(J$1,floors!$1:$1,0)-MATCH($H$1,floors!$1:$1,0)+1,FALSE)</f>
        <v>60</v>
      </c>
      <c r="K17" s="26">
        <v>2</v>
      </c>
      <c r="L17" s="17">
        <v>698</v>
      </c>
      <c r="M17" s="14" t="str">
        <f ca="1">VLOOKUP($L17,OFFSET([3]enemies!$A$1,0,0,COUNTA([3]enemies!$A:$A),MATCH(M$1,[3]enemies!$1:$1,0)-MATCH($L$1,[3]enemies!$1:$1,0)+1),MATCH(M$1,[3]enemies!$1:$1,0)-MATCH($L$1,[3]enemies!$1:$1,0)+1,FALSE)</f>
        <v>園原杏里</v>
      </c>
      <c r="N17" s="14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4" t="str">
        <f ca="1">VLOOKUP($L17,OFFSET([4]characters!$A$1,0,0,COUNTA([4]characters!$A:$A),MATCH(O$1,[4]characters!$1:$1,0)-MATCH($L$1,[4]characters!$1:$1,0)+1),MATCH(O$1,[4]characters!$1:$1,0)-MATCH($L$1,[4]characters!$1:$1,0)+1,FALSE)</f>
        <v>DropWizS</v>
      </c>
      <c r="P17" s="14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4">
        <f ca="1">VLOOKUP($L17,OFFSET([3]enemies!$A$1,0,0,COUNTA([3]enemies!$A:$A),MATCH(Q$1,[3]enemies!$1:$1,0)-MATCH($L$1,[3]enemies!$1:$1,0)+1),MATCH(Q$1,[3]enemies!$1:$1,0)-MATCH($L$1,[3]enemies!$1:$1,0)+1,FALSE)</f>
        <v>60</v>
      </c>
      <c r="R17" s="4">
        <v>70</v>
      </c>
      <c r="S17" s="22">
        <v>2</v>
      </c>
      <c r="T17" s="22">
        <v>1</v>
      </c>
      <c r="U17" s="4">
        <v>0</v>
      </c>
      <c r="V17" s="3" t="e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7" s="3">
        <v>49002008</v>
      </c>
      <c r="X17" s="5">
        <v>1</v>
      </c>
      <c r="Y17" s="5">
        <v>100</v>
      </c>
      <c r="Z17" s="5">
        <v>1</v>
      </c>
      <c r="AA17" s="14">
        <v>2</v>
      </c>
      <c r="AB17" s="21">
        <f t="shared" si="23"/>
        <v>698</v>
      </c>
      <c r="AC17" s="3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園原杏里</v>
      </c>
      <c r="AD17" s="3">
        <f ca="1">VLOOKUP($AB17,OFFSET([4]characters!$A$1,0,0,COUNTA([4]characters!$A:$A),MATCH(AD$1,[4]characters!$1:$1,0)-MATCH("character_id",[4]characters!$1:$1,0)+1),MATCH(AD$1,[4]characters!$1:$1,0)-MATCH("character_id",[4]characters!$1:$1,0)+1,FALSE)</f>
        <v>5</v>
      </c>
      <c r="AE17" s="3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7" s="6">
        <v>1</v>
      </c>
      <c r="AG17" s="21">
        <f t="shared" ca="1" si="24"/>
        <v>5</v>
      </c>
      <c r="AH17" s="7">
        <v>100</v>
      </c>
      <c r="AI17" s="6">
        <v>0</v>
      </c>
      <c r="AJ17" s="6">
        <v>0</v>
      </c>
      <c r="AK17" s="6">
        <v>0</v>
      </c>
      <c r="AL17" s="6">
        <v>0</v>
      </c>
      <c r="AM17" s="6">
        <v>1</v>
      </c>
      <c r="AN17" s="57">
        <v>1</v>
      </c>
    </row>
  </sheetData>
  <sheetProtection selectLockedCells="1" selectUnlockedCells="1"/>
  <autoFilter ref="B1:AH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G14" sqref="G14"/>
    </sheetView>
  </sheetViews>
  <sheetFormatPr baseColWidth="12" defaultColWidth="13" defaultRowHeight="21" customHeight="1" outlineLevelCol="1" x14ac:dyDescent="0.15"/>
  <cols>
    <col min="1" max="1" width="17" style="16" bestFit="1" customWidth="1"/>
    <col min="2" max="2" width="10.83203125" style="2" bestFit="1" customWidth="1"/>
    <col min="3" max="3" width="10.6640625" style="2" bestFit="1" customWidth="1" collapsed="1"/>
    <col min="4" max="4" width="13" style="11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1" style="2" bestFit="1" customWidth="1"/>
    <col min="13" max="13" width="13.5" style="8" bestFit="1" customWidth="1"/>
    <col min="14" max="14" width="8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7.5" style="2" bestFit="1" customWidth="1"/>
    <col min="22" max="22" width="18.33203125" style="2" bestFit="1" customWidth="1"/>
    <col min="23" max="23" width="16.6640625" style="2" customWidth="1"/>
    <col min="24" max="24" width="10" style="2" bestFit="1" customWidth="1" outlineLevel="1"/>
    <col min="25" max="25" width="9.33203125" style="2" bestFit="1" customWidth="1"/>
    <col min="26" max="16384" width="13" style="2"/>
  </cols>
  <sheetData>
    <row r="1" spans="1:25" s="25" customFormat="1" ht="21" customHeight="1" thickBot="1" x14ac:dyDescent="0.2">
      <c r="A1" s="23" t="s">
        <v>29</v>
      </c>
      <c r="B1" s="24" t="s">
        <v>0</v>
      </c>
      <c r="C1" s="24" t="s">
        <v>1</v>
      </c>
      <c r="D1" s="118" t="s">
        <v>28</v>
      </c>
      <c r="E1" s="118" t="s">
        <v>16</v>
      </c>
      <c r="F1" s="118" t="s">
        <v>16</v>
      </c>
      <c r="G1" s="24" t="s">
        <v>19</v>
      </c>
      <c r="H1" s="118" t="s">
        <v>30</v>
      </c>
      <c r="I1" s="118" t="s">
        <v>14</v>
      </c>
      <c r="J1" s="118" t="s">
        <v>15</v>
      </c>
      <c r="K1" s="119" t="s">
        <v>54</v>
      </c>
      <c r="L1" s="119" t="s">
        <v>55</v>
      </c>
      <c r="M1" s="119" t="s">
        <v>2</v>
      </c>
      <c r="N1" s="120" t="s">
        <v>16</v>
      </c>
      <c r="O1" s="118" t="s">
        <v>24</v>
      </c>
      <c r="P1" s="118" t="s">
        <v>23</v>
      </c>
      <c r="Q1" s="121" t="s">
        <v>26</v>
      </c>
      <c r="R1" s="118" t="s">
        <v>25</v>
      </c>
      <c r="S1" s="24" t="s">
        <v>3</v>
      </c>
      <c r="T1" s="24" t="s">
        <v>48</v>
      </c>
      <c r="U1" s="24" t="s">
        <v>50</v>
      </c>
      <c r="V1" s="24" t="s">
        <v>52</v>
      </c>
      <c r="W1" s="24" t="s">
        <v>130</v>
      </c>
      <c r="X1" s="118" t="s">
        <v>129</v>
      </c>
      <c r="Y1" s="24" t="s">
        <v>8</v>
      </c>
    </row>
    <row r="2" spans="1:25" s="144" customFormat="1" ht="21" customHeight="1" x14ac:dyDescent="0.15">
      <c r="A2" s="94" t="str">
        <f>B2&amp;"_"&amp;C2&amp;"-"&amp;G2&amp;"/"&amp;M2&amp;"&lt;lv"&amp;S2&amp;"&gt;sq"&amp;K2&amp;"st"&amp;L2</f>
        <v>49002_1-4/705&lt;lv60&gt;sq1st2</v>
      </c>
      <c r="B2" s="134">
        <v>49002</v>
      </c>
      <c r="C2" s="98">
        <v>1</v>
      </c>
      <c r="D2" s="100" t="str">
        <f>B2&amp;"_"&amp;C2</f>
        <v>49002_1</v>
      </c>
      <c r="E2" s="135" t="e">
        <f ca="1">VLOOKUP($B2,OFFSET([2]quests!$A$1,0,0,COUNTA([2]quests!$A:$A),MATCH(E$1,[2]quests!$1:$1,0)-MATCH($B$1,[2]quests!$1:$1,0)+1),MATCH(E$1,[2]quests!$1:$1,0)-MATCH($B$1,[2]quests!$1:$1,0)+1,FALSE)</f>
        <v>#VALUE!</v>
      </c>
      <c r="F2" s="135" t="e">
        <f ca="1">VLOOKUP($D2,OFFSET([2]stages!$A$1,0,0,COUNTA([2]stages!$A:$A),MATCH(F$1,[2]stages!$2:$2,0)-MATCH($D$1,[2]stages!$2:$2,0)+1),MATCH(F$1,[2]stages!$2:$2,0)-MATCH($D$1,[2]stages!$2:$2,0)+1,FALSE)</f>
        <v>#VALUE!</v>
      </c>
      <c r="G2" s="98">
        <v>4</v>
      </c>
      <c r="H2" s="100" t="str">
        <f>B2&amp;"_"&amp;C2&amp;"-"&amp;G2</f>
        <v>49002_1-4</v>
      </c>
      <c r="I2" s="135">
        <f ca="1">VLOOKUP($H2,OFFSET(floors!$A$1,0,0,COUNTA(floors!$A:$A),MATCH(I$1,floors!$1:$1,0)-MATCH($H$1,floors!$1:$1,0)+1),MATCH(I$1,floors!$1:$1,0)-MATCH($H$1,floors!$1:$1,0)+1,FALSE)</f>
        <v>60</v>
      </c>
      <c r="J2" s="135">
        <f ca="1">VLOOKUP($H2,OFFSET(floors!$A$1,0,0,COUNTA(floors!$A:$A),MATCH(J$1,floors!$1:$1,0)-MATCH($H$1,floors!$1:$1,0)+1),MATCH(J$1,floors!$1:$1,0)-MATCH($H$1,floors!$1:$1,0)+1,FALSE)</f>
        <v>60</v>
      </c>
      <c r="K2" s="101">
        <v>1</v>
      </c>
      <c r="L2" s="101">
        <v>2</v>
      </c>
      <c r="M2" s="136">
        <v>705</v>
      </c>
      <c r="N2" s="137" t="str">
        <f ca="1">VLOOKUP($M2,OFFSET([3]enemies!$A$1,0,0,COUNTA([3]enemies!$A:$A),MATCH(N$1,[3]enemies!$1:$1,0)-MATCH($M$1,[3]enemies!$1:$1,0)+1),MATCH(N$1,[3]enemies!$1:$1,0)-MATCH($M$1,[3]enemies!$1:$1,0)+1,FALSE)</f>
        <v>狂愛なる罪歌の子　贄川春奈</v>
      </c>
      <c r="O2" s="13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37" t="str">
        <f ca="1">VLOOKUP($M2,OFFSET([4]characters!$A$1,0,0,COUNTA([4]characters!$A:$A),MATCH(P$1,[4]characters!$1:$1,0)-MATCH($M$1,[4]characters!$1:$1,0)+1),MATCH(P$1,[4]characters!$1:$1,0)-MATCH($M$1,[4]characters!$1:$1,0)+1,FALSE)</f>
        <v>PremiumN</v>
      </c>
      <c r="Q2" s="13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37">
        <f ca="1">VLOOKUP($M2,OFFSET([3]enemies!$A$1,0,0,COUNTA([3]enemies!$A:$A),MATCH(R$1,[3]enemies!$1:$1,0)-MATCH($M$1,[3]enemies!$1:$1,0)+1),MATCH(R$1,[3]enemies!$1:$1,0)-MATCH($M$1,[3]enemies!$1:$1,0)+1,FALSE)</f>
        <v>30</v>
      </c>
      <c r="S2" s="138">
        <v>60</v>
      </c>
      <c r="T2" s="139">
        <v>2</v>
      </c>
      <c r="U2" s="139">
        <v>1</v>
      </c>
      <c r="V2" s="138">
        <v>0</v>
      </c>
      <c r="W2" s="135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135">
        <v>49002007</v>
      </c>
      <c r="Y2" s="160">
        <v>1</v>
      </c>
    </row>
    <row r="3" spans="1:25" s="147" customFormat="1" ht="21" customHeight="1" x14ac:dyDescent="0.15">
      <c r="A3" s="103" t="str">
        <f t="shared" ref="A3:A4" si="0">B3&amp;"_"&amp;C3&amp;"-"&amp;G3&amp;"/"&amp;M3&amp;"&lt;lv"&amp;S3&amp;"&gt;sq"&amp;K3&amp;"st"&amp;L3</f>
        <v>49002_1-5/699&lt;lv75&gt;sq2st2</v>
      </c>
      <c r="B3" s="19">
        <v>49002</v>
      </c>
      <c r="C3" s="106">
        <v>1</v>
      </c>
      <c r="D3" s="12" t="str">
        <f t="shared" ref="D3:D4" si="1">B3&amp;"_"&amp;C3</f>
        <v>49002_1</v>
      </c>
      <c r="E3" s="3" t="e">
        <f ca="1">VLOOKUP($B3,OFFSET([2]quests!$A$1,0,0,COUNTA([2]quests!$A:$A),MATCH(E$1,[2]quests!$1:$1,0)-MATCH($B$1,[2]quests!$1:$1,0)+1),MATCH(E$1,[2]quests!$1:$1,0)-MATCH($B$1,[2]quests!$1:$1,0)+1,FALSE)</f>
        <v>#VALUE!</v>
      </c>
      <c r="F3" s="3" t="e">
        <f ca="1">VLOOKUP($D3,OFFSET([2]stages!$A$1,0,0,COUNTA([2]stages!$A:$A),MATCH(F$1,[2]stages!$2:$2,0)-MATCH($D$1,[2]stages!$2:$2,0)+1),MATCH(F$1,[2]stages!$2:$2,0)-MATCH($D$1,[2]stages!$2:$2,0)+1,FALSE)</f>
        <v>#VALUE!</v>
      </c>
      <c r="G3" s="106">
        <v>5</v>
      </c>
      <c r="H3" s="12" t="str">
        <f t="shared" ref="H3:H4" si="2">B3&amp;"_"&amp;C3&amp;"-"&amp;G3</f>
        <v>49002_1-5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26">
        <v>2</v>
      </c>
      <c r="L3" s="26">
        <v>2</v>
      </c>
      <c r="M3" s="145">
        <v>699</v>
      </c>
      <c r="N3" s="14" t="str">
        <f ca="1">VLOOKUP($M3,OFFSET([3]enemies!$A$1,0,0,COUNTA([3]enemies!$A:$A),MATCH(N$1,[3]enemies!$1:$1,0)-MATCH($M$1,[3]enemies!$1:$1,0)+1),MATCH(N$1,[3]enemies!$1:$1,0)-MATCH($M$1,[3]enemies!$1:$1,0)+1,FALSE)</f>
        <v>依存の母愛　園原杏里</v>
      </c>
      <c r="O3" s="14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4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4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4">
        <f ca="1">VLOOKUP($M3,OFFSET([3]enemies!$A$1,0,0,COUNTA([3]enemies!$A:$A),MATCH(R$1,[3]enemies!$1:$1,0)-MATCH($M$1,[3]enemies!$1:$1,0)+1),MATCH(R$1,[3]enemies!$1:$1,0)-MATCH($M$1,[3]enemies!$1:$1,0)+1,FALSE)</f>
        <v>60</v>
      </c>
      <c r="S3" s="4">
        <v>75</v>
      </c>
      <c r="T3" s="22">
        <v>2</v>
      </c>
      <c r="U3" s="22">
        <v>0.9</v>
      </c>
      <c r="V3" s="4">
        <v>0</v>
      </c>
      <c r="W3" s="3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3">
        <v>49002009</v>
      </c>
      <c r="Y3" s="58">
        <v>1</v>
      </c>
    </row>
    <row r="4" spans="1:25" s="158" customFormat="1" ht="21" customHeight="1" thickBot="1" x14ac:dyDescent="0.2">
      <c r="A4" s="108" t="str">
        <f t="shared" si="0"/>
        <v>49002_1-5/699&lt;lv75&gt;sq2st3</v>
      </c>
      <c r="B4" s="148">
        <v>49002</v>
      </c>
      <c r="C4" s="112">
        <v>1</v>
      </c>
      <c r="D4" s="114" t="str">
        <f t="shared" si="1"/>
        <v>49002_1</v>
      </c>
      <c r="E4" s="149" t="e">
        <f ca="1">VLOOKUP($B4,OFFSET([2]quests!$A$1,0,0,COUNTA([2]quests!$A:$A),MATCH(E$1,[2]quests!$1:$1,0)-MATCH($B$1,[2]quests!$1:$1,0)+1),MATCH(E$1,[2]quests!$1:$1,0)-MATCH($B$1,[2]quests!$1:$1,0)+1,FALSE)</f>
        <v>#VALUE!</v>
      </c>
      <c r="F4" s="149" t="e">
        <f ca="1">VLOOKUP($D4,OFFSET([2]stages!$A$1,0,0,COUNTA([2]stages!$A:$A),MATCH(F$1,[2]stages!$2:$2,0)-MATCH($D$1,[2]stages!$2:$2,0)+1),MATCH(F$1,[2]stages!$2:$2,0)-MATCH($D$1,[2]stages!$2:$2,0)+1,FALSE)</f>
        <v>#VALUE!</v>
      </c>
      <c r="G4" s="112">
        <v>5</v>
      </c>
      <c r="H4" s="114" t="str">
        <f t="shared" si="2"/>
        <v>49002_1-5</v>
      </c>
      <c r="I4" s="149">
        <f ca="1">VLOOKUP($H4,OFFSET(floors!$A$1,0,0,COUNTA(floors!$A:$A),MATCH(I$1,floors!$1:$1,0)-MATCH($H$1,floors!$1:$1,0)+1),MATCH(I$1,floors!$1:$1,0)-MATCH($H$1,floors!$1:$1,0)+1,FALSE)</f>
        <v>60</v>
      </c>
      <c r="J4" s="149">
        <f ca="1">VLOOKUP($H4,OFFSET(floors!$A$1,0,0,COUNTA(floors!$A:$A),MATCH(J$1,floors!$1:$1,0)-MATCH($H$1,floors!$1:$1,0)+1),MATCH(J$1,floors!$1:$1,0)-MATCH($H$1,floors!$1:$1,0)+1,FALSE)</f>
        <v>60</v>
      </c>
      <c r="K4" s="115">
        <v>2</v>
      </c>
      <c r="L4" s="115">
        <v>3</v>
      </c>
      <c r="M4" s="150">
        <v>699</v>
      </c>
      <c r="N4" s="151" t="str">
        <f ca="1">VLOOKUP($M4,OFFSET([3]enemies!$A$1,0,0,COUNTA([3]enemies!$A:$A),MATCH(N$1,[3]enemies!$1:$1,0)-MATCH($M$1,[3]enemies!$1:$1,0)+1),MATCH(N$1,[3]enemies!$1:$1,0)-MATCH($M$1,[3]enemies!$1:$1,0)+1,FALSE)</f>
        <v>依存の母愛　園原杏里</v>
      </c>
      <c r="O4" s="151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51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51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51">
        <f ca="1">VLOOKUP($M4,OFFSET([3]enemies!$A$1,0,0,COUNTA([3]enemies!$A:$A),MATCH(R$1,[3]enemies!$1:$1,0)-MATCH($M$1,[3]enemies!$1:$1,0)+1),MATCH(R$1,[3]enemies!$1:$1,0)-MATCH($M$1,[3]enemies!$1:$1,0)+1,FALSE)</f>
        <v>60</v>
      </c>
      <c r="S4" s="152">
        <v>75</v>
      </c>
      <c r="T4" s="153">
        <v>2.5</v>
      </c>
      <c r="U4" s="153">
        <v>0.9</v>
      </c>
      <c r="V4" s="152">
        <v>0</v>
      </c>
      <c r="W4" s="149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149">
        <v>49002010</v>
      </c>
      <c r="Y4" s="161">
        <v>1</v>
      </c>
    </row>
    <row r="5" spans="1:25" ht="21" customHeight="1" x14ac:dyDescent="0.15">
      <c r="A5" s="13" t="str">
        <f>B5&amp;"_"&amp;C5&amp;"-"&amp;G5&amp;"/"&amp;M5&amp;"&lt;lv"&amp;S5&amp;"&gt;sq"&amp;K5&amp;"st"&amp;L5</f>
        <v>49002_2-4/705&lt;lv60&gt;sq1st2</v>
      </c>
      <c r="B5" s="19">
        <v>49002</v>
      </c>
      <c r="C5" s="123">
        <v>2</v>
      </c>
      <c r="D5" s="124" t="str">
        <f>B5&amp;"_"&amp;C5</f>
        <v>49002_2</v>
      </c>
      <c r="E5" s="3" t="e">
        <f ca="1">VLOOKUP($B5,OFFSET([2]quests!$A$1,0,0,COUNTA([2]quests!$A:$A),MATCH(E$1,[2]quests!$1:$1,0)-MATCH($B$1,[2]quests!$1:$1,0)+1),MATCH(E$1,[2]quests!$1:$1,0)-MATCH($B$1,[2]quests!$1:$1,0)+1,FALSE)</f>
        <v>#VALUE!</v>
      </c>
      <c r="F5" s="3" t="e">
        <f ca="1">VLOOKUP($D5,OFFSET([2]stages!$A$1,0,0,COUNTA([2]stages!$A:$A),MATCH(F$1,[2]stages!$2:$2,0)-MATCH($D$1,[2]stages!$2:$2,0)+1),MATCH(F$1,[2]stages!$2:$2,0)-MATCH($D$1,[2]stages!$2:$2,0)+1,FALSE)</f>
        <v>#VALUE!</v>
      </c>
      <c r="G5" s="123">
        <v>4</v>
      </c>
      <c r="H5" s="124" t="str">
        <f>B5&amp;"_"&amp;C5&amp;"-"&amp;G5</f>
        <v>49002_2-4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125">
        <v>1</v>
      </c>
      <c r="L5" s="125">
        <v>2</v>
      </c>
      <c r="M5" s="126">
        <v>705</v>
      </c>
      <c r="N5" s="14" t="str">
        <f ca="1">VLOOKUP($M5,OFFSET([3]enemies!$A$1,0,0,COUNTA([3]enemies!$A:$A),MATCH(N$1,[3]enemies!$1:$1,0)-MATCH($M$1,[3]enemies!$1:$1,0)+1),MATCH(N$1,[3]enemies!$1:$1,0)-MATCH($M$1,[3]enemies!$1:$1,0)+1,FALSE)</f>
        <v>狂愛なる罪歌の子　贄川春奈</v>
      </c>
      <c r="O5" s="14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4" t="str">
        <f ca="1">VLOOKUP($M5,OFFSET([4]characters!$A$1,0,0,COUNTA([4]characters!$A:$A),MATCH(P$1,[4]characters!$1:$1,0)-MATCH($M$1,[4]characters!$1:$1,0)+1),MATCH(P$1,[4]characters!$1:$1,0)-MATCH($M$1,[4]characters!$1:$1,0)+1,FALSE)</f>
        <v>PremiumN</v>
      </c>
      <c r="Q5" s="14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4">
        <f ca="1">VLOOKUP($M5,OFFSET([3]enemies!$A$1,0,0,COUNTA([3]enemies!$A:$A),MATCH(R$1,[3]enemies!$1:$1,0)-MATCH($M$1,[3]enemies!$1:$1,0)+1),MATCH(R$1,[3]enemies!$1:$1,0)-MATCH($M$1,[3]enemies!$1:$1,0)+1,FALSE)</f>
        <v>30</v>
      </c>
      <c r="S5" s="127">
        <v>60</v>
      </c>
      <c r="T5" s="128">
        <v>2</v>
      </c>
      <c r="U5" s="128">
        <v>1</v>
      </c>
      <c r="V5" s="127">
        <v>0</v>
      </c>
      <c r="W5" s="3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5" s="3">
        <v>49002007</v>
      </c>
      <c r="Y5" s="159">
        <v>1</v>
      </c>
    </row>
    <row r="6" spans="1:25" ht="21" customHeight="1" x14ac:dyDescent="0.15">
      <c r="A6" s="13" t="str">
        <f t="shared" ref="A6:A7" si="3">B6&amp;"_"&amp;C6&amp;"-"&amp;G6&amp;"/"&amp;M6&amp;"&lt;lv"&amp;S6&amp;"&gt;sq"&amp;K6&amp;"st"&amp;L6</f>
        <v>49002_2-5/699&lt;lv75&gt;sq2st2</v>
      </c>
      <c r="B6" s="19">
        <v>49002</v>
      </c>
      <c r="C6" s="18">
        <v>2</v>
      </c>
      <c r="D6" s="1" t="str">
        <f t="shared" ref="D6:D7" si="4">B6&amp;"_"&amp;C6</f>
        <v>49002_2</v>
      </c>
      <c r="E6" s="3" t="e">
        <f ca="1">VLOOKUP($B6,OFFSET([2]quests!$A$1,0,0,COUNTA([2]quests!$A:$A),MATCH(E$1,[2]quests!$1:$1,0)-MATCH($B$1,[2]quests!$1:$1,0)+1),MATCH(E$1,[2]quests!$1:$1,0)-MATCH($B$1,[2]quests!$1:$1,0)+1,FALSE)</f>
        <v>#VALUE!</v>
      </c>
      <c r="F6" s="3" t="e">
        <f ca="1">VLOOKUP($D6,OFFSET([2]stages!$A$1,0,0,COUNTA([2]stages!$A:$A),MATCH(F$1,[2]stages!$2:$2,0)-MATCH($D$1,[2]stages!$2:$2,0)+1),MATCH(F$1,[2]stages!$2:$2,0)-MATCH($D$1,[2]stages!$2:$2,0)+1,FALSE)</f>
        <v>#VALUE!</v>
      </c>
      <c r="G6" s="18">
        <v>5</v>
      </c>
      <c r="H6" s="12" t="str">
        <f t="shared" ref="H6:H7" si="5">B6&amp;"_"&amp;C6&amp;"-"&amp;G6</f>
        <v>49002_2-5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26">
        <v>2</v>
      </c>
      <c r="L6" s="26">
        <v>2</v>
      </c>
      <c r="M6" s="17">
        <v>699</v>
      </c>
      <c r="N6" s="14" t="str">
        <f ca="1">VLOOKUP($M6,OFFSET([3]enemies!$A$1,0,0,COUNTA([3]enemies!$A:$A),MATCH(N$1,[3]enemies!$1:$1,0)-MATCH($M$1,[3]enemies!$1:$1,0)+1),MATCH(N$1,[3]enemies!$1:$1,0)-MATCH($M$1,[3]enemies!$1:$1,0)+1,FALSE)</f>
        <v>依存の母愛　園原杏里</v>
      </c>
      <c r="O6" s="14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4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4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4">
        <f ca="1">VLOOKUP($M6,OFFSET([3]enemies!$A$1,0,0,COUNTA([3]enemies!$A:$A),MATCH(R$1,[3]enemies!$1:$1,0)-MATCH($M$1,[3]enemies!$1:$1,0)+1),MATCH(R$1,[3]enemies!$1:$1,0)-MATCH($M$1,[3]enemies!$1:$1,0)+1,FALSE)</f>
        <v>60</v>
      </c>
      <c r="S6" s="4">
        <v>75</v>
      </c>
      <c r="T6" s="22">
        <v>2</v>
      </c>
      <c r="U6" s="22">
        <v>0.9</v>
      </c>
      <c r="V6" s="4">
        <v>0</v>
      </c>
      <c r="W6" s="3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6" s="3">
        <v>49002009</v>
      </c>
      <c r="Y6" s="58">
        <v>1</v>
      </c>
    </row>
    <row r="7" spans="1:25" ht="21" customHeight="1" x14ac:dyDescent="0.15">
      <c r="A7" s="13" t="str">
        <f t="shared" si="3"/>
        <v>49002_2-5/699&lt;lv75&gt;sq2st3</v>
      </c>
      <c r="B7" s="19">
        <v>49002</v>
      </c>
      <c r="C7" s="18">
        <v>2</v>
      </c>
      <c r="D7" s="1" t="str">
        <f t="shared" si="4"/>
        <v>49002_2</v>
      </c>
      <c r="E7" s="3" t="e">
        <f ca="1">VLOOKUP($B7,OFFSET([2]quests!$A$1,0,0,COUNTA([2]quests!$A:$A),MATCH(E$1,[2]quests!$1:$1,0)-MATCH($B$1,[2]quests!$1:$1,0)+1),MATCH(E$1,[2]quests!$1:$1,0)-MATCH($B$1,[2]quests!$1:$1,0)+1,FALSE)</f>
        <v>#VALUE!</v>
      </c>
      <c r="F7" s="3" t="e">
        <f ca="1">VLOOKUP($D7,OFFSET([2]stages!$A$1,0,0,COUNTA([2]stages!$A:$A),MATCH(F$1,[2]stages!$2:$2,0)-MATCH($D$1,[2]stages!$2:$2,0)+1),MATCH(F$1,[2]stages!$2:$2,0)-MATCH($D$1,[2]stages!$2:$2,0)+1,FALSE)</f>
        <v>#VALUE!</v>
      </c>
      <c r="G7" s="18">
        <v>5</v>
      </c>
      <c r="H7" s="12" t="str">
        <f t="shared" si="5"/>
        <v>49002_2-5</v>
      </c>
      <c r="I7" s="3">
        <f ca="1">VLOOKUP($H7,OFFSET(floors!$A$1,0,0,COUNTA(floors!$A:$A),MATCH(I$1,floors!$1:$1,0)-MATCH($H$1,floors!$1:$1,0)+1),MATCH(I$1,floors!$1:$1,0)-MATCH($H$1,floors!$1:$1,0)+1,FALSE)</f>
        <v>60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26">
        <v>2</v>
      </c>
      <c r="L7" s="26">
        <v>3</v>
      </c>
      <c r="M7" s="17">
        <v>699</v>
      </c>
      <c r="N7" s="14" t="str">
        <f ca="1">VLOOKUP($M7,OFFSET([3]enemies!$A$1,0,0,COUNTA([3]enemies!$A:$A),MATCH(N$1,[3]enemies!$1:$1,0)-MATCH($M$1,[3]enemies!$1:$1,0)+1),MATCH(N$1,[3]enemies!$1:$1,0)-MATCH($M$1,[3]enemies!$1:$1,0)+1,FALSE)</f>
        <v>依存の母愛　園原杏里</v>
      </c>
      <c r="O7" s="14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4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4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4">
        <f ca="1">VLOOKUP($M7,OFFSET([3]enemies!$A$1,0,0,COUNTA([3]enemies!$A:$A),MATCH(R$1,[3]enemies!$1:$1,0)-MATCH($M$1,[3]enemies!$1:$1,0)+1),MATCH(R$1,[3]enemies!$1:$1,0)-MATCH($M$1,[3]enemies!$1:$1,0)+1,FALSE)</f>
        <v>60</v>
      </c>
      <c r="S7" s="4">
        <v>75</v>
      </c>
      <c r="T7" s="22">
        <v>2.5</v>
      </c>
      <c r="U7" s="22">
        <v>0.9</v>
      </c>
      <c r="V7" s="4">
        <v>0</v>
      </c>
      <c r="W7" s="3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7" s="3">
        <v>49002010</v>
      </c>
      <c r="Y7" s="58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4"/>
  <sheetViews>
    <sheetView showGridLines="0" workbookViewId="0">
      <pane xSplit="5" ySplit="1" topLeftCell="F19" activePane="bottomRight" state="frozen"/>
      <selection pane="topRight"/>
      <selection pane="bottomLeft"/>
      <selection pane="bottomRight" activeCell="F38" sqref="F38"/>
    </sheetView>
  </sheetViews>
  <sheetFormatPr baseColWidth="12" defaultColWidth="12.83203125" defaultRowHeight="21" customHeight="1" outlineLevelCol="1" x14ac:dyDescent="0.15"/>
  <cols>
    <col min="1" max="1" width="14" style="27" customWidth="1"/>
    <col min="2" max="2" width="9.5" style="37" bestFit="1" customWidth="1"/>
    <col min="3" max="3" width="9.6640625" style="37" customWidth="1"/>
    <col min="4" max="4" width="18.5" style="37" customWidth="1" outlineLevel="1"/>
    <col min="5" max="5" width="44.1640625" style="37" bestFit="1" customWidth="1" outlineLevel="1"/>
    <col min="6" max="6" width="10.83203125" style="37" bestFit="1" customWidth="1"/>
    <col min="7" max="7" width="8.33203125" style="37" bestFit="1" customWidth="1" outlineLevel="1"/>
    <col min="8" max="9" width="12.83203125" style="37" outlineLevel="1"/>
    <col min="10" max="10" width="17.6640625" style="37" bestFit="1" customWidth="1" outlineLevel="1"/>
    <col min="11" max="15" width="12.83203125" style="37" outlineLevel="1"/>
    <col min="16" max="16" width="8.33203125" style="33" bestFit="1" customWidth="1"/>
    <col min="17" max="17" width="9.6640625" style="33" customWidth="1"/>
    <col min="18" max="18" width="56.5" style="33" bestFit="1" customWidth="1"/>
    <col min="19" max="16384" width="12.83203125" style="33"/>
  </cols>
  <sheetData>
    <row r="1" spans="1:18" ht="21" customHeight="1" x14ac:dyDescent="0.15">
      <c r="A1" s="27" t="s">
        <v>60</v>
      </c>
      <c r="B1" s="28" t="s">
        <v>61</v>
      </c>
      <c r="C1" s="28" t="s">
        <v>62</v>
      </c>
      <c r="D1" s="29" t="s">
        <v>63</v>
      </c>
      <c r="E1" s="29" t="s">
        <v>64</v>
      </c>
      <c r="F1" s="30" t="s">
        <v>65</v>
      </c>
      <c r="G1" s="31" t="s">
        <v>66</v>
      </c>
      <c r="H1" s="31" t="s">
        <v>68</v>
      </c>
      <c r="I1" s="31" t="s">
        <v>69</v>
      </c>
      <c r="J1" s="31" t="s">
        <v>70</v>
      </c>
      <c r="K1" s="32" t="s">
        <v>71</v>
      </c>
      <c r="L1" s="32" t="s">
        <v>72</v>
      </c>
      <c r="M1" s="31" t="s">
        <v>73</v>
      </c>
      <c r="N1" s="31" t="s">
        <v>74</v>
      </c>
      <c r="O1" s="31" t="s">
        <v>75</v>
      </c>
      <c r="P1" s="29" t="s">
        <v>76</v>
      </c>
      <c r="Q1" s="29" t="s">
        <v>77</v>
      </c>
      <c r="R1" s="29" t="s">
        <v>78</v>
      </c>
    </row>
    <row r="2" spans="1:18" ht="21" customHeight="1" x14ac:dyDescent="0.15">
      <c r="A2" s="27" t="str">
        <f t="shared" ref="A2:A33" si="0">B2&amp;"_"&amp;C2</f>
        <v>49002000_49002001</v>
      </c>
      <c r="B2" s="35">
        <v>49002000</v>
      </c>
      <c r="C2" s="35">
        <v>49002001</v>
      </c>
      <c r="D2" s="34" t="str">
        <f ca="1">VLOOKUP($C2,OFFSET(enemy_skills!$A$1,0,0,COUNTA(enemy_skills!$A:$A),MATCH(D$1,enemy_skills!$1:$1,0)-MATCH("enemy_skill_id",enemy_skills!$1:$1,0)+1),MATCH(D$1,enemy_skills!$1:$1,0)-MATCH("enemy_skill_id",enemy_skills!$1:$1,0)+1,FALSE)</f>
        <v>愛するだけじゃもう足りないの</v>
      </c>
      <c r="E2" s="34" t="str">
        <f ca="1">VLOOKUP($C2,OFFSET(enemy_skills!$A$1,0,0,COUNTA(enemy_skills!$A:$A),MATCH(E$1,enemy_skills!$1:$1,0)-MATCH("enemy_skill_id",enemy_skills!$1:$1,0)+1),MATCH(E$1,enemy_skills!$1:$1,0)-MATCH("enemy_skill_id",enemy_skills!$1:$1,0)+1,FALSE)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" s="35">
        <v>49002001</v>
      </c>
      <c r="G2" s="3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3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3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" s="3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3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3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" s="35"/>
      <c r="Q2" s="35"/>
      <c r="R2" s="35"/>
    </row>
    <row r="3" spans="1:18" ht="21" customHeight="1" x14ac:dyDescent="0.15">
      <c r="A3" s="27" t="str">
        <f t="shared" si="0"/>
        <v>49002001_49002005</v>
      </c>
      <c r="B3" s="35">
        <v>49002001</v>
      </c>
      <c r="C3" s="35">
        <v>49002005</v>
      </c>
      <c r="D3" s="3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さぁ、愛し合いましょう</v>
      </c>
      <c r="E3" s="34" t="str">
        <f ca="1">VLOOKUP($C3,OFFSET(enemy_skills!$A$1,0,0,COUNTA(enemy_skills!$A:$A),MATCH(E$1,enemy_skills!$1:$1,0)-MATCH("enemy_skill_id",enemy_skills!$1:$1,0)+1),MATCH(E$1,enemy_skills!$1:$1,0)-MATCH("enemy_skill_id",enemy_skills!$1:$1,0)+1,FALSE)</f>
        <v>罪歌の子供が襲いかかってくる！</v>
      </c>
      <c r="F3" s="35">
        <v>49002005</v>
      </c>
      <c r="G3" s="3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36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3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3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3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35"/>
      <c r="Q3" s="35"/>
      <c r="R3" s="35"/>
    </row>
    <row r="4" spans="1:18" ht="21" customHeight="1" x14ac:dyDescent="0.15">
      <c r="A4" s="27" t="str">
        <f t="shared" si="0"/>
        <v>49002001_49002006</v>
      </c>
      <c r="B4" s="35">
        <v>49002001</v>
      </c>
      <c r="C4" s="35">
        <v>49002006</v>
      </c>
      <c r="D4" s="34" t="str">
        <f ca="1">VLOOKUP($C4,OFFSET(enemy_skills!$A$1,0,0,COUNTA(enemy_skills!$A:$A),MATCH(D$1,enemy_skills!$1:$1,0)-MATCH("enemy_skill_id",enemy_skills!$1:$1,0)+1),MATCH(D$1,enemy_skills!$1:$1,0)-MATCH("enemy_skill_id",enemy_skills!$1:$1,0)+1,FALSE)</f>
        <v>愛し続けてあげる</v>
      </c>
      <c r="E4" s="34" t="str">
        <f ca="1">VLOOKUP($C4,OFFSET(enemy_skills!$A$1,0,0,COUNTA(enemy_skills!$A:$A),MATCH(E$1,enemy_skills!$1:$1,0)-MATCH("enemy_skill_id",enemy_skills!$1:$1,0)+1),MATCH(E$1,enemy_skills!$1:$1,0)-MATCH("enemy_skill_id",enemy_skills!$1:$1,0)+1,FALSE)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4" s="35">
        <v>49002006</v>
      </c>
      <c r="G4" s="3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6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3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" s="3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3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" s="35"/>
      <c r="Q4" s="35"/>
      <c r="R4" s="35"/>
    </row>
    <row r="5" spans="1:18" ht="21" customHeight="1" x14ac:dyDescent="0.15">
      <c r="A5" s="27" t="str">
        <f t="shared" si="0"/>
        <v>49002002_49002010</v>
      </c>
      <c r="B5" s="35">
        <v>49002002</v>
      </c>
      <c r="C5" s="35">
        <v>49002010</v>
      </c>
      <c r="D5" s="3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・・・・・・・？</v>
      </c>
      <c r="E5" s="3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『切り裂き魔を追っているのか？』</v>
      </c>
      <c r="F5" s="35">
        <v>49002010</v>
      </c>
      <c r="G5" s="3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36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3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35"/>
      <c r="Q5" s="35"/>
      <c r="R5" s="35"/>
    </row>
    <row r="6" spans="1:18" ht="21" customHeight="1" x14ac:dyDescent="0.15">
      <c r="A6" s="27" t="str">
        <f t="shared" si="0"/>
        <v>49002002_49002011</v>
      </c>
      <c r="B6" s="35">
        <v>49002002</v>
      </c>
      <c r="C6" s="35">
        <v>49002011</v>
      </c>
      <c r="D6" s="3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・・・・・・・！</v>
      </c>
      <c r="E6" s="3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『おい、待て！』</v>
      </c>
      <c r="F6" s="35">
        <v>49002011</v>
      </c>
      <c r="G6" s="3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3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3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3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6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706</v>
      </c>
      <c r="O6" s="3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5"/>
      <c r="Q6" s="35"/>
      <c r="R6" s="35"/>
    </row>
    <row r="7" spans="1:18" ht="21" customHeight="1" x14ac:dyDescent="0.15">
      <c r="A7" s="27" t="str">
        <f t="shared" si="0"/>
        <v>49002003_49002015</v>
      </c>
      <c r="B7" s="35">
        <v>49002003</v>
      </c>
      <c r="C7" s="35">
        <v>49002015</v>
      </c>
      <c r="D7" s="34" t="str">
        <f ca="1">VLOOKUP($C7,OFFSET(enemy_skills!$A$1,0,0,COUNTA(enemy_skills!$A:$A),MATCH(D$1,enemy_skills!$1:$1,0)-MATCH("enemy_skill_id",enemy_skills!$1:$1,0)+1),MATCH(D$1,enemy_skills!$1:$1,0)-MATCH("enemy_skill_id",enemy_skills!$1:$1,0)+1,FALSE)</f>
        <v>最近よく噂に聞くね</v>
      </c>
      <c r="E7" s="34" t="str">
        <f ca="1">VLOOKUP($C7,OFFSET(enemy_skills!$A$1,0,0,COUNTA(enemy_skills!$A:$A),MATCH(E$1,enemy_skills!$1:$1,0)-MATCH("enemy_skill_id",enemy_skills!$1:$1,0)+1),MATCH(E$1,enemy_skills!$1:$1,0)-MATCH("enemy_skill_id",enemy_skills!$1:$1,0)+1,FALSE)</f>
        <v>関わりたくなさそうだ</v>
      </c>
      <c r="F7" s="35">
        <v>49002015</v>
      </c>
      <c r="G7" s="3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36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3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3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35"/>
      <c r="Q7" s="35"/>
      <c r="R7" s="35"/>
    </row>
    <row r="8" spans="1:18" ht="21" customHeight="1" x14ac:dyDescent="0.15">
      <c r="A8" s="27" t="str">
        <f t="shared" si="0"/>
        <v>49002003_49002016</v>
      </c>
      <c r="B8" s="35">
        <v>49002003</v>
      </c>
      <c r="C8" s="35">
        <v>49002016</v>
      </c>
      <c r="D8" s="3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こっちに行ったはずだよ</v>
      </c>
      <c r="E8" s="34" t="str">
        <f ca="1">VLOOKUP($C8,OFFSET(enemy_skills!$A$1,0,0,COUNTA(enemy_skills!$A:$A),MATCH(E$1,enemy_skills!$1:$1,0)-MATCH("enemy_skill_id",enemy_skills!$1:$1,0)+1),MATCH(E$1,enemy_skills!$1:$1,0)-MATCH("enemy_skill_id",enemy_skills!$1:$1,0)+1,FALSE)</f>
        <v>道を指差した</v>
      </c>
      <c r="F8" s="35">
        <v>49002016</v>
      </c>
      <c r="G8" s="3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3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3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3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3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3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5"/>
      <c r="Q8" s="35"/>
      <c r="R8" s="35"/>
    </row>
    <row r="9" spans="1:18" ht="21" customHeight="1" x14ac:dyDescent="0.15">
      <c r="A9" s="27" t="str">
        <f t="shared" ref="A9" si="1">B9&amp;"_"&amp;C9</f>
        <v>49002003_49002017</v>
      </c>
      <c r="B9" s="35">
        <v>49002003</v>
      </c>
      <c r="C9" s="35">
        <v>49002017</v>
      </c>
      <c r="D9" s="3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じゃあね</v>
      </c>
      <c r="E9" s="34" t="str">
        <f ca="1">VLOOKUP($C9,OFFSET(enemy_skills!$A$1,0,0,COUNTA(enemy_skills!$A:$A),MATCH(E$1,enemy_skills!$1:$1,0)-MATCH("enemy_skill_id",enemy_skills!$1:$1,0)+1),MATCH(E$1,enemy_skills!$1:$1,0)-MATCH("enemy_skill_id",enemy_skills!$1:$1,0)+1,FALSE)</f>
        <v>手を振って去っていった</v>
      </c>
      <c r="F9" s="35">
        <v>49002017</v>
      </c>
      <c r="G9" s="3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3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3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" s="3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6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" s="3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35"/>
      <c r="Q9" s="35"/>
      <c r="R9" s="35"/>
    </row>
    <row r="10" spans="1:18" ht="21" customHeight="1" x14ac:dyDescent="0.15">
      <c r="A10" s="27" t="str">
        <f t="shared" si="0"/>
        <v>49002006_49002030</v>
      </c>
      <c r="B10" s="35">
        <v>49002006</v>
      </c>
      <c r="C10" s="35">
        <v>49002030</v>
      </c>
      <c r="D10" s="3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行きなさい、子供たち</v>
      </c>
      <c r="E10" s="3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赤い目でこちらを見ている</v>
      </c>
      <c r="F10" s="35">
        <v>49002030</v>
      </c>
      <c r="G10" s="3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36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3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3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3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35"/>
      <c r="Q10" s="35"/>
      <c r="R10" s="35"/>
    </row>
    <row r="11" spans="1:18" ht="21" customHeight="1" x14ac:dyDescent="0.15">
      <c r="A11" s="27" t="str">
        <f t="shared" si="0"/>
        <v>49002006_49002031</v>
      </c>
      <c r="B11" s="35">
        <v>49002006</v>
      </c>
      <c r="C11" s="35">
        <v>49002031</v>
      </c>
      <c r="D11" s="3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もっと愛してあげる</v>
      </c>
      <c r="E11" s="3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1" s="35">
        <v>49002031</v>
      </c>
      <c r="G11" s="3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3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1" s="3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3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3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1" s="35"/>
      <c r="Q11" s="35"/>
      <c r="R11" s="35"/>
    </row>
    <row r="12" spans="1:18" ht="21" customHeight="1" x14ac:dyDescent="0.15">
      <c r="A12" s="27" t="str">
        <f t="shared" si="0"/>
        <v>49002006_49002032</v>
      </c>
      <c r="B12" s="35">
        <v>49002006</v>
      </c>
      <c r="C12" s="35">
        <v>49002032</v>
      </c>
      <c r="D12" s="3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まだよ、あの人に会うまでは・・・！</v>
      </c>
      <c r="E12" s="3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12" s="35">
        <v>49002032</v>
      </c>
      <c r="G12" s="3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6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3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36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2" s="3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3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35"/>
      <c r="Q12" s="35"/>
      <c r="R12" s="35"/>
    </row>
    <row r="13" spans="1:18" ht="21" customHeight="1" x14ac:dyDescent="0.15">
      <c r="A13" s="27" t="str">
        <f t="shared" si="0"/>
        <v>49002007_49002040</v>
      </c>
      <c r="B13" s="35">
        <v>49002007</v>
      </c>
      <c r="C13" s="35">
        <v>49002040</v>
      </c>
      <c r="D13" s="3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私の手で始末してあげるわ</v>
      </c>
      <c r="E13" s="3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罪歌の子達は去っていった</v>
      </c>
      <c r="F13" s="35">
        <v>49002040</v>
      </c>
      <c r="G13" s="3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36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3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3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3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3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35"/>
      <c r="Q13" s="35"/>
      <c r="R13" s="35"/>
    </row>
    <row r="14" spans="1:18" ht="21" customHeight="1" x14ac:dyDescent="0.15">
      <c r="A14" s="27" t="str">
        <f t="shared" si="0"/>
        <v>49002007_49002041</v>
      </c>
      <c r="B14" s="35">
        <v>49002007</v>
      </c>
      <c r="C14" s="35">
        <v>49002041</v>
      </c>
      <c r="D14" s="3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愛を得るには自分で動かなきゃ</v>
      </c>
      <c r="E14" s="3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14" s="35">
        <v>49002041</v>
      </c>
      <c r="G14" s="3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6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3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4" s="3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3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4" s="35"/>
      <c r="Q14" s="35"/>
      <c r="R14" s="35"/>
    </row>
    <row r="15" spans="1:18" ht="21" customHeight="1" x14ac:dyDescent="0.15">
      <c r="A15" s="27" t="str">
        <f t="shared" si="0"/>
        <v>49002007_49002042</v>
      </c>
      <c r="B15" s="35">
        <v>49002007</v>
      </c>
      <c r="C15" s="35">
        <v>49002042</v>
      </c>
      <c r="D15" s="3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くだらない人間よね</v>
      </c>
      <c r="E15" s="3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5" s="35">
        <v>49002042</v>
      </c>
      <c r="G15" s="3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36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3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5" s="3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3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5" s="35"/>
      <c r="Q15" s="35"/>
      <c r="R15" s="35"/>
    </row>
    <row r="16" spans="1:18" ht="21" customHeight="1" x14ac:dyDescent="0.15">
      <c r="A16" s="27" t="str">
        <f t="shared" si="0"/>
        <v>49002007_49002043</v>
      </c>
      <c r="B16" s="35">
        <v>49002007</v>
      </c>
      <c r="C16" s="35">
        <v>49002043</v>
      </c>
      <c r="D16" s="3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まさか・・・『母』が・・・？</v>
      </c>
      <c r="E16" s="3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ふらふらと去っていった・・・</v>
      </c>
      <c r="F16" s="35">
        <v>49002043</v>
      </c>
      <c r="G16" s="3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6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3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3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" s="3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6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" s="3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35"/>
      <c r="Q16" s="35"/>
      <c r="R16" s="35"/>
    </row>
    <row r="17" spans="1:18" ht="21" customHeight="1" x14ac:dyDescent="0.15">
      <c r="A17" s="27" t="str">
        <f t="shared" si="0"/>
        <v>49002007_49002044</v>
      </c>
      <c r="B17" s="35">
        <v>49002007</v>
      </c>
      <c r="C17" s="35">
        <v>49002044</v>
      </c>
      <c r="D17" s="3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いつまでもあの人と・・・</v>
      </c>
      <c r="E17" s="3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連続攻撃＋HP消費</v>
      </c>
      <c r="F17" s="35">
        <v>49002044</v>
      </c>
      <c r="G17" s="3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6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3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36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3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3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35"/>
      <c r="Q17" s="35"/>
      <c r="R17" s="35"/>
    </row>
    <row r="18" spans="1:18" ht="21" customHeight="1" x14ac:dyDescent="0.15">
      <c r="A18" s="27" t="str">
        <f t="shared" si="0"/>
        <v>49002008_49002050</v>
      </c>
      <c r="B18" s="87">
        <v>49002008</v>
      </c>
      <c r="C18" s="87">
        <v>49002050</v>
      </c>
      <c r="D18" s="3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竜ヶ峰君・・・！？なんで・・・！？</v>
      </c>
      <c r="E18" s="3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3ターンスキルバインド状態にする</v>
      </c>
      <c r="F18" s="87">
        <v>49002050</v>
      </c>
      <c r="G18" s="3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3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3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3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36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18" s="3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5"/>
      <c r="Q18" s="35"/>
      <c r="R18" s="35"/>
    </row>
    <row r="19" spans="1:18" ht="21" customHeight="1" x14ac:dyDescent="0.15">
      <c r="A19" s="27" t="str">
        <f t="shared" ref="A19:A26" si="2">B19&amp;"_"&amp;C19</f>
        <v>49002008_49002053</v>
      </c>
      <c r="B19" s="87">
        <v>49002008</v>
      </c>
      <c r="C19" s="87">
        <v>49002053</v>
      </c>
      <c r="D19" s="3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紀田君・・・！？なんで・・・！？</v>
      </c>
      <c r="E19" s="3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3ターンスキルバインド状態にする</v>
      </c>
      <c r="F19" s="87">
        <v>49002053</v>
      </c>
      <c r="G19" s="3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3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3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3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3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36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693</v>
      </c>
      <c r="O19" s="3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35"/>
      <c r="Q19" s="35"/>
      <c r="R19" s="35"/>
    </row>
    <row r="20" spans="1:18" ht="21" customHeight="1" x14ac:dyDescent="0.15">
      <c r="A20" s="27" t="str">
        <f t="shared" si="2"/>
        <v>49002008_49002054</v>
      </c>
      <c r="B20" s="87">
        <v>49002008</v>
      </c>
      <c r="C20" s="87">
        <v>49002054</v>
      </c>
      <c r="D20" s="3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紀田君・・・！？なんで・・・！？</v>
      </c>
      <c r="E20" s="3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3ターンスキルバインド状態にする</v>
      </c>
      <c r="F20" s="87">
        <v>49002054</v>
      </c>
      <c r="G20" s="3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3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3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3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36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694</v>
      </c>
      <c r="O20" s="3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35"/>
      <c r="Q20" s="35"/>
      <c r="R20" s="35"/>
    </row>
    <row r="21" spans="1:18" ht="21" customHeight="1" x14ac:dyDescent="0.15">
      <c r="A21" s="27" t="str">
        <f t="shared" si="2"/>
        <v>49002008_49002055</v>
      </c>
      <c r="B21" s="87">
        <v>49002008</v>
      </c>
      <c r="C21" s="87">
        <v>49002055</v>
      </c>
      <c r="D21" s="3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セルティさん、どうしてここに・・・。</v>
      </c>
      <c r="E21" s="3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3ターンスキルバインド状態にする</v>
      </c>
      <c r="F21" s="87">
        <v>49002055</v>
      </c>
      <c r="G21" s="3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3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3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36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696</v>
      </c>
      <c r="O21" s="3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5"/>
      <c r="Q21" s="35"/>
      <c r="R21" s="35"/>
    </row>
    <row r="22" spans="1:18" ht="21" customHeight="1" x14ac:dyDescent="0.15">
      <c r="A22" s="27" t="str">
        <f t="shared" si="2"/>
        <v>49002008_49002056</v>
      </c>
      <c r="B22" s="87">
        <v>49002008</v>
      </c>
      <c r="C22" s="87">
        <v>49002056</v>
      </c>
      <c r="D22" s="3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セルティさん、どうしてここに・・・。</v>
      </c>
      <c r="E22" s="3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3ターンスキルバインド状態にする</v>
      </c>
      <c r="F22" s="87">
        <v>49002056</v>
      </c>
      <c r="G22" s="3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3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2" s="3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3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3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3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36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697</v>
      </c>
      <c r="O22" s="3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35"/>
      <c r="Q22" s="35"/>
      <c r="R22" s="35"/>
    </row>
    <row r="23" spans="1:18" ht="21" customHeight="1" x14ac:dyDescent="0.15">
      <c r="A23" s="27" t="str">
        <f t="shared" si="2"/>
        <v>49002008_49002057</v>
      </c>
      <c r="B23" s="87">
        <v>49002008</v>
      </c>
      <c r="C23" s="87">
        <v>49002057</v>
      </c>
      <c r="D23" s="3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貴方を斬らせて貰います。</v>
      </c>
      <c r="E23" s="3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3ターンスキルバインド状態にする</v>
      </c>
      <c r="F23" s="87">
        <v>49002057</v>
      </c>
      <c r="G23" s="3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3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3" s="3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3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3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36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23" s="3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5"/>
      <c r="Q23" s="35"/>
      <c r="R23" s="35"/>
    </row>
    <row r="24" spans="1:18" ht="21" customHeight="1" x14ac:dyDescent="0.15">
      <c r="A24" s="27" t="str">
        <f t="shared" si="2"/>
        <v>49002008_49002058</v>
      </c>
      <c r="B24" s="87">
        <v>49002008</v>
      </c>
      <c r="C24" s="87">
        <v>49002058</v>
      </c>
      <c r="D24" s="3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貴方を斬らせて貰います。</v>
      </c>
      <c r="E24" s="3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3ターンスキルバインド状態にする</v>
      </c>
      <c r="F24" s="87">
        <v>49002058</v>
      </c>
      <c r="G24" s="3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3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4" s="3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3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3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36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24" s="3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35"/>
      <c r="Q24" s="35"/>
      <c r="R24" s="35"/>
    </row>
    <row r="25" spans="1:18" ht="21" customHeight="1" x14ac:dyDescent="0.15">
      <c r="A25" s="27" t="str">
        <f t="shared" si="2"/>
        <v>49002008_49002059</v>
      </c>
      <c r="B25" s="87">
        <v>49002008</v>
      </c>
      <c r="C25" s="87">
        <v>49002059</v>
      </c>
      <c r="D25" s="3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私の平穏を壊さないでください</v>
      </c>
      <c r="E25" s="3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3ターンスキルバインド状態にする</v>
      </c>
      <c r="F25" s="87">
        <v>49002059</v>
      </c>
      <c r="G25" s="3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3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3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35"/>
      <c r="Q25" s="35"/>
      <c r="R25" s="35"/>
    </row>
    <row r="26" spans="1:18" ht="21" customHeight="1" x14ac:dyDescent="0.15">
      <c r="A26" s="27" t="str">
        <f t="shared" si="2"/>
        <v>49002008_49002066</v>
      </c>
      <c r="B26" s="87">
        <v>49002008</v>
      </c>
      <c r="C26" s="87">
        <v>49002066</v>
      </c>
      <c r="D26" s="3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竜ヶ峰君・・・！？なんで・・・！？</v>
      </c>
      <c r="E26" s="3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3ターンスキルバインド状態にする</v>
      </c>
      <c r="F26" s="87">
        <v>49002066</v>
      </c>
      <c r="G26" s="3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3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3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3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36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26" s="3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35"/>
      <c r="Q26" s="35"/>
      <c r="R26" s="35"/>
    </row>
    <row r="27" spans="1:18" ht="21" customHeight="1" x14ac:dyDescent="0.15">
      <c r="A27" s="27" t="str">
        <f t="shared" si="0"/>
        <v>49002008_49002051</v>
      </c>
      <c r="B27" s="35">
        <v>49002008</v>
      </c>
      <c r="C27" s="35">
        <v>49002051</v>
      </c>
      <c r="D27" s="3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これで貸し借りはなしですよ</v>
      </c>
      <c r="E27" s="3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単体攻撃＋ハートパネルプロテクト</v>
      </c>
      <c r="F27" s="35">
        <v>49002051</v>
      </c>
      <c r="G27" s="3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6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3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36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3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35"/>
      <c r="Q27" s="35"/>
      <c r="R27" s="35"/>
    </row>
    <row r="28" spans="1:18" ht="21" customHeight="1" x14ac:dyDescent="0.15">
      <c r="A28" s="27" t="str">
        <f t="shared" si="0"/>
        <v>49002008_49002052</v>
      </c>
      <c r="B28" s="35">
        <v>49002008</v>
      </c>
      <c r="C28" s="35">
        <v>49002052</v>
      </c>
      <c r="D28" s="3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こっちが夢ならいいのに</v>
      </c>
      <c r="E28" s="3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8" s="35">
        <v>49002052</v>
      </c>
      <c r="G28" s="3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36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3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8" s="3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6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3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8" s="35"/>
      <c r="Q28" s="35"/>
      <c r="R28" s="35"/>
    </row>
    <row r="29" spans="1:18" ht="21" customHeight="1" x14ac:dyDescent="0.15">
      <c r="A29" s="27" t="str">
        <f t="shared" si="0"/>
        <v>49002009_49002060</v>
      </c>
      <c r="B29" s="35">
        <v>49002009</v>
      </c>
      <c r="C29" s="35">
        <v>49002060</v>
      </c>
      <c r="D29" s="3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今はこの場を切り抜けなきゃ…</v>
      </c>
      <c r="E29" s="3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状態異常無効+3ターン攻撃をDOWN</v>
      </c>
      <c r="F29" s="35">
        <v>49002060</v>
      </c>
      <c r="G29" s="3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36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3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3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3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3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3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35"/>
      <c r="Q29" s="35"/>
      <c r="R29" s="35"/>
    </row>
    <row r="30" spans="1:18" ht="21" customHeight="1" x14ac:dyDescent="0.15">
      <c r="A30" s="27" t="str">
        <f t="shared" si="0"/>
        <v>49002009_49002061</v>
      </c>
      <c r="B30" s="35">
        <v>49002009</v>
      </c>
      <c r="C30" s="35">
        <v>49002061</v>
      </c>
      <c r="D30" s="3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あなたは人を愛せますか？</v>
      </c>
      <c r="E30" s="3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ハートパネル破壊攻撃</v>
      </c>
      <c r="F30" s="35">
        <v>49002061</v>
      </c>
      <c r="G30" s="3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6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3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3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6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36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3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5"/>
      <c r="Q30" s="35"/>
      <c r="R30" s="35"/>
    </row>
    <row r="31" spans="1:18" ht="21" customHeight="1" x14ac:dyDescent="0.15">
      <c r="A31" s="27" t="str">
        <f t="shared" si="0"/>
        <v>49002009_49002062</v>
      </c>
      <c r="B31" s="35">
        <v>49002009</v>
      </c>
      <c r="C31" s="35">
        <v>49002062</v>
      </c>
      <c r="D31" s="3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・・・お願い邪魔しないで</v>
      </c>
      <c r="E31" s="3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31" s="35">
        <v>49002062</v>
      </c>
      <c r="G31" s="3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36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3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1" s="3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3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6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36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3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3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1" s="35"/>
      <c r="Q31" s="35"/>
      <c r="R31" s="35"/>
    </row>
    <row r="32" spans="1:18" ht="21" customHeight="1" x14ac:dyDescent="0.15">
      <c r="A32" s="27" t="str">
        <f t="shared" si="0"/>
        <v>49002009_49002063</v>
      </c>
      <c r="B32" s="35">
        <v>49002009</v>
      </c>
      <c r="C32" s="35">
        <v>49002063</v>
      </c>
      <c r="D32" s="3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ただ壊したくなかっただけなのに・・・</v>
      </c>
      <c r="E32" s="3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単体攻撃＋ハートパネルプロテクト</v>
      </c>
      <c r="F32" s="35">
        <v>49002063</v>
      </c>
      <c r="G32" s="3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36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3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2" s="3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3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6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3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3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3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2" s="35"/>
      <c r="Q32" s="35"/>
      <c r="R32" s="35"/>
    </row>
    <row r="33" spans="1:18" ht="21" customHeight="1" x14ac:dyDescent="0.15">
      <c r="A33" s="27" t="str">
        <f t="shared" si="0"/>
        <v>49002009_49002064</v>
      </c>
      <c r="B33" s="35">
        <v>49002009</v>
      </c>
      <c r="C33" s="35">
        <v>49002064</v>
      </c>
      <c r="D33" s="3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ちょっと切るだけですから</v>
      </c>
      <c r="E33" s="3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連続攻撃</v>
      </c>
      <c r="F33" s="35">
        <v>49002064</v>
      </c>
      <c r="G33" s="3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36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3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3" s="3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3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6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36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3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3" s="35"/>
      <c r="Q33" s="35"/>
      <c r="R33" s="35"/>
    </row>
    <row r="34" spans="1:18" ht="21" customHeight="1" x14ac:dyDescent="0.15">
      <c r="A34" s="27" t="str">
        <f t="shared" ref="A34" si="3">B34&amp;"_"&amp;C34</f>
        <v>49002009_49002065</v>
      </c>
      <c r="B34" s="35">
        <v>49002009</v>
      </c>
      <c r="C34" s="35">
        <v>49002065</v>
      </c>
      <c r="D34" s="3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少しの間眠っていてください</v>
      </c>
      <c r="E34" s="3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全体攻撃＋スリープ</v>
      </c>
      <c r="F34" s="35">
        <v>49002065</v>
      </c>
      <c r="G34" s="3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3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3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36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3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3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3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3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35"/>
      <c r="Q34" s="35"/>
      <c r="R34" s="35"/>
    </row>
    <row r="35" spans="1:18" ht="21" customHeight="1" x14ac:dyDescent="0.15">
      <c r="A35" s="27" t="str">
        <f t="shared" ref="A35:A42" si="4">B35&amp;"_"&amp;C35</f>
        <v>49002010_49002070</v>
      </c>
      <c r="B35" s="35">
        <v>49002010</v>
      </c>
      <c r="C35" s="35">
        <v>49002070</v>
      </c>
      <c r="D35" s="3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ごめんなさい…でも、私…</v>
      </c>
      <c r="E35" s="3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状態異常無効+攻撃力UP</v>
      </c>
      <c r="F35" s="35">
        <v>49002070</v>
      </c>
      <c r="G35" s="3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36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3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3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3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3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3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35"/>
      <c r="Q35" s="35"/>
      <c r="R35" s="35"/>
    </row>
    <row r="36" spans="1:18" ht="21" customHeight="1" x14ac:dyDescent="0.15">
      <c r="A36" s="27" t="str">
        <f t="shared" si="4"/>
        <v>49002010_49002071</v>
      </c>
      <c r="B36" s="35">
        <v>49002010</v>
      </c>
      <c r="C36" s="35">
        <v>49002071</v>
      </c>
      <c r="D36" s="3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そうはさせませんよ</v>
      </c>
      <c r="E36" s="3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36" s="35">
        <v>49002071</v>
      </c>
      <c r="G36" s="3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36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3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3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3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6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36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6" s="3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3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35"/>
      <c r="Q36" s="35"/>
      <c r="R36" s="35"/>
    </row>
    <row r="37" spans="1:18" ht="21" customHeight="1" x14ac:dyDescent="0.15">
      <c r="A37" s="27" t="str">
        <f t="shared" si="4"/>
        <v>49002010_49002072</v>
      </c>
      <c r="B37" s="35">
        <v>49002010</v>
      </c>
      <c r="C37" s="35">
        <v>49002072</v>
      </c>
      <c r="D37" s="3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すこしだけ酷いことをしますね</v>
      </c>
      <c r="E37" s="3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単体攻撃＋ハートパネルプロテクト</v>
      </c>
      <c r="F37" s="35">
        <v>49002072</v>
      </c>
      <c r="G37" s="3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36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3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7" s="3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6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3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3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7" s="35"/>
      <c r="Q37" s="35"/>
      <c r="R37" s="35"/>
    </row>
    <row r="38" spans="1:18" ht="21" customHeight="1" x14ac:dyDescent="0.15">
      <c r="A38" s="27" t="str">
        <f t="shared" si="4"/>
        <v>49002010_49002073</v>
      </c>
      <c r="B38" s="35">
        <v>49002010</v>
      </c>
      <c r="C38" s="35">
        <v>49002073</v>
      </c>
      <c r="D38" s="3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日常に戻りたいんです</v>
      </c>
      <c r="E38" s="3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連続攻撃</v>
      </c>
      <c r="F38" s="35">
        <v>49002073</v>
      </c>
      <c r="G38" s="3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36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3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8" s="3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6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3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3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8" s="35"/>
      <c r="Q38" s="35"/>
      <c r="R38" s="35"/>
    </row>
    <row r="39" spans="1:18" ht="21" customHeight="1" x14ac:dyDescent="0.15">
      <c r="A39" s="27" t="str">
        <f t="shared" si="4"/>
        <v>49002010_49002074</v>
      </c>
      <c r="B39" s="35">
        <v>49002010</v>
      </c>
      <c r="C39" s="35">
        <v>49002074</v>
      </c>
      <c r="D39" s="3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私は寄生虫ですから・・・</v>
      </c>
      <c r="E39" s="3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クリティカル＋スキルバインド</v>
      </c>
      <c r="F39" s="35">
        <v>49002074</v>
      </c>
      <c r="G39" s="3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6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3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39" s="36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9" s="3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3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3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39" s="35"/>
      <c r="Q39" s="35"/>
      <c r="R39" s="35"/>
    </row>
    <row r="40" spans="1:18" ht="21" customHeight="1" x14ac:dyDescent="0.15">
      <c r="A40" s="27" t="str">
        <f t="shared" si="4"/>
        <v>49002010_49002075</v>
      </c>
      <c r="B40" s="35">
        <v>49002010</v>
      </c>
      <c r="C40" s="35">
        <v>49002075</v>
      </c>
      <c r="D40" s="3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あなたにも『声』を聞かせてあげますよ</v>
      </c>
      <c r="E40" s="3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ハートパネル無効</v>
      </c>
      <c r="F40" s="35">
        <v>49002075</v>
      </c>
      <c r="G40" s="3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36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3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36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3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3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3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3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3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35"/>
      <c r="Q40" s="35"/>
      <c r="R40" s="35"/>
    </row>
    <row r="41" spans="1:18" ht="21" customHeight="1" x14ac:dyDescent="0.15">
      <c r="A41" s="27" t="str">
        <f t="shared" si="4"/>
        <v>49002011_49002035</v>
      </c>
      <c r="B41" s="35">
        <v>49002011</v>
      </c>
      <c r="C41" s="35">
        <v>49002035</v>
      </c>
      <c r="D41" s="3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あなたも私の邪魔をするの？</v>
      </c>
      <c r="E41" s="3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ナイフを構えて襲いかかってくる！</v>
      </c>
      <c r="F41" s="35">
        <v>49002035</v>
      </c>
      <c r="G41" s="3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36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3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3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3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3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3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3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3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35"/>
      <c r="Q41" s="35"/>
      <c r="R41" s="35"/>
    </row>
    <row r="42" spans="1:18" ht="21" customHeight="1" x14ac:dyDescent="0.15">
      <c r="A42" s="27" t="str">
        <f t="shared" si="4"/>
        <v>49002011_49002036</v>
      </c>
      <c r="B42" s="35">
        <v>49002011</v>
      </c>
      <c r="C42" s="35">
        <v>49002036</v>
      </c>
      <c r="D42" s="3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後は子供たちに任せるわ…</v>
      </c>
      <c r="E42" s="3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こちらに人影が迫ってくる！</v>
      </c>
      <c r="F42" s="35">
        <v>49002036</v>
      </c>
      <c r="G42" s="3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36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3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3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3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3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" s="3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36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2" s="3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35"/>
      <c r="Q42" s="35"/>
      <c r="R42" s="35"/>
    </row>
    <row r="43" spans="1:18" ht="21" customHeight="1" x14ac:dyDescent="0.15">
      <c r="A43" s="27" t="str">
        <f t="shared" ref="A43:A44" si="5">B43&amp;"_"&amp;C43</f>
        <v>49002011_49002037</v>
      </c>
      <c r="B43" s="35">
        <v>49002011</v>
      </c>
      <c r="C43" s="35">
        <v>49002037</v>
      </c>
      <c r="D43" s="3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………！</v>
      </c>
      <c r="E43" s="3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何かに気を取られているようだ…</v>
      </c>
      <c r="F43" s="35">
        <v>49002037</v>
      </c>
      <c r="G43" s="3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3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3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3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3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36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36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3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3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35"/>
      <c r="Q43" s="35"/>
      <c r="R43" s="35"/>
    </row>
    <row r="44" spans="1:18" ht="21" customHeight="1" x14ac:dyDescent="0.15">
      <c r="A44" s="27" t="str">
        <f t="shared" si="5"/>
        <v>49002011_49002038</v>
      </c>
      <c r="B44" s="35">
        <v>49002011</v>
      </c>
      <c r="C44" s="35">
        <v>49002038</v>
      </c>
      <c r="D44" s="3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あなたに構う暇は無くなったわ</v>
      </c>
      <c r="E44" s="3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何かを追うように去っていく…</v>
      </c>
      <c r="F44" s="35">
        <v>49002038</v>
      </c>
      <c r="G44" s="3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36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4" s="3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3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3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3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3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3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3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35"/>
      <c r="Q44" s="35"/>
      <c r="R44" s="3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1"/>
  <sheetViews>
    <sheetView showGridLines="0" tabSelected="1" workbookViewId="0">
      <pane ySplit="1" topLeftCell="A62" activePane="bottomLeft" state="frozenSplit"/>
      <selection pane="bottomLeft" activeCell="B78" sqref="B78"/>
    </sheetView>
  </sheetViews>
  <sheetFormatPr baseColWidth="12" defaultColWidth="12.83203125" defaultRowHeight="21" customHeight="1" outlineLevelCol="1" x14ac:dyDescent="0.15"/>
  <cols>
    <col min="1" max="1" width="12.83203125" style="37"/>
    <col min="2" max="2" width="67.1640625" style="37" customWidth="1"/>
    <col min="3" max="4" width="12.83203125" style="37"/>
    <col min="5" max="5" width="23.6640625" style="37" bestFit="1" customWidth="1"/>
    <col min="6" max="6" width="44.1640625" style="37" bestFit="1" customWidth="1"/>
    <col min="7" max="7" width="52" style="37" hidden="1" customWidth="1" outlineLevel="1"/>
    <col min="8" max="8" width="18.33203125" style="37" hidden="1" customWidth="1" outlineLevel="1"/>
    <col min="9" max="11" width="18.6640625" style="37" hidden="1" customWidth="1" outlineLevel="1"/>
    <col min="12" max="12" width="23.6640625" style="37" customWidth="1" collapsed="1"/>
    <col min="13" max="18" width="23.6640625" style="37" hidden="1" customWidth="1" outlineLevel="1"/>
    <col min="19" max="19" width="23.6640625" style="37" customWidth="1" collapsed="1"/>
    <col min="20" max="24" width="23.6640625" style="37" hidden="1" customWidth="1" outlineLevel="1"/>
    <col min="25" max="25" width="23.6640625" style="37" customWidth="1" collapsed="1"/>
    <col min="26" max="27" width="12.83203125" style="37"/>
    <col min="28" max="28" width="44.5" style="37" customWidth="1"/>
    <col min="29" max="16384" width="12.83203125" style="37"/>
  </cols>
  <sheetData>
    <row r="1" spans="1:28" ht="21" customHeight="1" x14ac:dyDescent="0.15">
      <c r="A1" s="28" t="s">
        <v>79</v>
      </c>
      <c r="B1" s="28" t="s">
        <v>80</v>
      </c>
      <c r="C1" s="28" t="s">
        <v>81</v>
      </c>
      <c r="D1" s="28" t="s">
        <v>127</v>
      </c>
      <c r="E1" s="28" t="s">
        <v>82</v>
      </c>
      <c r="F1" s="28" t="s">
        <v>83</v>
      </c>
      <c r="G1" s="29" t="s">
        <v>133</v>
      </c>
      <c r="H1" s="29" t="s">
        <v>139</v>
      </c>
      <c r="I1" s="29" t="s">
        <v>141</v>
      </c>
      <c r="J1" s="29" t="s">
        <v>140</v>
      </c>
      <c r="K1" s="29" t="s">
        <v>142</v>
      </c>
      <c r="L1" s="29" t="s">
        <v>134</v>
      </c>
      <c r="M1" s="29" t="s">
        <v>132</v>
      </c>
      <c r="N1" s="29" t="s">
        <v>135</v>
      </c>
      <c r="O1" s="29" t="s">
        <v>143</v>
      </c>
      <c r="P1" s="29" t="s">
        <v>144</v>
      </c>
      <c r="Q1" s="29" t="s">
        <v>145</v>
      </c>
      <c r="R1" s="29" t="s">
        <v>146</v>
      </c>
      <c r="S1" s="29" t="s">
        <v>136</v>
      </c>
      <c r="T1" s="29" t="s">
        <v>137</v>
      </c>
      <c r="U1" s="29" t="s">
        <v>147</v>
      </c>
      <c r="V1" s="29" t="s">
        <v>148</v>
      </c>
      <c r="W1" s="29" t="s">
        <v>149</v>
      </c>
      <c r="X1" s="29" t="s">
        <v>150</v>
      </c>
      <c r="Y1" s="29" t="s">
        <v>138</v>
      </c>
      <c r="Z1" s="29" t="s">
        <v>76</v>
      </c>
      <c r="AA1" s="29" t="s">
        <v>77</v>
      </c>
      <c r="AB1" s="29" t="s">
        <v>78</v>
      </c>
    </row>
    <row r="2" spans="1:28" ht="21" customHeight="1" x14ac:dyDescent="0.15">
      <c r="A2" s="35">
        <v>49002000</v>
      </c>
      <c r="B2" s="35" t="s">
        <v>249</v>
      </c>
      <c r="C2" s="38">
        <v>3</v>
      </c>
      <c r="D2" s="38" t="s">
        <v>128</v>
      </c>
      <c r="E2" s="39" t="s">
        <v>218</v>
      </c>
      <c r="F2" s="39" t="s">
        <v>322</v>
      </c>
      <c r="G2" s="51" t="str">
        <f>IFERROR(LEFT(B2,FIND("],",B2)),B2)</f>
        <v>[effect:suicide, val:0.1, dead_type:suicide, target:myself, animation:enemy_suicide]</v>
      </c>
      <c r="H2" s="51">
        <f>FIND("effect:",G2)+7</f>
        <v>9</v>
      </c>
      <c r="I2" s="51">
        <f>IFERROR(FIND(",",G2),LEN(G2))</f>
        <v>16</v>
      </c>
      <c r="J2" s="51">
        <f>FIND("target:",G2)+7</f>
        <v>53</v>
      </c>
      <c r="K2" s="51">
        <f>FIND(",",G2,I2+1)</f>
        <v>25</v>
      </c>
      <c r="L2" s="51" t="str">
        <f>IFERROR(VLOOKUP(MID(G2,J2,K2-J2),[6]skilldef!$C:$D,2,FALSE),"-") &amp; " / " &amp; IFERROR(VLOOKUP(MID(G2,H2,I2-H2),[6]skilldef!$A:$B,2,FALSE),"-")</f>
        <v>- / -</v>
      </c>
      <c r="M2" s="51" t="str">
        <f>IFERROR(RIGHT(B2,LEN(B2)-FIND("],",B2)-1),"none")</f>
        <v>none</v>
      </c>
      <c r="N2" s="36" t="str">
        <f>IFERROR(LEFT(M2,FIND("],",M2)+S12),M2)</f>
        <v>none</v>
      </c>
      <c r="O2" s="51" t="e">
        <f>FIND("effect:",N2)+7</f>
        <v>#VALUE!</v>
      </c>
      <c r="P2" s="51">
        <f>IFERROR(FIND(",",N2),LEN(N2))</f>
        <v>4</v>
      </c>
      <c r="Q2" s="51" t="e">
        <f>FIND("target:",N2)+7</f>
        <v>#VALUE!</v>
      </c>
      <c r="R2" s="51" t="e">
        <f>FIND(",",N2,P2+1)</f>
        <v>#VALUE!</v>
      </c>
      <c r="S2" s="51" t="str">
        <f>IFERROR(VLOOKUP(MID(N2,Q2,R2-Q2),[6]skilldef!$C:$D,2,FALSE),"-") &amp; " / " &amp; IFERROR(VLOOKUP(MID(N2,O2,P2-O2),[6]skilldef!$A:$B,2,FALSE),"-")</f>
        <v>- / -</v>
      </c>
      <c r="T2" s="36" t="str">
        <f>IFERROR(RIGHT(M2,LEN(M2)-FIND("],",M2)-1),"none")</f>
        <v>none</v>
      </c>
      <c r="U2" s="51" t="e">
        <f>FIND("effect:",T2)+7</f>
        <v>#VALUE!</v>
      </c>
      <c r="V2" s="51">
        <f>IFERROR(FIND(",",T2),LEN(T2))</f>
        <v>4</v>
      </c>
      <c r="W2" s="51" t="e">
        <f>FIND("target:",T2)+7</f>
        <v>#VALUE!</v>
      </c>
      <c r="X2" s="51" t="e">
        <f>FIND(",",T2,V2+1)</f>
        <v>#VALUE!</v>
      </c>
      <c r="Y2" s="51" t="str">
        <f>IFERROR(VLOOKUP(MID(T2,W2,X2-W2),[6]skilldef!$C:$D,2,FALSE),"-") &amp; " / " &amp; IFERROR(VLOOKUP(MID(T2,U2,V2-U2),[6]skilldef!$A:$B,2,FALSE),"-")</f>
        <v>- / -</v>
      </c>
      <c r="Z2" s="38"/>
      <c r="AA2" s="40"/>
      <c r="AB2" s="38"/>
    </row>
    <row r="3" spans="1:28" ht="21" customHeight="1" x14ac:dyDescent="0.15">
      <c r="A3" s="35">
        <v>49002001</v>
      </c>
      <c r="B3" s="35" t="s">
        <v>254</v>
      </c>
      <c r="C3" s="38">
        <v>3</v>
      </c>
      <c r="D3" s="38" t="s">
        <v>128</v>
      </c>
      <c r="E3" s="39" t="s">
        <v>317</v>
      </c>
      <c r="F3" s="39" t="s">
        <v>228</v>
      </c>
      <c r="G3" s="51" t="str">
        <f t="shared" ref="G3:G66" si="0">IFERROR(LEFT(B3,FIND("],",B3)),B3)</f>
        <v>[effect:rush, count:3, val:0.4]</v>
      </c>
      <c r="H3" s="51">
        <f t="shared" ref="H3:H66" si="1">FIND("effect:",G3)+7</f>
        <v>9</v>
      </c>
      <c r="I3" s="51">
        <f t="shared" ref="I3:I66" si="2">IFERROR(FIND(",",G3),LEN(G3))</f>
        <v>13</v>
      </c>
      <c r="J3" s="51" t="e">
        <f t="shared" ref="J3:J66" si="3">FIND("target:",G3)+7</f>
        <v>#VALUE!</v>
      </c>
      <c r="K3" s="51">
        <f t="shared" ref="K3:K66" si="4">FIND(",",G3,I3+1)</f>
        <v>22</v>
      </c>
      <c r="L3" s="51" t="str">
        <f>IFERROR(VLOOKUP(MID(G3,J3,K3-J3),[6]skilldef!$C:$D,2,FALSE),"-") &amp; " / " &amp; IFERROR(VLOOKUP(MID(G3,H3,I3-H3),[6]skilldef!$A:$B,2,FALSE),"-")</f>
        <v>- / 連続攻撃</v>
      </c>
      <c r="M3" s="51" t="str">
        <f t="shared" ref="M3:M66" si="5">IFERROR(RIGHT(B3,LEN(B3)-FIND("],",B3)-1),"none")</f>
        <v>none</v>
      </c>
      <c r="N3" s="36" t="str">
        <f t="shared" ref="N3:N66" si="6">IFERROR(LEFT(M3,FIND("],",M3)+S13),M3)</f>
        <v>none</v>
      </c>
      <c r="O3" s="51" t="e">
        <f t="shared" ref="O3:O66" si="7">FIND("effect:",N3)+7</f>
        <v>#VALUE!</v>
      </c>
      <c r="P3" s="51">
        <f t="shared" ref="P3:P66" si="8">IFERROR(FIND(",",N3),LEN(N3))</f>
        <v>4</v>
      </c>
      <c r="Q3" s="51" t="e">
        <f t="shared" ref="Q3:Q66" si="9">FIND("target:",N3)+7</f>
        <v>#VALUE!</v>
      </c>
      <c r="R3" s="51" t="e">
        <f t="shared" ref="R3:R66" si="10">FIND(",",N3,P3+1)</f>
        <v>#VALUE!</v>
      </c>
      <c r="S3" s="51" t="str">
        <f>IFERROR(VLOOKUP(MID(N3,Q3,R3-Q3),[6]skilldef!$C:$D,2,FALSE),"-") &amp; " / " &amp; IFERROR(VLOOKUP(MID(N3,O3,P3-O3),[6]skilldef!$A:$B,2,FALSE),"-")</f>
        <v>- / -</v>
      </c>
      <c r="T3" s="36" t="str">
        <f t="shared" ref="T3:T66" si="11">IFERROR(RIGHT(M3,LEN(M3)-FIND("],",M3)-1),"none")</f>
        <v>none</v>
      </c>
      <c r="U3" s="51" t="e">
        <f t="shared" ref="U3:U66" si="12">FIND("effect:",T3)+7</f>
        <v>#VALUE!</v>
      </c>
      <c r="V3" s="51">
        <f t="shared" ref="V3:V66" si="13">IFERROR(FIND(",",T3),LEN(T3))</f>
        <v>4</v>
      </c>
      <c r="W3" s="51" t="e">
        <f t="shared" ref="W3:W66" si="14">FIND("target:",T3)+7</f>
        <v>#VALUE!</v>
      </c>
      <c r="X3" s="51" t="e">
        <f t="shared" ref="X3:X66" si="15">FIND(",",T3,V3+1)</f>
        <v>#VALUE!</v>
      </c>
      <c r="Y3" s="51" t="str">
        <f>IFERROR(VLOOKUP(MID(T3,W3,X3-W3),[6]skilldef!$C:$D,2,FALSE),"-") &amp; " / " &amp; IFERROR(VLOOKUP(MID(T3,U3,V3-U3),[6]skilldef!$A:$B,2,FALSE),"-")</f>
        <v>- / -</v>
      </c>
      <c r="Z3" s="38"/>
      <c r="AA3" s="40"/>
      <c r="AB3" s="38"/>
    </row>
    <row r="4" spans="1:28" ht="21" customHeight="1" x14ac:dyDescent="0.15">
      <c r="A4" s="35">
        <v>49002002</v>
      </c>
      <c r="B4" s="35" t="s">
        <v>238</v>
      </c>
      <c r="C4" s="38">
        <v>3</v>
      </c>
      <c r="D4" s="38" t="s">
        <v>128</v>
      </c>
      <c r="E4" s="39" t="s">
        <v>218</v>
      </c>
      <c r="F4" s="39" t="s">
        <v>214</v>
      </c>
      <c r="G4" s="51" t="str">
        <f t="shared" si="0"/>
        <v>[effect:nothing]</v>
      </c>
      <c r="H4" s="51">
        <f t="shared" si="1"/>
        <v>9</v>
      </c>
      <c r="I4" s="51">
        <f t="shared" si="2"/>
        <v>16</v>
      </c>
      <c r="J4" s="51" t="e">
        <f t="shared" si="3"/>
        <v>#VALUE!</v>
      </c>
      <c r="K4" s="51" t="e">
        <f t="shared" si="4"/>
        <v>#VALUE!</v>
      </c>
      <c r="L4" s="51" t="str">
        <f>IFERROR(VLOOKUP(MID(G4,J4,K4-J4),[6]skilldef!$C:$D,2,FALSE),"-") &amp; " / " &amp; IFERROR(VLOOKUP(MID(G4,H4,I4-H4),[6]skilldef!$A:$B,2,FALSE),"-")</f>
        <v>- / 何もしない</v>
      </c>
      <c r="M4" s="51" t="str">
        <f t="shared" si="5"/>
        <v>none</v>
      </c>
      <c r="N4" s="36" t="str">
        <f t="shared" si="6"/>
        <v>none</v>
      </c>
      <c r="O4" s="51" t="e">
        <f t="shared" si="7"/>
        <v>#VALUE!</v>
      </c>
      <c r="P4" s="51">
        <f t="shared" si="8"/>
        <v>4</v>
      </c>
      <c r="Q4" s="51" t="e">
        <f t="shared" si="9"/>
        <v>#VALUE!</v>
      </c>
      <c r="R4" s="51" t="e">
        <f t="shared" si="10"/>
        <v>#VALUE!</v>
      </c>
      <c r="S4" s="51" t="str">
        <f>IFERROR(VLOOKUP(MID(N4,Q4,R4-Q4),[6]skilldef!$C:$D,2,FALSE),"-") &amp; " / " &amp; IFERROR(VLOOKUP(MID(N4,O4,P4-O4),[6]skilldef!$A:$B,2,FALSE),"-")</f>
        <v>- / -</v>
      </c>
      <c r="T4" s="36" t="str">
        <f t="shared" si="11"/>
        <v>none</v>
      </c>
      <c r="U4" s="51" t="e">
        <f t="shared" si="12"/>
        <v>#VALUE!</v>
      </c>
      <c r="V4" s="51">
        <f t="shared" si="13"/>
        <v>4</v>
      </c>
      <c r="W4" s="51" t="e">
        <f t="shared" si="14"/>
        <v>#VALUE!</v>
      </c>
      <c r="X4" s="51" t="e">
        <f t="shared" si="15"/>
        <v>#VALUE!</v>
      </c>
      <c r="Y4" s="51" t="str">
        <f>IFERROR(VLOOKUP(MID(T4,W4,X4-W4),[6]skilldef!$C:$D,2,FALSE),"-") &amp; " / " &amp; IFERROR(VLOOKUP(MID(T4,U4,V4-U4),[6]skilldef!$A:$B,2,FALSE),"-")</f>
        <v>- / -</v>
      </c>
      <c r="Z4" s="38"/>
      <c r="AA4" s="40"/>
      <c r="AB4" s="38"/>
    </row>
    <row r="5" spans="1:28" ht="21" customHeight="1" x14ac:dyDescent="0.15">
      <c r="A5" s="35">
        <v>49002003</v>
      </c>
      <c r="B5" s="35" t="s">
        <v>238</v>
      </c>
      <c r="C5" s="38">
        <v>3</v>
      </c>
      <c r="D5" s="38" t="s">
        <v>128</v>
      </c>
      <c r="E5" s="39" t="s">
        <v>218</v>
      </c>
      <c r="F5" s="39" t="s">
        <v>214</v>
      </c>
      <c r="G5" s="51" t="str">
        <f t="shared" si="0"/>
        <v>[effect:nothing]</v>
      </c>
      <c r="H5" s="51">
        <f t="shared" si="1"/>
        <v>9</v>
      </c>
      <c r="I5" s="51">
        <f t="shared" si="2"/>
        <v>16</v>
      </c>
      <c r="J5" s="51" t="e">
        <f t="shared" si="3"/>
        <v>#VALUE!</v>
      </c>
      <c r="K5" s="51" t="e">
        <f t="shared" si="4"/>
        <v>#VALUE!</v>
      </c>
      <c r="L5" s="51" t="str">
        <f>IFERROR(VLOOKUP(MID(G5,J5,K5-J5),[6]skilldef!$C:$D,2,FALSE),"-") &amp; " / " &amp; IFERROR(VLOOKUP(MID(G5,H5,I5-H5),[6]skilldef!$A:$B,2,FALSE),"-")</f>
        <v>- / 何もしない</v>
      </c>
      <c r="M5" s="51" t="str">
        <f t="shared" si="5"/>
        <v>none</v>
      </c>
      <c r="N5" s="36" t="str">
        <f t="shared" si="6"/>
        <v>none</v>
      </c>
      <c r="O5" s="51" t="e">
        <f t="shared" si="7"/>
        <v>#VALUE!</v>
      </c>
      <c r="P5" s="51">
        <f t="shared" si="8"/>
        <v>4</v>
      </c>
      <c r="Q5" s="51" t="e">
        <f t="shared" si="9"/>
        <v>#VALUE!</v>
      </c>
      <c r="R5" s="51" t="e">
        <f t="shared" si="10"/>
        <v>#VALUE!</v>
      </c>
      <c r="S5" s="51" t="str">
        <f>IFERROR(VLOOKUP(MID(N5,Q5,R5-Q5),[6]skilldef!$C:$D,2,FALSE),"-") &amp; " / " &amp; IFERROR(VLOOKUP(MID(N5,O5,P5-O5),[6]skilldef!$A:$B,2,FALSE),"-")</f>
        <v>- / -</v>
      </c>
      <c r="T5" s="36" t="str">
        <f t="shared" si="11"/>
        <v>none</v>
      </c>
      <c r="U5" s="51" t="e">
        <f t="shared" si="12"/>
        <v>#VALUE!</v>
      </c>
      <c r="V5" s="51">
        <f t="shared" si="13"/>
        <v>4</v>
      </c>
      <c r="W5" s="51" t="e">
        <f t="shared" si="14"/>
        <v>#VALUE!</v>
      </c>
      <c r="X5" s="51" t="e">
        <f t="shared" si="15"/>
        <v>#VALUE!</v>
      </c>
      <c r="Y5" s="51" t="str">
        <f>IFERROR(VLOOKUP(MID(T5,W5,X5-W5),[6]skilldef!$C:$D,2,FALSE),"-") &amp; " / " &amp; IFERROR(VLOOKUP(MID(T5,U5,V5-U5),[6]skilldef!$A:$B,2,FALSE),"-")</f>
        <v>- / -</v>
      </c>
      <c r="Z5" s="38"/>
      <c r="AA5" s="40"/>
      <c r="AB5" s="38"/>
    </row>
    <row r="6" spans="1:28" ht="21" customHeight="1" x14ac:dyDescent="0.15">
      <c r="A6" s="35">
        <v>49002004</v>
      </c>
      <c r="B6" s="35" t="s">
        <v>238</v>
      </c>
      <c r="C6" s="38">
        <v>3</v>
      </c>
      <c r="D6" s="38" t="s">
        <v>128</v>
      </c>
      <c r="E6" s="39" t="s">
        <v>218</v>
      </c>
      <c r="F6" s="39" t="s">
        <v>214</v>
      </c>
      <c r="G6" s="51" t="str">
        <f t="shared" si="0"/>
        <v>[effect:nothing]</v>
      </c>
      <c r="H6" s="51">
        <f t="shared" si="1"/>
        <v>9</v>
      </c>
      <c r="I6" s="51">
        <f t="shared" si="2"/>
        <v>16</v>
      </c>
      <c r="J6" s="51" t="e">
        <f t="shared" si="3"/>
        <v>#VALUE!</v>
      </c>
      <c r="K6" s="51" t="e">
        <f t="shared" si="4"/>
        <v>#VALUE!</v>
      </c>
      <c r="L6" s="51" t="str">
        <f>IFERROR(VLOOKUP(MID(G6,J6,K6-J6),[6]skilldef!$C:$D,2,FALSE),"-") &amp; " / " &amp; IFERROR(VLOOKUP(MID(G6,H6,I6-H6),[6]skilldef!$A:$B,2,FALSE),"-")</f>
        <v>- / 何もしない</v>
      </c>
      <c r="M6" s="51" t="str">
        <f t="shared" si="5"/>
        <v>none</v>
      </c>
      <c r="N6" s="36" t="str">
        <f t="shared" si="6"/>
        <v>none</v>
      </c>
      <c r="O6" s="51" t="e">
        <f t="shared" si="7"/>
        <v>#VALUE!</v>
      </c>
      <c r="P6" s="51">
        <f t="shared" si="8"/>
        <v>4</v>
      </c>
      <c r="Q6" s="51" t="e">
        <f t="shared" si="9"/>
        <v>#VALUE!</v>
      </c>
      <c r="R6" s="51" t="e">
        <f t="shared" si="10"/>
        <v>#VALUE!</v>
      </c>
      <c r="S6" s="51" t="str">
        <f>IFERROR(VLOOKUP(MID(N6,Q6,R6-Q6),[6]skilldef!$C:$D,2,FALSE),"-") &amp; " / " &amp; IFERROR(VLOOKUP(MID(N6,O6,P6-O6),[6]skilldef!$A:$B,2,FALSE),"-")</f>
        <v>- / -</v>
      </c>
      <c r="T6" s="36" t="str">
        <f t="shared" si="11"/>
        <v>none</v>
      </c>
      <c r="U6" s="51" t="e">
        <f t="shared" si="12"/>
        <v>#VALUE!</v>
      </c>
      <c r="V6" s="51">
        <f t="shared" si="13"/>
        <v>4</v>
      </c>
      <c r="W6" s="51" t="e">
        <f t="shared" si="14"/>
        <v>#VALUE!</v>
      </c>
      <c r="X6" s="51" t="e">
        <f t="shared" si="15"/>
        <v>#VALUE!</v>
      </c>
      <c r="Y6" s="51" t="str">
        <f>IFERROR(VLOOKUP(MID(T6,W6,X6-W6),[6]skilldef!$C:$D,2,FALSE),"-") &amp; " / " &amp; IFERROR(VLOOKUP(MID(T6,U6,V6-U6),[6]skilldef!$A:$B,2,FALSE),"-")</f>
        <v>- / -</v>
      </c>
      <c r="Z6" s="38"/>
      <c r="AA6" s="40"/>
      <c r="AB6" s="38"/>
    </row>
    <row r="7" spans="1:28" ht="21" customHeight="1" x14ac:dyDescent="0.15">
      <c r="A7" s="35">
        <v>49002005</v>
      </c>
      <c r="B7" s="35" t="s">
        <v>248</v>
      </c>
      <c r="C7" s="38">
        <v>3</v>
      </c>
      <c r="D7" s="38" t="s">
        <v>128</v>
      </c>
      <c r="E7" s="39" t="s">
        <v>273</v>
      </c>
      <c r="F7" s="39" t="s">
        <v>264</v>
      </c>
      <c r="G7" s="51" t="str">
        <f t="shared" si="0"/>
        <v>[effect:suicide, val:0.1, dead_type:suicide, target:enemy_blue, animation:enemy_suicide]</v>
      </c>
      <c r="H7" s="51">
        <f t="shared" si="1"/>
        <v>9</v>
      </c>
      <c r="I7" s="51">
        <f t="shared" si="2"/>
        <v>16</v>
      </c>
      <c r="J7" s="51">
        <f t="shared" si="3"/>
        <v>53</v>
      </c>
      <c r="K7" s="51">
        <f t="shared" si="4"/>
        <v>25</v>
      </c>
      <c r="L7" s="51" t="str">
        <f>IFERROR(VLOOKUP(MID(G7,J7,K7-J7),[6]skilldef!$C:$D,2,FALSE),"-") &amp; " / " &amp; IFERROR(VLOOKUP(MID(G7,H7,I7-H7),[6]skilldef!$A:$B,2,FALSE),"-")</f>
        <v>- / -</v>
      </c>
      <c r="M7" s="51" t="str">
        <f t="shared" si="5"/>
        <v>none</v>
      </c>
      <c r="N7" s="36" t="str">
        <f t="shared" si="6"/>
        <v>none</v>
      </c>
      <c r="O7" s="51" t="e">
        <f t="shared" si="7"/>
        <v>#VALUE!</v>
      </c>
      <c r="P7" s="51">
        <f t="shared" si="8"/>
        <v>4</v>
      </c>
      <c r="Q7" s="51" t="e">
        <f t="shared" si="9"/>
        <v>#VALUE!</v>
      </c>
      <c r="R7" s="51" t="e">
        <f t="shared" si="10"/>
        <v>#VALUE!</v>
      </c>
      <c r="S7" s="51" t="str">
        <f>IFERROR(VLOOKUP(MID(N7,Q7,R7-Q7),[6]skilldef!$C:$D,2,FALSE),"-") &amp; " / " &amp; IFERROR(VLOOKUP(MID(N7,O7,P7-O7),[6]skilldef!$A:$B,2,FALSE),"-")</f>
        <v>- / -</v>
      </c>
      <c r="T7" s="36" t="str">
        <f t="shared" si="11"/>
        <v>none</v>
      </c>
      <c r="U7" s="51" t="e">
        <f t="shared" si="12"/>
        <v>#VALUE!</v>
      </c>
      <c r="V7" s="51">
        <f t="shared" si="13"/>
        <v>4</v>
      </c>
      <c r="W7" s="51" t="e">
        <f t="shared" si="14"/>
        <v>#VALUE!</v>
      </c>
      <c r="X7" s="51" t="e">
        <f t="shared" si="15"/>
        <v>#VALUE!</v>
      </c>
      <c r="Y7" s="51" t="str">
        <f>IFERROR(VLOOKUP(MID(T7,W7,X7-W7),[6]skilldef!$C:$D,2,FALSE),"-") &amp; " / " &amp; IFERROR(VLOOKUP(MID(T7,U7,V7-U7),[6]skilldef!$A:$B,2,FALSE),"-")</f>
        <v>- / -</v>
      </c>
      <c r="Z7" s="38"/>
      <c r="AA7" s="40"/>
      <c r="AB7" s="38"/>
    </row>
    <row r="8" spans="1:28" ht="21" customHeight="1" x14ac:dyDescent="0.15">
      <c r="A8" s="35">
        <v>49002006</v>
      </c>
      <c r="B8" s="35" t="s">
        <v>253</v>
      </c>
      <c r="C8" s="38">
        <v>3</v>
      </c>
      <c r="D8" s="38" t="s">
        <v>128</v>
      </c>
      <c r="E8" s="39" t="s">
        <v>318</v>
      </c>
      <c r="F8" s="39" t="s">
        <v>228</v>
      </c>
      <c r="G8" s="51" t="str">
        <f t="shared" si="0"/>
        <v>[effect:rush, count:5, val:0.2]</v>
      </c>
      <c r="H8" s="51">
        <f t="shared" si="1"/>
        <v>9</v>
      </c>
      <c r="I8" s="51">
        <f t="shared" si="2"/>
        <v>13</v>
      </c>
      <c r="J8" s="51" t="e">
        <f t="shared" si="3"/>
        <v>#VALUE!</v>
      </c>
      <c r="K8" s="51">
        <f t="shared" si="4"/>
        <v>22</v>
      </c>
      <c r="L8" s="51" t="str">
        <f>IFERROR(VLOOKUP(MID(G8,J8,K8-J8),[6]skilldef!$C:$D,2,FALSE),"-") &amp; " / " &amp; IFERROR(VLOOKUP(MID(G8,H8,I8-H8),[6]skilldef!$A:$B,2,FALSE),"-")</f>
        <v>- / 連続攻撃</v>
      </c>
      <c r="M8" s="51" t="str">
        <f t="shared" si="5"/>
        <v>none</v>
      </c>
      <c r="N8" s="36" t="str">
        <f t="shared" si="6"/>
        <v>none</v>
      </c>
      <c r="O8" s="51" t="e">
        <f t="shared" si="7"/>
        <v>#VALUE!</v>
      </c>
      <c r="P8" s="51">
        <f t="shared" si="8"/>
        <v>4</v>
      </c>
      <c r="Q8" s="51" t="e">
        <f t="shared" si="9"/>
        <v>#VALUE!</v>
      </c>
      <c r="R8" s="51" t="e">
        <f t="shared" si="10"/>
        <v>#VALUE!</v>
      </c>
      <c r="S8" s="51" t="str">
        <f>IFERROR(VLOOKUP(MID(N8,Q8,R8-Q8),[6]skilldef!$C:$D,2,FALSE),"-") &amp; " / " &amp; IFERROR(VLOOKUP(MID(N8,O8,P8-O8),[6]skilldef!$A:$B,2,FALSE),"-")</f>
        <v>- / -</v>
      </c>
      <c r="T8" s="36" t="str">
        <f t="shared" si="11"/>
        <v>none</v>
      </c>
      <c r="U8" s="51" t="e">
        <f t="shared" si="12"/>
        <v>#VALUE!</v>
      </c>
      <c r="V8" s="51">
        <f t="shared" si="13"/>
        <v>4</v>
      </c>
      <c r="W8" s="51" t="e">
        <f t="shared" si="14"/>
        <v>#VALUE!</v>
      </c>
      <c r="X8" s="51" t="e">
        <f t="shared" si="15"/>
        <v>#VALUE!</v>
      </c>
      <c r="Y8" s="51" t="str">
        <f>IFERROR(VLOOKUP(MID(T8,W8,X8-W8),[6]skilldef!$C:$D,2,FALSE),"-") &amp; " / " &amp; IFERROR(VLOOKUP(MID(T8,U8,V8-U8),[6]skilldef!$A:$B,2,FALSE),"-")</f>
        <v>- / -</v>
      </c>
      <c r="Z8" s="38"/>
      <c r="AA8" s="40"/>
      <c r="AB8" s="38"/>
    </row>
    <row r="9" spans="1:28" ht="21" customHeight="1" x14ac:dyDescent="0.15">
      <c r="A9" s="35">
        <v>49002007</v>
      </c>
      <c r="B9" s="35" t="s">
        <v>238</v>
      </c>
      <c r="C9" s="38">
        <v>3</v>
      </c>
      <c r="D9" s="38" t="s">
        <v>128</v>
      </c>
      <c r="E9" s="39" t="s">
        <v>219</v>
      </c>
      <c r="F9" s="39" t="s">
        <v>214</v>
      </c>
      <c r="G9" s="51" t="str">
        <f t="shared" si="0"/>
        <v>[effect:nothing]</v>
      </c>
      <c r="H9" s="51">
        <f t="shared" si="1"/>
        <v>9</v>
      </c>
      <c r="I9" s="51">
        <f t="shared" si="2"/>
        <v>16</v>
      </c>
      <c r="J9" s="51" t="e">
        <f t="shared" si="3"/>
        <v>#VALUE!</v>
      </c>
      <c r="K9" s="51" t="e">
        <f t="shared" si="4"/>
        <v>#VALUE!</v>
      </c>
      <c r="L9" s="51" t="str">
        <f>IFERROR(VLOOKUP(MID(G9,J9,K9-J9),[6]skilldef!$C:$D,2,FALSE),"-") &amp; " / " &amp; IFERROR(VLOOKUP(MID(G9,H9,I9-H9),[6]skilldef!$A:$B,2,FALSE),"-")</f>
        <v>- / 何もしない</v>
      </c>
      <c r="M9" s="51" t="str">
        <f t="shared" si="5"/>
        <v>none</v>
      </c>
      <c r="N9" s="36" t="str">
        <f t="shared" si="6"/>
        <v>none</v>
      </c>
      <c r="O9" s="51" t="e">
        <f t="shared" si="7"/>
        <v>#VALUE!</v>
      </c>
      <c r="P9" s="51">
        <f t="shared" si="8"/>
        <v>4</v>
      </c>
      <c r="Q9" s="51" t="e">
        <f t="shared" si="9"/>
        <v>#VALUE!</v>
      </c>
      <c r="R9" s="51" t="e">
        <f t="shared" si="10"/>
        <v>#VALUE!</v>
      </c>
      <c r="S9" s="51" t="str">
        <f>IFERROR(VLOOKUP(MID(N9,Q9,R9-Q9),[6]skilldef!$C:$D,2,FALSE),"-") &amp; " / " &amp; IFERROR(VLOOKUP(MID(N9,O9,P9-O9),[6]skilldef!$A:$B,2,FALSE),"-")</f>
        <v>- / -</v>
      </c>
      <c r="T9" s="36" t="str">
        <f t="shared" si="11"/>
        <v>none</v>
      </c>
      <c r="U9" s="51" t="e">
        <f t="shared" si="12"/>
        <v>#VALUE!</v>
      </c>
      <c r="V9" s="51">
        <f t="shared" si="13"/>
        <v>4</v>
      </c>
      <c r="W9" s="51" t="e">
        <f t="shared" si="14"/>
        <v>#VALUE!</v>
      </c>
      <c r="X9" s="51" t="e">
        <f t="shared" si="15"/>
        <v>#VALUE!</v>
      </c>
      <c r="Y9" s="51" t="str">
        <f>IFERROR(VLOOKUP(MID(T9,W9,X9-W9),[6]skilldef!$C:$D,2,FALSE),"-") &amp; " / " &amp; IFERROR(VLOOKUP(MID(T9,U9,V9-U9),[6]skilldef!$A:$B,2,FALSE),"-")</f>
        <v>- / -</v>
      </c>
      <c r="Z9" s="38"/>
      <c r="AA9" s="40"/>
      <c r="AB9" s="38"/>
    </row>
    <row r="10" spans="1:28" ht="21" customHeight="1" x14ac:dyDescent="0.15">
      <c r="A10" s="35">
        <v>49002008</v>
      </c>
      <c r="B10" s="35" t="s">
        <v>238</v>
      </c>
      <c r="C10" s="38">
        <v>3</v>
      </c>
      <c r="D10" s="38" t="s">
        <v>128</v>
      </c>
      <c r="E10" s="39" t="s">
        <v>219</v>
      </c>
      <c r="F10" s="39" t="s">
        <v>214</v>
      </c>
      <c r="G10" s="51" t="str">
        <f t="shared" si="0"/>
        <v>[effect:nothing]</v>
      </c>
      <c r="H10" s="51">
        <f t="shared" si="1"/>
        <v>9</v>
      </c>
      <c r="I10" s="51">
        <f t="shared" si="2"/>
        <v>16</v>
      </c>
      <c r="J10" s="51" t="e">
        <f t="shared" si="3"/>
        <v>#VALUE!</v>
      </c>
      <c r="K10" s="51" t="e">
        <f t="shared" si="4"/>
        <v>#VALUE!</v>
      </c>
      <c r="L10" s="51" t="str">
        <f>IFERROR(VLOOKUP(MID(G10,J10,K10-J10),[6]skilldef!$C:$D,2,FALSE),"-") &amp; " / " &amp; IFERROR(VLOOKUP(MID(G10,H10,I10-H10),[6]skilldef!$A:$B,2,FALSE),"-")</f>
        <v>- / 何もしない</v>
      </c>
      <c r="M10" s="51" t="str">
        <f t="shared" si="5"/>
        <v>none</v>
      </c>
      <c r="N10" s="36" t="str">
        <f t="shared" si="6"/>
        <v>none</v>
      </c>
      <c r="O10" s="51" t="e">
        <f t="shared" si="7"/>
        <v>#VALUE!</v>
      </c>
      <c r="P10" s="51">
        <f t="shared" si="8"/>
        <v>4</v>
      </c>
      <c r="Q10" s="51" t="e">
        <f t="shared" si="9"/>
        <v>#VALUE!</v>
      </c>
      <c r="R10" s="51" t="e">
        <f t="shared" si="10"/>
        <v>#VALUE!</v>
      </c>
      <c r="S10" s="51" t="str">
        <f>IFERROR(VLOOKUP(MID(N10,Q10,R10-Q10),[6]skilldef!$C:$D,2,FALSE),"-") &amp; " / " &amp; IFERROR(VLOOKUP(MID(N10,O10,P10-O10),[6]skilldef!$A:$B,2,FALSE),"-")</f>
        <v>- / -</v>
      </c>
      <c r="T10" s="36" t="str">
        <f t="shared" si="11"/>
        <v>none</v>
      </c>
      <c r="U10" s="51" t="e">
        <f t="shared" si="12"/>
        <v>#VALUE!</v>
      </c>
      <c r="V10" s="51">
        <f t="shared" si="13"/>
        <v>4</v>
      </c>
      <c r="W10" s="51" t="e">
        <f t="shared" si="14"/>
        <v>#VALUE!</v>
      </c>
      <c r="X10" s="51" t="e">
        <f t="shared" si="15"/>
        <v>#VALUE!</v>
      </c>
      <c r="Y10" s="51" t="str">
        <f>IFERROR(VLOOKUP(MID(T10,W10,X10-W10),[6]skilldef!$C:$D,2,FALSE),"-") &amp; " / " &amp; IFERROR(VLOOKUP(MID(T10,U10,V10-U10),[6]skilldef!$A:$B,2,FALSE),"-")</f>
        <v>- / -</v>
      </c>
      <c r="Z10" s="38"/>
      <c r="AA10" s="40"/>
      <c r="AB10" s="38"/>
    </row>
    <row r="11" spans="1:28" ht="21" customHeight="1" x14ac:dyDescent="0.15">
      <c r="A11" s="35">
        <v>49002009</v>
      </c>
      <c r="B11" s="35" t="s">
        <v>238</v>
      </c>
      <c r="C11" s="38">
        <v>3</v>
      </c>
      <c r="D11" s="38" t="s">
        <v>128</v>
      </c>
      <c r="E11" s="39" t="s">
        <v>219</v>
      </c>
      <c r="F11" s="39" t="s">
        <v>214</v>
      </c>
      <c r="G11" s="51" t="str">
        <f t="shared" si="0"/>
        <v>[effect:nothing]</v>
      </c>
      <c r="H11" s="51">
        <f t="shared" si="1"/>
        <v>9</v>
      </c>
      <c r="I11" s="51">
        <f t="shared" si="2"/>
        <v>16</v>
      </c>
      <c r="J11" s="51" t="e">
        <f t="shared" si="3"/>
        <v>#VALUE!</v>
      </c>
      <c r="K11" s="51" t="e">
        <f t="shared" si="4"/>
        <v>#VALUE!</v>
      </c>
      <c r="L11" s="51" t="str">
        <f>IFERROR(VLOOKUP(MID(G11,J11,K11-J11),[6]skilldef!$C:$D,2,FALSE),"-") &amp; " / " &amp; IFERROR(VLOOKUP(MID(G11,H11,I11-H11),[6]skilldef!$A:$B,2,FALSE),"-")</f>
        <v>- / 何もしない</v>
      </c>
      <c r="M11" s="51" t="str">
        <f t="shared" si="5"/>
        <v>none</v>
      </c>
      <c r="N11" s="36" t="str">
        <f t="shared" si="6"/>
        <v>none</v>
      </c>
      <c r="O11" s="51" t="e">
        <f t="shared" si="7"/>
        <v>#VALUE!</v>
      </c>
      <c r="P11" s="51">
        <f t="shared" si="8"/>
        <v>4</v>
      </c>
      <c r="Q11" s="51" t="e">
        <f t="shared" si="9"/>
        <v>#VALUE!</v>
      </c>
      <c r="R11" s="51" t="e">
        <f t="shared" si="10"/>
        <v>#VALUE!</v>
      </c>
      <c r="S11" s="51" t="str">
        <f>IFERROR(VLOOKUP(MID(N11,Q11,R11-Q11),[6]skilldef!$C:$D,2,FALSE),"-") &amp; " / " &amp; IFERROR(VLOOKUP(MID(N11,O11,P11-O11),[6]skilldef!$A:$B,2,FALSE),"-")</f>
        <v>- / -</v>
      </c>
      <c r="T11" s="36" t="str">
        <f t="shared" si="11"/>
        <v>none</v>
      </c>
      <c r="U11" s="51" t="e">
        <f t="shared" si="12"/>
        <v>#VALUE!</v>
      </c>
      <c r="V11" s="51">
        <f t="shared" si="13"/>
        <v>4</v>
      </c>
      <c r="W11" s="51" t="e">
        <f t="shared" si="14"/>
        <v>#VALUE!</v>
      </c>
      <c r="X11" s="51" t="e">
        <f t="shared" si="15"/>
        <v>#VALUE!</v>
      </c>
      <c r="Y11" s="51" t="str">
        <f>IFERROR(VLOOKUP(MID(T11,W11,X11-W11),[6]skilldef!$C:$D,2,FALSE),"-") &amp; " / " &amp; IFERROR(VLOOKUP(MID(T11,U11,V11-U11),[6]skilldef!$A:$B,2,FALSE),"-")</f>
        <v>- / -</v>
      </c>
      <c r="Z11" s="38"/>
      <c r="AA11" s="40"/>
      <c r="AB11" s="38"/>
    </row>
    <row r="12" spans="1:28" ht="21" customHeight="1" x14ac:dyDescent="0.15">
      <c r="A12" s="35">
        <v>49002010</v>
      </c>
      <c r="B12" s="35" t="s">
        <v>281</v>
      </c>
      <c r="C12" s="38">
        <v>3</v>
      </c>
      <c r="D12" s="38" t="s">
        <v>128</v>
      </c>
      <c r="E12" s="39" t="s">
        <v>323</v>
      </c>
      <c r="F12" s="39" t="s">
        <v>268</v>
      </c>
      <c r="G12" s="51" t="str">
        <f t="shared" si="0"/>
        <v>[effect:fix_speed, target:myself, turn:5]</v>
      </c>
      <c r="H12" s="51">
        <f t="shared" si="1"/>
        <v>9</v>
      </c>
      <c r="I12" s="51">
        <f t="shared" si="2"/>
        <v>18</v>
      </c>
      <c r="J12" s="51">
        <f t="shared" si="3"/>
        <v>27</v>
      </c>
      <c r="K12" s="51">
        <f t="shared" si="4"/>
        <v>33</v>
      </c>
      <c r="L12" s="51" t="str">
        <f>IFERROR(VLOOKUP(MID(G12,J12,K12-J12),[6]skilldef!$C:$D,2,FALSE),"-") &amp; " / " &amp; IFERROR(VLOOKUP(MID(G12,H12,I12-H12),[6]skilldef!$A:$B,2,FALSE),"-")</f>
        <v>自分自身に / 行動値設定</v>
      </c>
      <c r="M12" s="51" t="str">
        <f t="shared" si="5"/>
        <v>none</v>
      </c>
      <c r="N12" s="36" t="str">
        <f t="shared" si="6"/>
        <v>none</v>
      </c>
      <c r="O12" s="51" t="e">
        <f t="shared" si="7"/>
        <v>#VALUE!</v>
      </c>
      <c r="P12" s="51">
        <f t="shared" si="8"/>
        <v>4</v>
      </c>
      <c r="Q12" s="51" t="e">
        <f t="shared" si="9"/>
        <v>#VALUE!</v>
      </c>
      <c r="R12" s="51" t="e">
        <f t="shared" si="10"/>
        <v>#VALUE!</v>
      </c>
      <c r="S12" s="51" t="str">
        <f>IFERROR(VLOOKUP(MID(N12,Q12,R12-Q12),[6]skilldef!$C:$D,2,FALSE),"-") &amp; " / " &amp; IFERROR(VLOOKUP(MID(N12,O12,P12-O12),[6]skilldef!$A:$B,2,FALSE),"-")</f>
        <v>- / -</v>
      </c>
      <c r="T12" s="36" t="str">
        <f t="shared" si="11"/>
        <v>none</v>
      </c>
      <c r="U12" s="51" t="e">
        <f t="shared" si="12"/>
        <v>#VALUE!</v>
      </c>
      <c r="V12" s="51">
        <f t="shared" si="13"/>
        <v>4</v>
      </c>
      <c r="W12" s="51" t="e">
        <f t="shared" si="14"/>
        <v>#VALUE!</v>
      </c>
      <c r="X12" s="51" t="e">
        <f t="shared" si="15"/>
        <v>#VALUE!</v>
      </c>
      <c r="Y12" s="51" t="str">
        <f>IFERROR(VLOOKUP(MID(T12,W12,X12-W12),[6]skilldef!$C:$D,2,FALSE),"-") &amp; " / " &amp; IFERROR(VLOOKUP(MID(T12,U12,V12-U12),[6]skilldef!$A:$B,2,FALSE),"-")</f>
        <v>- / -</v>
      </c>
      <c r="Z12" s="38"/>
      <c r="AA12" s="40"/>
      <c r="AB12" s="38"/>
    </row>
    <row r="13" spans="1:28" ht="21" customHeight="1" x14ac:dyDescent="0.15">
      <c r="A13" s="35">
        <v>49002011</v>
      </c>
      <c r="B13" s="35" t="s">
        <v>283</v>
      </c>
      <c r="C13" s="38">
        <v>3</v>
      </c>
      <c r="D13" s="38" t="s">
        <v>128</v>
      </c>
      <c r="E13" s="39" t="s">
        <v>324</v>
      </c>
      <c r="F13" s="39" t="s">
        <v>267</v>
      </c>
      <c r="G13" s="51" t="str">
        <f t="shared" si="0"/>
        <v>[effect:suicide, val:1, dead_type:escape, target:myself]</v>
      </c>
      <c r="H13" s="51">
        <f t="shared" si="1"/>
        <v>9</v>
      </c>
      <c r="I13" s="51">
        <f t="shared" si="2"/>
        <v>16</v>
      </c>
      <c r="J13" s="51">
        <f t="shared" si="3"/>
        <v>50</v>
      </c>
      <c r="K13" s="51">
        <f t="shared" si="4"/>
        <v>23</v>
      </c>
      <c r="L13" s="51" t="str">
        <f>IFERROR(VLOOKUP(MID(G13,J13,K13-J13),[6]skilldef!$C:$D,2,FALSE),"-") &amp; " / " &amp; IFERROR(VLOOKUP(MID(G13,H13,I13-H13),[6]skilldef!$A:$B,2,FALSE),"-")</f>
        <v>- / -</v>
      </c>
      <c r="M13" s="51" t="str">
        <f t="shared" si="5"/>
        <v>none</v>
      </c>
      <c r="N13" s="36" t="str">
        <f t="shared" si="6"/>
        <v>none</v>
      </c>
      <c r="O13" s="51" t="e">
        <f t="shared" si="7"/>
        <v>#VALUE!</v>
      </c>
      <c r="P13" s="51">
        <f t="shared" si="8"/>
        <v>4</v>
      </c>
      <c r="Q13" s="51" t="e">
        <f t="shared" si="9"/>
        <v>#VALUE!</v>
      </c>
      <c r="R13" s="51" t="e">
        <f t="shared" si="10"/>
        <v>#VALUE!</v>
      </c>
      <c r="S13" s="51" t="str">
        <f>IFERROR(VLOOKUP(MID(N13,Q13,R13-Q13),[6]skilldef!$C:$D,2,FALSE),"-") &amp; " / " &amp; IFERROR(VLOOKUP(MID(N13,O13,P13-O13),[6]skilldef!$A:$B,2,FALSE),"-")</f>
        <v>- / -</v>
      </c>
      <c r="T13" s="36" t="str">
        <f t="shared" si="11"/>
        <v>none</v>
      </c>
      <c r="U13" s="51" t="e">
        <f t="shared" si="12"/>
        <v>#VALUE!</v>
      </c>
      <c r="V13" s="51">
        <f t="shared" si="13"/>
        <v>4</v>
      </c>
      <c r="W13" s="51" t="e">
        <f t="shared" si="14"/>
        <v>#VALUE!</v>
      </c>
      <c r="X13" s="51" t="e">
        <f t="shared" si="15"/>
        <v>#VALUE!</v>
      </c>
      <c r="Y13" s="51" t="str">
        <f>IFERROR(VLOOKUP(MID(T13,W13,X13-W13),[6]skilldef!$C:$D,2,FALSE),"-") &amp; " / " &amp; IFERROR(VLOOKUP(MID(T13,U13,V13-U13),[6]skilldef!$A:$B,2,FALSE),"-")</f>
        <v>- / -</v>
      </c>
      <c r="Z13" s="38"/>
      <c r="AA13" s="40"/>
      <c r="AB13" s="38"/>
    </row>
    <row r="14" spans="1:28" ht="21" customHeight="1" x14ac:dyDescent="0.15">
      <c r="A14" s="35">
        <v>49002012</v>
      </c>
      <c r="B14" s="35" t="s">
        <v>238</v>
      </c>
      <c r="C14" s="38">
        <v>3</v>
      </c>
      <c r="D14" s="38" t="s">
        <v>128</v>
      </c>
      <c r="E14" s="39" t="s">
        <v>220</v>
      </c>
      <c r="F14" s="39" t="s">
        <v>214</v>
      </c>
      <c r="G14" s="51" t="str">
        <f t="shared" si="0"/>
        <v>[effect:nothing]</v>
      </c>
      <c r="H14" s="51">
        <f t="shared" si="1"/>
        <v>9</v>
      </c>
      <c r="I14" s="51">
        <f t="shared" si="2"/>
        <v>16</v>
      </c>
      <c r="J14" s="51" t="e">
        <f t="shared" si="3"/>
        <v>#VALUE!</v>
      </c>
      <c r="K14" s="51" t="e">
        <f t="shared" si="4"/>
        <v>#VALUE!</v>
      </c>
      <c r="L14" s="51" t="str">
        <f>IFERROR(VLOOKUP(MID(G14,J14,K14-J14),[6]skilldef!$C:$D,2,FALSE),"-") &amp; " / " &amp; IFERROR(VLOOKUP(MID(G14,H14,I14-H14),[6]skilldef!$A:$B,2,FALSE),"-")</f>
        <v>- / 何もしない</v>
      </c>
      <c r="M14" s="51" t="str">
        <f t="shared" si="5"/>
        <v>none</v>
      </c>
      <c r="N14" s="36" t="str">
        <f t="shared" si="6"/>
        <v>none</v>
      </c>
      <c r="O14" s="51" t="e">
        <f t="shared" si="7"/>
        <v>#VALUE!</v>
      </c>
      <c r="P14" s="51">
        <f t="shared" si="8"/>
        <v>4</v>
      </c>
      <c r="Q14" s="51" t="e">
        <f t="shared" si="9"/>
        <v>#VALUE!</v>
      </c>
      <c r="R14" s="51" t="e">
        <f t="shared" si="10"/>
        <v>#VALUE!</v>
      </c>
      <c r="S14" s="51" t="str">
        <f>IFERROR(VLOOKUP(MID(N14,Q14,R14-Q14),[6]skilldef!$C:$D,2,FALSE),"-") &amp; " / " &amp; IFERROR(VLOOKUP(MID(N14,O14,P14-O14),[6]skilldef!$A:$B,2,FALSE),"-")</f>
        <v>- / -</v>
      </c>
      <c r="T14" s="36" t="str">
        <f t="shared" si="11"/>
        <v>none</v>
      </c>
      <c r="U14" s="51" t="e">
        <f t="shared" si="12"/>
        <v>#VALUE!</v>
      </c>
      <c r="V14" s="51">
        <f t="shared" si="13"/>
        <v>4</v>
      </c>
      <c r="W14" s="51" t="e">
        <f t="shared" si="14"/>
        <v>#VALUE!</v>
      </c>
      <c r="X14" s="51" t="e">
        <f t="shared" si="15"/>
        <v>#VALUE!</v>
      </c>
      <c r="Y14" s="51" t="str">
        <f>IFERROR(VLOOKUP(MID(T14,W14,X14-W14),[6]skilldef!$C:$D,2,FALSE),"-") &amp; " / " &amp; IFERROR(VLOOKUP(MID(T14,U14,V14-U14),[6]skilldef!$A:$B,2,FALSE),"-")</f>
        <v>- / -</v>
      </c>
      <c r="Z14" s="38"/>
      <c r="AA14" s="40"/>
      <c r="AB14" s="38"/>
    </row>
    <row r="15" spans="1:28" ht="21" customHeight="1" x14ac:dyDescent="0.15">
      <c r="A15" s="35">
        <v>49002013</v>
      </c>
      <c r="B15" s="35" t="s">
        <v>238</v>
      </c>
      <c r="C15" s="38">
        <v>3</v>
      </c>
      <c r="D15" s="38" t="s">
        <v>128</v>
      </c>
      <c r="E15" s="39" t="s">
        <v>220</v>
      </c>
      <c r="F15" s="39" t="s">
        <v>214</v>
      </c>
      <c r="G15" s="51" t="str">
        <f t="shared" si="0"/>
        <v>[effect:nothing]</v>
      </c>
      <c r="H15" s="51">
        <f t="shared" si="1"/>
        <v>9</v>
      </c>
      <c r="I15" s="51">
        <f t="shared" si="2"/>
        <v>16</v>
      </c>
      <c r="J15" s="51" t="e">
        <f t="shared" si="3"/>
        <v>#VALUE!</v>
      </c>
      <c r="K15" s="51" t="e">
        <f t="shared" si="4"/>
        <v>#VALUE!</v>
      </c>
      <c r="L15" s="51" t="str">
        <f>IFERROR(VLOOKUP(MID(G15,J15,K15-J15),[6]skilldef!$C:$D,2,FALSE),"-") &amp; " / " &amp; IFERROR(VLOOKUP(MID(G15,H15,I15-H15),[6]skilldef!$A:$B,2,FALSE),"-")</f>
        <v>- / 何もしない</v>
      </c>
      <c r="M15" s="51" t="str">
        <f t="shared" si="5"/>
        <v>none</v>
      </c>
      <c r="N15" s="36" t="str">
        <f t="shared" si="6"/>
        <v>none</v>
      </c>
      <c r="O15" s="51" t="e">
        <f t="shared" si="7"/>
        <v>#VALUE!</v>
      </c>
      <c r="P15" s="51">
        <f t="shared" si="8"/>
        <v>4</v>
      </c>
      <c r="Q15" s="51" t="e">
        <f t="shared" si="9"/>
        <v>#VALUE!</v>
      </c>
      <c r="R15" s="51" t="e">
        <f t="shared" si="10"/>
        <v>#VALUE!</v>
      </c>
      <c r="S15" s="51" t="str">
        <f>IFERROR(VLOOKUP(MID(N15,Q15,R15-Q15),[6]skilldef!$C:$D,2,FALSE),"-") &amp; " / " &amp; IFERROR(VLOOKUP(MID(N15,O15,P15-O15),[6]skilldef!$A:$B,2,FALSE),"-")</f>
        <v>- / -</v>
      </c>
      <c r="T15" s="36" t="str">
        <f t="shared" si="11"/>
        <v>none</v>
      </c>
      <c r="U15" s="51" t="e">
        <f t="shared" si="12"/>
        <v>#VALUE!</v>
      </c>
      <c r="V15" s="51">
        <f t="shared" si="13"/>
        <v>4</v>
      </c>
      <c r="W15" s="51" t="e">
        <f t="shared" si="14"/>
        <v>#VALUE!</v>
      </c>
      <c r="X15" s="51" t="e">
        <f t="shared" si="15"/>
        <v>#VALUE!</v>
      </c>
      <c r="Y15" s="51" t="str">
        <f>IFERROR(VLOOKUP(MID(T15,W15,X15-W15),[6]skilldef!$C:$D,2,FALSE),"-") &amp; " / " &amp; IFERROR(VLOOKUP(MID(T15,U15,V15-U15),[6]skilldef!$A:$B,2,FALSE),"-")</f>
        <v>- / -</v>
      </c>
      <c r="Z15" s="38"/>
      <c r="AA15" s="40"/>
      <c r="AB15" s="38"/>
    </row>
    <row r="16" spans="1:28" ht="21" customHeight="1" x14ac:dyDescent="0.15">
      <c r="A16" s="35">
        <v>49002014</v>
      </c>
      <c r="B16" s="35" t="s">
        <v>238</v>
      </c>
      <c r="C16" s="38">
        <v>3</v>
      </c>
      <c r="D16" s="38" t="s">
        <v>128</v>
      </c>
      <c r="E16" s="39" t="s">
        <v>220</v>
      </c>
      <c r="F16" s="39" t="s">
        <v>214</v>
      </c>
      <c r="G16" s="51" t="str">
        <f t="shared" si="0"/>
        <v>[effect:nothing]</v>
      </c>
      <c r="H16" s="51">
        <f t="shared" si="1"/>
        <v>9</v>
      </c>
      <c r="I16" s="51">
        <f t="shared" si="2"/>
        <v>16</v>
      </c>
      <c r="J16" s="51" t="e">
        <f t="shared" si="3"/>
        <v>#VALUE!</v>
      </c>
      <c r="K16" s="51" t="e">
        <f t="shared" si="4"/>
        <v>#VALUE!</v>
      </c>
      <c r="L16" s="51" t="str">
        <f>IFERROR(VLOOKUP(MID(G16,J16,K16-J16),[6]skilldef!$C:$D,2,FALSE),"-") &amp; " / " &amp; IFERROR(VLOOKUP(MID(G16,H16,I16-H16),[6]skilldef!$A:$B,2,FALSE),"-")</f>
        <v>- / 何もしない</v>
      </c>
      <c r="M16" s="51" t="str">
        <f t="shared" si="5"/>
        <v>none</v>
      </c>
      <c r="N16" s="36" t="str">
        <f t="shared" si="6"/>
        <v>none</v>
      </c>
      <c r="O16" s="51" t="e">
        <f t="shared" si="7"/>
        <v>#VALUE!</v>
      </c>
      <c r="P16" s="51">
        <f t="shared" si="8"/>
        <v>4</v>
      </c>
      <c r="Q16" s="51" t="e">
        <f t="shared" si="9"/>
        <v>#VALUE!</v>
      </c>
      <c r="R16" s="51" t="e">
        <f t="shared" si="10"/>
        <v>#VALUE!</v>
      </c>
      <c r="S16" s="51" t="str">
        <f>IFERROR(VLOOKUP(MID(N16,Q16,R16-Q16),[6]skilldef!$C:$D,2,FALSE),"-") &amp; " / " &amp; IFERROR(VLOOKUP(MID(N16,O16,P16-O16),[6]skilldef!$A:$B,2,FALSE),"-")</f>
        <v>- / -</v>
      </c>
      <c r="T16" s="36" t="str">
        <f t="shared" si="11"/>
        <v>none</v>
      </c>
      <c r="U16" s="51" t="e">
        <f t="shared" si="12"/>
        <v>#VALUE!</v>
      </c>
      <c r="V16" s="51">
        <f t="shared" si="13"/>
        <v>4</v>
      </c>
      <c r="W16" s="51" t="e">
        <f t="shared" si="14"/>
        <v>#VALUE!</v>
      </c>
      <c r="X16" s="51" t="e">
        <f t="shared" si="15"/>
        <v>#VALUE!</v>
      </c>
      <c r="Y16" s="51" t="str">
        <f>IFERROR(VLOOKUP(MID(T16,W16,X16-W16),[6]skilldef!$C:$D,2,FALSE),"-") &amp; " / " &amp; IFERROR(VLOOKUP(MID(T16,U16,V16-U16),[6]skilldef!$A:$B,2,FALSE),"-")</f>
        <v>- / -</v>
      </c>
      <c r="Z16" s="38"/>
      <c r="AA16" s="40"/>
      <c r="AB16" s="38"/>
    </row>
    <row r="17" spans="1:28" ht="21" customHeight="1" x14ac:dyDescent="0.15">
      <c r="A17" s="35">
        <v>49002015</v>
      </c>
      <c r="B17" s="35" t="s">
        <v>278</v>
      </c>
      <c r="C17" s="38">
        <v>3</v>
      </c>
      <c r="D17" s="38" t="s">
        <v>128</v>
      </c>
      <c r="E17" s="39" t="s">
        <v>270</v>
      </c>
      <c r="F17" s="39" t="s">
        <v>271</v>
      </c>
      <c r="G17" s="51" t="str">
        <f t="shared" si="0"/>
        <v>[effect:fix_speed, target:myself, turn:1]</v>
      </c>
      <c r="H17" s="51">
        <f t="shared" si="1"/>
        <v>9</v>
      </c>
      <c r="I17" s="51">
        <f t="shared" si="2"/>
        <v>18</v>
      </c>
      <c r="J17" s="51">
        <f t="shared" si="3"/>
        <v>27</v>
      </c>
      <c r="K17" s="51">
        <f t="shared" si="4"/>
        <v>33</v>
      </c>
      <c r="L17" s="51" t="str">
        <f>IFERROR(VLOOKUP(MID(G17,J17,K17-J17),[6]skilldef!$C:$D,2,FALSE),"-") &amp; " / " &amp; IFERROR(VLOOKUP(MID(G17,H17,I17-H17),[6]skilldef!$A:$B,2,FALSE),"-")</f>
        <v>自分自身に / 行動値設定</v>
      </c>
      <c r="M17" s="51" t="str">
        <f t="shared" si="5"/>
        <v>none</v>
      </c>
      <c r="N17" s="36" t="str">
        <f t="shared" si="6"/>
        <v>none</v>
      </c>
      <c r="O17" s="51" t="e">
        <f t="shared" si="7"/>
        <v>#VALUE!</v>
      </c>
      <c r="P17" s="51">
        <f t="shared" si="8"/>
        <v>4</v>
      </c>
      <c r="Q17" s="51" t="e">
        <f t="shared" si="9"/>
        <v>#VALUE!</v>
      </c>
      <c r="R17" s="51" t="e">
        <f t="shared" si="10"/>
        <v>#VALUE!</v>
      </c>
      <c r="S17" s="51" t="str">
        <f>IFERROR(VLOOKUP(MID(N17,Q17,R17-Q17),[6]skilldef!$C:$D,2,FALSE),"-") &amp; " / " &amp; IFERROR(VLOOKUP(MID(N17,O17,P17-O17),[6]skilldef!$A:$B,2,FALSE),"-")</f>
        <v>- / -</v>
      </c>
      <c r="T17" s="36" t="str">
        <f t="shared" si="11"/>
        <v>none</v>
      </c>
      <c r="U17" s="51" t="e">
        <f t="shared" si="12"/>
        <v>#VALUE!</v>
      </c>
      <c r="V17" s="51">
        <f t="shared" si="13"/>
        <v>4</v>
      </c>
      <c r="W17" s="51" t="e">
        <f t="shared" si="14"/>
        <v>#VALUE!</v>
      </c>
      <c r="X17" s="51" t="e">
        <f t="shared" si="15"/>
        <v>#VALUE!</v>
      </c>
      <c r="Y17" s="51" t="str">
        <f>IFERROR(VLOOKUP(MID(T17,W17,X17-W17),[6]skilldef!$C:$D,2,FALSE),"-") &amp; " / " &amp; IFERROR(VLOOKUP(MID(T17,U17,V17-U17),[6]skilldef!$A:$B,2,FALSE),"-")</f>
        <v>- / -</v>
      </c>
      <c r="Z17" s="38"/>
      <c r="AA17" s="40"/>
      <c r="AB17" s="38"/>
    </row>
    <row r="18" spans="1:28" ht="21" customHeight="1" x14ac:dyDescent="0.15">
      <c r="A18" s="35">
        <v>49002016</v>
      </c>
      <c r="B18" s="35" t="s">
        <v>283</v>
      </c>
      <c r="C18" s="38">
        <v>3</v>
      </c>
      <c r="D18" s="38" t="s">
        <v>128</v>
      </c>
      <c r="E18" s="39" t="s">
        <v>269</v>
      </c>
      <c r="F18" s="39" t="s">
        <v>275</v>
      </c>
      <c r="G18" s="51" t="str">
        <f t="shared" si="0"/>
        <v>[effect:suicide, val:1, dead_type:escape, target:myself]</v>
      </c>
      <c r="H18" s="51">
        <f t="shared" si="1"/>
        <v>9</v>
      </c>
      <c r="I18" s="51">
        <f t="shared" si="2"/>
        <v>16</v>
      </c>
      <c r="J18" s="51">
        <f t="shared" si="3"/>
        <v>50</v>
      </c>
      <c r="K18" s="51">
        <f t="shared" si="4"/>
        <v>23</v>
      </c>
      <c r="L18" s="51" t="str">
        <f>IFERROR(VLOOKUP(MID(G18,J18,K18-J18),[6]skilldef!$C:$D,2,FALSE),"-") &amp; " / " &amp; IFERROR(VLOOKUP(MID(G18,H18,I18-H18),[6]skilldef!$A:$B,2,FALSE),"-")</f>
        <v>- / -</v>
      </c>
      <c r="M18" s="51" t="str">
        <f t="shared" si="5"/>
        <v>none</v>
      </c>
      <c r="N18" s="36" t="str">
        <f t="shared" si="6"/>
        <v>none</v>
      </c>
      <c r="O18" s="51" t="e">
        <f t="shared" si="7"/>
        <v>#VALUE!</v>
      </c>
      <c r="P18" s="51">
        <f t="shared" si="8"/>
        <v>4</v>
      </c>
      <c r="Q18" s="51" t="e">
        <f t="shared" si="9"/>
        <v>#VALUE!</v>
      </c>
      <c r="R18" s="51" t="e">
        <f t="shared" si="10"/>
        <v>#VALUE!</v>
      </c>
      <c r="S18" s="51" t="str">
        <f>IFERROR(VLOOKUP(MID(N18,Q18,R18-Q18),[6]skilldef!$C:$D,2,FALSE),"-") &amp; " / " &amp; IFERROR(VLOOKUP(MID(N18,O18,P18-O18),[6]skilldef!$A:$B,2,FALSE),"-")</f>
        <v>- / -</v>
      </c>
      <c r="T18" s="36" t="str">
        <f t="shared" si="11"/>
        <v>none</v>
      </c>
      <c r="U18" s="51" t="e">
        <f t="shared" si="12"/>
        <v>#VALUE!</v>
      </c>
      <c r="V18" s="51">
        <f t="shared" si="13"/>
        <v>4</v>
      </c>
      <c r="W18" s="51" t="e">
        <f t="shared" si="14"/>
        <v>#VALUE!</v>
      </c>
      <c r="X18" s="51" t="e">
        <f t="shared" si="15"/>
        <v>#VALUE!</v>
      </c>
      <c r="Y18" s="51" t="str">
        <f>IFERROR(VLOOKUP(MID(T18,W18,X18-W18),[6]skilldef!$C:$D,2,FALSE),"-") &amp; " / " &amp; IFERROR(VLOOKUP(MID(T18,U18,V18-U18),[6]skilldef!$A:$B,2,FALSE),"-")</f>
        <v>- / -</v>
      </c>
      <c r="Z18" s="38"/>
      <c r="AA18" s="40"/>
      <c r="AB18" s="38"/>
    </row>
    <row r="19" spans="1:28" ht="21" customHeight="1" x14ac:dyDescent="0.15">
      <c r="A19" s="35">
        <v>49002017</v>
      </c>
      <c r="B19" s="35" t="s">
        <v>337</v>
      </c>
      <c r="C19" s="38">
        <v>3</v>
      </c>
      <c r="D19" s="38" t="s">
        <v>128</v>
      </c>
      <c r="E19" s="39" t="s">
        <v>277</v>
      </c>
      <c r="F19" s="39" t="s">
        <v>276</v>
      </c>
      <c r="G19" s="51" t="str">
        <f t="shared" si="0"/>
        <v>[effect:enemy_message, val1:1, val2:0, dead_type:escape]</v>
      </c>
      <c r="H19" s="51">
        <f t="shared" si="1"/>
        <v>9</v>
      </c>
      <c r="I19" s="51">
        <f t="shared" si="2"/>
        <v>22</v>
      </c>
      <c r="J19" s="51" t="e">
        <f t="shared" si="3"/>
        <v>#VALUE!</v>
      </c>
      <c r="K19" s="51">
        <f t="shared" si="4"/>
        <v>30</v>
      </c>
      <c r="L19" s="51" t="str">
        <f>IFERROR(VLOOKUP(MID(G19,J19,K19-J19),[6]skilldef!$C:$D,2,FALSE),"-") &amp; " / " &amp; IFERROR(VLOOKUP(MID(G19,H19,I19-H19),[6]skilldef!$A:$B,2,FALSE),"-")</f>
        <v>- / -</v>
      </c>
      <c r="M19" s="51" t="str">
        <f t="shared" si="5"/>
        <v>none</v>
      </c>
      <c r="N19" s="36" t="str">
        <f t="shared" si="6"/>
        <v>none</v>
      </c>
      <c r="O19" s="51" t="e">
        <f t="shared" si="7"/>
        <v>#VALUE!</v>
      </c>
      <c r="P19" s="51">
        <f t="shared" si="8"/>
        <v>4</v>
      </c>
      <c r="Q19" s="51" t="e">
        <f t="shared" si="9"/>
        <v>#VALUE!</v>
      </c>
      <c r="R19" s="51" t="e">
        <f t="shared" si="10"/>
        <v>#VALUE!</v>
      </c>
      <c r="S19" s="51" t="str">
        <f>IFERROR(VLOOKUP(MID(N19,Q19,R19-Q19),[6]skilldef!$C:$D,2,FALSE),"-") &amp; " / " &amp; IFERROR(VLOOKUP(MID(N19,O19,P19-O19),[6]skilldef!$A:$B,2,FALSE),"-")</f>
        <v>- / -</v>
      </c>
      <c r="T19" s="36" t="str">
        <f t="shared" si="11"/>
        <v>none</v>
      </c>
      <c r="U19" s="51" t="e">
        <f t="shared" si="12"/>
        <v>#VALUE!</v>
      </c>
      <c r="V19" s="51">
        <f t="shared" si="13"/>
        <v>4</v>
      </c>
      <c r="W19" s="51" t="e">
        <f t="shared" si="14"/>
        <v>#VALUE!</v>
      </c>
      <c r="X19" s="51" t="e">
        <f t="shared" si="15"/>
        <v>#VALUE!</v>
      </c>
      <c r="Y19" s="51" t="str">
        <f>IFERROR(VLOOKUP(MID(T19,W19,X19-W19),[6]skilldef!$C:$D,2,FALSE),"-") &amp; " / " &amp; IFERROR(VLOOKUP(MID(T19,U19,V19-U19),[6]skilldef!$A:$B,2,FALSE),"-")</f>
        <v>- / -</v>
      </c>
      <c r="Z19" s="38"/>
      <c r="AA19" s="40"/>
      <c r="AB19" s="38"/>
    </row>
    <row r="20" spans="1:28" ht="21" customHeight="1" x14ac:dyDescent="0.15">
      <c r="A20" s="35">
        <v>49002018</v>
      </c>
      <c r="B20" s="35" t="s">
        <v>238</v>
      </c>
      <c r="C20" s="38">
        <v>3</v>
      </c>
      <c r="D20" s="38" t="s">
        <v>128</v>
      </c>
      <c r="E20" s="39" t="s">
        <v>221</v>
      </c>
      <c r="F20" s="39" t="s">
        <v>214</v>
      </c>
      <c r="G20" s="51" t="str">
        <f t="shared" si="0"/>
        <v>[effect:nothing]</v>
      </c>
      <c r="H20" s="51">
        <f t="shared" si="1"/>
        <v>9</v>
      </c>
      <c r="I20" s="51">
        <f t="shared" si="2"/>
        <v>16</v>
      </c>
      <c r="J20" s="51" t="e">
        <f t="shared" si="3"/>
        <v>#VALUE!</v>
      </c>
      <c r="K20" s="51" t="e">
        <f t="shared" si="4"/>
        <v>#VALUE!</v>
      </c>
      <c r="L20" s="51" t="str">
        <f>IFERROR(VLOOKUP(MID(G20,J20,K20-J20),[6]skilldef!$C:$D,2,FALSE),"-") &amp; " / " &amp; IFERROR(VLOOKUP(MID(G20,H20,I20-H20),[6]skilldef!$A:$B,2,FALSE),"-")</f>
        <v>- / 何もしない</v>
      </c>
      <c r="M20" s="51" t="str">
        <f t="shared" si="5"/>
        <v>none</v>
      </c>
      <c r="N20" s="36" t="str">
        <f t="shared" si="6"/>
        <v>none</v>
      </c>
      <c r="O20" s="51" t="e">
        <f t="shared" si="7"/>
        <v>#VALUE!</v>
      </c>
      <c r="P20" s="51">
        <f t="shared" si="8"/>
        <v>4</v>
      </c>
      <c r="Q20" s="51" t="e">
        <f t="shared" si="9"/>
        <v>#VALUE!</v>
      </c>
      <c r="R20" s="51" t="e">
        <f t="shared" si="10"/>
        <v>#VALUE!</v>
      </c>
      <c r="S20" s="51" t="str">
        <f>IFERROR(VLOOKUP(MID(N20,Q20,R20-Q20),[6]skilldef!$C:$D,2,FALSE),"-") &amp; " / " &amp; IFERROR(VLOOKUP(MID(N20,O20,P20-O20),[6]skilldef!$A:$B,2,FALSE),"-")</f>
        <v>- / -</v>
      </c>
      <c r="T20" s="36" t="str">
        <f t="shared" si="11"/>
        <v>none</v>
      </c>
      <c r="U20" s="51" t="e">
        <f t="shared" si="12"/>
        <v>#VALUE!</v>
      </c>
      <c r="V20" s="51">
        <f t="shared" si="13"/>
        <v>4</v>
      </c>
      <c r="W20" s="51" t="e">
        <f t="shared" si="14"/>
        <v>#VALUE!</v>
      </c>
      <c r="X20" s="51" t="e">
        <f t="shared" si="15"/>
        <v>#VALUE!</v>
      </c>
      <c r="Y20" s="51" t="str">
        <f>IFERROR(VLOOKUP(MID(T20,W20,X20-W20),[6]skilldef!$C:$D,2,FALSE),"-") &amp; " / " &amp; IFERROR(VLOOKUP(MID(T20,U20,V20-U20),[6]skilldef!$A:$B,2,FALSE),"-")</f>
        <v>- / -</v>
      </c>
      <c r="Z20" s="38"/>
      <c r="AA20" s="40"/>
      <c r="AB20" s="38"/>
    </row>
    <row r="21" spans="1:28" ht="21" customHeight="1" x14ac:dyDescent="0.15">
      <c r="A21" s="35">
        <v>49002019</v>
      </c>
      <c r="B21" s="35" t="s">
        <v>238</v>
      </c>
      <c r="C21" s="38">
        <v>3</v>
      </c>
      <c r="D21" s="38" t="s">
        <v>128</v>
      </c>
      <c r="E21" s="39" t="s">
        <v>221</v>
      </c>
      <c r="F21" s="39" t="s">
        <v>214</v>
      </c>
      <c r="G21" s="51" t="str">
        <f t="shared" si="0"/>
        <v>[effect:nothing]</v>
      </c>
      <c r="H21" s="51">
        <f t="shared" si="1"/>
        <v>9</v>
      </c>
      <c r="I21" s="51">
        <f t="shared" si="2"/>
        <v>16</v>
      </c>
      <c r="J21" s="51" t="e">
        <f t="shared" si="3"/>
        <v>#VALUE!</v>
      </c>
      <c r="K21" s="51" t="e">
        <f t="shared" si="4"/>
        <v>#VALUE!</v>
      </c>
      <c r="L21" s="51" t="str">
        <f>IFERROR(VLOOKUP(MID(G21,J21,K21-J21),[6]skilldef!$C:$D,2,FALSE),"-") &amp; " / " &amp; IFERROR(VLOOKUP(MID(G21,H21,I21-H21),[6]skilldef!$A:$B,2,FALSE),"-")</f>
        <v>- / 何もしない</v>
      </c>
      <c r="M21" s="51" t="str">
        <f t="shared" si="5"/>
        <v>none</v>
      </c>
      <c r="N21" s="36" t="str">
        <f t="shared" si="6"/>
        <v>none</v>
      </c>
      <c r="O21" s="51" t="e">
        <f t="shared" si="7"/>
        <v>#VALUE!</v>
      </c>
      <c r="P21" s="51">
        <f t="shared" si="8"/>
        <v>4</v>
      </c>
      <c r="Q21" s="51" t="e">
        <f t="shared" si="9"/>
        <v>#VALUE!</v>
      </c>
      <c r="R21" s="51" t="e">
        <f t="shared" si="10"/>
        <v>#VALUE!</v>
      </c>
      <c r="S21" s="51" t="str">
        <f>IFERROR(VLOOKUP(MID(N21,Q21,R21-Q21),[6]skilldef!$C:$D,2,FALSE),"-") &amp; " / " &amp; IFERROR(VLOOKUP(MID(N21,O21,P21-O21),[6]skilldef!$A:$B,2,FALSE),"-")</f>
        <v>- / -</v>
      </c>
      <c r="T21" s="36" t="str">
        <f t="shared" si="11"/>
        <v>none</v>
      </c>
      <c r="U21" s="51" t="e">
        <f t="shared" si="12"/>
        <v>#VALUE!</v>
      </c>
      <c r="V21" s="51">
        <f t="shared" si="13"/>
        <v>4</v>
      </c>
      <c r="W21" s="51" t="e">
        <f t="shared" si="14"/>
        <v>#VALUE!</v>
      </c>
      <c r="X21" s="51" t="e">
        <f t="shared" si="15"/>
        <v>#VALUE!</v>
      </c>
      <c r="Y21" s="51" t="str">
        <f>IFERROR(VLOOKUP(MID(T21,W21,X21-W21),[6]skilldef!$C:$D,2,FALSE),"-") &amp; " / " &amp; IFERROR(VLOOKUP(MID(T21,U21,V21-U21),[6]skilldef!$A:$B,2,FALSE),"-")</f>
        <v>- / -</v>
      </c>
      <c r="Z21" s="38"/>
      <c r="AA21" s="40"/>
      <c r="AB21" s="38"/>
    </row>
    <row r="22" spans="1:28" ht="21" customHeight="1" x14ac:dyDescent="0.15">
      <c r="A22" s="35">
        <v>49002020</v>
      </c>
      <c r="B22" s="35" t="s">
        <v>238</v>
      </c>
      <c r="C22" s="38">
        <v>3</v>
      </c>
      <c r="D22" s="38" t="s">
        <v>128</v>
      </c>
      <c r="E22" s="39" t="s">
        <v>222</v>
      </c>
      <c r="F22" s="39" t="s">
        <v>229</v>
      </c>
      <c r="G22" s="51" t="str">
        <f t="shared" si="0"/>
        <v>[effect:nothing]</v>
      </c>
      <c r="H22" s="51">
        <f t="shared" si="1"/>
        <v>9</v>
      </c>
      <c r="I22" s="51">
        <f t="shared" si="2"/>
        <v>16</v>
      </c>
      <c r="J22" s="51" t="e">
        <f t="shared" si="3"/>
        <v>#VALUE!</v>
      </c>
      <c r="K22" s="51" t="e">
        <f t="shared" si="4"/>
        <v>#VALUE!</v>
      </c>
      <c r="L22" s="51" t="str">
        <f>IFERROR(VLOOKUP(MID(G22,J22,K22-J22),[6]skilldef!$C:$D,2,FALSE),"-") &amp; " / " &amp; IFERROR(VLOOKUP(MID(G22,H22,I22-H22),[6]skilldef!$A:$B,2,FALSE),"-")</f>
        <v>- / 何もしない</v>
      </c>
      <c r="M22" s="51" t="str">
        <f t="shared" si="5"/>
        <v>none</v>
      </c>
      <c r="N22" s="36" t="str">
        <f t="shared" si="6"/>
        <v>none</v>
      </c>
      <c r="O22" s="51" t="e">
        <f t="shared" si="7"/>
        <v>#VALUE!</v>
      </c>
      <c r="P22" s="51">
        <f t="shared" si="8"/>
        <v>4</v>
      </c>
      <c r="Q22" s="51" t="e">
        <f t="shared" si="9"/>
        <v>#VALUE!</v>
      </c>
      <c r="R22" s="51" t="e">
        <f t="shared" si="10"/>
        <v>#VALUE!</v>
      </c>
      <c r="S22" s="51" t="str">
        <f>IFERROR(VLOOKUP(MID(N22,Q22,R22-Q22),[6]skilldef!$C:$D,2,FALSE),"-") &amp; " / " &amp; IFERROR(VLOOKUP(MID(N22,O22,P22-O22),[6]skilldef!$A:$B,2,FALSE),"-")</f>
        <v>- / -</v>
      </c>
      <c r="T22" s="36" t="str">
        <f t="shared" si="11"/>
        <v>none</v>
      </c>
      <c r="U22" s="51" t="e">
        <f t="shared" si="12"/>
        <v>#VALUE!</v>
      </c>
      <c r="V22" s="51">
        <f t="shared" si="13"/>
        <v>4</v>
      </c>
      <c r="W22" s="51" t="e">
        <f t="shared" si="14"/>
        <v>#VALUE!</v>
      </c>
      <c r="X22" s="51" t="e">
        <f t="shared" si="15"/>
        <v>#VALUE!</v>
      </c>
      <c r="Y22" s="51" t="str">
        <f>IFERROR(VLOOKUP(MID(T22,W22,X22-W22),[6]skilldef!$C:$D,2,FALSE),"-") &amp; " / " &amp; IFERROR(VLOOKUP(MID(T22,U22,V22-U22),[6]skilldef!$A:$B,2,FALSE),"-")</f>
        <v>- / -</v>
      </c>
      <c r="Z22" s="38"/>
      <c r="AA22" s="40"/>
      <c r="AB22" s="38"/>
    </row>
    <row r="23" spans="1:28" ht="21" customHeight="1" x14ac:dyDescent="0.15">
      <c r="A23" s="35">
        <v>49002021</v>
      </c>
      <c r="B23" s="35" t="s">
        <v>238</v>
      </c>
      <c r="C23" s="38">
        <v>3</v>
      </c>
      <c r="D23" s="38" t="s">
        <v>128</v>
      </c>
      <c r="E23" s="39" t="s">
        <v>222</v>
      </c>
      <c r="F23" s="39" t="s">
        <v>214</v>
      </c>
      <c r="G23" s="51" t="str">
        <f t="shared" si="0"/>
        <v>[effect:nothing]</v>
      </c>
      <c r="H23" s="51">
        <f t="shared" si="1"/>
        <v>9</v>
      </c>
      <c r="I23" s="51">
        <f t="shared" si="2"/>
        <v>16</v>
      </c>
      <c r="J23" s="51" t="e">
        <f t="shared" si="3"/>
        <v>#VALUE!</v>
      </c>
      <c r="K23" s="51" t="e">
        <f t="shared" si="4"/>
        <v>#VALUE!</v>
      </c>
      <c r="L23" s="51" t="str">
        <f>IFERROR(VLOOKUP(MID(G23,J23,K23-J23),[6]skilldef!$C:$D,2,FALSE),"-") &amp; " / " &amp; IFERROR(VLOOKUP(MID(G23,H23,I23-H23),[6]skilldef!$A:$B,2,FALSE),"-")</f>
        <v>- / 何もしない</v>
      </c>
      <c r="M23" s="51" t="str">
        <f t="shared" si="5"/>
        <v>none</v>
      </c>
      <c r="N23" s="36" t="str">
        <f t="shared" si="6"/>
        <v>none</v>
      </c>
      <c r="O23" s="51" t="e">
        <f t="shared" si="7"/>
        <v>#VALUE!</v>
      </c>
      <c r="P23" s="51">
        <f t="shared" si="8"/>
        <v>4</v>
      </c>
      <c r="Q23" s="51" t="e">
        <f t="shared" si="9"/>
        <v>#VALUE!</v>
      </c>
      <c r="R23" s="51" t="e">
        <f t="shared" si="10"/>
        <v>#VALUE!</v>
      </c>
      <c r="S23" s="51" t="str">
        <f>IFERROR(VLOOKUP(MID(N23,Q23,R23-Q23),[6]skilldef!$C:$D,2,FALSE),"-") &amp; " / " &amp; IFERROR(VLOOKUP(MID(N23,O23,P23-O23),[6]skilldef!$A:$B,2,FALSE),"-")</f>
        <v>- / -</v>
      </c>
      <c r="T23" s="36" t="str">
        <f t="shared" si="11"/>
        <v>none</v>
      </c>
      <c r="U23" s="51" t="e">
        <f t="shared" si="12"/>
        <v>#VALUE!</v>
      </c>
      <c r="V23" s="51">
        <f t="shared" si="13"/>
        <v>4</v>
      </c>
      <c r="W23" s="51" t="e">
        <f t="shared" si="14"/>
        <v>#VALUE!</v>
      </c>
      <c r="X23" s="51" t="e">
        <f t="shared" si="15"/>
        <v>#VALUE!</v>
      </c>
      <c r="Y23" s="51" t="str">
        <f>IFERROR(VLOOKUP(MID(T23,W23,X23-W23),[6]skilldef!$C:$D,2,FALSE),"-") &amp; " / " &amp; IFERROR(VLOOKUP(MID(T23,U23,V23-U23),[6]skilldef!$A:$B,2,FALSE),"-")</f>
        <v>- / -</v>
      </c>
      <c r="Z23" s="38"/>
      <c r="AA23" s="40"/>
      <c r="AB23" s="38"/>
    </row>
    <row r="24" spans="1:28" ht="21" customHeight="1" x14ac:dyDescent="0.15">
      <c r="A24" s="35">
        <v>49002022</v>
      </c>
      <c r="B24" s="35" t="s">
        <v>238</v>
      </c>
      <c r="C24" s="38">
        <v>3</v>
      </c>
      <c r="D24" s="38" t="s">
        <v>128</v>
      </c>
      <c r="E24" s="39" t="s">
        <v>222</v>
      </c>
      <c r="F24" s="39" t="s">
        <v>214</v>
      </c>
      <c r="G24" s="51" t="str">
        <f t="shared" si="0"/>
        <v>[effect:nothing]</v>
      </c>
      <c r="H24" s="51">
        <f t="shared" si="1"/>
        <v>9</v>
      </c>
      <c r="I24" s="51">
        <f t="shared" si="2"/>
        <v>16</v>
      </c>
      <c r="J24" s="51" t="e">
        <f t="shared" si="3"/>
        <v>#VALUE!</v>
      </c>
      <c r="K24" s="51" t="e">
        <f t="shared" si="4"/>
        <v>#VALUE!</v>
      </c>
      <c r="L24" s="51" t="str">
        <f>IFERROR(VLOOKUP(MID(G24,J24,K24-J24),[6]skilldef!$C:$D,2,FALSE),"-") &amp; " / " &amp; IFERROR(VLOOKUP(MID(G24,H24,I24-H24),[6]skilldef!$A:$B,2,FALSE),"-")</f>
        <v>- / 何もしない</v>
      </c>
      <c r="M24" s="51" t="str">
        <f t="shared" si="5"/>
        <v>none</v>
      </c>
      <c r="N24" s="36" t="str">
        <f t="shared" si="6"/>
        <v>none</v>
      </c>
      <c r="O24" s="51" t="e">
        <f t="shared" si="7"/>
        <v>#VALUE!</v>
      </c>
      <c r="P24" s="51">
        <f t="shared" si="8"/>
        <v>4</v>
      </c>
      <c r="Q24" s="51" t="e">
        <f t="shared" si="9"/>
        <v>#VALUE!</v>
      </c>
      <c r="R24" s="51" t="e">
        <f t="shared" si="10"/>
        <v>#VALUE!</v>
      </c>
      <c r="S24" s="51" t="str">
        <f>IFERROR(VLOOKUP(MID(N24,Q24,R24-Q24),[6]skilldef!$C:$D,2,FALSE),"-") &amp; " / " &amp; IFERROR(VLOOKUP(MID(N24,O24,P24-O24),[6]skilldef!$A:$B,2,FALSE),"-")</f>
        <v>- / -</v>
      </c>
      <c r="T24" s="36" t="str">
        <f t="shared" si="11"/>
        <v>none</v>
      </c>
      <c r="U24" s="51" t="e">
        <f t="shared" si="12"/>
        <v>#VALUE!</v>
      </c>
      <c r="V24" s="51">
        <f t="shared" si="13"/>
        <v>4</v>
      </c>
      <c r="W24" s="51" t="e">
        <f t="shared" si="14"/>
        <v>#VALUE!</v>
      </c>
      <c r="X24" s="51" t="e">
        <f t="shared" si="15"/>
        <v>#VALUE!</v>
      </c>
      <c r="Y24" s="51" t="str">
        <f>IFERROR(VLOOKUP(MID(T24,W24,X24-W24),[6]skilldef!$C:$D,2,FALSE),"-") &amp; " / " &amp; IFERROR(VLOOKUP(MID(T24,U24,V24-U24),[6]skilldef!$A:$B,2,FALSE),"-")</f>
        <v>- / -</v>
      </c>
      <c r="Z24" s="38"/>
      <c r="AA24" s="40"/>
      <c r="AB24" s="38"/>
    </row>
    <row r="25" spans="1:28" ht="21" customHeight="1" x14ac:dyDescent="0.15">
      <c r="A25" s="35">
        <v>49002023</v>
      </c>
      <c r="B25" s="35" t="s">
        <v>238</v>
      </c>
      <c r="C25" s="38">
        <v>3</v>
      </c>
      <c r="D25" s="38" t="s">
        <v>128</v>
      </c>
      <c r="E25" s="39" t="s">
        <v>222</v>
      </c>
      <c r="F25" s="39" t="s">
        <v>214</v>
      </c>
      <c r="G25" s="51" t="str">
        <f t="shared" si="0"/>
        <v>[effect:nothing]</v>
      </c>
      <c r="H25" s="51">
        <f t="shared" si="1"/>
        <v>9</v>
      </c>
      <c r="I25" s="51">
        <f t="shared" si="2"/>
        <v>16</v>
      </c>
      <c r="J25" s="51" t="e">
        <f t="shared" si="3"/>
        <v>#VALUE!</v>
      </c>
      <c r="K25" s="51" t="e">
        <f t="shared" si="4"/>
        <v>#VALUE!</v>
      </c>
      <c r="L25" s="51" t="str">
        <f>IFERROR(VLOOKUP(MID(G25,J25,K25-J25),[6]skilldef!$C:$D,2,FALSE),"-") &amp; " / " &amp; IFERROR(VLOOKUP(MID(G25,H25,I25-H25),[6]skilldef!$A:$B,2,FALSE),"-")</f>
        <v>- / 何もしない</v>
      </c>
      <c r="M25" s="51" t="str">
        <f t="shared" si="5"/>
        <v>none</v>
      </c>
      <c r="N25" s="36" t="str">
        <f t="shared" si="6"/>
        <v>none</v>
      </c>
      <c r="O25" s="51" t="e">
        <f t="shared" si="7"/>
        <v>#VALUE!</v>
      </c>
      <c r="P25" s="51">
        <f t="shared" si="8"/>
        <v>4</v>
      </c>
      <c r="Q25" s="51" t="e">
        <f t="shared" si="9"/>
        <v>#VALUE!</v>
      </c>
      <c r="R25" s="51" t="e">
        <f t="shared" si="10"/>
        <v>#VALUE!</v>
      </c>
      <c r="S25" s="51" t="str">
        <f>IFERROR(VLOOKUP(MID(N25,Q25,R25-Q25),[6]skilldef!$C:$D,2,FALSE),"-") &amp; " / " &amp; IFERROR(VLOOKUP(MID(N25,O25,P25-O25),[6]skilldef!$A:$B,2,FALSE),"-")</f>
        <v>- / -</v>
      </c>
      <c r="T25" s="36" t="str">
        <f t="shared" si="11"/>
        <v>none</v>
      </c>
      <c r="U25" s="51" t="e">
        <f t="shared" si="12"/>
        <v>#VALUE!</v>
      </c>
      <c r="V25" s="51">
        <f t="shared" si="13"/>
        <v>4</v>
      </c>
      <c r="W25" s="51" t="e">
        <f t="shared" si="14"/>
        <v>#VALUE!</v>
      </c>
      <c r="X25" s="51" t="e">
        <f t="shared" si="15"/>
        <v>#VALUE!</v>
      </c>
      <c r="Y25" s="51" t="str">
        <f>IFERROR(VLOOKUP(MID(T25,W25,X25-W25),[6]skilldef!$C:$D,2,FALSE),"-") &amp; " / " &amp; IFERROR(VLOOKUP(MID(T25,U25,V25-U25),[6]skilldef!$A:$B,2,FALSE),"-")</f>
        <v>- / -</v>
      </c>
      <c r="Z25" s="38"/>
      <c r="AA25" s="40"/>
      <c r="AB25" s="38"/>
    </row>
    <row r="26" spans="1:28" ht="21" customHeight="1" x14ac:dyDescent="0.15">
      <c r="A26" s="35">
        <v>49002024</v>
      </c>
      <c r="B26" s="35" t="s">
        <v>238</v>
      </c>
      <c r="C26" s="38">
        <v>3</v>
      </c>
      <c r="D26" s="38" t="s">
        <v>128</v>
      </c>
      <c r="E26" s="39" t="s">
        <v>222</v>
      </c>
      <c r="F26" s="39" t="s">
        <v>214</v>
      </c>
      <c r="G26" s="51" t="str">
        <f t="shared" si="0"/>
        <v>[effect:nothing]</v>
      </c>
      <c r="H26" s="51">
        <f t="shared" si="1"/>
        <v>9</v>
      </c>
      <c r="I26" s="51">
        <f t="shared" si="2"/>
        <v>16</v>
      </c>
      <c r="J26" s="51" t="e">
        <f t="shared" si="3"/>
        <v>#VALUE!</v>
      </c>
      <c r="K26" s="51" t="e">
        <f t="shared" si="4"/>
        <v>#VALUE!</v>
      </c>
      <c r="L26" s="51" t="str">
        <f>IFERROR(VLOOKUP(MID(G26,J26,K26-J26),[6]skilldef!$C:$D,2,FALSE),"-") &amp; " / " &amp; IFERROR(VLOOKUP(MID(G26,H26,I26-H26),[6]skilldef!$A:$B,2,FALSE),"-")</f>
        <v>- / 何もしない</v>
      </c>
      <c r="M26" s="51" t="str">
        <f t="shared" si="5"/>
        <v>none</v>
      </c>
      <c r="N26" s="36" t="str">
        <f t="shared" si="6"/>
        <v>none</v>
      </c>
      <c r="O26" s="51" t="e">
        <f t="shared" si="7"/>
        <v>#VALUE!</v>
      </c>
      <c r="P26" s="51">
        <f t="shared" si="8"/>
        <v>4</v>
      </c>
      <c r="Q26" s="51" t="e">
        <f t="shared" si="9"/>
        <v>#VALUE!</v>
      </c>
      <c r="R26" s="51" t="e">
        <f t="shared" si="10"/>
        <v>#VALUE!</v>
      </c>
      <c r="S26" s="51" t="str">
        <f>IFERROR(VLOOKUP(MID(N26,Q26,R26-Q26),[6]skilldef!$C:$D,2,FALSE),"-") &amp; " / " &amp; IFERROR(VLOOKUP(MID(N26,O26,P26-O26),[6]skilldef!$A:$B,2,FALSE),"-")</f>
        <v>- / -</v>
      </c>
      <c r="T26" s="36" t="str">
        <f t="shared" si="11"/>
        <v>none</v>
      </c>
      <c r="U26" s="51" t="e">
        <f t="shared" si="12"/>
        <v>#VALUE!</v>
      </c>
      <c r="V26" s="51">
        <f t="shared" si="13"/>
        <v>4</v>
      </c>
      <c r="W26" s="51" t="e">
        <f t="shared" si="14"/>
        <v>#VALUE!</v>
      </c>
      <c r="X26" s="51" t="e">
        <f t="shared" si="15"/>
        <v>#VALUE!</v>
      </c>
      <c r="Y26" s="51" t="str">
        <f>IFERROR(VLOOKUP(MID(T26,W26,X26-W26),[6]skilldef!$C:$D,2,FALSE),"-") &amp; " / " &amp; IFERROR(VLOOKUP(MID(T26,U26,V26-U26),[6]skilldef!$A:$B,2,FALSE),"-")</f>
        <v>- / -</v>
      </c>
      <c r="Z26" s="38"/>
      <c r="AA26" s="40"/>
      <c r="AB26" s="38"/>
    </row>
    <row r="27" spans="1:28" ht="21" customHeight="1" x14ac:dyDescent="0.15">
      <c r="A27" s="35">
        <v>49002025</v>
      </c>
      <c r="B27" s="35" t="s">
        <v>238</v>
      </c>
      <c r="C27" s="38">
        <v>3</v>
      </c>
      <c r="D27" s="38" t="s">
        <v>128</v>
      </c>
      <c r="E27" s="39" t="s">
        <v>223</v>
      </c>
      <c r="F27" s="39" t="s">
        <v>229</v>
      </c>
      <c r="G27" s="51" t="str">
        <f t="shared" si="0"/>
        <v>[effect:nothing]</v>
      </c>
      <c r="H27" s="51">
        <f t="shared" si="1"/>
        <v>9</v>
      </c>
      <c r="I27" s="51">
        <f t="shared" si="2"/>
        <v>16</v>
      </c>
      <c r="J27" s="51" t="e">
        <f t="shared" si="3"/>
        <v>#VALUE!</v>
      </c>
      <c r="K27" s="51" t="e">
        <f t="shared" si="4"/>
        <v>#VALUE!</v>
      </c>
      <c r="L27" s="51" t="str">
        <f>IFERROR(VLOOKUP(MID(G27,J27,K27-J27),[6]skilldef!$C:$D,2,FALSE),"-") &amp; " / " &amp; IFERROR(VLOOKUP(MID(G27,H27,I27-H27),[6]skilldef!$A:$B,2,FALSE),"-")</f>
        <v>- / 何もしない</v>
      </c>
      <c r="M27" s="51" t="str">
        <f t="shared" si="5"/>
        <v>none</v>
      </c>
      <c r="N27" s="36" t="str">
        <f t="shared" si="6"/>
        <v>none</v>
      </c>
      <c r="O27" s="51" t="e">
        <f t="shared" si="7"/>
        <v>#VALUE!</v>
      </c>
      <c r="P27" s="51">
        <f t="shared" si="8"/>
        <v>4</v>
      </c>
      <c r="Q27" s="51" t="e">
        <f t="shared" si="9"/>
        <v>#VALUE!</v>
      </c>
      <c r="R27" s="51" t="e">
        <f t="shared" si="10"/>
        <v>#VALUE!</v>
      </c>
      <c r="S27" s="51" t="str">
        <f>IFERROR(VLOOKUP(MID(N27,Q27,R27-Q27),[6]skilldef!$C:$D,2,FALSE),"-") &amp; " / " &amp; IFERROR(VLOOKUP(MID(N27,O27,P27-O27),[6]skilldef!$A:$B,2,FALSE),"-")</f>
        <v>- / -</v>
      </c>
      <c r="T27" s="36" t="str">
        <f t="shared" si="11"/>
        <v>none</v>
      </c>
      <c r="U27" s="51" t="e">
        <f t="shared" si="12"/>
        <v>#VALUE!</v>
      </c>
      <c r="V27" s="51">
        <f t="shared" si="13"/>
        <v>4</v>
      </c>
      <c r="W27" s="51" t="e">
        <f t="shared" si="14"/>
        <v>#VALUE!</v>
      </c>
      <c r="X27" s="51" t="e">
        <f t="shared" si="15"/>
        <v>#VALUE!</v>
      </c>
      <c r="Y27" s="51" t="str">
        <f>IFERROR(VLOOKUP(MID(T27,W27,X27-W27),[6]skilldef!$C:$D,2,FALSE),"-") &amp; " / " &amp; IFERROR(VLOOKUP(MID(T27,U27,V27-U27),[6]skilldef!$A:$B,2,FALSE),"-")</f>
        <v>- / -</v>
      </c>
      <c r="Z27" s="38"/>
      <c r="AA27" s="40"/>
      <c r="AB27" s="38"/>
    </row>
    <row r="28" spans="1:28" ht="21" customHeight="1" x14ac:dyDescent="0.15">
      <c r="A28" s="35">
        <v>49002026</v>
      </c>
      <c r="B28" s="35" t="s">
        <v>238</v>
      </c>
      <c r="C28" s="38">
        <v>3</v>
      </c>
      <c r="D28" s="38" t="s">
        <v>128</v>
      </c>
      <c r="E28" s="39" t="s">
        <v>223</v>
      </c>
      <c r="F28" s="39" t="s">
        <v>214</v>
      </c>
      <c r="G28" s="51" t="str">
        <f t="shared" si="0"/>
        <v>[effect:nothing]</v>
      </c>
      <c r="H28" s="51">
        <f t="shared" si="1"/>
        <v>9</v>
      </c>
      <c r="I28" s="51">
        <f t="shared" si="2"/>
        <v>16</v>
      </c>
      <c r="J28" s="51" t="e">
        <f t="shared" si="3"/>
        <v>#VALUE!</v>
      </c>
      <c r="K28" s="51" t="e">
        <f t="shared" si="4"/>
        <v>#VALUE!</v>
      </c>
      <c r="L28" s="51" t="str">
        <f>IFERROR(VLOOKUP(MID(G28,J28,K28-J28),[6]skilldef!$C:$D,2,FALSE),"-") &amp; " / " &amp; IFERROR(VLOOKUP(MID(G28,H28,I28-H28),[6]skilldef!$A:$B,2,FALSE),"-")</f>
        <v>- / 何もしない</v>
      </c>
      <c r="M28" s="51" t="str">
        <f t="shared" si="5"/>
        <v>none</v>
      </c>
      <c r="N28" s="36" t="str">
        <f t="shared" si="6"/>
        <v>none</v>
      </c>
      <c r="O28" s="51" t="e">
        <f t="shared" si="7"/>
        <v>#VALUE!</v>
      </c>
      <c r="P28" s="51">
        <f t="shared" si="8"/>
        <v>4</v>
      </c>
      <c r="Q28" s="51" t="e">
        <f t="shared" si="9"/>
        <v>#VALUE!</v>
      </c>
      <c r="R28" s="51" t="e">
        <f t="shared" si="10"/>
        <v>#VALUE!</v>
      </c>
      <c r="S28" s="51" t="str">
        <f>IFERROR(VLOOKUP(MID(N28,Q28,R28-Q28),[6]skilldef!$C:$D,2,FALSE),"-") &amp; " / " &amp; IFERROR(VLOOKUP(MID(N28,O28,P28-O28),[6]skilldef!$A:$B,2,FALSE),"-")</f>
        <v>- / -</v>
      </c>
      <c r="T28" s="36" t="str">
        <f t="shared" si="11"/>
        <v>none</v>
      </c>
      <c r="U28" s="51" t="e">
        <f t="shared" si="12"/>
        <v>#VALUE!</v>
      </c>
      <c r="V28" s="51">
        <f t="shared" si="13"/>
        <v>4</v>
      </c>
      <c r="W28" s="51" t="e">
        <f t="shared" si="14"/>
        <v>#VALUE!</v>
      </c>
      <c r="X28" s="51" t="e">
        <f t="shared" si="15"/>
        <v>#VALUE!</v>
      </c>
      <c r="Y28" s="51" t="str">
        <f>IFERROR(VLOOKUP(MID(T28,W28,X28-W28),[6]skilldef!$C:$D,2,FALSE),"-") &amp; " / " &amp; IFERROR(VLOOKUP(MID(T28,U28,V28-U28),[6]skilldef!$A:$B,2,FALSE),"-")</f>
        <v>- / -</v>
      </c>
      <c r="Z28" s="38"/>
      <c r="AA28" s="40"/>
      <c r="AB28" s="38"/>
    </row>
    <row r="29" spans="1:28" ht="21" customHeight="1" x14ac:dyDescent="0.15">
      <c r="A29" s="35">
        <v>49002027</v>
      </c>
      <c r="B29" s="35" t="s">
        <v>238</v>
      </c>
      <c r="C29" s="38">
        <v>3</v>
      </c>
      <c r="D29" s="38" t="s">
        <v>128</v>
      </c>
      <c r="E29" s="39" t="s">
        <v>223</v>
      </c>
      <c r="F29" s="39" t="s">
        <v>214</v>
      </c>
      <c r="G29" s="51" t="str">
        <f t="shared" si="0"/>
        <v>[effect:nothing]</v>
      </c>
      <c r="H29" s="51">
        <f t="shared" si="1"/>
        <v>9</v>
      </c>
      <c r="I29" s="51">
        <f t="shared" si="2"/>
        <v>16</v>
      </c>
      <c r="J29" s="51" t="e">
        <f t="shared" si="3"/>
        <v>#VALUE!</v>
      </c>
      <c r="K29" s="51" t="e">
        <f t="shared" si="4"/>
        <v>#VALUE!</v>
      </c>
      <c r="L29" s="51" t="str">
        <f>IFERROR(VLOOKUP(MID(G29,J29,K29-J29),[6]skilldef!$C:$D,2,FALSE),"-") &amp; " / " &amp; IFERROR(VLOOKUP(MID(G29,H29,I29-H29),[6]skilldef!$A:$B,2,FALSE),"-")</f>
        <v>- / 何もしない</v>
      </c>
      <c r="M29" s="51" t="str">
        <f t="shared" si="5"/>
        <v>none</v>
      </c>
      <c r="N29" s="36" t="str">
        <f t="shared" si="6"/>
        <v>none</v>
      </c>
      <c r="O29" s="51" t="e">
        <f t="shared" si="7"/>
        <v>#VALUE!</v>
      </c>
      <c r="P29" s="51">
        <f t="shared" si="8"/>
        <v>4</v>
      </c>
      <c r="Q29" s="51" t="e">
        <f t="shared" si="9"/>
        <v>#VALUE!</v>
      </c>
      <c r="R29" s="51" t="e">
        <f t="shared" si="10"/>
        <v>#VALUE!</v>
      </c>
      <c r="S29" s="51" t="str">
        <f>IFERROR(VLOOKUP(MID(N29,Q29,R29-Q29),[6]skilldef!$C:$D,2,FALSE),"-") &amp; " / " &amp; IFERROR(VLOOKUP(MID(N29,O29,P29-O29),[6]skilldef!$A:$B,2,FALSE),"-")</f>
        <v>- / -</v>
      </c>
      <c r="T29" s="36" t="str">
        <f t="shared" si="11"/>
        <v>none</v>
      </c>
      <c r="U29" s="51" t="e">
        <f t="shared" si="12"/>
        <v>#VALUE!</v>
      </c>
      <c r="V29" s="51">
        <f t="shared" si="13"/>
        <v>4</v>
      </c>
      <c r="W29" s="51" t="e">
        <f t="shared" si="14"/>
        <v>#VALUE!</v>
      </c>
      <c r="X29" s="51" t="e">
        <f t="shared" si="15"/>
        <v>#VALUE!</v>
      </c>
      <c r="Y29" s="51" t="str">
        <f>IFERROR(VLOOKUP(MID(T29,W29,X29-W29),[6]skilldef!$C:$D,2,FALSE),"-") &amp; " / " &amp; IFERROR(VLOOKUP(MID(T29,U29,V29-U29),[6]skilldef!$A:$B,2,FALSE),"-")</f>
        <v>- / -</v>
      </c>
      <c r="Z29" s="38"/>
      <c r="AA29" s="40"/>
      <c r="AB29" s="38"/>
    </row>
    <row r="30" spans="1:28" ht="21" customHeight="1" x14ac:dyDescent="0.15">
      <c r="A30" s="35">
        <v>49002028</v>
      </c>
      <c r="B30" s="35" t="s">
        <v>238</v>
      </c>
      <c r="C30" s="38">
        <v>3</v>
      </c>
      <c r="D30" s="38" t="s">
        <v>128</v>
      </c>
      <c r="E30" s="39" t="s">
        <v>223</v>
      </c>
      <c r="F30" s="39" t="s">
        <v>214</v>
      </c>
      <c r="G30" s="51" t="str">
        <f t="shared" si="0"/>
        <v>[effect:nothing]</v>
      </c>
      <c r="H30" s="51">
        <f t="shared" si="1"/>
        <v>9</v>
      </c>
      <c r="I30" s="51">
        <f t="shared" si="2"/>
        <v>16</v>
      </c>
      <c r="J30" s="51" t="e">
        <f t="shared" si="3"/>
        <v>#VALUE!</v>
      </c>
      <c r="K30" s="51" t="e">
        <f t="shared" si="4"/>
        <v>#VALUE!</v>
      </c>
      <c r="L30" s="51" t="str">
        <f>IFERROR(VLOOKUP(MID(G30,J30,K30-J30),[6]skilldef!$C:$D,2,FALSE),"-") &amp; " / " &amp; IFERROR(VLOOKUP(MID(G30,H30,I30-H30),[6]skilldef!$A:$B,2,FALSE),"-")</f>
        <v>- / 何もしない</v>
      </c>
      <c r="M30" s="51" t="str">
        <f t="shared" si="5"/>
        <v>none</v>
      </c>
      <c r="N30" s="36" t="str">
        <f t="shared" si="6"/>
        <v>none</v>
      </c>
      <c r="O30" s="51" t="e">
        <f t="shared" si="7"/>
        <v>#VALUE!</v>
      </c>
      <c r="P30" s="51">
        <f t="shared" si="8"/>
        <v>4</v>
      </c>
      <c r="Q30" s="51" t="e">
        <f t="shared" si="9"/>
        <v>#VALUE!</v>
      </c>
      <c r="R30" s="51" t="e">
        <f t="shared" si="10"/>
        <v>#VALUE!</v>
      </c>
      <c r="S30" s="51" t="str">
        <f>IFERROR(VLOOKUP(MID(N30,Q30,R30-Q30),[6]skilldef!$C:$D,2,FALSE),"-") &amp; " / " &amp; IFERROR(VLOOKUP(MID(N30,O30,P30-O30),[6]skilldef!$A:$B,2,FALSE),"-")</f>
        <v>- / -</v>
      </c>
      <c r="T30" s="36" t="str">
        <f t="shared" si="11"/>
        <v>none</v>
      </c>
      <c r="U30" s="51" t="e">
        <f t="shared" si="12"/>
        <v>#VALUE!</v>
      </c>
      <c r="V30" s="51">
        <f t="shared" si="13"/>
        <v>4</v>
      </c>
      <c r="W30" s="51" t="e">
        <f t="shared" si="14"/>
        <v>#VALUE!</v>
      </c>
      <c r="X30" s="51" t="e">
        <f t="shared" si="15"/>
        <v>#VALUE!</v>
      </c>
      <c r="Y30" s="51" t="str">
        <f>IFERROR(VLOOKUP(MID(T30,W30,X30-W30),[6]skilldef!$C:$D,2,FALSE),"-") &amp; " / " &amp; IFERROR(VLOOKUP(MID(T30,U30,V30-U30),[6]skilldef!$A:$B,2,FALSE),"-")</f>
        <v>- / -</v>
      </c>
      <c r="Z30" s="38"/>
      <c r="AA30" s="40"/>
      <c r="AB30" s="38"/>
    </row>
    <row r="31" spans="1:28" ht="21" customHeight="1" x14ac:dyDescent="0.15">
      <c r="A31" s="35">
        <v>49002029</v>
      </c>
      <c r="B31" s="35" t="s">
        <v>238</v>
      </c>
      <c r="C31" s="38">
        <v>3</v>
      </c>
      <c r="D31" s="38" t="s">
        <v>128</v>
      </c>
      <c r="E31" s="39" t="s">
        <v>223</v>
      </c>
      <c r="F31" s="39" t="s">
        <v>214</v>
      </c>
      <c r="G31" s="51" t="str">
        <f t="shared" si="0"/>
        <v>[effect:nothing]</v>
      </c>
      <c r="H31" s="51">
        <f t="shared" si="1"/>
        <v>9</v>
      </c>
      <c r="I31" s="51">
        <f t="shared" si="2"/>
        <v>16</v>
      </c>
      <c r="J31" s="51" t="e">
        <f t="shared" si="3"/>
        <v>#VALUE!</v>
      </c>
      <c r="K31" s="51" t="e">
        <f t="shared" si="4"/>
        <v>#VALUE!</v>
      </c>
      <c r="L31" s="51" t="str">
        <f>IFERROR(VLOOKUP(MID(G31,J31,K31-J31),[6]skilldef!$C:$D,2,FALSE),"-") &amp; " / " &amp; IFERROR(VLOOKUP(MID(G31,H31,I31-H31),[6]skilldef!$A:$B,2,FALSE),"-")</f>
        <v>- / 何もしない</v>
      </c>
      <c r="M31" s="51" t="str">
        <f t="shared" si="5"/>
        <v>none</v>
      </c>
      <c r="N31" s="36" t="str">
        <f t="shared" si="6"/>
        <v>none</v>
      </c>
      <c r="O31" s="51" t="e">
        <f t="shared" si="7"/>
        <v>#VALUE!</v>
      </c>
      <c r="P31" s="51">
        <f t="shared" si="8"/>
        <v>4</v>
      </c>
      <c r="Q31" s="51" t="e">
        <f t="shared" si="9"/>
        <v>#VALUE!</v>
      </c>
      <c r="R31" s="51" t="e">
        <f t="shared" si="10"/>
        <v>#VALUE!</v>
      </c>
      <c r="S31" s="51" t="str">
        <f>IFERROR(VLOOKUP(MID(N31,Q31,R31-Q31),[6]skilldef!$C:$D,2,FALSE),"-") &amp; " / " &amp; IFERROR(VLOOKUP(MID(N31,O31,P31-O31),[6]skilldef!$A:$B,2,FALSE),"-")</f>
        <v>- / -</v>
      </c>
      <c r="T31" s="36" t="str">
        <f t="shared" si="11"/>
        <v>none</v>
      </c>
      <c r="U31" s="51" t="e">
        <f t="shared" si="12"/>
        <v>#VALUE!</v>
      </c>
      <c r="V31" s="51">
        <f t="shared" si="13"/>
        <v>4</v>
      </c>
      <c r="W31" s="51" t="e">
        <f t="shared" si="14"/>
        <v>#VALUE!</v>
      </c>
      <c r="X31" s="51" t="e">
        <f t="shared" si="15"/>
        <v>#VALUE!</v>
      </c>
      <c r="Y31" s="51" t="str">
        <f>IFERROR(VLOOKUP(MID(T31,W31,X31-W31),[6]skilldef!$C:$D,2,FALSE),"-") &amp; " / " &amp; IFERROR(VLOOKUP(MID(T31,U31,V31-U31),[6]skilldef!$A:$B,2,FALSE),"-")</f>
        <v>- / -</v>
      </c>
      <c r="Z31" s="38"/>
      <c r="AA31" s="40"/>
      <c r="AB31" s="38"/>
    </row>
    <row r="32" spans="1:28" ht="21" customHeight="1" x14ac:dyDescent="0.15">
      <c r="A32" s="35">
        <v>49002030</v>
      </c>
      <c r="B32" s="35" t="s">
        <v>265</v>
      </c>
      <c r="C32" s="38">
        <v>3</v>
      </c>
      <c r="D32" s="38" t="s">
        <v>128</v>
      </c>
      <c r="E32" s="39" t="s">
        <v>272</v>
      </c>
      <c r="F32" s="39" t="s">
        <v>274</v>
      </c>
      <c r="G32" s="51" t="str">
        <f t="shared" si="0"/>
        <v>[effect:nothing]</v>
      </c>
      <c r="H32" s="51">
        <f t="shared" si="1"/>
        <v>9</v>
      </c>
      <c r="I32" s="51">
        <f t="shared" si="2"/>
        <v>16</v>
      </c>
      <c r="J32" s="51" t="e">
        <f t="shared" si="3"/>
        <v>#VALUE!</v>
      </c>
      <c r="K32" s="51" t="e">
        <f t="shared" si="4"/>
        <v>#VALUE!</v>
      </c>
      <c r="L32" s="51" t="str">
        <f>IFERROR(VLOOKUP(MID(G32,J32,K32-J32),[6]skilldef!$C:$D,2,FALSE),"-") &amp; " / " &amp; IFERROR(VLOOKUP(MID(G32,H32,I32-H32),[6]skilldef!$A:$B,2,FALSE),"-")</f>
        <v>- / 何もしない</v>
      </c>
      <c r="M32" s="51" t="str">
        <f t="shared" si="5"/>
        <v>none</v>
      </c>
      <c r="N32" s="36" t="str">
        <f t="shared" si="6"/>
        <v>none</v>
      </c>
      <c r="O32" s="51" t="e">
        <f t="shared" si="7"/>
        <v>#VALUE!</v>
      </c>
      <c r="P32" s="51">
        <f t="shared" si="8"/>
        <v>4</v>
      </c>
      <c r="Q32" s="51" t="e">
        <f t="shared" si="9"/>
        <v>#VALUE!</v>
      </c>
      <c r="R32" s="51" t="e">
        <f t="shared" si="10"/>
        <v>#VALUE!</v>
      </c>
      <c r="S32" s="51" t="str">
        <f>IFERROR(VLOOKUP(MID(N32,Q32,R32-Q32),[6]skilldef!$C:$D,2,FALSE),"-") &amp; " / " &amp; IFERROR(VLOOKUP(MID(N32,O32,P32-O32),[6]skilldef!$A:$B,2,FALSE),"-")</f>
        <v>- / -</v>
      </c>
      <c r="T32" s="36" t="str">
        <f t="shared" si="11"/>
        <v>none</v>
      </c>
      <c r="U32" s="51" t="e">
        <f t="shared" si="12"/>
        <v>#VALUE!</v>
      </c>
      <c r="V32" s="51">
        <f t="shared" si="13"/>
        <v>4</v>
      </c>
      <c r="W32" s="51" t="e">
        <f t="shared" si="14"/>
        <v>#VALUE!</v>
      </c>
      <c r="X32" s="51" t="e">
        <f t="shared" si="15"/>
        <v>#VALUE!</v>
      </c>
      <c r="Y32" s="51" t="str">
        <f>IFERROR(VLOOKUP(MID(T32,W32,X32-W32),[6]skilldef!$C:$D,2,FALSE),"-") &amp; " / " &amp; IFERROR(VLOOKUP(MID(T32,U32,V32-U32),[6]skilldef!$A:$B,2,FALSE),"-")</f>
        <v>- / -</v>
      </c>
      <c r="Z32" s="38"/>
      <c r="AA32" s="40"/>
      <c r="AB32" s="38"/>
    </row>
    <row r="33" spans="1:28" ht="21" customHeight="1" x14ac:dyDescent="0.15">
      <c r="A33" s="35">
        <v>49002031</v>
      </c>
      <c r="B33" s="35" t="s">
        <v>247</v>
      </c>
      <c r="C33" s="38">
        <v>3</v>
      </c>
      <c r="D33" s="38" t="s">
        <v>128</v>
      </c>
      <c r="E33" s="39" t="s">
        <v>319</v>
      </c>
      <c r="F33" s="39" t="s">
        <v>228</v>
      </c>
      <c r="G33" s="51" t="str">
        <f t="shared" si="0"/>
        <v>[effect:rush, count:2, val:0.6]</v>
      </c>
      <c r="H33" s="51">
        <f t="shared" si="1"/>
        <v>9</v>
      </c>
      <c r="I33" s="51">
        <f t="shared" si="2"/>
        <v>13</v>
      </c>
      <c r="J33" s="51" t="e">
        <f t="shared" si="3"/>
        <v>#VALUE!</v>
      </c>
      <c r="K33" s="51">
        <f t="shared" si="4"/>
        <v>22</v>
      </c>
      <c r="L33" s="51" t="str">
        <f>IFERROR(VLOOKUP(MID(G33,J33,K33-J33),[6]skilldef!$C:$D,2,FALSE),"-") &amp; " / " &amp; IFERROR(VLOOKUP(MID(G33,H33,I33-H33),[6]skilldef!$A:$B,2,FALSE),"-")</f>
        <v>- / 連続攻撃</v>
      </c>
      <c r="M33" s="51" t="str">
        <f t="shared" si="5"/>
        <v>none</v>
      </c>
      <c r="N33" s="36" t="str">
        <f t="shared" si="6"/>
        <v>none</v>
      </c>
      <c r="O33" s="51" t="e">
        <f t="shared" si="7"/>
        <v>#VALUE!</v>
      </c>
      <c r="P33" s="51">
        <f t="shared" si="8"/>
        <v>4</v>
      </c>
      <c r="Q33" s="51" t="e">
        <f t="shared" si="9"/>
        <v>#VALUE!</v>
      </c>
      <c r="R33" s="51" t="e">
        <f t="shared" si="10"/>
        <v>#VALUE!</v>
      </c>
      <c r="S33" s="51" t="str">
        <f>IFERROR(VLOOKUP(MID(N33,Q33,R33-Q33),[6]skilldef!$C:$D,2,FALSE),"-") &amp; " / " &amp; IFERROR(VLOOKUP(MID(N33,O33,P33-O33),[6]skilldef!$A:$B,2,FALSE),"-")</f>
        <v>- / -</v>
      </c>
      <c r="T33" s="36" t="str">
        <f t="shared" si="11"/>
        <v>none</v>
      </c>
      <c r="U33" s="51" t="e">
        <f t="shared" si="12"/>
        <v>#VALUE!</v>
      </c>
      <c r="V33" s="51">
        <f t="shared" si="13"/>
        <v>4</v>
      </c>
      <c r="W33" s="51" t="e">
        <f t="shared" si="14"/>
        <v>#VALUE!</v>
      </c>
      <c r="X33" s="51" t="e">
        <f t="shared" si="15"/>
        <v>#VALUE!</v>
      </c>
      <c r="Y33" s="51" t="str">
        <f>IFERROR(VLOOKUP(MID(T33,W33,X33-W33),[6]skilldef!$C:$D,2,FALSE),"-") &amp; " / " &amp; IFERROR(VLOOKUP(MID(T33,U33,V33-U33),[6]skilldef!$A:$B,2,FALSE),"-")</f>
        <v>- / -</v>
      </c>
      <c r="Z33" s="38"/>
      <c r="AA33" s="40"/>
      <c r="AB33" s="38"/>
    </row>
    <row r="34" spans="1:28" ht="21" customHeight="1" x14ac:dyDescent="0.15">
      <c r="A34" s="35">
        <v>49002032</v>
      </c>
      <c r="B34" s="35" t="s">
        <v>250</v>
      </c>
      <c r="C34" s="38">
        <v>3</v>
      </c>
      <c r="D34" s="38" t="s">
        <v>128</v>
      </c>
      <c r="E34" s="39" t="s">
        <v>320</v>
      </c>
      <c r="F34" s="39" t="s">
        <v>325</v>
      </c>
      <c r="G34" s="51" t="str">
        <f t="shared" si="0"/>
        <v>[effect:freq_turn, target:myself, turn:3, val:1]</v>
      </c>
      <c r="H34" s="51">
        <f t="shared" si="1"/>
        <v>9</v>
      </c>
      <c r="I34" s="51">
        <f t="shared" si="2"/>
        <v>18</v>
      </c>
      <c r="J34" s="51">
        <f t="shared" si="3"/>
        <v>27</v>
      </c>
      <c r="K34" s="51">
        <f t="shared" si="4"/>
        <v>33</v>
      </c>
      <c r="L34" s="51" t="str">
        <f>IFERROR(VLOOKUP(MID(G34,J34,K34-J34),[6]skilldef!$C:$D,2,FALSE),"-") &amp; " / " &amp; IFERROR(VLOOKUP(MID(G34,H34,I34-H34),[6]skilldef!$A:$B,2,FALSE),"-")</f>
        <v>自分自身に / 攻撃頻度がUP</v>
      </c>
      <c r="M34" s="51" t="str">
        <f t="shared" si="5"/>
        <v>none</v>
      </c>
      <c r="N34" s="36" t="str">
        <f t="shared" si="6"/>
        <v>none</v>
      </c>
      <c r="O34" s="51" t="e">
        <f t="shared" si="7"/>
        <v>#VALUE!</v>
      </c>
      <c r="P34" s="51">
        <f t="shared" si="8"/>
        <v>4</v>
      </c>
      <c r="Q34" s="51" t="e">
        <f t="shared" si="9"/>
        <v>#VALUE!</v>
      </c>
      <c r="R34" s="51" t="e">
        <f t="shared" si="10"/>
        <v>#VALUE!</v>
      </c>
      <c r="S34" s="51" t="str">
        <f>IFERROR(VLOOKUP(MID(N34,Q34,R34-Q34),[6]skilldef!$C:$D,2,FALSE),"-") &amp; " / " &amp; IFERROR(VLOOKUP(MID(N34,O34,P34-O34),[6]skilldef!$A:$B,2,FALSE),"-")</f>
        <v>- / -</v>
      </c>
      <c r="T34" s="36" t="str">
        <f t="shared" si="11"/>
        <v>none</v>
      </c>
      <c r="U34" s="51" t="e">
        <f t="shared" si="12"/>
        <v>#VALUE!</v>
      </c>
      <c r="V34" s="51">
        <f t="shared" si="13"/>
        <v>4</v>
      </c>
      <c r="W34" s="51" t="e">
        <f t="shared" si="14"/>
        <v>#VALUE!</v>
      </c>
      <c r="X34" s="51" t="e">
        <f t="shared" si="15"/>
        <v>#VALUE!</v>
      </c>
      <c r="Y34" s="51" t="str">
        <f>IFERROR(VLOOKUP(MID(T34,W34,X34-W34),[6]skilldef!$C:$D,2,FALSE),"-") &amp; " / " &amp; IFERROR(VLOOKUP(MID(T34,U34,V34-U34),[6]skilldef!$A:$B,2,FALSE),"-")</f>
        <v>- / -</v>
      </c>
      <c r="Z34" s="38"/>
      <c r="AA34" s="40"/>
      <c r="AB34" s="38"/>
    </row>
    <row r="35" spans="1:28" ht="21" customHeight="1" x14ac:dyDescent="0.15">
      <c r="A35" s="35">
        <v>49002033</v>
      </c>
      <c r="B35" s="35" t="s">
        <v>238</v>
      </c>
      <c r="C35" s="38">
        <v>3</v>
      </c>
      <c r="D35" s="38" t="s">
        <v>128</v>
      </c>
      <c r="E35" s="39" t="s">
        <v>224</v>
      </c>
      <c r="F35" s="39" t="s">
        <v>214</v>
      </c>
      <c r="G35" s="51" t="str">
        <f t="shared" si="0"/>
        <v>[effect:nothing]</v>
      </c>
      <c r="H35" s="51">
        <f t="shared" si="1"/>
        <v>9</v>
      </c>
      <c r="I35" s="51">
        <f t="shared" si="2"/>
        <v>16</v>
      </c>
      <c r="J35" s="51" t="e">
        <f t="shared" si="3"/>
        <v>#VALUE!</v>
      </c>
      <c r="K35" s="51" t="e">
        <f t="shared" si="4"/>
        <v>#VALUE!</v>
      </c>
      <c r="L35" s="51" t="str">
        <f>IFERROR(VLOOKUP(MID(G35,J35,K35-J35),[6]skilldef!$C:$D,2,FALSE),"-") &amp; " / " &amp; IFERROR(VLOOKUP(MID(G35,H35,I35-H35),[6]skilldef!$A:$B,2,FALSE),"-")</f>
        <v>- / 何もしない</v>
      </c>
      <c r="M35" s="51" t="str">
        <f t="shared" si="5"/>
        <v>none</v>
      </c>
      <c r="N35" s="36" t="str">
        <f t="shared" si="6"/>
        <v>none</v>
      </c>
      <c r="O35" s="51" t="e">
        <f t="shared" si="7"/>
        <v>#VALUE!</v>
      </c>
      <c r="P35" s="51">
        <f t="shared" si="8"/>
        <v>4</v>
      </c>
      <c r="Q35" s="51" t="e">
        <f t="shared" si="9"/>
        <v>#VALUE!</v>
      </c>
      <c r="R35" s="51" t="e">
        <f t="shared" si="10"/>
        <v>#VALUE!</v>
      </c>
      <c r="S35" s="51" t="str">
        <f>IFERROR(VLOOKUP(MID(N35,Q35,R35-Q35),[6]skilldef!$C:$D,2,FALSE),"-") &amp; " / " &amp; IFERROR(VLOOKUP(MID(N35,O35,P35-O35),[6]skilldef!$A:$B,2,FALSE),"-")</f>
        <v>- / -</v>
      </c>
      <c r="T35" s="36" t="str">
        <f t="shared" si="11"/>
        <v>none</v>
      </c>
      <c r="U35" s="51" t="e">
        <f t="shared" si="12"/>
        <v>#VALUE!</v>
      </c>
      <c r="V35" s="51">
        <f t="shared" si="13"/>
        <v>4</v>
      </c>
      <c r="W35" s="51" t="e">
        <f t="shared" si="14"/>
        <v>#VALUE!</v>
      </c>
      <c r="X35" s="51" t="e">
        <f t="shared" si="15"/>
        <v>#VALUE!</v>
      </c>
      <c r="Y35" s="51" t="str">
        <f>IFERROR(VLOOKUP(MID(T35,W35,X35-W35),[6]skilldef!$C:$D,2,FALSE),"-") &amp; " / " &amp; IFERROR(VLOOKUP(MID(T35,U35,V35-U35),[6]skilldef!$A:$B,2,FALSE),"-")</f>
        <v>- / -</v>
      </c>
      <c r="Z35" s="38"/>
      <c r="AA35" s="40"/>
      <c r="AB35" s="38"/>
    </row>
    <row r="36" spans="1:28" ht="21" customHeight="1" x14ac:dyDescent="0.15">
      <c r="A36" s="35">
        <v>49002034</v>
      </c>
      <c r="B36" s="35" t="s">
        <v>238</v>
      </c>
      <c r="C36" s="38">
        <v>3</v>
      </c>
      <c r="D36" s="38" t="s">
        <v>128</v>
      </c>
      <c r="E36" s="39" t="s">
        <v>224</v>
      </c>
      <c r="F36" s="39" t="s">
        <v>214</v>
      </c>
      <c r="G36" s="51" t="str">
        <f t="shared" si="0"/>
        <v>[effect:nothing]</v>
      </c>
      <c r="H36" s="51">
        <f t="shared" si="1"/>
        <v>9</v>
      </c>
      <c r="I36" s="51">
        <f t="shared" si="2"/>
        <v>16</v>
      </c>
      <c r="J36" s="51" t="e">
        <f t="shared" si="3"/>
        <v>#VALUE!</v>
      </c>
      <c r="K36" s="51" t="e">
        <f t="shared" si="4"/>
        <v>#VALUE!</v>
      </c>
      <c r="L36" s="51" t="str">
        <f>IFERROR(VLOOKUP(MID(G36,J36,K36-J36),[6]skilldef!$C:$D,2,FALSE),"-") &amp; " / " &amp; IFERROR(VLOOKUP(MID(G36,H36,I36-H36),[6]skilldef!$A:$B,2,FALSE),"-")</f>
        <v>- / 何もしない</v>
      </c>
      <c r="M36" s="51" t="str">
        <f t="shared" si="5"/>
        <v>none</v>
      </c>
      <c r="N36" s="36" t="str">
        <f t="shared" si="6"/>
        <v>none</v>
      </c>
      <c r="O36" s="51" t="e">
        <f t="shared" si="7"/>
        <v>#VALUE!</v>
      </c>
      <c r="P36" s="51">
        <f t="shared" si="8"/>
        <v>4</v>
      </c>
      <c r="Q36" s="51" t="e">
        <f t="shared" si="9"/>
        <v>#VALUE!</v>
      </c>
      <c r="R36" s="51" t="e">
        <f t="shared" si="10"/>
        <v>#VALUE!</v>
      </c>
      <c r="S36" s="51" t="str">
        <f>IFERROR(VLOOKUP(MID(N36,Q36,R36-Q36),[6]skilldef!$C:$D,2,FALSE),"-") &amp; " / " &amp; IFERROR(VLOOKUP(MID(N36,O36,P36-O36),[6]skilldef!$A:$B,2,FALSE),"-")</f>
        <v>- / -</v>
      </c>
      <c r="T36" s="36" t="str">
        <f t="shared" si="11"/>
        <v>none</v>
      </c>
      <c r="U36" s="51" t="e">
        <f t="shared" si="12"/>
        <v>#VALUE!</v>
      </c>
      <c r="V36" s="51">
        <f t="shared" si="13"/>
        <v>4</v>
      </c>
      <c r="W36" s="51" t="e">
        <f t="shared" si="14"/>
        <v>#VALUE!</v>
      </c>
      <c r="X36" s="51" t="e">
        <f t="shared" si="15"/>
        <v>#VALUE!</v>
      </c>
      <c r="Y36" s="51" t="str">
        <f>IFERROR(VLOOKUP(MID(T36,W36,X36-W36),[6]skilldef!$C:$D,2,FALSE),"-") &amp; " / " &amp; IFERROR(VLOOKUP(MID(T36,U36,V36-U36),[6]skilldef!$A:$B,2,FALSE),"-")</f>
        <v>- / -</v>
      </c>
      <c r="Z36" s="38"/>
      <c r="AA36" s="40"/>
      <c r="AB36" s="38"/>
    </row>
    <row r="37" spans="1:28" ht="21" customHeight="1" x14ac:dyDescent="0.15">
      <c r="A37" s="35">
        <v>49002035</v>
      </c>
      <c r="B37" s="35" t="s">
        <v>284</v>
      </c>
      <c r="C37" s="38">
        <v>3</v>
      </c>
      <c r="D37" s="38" t="s">
        <v>128</v>
      </c>
      <c r="E37" s="39" t="s">
        <v>257</v>
      </c>
      <c r="F37" s="39" t="s">
        <v>261</v>
      </c>
      <c r="G37" s="51" t="str">
        <f t="shared" si="0"/>
        <v>[effect:tolerance, target:myself, turn:-1, tolerance_effect:sleep, count:-1]</v>
      </c>
      <c r="H37" s="51">
        <f t="shared" si="1"/>
        <v>9</v>
      </c>
      <c r="I37" s="51">
        <f t="shared" si="2"/>
        <v>18</v>
      </c>
      <c r="J37" s="51">
        <f t="shared" si="3"/>
        <v>27</v>
      </c>
      <c r="K37" s="51">
        <f t="shared" si="4"/>
        <v>33</v>
      </c>
      <c r="L37" s="51" t="str">
        <f>IFERROR(VLOOKUP(MID(G37,J37,K37-J37),[6]skilldef!$C:$D,2,FALSE),"-") &amp; " / " &amp; IFERROR(VLOOKUP(MID(G37,H37,I37-H37),[6]skilldef!$A:$B,2,FALSE),"-")</f>
        <v>自分自身に / 状態異常耐性</v>
      </c>
      <c r="M37" s="51" t="str">
        <f t="shared" si="5"/>
        <v>[effect:tolerance, target:myself, turn:-1, tolerance_effect:virus, count:-1],[effect:tolerance, target:myself, turn:-1, tolerance_effect:hungup, count:-1, animation:enemy_tolerance][effect:fix_speed, target:myself, turn:1]</v>
      </c>
      <c r="N37" s="36" t="str">
        <f t="shared" si="6"/>
        <v>[effect:tolerance, target:myself, turn:-1, tolerance_effect:virus, count:-1],[effect:tolerance, target:myself, turn:-1, tolerance_effect:hungup, count:-1, animation:enemy_tolerance][effect:fix_speed, target:myself, turn:1]</v>
      </c>
      <c r="O37" s="51">
        <f t="shared" si="7"/>
        <v>9</v>
      </c>
      <c r="P37" s="51">
        <f t="shared" si="8"/>
        <v>18</v>
      </c>
      <c r="Q37" s="51">
        <f t="shared" si="9"/>
        <v>27</v>
      </c>
      <c r="R37" s="51">
        <f t="shared" si="10"/>
        <v>33</v>
      </c>
      <c r="S37" s="51" t="str">
        <f>IFERROR(VLOOKUP(MID(N37,Q37,R37-Q37),[6]skilldef!$C:$D,2,FALSE),"-") &amp; " / " &amp; IFERROR(VLOOKUP(MID(N37,O37,P37-O37),[6]skilldef!$A:$B,2,FALSE),"-")</f>
        <v>自分自身に / 状態異常耐性</v>
      </c>
      <c r="T37" s="36" t="str">
        <f t="shared" si="11"/>
        <v>[effect:tolerance, target:myself, turn:-1, tolerance_effect:hungup, count:-1, animation:enemy_tolerance][effect:fix_speed, target:myself, turn:1]</v>
      </c>
      <c r="U37" s="51">
        <f t="shared" si="12"/>
        <v>9</v>
      </c>
      <c r="V37" s="51">
        <f t="shared" si="13"/>
        <v>18</v>
      </c>
      <c r="W37" s="51">
        <f t="shared" si="14"/>
        <v>27</v>
      </c>
      <c r="X37" s="51">
        <f t="shared" si="15"/>
        <v>33</v>
      </c>
      <c r="Y37" s="51" t="str">
        <f>IFERROR(VLOOKUP(MID(T37,W37,X37-W37),[6]skilldef!$C:$D,2,FALSE),"-") &amp; " / " &amp; IFERROR(VLOOKUP(MID(T37,U37,V37-U37),[6]skilldef!$A:$B,2,FALSE),"-")</f>
        <v>自分自身に / 状態異常耐性</v>
      </c>
      <c r="Z37" s="38"/>
      <c r="AA37" s="40"/>
      <c r="AB37" s="38"/>
    </row>
    <row r="38" spans="1:28" ht="21" customHeight="1" x14ac:dyDescent="0.15">
      <c r="A38" s="35">
        <v>49002036</v>
      </c>
      <c r="B38" s="35" t="s">
        <v>336</v>
      </c>
      <c r="C38" s="38">
        <v>3</v>
      </c>
      <c r="D38" s="38" t="s">
        <v>128</v>
      </c>
      <c r="E38" s="39" t="s">
        <v>279</v>
      </c>
      <c r="F38" s="39" t="s">
        <v>258</v>
      </c>
      <c r="G38" s="51" t="str">
        <f t="shared" si="0"/>
        <v>[effect:enemy_message, val1:1, val2:1, dead_type:escape]</v>
      </c>
      <c r="H38" s="51">
        <f t="shared" si="1"/>
        <v>9</v>
      </c>
      <c r="I38" s="51">
        <f t="shared" si="2"/>
        <v>22</v>
      </c>
      <c r="J38" s="51" t="e">
        <f t="shared" si="3"/>
        <v>#VALUE!</v>
      </c>
      <c r="K38" s="51">
        <f t="shared" si="4"/>
        <v>30</v>
      </c>
      <c r="L38" s="51" t="str">
        <f>IFERROR(VLOOKUP(MID(G38,J38,K38-J38),[6]skilldef!$C:$D,2,FALSE),"-") &amp; " / " &amp; IFERROR(VLOOKUP(MID(G38,H38,I38-H38),[6]skilldef!$A:$B,2,FALSE),"-")</f>
        <v>- / -</v>
      </c>
      <c r="M38" s="51" t="str">
        <f t="shared" si="5"/>
        <v>none</v>
      </c>
      <c r="N38" s="36" t="str">
        <f t="shared" si="6"/>
        <v>none</v>
      </c>
      <c r="O38" s="51" t="e">
        <f t="shared" si="7"/>
        <v>#VALUE!</v>
      </c>
      <c r="P38" s="51">
        <f t="shared" si="8"/>
        <v>4</v>
      </c>
      <c r="Q38" s="51" t="e">
        <f t="shared" si="9"/>
        <v>#VALUE!</v>
      </c>
      <c r="R38" s="51" t="e">
        <f t="shared" si="10"/>
        <v>#VALUE!</v>
      </c>
      <c r="S38" s="51" t="str">
        <f>IFERROR(VLOOKUP(MID(N38,Q38,R38-Q38),[6]skilldef!$C:$D,2,FALSE),"-") &amp; " / " &amp; IFERROR(VLOOKUP(MID(N38,O38,P38-O38),[6]skilldef!$A:$B,2,FALSE),"-")</f>
        <v>- / -</v>
      </c>
      <c r="T38" s="36" t="str">
        <f t="shared" si="11"/>
        <v>none</v>
      </c>
      <c r="U38" s="51" t="e">
        <f t="shared" si="12"/>
        <v>#VALUE!</v>
      </c>
      <c r="V38" s="51">
        <f t="shared" si="13"/>
        <v>4</v>
      </c>
      <c r="W38" s="51" t="e">
        <f t="shared" si="14"/>
        <v>#VALUE!</v>
      </c>
      <c r="X38" s="51" t="e">
        <f t="shared" si="15"/>
        <v>#VALUE!</v>
      </c>
      <c r="Y38" s="51" t="str">
        <f>IFERROR(VLOOKUP(MID(T38,W38,X38-W38),[6]skilldef!$C:$D,2,FALSE),"-") &amp; " / " &amp; IFERROR(VLOOKUP(MID(T38,U38,V38-U38),[6]skilldef!$A:$B,2,FALSE),"-")</f>
        <v>- / -</v>
      </c>
      <c r="Z38" s="38"/>
      <c r="AA38" s="40"/>
      <c r="AB38" s="38"/>
    </row>
    <row r="39" spans="1:28" ht="21" customHeight="1" x14ac:dyDescent="0.15">
      <c r="A39" s="35">
        <v>49002037</v>
      </c>
      <c r="B39" s="35" t="s">
        <v>240</v>
      </c>
      <c r="C39" s="38">
        <v>3</v>
      </c>
      <c r="D39" s="38" t="s">
        <v>128</v>
      </c>
      <c r="E39" s="39" t="s">
        <v>260</v>
      </c>
      <c r="F39" s="39" t="s">
        <v>259</v>
      </c>
      <c r="G39" s="51" t="str">
        <f t="shared" si="0"/>
        <v>[effect:nothing]</v>
      </c>
      <c r="H39" s="51">
        <f t="shared" si="1"/>
        <v>9</v>
      </c>
      <c r="I39" s="51">
        <f t="shared" si="2"/>
        <v>16</v>
      </c>
      <c r="J39" s="51" t="e">
        <f t="shared" si="3"/>
        <v>#VALUE!</v>
      </c>
      <c r="K39" s="51" t="e">
        <f t="shared" si="4"/>
        <v>#VALUE!</v>
      </c>
      <c r="L39" s="51" t="str">
        <f>IFERROR(VLOOKUP(MID(G39,J39,K39-J39),[6]skilldef!$C:$D,2,FALSE),"-") &amp; " / " &amp; IFERROR(VLOOKUP(MID(G39,H39,I39-H39),[6]skilldef!$A:$B,2,FALSE),"-")</f>
        <v>- / 何もしない</v>
      </c>
      <c r="M39" s="51" t="str">
        <f t="shared" si="5"/>
        <v>none</v>
      </c>
      <c r="N39" s="36" t="str">
        <f t="shared" si="6"/>
        <v>none</v>
      </c>
      <c r="O39" s="51" t="e">
        <f t="shared" si="7"/>
        <v>#VALUE!</v>
      </c>
      <c r="P39" s="51">
        <f t="shared" si="8"/>
        <v>4</v>
      </c>
      <c r="Q39" s="51" t="e">
        <f t="shared" si="9"/>
        <v>#VALUE!</v>
      </c>
      <c r="R39" s="51" t="e">
        <f t="shared" si="10"/>
        <v>#VALUE!</v>
      </c>
      <c r="S39" s="51" t="str">
        <f>IFERROR(VLOOKUP(MID(N39,Q39,R39-Q39),[6]skilldef!$C:$D,2,FALSE),"-") &amp; " / " &amp; IFERROR(VLOOKUP(MID(N39,O39,P39-O39),[6]skilldef!$A:$B,2,FALSE),"-")</f>
        <v>- / -</v>
      </c>
      <c r="T39" s="36" t="str">
        <f t="shared" si="11"/>
        <v>none</v>
      </c>
      <c r="U39" s="51" t="e">
        <f t="shared" si="12"/>
        <v>#VALUE!</v>
      </c>
      <c r="V39" s="51">
        <f t="shared" si="13"/>
        <v>4</v>
      </c>
      <c r="W39" s="51" t="e">
        <f t="shared" si="14"/>
        <v>#VALUE!</v>
      </c>
      <c r="X39" s="51" t="e">
        <f t="shared" si="15"/>
        <v>#VALUE!</v>
      </c>
      <c r="Y39" s="51" t="str">
        <f>IFERROR(VLOOKUP(MID(T39,W39,X39-W39),[6]skilldef!$C:$D,2,FALSE),"-") &amp; " / " &amp; IFERROR(VLOOKUP(MID(T39,U39,V39-U39),[6]skilldef!$A:$B,2,FALSE),"-")</f>
        <v>- / -</v>
      </c>
      <c r="Z39" s="38"/>
      <c r="AA39" s="40"/>
      <c r="AB39" s="38"/>
    </row>
    <row r="40" spans="1:28" ht="21" customHeight="1" x14ac:dyDescent="0.15">
      <c r="A40" s="35">
        <v>49002038</v>
      </c>
      <c r="B40" s="35" t="s">
        <v>285</v>
      </c>
      <c r="C40" s="38">
        <v>3</v>
      </c>
      <c r="D40" s="38" t="s">
        <v>128</v>
      </c>
      <c r="E40" s="39" t="s">
        <v>262</v>
      </c>
      <c r="F40" s="39" t="s">
        <v>263</v>
      </c>
      <c r="G40" s="51" t="str">
        <f t="shared" si="0"/>
        <v>[effect:suicide, val:1, dead_type:escape, target:myself]</v>
      </c>
      <c r="H40" s="51">
        <f t="shared" si="1"/>
        <v>9</v>
      </c>
      <c r="I40" s="51">
        <f t="shared" si="2"/>
        <v>16</v>
      </c>
      <c r="J40" s="51">
        <f t="shared" si="3"/>
        <v>50</v>
      </c>
      <c r="K40" s="51">
        <f t="shared" si="4"/>
        <v>23</v>
      </c>
      <c r="L40" s="51" t="str">
        <f>IFERROR(VLOOKUP(MID(G40,J40,K40-J40),[6]skilldef!$C:$D,2,FALSE),"-") &amp; " / " &amp; IFERROR(VLOOKUP(MID(G40,H40,I40-H40),[6]skilldef!$A:$B,2,FALSE),"-")</f>
        <v>- / -</v>
      </c>
      <c r="M40" s="51" t="str">
        <f t="shared" si="5"/>
        <v>none</v>
      </c>
      <c r="N40" s="36" t="str">
        <f t="shared" si="6"/>
        <v>none</v>
      </c>
      <c r="O40" s="51" t="e">
        <f t="shared" si="7"/>
        <v>#VALUE!</v>
      </c>
      <c r="P40" s="51">
        <f t="shared" si="8"/>
        <v>4</v>
      </c>
      <c r="Q40" s="51" t="e">
        <f t="shared" si="9"/>
        <v>#VALUE!</v>
      </c>
      <c r="R40" s="51" t="e">
        <f t="shared" si="10"/>
        <v>#VALUE!</v>
      </c>
      <c r="S40" s="51" t="str">
        <f>IFERROR(VLOOKUP(MID(N40,Q40,R40-Q40),[6]skilldef!$C:$D,2,FALSE),"-") &amp; " / " &amp; IFERROR(VLOOKUP(MID(N40,O40,P40-O40),[6]skilldef!$A:$B,2,FALSE),"-")</f>
        <v>- / -</v>
      </c>
      <c r="T40" s="36" t="str">
        <f t="shared" si="11"/>
        <v>none</v>
      </c>
      <c r="U40" s="51" t="e">
        <f t="shared" si="12"/>
        <v>#VALUE!</v>
      </c>
      <c r="V40" s="51">
        <f t="shared" si="13"/>
        <v>4</v>
      </c>
      <c r="W40" s="51" t="e">
        <f t="shared" si="14"/>
        <v>#VALUE!</v>
      </c>
      <c r="X40" s="51" t="e">
        <f t="shared" si="15"/>
        <v>#VALUE!</v>
      </c>
      <c r="Y40" s="51" t="str">
        <f>IFERROR(VLOOKUP(MID(T40,W40,X40-W40),[6]skilldef!$C:$D,2,FALSE),"-") &amp; " / " &amp; IFERROR(VLOOKUP(MID(T40,U40,V40-U40),[6]skilldef!$A:$B,2,FALSE),"-")</f>
        <v>- / -</v>
      </c>
      <c r="Z40" s="38"/>
      <c r="AA40" s="40"/>
      <c r="AB40" s="38"/>
    </row>
    <row r="41" spans="1:28" ht="21" customHeight="1" x14ac:dyDescent="0.15">
      <c r="A41" s="35">
        <v>49002039</v>
      </c>
      <c r="B41" s="35" t="s">
        <v>238</v>
      </c>
      <c r="C41" s="38">
        <v>3</v>
      </c>
      <c r="D41" s="38" t="s">
        <v>128</v>
      </c>
      <c r="E41" s="39" t="s">
        <v>255</v>
      </c>
      <c r="F41" s="39" t="s">
        <v>214</v>
      </c>
      <c r="G41" s="51" t="str">
        <f t="shared" si="0"/>
        <v>[effect:nothing]</v>
      </c>
      <c r="H41" s="51">
        <f t="shared" si="1"/>
        <v>9</v>
      </c>
      <c r="I41" s="51">
        <f t="shared" si="2"/>
        <v>16</v>
      </c>
      <c r="J41" s="51" t="e">
        <f t="shared" si="3"/>
        <v>#VALUE!</v>
      </c>
      <c r="K41" s="51" t="e">
        <f t="shared" si="4"/>
        <v>#VALUE!</v>
      </c>
      <c r="L41" s="51" t="str">
        <f>IFERROR(VLOOKUP(MID(G41,J41,K41-J41),[6]skilldef!$C:$D,2,FALSE),"-") &amp; " / " &amp; IFERROR(VLOOKUP(MID(G41,H41,I41-H41),[6]skilldef!$A:$B,2,FALSE),"-")</f>
        <v>- / 何もしない</v>
      </c>
      <c r="M41" s="51" t="str">
        <f t="shared" si="5"/>
        <v>none</v>
      </c>
      <c r="N41" s="36" t="str">
        <f t="shared" si="6"/>
        <v>none</v>
      </c>
      <c r="O41" s="51" t="e">
        <f t="shared" si="7"/>
        <v>#VALUE!</v>
      </c>
      <c r="P41" s="51">
        <f t="shared" si="8"/>
        <v>4</v>
      </c>
      <c r="Q41" s="51" t="e">
        <f t="shared" si="9"/>
        <v>#VALUE!</v>
      </c>
      <c r="R41" s="51" t="e">
        <f t="shared" si="10"/>
        <v>#VALUE!</v>
      </c>
      <c r="S41" s="51" t="str">
        <f>IFERROR(VLOOKUP(MID(N41,Q41,R41-Q41),[6]skilldef!$C:$D,2,FALSE),"-") &amp; " / " &amp; IFERROR(VLOOKUP(MID(N41,O41,P41-O41),[6]skilldef!$A:$B,2,FALSE),"-")</f>
        <v>- / -</v>
      </c>
      <c r="T41" s="36" t="str">
        <f t="shared" si="11"/>
        <v>none</v>
      </c>
      <c r="U41" s="51" t="e">
        <f t="shared" si="12"/>
        <v>#VALUE!</v>
      </c>
      <c r="V41" s="51">
        <f t="shared" si="13"/>
        <v>4</v>
      </c>
      <c r="W41" s="51" t="e">
        <f t="shared" si="14"/>
        <v>#VALUE!</v>
      </c>
      <c r="X41" s="51" t="e">
        <f t="shared" si="15"/>
        <v>#VALUE!</v>
      </c>
      <c r="Y41" s="51" t="str">
        <f>IFERROR(VLOOKUP(MID(T41,W41,X41-W41),[6]skilldef!$C:$D,2,FALSE),"-") &amp; " / " &amp; IFERROR(VLOOKUP(MID(T41,U41,V41-U41),[6]skilldef!$A:$B,2,FALSE),"-")</f>
        <v>- / -</v>
      </c>
      <c r="Z41" s="38"/>
      <c r="AA41" s="40"/>
      <c r="AB41" s="38"/>
    </row>
    <row r="42" spans="1:28" ht="21" customHeight="1" x14ac:dyDescent="0.15">
      <c r="A42" s="35">
        <v>49002040</v>
      </c>
      <c r="B42" s="35" t="s">
        <v>286</v>
      </c>
      <c r="C42" s="38">
        <v>3</v>
      </c>
      <c r="D42" s="38" t="s">
        <v>128</v>
      </c>
      <c r="E42" s="39" t="s">
        <v>312</v>
      </c>
      <c r="F42" s="39" t="s">
        <v>321</v>
      </c>
      <c r="G42" s="51" t="str">
        <f t="shared" si="0"/>
        <v>[effect:tolerance, target:myself, turn:-1, tolerance_effect:sleep, count:-1]</v>
      </c>
      <c r="H42" s="51">
        <f t="shared" si="1"/>
        <v>9</v>
      </c>
      <c r="I42" s="51">
        <f t="shared" si="2"/>
        <v>18</v>
      </c>
      <c r="J42" s="51">
        <f t="shared" si="3"/>
        <v>27</v>
      </c>
      <c r="K42" s="51">
        <f t="shared" si="4"/>
        <v>33</v>
      </c>
      <c r="L42" s="51" t="str">
        <f>IFERROR(VLOOKUP(MID(G42,J42,K42-J42),[6]skilldef!$C:$D,2,FALSE),"-") &amp; " / " &amp; IFERROR(VLOOKUP(MID(G42,H42,I42-H42),[6]skilldef!$A:$B,2,FALSE),"-")</f>
        <v>自分自身に / 状態異常耐性</v>
      </c>
      <c r="M42" s="51" t="str">
        <f t="shared" si="5"/>
        <v>[effect:tolerance, target:myself, turn:-1, tolerance_effect:virus, count:-1],[effect:tolerance, target:myself, turn:-1, tolerance_effect:hungup, count:-1, animation:enemy_tolerance],[effect:suicide, val:1.0, dead_type:escape, target:enemy_blue]</v>
      </c>
      <c r="N42" s="36" t="str">
        <f t="shared" si="6"/>
        <v>[effect:tolerance, target:myself, turn:-1, tolerance_effect:virus, count:-1],[effect:tolerance, target:myself, turn:-1, tolerance_effect:hungup, count:-1, animation:enemy_tolerance],[effect:suicide, val:1.0, dead_type:escape, target:enemy_blue]</v>
      </c>
      <c r="O42" s="51">
        <f t="shared" si="7"/>
        <v>9</v>
      </c>
      <c r="P42" s="51">
        <f t="shared" si="8"/>
        <v>18</v>
      </c>
      <c r="Q42" s="51">
        <f t="shared" si="9"/>
        <v>27</v>
      </c>
      <c r="R42" s="51">
        <f t="shared" si="10"/>
        <v>33</v>
      </c>
      <c r="S42" s="51" t="str">
        <f>IFERROR(VLOOKUP(MID(N42,Q42,R42-Q42),[6]skilldef!$C:$D,2,FALSE),"-") &amp; " / " &amp; IFERROR(VLOOKUP(MID(N42,O42,P42-O42),[6]skilldef!$A:$B,2,FALSE),"-")</f>
        <v>自分自身に / 状態異常耐性</v>
      </c>
      <c r="T42" s="36" t="str">
        <f t="shared" si="11"/>
        <v>[effect:tolerance, target:myself, turn:-1, tolerance_effect:hungup, count:-1, animation:enemy_tolerance],[effect:suicide, val:1.0, dead_type:escape, target:enemy_blue]</v>
      </c>
      <c r="U42" s="51">
        <f t="shared" si="12"/>
        <v>9</v>
      </c>
      <c r="V42" s="51">
        <f t="shared" si="13"/>
        <v>18</v>
      </c>
      <c r="W42" s="51">
        <f t="shared" si="14"/>
        <v>27</v>
      </c>
      <c r="X42" s="51">
        <f t="shared" si="15"/>
        <v>33</v>
      </c>
      <c r="Y42" s="51" t="str">
        <f>IFERROR(VLOOKUP(MID(T42,W42,X42-W42),[6]skilldef!$C:$D,2,FALSE),"-") &amp; " / " &amp; IFERROR(VLOOKUP(MID(T42,U42,V42-U42),[6]skilldef!$A:$B,2,FALSE),"-")</f>
        <v>自分自身に / 状態異常耐性</v>
      </c>
      <c r="Z42" s="38"/>
      <c r="AA42" s="40"/>
      <c r="AB42" s="38"/>
    </row>
    <row r="43" spans="1:28" ht="21" customHeight="1" x14ac:dyDescent="0.15">
      <c r="A43" s="35">
        <v>49002041</v>
      </c>
      <c r="B43" s="35" t="s">
        <v>242</v>
      </c>
      <c r="C43" s="38">
        <v>3</v>
      </c>
      <c r="D43" s="38" t="s">
        <v>128</v>
      </c>
      <c r="E43" s="39" t="s">
        <v>313</v>
      </c>
      <c r="F43" s="39" t="s">
        <v>230</v>
      </c>
      <c r="G43" s="51" t="str">
        <f t="shared" si="0"/>
        <v>[effect:critical, val:1.5]</v>
      </c>
      <c r="H43" s="51">
        <f t="shared" si="1"/>
        <v>9</v>
      </c>
      <c r="I43" s="51">
        <f t="shared" si="2"/>
        <v>17</v>
      </c>
      <c r="J43" s="51" t="e">
        <f t="shared" si="3"/>
        <v>#VALUE!</v>
      </c>
      <c r="K43" s="51" t="e">
        <f t="shared" si="4"/>
        <v>#VALUE!</v>
      </c>
      <c r="L43" s="51" t="str">
        <f>IFERROR(VLOOKUP(MID(G43,J43,K43-J43),[6]skilldef!$C:$D,2,FALSE),"-") &amp; " / " &amp; IFERROR(VLOOKUP(MID(G43,H43,I43-H43),[6]skilldef!$A:$B,2,FALSE),"-")</f>
        <v>- / 大攻撃</v>
      </c>
      <c r="M43" s="51" t="str">
        <f t="shared" si="5"/>
        <v>none</v>
      </c>
      <c r="N43" s="36" t="str">
        <f t="shared" si="6"/>
        <v>none</v>
      </c>
      <c r="O43" s="51" t="e">
        <f t="shared" si="7"/>
        <v>#VALUE!</v>
      </c>
      <c r="P43" s="51">
        <f t="shared" si="8"/>
        <v>4</v>
      </c>
      <c r="Q43" s="51" t="e">
        <f t="shared" si="9"/>
        <v>#VALUE!</v>
      </c>
      <c r="R43" s="51" t="e">
        <f t="shared" si="10"/>
        <v>#VALUE!</v>
      </c>
      <c r="S43" s="51" t="str">
        <f>IFERROR(VLOOKUP(MID(N43,Q43,R43-Q43),[6]skilldef!$C:$D,2,FALSE),"-") &amp; " / " &amp; IFERROR(VLOOKUP(MID(N43,O43,P43-O43),[6]skilldef!$A:$B,2,FALSE),"-")</f>
        <v>- / -</v>
      </c>
      <c r="T43" s="36" t="str">
        <f t="shared" si="11"/>
        <v>none</v>
      </c>
      <c r="U43" s="51" t="e">
        <f t="shared" si="12"/>
        <v>#VALUE!</v>
      </c>
      <c r="V43" s="51">
        <f t="shared" si="13"/>
        <v>4</v>
      </c>
      <c r="W43" s="51" t="e">
        <f t="shared" si="14"/>
        <v>#VALUE!</v>
      </c>
      <c r="X43" s="51" t="e">
        <f t="shared" si="15"/>
        <v>#VALUE!</v>
      </c>
      <c r="Y43" s="51" t="str">
        <f>IFERROR(VLOOKUP(MID(T43,W43,X43-W43),[6]skilldef!$C:$D,2,FALSE),"-") &amp; " / " &amp; IFERROR(VLOOKUP(MID(T43,U43,V43-U43),[6]skilldef!$A:$B,2,FALSE),"-")</f>
        <v>- / -</v>
      </c>
      <c r="Z43" s="38"/>
      <c r="AA43" s="40"/>
      <c r="AB43" s="38"/>
    </row>
    <row r="44" spans="1:28" ht="21" customHeight="1" x14ac:dyDescent="0.15">
      <c r="A44" s="35">
        <v>49002042</v>
      </c>
      <c r="B44" s="35" t="s">
        <v>247</v>
      </c>
      <c r="C44" s="38">
        <v>3</v>
      </c>
      <c r="D44" s="38" t="s">
        <v>128</v>
      </c>
      <c r="E44" s="39" t="s">
        <v>314</v>
      </c>
      <c r="F44" s="39" t="s">
        <v>228</v>
      </c>
      <c r="G44" s="51" t="str">
        <f t="shared" si="0"/>
        <v>[effect:rush, count:2, val:0.6]</v>
      </c>
      <c r="H44" s="51">
        <f t="shared" si="1"/>
        <v>9</v>
      </c>
      <c r="I44" s="51">
        <f t="shared" si="2"/>
        <v>13</v>
      </c>
      <c r="J44" s="51" t="e">
        <f t="shared" si="3"/>
        <v>#VALUE!</v>
      </c>
      <c r="K44" s="51">
        <f t="shared" si="4"/>
        <v>22</v>
      </c>
      <c r="L44" s="51" t="str">
        <f>IFERROR(VLOOKUP(MID(G44,J44,K44-J44),[6]skilldef!$C:$D,2,FALSE),"-") &amp; " / " &amp; IFERROR(VLOOKUP(MID(G44,H44,I44-H44),[6]skilldef!$A:$B,2,FALSE),"-")</f>
        <v>- / 連続攻撃</v>
      </c>
      <c r="M44" s="51" t="str">
        <f t="shared" si="5"/>
        <v>none</v>
      </c>
      <c r="N44" s="36" t="str">
        <f t="shared" si="6"/>
        <v>none</v>
      </c>
      <c r="O44" s="51" t="e">
        <f t="shared" si="7"/>
        <v>#VALUE!</v>
      </c>
      <c r="P44" s="51">
        <f t="shared" si="8"/>
        <v>4</v>
      </c>
      <c r="Q44" s="51" t="e">
        <f t="shared" si="9"/>
        <v>#VALUE!</v>
      </c>
      <c r="R44" s="51" t="e">
        <f t="shared" si="10"/>
        <v>#VALUE!</v>
      </c>
      <c r="S44" s="51" t="str">
        <f>IFERROR(VLOOKUP(MID(N44,Q44,R44-Q44),[6]skilldef!$C:$D,2,FALSE),"-") &amp; " / " &amp; IFERROR(VLOOKUP(MID(N44,O44,P44-O44),[6]skilldef!$A:$B,2,FALSE),"-")</f>
        <v>- / -</v>
      </c>
      <c r="T44" s="36" t="str">
        <f t="shared" si="11"/>
        <v>none</v>
      </c>
      <c r="U44" s="51" t="e">
        <f t="shared" si="12"/>
        <v>#VALUE!</v>
      </c>
      <c r="V44" s="51">
        <f t="shared" si="13"/>
        <v>4</v>
      </c>
      <c r="W44" s="51" t="e">
        <f t="shared" si="14"/>
        <v>#VALUE!</v>
      </c>
      <c r="X44" s="51" t="e">
        <f t="shared" si="15"/>
        <v>#VALUE!</v>
      </c>
      <c r="Y44" s="51" t="str">
        <f>IFERROR(VLOOKUP(MID(T44,W44,X44-W44),[6]skilldef!$C:$D,2,FALSE),"-") &amp; " / " &amp; IFERROR(VLOOKUP(MID(T44,U44,V44-U44),[6]skilldef!$A:$B,2,FALSE),"-")</f>
        <v>- / -</v>
      </c>
      <c r="Z44" s="38"/>
      <c r="AA44" s="40"/>
      <c r="AB44" s="38"/>
    </row>
    <row r="45" spans="1:28" ht="21" customHeight="1" x14ac:dyDescent="0.15">
      <c r="A45" s="35">
        <v>49002043</v>
      </c>
      <c r="B45" s="35" t="s">
        <v>335</v>
      </c>
      <c r="C45" s="38">
        <v>3</v>
      </c>
      <c r="D45" s="38" t="s">
        <v>128</v>
      </c>
      <c r="E45" s="39" t="s">
        <v>315</v>
      </c>
      <c r="F45" s="39" t="s">
        <v>326</v>
      </c>
      <c r="G45" s="51" t="str">
        <f t="shared" si="0"/>
        <v>[effect:enemy_message, val1:1, val2:0, dead_type:suicide]</v>
      </c>
      <c r="H45" s="51">
        <f t="shared" si="1"/>
        <v>9</v>
      </c>
      <c r="I45" s="51">
        <f t="shared" si="2"/>
        <v>22</v>
      </c>
      <c r="J45" s="51" t="e">
        <f t="shared" si="3"/>
        <v>#VALUE!</v>
      </c>
      <c r="K45" s="51">
        <f t="shared" si="4"/>
        <v>30</v>
      </c>
      <c r="L45" s="51" t="str">
        <f>IFERROR(VLOOKUP(MID(G45,J45,K45-J45),[6]skilldef!$C:$D,2,FALSE),"-") &amp; " / " &amp; IFERROR(VLOOKUP(MID(G45,H45,I45-H45),[6]skilldef!$A:$B,2,FALSE),"-")</f>
        <v>- / -</v>
      </c>
      <c r="M45" s="51" t="str">
        <f t="shared" si="5"/>
        <v>none</v>
      </c>
      <c r="N45" s="36" t="str">
        <f t="shared" si="6"/>
        <v>none</v>
      </c>
      <c r="O45" s="51" t="e">
        <f t="shared" si="7"/>
        <v>#VALUE!</v>
      </c>
      <c r="P45" s="51">
        <f t="shared" si="8"/>
        <v>4</v>
      </c>
      <c r="Q45" s="51" t="e">
        <f t="shared" si="9"/>
        <v>#VALUE!</v>
      </c>
      <c r="R45" s="51" t="e">
        <f t="shared" si="10"/>
        <v>#VALUE!</v>
      </c>
      <c r="S45" s="51" t="str">
        <f>IFERROR(VLOOKUP(MID(N45,Q45,R45-Q45),[6]skilldef!$C:$D,2,FALSE),"-") &amp; " / " &amp; IFERROR(VLOOKUP(MID(N45,O45,P45-O45),[6]skilldef!$A:$B,2,FALSE),"-")</f>
        <v>- / -</v>
      </c>
      <c r="T45" s="36" t="str">
        <f t="shared" si="11"/>
        <v>none</v>
      </c>
      <c r="U45" s="51" t="e">
        <f t="shared" si="12"/>
        <v>#VALUE!</v>
      </c>
      <c r="V45" s="51">
        <f t="shared" si="13"/>
        <v>4</v>
      </c>
      <c r="W45" s="51" t="e">
        <f t="shared" si="14"/>
        <v>#VALUE!</v>
      </c>
      <c r="X45" s="51" t="e">
        <f t="shared" si="15"/>
        <v>#VALUE!</v>
      </c>
      <c r="Y45" s="51" t="str">
        <f>IFERROR(VLOOKUP(MID(T45,W45,X45-W45),[6]skilldef!$C:$D,2,FALSE),"-") &amp; " / " &amp; IFERROR(VLOOKUP(MID(T45,U45,V45-U45),[6]skilldef!$A:$B,2,FALSE),"-")</f>
        <v>- / -</v>
      </c>
      <c r="Z45" s="38"/>
      <c r="AA45" s="40"/>
      <c r="AB45" s="38"/>
    </row>
    <row r="46" spans="1:28" ht="21" customHeight="1" x14ac:dyDescent="0.15">
      <c r="A46" s="35">
        <v>49002044</v>
      </c>
      <c r="B46" s="35" t="s">
        <v>251</v>
      </c>
      <c r="C46" s="38">
        <v>3</v>
      </c>
      <c r="D46" s="38" t="s">
        <v>128</v>
      </c>
      <c r="E46" s="39" t="s">
        <v>316</v>
      </c>
      <c r="F46" s="39" t="s">
        <v>231</v>
      </c>
      <c r="G46" s="51" t="str">
        <f t="shared" si="0"/>
        <v>[effect:suicide, val:0.1, dead_type:suicide, target:myself, animation:enemy_suicide]</v>
      </c>
      <c r="H46" s="51">
        <f t="shared" si="1"/>
        <v>9</v>
      </c>
      <c r="I46" s="51">
        <f t="shared" si="2"/>
        <v>16</v>
      </c>
      <c r="J46" s="51">
        <f t="shared" si="3"/>
        <v>53</v>
      </c>
      <c r="K46" s="51">
        <f t="shared" si="4"/>
        <v>25</v>
      </c>
      <c r="L46" s="51" t="str">
        <f>IFERROR(VLOOKUP(MID(G46,J46,K46-J46),[6]skilldef!$C:$D,2,FALSE),"-") &amp; " / " &amp; IFERROR(VLOOKUP(MID(G46,H46,I46-H46),[6]skilldef!$A:$B,2,FALSE),"-")</f>
        <v>- / -</v>
      </c>
      <c r="M46" s="51" t="str">
        <f t="shared" si="5"/>
        <v>[effect:rush, count:10, val:0.1]</v>
      </c>
      <c r="N46" s="36" t="str">
        <f t="shared" si="6"/>
        <v>[effect:rush, count:10, val:0.1]</v>
      </c>
      <c r="O46" s="51">
        <f t="shared" si="7"/>
        <v>9</v>
      </c>
      <c r="P46" s="51">
        <f t="shared" si="8"/>
        <v>13</v>
      </c>
      <c r="Q46" s="51" t="e">
        <f t="shared" si="9"/>
        <v>#VALUE!</v>
      </c>
      <c r="R46" s="51">
        <f t="shared" si="10"/>
        <v>23</v>
      </c>
      <c r="S46" s="51" t="str">
        <f>IFERROR(VLOOKUP(MID(N46,Q46,R46-Q46),[6]skilldef!$C:$D,2,FALSE),"-") &amp; " / " &amp; IFERROR(VLOOKUP(MID(N46,O46,P46-O46),[6]skilldef!$A:$B,2,FALSE),"-")</f>
        <v>- / 連続攻撃</v>
      </c>
      <c r="T46" s="36" t="str">
        <f t="shared" si="11"/>
        <v>none</v>
      </c>
      <c r="U46" s="51" t="e">
        <f t="shared" si="12"/>
        <v>#VALUE!</v>
      </c>
      <c r="V46" s="51">
        <f t="shared" si="13"/>
        <v>4</v>
      </c>
      <c r="W46" s="51" t="e">
        <f t="shared" si="14"/>
        <v>#VALUE!</v>
      </c>
      <c r="X46" s="51" t="e">
        <f t="shared" si="15"/>
        <v>#VALUE!</v>
      </c>
      <c r="Y46" s="51" t="str">
        <f>IFERROR(VLOOKUP(MID(T46,W46,X46-W46),[6]skilldef!$C:$D,2,FALSE),"-") &amp; " / " &amp; IFERROR(VLOOKUP(MID(T46,U46,V46-U46),[6]skilldef!$A:$B,2,FALSE),"-")</f>
        <v>- / -</v>
      </c>
      <c r="Z46" s="38"/>
      <c r="AA46" s="40"/>
      <c r="AB46" s="38"/>
    </row>
    <row r="47" spans="1:28" ht="21" customHeight="1" x14ac:dyDescent="0.15">
      <c r="A47" s="35">
        <v>49002045</v>
      </c>
      <c r="B47" s="35" t="s">
        <v>238</v>
      </c>
      <c r="C47" s="38">
        <v>3</v>
      </c>
      <c r="D47" s="38" t="s">
        <v>128</v>
      </c>
      <c r="E47" s="39" t="s">
        <v>225</v>
      </c>
      <c r="F47" s="39" t="s">
        <v>214</v>
      </c>
      <c r="G47" s="51" t="str">
        <f t="shared" si="0"/>
        <v>[effect:nothing]</v>
      </c>
      <c r="H47" s="51">
        <f t="shared" si="1"/>
        <v>9</v>
      </c>
      <c r="I47" s="51">
        <f t="shared" si="2"/>
        <v>16</v>
      </c>
      <c r="J47" s="51" t="e">
        <f t="shared" si="3"/>
        <v>#VALUE!</v>
      </c>
      <c r="K47" s="51" t="e">
        <f t="shared" si="4"/>
        <v>#VALUE!</v>
      </c>
      <c r="L47" s="51" t="str">
        <f>IFERROR(VLOOKUP(MID(G47,J47,K47-J47),[6]skilldef!$C:$D,2,FALSE),"-") &amp; " / " &amp; IFERROR(VLOOKUP(MID(G47,H47,I47-H47),[6]skilldef!$A:$B,2,FALSE),"-")</f>
        <v>- / 何もしない</v>
      </c>
      <c r="M47" s="51" t="str">
        <f t="shared" si="5"/>
        <v>none</v>
      </c>
      <c r="N47" s="36" t="str">
        <f t="shared" si="6"/>
        <v>none</v>
      </c>
      <c r="O47" s="51" t="e">
        <f t="shared" si="7"/>
        <v>#VALUE!</v>
      </c>
      <c r="P47" s="51">
        <f t="shared" si="8"/>
        <v>4</v>
      </c>
      <c r="Q47" s="51" t="e">
        <f t="shared" si="9"/>
        <v>#VALUE!</v>
      </c>
      <c r="R47" s="51" t="e">
        <f t="shared" si="10"/>
        <v>#VALUE!</v>
      </c>
      <c r="S47" s="51" t="str">
        <f>IFERROR(VLOOKUP(MID(N47,Q47,R47-Q47),[6]skilldef!$C:$D,2,FALSE),"-") &amp; " / " &amp; IFERROR(VLOOKUP(MID(N47,O47,P47-O47),[6]skilldef!$A:$B,2,FALSE),"-")</f>
        <v>- / -</v>
      </c>
      <c r="T47" s="36" t="str">
        <f t="shared" si="11"/>
        <v>none</v>
      </c>
      <c r="U47" s="51" t="e">
        <f t="shared" si="12"/>
        <v>#VALUE!</v>
      </c>
      <c r="V47" s="51">
        <f t="shared" si="13"/>
        <v>4</v>
      </c>
      <c r="W47" s="51" t="e">
        <f t="shared" si="14"/>
        <v>#VALUE!</v>
      </c>
      <c r="X47" s="51" t="e">
        <f t="shared" si="15"/>
        <v>#VALUE!</v>
      </c>
      <c r="Y47" s="51" t="str">
        <f>IFERROR(VLOOKUP(MID(T47,W47,X47-W47),[6]skilldef!$C:$D,2,FALSE),"-") &amp; " / " &amp; IFERROR(VLOOKUP(MID(T47,U47,V47-U47),[6]skilldef!$A:$B,2,FALSE),"-")</f>
        <v>- / -</v>
      </c>
      <c r="Z47" s="38"/>
      <c r="AA47" s="40"/>
      <c r="AB47" s="38"/>
    </row>
    <row r="48" spans="1:28" ht="21" customHeight="1" x14ac:dyDescent="0.15">
      <c r="A48" s="35">
        <v>49002046</v>
      </c>
      <c r="B48" s="35" t="s">
        <v>238</v>
      </c>
      <c r="C48" s="38">
        <v>3</v>
      </c>
      <c r="D48" s="38" t="s">
        <v>128</v>
      </c>
      <c r="E48" s="39" t="s">
        <v>225</v>
      </c>
      <c r="F48" s="39" t="s">
        <v>214</v>
      </c>
      <c r="G48" s="51" t="str">
        <f t="shared" si="0"/>
        <v>[effect:nothing]</v>
      </c>
      <c r="H48" s="51">
        <f t="shared" si="1"/>
        <v>9</v>
      </c>
      <c r="I48" s="51">
        <f t="shared" si="2"/>
        <v>16</v>
      </c>
      <c r="J48" s="51" t="e">
        <f t="shared" si="3"/>
        <v>#VALUE!</v>
      </c>
      <c r="K48" s="51" t="e">
        <f t="shared" si="4"/>
        <v>#VALUE!</v>
      </c>
      <c r="L48" s="51" t="str">
        <f>IFERROR(VLOOKUP(MID(G48,J48,K48-J48),[6]skilldef!$C:$D,2,FALSE),"-") &amp; " / " &amp; IFERROR(VLOOKUP(MID(G48,H48,I48-H48),[6]skilldef!$A:$B,2,FALSE),"-")</f>
        <v>- / 何もしない</v>
      </c>
      <c r="M48" s="51" t="str">
        <f t="shared" si="5"/>
        <v>none</v>
      </c>
      <c r="N48" s="36" t="str">
        <f t="shared" si="6"/>
        <v>none</v>
      </c>
      <c r="O48" s="51" t="e">
        <f t="shared" si="7"/>
        <v>#VALUE!</v>
      </c>
      <c r="P48" s="51">
        <f t="shared" si="8"/>
        <v>4</v>
      </c>
      <c r="Q48" s="51" t="e">
        <f t="shared" si="9"/>
        <v>#VALUE!</v>
      </c>
      <c r="R48" s="51" t="e">
        <f t="shared" si="10"/>
        <v>#VALUE!</v>
      </c>
      <c r="S48" s="51" t="str">
        <f>IFERROR(VLOOKUP(MID(N48,Q48,R48-Q48),[6]skilldef!$C:$D,2,FALSE),"-") &amp; " / " &amp; IFERROR(VLOOKUP(MID(N48,O48,P48-O48),[6]skilldef!$A:$B,2,FALSE),"-")</f>
        <v>- / -</v>
      </c>
      <c r="T48" s="36" t="str">
        <f t="shared" si="11"/>
        <v>none</v>
      </c>
      <c r="U48" s="51" t="e">
        <f t="shared" si="12"/>
        <v>#VALUE!</v>
      </c>
      <c r="V48" s="51">
        <f t="shared" si="13"/>
        <v>4</v>
      </c>
      <c r="W48" s="51" t="e">
        <f t="shared" si="14"/>
        <v>#VALUE!</v>
      </c>
      <c r="X48" s="51" t="e">
        <f t="shared" si="15"/>
        <v>#VALUE!</v>
      </c>
      <c r="Y48" s="51" t="str">
        <f>IFERROR(VLOOKUP(MID(T48,W48,X48-W48),[6]skilldef!$C:$D,2,FALSE),"-") &amp; " / " &amp; IFERROR(VLOOKUP(MID(T48,U48,V48-U48),[6]skilldef!$A:$B,2,FALSE),"-")</f>
        <v>- / -</v>
      </c>
      <c r="Z48" s="38"/>
      <c r="AA48" s="40"/>
      <c r="AB48" s="38"/>
    </row>
    <row r="49" spans="1:28" ht="21" customHeight="1" x14ac:dyDescent="0.15">
      <c r="A49" s="35">
        <v>49002047</v>
      </c>
      <c r="B49" s="35" t="s">
        <v>238</v>
      </c>
      <c r="C49" s="38">
        <v>3</v>
      </c>
      <c r="D49" s="38" t="s">
        <v>128</v>
      </c>
      <c r="E49" s="39" t="s">
        <v>225</v>
      </c>
      <c r="F49" s="39" t="s">
        <v>214</v>
      </c>
      <c r="G49" s="51" t="str">
        <f t="shared" si="0"/>
        <v>[effect:nothing]</v>
      </c>
      <c r="H49" s="51">
        <f t="shared" si="1"/>
        <v>9</v>
      </c>
      <c r="I49" s="51">
        <f t="shared" si="2"/>
        <v>16</v>
      </c>
      <c r="J49" s="51" t="e">
        <f t="shared" si="3"/>
        <v>#VALUE!</v>
      </c>
      <c r="K49" s="51" t="e">
        <f t="shared" si="4"/>
        <v>#VALUE!</v>
      </c>
      <c r="L49" s="51" t="str">
        <f>IFERROR(VLOOKUP(MID(G49,J49,K49-J49),[6]skilldef!$C:$D,2,FALSE),"-") &amp; " / " &amp; IFERROR(VLOOKUP(MID(G49,H49,I49-H49),[6]skilldef!$A:$B,2,FALSE),"-")</f>
        <v>- / 何もしない</v>
      </c>
      <c r="M49" s="51" t="str">
        <f t="shared" si="5"/>
        <v>none</v>
      </c>
      <c r="N49" s="36" t="str">
        <f t="shared" si="6"/>
        <v>none</v>
      </c>
      <c r="O49" s="51" t="e">
        <f t="shared" si="7"/>
        <v>#VALUE!</v>
      </c>
      <c r="P49" s="51">
        <f t="shared" si="8"/>
        <v>4</v>
      </c>
      <c r="Q49" s="51" t="e">
        <f t="shared" si="9"/>
        <v>#VALUE!</v>
      </c>
      <c r="R49" s="51" t="e">
        <f t="shared" si="10"/>
        <v>#VALUE!</v>
      </c>
      <c r="S49" s="51" t="str">
        <f>IFERROR(VLOOKUP(MID(N49,Q49,R49-Q49),[6]skilldef!$C:$D,2,FALSE),"-") &amp; " / " &amp; IFERROR(VLOOKUP(MID(N49,O49,P49-O49),[6]skilldef!$A:$B,2,FALSE),"-")</f>
        <v>- / -</v>
      </c>
      <c r="T49" s="36" t="str">
        <f t="shared" si="11"/>
        <v>none</v>
      </c>
      <c r="U49" s="51" t="e">
        <f t="shared" si="12"/>
        <v>#VALUE!</v>
      </c>
      <c r="V49" s="51">
        <f t="shared" si="13"/>
        <v>4</v>
      </c>
      <c r="W49" s="51" t="e">
        <f t="shared" si="14"/>
        <v>#VALUE!</v>
      </c>
      <c r="X49" s="51" t="e">
        <f t="shared" si="15"/>
        <v>#VALUE!</v>
      </c>
      <c r="Y49" s="51" t="str">
        <f>IFERROR(VLOOKUP(MID(T49,W49,X49-W49),[6]skilldef!$C:$D,2,FALSE),"-") &amp; " / " &amp; IFERROR(VLOOKUP(MID(T49,U49,V49-U49),[6]skilldef!$A:$B,2,FALSE),"-")</f>
        <v>- / -</v>
      </c>
      <c r="Z49" s="38"/>
      <c r="AA49" s="40"/>
      <c r="AB49" s="38"/>
    </row>
    <row r="50" spans="1:28" ht="21" customHeight="1" x14ac:dyDescent="0.15">
      <c r="A50" s="35">
        <v>49002048</v>
      </c>
      <c r="B50" s="35" t="s">
        <v>238</v>
      </c>
      <c r="C50" s="38">
        <v>3</v>
      </c>
      <c r="D50" s="38" t="s">
        <v>128</v>
      </c>
      <c r="E50" s="39" t="s">
        <v>225</v>
      </c>
      <c r="F50" s="39" t="s">
        <v>214</v>
      </c>
      <c r="G50" s="51" t="str">
        <f t="shared" si="0"/>
        <v>[effect:nothing]</v>
      </c>
      <c r="H50" s="51">
        <f t="shared" si="1"/>
        <v>9</v>
      </c>
      <c r="I50" s="51">
        <f t="shared" si="2"/>
        <v>16</v>
      </c>
      <c r="J50" s="51" t="e">
        <f t="shared" si="3"/>
        <v>#VALUE!</v>
      </c>
      <c r="K50" s="51" t="e">
        <f t="shared" si="4"/>
        <v>#VALUE!</v>
      </c>
      <c r="L50" s="51" t="str">
        <f>IFERROR(VLOOKUP(MID(G50,J50,K50-J50),[6]skilldef!$C:$D,2,FALSE),"-") &amp; " / " &amp; IFERROR(VLOOKUP(MID(G50,H50,I50-H50),[6]skilldef!$A:$B,2,FALSE),"-")</f>
        <v>- / 何もしない</v>
      </c>
      <c r="M50" s="51" t="str">
        <f t="shared" si="5"/>
        <v>none</v>
      </c>
      <c r="N50" s="36" t="str">
        <f t="shared" si="6"/>
        <v>none</v>
      </c>
      <c r="O50" s="51" t="e">
        <f t="shared" si="7"/>
        <v>#VALUE!</v>
      </c>
      <c r="P50" s="51">
        <f t="shared" si="8"/>
        <v>4</v>
      </c>
      <c r="Q50" s="51" t="e">
        <f t="shared" si="9"/>
        <v>#VALUE!</v>
      </c>
      <c r="R50" s="51" t="e">
        <f t="shared" si="10"/>
        <v>#VALUE!</v>
      </c>
      <c r="S50" s="51" t="str">
        <f>IFERROR(VLOOKUP(MID(N50,Q50,R50-Q50),[6]skilldef!$C:$D,2,FALSE),"-") &amp; " / " &amp; IFERROR(VLOOKUP(MID(N50,O50,P50-O50),[6]skilldef!$A:$B,2,FALSE),"-")</f>
        <v>- / -</v>
      </c>
      <c r="T50" s="36" t="str">
        <f t="shared" si="11"/>
        <v>none</v>
      </c>
      <c r="U50" s="51" t="e">
        <f t="shared" si="12"/>
        <v>#VALUE!</v>
      </c>
      <c r="V50" s="51">
        <f t="shared" si="13"/>
        <v>4</v>
      </c>
      <c r="W50" s="51" t="e">
        <f t="shared" si="14"/>
        <v>#VALUE!</v>
      </c>
      <c r="X50" s="51" t="e">
        <f t="shared" si="15"/>
        <v>#VALUE!</v>
      </c>
      <c r="Y50" s="51" t="str">
        <f>IFERROR(VLOOKUP(MID(T50,W50,X50-W50),[6]skilldef!$C:$D,2,FALSE),"-") &amp; " / " &amp; IFERROR(VLOOKUP(MID(T50,U50,V50-U50),[6]skilldef!$A:$B,2,FALSE),"-")</f>
        <v>- / -</v>
      </c>
      <c r="Z50" s="38"/>
      <c r="AA50" s="40"/>
      <c r="AB50" s="38"/>
    </row>
    <row r="51" spans="1:28" ht="21" customHeight="1" x14ac:dyDescent="0.15">
      <c r="A51" s="35">
        <v>49002049</v>
      </c>
      <c r="B51" s="35" t="s">
        <v>238</v>
      </c>
      <c r="C51" s="38">
        <v>3</v>
      </c>
      <c r="D51" s="38" t="s">
        <v>128</v>
      </c>
      <c r="E51" s="39" t="s">
        <v>225</v>
      </c>
      <c r="F51" s="39" t="s">
        <v>214</v>
      </c>
      <c r="G51" s="51" t="str">
        <f t="shared" si="0"/>
        <v>[effect:nothing]</v>
      </c>
      <c r="H51" s="51">
        <f t="shared" si="1"/>
        <v>9</v>
      </c>
      <c r="I51" s="51">
        <f t="shared" si="2"/>
        <v>16</v>
      </c>
      <c r="J51" s="51" t="e">
        <f t="shared" si="3"/>
        <v>#VALUE!</v>
      </c>
      <c r="K51" s="51" t="e">
        <f t="shared" si="4"/>
        <v>#VALUE!</v>
      </c>
      <c r="L51" s="51" t="str">
        <f>IFERROR(VLOOKUP(MID(G51,J51,K51-J51),[6]skilldef!$C:$D,2,FALSE),"-") &amp; " / " &amp; IFERROR(VLOOKUP(MID(G51,H51,I51-H51),[6]skilldef!$A:$B,2,FALSE),"-")</f>
        <v>- / 何もしない</v>
      </c>
      <c r="M51" s="51" t="str">
        <f t="shared" si="5"/>
        <v>none</v>
      </c>
      <c r="N51" s="36" t="str">
        <f t="shared" si="6"/>
        <v>none</v>
      </c>
      <c r="O51" s="51" t="e">
        <f t="shared" si="7"/>
        <v>#VALUE!</v>
      </c>
      <c r="P51" s="51">
        <f t="shared" si="8"/>
        <v>4</v>
      </c>
      <c r="Q51" s="51" t="e">
        <f t="shared" si="9"/>
        <v>#VALUE!</v>
      </c>
      <c r="R51" s="51" t="e">
        <f t="shared" si="10"/>
        <v>#VALUE!</v>
      </c>
      <c r="S51" s="51" t="str">
        <f>IFERROR(VLOOKUP(MID(N51,Q51,R51-Q51),[6]skilldef!$C:$D,2,FALSE),"-") &amp; " / " &amp; IFERROR(VLOOKUP(MID(N51,O51,P51-O51),[6]skilldef!$A:$B,2,FALSE),"-")</f>
        <v>- / -</v>
      </c>
      <c r="T51" s="36" t="str">
        <f t="shared" si="11"/>
        <v>none</v>
      </c>
      <c r="U51" s="51" t="e">
        <f t="shared" si="12"/>
        <v>#VALUE!</v>
      </c>
      <c r="V51" s="51">
        <f t="shared" si="13"/>
        <v>4</v>
      </c>
      <c r="W51" s="51" t="e">
        <f t="shared" si="14"/>
        <v>#VALUE!</v>
      </c>
      <c r="X51" s="51" t="e">
        <f t="shared" si="15"/>
        <v>#VALUE!</v>
      </c>
      <c r="Y51" s="51" t="str">
        <f>IFERROR(VLOOKUP(MID(T51,W51,X51-W51),[6]skilldef!$C:$D,2,FALSE),"-") &amp; " / " &amp; IFERROR(VLOOKUP(MID(T51,U51,V51-U51),[6]skilldef!$A:$B,2,FALSE),"-")</f>
        <v>- / -</v>
      </c>
      <c r="Z51" s="38"/>
      <c r="AA51" s="40"/>
      <c r="AB51" s="38"/>
    </row>
    <row r="52" spans="1:28" s="91" customFormat="1" ht="21" customHeight="1" x14ac:dyDescent="0.15">
      <c r="A52" s="87">
        <v>49002050</v>
      </c>
      <c r="B52" s="87" t="s">
        <v>342</v>
      </c>
      <c r="C52" s="38">
        <v>3</v>
      </c>
      <c r="D52" s="88" t="s">
        <v>128</v>
      </c>
      <c r="E52" s="89" t="s">
        <v>329</v>
      </c>
      <c r="F52" s="89" t="s">
        <v>330</v>
      </c>
      <c r="G52" s="89" t="str">
        <f t="shared" si="0"/>
        <v>[effect:tolerance, target:myself, turn:-1, tolerance_effect:sleep, count:-1]</v>
      </c>
      <c r="H52" s="89">
        <f t="shared" si="1"/>
        <v>9</v>
      </c>
      <c r="I52" s="89">
        <f t="shared" si="2"/>
        <v>18</v>
      </c>
      <c r="J52" s="89">
        <f t="shared" si="3"/>
        <v>27</v>
      </c>
      <c r="K52" s="89">
        <f t="shared" si="4"/>
        <v>33</v>
      </c>
      <c r="L52" s="89" t="str">
        <f>IFERROR(VLOOKUP(MID(G52,J52,K52-J52),[6]skilldef!$C:$D,2,FALSE),"-") &amp; " / " &amp; IFERROR(VLOOKUP(MID(G52,H52,I52-H52),[6]skilldef!$A:$B,2,FALSE),"-")</f>
        <v>自分自身に / 状態異常耐性</v>
      </c>
      <c r="M52" s="89" t="str">
        <f t="shared" si="5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52" s="87" t="str">
        <f t="shared" si="6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52" s="89">
        <f t="shared" si="7"/>
        <v>9</v>
      </c>
      <c r="P52" s="89">
        <f t="shared" si="8"/>
        <v>18</v>
      </c>
      <c r="Q52" s="89">
        <f t="shared" si="9"/>
        <v>27</v>
      </c>
      <c r="R52" s="89">
        <f t="shared" si="10"/>
        <v>33</v>
      </c>
      <c r="S52" s="89" t="str">
        <f>IFERROR(VLOOKUP(MID(N52,Q52,R52-Q52),[6]skilldef!$C:$D,2,FALSE),"-") &amp; " / " &amp; IFERROR(VLOOKUP(MID(N52,O52,P52-O52),[6]skilldef!$A:$B,2,FALSE),"-")</f>
        <v>自分自身に / 状態異常耐性</v>
      </c>
      <c r="T52" s="87" t="str">
        <f t="shared" si="11"/>
        <v>[effect:tolerance, target:myself, turn:-1, tolerance_effect:hungup, count:-1, animation:enemy_tolerance],[effect:hungup, target:unit_all, turn:3, rate:1, animation:hungup01]</v>
      </c>
      <c r="U52" s="89">
        <f t="shared" si="12"/>
        <v>9</v>
      </c>
      <c r="V52" s="89">
        <f t="shared" si="13"/>
        <v>18</v>
      </c>
      <c r="W52" s="89">
        <f t="shared" si="14"/>
        <v>27</v>
      </c>
      <c r="X52" s="89">
        <f t="shared" si="15"/>
        <v>33</v>
      </c>
      <c r="Y52" s="89" t="str">
        <f>IFERROR(VLOOKUP(MID(T52,W52,X52-W52),[6]skilldef!$C:$D,2,FALSE),"-") &amp; " / " &amp; IFERROR(VLOOKUP(MID(T52,U52,V52-U52),[6]skilldef!$A:$B,2,FALSE),"-")</f>
        <v>自分自身に / 状態異常耐性</v>
      </c>
      <c r="Z52" s="88"/>
      <c r="AA52" s="90"/>
      <c r="AB52" s="88"/>
    </row>
    <row r="53" spans="1:28" ht="21" customHeight="1" x14ac:dyDescent="0.15">
      <c r="A53" s="35">
        <v>49002051</v>
      </c>
      <c r="B53" s="35" t="s">
        <v>243</v>
      </c>
      <c r="C53" s="38">
        <v>3</v>
      </c>
      <c r="D53" s="38" t="s">
        <v>128</v>
      </c>
      <c r="E53" s="39" t="s">
        <v>310</v>
      </c>
      <c r="F53" s="39" t="s">
        <v>232</v>
      </c>
      <c r="G53" s="51" t="str">
        <f t="shared" si="0"/>
        <v>[effect:critical, val:1.5]</v>
      </c>
      <c r="H53" s="51">
        <f t="shared" si="1"/>
        <v>9</v>
      </c>
      <c r="I53" s="51">
        <f t="shared" si="2"/>
        <v>17</v>
      </c>
      <c r="J53" s="51" t="e">
        <f t="shared" si="3"/>
        <v>#VALUE!</v>
      </c>
      <c r="K53" s="51" t="e">
        <f t="shared" si="4"/>
        <v>#VALUE!</v>
      </c>
      <c r="L53" s="51" t="str">
        <f>IFERROR(VLOOKUP(MID(G53,J53,K53-J53),[6]skilldef!$C:$D,2,FALSE),"-") &amp; " / " &amp; IFERROR(VLOOKUP(MID(G53,H53,I53-H53),[6]skilldef!$A:$B,2,FALSE),"-")</f>
        <v>- / 大攻撃</v>
      </c>
      <c r="M53" s="51" t="str">
        <f t="shared" si="5"/>
        <v>[effect:panel_freeze, target:block_heart, count:-1, break_count:1]</v>
      </c>
      <c r="N53" s="36" t="str">
        <f t="shared" si="6"/>
        <v>[effect:panel_freeze, target:block_heart, count:-1, break_count:1]</v>
      </c>
      <c r="O53" s="51">
        <f t="shared" si="7"/>
        <v>9</v>
      </c>
      <c r="P53" s="51">
        <f t="shared" si="8"/>
        <v>21</v>
      </c>
      <c r="Q53" s="51">
        <f t="shared" si="9"/>
        <v>30</v>
      </c>
      <c r="R53" s="51">
        <f t="shared" si="10"/>
        <v>41</v>
      </c>
      <c r="S53" s="51" t="str">
        <f>IFERROR(VLOOKUP(MID(N53,Q53,R53-Q53),[6]skilldef!$C:$D,2,FALSE),"-") &amp; " / " &amp; IFERROR(VLOOKUP(MID(N53,O53,P53-O53),[6]skilldef!$A:$B,2,FALSE),"-")</f>
        <v>ハートパネルを / -</v>
      </c>
      <c r="T53" s="36" t="str">
        <f t="shared" si="11"/>
        <v>none</v>
      </c>
      <c r="U53" s="51" t="e">
        <f t="shared" si="12"/>
        <v>#VALUE!</v>
      </c>
      <c r="V53" s="51">
        <f t="shared" si="13"/>
        <v>4</v>
      </c>
      <c r="W53" s="51" t="e">
        <f t="shared" si="14"/>
        <v>#VALUE!</v>
      </c>
      <c r="X53" s="51" t="e">
        <f t="shared" si="15"/>
        <v>#VALUE!</v>
      </c>
      <c r="Y53" s="51" t="str">
        <f>IFERROR(VLOOKUP(MID(T53,W53,X53-W53),[6]skilldef!$C:$D,2,FALSE),"-") &amp; " / " &amp; IFERROR(VLOOKUP(MID(T53,U53,V53-U53),[6]skilldef!$A:$B,2,FALSE),"-")</f>
        <v>- / -</v>
      </c>
      <c r="Z53" s="38"/>
      <c r="AA53" s="40"/>
      <c r="AB53" s="38"/>
    </row>
    <row r="54" spans="1:28" ht="21" customHeight="1" x14ac:dyDescent="0.15">
      <c r="A54" s="35">
        <v>49002052</v>
      </c>
      <c r="B54" s="35" t="s">
        <v>239</v>
      </c>
      <c r="C54" s="38">
        <v>3</v>
      </c>
      <c r="D54" s="38" t="s">
        <v>128</v>
      </c>
      <c r="E54" s="39" t="s">
        <v>311</v>
      </c>
      <c r="F54" s="39" t="s">
        <v>233</v>
      </c>
      <c r="G54" s="51" t="str">
        <f t="shared" si="0"/>
        <v>[effect:rush, count:3, val:0.4]</v>
      </c>
      <c r="H54" s="51">
        <f t="shared" si="1"/>
        <v>9</v>
      </c>
      <c r="I54" s="51">
        <f t="shared" si="2"/>
        <v>13</v>
      </c>
      <c r="J54" s="51" t="e">
        <f t="shared" si="3"/>
        <v>#VALUE!</v>
      </c>
      <c r="K54" s="51">
        <f t="shared" si="4"/>
        <v>22</v>
      </c>
      <c r="L54" s="51" t="str">
        <f>IFERROR(VLOOKUP(MID(G54,J54,K54-J54),[6]skilldef!$C:$D,2,FALSE),"-") &amp; " / " &amp; IFERROR(VLOOKUP(MID(G54,H54,I54-H54),[6]skilldef!$A:$B,2,FALSE),"-")</f>
        <v>- / 連続攻撃</v>
      </c>
      <c r="M54" s="51" t="str">
        <f t="shared" si="5"/>
        <v>none</v>
      </c>
      <c r="N54" s="36" t="str">
        <f t="shared" si="6"/>
        <v>none</v>
      </c>
      <c r="O54" s="51" t="e">
        <f t="shared" si="7"/>
        <v>#VALUE!</v>
      </c>
      <c r="P54" s="51">
        <f t="shared" si="8"/>
        <v>4</v>
      </c>
      <c r="Q54" s="51" t="e">
        <f t="shared" si="9"/>
        <v>#VALUE!</v>
      </c>
      <c r="R54" s="51" t="e">
        <f t="shared" si="10"/>
        <v>#VALUE!</v>
      </c>
      <c r="S54" s="51" t="str">
        <f>IFERROR(VLOOKUP(MID(N54,Q54,R54-Q54),[6]skilldef!$C:$D,2,FALSE),"-") &amp; " / " &amp; IFERROR(VLOOKUP(MID(N54,O54,P54-O54),[6]skilldef!$A:$B,2,FALSE),"-")</f>
        <v>- / -</v>
      </c>
      <c r="T54" s="36" t="str">
        <f t="shared" si="11"/>
        <v>none</v>
      </c>
      <c r="U54" s="51" t="e">
        <f t="shared" si="12"/>
        <v>#VALUE!</v>
      </c>
      <c r="V54" s="51">
        <f t="shared" si="13"/>
        <v>4</v>
      </c>
      <c r="W54" s="51" t="e">
        <f t="shared" si="14"/>
        <v>#VALUE!</v>
      </c>
      <c r="X54" s="51" t="e">
        <f t="shared" si="15"/>
        <v>#VALUE!</v>
      </c>
      <c r="Y54" s="51" t="str">
        <f>IFERROR(VLOOKUP(MID(T54,W54,X54-W54),[6]skilldef!$C:$D,2,FALSE),"-") &amp; " / " &amp; IFERROR(VLOOKUP(MID(T54,U54,V54-U54),[6]skilldef!$A:$B,2,FALSE),"-")</f>
        <v>- / -</v>
      </c>
      <c r="Z54" s="38"/>
      <c r="AA54" s="40"/>
      <c r="AB54" s="38"/>
    </row>
    <row r="55" spans="1:28" s="91" customFormat="1" ht="21" customHeight="1" x14ac:dyDescent="0.15">
      <c r="A55" s="87">
        <v>49002053</v>
      </c>
      <c r="B55" s="87" t="s">
        <v>266</v>
      </c>
      <c r="C55" s="38">
        <v>3</v>
      </c>
      <c r="D55" s="88" t="s">
        <v>128</v>
      </c>
      <c r="E55" s="89" t="s">
        <v>338</v>
      </c>
      <c r="F55" s="89" t="s">
        <v>330</v>
      </c>
      <c r="G55" s="89" t="str">
        <f t="shared" ref="G55:G58" si="16">IFERROR(LEFT(B55,FIND("],",B55)),B55)</f>
        <v>[effect:tolerance, target:myself, turn:-1, tolerance_effect:sleep, count:-1]</v>
      </c>
      <c r="H55" s="89">
        <f t="shared" ref="H55:H58" si="17">FIND("effect:",G55)+7</f>
        <v>9</v>
      </c>
      <c r="I55" s="89">
        <f t="shared" ref="I55:I58" si="18">IFERROR(FIND(",",G55),LEN(G55))</f>
        <v>18</v>
      </c>
      <c r="J55" s="89">
        <f t="shared" ref="J55:J58" si="19">FIND("target:",G55)+7</f>
        <v>27</v>
      </c>
      <c r="K55" s="89">
        <f t="shared" ref="K55:K58" si="20">FIND(",",G55,I55+1)</f>
        <v>33</v>
      </c>
      <c r="L55" s="89" t="str">
        <f>IFERROR(VLOOKUP(MID(G55,J55,K55-J55),[6]skilldef!$C:$D,2,FALSE),"-") &amp; " / " &amp; IFERROR(VLOOKUP(MID(G55,H55,I55-H55),[6]skilldef!$A:$B,2,FALSE),"-")</f>
        <v>自分自身に / 状態異常耐性</v>
      </c>
      <c r="M55" s="89" t="str">
        <f t="shared" ref="M55:M58" si="21">IFERROR(RIGHT(B55,LEN(B55)-FIND("],",B55)-1),"none")</f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55" s="87" t="str">
        <f t="shared" ref="N55:N58" si="22">IFERROR(LEFT(M55,FIND("],",M55)+S65),M55)</f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55" s="89">
        <f t="shared" ref="O55:O58" si="23">FIND("effect:",N55)+7</f>
        <v>9</v>
      </c>
      <c r="P55" s="89">
        <f t="shared" ref="P55:P58" si="24">IFERROR(FIND(",",N55),LEN(N55))</f>
        <v>18</v>
      </c>
      <c r="Q55" s="89">
        <f t="shared" ref="Q55:Q58" si="25">FIND("target:",N55)+7</f>
        <v>27</v>
      </c>
      <c r="R55" s="89">
        <f t="shared" ref="R55:R58" si="26">FIND(",",N55,P55+1)</f>
        <v>33</v>
      </c>
      <c r="S55" s="89" t="str">
        <f>IFERROR(VLOOKUP(MID(N55,Q55,R55-Q55),[6]skilldef!$C:$D,2,FALSE),"-") &amp; " / " &amp; IFERROR(VLOOKUP(MID(N55,O55,P55-O55),[6]skilldef!$A:$B,2,FALSE),"-")</f>
        <v>自分自身に / 状態異常耐性</v>
      </c>
      <c r="T55" s="87" t="str">
        <f t="shared" ref="T55:T58" si="27">IFERROR(RIGHT(M55,LEN(M55)-FIND("],",M55)-1),"none")</f>
        <v>[effect:tolerance, target:myself, turn:-1, tolerance_effect:hungup, count:-1, animation:enemy_tolerance],[effect:hungup, target:unit_all, turn:3, rate:1, animation:hungup01]</v>
      </c>
      <c r="U55" s="89">
        <f t="shared" ref="U55:U58" si="28">FIND("effect:",T55)+7</f>
        <v>9</v>
      </c>
      <c r="V55" s="89">
        <f t="shared" ref="V55:V58" si="29">IFERROR(FIND(",",T55),LEN(T55))</f>
        <v>18</v>
      </c>
      <c r="W55" s="89">
        <f t="shared" ref="W55:W58" si="30">FIND("target:",T55)+7</f>
        <v>27</v>
      </c>
      <c r="X55" s="89">
        <f t="shared" ref="X55:X58" si="31">FIND(",",T55,V55+1)</f>
        <v>33</v>
      </c>
      <c r="Y55" s="89" t="str">
        <f>IFERROR(VLOOKUP(MID(T55,W55,X55-W55),[6]skilldef!$C:$D,2,FALSE),"-") &amp; " / " &amp; IFERROR(VLOOKUP(MID(T55,U55,V55-U55),[6]skilldef!$A:$B,2,FALSE),"-")</f>
        <v>自分自身に / 状態異常耐性</v>
      </c>
      <c r="Z55" s="88"/>
      <c r="AA55" s="90"/>
      <c r="AB55" s="88"/>
    </row>
    <row r="56" spans="1:28" s="91" customFormat="1" ht="21" customHeight="1" x14ac:dyDescent="0.15">
      <c r="A56" s="87">
        <v>49002054</v>
      </c>
      <c r="B56" s="87" t="s">
        <v>266</v>
      </c>
      <c r="C56" s="38">
        <v>3</v>
      </c>
      <c r="D56" s="88" t="s">
        <v>128</v>
      </c>
      <c r="E56" s="89" t="s">
        <v>338</v>
      </c>
      <c r="F56" s="89" t="s">
        <v>330</v>
      </c>
      <c r="G56" s="89" t="str">
        <f t="shared" si="16"/>
        <v>[effect:tolerance, target:myself, turn:-1, tolerance_effect:sleep, count:-1]</v>
      </c>
      <c r="H56" s="89">
        <f t="shared" si="17"/>
        <v>9</v>
      </c>
      <c r="I56" s="89">
        <f t="shared" si="18"/>
        <v>18</v>
      </c>
      <c r="J56" s="89">
        <f t="shared" si="19"/>
        <v>27</v>
      </c>
      <c r="K56" s="89">
        <f t="shared" si="20"/>
        <v>33</v>
      </c>
      <c r="L56" s="89" t="str">
        <f>IFERROR(VLOOKUP(MID(G56,J56,K56-J56),[6]skilldef!$C:$D,2,FALSE),"-") &amp; " / " &amp; IFERROR(VLOOKUP(MID(G56,H56,I56-H56),[6]skilldef!$A:$B,2,FALSE),"-")</f>
        <v>自分自身に / 状態異常耐性</v>
      </c>
      <c r="M56" s="89" t="str">
        <f t="shared" si="21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56" s="87" t="str">
        <f t="shared" si="22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56" s="89">
        <f t="shared" si="23"/>
        <v>9</v>
      </c>
      <c r="P56" s="89">
        <f t="shared" si="24"/>
        <v>18</v>
      </c>
      <c r="Q56" s="89">
        <f t="shared" si="25"/>
        <v>27</v>
      </c>
      <c r="R56" s="89">
        <f t="shared" si="26"/>
        <v>33</v>
      </c>
      <c r="S56" s="89" t="str">
        <f>IFERROR(VLOOKUP(MID(N56,Q56,R56-Q56),[6]skilldef!$C:$D,2,FALSE),"-") &amp; " / " &amp; IFERROR(VLOOKUP(MID(N56,O56,P56-O56),[6]skilldef!$A:$B,2,FALSE),"-")</f>
        <v>自分自身に / 状態異常耐性</v>
      </c>
      <c r="T56" s="87" t="str">
        <f t="shared" si="27"/>
        <v>[effect:tolerance, target:myself, turn:-1, tolerance_effect:hungup, count:-1, animation:enemy_tolerance],[effect:hungup, target:unit_all, turn:3, rate:1, animation:hungup01]</v>
      </c>
      <c r="U56" s="89">
        <f t="shared" si="28"/>
        <v>9</v>
      </c>
      <c r="V56" s="89">
        <f t="shared" si="29"/>
        <v>18</v>
      </c>
      <c r="W56" s="89">
        <f t="shared" si="30"/>
        <v>27</v>
      </c>
      <c r="X56" s="89">
        <f t="shared" si="31"/>
        <v>33</v>
      </c>
      <c r="Y56" s="89" t="str">
        <f>IFERROR(VLOOKUP(MID(T56,W56,X56-W56),[6]skilldef!$C:$D,2,FALSE),"-") &amp; " / " &amp; IFERROR(VLOOKUP(MID(T56,U56,V56-U56),[6]skilldef!$A:$B,2,FALSE),"-")</f>
        <v>自分自身に / 状態異常耐性</v>
      </c>
      <c r="Z56" s="88"/>
      <c r="AA56" s="90"/>
      <c r="AB56" s="88"/>
    </row>
    <row r="57" spans="1:28" s="91" customFormat="1" ht="21" customHeight="1" x14ac:dyDescent="0.15">
      <c r="A57" s="87">
        <v>49002055</v>
      </c>
      <c r="B57" s="87" t="s">
        <v>266</v>
      </c>
      <c r="C57" s="38">
        <v>3</v>
      </c>
      <c r="D57" s="88" t="s">
        <v>128</v>
      </c>
      <c r="E57" s="89" t="s">
        <v>339</v>
      </c>
      <c r="F57" s="89" t="s">
        <v>330</v>
      </c>
      <c r="G57" s="89" t="str">
        <f t="shared" si="16"/>
        <v>[effect:tolerance, target:myself, turn:-1, tolerance_effect:sleep, count:-1]</v>
      </c>
      <c r="H57" s="89">
        <f t="shared" si="17"/>
        <v>9</v>
      </c>
      <c r="I57" s="89">
        <f t="shared" si="18"/>
        <v>18</v>
      </c>
      <c r="J57" s="89">
        <f t="shared" si="19"/>
        <v>27</v>
      </c>
      <c r="K57" s="89">
        <f t="shared" si="20"/>
        <v>33</v>
      </c>
      <c r="L57" s="89" t="str">
        <f>IFERROR(VLOOKUP(MID(G57,J57,K57-J57),[6]skilldef!$C:$D,2,FALSE),"-") &amp; " / " &amp; IFERROR(VLOOKUP(MID(G57,H57,I57-H57),[6]skilldef!$A:$B,2,FALSE),"-")</f>
        <v>自分自身に / 状態異常耐性</v>
      </c>
      <c r="M57" s="89" t="str">
        <f t="shared" si="21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57" s="87" t="str">
        <f t="shared" si="22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57" s="89">
        <f t="shared" si="23"/>
        <v>9</v>
      </c>
      <c r="P57" s="89">
        <f t="shared" si="24"/>
        <v>18</v>
      </c>
      <c r="Q57" s="89">
        <f t="shared" si="25"/>
        <v>27</v>
      </c>
      <c r="R57" s="89">
        <f t="shared" si="26"/>
        <v>33</v>
      </c>
      <c r="S57" s="89" t="str">
        <f>IFERROR(VLOOKUP(MID(N57,Q57,R57-Q57),[6]skilldef!$C:$D,2,FALSE),"-") &amp; " / " &amp; IFERROR(VLOOKUP(MID(N57,O57,P57-O57),[6]skilldef!$A:$B,2,FALSE),"-")</f>
        <v>自分自身に / 状態異常耐性</v>
      </c>
      <c r="T57" s="87" t="str">
        <f t="shared" si="27"/>
        <v>[effect:tolerance, target:myself, turn:-1, tolerance_effect:hungup, count:-1, animation:enemy_tolerance],[effect:hungup, target:unit_all, turn:3, rate:1, animation:hungup01]</v>
      </c>
      <c r="U57" s="89">
        <f t="shared" si="28"/>
        <v>9</v>
      </c>
      <c r="V57" s="89">
        <f t="shared" si="29"/>
        <v>18</v>
      </c>
      <c r="W57" s="89">
        <f t="shared" si="30"/>
        <v>27</v>
      </c>
      <c r="X57" s="89">
        <f t="shared" si="31"/>
        <v>33</v>
      </c>
      <c r="Y57" s="89" t="str">
        <f>IFERROR(VLOOKUP(MID(T57,W57,X57-W57),[6]skilldef!$C:$D,2,FALSE),"-") &amp; " / " &amp; IFERROR(VLOOKUP(MID(T57,U57,V57-U57),[6]skilldef!$A:$B,2,FALSE),"-")</f>
        <v>自分自身に / 状態異常耐性</v>
      </c>
      <c r="Z57" s="88"/>
      <c r="AA57" s="90"/>
      <c r="AB57" s="88"/>
    </row>
    <row r="58" spans="1:28" s="91" customFormat="1" ht="22" customHeight="1" x14ac:dyDescent="0.15">
      <c r="A58" s="87">
        <v>49002056</v>
      </c>
      <c r="B58" s="87" t="s">
        <v>266</v>
      </c>
      <c r="C58" s="38">
        <v>3</v>
      </c>
      <c r="D58" s="88" t="s">
        <v>128</v>
      </c>
      <c r="E58" s="89" t="s">
        <v>339</v>
      </c>
      <c r="F58" s="89" t="s">
        <v>330</v>
      </c>
      <c r="G58" s="89" t="str">
        <f t="shared" si="16"/>
        <v>[effect:tolerance, target:myself, turn:-1, tolerance_effect:sleep, count:-1]</v>
      </c>
      <c r="H58" s="89">
        <f t="shared" si="17"/>
        <v>9</v>
      </c>
      <c r="I58" s="89">
        <f t="shared" si="18"/>
        <v>18</v>
      </c>
      <c r="J58" s="89">
        <f t="shared" si="19"/>
        <v>27</v>
      </c>
      <c r="K58" s="89">
        <f t="shared" si="20"/>
        <v>33</v>
      </c>
      <c r="L58" s="89" t="str">
        <f>IFERROR(VLOOKUP(MID(G58,J58,K58-J58),[6]skilldef!$C:$D,2,FALSE),"-") &amp; " / " &amp; IFERROR(VLOOKUP(MID(G58,H58,I58-H58),[6]skilldef!$A:$B,2,FALSE),"-")</f>
        <v>自分自身に / 状態異常耐性</v>
      </c>
      <c r="M58" s="89" t="str">
        <f t="shared" si="21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58" s="87" t="str">
        <f t="shared" si="22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58" s="89">
        <f t="shared" si="23"/>
        <v>9</v>
      </c>
      <c r="P58" s="89">
        <f t="shared" si="24"/>
        <v>18</v>
      </c>
      <c r="Q58" s="89">
        <f t="shared" si="25"/>
        <v>27</v>
      </c>
      <c r="R58" s="89">
        <f t="shared" si="26"/>
        <v>33</v>
      </c>
      <c r="S58" s="89" t="str">
        <f>IFERROR(VLOOKUP(MID(N58,Q58,R58-Q58),[6]skilldef!$C:$D,2,FALSE),"-") &amp; " / " &amp; IFERROR(VLOOKUP(MID(N58,O58,P58-O58),[6]skilldef!$A:$B,2,FALSE),"-")</f>
        <v>自分自身に / 状態異常耐性</v>
      </c>
      <c r="T58" s="87" t="str">
        <f t="shared" si="27"/>
        <v>[effect:tolerance, target:myself, turn:-1, tolerance_effect:hungup, count:-1, animation:enemy_tolerance],[effect:hungup, target:unit_all, turn:3, rate:1, animation:hungup01]</v>
      </c>
      <c r="U58" s="89">
        <f t="shared" si="28"/>
        <v>9</v>
      </c>
      <c r="V58" s="89">
        <f t="shared" si="29"/>
        <v>18</v>
      </c>
      <c r="W58" s="89">
        <f t="shared" si="30"/>
        <v>27</v>
      </c>
      <c r="X58" s="89">
        <f t="shared" si="31"/>
        <v>33</v>
      </c>
      <c r="Y58" s="89" t="str">
        <f>IFERROR(VLOOKUP(MID(T58,W58,X58-W58),[6]skilldef!$C:$D,2,FALSE),"-") &amp; " / " &amp; IFERROR(VLOOKUP(MID(T58,U58,V58-U58),[6]skilldef!$A:$B,2,FALSE),"-")</f>
        <v>自分自身に / 状態異常耐性</v>
      </c>
      <c r="Z58" s="88"/>
      <c r="AA58" s="90"/>
      <c r="AB58" s="88"/>
    </row>
    <row r="59" spans="1:28" s="91" customFormat="1" ht="21" customHeight="1" x14ac:dyDescent="0.15">
      <c r="A59" s="87">
        <v>49002057</v>
      </c>
      <c r="B59" s="87" t="s">
        <v>266</v>
      </c>
      <c r="C59" s="38">
        <v>3</v>
      </c>
      <c r="D59" s="88" t="s">
        <v>128</v>
      </c>
      <c r="E59" s="89" t="s">
        <v>340</v>
      </c>
      <c r="F59" s="89" t="s">
        <v>330</v>
      </c>
      <c r="G59" s="89" t="str">
        <f t="shared" ref="G59:G61" si="32">IFERROR(LEFT(B59,FIND("],",B59)),B59)</f>
        <v>[effect:tolerance, target:myself, turn:-1, tolerance_effect:sleep, count:-1]</v>
      </c>
      <c r="H59" s="89">
        <f t="shared" ref="H59:H61" si="33">FIND("effect:",G59)+7</f>
        <v>9</v>
      </c>
      <c r="I59" s="89">
        <f t="shared" ref="I59:I61" si="34">IFERROR(FIND(",",G59),LEN(G59))</f>
        <v>18</v>
      </c>
      <c r="J59" s="89">
        <f t="shared" ref="J59:J61" si="35">FIND("target:",G59)+7</f>
        <v>27</v>
      </c>
      <c r="K59" s="89">
        <f t="shared" ref="K59:K61" si="36">FIND(",",G59,I59+1)</f>
        <v>33</v>
      </c>
      <c r="L59" s="89" t="str">
        <f>IFERROR(VLOOKUP(MID(G59,J59,K59-J59),[6]skilldef!$C:$D,2,FALSE),"-") &amp; " / " &amp; IFERROR(VLOOKUP(MID(G59,H59,I59-H59),[6]skilldef!$A:$B,2,FALSE),"-")</f>
        <v>自分自身に / 状態異常耐性</v>
      </c>
      <c r="M59" s="89" t="str">
        <f t="shared" ref="M59:M61" si="37">IFERROR(RIGHT(B59,LEN(B59)-FIND("],",B59)-1),"none")</f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59" s="87" t="str">
        <f t="shared" ref="N59:N61" si="38">IFERROR(LEFT(M59,FIND("],",M59)+S69),M59)</f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59" s="89">
        <f t="shared" ref="O59:O61" si="39">FIND("effect:",N59)+7</f>
        <v>9</v>
      </c>
      <c r="P59" s="89">
        <f t="shared" ref="P59:P61" si="40">IFERROR(FIND(",",N59),LEN(N59))</f>
        <v>18</v>
      </c>
      <c r="Q59" s="89">
        <f t="shared" ref="Q59:Q61" si="41">FIND("target:",N59)+7</f>
        <v>27</v>
      </c>
      <c r="R59" s="89">
        <f t="shared" ref="R59:R61" si="42">FIND(",",N59,P59+1)</f>
        <v>33</v>
      </c>
      <c r="S59" s="89" t="str">
        <f>IFERROR(VLOOKUP(MID(N59,Q59,R59-Q59),[6]skilldef!$C:$D,2,FALSE),"-") &amp; " / " &amp; IFERROR(VLOOKUP(MID(N59,O59,P59-O59),[6]skilldef!$A:$B,2,FALSE),"-")</f>
        <v>自分自身に / 状態異常耐性</v>
      </c>
      <c r="T59" s="87" t="str">
        <f t="shared" ref="T59:T61" si="43">IFERROR(RIGHT(M59,LEN(M59)-FIND("],",M59)-1),"none")</f>
        <v>[effect:tolerance, target:myself, turn:-1, tolerance_effect:hungup, count:-1, animation:enemy_tolerance],[effect:hungup, target:unit_all, turn:3, rate:1, animation:hungup01]</v>
      </c>
      <c r="U59" s="89">
        <f t="shared" ref="U59:U61" si="44">FIND("effect:",T59)+7</f>
        <v>9</v>
      </c>
      <c r="V59" s="89">
        <f t="shared" ref="V59:V61" si="45">IFERROR(FIND(",",T59),LEN(T59))</f>
        <v>18</v>
      </c>
      <c r="W59" s="89">
        <f t="shared" ref="W59:W61" si="46">FIND("target:",T59)+7</f>
        <v>27</v>
      </c>
      <c r="X59" s="89">
        <f t="shared" ref="X59:X61" si="47">FIND(",",T59,V59+1)</f>
        <v>33</v>
      </c>
      <c r="Y59" s="89" t="str">
        <f>IFERROR(VLOOKUP(MID(T59,W59,X59-W59),[6]skilldef!$C:$D,2,FALSE),"-") &amp; " / " &amp; IFERROR(VLOOKUP(MID(T59,U59,V59-U59),[6]skilldef!$A:$B,2,FALSE),"-")</f>
        <v>自分自身に / 状態異常耐性</v>
      </c>
      <c r="Z59" s="88"/>
      <c r="AA59" s="90"/>
      <c r="AB59" s="88"/>
    </row>
    <row r="60" spans="1:28" s="91" customFormat="1" ht="21" customHeight="1" x14ac:dyDescent="0.15">
      <c r="A60" s="87">
        <v>49002058</v>
      </c>
      <c r="B60" s="87" t="s">
        <v>266</v>
      </c>
      <c r="C60" s="38">
        <v>3</v>
      </c>
      <c r="D60" s="88" t="s">
        <v>128</v>
      </c>
      <c r="E60" s="89" t="s">
        <v>340</v>
      </c>
      <c r="F60" s="89" t="s">
        <v>330</v>
      </c>
      <c r="G60" s="89" t="str">
        <f t="shared" si="32"/>
        <v>[effect:tolerance, target:myself, turn:-1, tolerance_effect:sleep, count:-1]</v>
      </c>
      <c r="H60" s="89">
        <f t="shared" si="33"/>
        <v>9</v>
      </c>
      <c r="I60" s="89">
        <f t="shared" si="34"/>
        <v>18</v>
      </c>
      <c r="J60" s="89">
        <f t="shared" si="35"/>
        <v>27</v>
      </c>
      <c r="K60" s="89">
        <f t="shared" si="36"/>
        <v>33</v>
      </c>
      <c r="L60" s="89" t="str">
        <f>IFERROR(VLOOKUP(MID(G60,J60,K60-J60),[6]skilldef!$C:$D,2,FALSE),"-") &amp; " / " &amp; IFERROR(VLOOKUP(MID(G60,H60,I60-H60),[6]skilldef!$A:$B,2,FALSE),"-")</f>
        <v>自分自身に / 状態異常耐性</v>
      </c>
      <c r="M60" s="89" t="str">
        <f t="shared" si="37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60" s="87" t="str">
        <f t="shared" si="38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60" s="89">
        <f t="shared" si="39"/>
        <v>9</v>
      </c>
      <c r="P60" s="89">
        <f t="shared" si="40"/>
        <v>18</v>
      </c>
      <c r="Q60" s="89">
        <f t="shared" si="41"/>
        <v>27</v>
      </c>
      <c r="R60" s="89">
        <f t="shared" si="42"/>
        <v>33</v>
      </c>
      <c r="S60" s="89" t="str">
        <f>IFERROR(VLOOKUP(MID(N60,Q60,R60-Q60),[6]skilldef!$C:$D,2,FALSE),"-") &amp; " / " &amp; IFERROR(VLOOKUP(MID(N60,O60,P60-O60),[6]skilldef!$A:$B,2,FALSE),"-")</f>
        <v>自分自身に / 状態異常耐性</v>
      </c>
      <c r="T60" s="87" t="str">
        <f t="shared" si="43"/>
        <v>[effect:tolerance, target:myself, turn:-1, tolerance_effect:hungup, count:-1, animation:enemy_tolerance],[effect:hungup, target:unit_all, turn:3, rate:1, animation:hungup01]</v>
      </c>
      <c r="U60" s="89">
        <f t="shared" si="44"/>
        <v>9</v>
      </c>
      <c r="V60" s="89">
        <f t="shared" si="45"/>
        <v>18</v>
      </c>
      <c r="W60" s="89">
        <f t="shared" si="46"/>
        <v>27</v>
      </c>
      <c r="X60" s="89">
        <f t="shared" si="47"/>
        <v>33</v>
      </c>
      <c r="Y60" s="89" t="str">
        <f>IFERROR(VLOOKUP(MID(T60,W60,X60-W60),[6]skilldef!$C:$D,2,FALSE),"-") &amp; " / " &amp; IFERROR(VLOOKUP(MID(T60,U60,V60-U60),[6]skilldef!$A:$B,2,FALSE),"-")</f>
        <v>自分自身に / 状態異常耐性</v>
      </c>
      <c r="Z60" s="88"/>
      <c r="AA60" s="90"/>
      <c r="AB60" s="88"/>
    </row>
    <row r="61" spans="1:28" s="91" customFormat="1" ht="21" customHeight="1" x14ac:dyDescent="0.15">
      <c r="A61" s="87">
        <v>49002059</v>
      </c>
      <c r="B61" s="87" t="s">
        <v>266</v>
      </c>
      <c r="C61" s="38">
        <v>3</v>
      </c>
      <c r="D61" s="88" t="s">
        <v>128</v>
      </c>
      <c r="E61" s="89" t="s">
        <v>341</v>
      </c>
      <c r="F61" s="89" t="s">
        <v>330</v>
      </c>
      <c r="G61" s="89" t="str">
        <f t="shared" si="32"/>
        <v>[effect:tolerance, target:myself, turn:-1, tolerance_effect:sleep, count:-1]</v>
      </c>
      <c r="H61" s="89">
        <f t="shared" si="33"/>
        <v>9</v>
      </c>
      <c r="I61" s="89">
        <f t="shared" si="34"/>
        <v>18</v>
      </c>
      <c r="J61" s="89">
        <f t="shared" si="35"/>
        <v>27</v>
      </c>
      <c r="K61" s="89">
        <f t="shared" si="36"/>
        <v>33</v>
      </c>
      <c r="L61" s="89" t="str">
        <f>IFERROR(VLOOKUP(MID(G61,J61,K61-J61),[6]skilldef!$C:$D,2,FALSE),"-") &amp; " / " &amp; IFERROR(VLOOKUP(MID(G61,H61,I61-H61),[6]skilldef!$A:$B,2,FALSE),"-")</f>
        <v>自分自身に / 状態異常耐性</v>
      </c>
      <c r="M61" s="89" t="str">
        <f t="shared" si="37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61" s="87" t="str">
        <f t="shared" si="38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61" s="89">
        <f t="shared" si="39"/>
        <v>9</v>
      </c>
      <c r="P61" s="89">
        <f t="shared" si="40"/>
        <v>18</v>
      </c>
      <c r="Q61" s="89">
        <f t="shared" si="41"/>
        <v>27</v>
      </c>
      <c r="R61" s="89">
        <f t="shared" si="42"/>
        <v>33</v>
      </c>
      <c r="S61" s="89" t="str">
        <f>IFERROR(VLOOKUP(MID(N61,Q61,R61-Q61),[6]skilldef!$C:$D,2,FALSE),"-") &amp; " / " &amp; IFERROR(VLOOKUP(MID(N61,O61,P61-O61),[6]skilldef!$A:$B,2,FALSE),"-")</f>
        <v>自分自身に / 状態異常耐性</v>
      </c>
      <c r="T61" s="87" t="str">
        <f t="shared" si="43"/>
        <v>[effect:tolerance, target:myself, turn:-1, tolerance_effect:hungup, count:-1, animation:enemy_tolerance],[effect:hungup, target:unit_all, turn:3, rate:1, animation:hungup01]</v>
      </c>
      <c r="U61" s="89">
        <f t="shared" si="44"/>
        <v>9</v>
      </c>
      <c r="V61" s="89">
        <f t="shared" si="45"/>
        <v>18</v>
      </c>
      <c r="W61" s="89">
        <f t="shared" si="46"/>
        <v>27</v>
      </c>
      <c r="X61" s="89">
        <f t="shared" si="47"/>
        <v>33</v>
      </c>
      <c r="Y61" s="89" t="str">
        <f>IFERROR(VLOOKUP(MID(T61,W61,X61-W61),[6]skilldef!$C:$D,2,FALSE),"-") &amp; " / " &amp; IFERROR(VLOOKUP(MID(T61,U61,V61-U61),[6]skilldef!$A:$B,2,FALSE),"-")</f>
        <v>自分自身に / 状態異常耐性</v>
      </c>
      <c r="Z61" s="88"/>
      <c r="AA61" s="90"/>
      <c r="AB61" s="88"/>
    </row>
    <row r="62" spans="1:28" ht="21" customHeight="1" x14ac:dyDescent="0.15">
      <c r="A62" s="35">
        <v>49002060</v>
      </c>
      <c r="B62" s="35" t="s">
        <v>256</v>
      </c>
      <c r="C62" s="38">
        <v>3</v>
      </c>
      <c r="D62" s="38" t="s">
        <v>128</v>
      </c>
      <c r="E62" s="39" t="s">
        <v>331</v>
      </c>
      <c r="F62" s="39" t="s">
        <v>334</v>
      </c>
      <c r="G62" s="51" t="str">
        <f t="shared" si="0"/>
        <v>[effect:tolerance, target:myself, turn:-1, tolerance_effect:sleep, count:-1]</v>
      </c>
      <c r="H62" s="51">
        <f t="shared" si="1"/>
        <v>9</v>
      </c>
      <c r="I62" s="51">
        <f t="shared" si="2"/>
        <v>18</v>
      </c>
      <c r="J62" s="51">
        <f t="shared" si="3"/>
        <v>27</v>
      </c>
      <c r="K62" s="51">
        <f t="shared" si="4"/>
        <v>33</v>
      </c>
      <c r="L62" s="51" t="str">
        <f>IFERROR(VLOOKUP(MID(G62,J62,K62-J62),[6]skilldef!$C:$D,2,FALSE),"-") &amp; " / " &amp; IFERROR(VLOOKUP(MID(G62,H62,I62-H62),[6]skilldef!$A:$B,2,FALSE),"-")</f>
        <v>自分自身に / 状態異常耐性</v>
      </c>
      <c r="M62" s="51" t="str">
        <f t="shared" si="5"/>
        <v>[effect:tolerance, target:myself, turn:-1, tolerance_effect:virus, count:-1],[effect:tolerance, target:myself, turn:-1, tolerance_effect:hungup, count:-1, animation:enemy_tolerance],[effect:degrade_unit, target:unit_all, turn:3, status:attack, val:0.5, calc:mul]</v>
      </c>
      <c r="N62" s="36" t="str">
        <f t="shared" si="6"/>
        <v>[effect:tolerance, target:myself, turn:-1, tolerance_effect:virus, count:-1],[effect:tolerance, target:myself, turn:-1, tolerance_effect:hungup, count:-1, animation:enemy_tolerance],[effect:degrade_unit, target:unit_all, turn:3, status:attack, val:0.5, calc:mul]</v>
      </c>
      <c r="O62" s="51">
        <f t="shared" si="7"/>
        <v>9</v>
      </c>
      <c r="P62" s="51">
        <f t="shared" si="8"/>
        <v>18</v>
      </c>
      <c r="Q62" s="51">
        <f t="shared" si="9"/>
        <v>27</v>
      </c>
      <c r="R62" s="51">
        <f t="shared" si="10"/>
        <v>33</v>
      </c>
      <c r="S62" s="51" t="str">
        <f>IFERROR(VLOOKUP(MID(N62,Q62,R62-Q62),[6]skilldef!$C:$D,2,FALSE),"-") &amp; " / " &amp; IFERROR(VLOOKUP(MID(N62,O62,P62-O62),[6]skilldef!$A:$B,2,FALSE),"-")</f>
        <v>自分自身に / 状態異常耐性</v>
      </c>
      <c r="T62" s="36" t="str">
        <f t="shared" si="11"/>
        <v>[effect:tolerance, target:myself, turn:-1, tolerance_effect:hungup, count:-1, animation:enemy_tolerance],[effect:degrade_unit, target:unit_all, turn:3, status:attack, val:0.5, calc:mul]</v>
      </c>
      <c r="U62" s="51">
        <f t="shared" si="12"/>
        <v>9</v>
      </c>
      <c r="V62" s="51">
        <f t="shared" si="13"/>
        <v>18</v>
      </c>
      <c r="W62" s="51">
        <f t="shared" si="14"/>
        <v>27</v>
      </c>
      <c r="X62" s="51">
        <f t="shared" si="15"/>
        <v>33</v>
      </c>
      <c r="Y62" s="51" t="str">
        <f>IFERROR(VLOOKUP(MID(T62,W62,X62-W62),[6]skilldef!$C:$D,2,FALSE),"-") &amp; " / " &amp; IFERROR(VLOOKUP(MID(T62,U62,V62-U62),[6]skilldef!$A:$B,2,FALSE),"-")</f>
        <v>自分自身に / 状態異常耐性</v>
      </c>
      <c r="Z62" s="38"/>
      <c r="AA62" s="40"/>
      <c r="AB62" s="38"/>
    </row>
    <row r="63" spans="1:28" ht="21" customHeight="1" x14ac:dyDescent="0.15">
      <c r="A63" s="35">
        <v>49002061</v>
      </c>
      <c r="B63" s="35" t="s">
        <v>287</v>
      </c>
      <c r="C63" s="38">
        <v>3</v>
      </c>
      <c r="D63" s="38" t="s">
        <v>128</v>
      </c>
      <c r="E63" s="39" t="s">
        <v>308</v>
      </c>
      <c r="F63" s="39" t="s">
        <v>234</v>
      </c>
      <c r="G63" s="51" t="str">
        <f t="shared" si="0"/>
        <v>[effect:break_attack_fix, val:200, lowest_val:7000, count:-1, block:block_heart, target:unit_one]</v>
      </c>
      <c r="H63" s="51">
        <f t="shared" si="1"/>
        <v>9</v>
      </c>
      <c r="I63" s="51">
        <f t="shared" si="2"/>
        <v>25</v>
      </c>
      <c r="J63" s="51">
        <f t="shared" si="3"/>
        <v>89</v>
      </c>
      <c r="K63" s="51">
        <f t="shared" si="4"/>
        <v>34</v>
      </c>
      <c r="L63" s="51" t="str">
        <f>IFERROR(VLOOKUP(MID(G63,J63,K63-J63),[6]skilldef!$C:$D,2,FALSE),"-") &amp; " / " &amp; IFERROR(VLOOKUP(MID(G63,H63,I63-H63),[6]skilldef!$A:$B,2,FALSE),"-")</f>
        <v>- / -</v>
      </c>
      <c r="M63" s="51" t="str">
        <f t="shared" si="5"/>
        <v>none</v>
      </c>
      <c r="N63" s="36" t="str">
        <f t="shared" si="6"/>
        <v>none</v>
      </c>
      <c r="O63" s="51" t="e">
        <f t="shared" si="7"/>
        <v>#VALUE!</v>
      </c>
      <c r="P63" s="51">
        <f t="shared" si="8"/>
        <v>4</v>
      </c>
      <c r="Q63" s="51" t="e">
        <f t="shared" si="9"/>
        <v>#VALUE!</v>
      </c>
      <c r="R63" s="51" t="e">
        <f t="shared" si="10"/>
        <v>#VALUE!</v>
      </c>
      <c r="S63" s="51" t="str">
        <f>IFERROR(VLOOKUP(MID(N63,Q63,R63-Q63),[6]skilldef!$C:$D,2,FALSE),"-") &amp; " / " &amp; IFERROR(VLOOKUP(MID(N63,O63,P63-O63),[6]skilldef!$A:$B,2,FALSE),"-")</f>
        <v>- / -</v>
      </c>
      <c r="T63" s="36" t="str">
        <f t="shared" si="11"/>
        <v>none</v>
      </c>
      <c r="U63" s="51" t="e">
        <f t="shared" si="12"/>
        <v>#VALUE!</v>
      </c>
      <c r="V63" s="51">
        <f t="shared" si="13"/>
        <v>4</v>
      </c>
      <c r="W63" s="51" t="e">
        <f t="shared" si="14"/>
        <v>#VALUE!</v>
      </c>
      <c r="X63" s="51" t="e">
        <f t="shared" si="15"/>
        <v>#VALUE!</v>
      </c>
      <c r="Y63" s="51" t="str">
        <f>IFERROR(VLOOKUP(MID(T63,W63,X63-W63),[6]skilldef!$C:$D,2,FALSE),"-") &amp; " / " &amp; IFERROR(VLOOKUP(MID(T63,U63,V63-U63),[6]skilldef!$A:$B,2,FALSE),"-")</f>
        <v>- / -</v>
      </c>
      <c r="Z63" s="38"/>
      <c r="AA63" s="40"/>
      <c r="AB63" s="38"/>
    </row>
    <row r="64" spans="1:28" ht="21" customHeight="1" x14ac:dyDescent="0.15">
      <c r="A64" s="35">
        <v>49002062</v>
      </c>
      <c r="B64" s="35" t="s">
        <v>244</v>
      </c>
      <c r="C64" s="38">
        <v>3</v>
      </c>
      <c r="D64" s="38" t="s">
        <v>128</v>
      </c>
      <c r="E64" s="39" t="s">
        <v>309</v>
      </c>
      <c r="F64" s="39" t="s">
        <v>235</v>
      </c>
      <c r="G64" s="51" t="str">
        <f t="shared" si="0"/>
        <v>[effect:critical, val:1.5]</v>
      </c>
      <c r="H64" s="51">
        <f t="shared" si="1"/>
        <v>9</v>
      </c>
      <c r="I64" s="51">
        <f t="shared" si="2"/>
        <v>17</v>
      </c>
      <c r="J64" s="51" t="e">
        <f t="shared" si="3"/>
        <v>#VALUE!</v>
      </c>
      <c r="K64" s="51" t="e">
        <f t="shared" si="4"/>
        <v>#VALUE!</v>
      </c>
      <c r="L64" s="51" t="str">
        <f>IFERROR(VLOOKUP(MID(G64,J64,K64-J64),[6]skilldef!$C:$D,2,FALSE),"-") &amp; " / " &amp; IFERROR(VLOOKUP(MID(G64,H64,I64-H64),[6]skilldef!$A:$B,2,FALSE),"-")</f>
        <v>- / 大攻撃</v>
      </c>
      <c r="M64" s="51" t="str">
        <f t="shared" si="5"/>
        <v>none</v>
      </c>
      <c r="N64" s="36" t="str">
        <f t="shared" si="6"/>
        <v>none</v>
      </c>
      <c r="O64" s="51" t="e">
        <f t="shared" si="7"/>
        <v>#VALUE!</v>
      </c>
      <c r="P64" s="51">
        <f t="shared" si="8"/>
        <v>4</v>
      </c>
      <c r="Q64" s="51" t="e">
        <f t="shared" si="9"/>
        <v>#VALUE!</v>
      </c>
      <c r="R64" s="51" t="e">
        <f t="shared" si="10"/>
        <v>#VALUE!</v>
      </c>
      <c r="S64" s="51" t="str">
        <f>IFERROR(VLOOKUP(MID(N64,Q64,R64-Q64),[6]skilldef!$C:$D,2,FALSE),"-") &amp; " / " &amp; IFERROR(VLOOKUP(MID(N64,O64,P64-O64),[6]skilldef!$A:$B,2,FALSE),"-")</f>
        <v>- / -</v>
      </c>
      <c r="T64" s="36" t="str">
        <f t="shared" si="11"/>
        <v>none</v>
      </c>
      <c r="U64" s="51" t="e">
        <f t="shared" si="12"/>
        <v>#VALUE!</v>
      </c>
      <c r="V64" s="51">
        <f t="shared" si="13"/>
        <v>4</v>
      </c>
      <c r="W64" s="51" t="e">
        <f t="shared" si="14"/>
        <v>#VALUE!</v>
      </c>
      <c r="X64" s="51" t="e">
        <f t="shared" si="15"/>
        <v>#VALUE!</v>
      </c>
      <c r="Y64" s="51" t="str">
        <f>IFERROR(VLOOKUP(MID(T64,W64,X64-W64),[6]skilldef!$C:$D,2,FALSE),"-") &amp; " / " &amp; IFERROR(VLOOKUP(MID(T64,U64,V64-U64),[6]skilldef!$A:$B,2,FALSE),"-")</f>
        <v>- / -</v>
      </c>
      <c r="Z64" s="38"/>
      <c r="AA64" s="40"/>
      <c r="AB64" s="38"/>
    </row>
    <row r="65" spans="1:28" ht="21" customHeight="1" x14ac:dyDescent="0.15">
      <c r="A65" s="35">
        <v>49002063</v>
      </c>
      <c r="B65" s="35" t="s">
        <v>243</v>
      </c>
      <c r="C65" s="38">
        <v>3</v>
      </c>
      <c r="D65" s="38" t="s">
        <v>128</v>
      </c>
      <c r="E65" s="39" t="s">
        <v>305</v>
      </c>
      <c r="F65" s="39" t="s">
        <v>232</v>
      </c>
      <c r="G65" s="51" t="str">
        <f t="shared" si="0"/>
        <v>[effect:critical, val:1.5]</v>
      </c>
      <c r="H65" s="51">
        <f t="shared" si="1"/>
        <v>9</v>
      </c>
      <c r="I65" s="51">
        <f t="shared" si="2"/>
        <v>17</v>
      </c>
      <c r="J65" s="51" t="e">
        <f t="shared" si="3"/>
        <v>#VALUE!</v>
      </c>
      <c r="K65" s="51" t="e">
        <f t="shared" si="4"/>
        <v>#VALUE!</v>
      </c>
      <c r="L65" s="51" t="str">
        <f>IFERROR(VLOOKUP(MID(G65,J65,K65-J65),[6]skilldef!$C:$D,2,FALSE),"-") &amp; " / " &amp; IFERROR(VLOOKUP(MID(G65,H65,I65-H65),[6]skilldef!$A:$B,2,FALSE),"-")</f>
        <v>- / 大攻撃</v>
      </c>
      <c r="M65" s="51" t="str">
        <f t="shared" si="5"/>
        <v>[effect:panel_freeze, target:block_heart, count:-1, break_count:1]</v>
      </c>
      <c r="N65" s="36" t="str">
        <f t="shared" si="6"/>
        <v>[effect:panel_freeze, target:block_heart, count:-1, break_count:1]</v>
      </c>
      <c r="O65" s="51">
        <f t="shared" si="7"/>
        <v>9</v>
      </c>
      <c r="P65" s="51">
        <f t="shared" si="8"/>
        <v>21</v>
      </c>
      <c r="Q65" s="51">
        <f t="shared" si="9"/>
        <v>30</v>
      </c>
      <c r="R65" s="51">
        <f t="shared" si="10"/>
        <v>41</v>
      </c>
      <c r="S65" s="51" t="str">
        <f>IFERROR(VLOOKUP(MID(N65,Q65,R65-Q65),[6]skilldef!$C:$D,2,FALSE),"-") &amp; " / " &amp; IFERROR(VLOOKUP(MID(N65,O65,P65-O65),[6]skilldef!$A:$B,2,FALSE),"-")</f>
        <v>ハートパネルを / -</v>
      </c>
      <c r="T65" s="36" t="str">
        <f t="shared" si="11"/>
        <v>none</v>
      </c>
      <c r="U65" s="51" t="e">
        <f t="shared" si="12"/>
        <v>#VALUE!</v>
      </c>
      <c r="V65" s="51">
        <f t="shared" si="13"/>
        <v>4</v>
      </c>
      <c r="W65" s="51" t="e">
        <f t="shared" si="14"/>
        <v>#VALUE!</v>
      </c>
      <c r="X65" s="51" t="e">
        <f t="shared" si="15"/>
        <v>#VALUE!</v>
      </c>
      <c r="Y65" s="51" t="str">
        <f>IFERROR(VLOOKUP(MID(T65,W65,X65-W65),[6]skilldef!$C:$D,2,FALSE),"-") &amp; " / " &amp; IFERROR(VLOOKUP(MID(T65,U65,V65-U65),[6]skilldef!$A:$B,2,FALSE),"-")</f>
        <v>- / -</v>
      </c>
      <c r="Z65" s="38"/>
      <c r="AA65" s="40"/>
      <c r="AB65" s="38"/>
    </row>
    <row r="66" spans="1:28" ht="21" customHeight="1" x14ac:dyDescent="0.15">
      <c r="A66" s="35">
        <v>49002064</v>
      </c>
      <c r="B66" s="35" t="s">
        <v>241</v>
      </c>
      <c r="C66" s="38">
        <v>3</v>
      </c>
      <c r="D66" s="38" t="s">
        <v>128</v>
      </c>
      <c r="E66" s="39" t="s">
        <v>306</v>
      </c>
      <c r="F66" s="39" t="s">
        <v>228</v>
      </c>
      <c r="G66" s="51" t="str">
        <f t="shared" si="0"/>
        <v>[effect:rush, count:3, val:0.4]</v>
      </c>
      <c r="H66" s="51">
        <f t="shared" si="1"/>
        <v>9</v>
      </c>
      <c r="I66" s="51">
        <f t="shared" si="2"/>
        <v>13</v>
      </c>
      <c r="J66" s="51" t="e">
        <f t="shared" si="3"/>
        <v>#VALUE!</v>
      </c>
      <c r="K66" s="51">
        <f t="shared" si="4"/>
        <v>22</v>
      </c>
      <c r="L66" s="51" t="str">
        <f>IFERROR(VLOOKUP(MID(G66,J66,K66-J66),[6]skilldef!$C:$D,2,FALSE),"-") &amp; " / " &amp; IFERROR(VLOOKUP(MID(G66,H66,I66-H66),[6]skilldef!$A:$B,2,FALSE),"-")</f>
        <v>- / 連続攻撃</v>
      </c>
      <c r="M66" s="51" t="str">
        <f t="shared" si="5"/>
        <v>none</v>
      </c>
      <c r="N66" s="36" t="str">
        <f t="shared" si="6"/>
        <v>none</v>
      </c>
      <c r="O66" s="51" t="e">
        <f t="shared" si="7"/>
        <v>#VALUE!</v>
      </c>
      <c r="P66" s="51">
        <f t="shared" si="8"/>
        <v>4</v>
      </c>
      <c r="Q66" s="51" t="e">
        <f t="shared" si="9"/>
        <v>#VALUE!</v>
      </c>
      <c r="R66" s="51" t="e">
        <f t="shared" si="10"/>
        <v>#VALUE!</v>
      </c>
      <c r="S66" s="51" t="str">
        <f>IFERROR(VLOOKUP(MID(N66,Q66,R66-Q66),[6]skilldef!$C:$D,2,FALSE),"-") &amp; " / " &amp; IFERROR(VLOOKUP(MID(N66,O66,P66-O66),[6]skilldef!$A:$B,2,FALSE),"-")</f>
        <v>- / -</v>
      </c>
      <c r="T66" s="36" t="str">
        <f t="shared" si="11"/>
        <v>none</v>
      </c>
      <c r="U66" s="51" t="e">
        <f t="shared" si="12"/>
        <v>#VALUE!</v>
      </c>
      <c r="V66" s="51">
        <f t="shared" si="13"/>
        <v>4</v>
      </c>
      <c r="W66" s="51" t="e">
        <f t="shared" si="14"/>
        <v>#VALUE!</v>
      </c>
      <c r="X66" s="51" t="e">
        <f t="shared" si="15"/>
        <v>#VALUE!</v>
      </c>
      <c r="Y66" s="51" t="str">
        <f>IFERROR(VLOOKUP(MID(T66,W66,X66-W66),[6]skilldef!$C:$D,2,FALSE),"-") &amp; " / " &amp; IFERROR(VLOOKUP(MID(T66,U66,V66-U66),[6]skilldef!$A:$B,2,FALSE),"-")</f>
        <v>- / -</v>
      </c>
      <c r="Z66" s="38"/>
      <c r="AA66" s="40"/>
      <c r="AB66" s="38"/>
    </row>
    <row r="67" spans="1:28" ht="21" customHeight="1" x14ac:dyDescent="0.15">
      <c r="A67" s="35">
        <v>49002065</v>
      </c>
      <c r="B67" s="35" t="s">
        <v>252</v>
      </c>
      <c r="C67" s="38">
        <v>3</v>
      </c>
      <c r="D67" s="38" t="s">
        <v>128</v>
      </c>
      <c r="E67" s="39" t="s">
        <v>307</v>
      </c>
      <c r="F67" s="39" t="s">
        <v>236</v>
      </c>
      <c r="G67" s="51" t="str">
        <f t="shared" ref="G67:G70" si="48">IFERROR(LEFT(B67,FIND("],",B67)),B67)</f>
        <v>[effect:spread, val:0.3]</v>
      </c>
      <c r="H67" s="51">
        <f t="shared" ref="H67:H81" si="49">FIND("effect:",G67)+7</f>
        <v>9</v>
      </c>
      <c r="I67" s="51">
        <f t="shared" ref="I67:I70" si="50">IFERROR(FIND(",",G67),LEN(G67))</f>
        <v>15</v>
      </c>
      <c r="J67" s="51" t="e">
        <f t="shared" ref="J67:J70" si="51">FIND("target:",G67)+7</f>
        <v>#VALUE!</v>
      </c>
      <c r="K67" s="51" t="e">
        <f t="shared" ref="K67:K70" si="52">FIND(",",G67,I67+1)</f>
        <v>#VALUE!</v>
      </c>
      <c r="L67" s="51" t="str">
        <f>IFERROR(VLOOKUP(MID(G67,J67,K67-J67),[6]skilldef!$C:$D,2,FALSE),"-") &amp; " / " &amp; IFERROR(VLOOKUP(MID(G67,H67,I67-H67),[6]skilldef!$A:$B,2,FALSE),"-")</f>
        <v>- / 全体攻撃</v>
      </c>
      <c r="M67" s="51" t="str">
        <f t="shared" ref="M67:M70" si="53">IFERROR(RIGHT(B67,LEN(B67)-FIND("],",B67)-1),"none")</f>
        <v>[effect:sleep, target:unit_one, turn:1, rate:1, animation:sleep01],[effect:sleep, target:unit_one, turn:1, rate:1, animation:sleep01]</v>
      </c>
      <c r="N67" s="36" t="str">
        <f t="shared" ref="N67:N70" si="54">IFERROR(LEFT(M67,FIND("],",M67)+S77),M67)</f>
        <v>[effect:sleep, target:unit_one, turn:1, rate:1, animation:sleep01],[effect:sleep, target:unit_one, turn:1, rate:1, animation:sleep01]</v>
      </c>
      <c r="O67" s="51">
        <f t="shared" ref="O67:O81" si="55">FIND("effect:",N67)+7</f>
        <v>9</v>
      </c>
      <c r="P67" s="51">
        <f t="shared" ref="P67:P70" si="56">IFERROR(FIND(",",N67),LEN(N67))</f>
        <v>14</v>
      </c>
      <c r="Q67" s="51">
        <f t="shared" ref="Q67:Q70" si="57">FIND("target:",N67)+7</f>
        <v>23</v>
      </c>
      <c r="R67" s="51">
        <f t="shared" ref="R67:R70" si="58">FIND(",",N67,P67+1)</f>
        <v>31</v>
      </c>
      <c r="S67" s="51" t="str">
        <f>IFERROR(VLOOKUP(MID(N67,Q67,R67-Q67),[6]skilldef!$C:$D,2,FALSE),"-") &amp; " / " &amp; IFERROR(VLOOKUP(MID(N67,O67,P67-O67),[6]skilldef!$A:$B,2,FALSE),"-")</f>
        <v>味方単体に / スリープ</v>
      </c>
      <c r="T67" s="36" t="str">
        <f t="shared" ref="T67:T70" si="59">IFERROR(RIGHT(M67,LEN(M67)-FIND("],",M67)-1),"none")</f>
        <v>[effect:sleep, target:unit_one, turn:1, rate:1, animation:sleep01]</v>
      </c>
      <c r="U67" s="51">
        <f t="shared" ref="U67:U81" si="60">FIND("effect:",T67)+7</f>
        <v>9</v>
      </c>
      <c r="V67" s="51">
        <f t="shared" ref="V67:V70" si="61">IFERROR(FIND(",",T67),LEN(T67))</f>
        <v>14</v>
      </c>
      <c r="W67" s="51">
        <f t="shared" ref="W67:W70" si="62">FIND("target:",T67)+7</f>
        <v>23</v>
      </c>
      <c r="X67" s="51">
        <f t="shared" ref="X67:X70" si="63">FIND(",",T67,V67+1)</f>
        <v>31</v>
      </c>
      <c r="Y67" s="51" t="str">
        <f>IFERROR(VLOOKUP(MID(T67,W67,X67-W67),[6]skilldef!$C:$D,2,FALSE),"-") &amp; " / " &amp; IFERROR(VLOOKUP(MID(T67,U67,V67-U67),[6]skilldef!$A:$B,2,FALSE),"-")</f>
        <v>味方単体に / スリープ</v>
      </c>
      <c r="Z67" s="38"/>
      <c r="AA67" s="40"/>
      <c r="AB67" s="38"/>
    </row>
    <row r="68" spans="1:28" s="91" customFormat="1" ht="21" customHeight="1" x14ac:dyDescent="0.15">
      <c r="A68" s="87">
        <v>49002066</v>
      </c>
      <c r="B68" s="87" t="s">
        <v>266</v>
      </c>
      <c r="C68" s="38">
        <v>3</v>
      </c>
      <c r="D68" s="88" t="s">
        <v>128</v>
      </c>
      <c r="E68" s="89" t="s">
        <v>329</v>
      </c>
      <c r="F68" s="89" t="s">
        <v>330</v>
      </c>
      <c r="G68" s="89" t="str">
        <f t="shared" si="48"/>
        <v>[effect:tolerance, target:myself, turn:-1, tolerance_effect:sleep, count:-1]</v>
      </c>
      <c r="H68" s="89">
        <f t="shared" si="49"/>
        <v>9</v>
      </c>
      <c r="I68" s="89">
        <f t="shared" si="50"/>
        <v>18</v>
      </c>
      <c r="J68" s="89">
        <f t="shared" si="51"/>
        <v>27</v>
      </c>
      <c r="K68" s="89">
        <f t="shared" si="52"/>
        <v>33</v>
      </c>
      <c r="L68" s="89" t="str">
        <f>IFERROR(VLOOKUP(MID(G68,J68,K68-J68),[6]skilldef!$C:$D,2,FALSE),"-") &amp; " / " &amp; IFERROR(VLOOKUP(MID(G68,H68,I68-H68),[6]skilldef!$A:$B,2,FALSE),"-")</f>
        <v>自分自身に / 状態異常耐性</v>
      </c>
      <c r="M68" s="89" t="str">
        <f t="shared" si="53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68" s="87" t="str">
        <f t="shared" si="54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68" s="89">
        <f t="shared" si="55"/>
        <v>9</v>
      </c>
      <c r="P68" s="89">
        <f t="shared" si="56"/>
        <v>18</v>
      </c>
      <c r="Q68" s="89">
        <f t="shared" si="57"/>
        <v>27</v>
      </c>
      <c r="R68" s="89">
        <f t="shared" si="58"/>
        <v>33</v>
      </c>
      <c r="S68" s="89" t="str">
        <f>IFERROR(VLOOKUP(MID(N68,Q68,R68-Q68),[6]skilldef!$C:$D,2,FALSE),"-") &amp; " / " &amp; IFERROR(VLOOKUP(MID(N68,O68,P68-O68),[6]skilldef!$A:$B,2,FALSE),"-")</f>
        <v>自分自身に / 状態異常耐性</v>
      </c>
      <c r="T68" s="87" t="str">
        <f t="shared" si="59"/>
        <v>[effect:tolerance, target:myself, turn:-1, tolerance_effect:hungup, count:-1, animation:enemy_tolerance],[effect:hungup, target:unit_all, turn:3, rate:1, animation:hungup01]</v>
      </c>
      <c r="U68" s="89">
        <f t="shared" si="60"/>
        <v>9</v>
      </c>
      <c r="V68" s="89">
        <f t="shared" si="61"/>
        <v>18</v>
      </c>
      <c r="W68" s="89">
        <f t="shared" si="62"/>
        <v>27</v>
      </c>
      <c r="X68" s="89">
        <f t="shared" si="63"/>
        <v>33</v>
      </c>
      <c r="Y68" s="89" t="str">
        <f>IFERROR(VLOOKUP(MID(T68,W68,X68-W68),[6]skilldef!$C:$D,2,FALSE),"-") &amp; " / " &amp; IFERROR(VLOOKUP(MID(T68,U68,V68-U68),[6]skilldef!$A:$B,2,FALSE),"-")</f>
        <v>自分自身に / 状態異常耐性</v>
      </c>
      <c r="Z68" s="88"/>
      <c r="AA68" s="90"/>
      <c r="AB68" s="88"/>
    </row>
    <row r="69" spans="1:28" s="91" customFormat="1" ht="22" customHeight="1" x14ac:dyDescent="0.15">
      <c r="A69" s="87">
        <v>49002067</v>
      </c>
      <c r="B69" s="87" t="s">
        <v>266</v>
      </c>
      <c r="C69" s="38">
        <v>3</v>
      </c>
      <c r="D69" s="88" t="s">
        <v>128</v>
      </c>
      <c r="E69" s="89" t="s">
        <v>339</v>
      </c>
      <c r="F69" s="89" t="s">
        <v>330</v>
      </c>
      <c r="G69" s="89" t="str">
        <f t="shared" si="48"/>
        <v>[effect:tolerance, target:myself, turn:-1, tolerance_effect:sleep, count:-1]</v>
      </c>
      <c r="H69" s="89">
        <f t="shared" si="49"/>
        <v>9</v>
      </c>
      <c r="I69" s="89">
        <f t="shared" si="50"/>
        <v>18</v>
      </c>
      <c r="J69" s="89">
        <f t="shared" si="51"/>
        <v>27</v>
      </c>
      <c r="K69" s="89">
        <f t="shared" si="52"/>
        <v>33</v>
      </c>
      <c r="L69" s="89" t="str">
        <f>IFERROR(VLOOKUP(MID(G69,J69,K69-J69),[6]skilldef!$C:$D,2,FALSE),"-") &amp; " / " &amp; IFERROR(VLOOKUP(MID(G69,H69,I69-H69),[6]skilldef!$A:$B,2,FALSE),"-")</f>
        <v>自分自身に / 状態異常耐性</v>
      </c>
      <c r="M69" s="89" t="str">
        <f t="shared" si="53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N69" s="87" t="str">
        <f t="shared" si="54"/>
        <v>[effect:tolerance, target:myself, turn:-1, tolerance_effect:virus, count:-1],[effect:tolerance, target:myself, turn:-1, tolerance_effect:hungup, count:-1, animation:enemy_tolerance],[effect:hungup, target:unit_all, turn:3, rate:1, animation:hungup01]</v>
      </c>
      <c r="O69" s="89">
        <f t="shared" si="55"/>
        <v>9</v>
      </c>
      <c r="P69" s="89">
        <f t="shared" si="56"/>
        <v>18</v>
      </c>
      <c r="Q69" s="89">
        <f t="shared" si="57"/>
        <v>27</v>
      </c>
      <c r="R69" s="89">
        <f t="shared" si="58"/>
        <v>33</v>
      </c>
      <c r="S69" s="89" t="str">
        <f>IFERROR(VLOOKUP(MID(N69,Q69,R69-Q69),[6]skilldef!$C:$D,2,FALSE),"-") &amp; " / " &amp; IFERROR(VLOOKUP(MID(N69,O69,P69-O69),[6]skilldef!$A:$B,2,FALSE),"-")</f>
        <v>自分自身に / 状態異常耐性</v>
      </c>
      <c r="T69" s="87" t="str">
        <f t="shared" si="59"/>
        <v>[effect:tolerance, target:myself, turn:-1, tolerance_effect:hungup, count:-1, animation:enemy_tolerance],[effect:hungup, target:unit_all, turn:3, rate:1, animation:hungup01]</v>
      </c>
      <c r="U69" s="89">
        <f t="shared" si="60"/>
        <v>9</v>
      </c>
      <c r="V69" s="89">
        <f t="shared" si="61"/>
        <v>18</v>
      </c>
      <c r="W69" s="89">
        <f t="shared" si="62"/>
        <v>27</v>
      </c>
      <c r="X69" s="89">
        <f t="shared" si="63"/>
        <v>33</v>
      </c>
      <c r="Y69" s="89" t="str">
        <f>IFERROR(VLOOKUP(MID(T69,W69,X69-W69),[6]skilldef!$C:$D,2,FALSE),"-") &amp; " / " &amp; IFERROR(VLOOKUP(MID(T69,U69,V69-U69),[6]skilldef!$A:$B,2,FALSE),"-")</f>
        <v>自分自身に / 状態異常耐性</v>
      </c>
      <c r="Z69" s="88"/>
      <c r="AA69" s="90"/>
      <c r="AB69" s="88"/>
    </row>
    <row r="70" spans="1:28" ht="21" customHeight="1" x14ac:dyDescent="0.15">
      <c r="A70" s="35">
        <v>49002068</v>
      </c>
      <c r="B70" s="35" t="s">
        <v>238</v>
      </c>
      <c r="C70" s="38">
        <v>3</v>
      </c>
      <c r="D70" s="38" t="s">
        <v>128</v>
      </c>
      <c r="E70" s="39" t="s">
        <v>226</v>
      </c>
      <c r="F70" s="39" t="s">
        <v>214</v>
      </c>
      <c r="G70" s="51" t="str">
        <f t="shared" si="48"/>
        <v>[effect:nothing]</v>
      </c>
      <c r="H70" s="51">
        <f t="shared" si="49"/>
        <v>9</v>
      </c>
      <c r="I70" s="51">
        <f t="shared" si="50"/>
        <v>16</v>
      </c>
      <c r="J70" s="51" t="e">
        <f t="shared" si="51"/>
        <v>#VALUE!</v>
      </c>
      <c r="K70" s="51" t="e">
        <f t="shared" si="52"/>
        <v>#VALUE!</v>
      </c>
      <c r="L70" s="51" t="str">
        <f>IFERROR(VLOOKUP(MID(G70,J70,K70-J70),[6]skilldef!$C:$D,2,FALSE),"-") &amp; " / " &amp; IFERROR(VLOOKUP(MID(G70,H70,I70-H70),[6]skilldef!$A:$B,2,FALSE),"-")</f>
        <v>- / 何もしない</v>
      </c>
      <c r="M70" s="51" t="str">
        <f t="shared" si="53"/>
        <v>none</v>
      </c>
      <c r="N70" s="36" t="str">
        <f t="shared" si="54"/>
        <v>none</v>
      </c>
      <c r="O70" s="51" t="e">
        <f t="shared" si="55"/>
        <v>#VALUE!</v>
      </c>
      <c r="P70" s="51">
        <f t="shared" si="56"/>
        <v>4</v>
      </c>
      <c r="Q70" s="51" t="e">
        <f t="shared" si="57"/>
        <v>#VALUE!</v>
      </c>
      <c r="R70" s="51" t="e">
        <f t="shared" si="58"/>
        <v>#VALUE!</v>
      </c>
      <c r="S70" s="51" t="str">
        <f>IFERROR(VLOOKUP(MID(N70,Q70,R70-Q70),[6]skilldef!$C:$D,2,FALSE),"-") &amp; " / " &amp; IFERROR(VLOOKUP(MID(N70,O70,P70-O70),[6]skilldef!$A:$B,2,FALSE),"-")</f>
        <v>- / -</v>
      </c>
      <c r="T70" s="36" t="str">
        <f t="shared" si="59"/>
        <v>none</v>
      </c>
      <c r="U70" s="51" t="e">
        <f t="shared" si="60"/>
        <v>#VALUE!</v>
      </c>
      <c r="V70" s="51">
        <f t="shared" si="61"/>
        <v>4</v>
      </c>
      <c r="W70" s="51" t="e">
        <f t="shared" si="62"/>
        <v>#VALUE!</v>
      </c>
      <c r="X70" s="51" t="e">
        <f t="shared" si="63"/>
        <v>#VALUE!</v>
      </c>
      <c r="Y70" s="51" t="str">
        <f>IFERROR(VLOOKUP(MID(T70,W70,X70-W70),[6]skilldef!$C:$D,2,FALSE),"-") &amp; " / " &amp; IFERROR(VLOOKUP(MID(T70,U70,V70-U70),[6]skilldef!$A:$B,2,FALSE),"-")</f>
        <v>- / -</v>
      </c>
      <c r="Z70" s="38"/>
      <c r="AA70" s="40"/>
      <c r="AB70" s="38"/>
    </row>
    <row r="71" spans="1:28" ht="21" customHeight="1" x14ac:dyDescent="0.15">
      <c r="A71" s="35">
        <v>49002069</v>
      </c>
      <c r="B71" s="35" t="s">
        <v>238</v>
      </c>
      <c r="C71" s="38">
        <v>3</v>
      </c>
      <c r="D71" s="38" t="s">
        <v>128</v>
      </c>
      <c r="E71" s="39" t="s">
        <v>226</v>
      </c>
      <c r="F71" s="39" t="s">
        <v>214</v>
      </c>
      <c r="G71" s="51" t="str">
        <f t="shared" ref="G71:G72" si="64">IFERROR(LEFT(B71,FIND("],",B71)),B71)</f>
        <v>[effect:nothing]</v>
      </c>
      <c r="H71" s="51">
        <f t="shared" si="49"/>
        <v>9</v>
      </c>
      <c r="I71" s="51">
        <f t="shared" ref="I71:I72" si="65">IFERROR(FIND(",",G71),LEN(G71))</f>
        <v>16</v>
      </c>
      <c r="J71" s="51" t="e">
        <f t="shared" ref="J71:J72" si="66">FIND("target:",G71)+7</f>
        <v>#VALUE!</v>
      </c>
      <c r="K71" s="51" t="e">
        <f t="shared" ref="K71:K72" si="67">FIND(",",G71,I71+1)</f>
        <v>#VALUE!</v>
      </c>
      <c r="L71" s="51" t="str">
        <f>IFERROR(VLOOKUP(MID(G71,J71,K71-J71),[6]skilldef!$C:$D,2,FALSE),"-") &amp; " / " &amp; IFERROR(VLOOKUP(MID(G71,H71,I71-H71),[6]skilldef!$A:$B,2,FALSE),"-")</f>
        <v>- / 何もしない</v>
      </c>
      <c r="M71" s="51" t="str">
        <f t="shared" ref="M71:M72" si="68">IFERROR(RIGHT(B71,LEN(B71)-FIND("],",B71)-1),"none")</f>
        <v>none</v>
      </c>
      <c r="N71" s="36" t="str">
        <f t="shared" ref="N71" si="69">IFERROR(LEFT(M71,FIND("],",M71)+S81),M71)</f>
        <v>none</v>
      </c>
      <c r="O71" s="51" t="e">
        <f t="shared" si="55"/>
        <v>#VALUE!</v>
      </c>
      <c r="P71" s="51">
        <f t="shared" ref="P71:P72" si="70">IFERROR(FIND(",",N71),LEN(N71))</f>
        <v>4</v>
      </c>
      <c r="Q71" s="51" t="e">
        <f t="shared" ref="Q71:Q72" si="71">FIND("target:",N71)+7</f>
        <v>#VALUE!</v>
      </c>
      <c r="R71" s="51" t="e">
        <f t="shared" ref="R71:R72" si="72">FIND(",",N71,P71+1)</f>
        <v>#VALUE!</v>
      </c>
      <c r="S71" s="51" t="str">
        <f>IFERROR(VLOOKUP(MID(N71,Q71,R71-Q71),[6]skilldef!$C:$D,2,FALSE),"-") &amp; " / " &amp; IFERROR(VLOOKUP(MID(N71,O71,P71-O71),[6]skilldef!$A:$B,2,FALSE),"-")</f>
        <v>- / -</v>
      </c>
      <c r="T71" s="36" t="str">
        <f t="shared" ref="T71:T72" si="73">IFERROR(RIGHT(M71,LEN(M71)-FIND("],",M71)-1),"none")</f>
        <v>none</v>
      </c>
      <c r="U71" s="51" t="e">
        <f t="shared" si="60"/>
        <v>#VALUE!</v>
      </c>
      <c r="V71" s="51">
        <f t="shared" ref="V71:V72" si="74">IFERROR(FIND(",",T71),LEN(T71))</f>
        <v>4</v>
      </c>
      <c r="W71" s="51" t="e">
        <f t="shared" ref="W71:W72" si="75">FIND("target:",T71)+7</f>
        <v>#VALUE!</v>
      </c>
      <c r="X71" s="51" t="e">
        <f t="shared" ref="X71:X72" si="76">FIND(",",T71,V71+1)</f>
        <v>#VALUE!</v>
      </c>
      <c r="Y71" s="51" t="str">
        <f>IFERROR(VLOOKUP(MID(T71,W71,X71-W71),[6]skilldef!$C:$D,2,FALSE),"-") &amp; " / " &amp; IFERROR(VLOOKUP(MID(T71,U71,V71-U71),[6]skilldef!$A:$B,2,FALSE),"-")</f>
        <v>- / -</v>
      </c>
      <c r="Z71" s="38"/>
      <c r="AA71" s="40"/>
      <c r="AB71" s="38"/>
    </row>
    <row r="72" spans="1:28" ht="21" customHeight="1" x14ac:dyDescent="0.15">
      <c r="A72" s="35">
        <v>49002070</v>
      </c>
      <c r="B72" s="35" t="s">
        <v>288</v>
      </c>
      <c r="C72" s="38">
        <v>3</v>
      </c>
      <c r="D72" s="38" t="s">
        <v>128</v>
      </c>
      <c r="E72" s="39" t="s">
        <v>332</v>
      </c>
      <c r="F72" s="39" t="s">
        <v>333</v>
      </c>
      <c r="G72" s="51" t="str">
        <f t="shared" si="64"/>
        <v>[effect:tolerance, target:myself, turn:-1, tolerance_effect:sleep, count:-1]</v>
      </c>
      <c r="H72" s="51">
        <f t="shared" si="49"/>
        <v>9</v>
      </c>
      <c r="I72" s="51">
        <f t="shared" si="65"/>
        <v>18</v>
      </c>
      <c r="J72" s="51">
        <f t="shared" si="66"/>
        <v>27</v>
      </c>
      <c r="K72" s="51">
        <f t="shared" si="67"/>
        <v>33</v>
      </c>
      <c r="L72" s="51" t="str">
        <f>IFERROR(VLOOKUP(MID(G72,J72,K72-J72),[6]skilldef!$C:$D,2,FALSE),"-") &amp; " / " &amp; IFERROR(VLOOKUP(MID(G72,H72,I72-H72),[6]skilldef!$A:$B,2,FALSE),"-")</f>
        <v>自分自身に / 状態異常耐性</v>
      </c>
      <c r="M72" s="51" t="str">
        <f t="shared" si="68"/>
        <v>[effect:tolerance, target:myself, turn:-1, tolerance_effect:virus, count:-1],[effect:tolerance, target:myself, turn:-1, tolerance_effect:hungup, count:-1, animation:enemy_tolerance],[effect:enhance_enemy, target:enemy_all, turn:-1, status:attack, val:0.3, calc:mul, animation:enemy_enhance_attack]</v>
      </c>
      <c r="N72" s="36" t="str">
        <f>IFERROR(LEFT(M72,FIND("],",M72)+#REF!),M72)</f>
        <v>[effect:tolerance, target:myself, turn:-1, tolerance_effect:virus, count:-1],[effect:tolerance, target:myself, turn:-1, tolerance_effect:hungup, count:-1, animation:enemy_tolerance],[effect:enhance_enemy, target:enemy_all, turn:-1, status:attack, val:0.3, calc:mul, animation:enemy_enhance_attack]</v>
      </c>
      <c r="O72" s="51">
        <f t="shared" si="55"/>
        <v>9</v>
      </c>
      <c r="P72" s="51">
        <f t="shared" si="70"/>
        <v>18</v>
      </c>
      <c r="Q72" s="51">
        <f t="shared" si="71"/>
        <v>27</v>
      </c>
      <c r="R72" s="51">
        <f t="shared" si="72"/>
        <v>33</v>
      </c>
      <c r="S72" s="51" t="str">
        <f>IFERROR(VLOOKUP(MID(N72,Q72,R72-Q72),[6]skilldef!$C:$D,2,FALSE),"-") &amp; " / " &amp; IFERROR(VLOOKUP(MID(N72,O72,P72-O72),[6]skilldef!$A:$B,2,FALSE),"-")</f>
        <v>自分自身に / 状態異常耐性</v>
      </c>
      <c r="T72" s="36" t="str">
        <f t="shared" si="73"/>
        <v>[effect:tolerance, target:myself, turn:-1, tolerance_effect:hungup, count:-1, animation:enemy_tolerance],[effect:enhance_enemy, target:enemy_all, turn:-1, status:attack, val:0.3, calc:mul, animation:enemy_enhance_attack]</v>
      </c>
      <c r="U72" s="51">
        <f t="shared" si="60"/>
        <v>9</v>
      </c>
      <c r="V72" s="51">
        <f t="shared" si="74"/>
        <v>18</v>
      </c>
      <c r="W72" s="51">
        <f t="shared" si="75"/>
        <v>27</v>
      </c>
      <c r="X72" s="51">
        <f t="shared" si="76"/>
        <v>33</v>
      </c>
      <c r="Y72" s="51" t="str">
        <f>IFERROR(VLOOKUP(MID(T72,W72,X72-W72),[6]skilldef!$C:$D,2,FALSE),"-") &amp; " / " &amp; IFERROR(VLOOKUP(MID(T72,U72,V72-U72),[6]skilldef!$A:$B,2,FALSE),"-")</f>
        <v>自分自身に / 状態異常耐性</v>
      </c>
      <c r="Z72" s="38"/>
      <c r="AA72" s="40"/>
      <c r="AB72" s="38"/>
    </row>
    <row r="73" spans="1:28" ht="21" customHeight="1" x14ac:dyDescent="0.15">
      <c r="A73" s="35">
        <v>49002071</v>
      </c>
      <c r="B73" s="35" t="s">
        <v>327</v>
      </c>
      <c r="C73" s="38">
        <v>3</v>
      </c>
      <c r="D73" s="38" t="s">
        <v>128</v>
      </c>
      <c r="E73" s="39" t="s">
        <v>304</v>
      </c>
      <c r="F73" s="39" t="s">
        <v>328</v>
      </c>
      <c r="G73" s="51" t="str">
        <f t="shared" ref="G73:G81" si="77">IFERROR(LEFT(B73,FIND("],",B73)),B73)</f>
        <v>[effect:break_attack_fix, val:200, lowest_val:7000, count:-1, block:block_heart, target:unit_one]</v>
      </c>
      <c r="H73" s="51">
        <f t="shared" si="49"/>
        <v>9</v>
      </c>
      <c r="I73" s="51">
        <f t="shared" ref="I73:I81" si="78">IFERROR(FIND(",",G73),LEN(G73))</f>
        <v>25</v>
      </c>
      <c r="J73" s="51">
        <f t="shared" ref="J73:J81" si="79">FIND("target:",G73)+7</f>
        <v>89</v>
      </c>
      <c r="K73" s="51">
        <f t="shared" ref="K73:K81" si="80">FIND(",",G73,I73+1)</f>
        <v>34</v>
      </c>
      <c r="L73" s="51" t="str">
        <f>IFERROR(VLOOKUP(MID(G73,J73,K73-J73),[6]skilldef!$C:$D,2,FALSE),"-") &amp; " / " &amp; IFERROR(VLOOKUP(MID(G73,H73,I73-H73),[6]skilldef!$A:$B,2,FALSE),"-")</f>
        <v>- / -</v>
      </c>
      <c r="M73" s="51" t="str">
        <f t="shared" ref="M73:M81" si="81">IFERROR(RIGHT(B73,LEN(B73)-FIND("],",B73)-1),"none")</f>
        <v>none</v>
      </c>
      <c r="N73" s="36" t="str">
        <f>IFERROR(LEFT(M73,FIND("],",M73)+#REF!),M73)</f>
        <v>none</v>
      </c>
      <c r="O73" s="51" t="e">
        <f t="shared" si="55"/>
        <v>#VALUE!</v>
      </c>
      <c r="P73" s="51">
        <f t="shared" ref="P73:P81" si="82">IFERROR(FIND(",",N73),LEN(N73))</f>
        <v>4</v>
      </c>
      <c r="Q73" s="51" t="e">
        <f t="shared" ref="Q73:Q81" si="83">FIND("target:",N73)+7</f>
        <v>#VALUE!</v>
      </c>
      <c r="R73" s="51" t="e">
        <f t="shared" ref="R73:R81" si="84">FIND(",",N73,P73+1)</f>
        <v>#VALUE!</v>
      </c>
      <c r="S73" s="51" t="str">
        <f>IFERROR(VLOOKUP(MID(N73,Q73,R73-Q73),[6]skilldef!$C:$D,2,FALSE),"-") &amp; " / " &amp; IFERROR(VLOOKUP(MID(N73,O73,P73-O73),[6]skilldef!$A:$B,2,FALSE),"-")</f>
        <v>- / -</v>
      </c>
      <c r="T73" s="36" t="str">
        <f t="shared" ref="T73:T81" si="85">IFERROR(RIGHT(M73,LEN(M73)-FIND("],",M73)-1),"none")</f>
        <v>none</v>
      </c>
      <c r="U73" s="51" t="e">
        <f t="shared" si="60"/>
        <v>#VALUE!</v>
      </c>
      <c r="V73" s="51">
        <f t="shared" ref="V73:V81" si="86">IFERROR(FIND(",",T73),LEN(T73))</f>
        <v>4</v>
      </c>
      <c r="W73" s="51" t="e">
        <f t="shared" ref="W73:W81" si="87">FIND("target:",T73)+7</f>
        <v>#VALUE!</v>
      </c>
      <c r="X73" s="51" t="e">
        <f t="shared" ref="X73:X81" si="88">FIND(",",T73,V73+1)</f>
        <v>#VALUE!</v>
      </c>
      <c r="Y73" s="51" t="str">
        <f>IFERROR(VLOOKUP(MID(T73,W73,X73-W73),[6]skilldef!$C:$D,2,FALSE),"-") &amp; " / " &amp; IFERROR(VLOOKUP(MID(T73,U73,V73-U73),[6]skilldef!$A:$B,2,FALSE),"-")</f>
        <v>- / -</v>
      </c>
      <c r="Z73" s="38"/>
      <c r="AA73" s="40"/>
      <c r="AB73" s="38"/>
    </row>
    <row r="74" spans="1:28" ht="21" customHeight="1" x14ac:dyDescent="0.15">
      <c r="A74" s="35">
        <v>49002072</v>
      </c>
      <c r="B74" s="35" t="s">
        <v>282</v>
      </c>
      <c r="C74" s="38">
        <v>3</v>
      </c>
      <c r="D74" s="38" t="s">
        <v>128</v>
      </c>
      <c r="E74" s="39" t="s">
        <v>303</v>
      </c>
      <c r="F74" s="39" t="s">
        <v>232</v>
      </c>
      <c r="G74" s="51" t="str">
        <f t="shared" si="77"/>
        <v>[effect:critical, val:1.2]</v>
      </c>
      <c r="H74" s="51">
        <f t="shared" si="49"/>
        <v>9</v>
      </c>
      <c r="I74" s="51">
        <f t="shared" si="78"/>
        <v>17</v>
      </c>
      <c r="J74" s="51" t="e">
        <f t="shared" si="79"/>
        <v>#VALUE!</v>
      </c>
      <c r="K74" s="51" t="e">
        <f t="shared" si="80"/>
        <v>#VALUE!</v>
      </c>
      <c r="L74" s="51" t="str">
        <f>IFERROR(VLOOKUP(MID(G74,J74,K74-J74),[6]skilldef!$C:$D,2,FALSE),"-") &amp; " / " &amp; IFERROR(VLOOKUP(MID(G74,H74,I74-H74),[6]skilldef!$A:$B,2,FALSE),"-")</f>
        <v>- / 大攻撃</v>
      </c>
      <c r="M74" s="51" t="str">
        <f t="shared" si="81"/>
        <v>[effect:panel_freeze, target:block_heart, count:-1, break_count:1]</v>
      </c>
      <c r="N74" s="36" t="str">
        <f>IFERROR(LEFT(M74,FIND("],",M74)+#REF!),M74)</f>
        <v>[effect:panel_freeze, target:block_heart, count:-1, break_count:1]</v>
      </c>
      <c r="O74" s="51">
        <f t="shared" si="55"/>
        <v>9</v>
      </c>
      <c r="P74" s="51">
        <f t="shared" si="82"/>
        <v>21</v>
      </c>
      <c r="Q74" s="51">
        <f t="shared" si="83"/>
        <v>30</v>
      </c>
      <c r="R74" s="51">
        <f t="shared" si="84"/>
        <v>41</v>
      </c>
      <c r="S74" s="51" t="str">
        <f>IFERROR(VLOOKUP(MID(N74,Q74,R74-Q74),[6]skilldef!$C:$D,2,FALSE),"-") &amp; " / " &amp; IFERROR(VLOOKUP(MID(N74,O74,P74-O74),[6]skilldef!$A:$B,2,FALSE),"-")</f>
        <v>ハートパネルを / -</v>
      </c>
      <c r="T74" s="36" t="str">
        <f t="shared" si="85"/>
        <v>none</v>
      </c>
      <c r="U74" s="51" t="e">
        <f t="shared" si="60"/>
        <v>#VALUE!</v>
      </c>
      <c r="V74" s="51">
        <f t="shared" si="86"/>
        <v>4</v>
      </c>
      <c r="W74" s="51" t="e">
        <f t="shared" si="87"/>
        <v>#VALUE!</v>
      </c>
      <c r="X74" s="51" t="e">
        <f t="shared" si="88"/>
        <v>#VALUE!</v>
      </c>
      <c r="Y74" s="51" t="str">
        <f>IFERROR(VLOOKUP(MID(T74,W74,X74-W74),[6]skilldef!$C:$D,2,FALSE),"-") &amp; " / " &amp; IFERROR(VLOOKUP(MID(T74,U74,V74-U74),[6]skilldef!$A:$B,2,FALSE),"-")</f>
        <v>- / -</v>
      </c>
      <c r="Z74" s="38"/>
      <c r="AA74" s="40"/>
      <c r="AB74" s="38"/>
    </row>
    <row r="75" spans="1:28" ht="21" customHeight="1" x14ac:dyDescent="0.15">
      <c r="A75" s="35">
        <v>49002073</v>
      </c>
      <c r="B75" s="35" t="s">
        <v>241</v>
      </c>
      <c r="C75" s="38">
        <v>3</v>
      </c>
      <c r="D75" s="38" t="s">
        <v>128</v>
      </c>
      <c r="E75" s="39" t="s">
        <v>302</v>
      </c>
      <c r="F75" s="39" t="s">
        <v>228</v>
      </c>
      <c r="G75" s="51" t="str">
        <f t="shared" si="77"/>
        <v>[effect:rush, count:3, val:0.4]</v>
      </c>
      <c r="H75" s="51">
        <f t="shared" si="49"/>
        <v>9</v>
      </c>
      <c r="I75" s="51">
        <f t="shared" si="78"/>
        <v>13</v>
      </c>
      <c r="J75" s="51" t="e">
        <f t="shared" si="79"/>
        <v>#VALUE!</v>
      </c>
      <c r="K75" s="51">
        <f t="shared" si="80"/>
        <v>22</v>
      </c>
      <c r="L75" s="51" t="str">
        <f>IFERROR(VLOOKUP(MID(G75,J75,K75-J75),[6]skilldef!$C:$D,2,FALSE),"-") &amp; " / " &amp; IFERROR(VLOOKUP(MID(G75,H75,I75-H75),[6]skilldef!$A:$B,2,FALSE),"-")</f>
        <v>- / 連続攻撃</v>
      </c>
      <c r="M75" s="51" t="str">
        <f t="shared" si="81"/>
        <v>none</v>
      </c>
      <c r="N75" s="36" t="str">
        <f>IFERROR(LEFT(M75,FIND("],",M75)+#REF!),M75)</f>
        <v>none</v>
      </c>
      <c r="O75" s="51" t="e">
        <f t="shared" si="55"/>
        <v>#VALUE!</v>
      </c>
      <c r="P75" s="51">
        <f t="shared" si="82"/>
        <v>4</v>
      </c>
      <c r="Q75" s="51" t="e">
        <f t="shared" si="83"/>
        <v>#VALUE!</v>
      </c>
      <c r="R75" s="51" t="e">
        <f t="shared" si="84"/>
        <v>#VALUE!</v>
      </c>
      <c r="S75" s="51" t="str">
        <f>IFERROR(VLOOKUP(MID(N75,Q75,R75-Q75),[6]skilldef!$C:$D,2,FALSE),"-") &amp; " / " &amp; IFERROR(VLOOKUP(MID(N75,O75,P75-O75),[6]skilldef!$A:$B,2,FALSE),"-")</f>
        <v>- / -</v>
      </c>
      <c r="T75" s="36" t="str">
        <f t="shared" si="85"/>
        <v>none</v>
      </c>
      <c r="U75" s="51" t="e">
        <f t="shared" si="60"/>
        <v>#VALUE!</v>
      </c>
      <c r="V75" s="51">
        <f t="shared" si="86"/>
        <v>4</v>
      </c>
      <c r="W75" s="51" t="e">
        <f t="shared" si="87"/>
        <v>#VALUE!</v>
      </c>
      <c r="X75" s="51" t="e">
        <f t="shared" si="88"/>
        <v>#VALUE!</v>
      </c>
      <c r="Y75" s="51" t="str">
        <f>IFERROR(VLOOKUP(MID(T75,W75,X75-W75),[6]skilldef!$C:$D,2,FALSE),"-") &amp; " / " &amp; IFERROR(VLOOKUP(MID(T75,U75,V75-U75),[6]skilldef!$A:$B,2,FALSE),"-")</f>
        <v>- / -</v>
      </c>
      <c r="Z75" s="38"/>
      <c r="AA75" s="40"/>
      <c r="AB75" s="38"/>
    </row>
    <row r="76" spans="1:28" ht="21" customHeight="1" x14ac:dyDescent="0.15">
      <c r="A76" s="35">
        <v>49002074</v>
      </c>
      <c r="B76" s="35" t="s">
        <v>280</v>
      </c>
      <c r="C76" s="38">
        <v>3</v>
      </c>
      <c r="D76" s="38" t="s">
        <v>128</v>
      </c>
      <c r="E76" s="39" t="s">
        <v>301</v>
      </c>
      <c r="F76" s="39" t="s">
        <v>237</v>
      </c>
      <c r="G76" s="51" t="str">
        <f t="shared" si="77"/>
        <v>[effect:critical, val:1.2]</v>
      </c>
      <c r="H76" s="51">
        <f t="shared" si="49"/>
        <v>9</v>
      </c>
      <c r="I76" s="51">
        <f t="shared" si="78"/>
        <v>17</v>
      </c>
      <c r="J76" s="51" t="e">
        <f t="shared" si="79"/>
        <v>#VALUE!</v>
      </c>
      <c r="K76" s="51" t="e">
        <f t="shared" si="80"/>
        <v>#VALUE!</v>
      </c>
      <c r="L76" s="51" t="str">
        <f>IFERROR(VLOOKUP(MID(G76,J76,K76-J76),[6]skilldef!$C:$D,2,FALSE),"-") &amp; " / " &amp; IFERROR(VLOOKUP(MID(G76,H76,I76-H76),[6]skilldef!$A:$B,2,FALSE),"-")</f>
        <v>- / 大攻撃</v>
      </c>
      <c r="M76" s="51" t="str">
        <f t="shared" si="81"/>
        <v>[effect:hungup, target:unit_one, turn:1, rate:1, animation:hungup01]</v>
      </c>
      <c r="N76" s="36" t="str">
        <f t="shared" ref="N76:N81" si="89">IFERROR(LEFT(M76,FIND("],",M76)+S82),M76)</f>
        <v>[effect:hungup, target:unit_one, turn:1, rate:1, animation:hungup01]</v>
      </c>
      <c r="O76" s="51">
        <f t="shared" si="55"/>
        <v>9</v>
      </c>
      <c r="P76" s="51">
        <f t="shared" si="82"/>
        <v>15</v>
      </c>
      <c r="Q76" s="51">
        <f t="shared" si="83"/>
        <v>24</v>
      </c>
      <c r="R76" s="51">
        <f t="shared" si="84"/>
        <v>32</v>
      </c>
      <c r="S76" s="51" t="str">
        <f>IFERROR(VLOOKUP(MID(N76,Q76,R76-Q76),[6]skilldef!$C:$D,2,FALSE),"-") &amp; " / " &amp; IFERROR(VLOOKUP(MID(N76,O76,P76-O76),[6]skilldef!$A:$B,2,FALSE),"-")</f>
        <v>味方単体に / ハングアップ</v>
      </c>
      <c r="T76" s="36" t="str">
        <f t="shared" si="85"/>
        <v>none</v>
      </c>
      <c r="U76" s="51" t="e">
        <f t="shared" si="60"/>
        <v>#VALUE!</v>
      </c>
      <c r="V76" s="51">
        <f t="shared" si="86"/>
        <v>4</v>
      </c>
      <c r="W76" s="51" t="e">
        <f t="shared" si="87"/>
        <v>#VALUE!</v>
      </c>
      <c r="X76" s="51" t="e">
        <f t="shared" si="88"/>
        <v>#VALUE!</v>
      </c>
      <c r="Y76" s="51" t="str">
        <f>IFERROR(VLOOKUP(MID(T76,W76,X76-W76),[6]skilldef!$C:$D,2,FALSE),"-") &amp; " / " &amp; IFERROR(VLOOKUP(MID(T76,U76,V76-U76),[6]skilldef!$A:$B,2,FALSE),"-")</f>
        <v>- / -</v>
      </c>
      <c r="Z76" s="38"/>
      <c r="AA76" s="40"/>
      <c r="AB76" s="38"/>
    </row>
    <row r="77" spans="1:28" ht="21" customHeight="1" x14ac:dyDescent="0.15">
      <c r="A77" s="35">
        <v>49002075</v>
      </c>
      <c r="B77" s="35" t="s">
        <v>344</v>
      </c>
      <c r="C77" s="38">
        <v>3</v>
      </c>
      <c r="D77" s="38" t="s">
        <v>128</v>
      </c>
      <c r="E77" s="39" t="s">
        <v>300</v>
      </c>
      <c r="F77" s="39" t="s">
        <v>343</v>
      </c>
      <c r="G77" s="51" t="str">
        <f t="shared" si="77"/>
        <v>[effect:dis_heart, turn:-1, animation:enemy_dis_heart]</v>
      </c>
      <c r="H77" s="51">
        <f t="shared" si="49"/>
        <v>9</v>
      </c>
      <c r="I77" s="51">
        <f t="shared" si="78"/>
        <v>18</v>
      </c>
      <c r="J77" s="51" t="e">
        <f t="shared" si="79"/>
        <v>#VALUE!</v>
      </c>
      <c r="K77" s="51">
        <f t="shared" si="80"/>
        <v>27</v>
      </c>
      <c r="L77" s="51" t="str">
        <f>IFERROR(VLOOKUP(MID(G77,J77,K77-J77),[6]skilldef!$C:$D,2,FALSE),"-") &amp; " / " &amp; IFERROR(VLOOKUP(MID(G77,H77,I77-H77),[6]skilldef!$A:$B,2,FALSE),"-")</f>
        <v>- / ディスハート</v>
      </c>
      <c r="M77" s="51" t="str">
        <f t="shared" si="81"/>
        <v>none</v>
      </c>
      <c r="N77" s="36" t="str">
        <f t="shared" si="89"/>
        <v>none</v>
      </c>
      <c r="O77" s="51" t="e">
        <f t="shared" si="55"/>
        <v>#VALUE!</v>
      </c>
      <c r="P77" s="51">
        <f t="shared" si="82"/>
        <v>4</v>
      </c>
      <c r="Q77" s="51" t="e">
        <f t="shared" si="83"/>
        <v>#VALUE!</v>
      </c>
      <c r="R77" s="51" t="e">
        <f t="shared" si="84"/>
        <v>#VALUE!</v>
      </c>
      <c r="S77" s="51" t="str">
        <f>IFERROR(VLOOKUP(MID(N77,Q77,R77-Q77),[6]skilldef!$C:$D,2,FALSE),"-") &amp; " / " &amp; IFERROR(VLOOKUP(MID(N77,O77,P77-O77),[6]skilldef!$A:$B,2,FALSE),"-")</f>
        <v>- / -</v>
      </c>
      <c r="T77" s="36" t="str">
        <f t="shared" si="85"/>
        <v>none</v>
      </c>
      <c r="U77" s="51" t="e">
        <f t="shared" si="60"/>
        <v>#VALUE!</v>
      </c>
      <c r="V77" s="51">
        <f t="shared" si="86"/>
        <v>4</v>
      </c>
      <c r="W77" s="51" t="e">
        <f t="shared" si="87"/>
        <v>#VALUE!</v>
      </c>
      <c r="X77" s="51" t="e">
        <f t="shared" si="88"/>
        <v>#VALUE!</v>
      </c>
      <c r="Y77" s="51" t="str">
        <f>IFERROR(VLOOKUP(MID(T77,W77,X77-W77),[6]skilldef!$C:$D,2,FALSE),"-") &amp; " / " &amp; IFERROR(VLOOKUP(MID(T77,U77,V77-U77),[6]skilldef!$A:$B,2,FALSE),"-")</f>
        <v>- / -</v>
      </c>
      <c r="Z77" s="38"/>
      <c r="AA77" s="40"/>
      <c r="AB77" s="38"/>
    </row>
    <row r="78" spans="1:28" ht="21" customHeight="1" x14ac:dyDescent="0.15">
      <c r="A78" s="35">
        <v>49002076</v>
      </c>
      <c r="B78" s="35" t="s">
        <v>238</v>
      </c>
      <c r="C78" s="38">
        <v>3</v>
      </c>
      <c r="D78" s="38" t="s">
        <v>128</v>
      </c>
      <c r="E78" s="39" t="s">
        <v>227</v>
      </c>
      <c r="F78" s="39" t="s">
        <v>214</v>
      </c>
      <c r="G78" s="51" t="str">
        <f t="shared" si="77"/>
        <v>[effect:nothing]</v>
      </c>
      <c r="H78" s="51">
        <f t="shared" si="49"/>
        <v>9</v>
      </c>
      <c r="I78" s="51">
        <f t="shared" si="78"/>
        <v>16</v>
      </c>
      <c r="J78" s="51" t="e">
        <f t="shared" si="79"/>
        <v>#VALUE!</v>
      </c>
      <c r="K78" s="51" t="e">
        <f t="shared" si="80"/>
        <v>#VALUE!</v>
      </c>
      <c r="L78" s="51" t="str">
        <f>IFERROR(VLOOKUP(MID(G78,J78,K78-J78),[6]skilldef!$C:$D,2,FALSE),"-") &amp; " / " &amp; IFERROR(VLOOKUP(MID(G78,H78,I78-H78),[6]skilldef!$A:$B,2,FALSE),"-")</f>
        <v>- / 何もしない</v>
      </c>
      <c r="M78" s="51" t="str">
        <f t="shared" si="81"/>
        <v>none</v>
      </c>
      <c r="N78" s="36" t="str">
        <f t="shared" si="89"/>
        <v>none</v>
      </c>
      <c r="O78" s="51" t="e">
        <f t="shared" si="55"/>
        <v>#VALUE!</v>
      </c>
      <c r="P78" s="51">
        <f t="shared" si="82"/>
        <v>4</v>
      </c>
      <c r="Q78" s="51" t="e">
        <f t="shared" si="83"/>
        <v>#VALUE!</v>
      </c>
      <c r="R78" s="51" t="e">
        <f t="shared" si="84"/>
        <v>#VALUE!</v>
      </c>
      <c r="S78" s="51" t="str">
        <f>IFERROR(VLOOKUP(MID(N78,Q78,R78-Q78),[6]skilldef!$C:$D,2,FALSE),"-") &amp; " / " &amp; IFERROR(VLOOKUP(MID(N78,O78,P78-O78),[6]skilldef!$A:$B,2,FALSE),"-")</f>
        <v>- / -</v>
      </c>
      <c r="T78" s="36" t="str">
        <f t="shared" si="85"/>
        <v>none</v>
      </c>
      <c r="U78" s="51" t="e">
        <f t="shared" si="60"/>
        <v>#VALUE!</v>
      </c>
      <c r="V78" s="51">
        <f t="shared" si="86"/>
        <v>4</v>
      </c>
      <c r="W78" s="51" t="e">
        <f t="shared" si="87"/>
        <v>#VALUE!</v>
      </c>
      <c r="X78" s="51" t="e">
        <f t="shared" si="88"/>
        <v>#VALUE!</v>
      </c>
      <c r="Y78" s="51" t="str">
        <f>IFERROR(VLOOKUP(MID(T78,W78,X78-W78),[6]skilldef!$C:$D,2,FALSE),"-") &amp; " / " &amp; IFERROR(VLOOKUP(MID(T78,U78,V78-U78),[6]skilldef!$A:$B,2,FALSE),"-")</f>
        <v>- / -</v>
      </c>
      <c r="Z78" s="38"/>
      <c r="AA78" s="40"/>
      <c r="AB78" s="38"/>
    </row>
    <row r="79" spans="1:28" ht="21" customHeight="1" x14ac:dyDescent="0.15">
      <c r="A79" s="35">
        <v>49002077</v>
      </c>
      <c r="B79" s="35" t="s">
        <v>238</v>
      </c>
      <c r="C79" s="38">
        <v>3</v>
      </c>
      <c r="D79" s="38" t="s">
        <v>128</v>
      </c>
      <c r="E79" s="39" t="s">
        <v>227</v>
      </c>
      <c r="F79" s="39" t="s">
        <v>214</v>
      </c>
      <c r="G79" s="51" t="str">
        <f t="shared" si="77"/>
        <v>[effect:nothing]</v>
      </c>
      <c r="H79" s="51">
        <f t="shared" si="49"/>
        <v>9</v>
      </c>
      <c r="I79" s="51">
        <f t="shared" si="78"/>
        <v>16</v>
      </c>
      <c r="J79" s="51" t="e">
        <f t="shared" si="79"/>
        <v>#VALUE!</v>
      </c>
      <c r="K79" s="51" t="e">
        <f t="shared" si="80"/>
        <v>#VALUE!</v>
      </c>
      <c r="L79" s="51" t="str">
        <f>IFERROR(VLOOKUP(MID(G79,J79,K79-J79),[6]skilldef!$C:$D,2,FALSE),"-") &amp; " / " &amp; IFERROR(VLOOKUP(MID(G79,H79,I79-H79),[6]skilldef!$A:$B,2,FALSE),"-")</f>
        <v>- / 何もしない</v>
      </c>
      <c r="M79" s="51" t="str">
        <f t="shared" si="81"/>
        <v>none</v>
      </c>
      <c r="N79" s="36" t="str">
        <f t="shared" si="89"/>
        <v>none</v>
      </c>
      <c r="O79" s="51" t="e">
        <f t="shared" si="55"/>
        <v>#VALUE!</v>
      </c>
      <c r="P79" s="51">
        <f t="shared" si="82"/>
        <v>4</v>
      </c>
      <c r="Q79" s="51" t="e">
        <f t="shared" si="83"/>
        <v>#VALUE!</v>
      </c>
      <c r="R79" s="51" t="e">
        <f t="shared" si="84"/>
        <v>#VALUE!</v>
      </c>
      <c r="S79" s="51" t="str">
        <f>IFERROR(VLOOKUP(MID(N79,Q79,R79-Q79),[6]skilldef!$C:$D,2,FALSE),"-") &amp; " / " &amp; IFERROR(VLOOKUP(MID(N79,O79,P79-O79),[6]skilldef!$A:$B,2,FALSE),"-")</f>
        <v>- / -</v>
      </c>
      <c r="T79" s="36" t="str">
        <f t="shared" si="85"/>
        <v>none</v>
      </c>
      <c r="U79" s="51" t="e">
        <f t="shared" si="60"/>
        <v>#VALUE!</v>
      </c>
      <c r="V79" s="51">
        <f t="shared" si="86"/>
        <v>4</v>
      </c>
      <c r="W79" s="51" t="e">
        <f t="shared" si="87"/>
        <v>#VALUE!</v>
      </c>
      <c r="X79" s="51" t="e">
        <f t="shared" si="88"/>
        <v>#VALUE!</v>
      </c>
      <c r="Y79" s="51" t="str">
        <f>IFERROR(VLOOKUP(MID(T79,W79,X79-W79),[6]skilldef!$C:$D,2,FALSE),"-") &amp; " / " &amp; IFERROR(VLOOKUP(MID(T79,U79,V79-U79),[6]skilldef!$A:$B,2,FALSE),"-")</f>
        <v>- / -</v>
      </c>
      <c r="Z79" s="38"/>
      <c r="AA79" s="40"/>
      <c r="AB79" s="38"/>
    </row>
    <row r="80" spans="1:28" ht="21" customHeight="1" x14ac:dyDescent="0.15">
      <c r="A80" s="35">
        <v>49002078</v>
      </c>
      <c r="B80" s="35" t="s">
        <v>238</v>
      </c>
      <c r="C80" s="38">
        <v>3</v>
      </c>
      <c r="D80" s="38" t="s">
        <v>128</v>
      </c>
      <c r="E80" s="39" t="s">
        <v>227</v>
      </c>
      <c r="F80" s="39" t="s">
        <v>214</v>
      </c>
      <c r="G80" s="51" t="str">
        <f t="shared" si="77"/>
        <v>[effect:nothing]</v>
      </c>
      <c r="H80" s="51">
        <f t="shared" si="49"/>
        <v>9</v>
      </c>
      <c r="I80" s="51">
        <f t="shared" si="78"/>
        <v>16</v>
      </c>
      <c r="J80" s="51" t="e">
        <f t="shared" si="79"/>
        <v>#VALUE!</v>
      </c>
      <c r="K80" s="51" t="e">
        <f t="shared" si="80"/>
        <v>#VALUE!</v>
      </c>
      <c r="L80" s="51" t="str">
        <f>IFERROR(VLOOKUP(MID(G80,J80,K80-J80),[6]skilldef!$C:$D,2,FALSE),"-") &amp; " / " &amp; IFERROR(VLOOKUP(MID(G80,H80,I80-H80),[6]skilldef!$A:$B,2,FALSE),"-")</f>
        <v>- / 何もしない</v>
      </c>
      <c r="M80" s="51" t="str">
        <f t="shared" si="81"/>
        <v>none</v>
      </c>
      <c r="N80" s="36" t="str">
        <f t="shared" si="89"/>
        <v>none</v>
      </c>
      <c r="O80" s="51" t="e">
        <f t="shared" si="55"/>
        <v>#VALUE!</v>
      </c>
      <c r="P80" s="51">
        <f t="shared" si="82"/>
        <v>4</v>
      </c>
      <c r="Q80" s="51" t="e">
        <f t="shared" si="83"/>
        <v>#VALUE!</v>
      </c>
      <c r="R80" s="51" t="e">
        <f t="shared" si="84"/>
        <v>#VALUE!</v>
      </c>
      <c r="S80" s="51" t="str">
        <f>IFERROR(VLOOKUP(MID(N80,Q80,R80-Q80),[6]skilldef!$C:$D,2,FALSE),"-") &amp; " / " &amp; IFERROR(VLOOKUP(MID(N80,O80,P80-O80),[6]skilldef!$A:$B,2,FALSE),"-")</f>
        <v>- / -</v>
      </c>
      <c r="T80" s="36" t="str">
        <f t="shared" si="85"/>
        <v>none</v>
      </c>
      <c r="U80" s="51" t="e">
        <f t="shared" si="60"/>
        <v>#VALUE!</v>
      </c>
      <c r="V80" s="51">
        <f t="shared" si="86"/>
        <v>4</v>
      </c>
      <c r="W80" s="51" t="e">
        <f t="shared" si="87"/>
        <v>#VALUE!</v>
      </c>
      <c r="X80" s="51" t="e">
        <f t="shared" si="88"/>
        <v>#VALUE!</v>
      </c>
      <c r="Y80" s="51" t="str">
        <f>IFERROR(VLOOKUP(MID(T80,W80,X80-W80),[6]skilldef!$C:$D,2,FALSE),"-") &amp; " / " &amp; IFERROR(VLOOKUP(MID(T80,U80,V80-U80),[6]skilldef!$A:$B,2,FALSE),"-")</f>
        <v>- / -</v>
      </c>
      <c r="Z80" s="38"/>
      <c r="AA80" s="40"/>
      <c r="AB80" s="38"/>
    </row>
    <row r="81" spans="1:28" ht="21" customHeight="1" x14ac:dyDescent="0.15">
      <c r="A81" s="35">
        <v>49002079</v>
      </c>
      <c r="B81" s="35" t="s">
        <v>238</v>
      </c>
      <c r="C81" s="38">
        <v>3</v>
      </c>
      <c r="D81" s="38" t="s">
        <v>128</v>
      </c>
      <c r="E81" s="39" t="s">
        <v>227</v>
      </c>
      <c r="F81" s="39" t="s">
        <v>214</v>
      </c>
      <c r="G81" s="51" t="str">
        <f t="shared" si="77"/>
        <v>[effect:nothing]</v>
      </c>
      <c r="H81" s="51">
        <f t="shared" si="49"/>
        <v>9</v>
      </c>
      <c r="I81" s="51">
        <f t="shared" si="78"/>
        <v>16</v>
      </c>
      <c r="J81" s="51" t="e">
        <f t="shared" si="79"/>
        <v>#VALUE!</v>
      </c>
      <c r="K81" s="51" t="e">
        <f t="shared" si="80"/>
        <v>#VALUE!</v>
      </c>
      <c r="L81" s="51" t="str">
        <f>IFERROR(VLOOKUP(MID(G81,J81,K81-J81),[6]skilldef!$C:$D,2,FALSE),"-") &amp; " / " &amp; IFERROR(VLOOKUP(MID(G81,H81,I81-H81),[6]skilldef!$A:$B,2,FALSE),"-")</f>
        <v>- / 何もしない</v>
      </c>
      <c r="M81" s="51" t="str">
        <f t="shared" si="81"/>
        <v>none</v>
      </c>
      <c r="N81" s="36" t="str">
        <f t="shared" si="89"/>
        <v>none</v>
      </c>
      <c r="O81" s="51" t="e">
        <f t="shared" si="55"/>
        <v>#VALUE!</v>
      </c>
      <c r="P81" s="51">
        <f t="shared" si="82"/>
        <v>4</v>
      </c>
      <c r="Q81" s="51" t="e">
        <f t="shared" si="83"/>
        <v>#VALUE!</v>
      </c>
      <c r="R81" s="51" t="e">
        <f t="shared" si="84"/>
        <v>#VALUE!</v>
      </c>
      <c r="S81" s="51" t="str">
        <f>IFERROR(VLOOKUP(MID(N81,Q81,R81-Q81),[6]skilldef!$C:$D,2,FALSE),"-") &amp; " / " &amp; IFERROR(VLOOKUP(MID(N81,O81,P81-O81),[6]skilldef!$A:$B,2,FALSE),"-")</f>
        <v>- / -</v>
      </c>
      <c r="T81" s="36" t="str">
        <f t="shared" si="85"/>
        <v>none</v>
      </c>
      <c r="U81" s="51" t="e">
        <f t="shared" si="60"/>
        <v>#VALUE!</v>
      </c>
      <c r="V81" s="51">
        <f t="shared" si="86"/>
        <v>4</v>
      </c>
      <c r="W81" s="51" t="e">
        <f t="shared" si="87"/>
        <v>#VALUE!</v>
      </c>
      <c r="X81" s="51" t="e">
        <f t="shared" si="88"/>
        <v>#VALUE!</v>
      </c>
      <c r="Y81" s="51" t="str">
        <f>IFERROR(VLOOKUP(MID(T81,W81,X81-W81),[6]skilldef!$C:$D,2,FALSE),"-") &amp; " / " &amp; IFERROR(VLOOKUP(MID(T81,U81,V81-U81),[6]skilldef!$A:$B,2,FALSE),"-")</f>
        <v>- / -</v>
      </c>
      <c r="Z81" s="38"/>
      <c r="AA81" s="40"/>
      <c r="AB81" s="3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1"/>
  <sheetViews>
    <sheetView showGridLines="0" workbookViewId="0">
      <pane ySplit="1" topLeftCell="A40" activePane="bottomLeft" state="frozenSplit"/>
      <selection pane="bottomLeft" activeCell="C69" sqref="C69"/>
    </sheetView>
  </sheetViews>
  <sheetFormatPr baseColWidth="12" defaultColWidth="12.83203125" defaultRowHeight="21" customHeight="1" x14ac:dyDescent="0.15"/>
  <cols>
    <col min="1" max="1" width="16.1640625" style="37" bestFit="1" customWidth="1"/>
    <col min="2" max="2" width="13.33203125" style="37" bestFit="1" customWidth="1"/>
    <col min="3" max="3" width="11.83203125" style="37" bestFit="1" customWidth="1"/>
    <col min="4" max="4" width="14.6640625" style="37" bestFit="1" customWidth="1"/>
    <col min="5" max="5" width="15.6640625" style="37" bestFit="1" customWidth="1"/>
    <col min="6" max="6" width="17" style="37" bestFit="1" customWidth="1"/>
    <col min="7" max="7" width="15.6640625" style="37" bestFit="1" customWidth="1"/>
    <col min="8" max="9" width="14.6640625" style="37" customWidth="1"/>
    <col min="10" max="10" width="14.6640625" style="37" bestFit="1" customWidth="1"/>
    <col min="11" max="11" width="22.83203125" style="27" bestFit="1" customWidth="1"/>
    <col min="12" max="16384" width="12.83203125" style="33"/>
  </cols>
  <sheetData>
    <row r="1" spans="1:11" ht="21" customHeight="1" x14ac:dyDescent="0.15">
      <c r="A1" s="30" t="s">
        <v>84</v>
      </c>
      <c r="B1" s="30" t="s">
        <v>85</v>
      </c>
      <c r="C1" s="30" t="s">
        <v>86</v>
      </c>
      <c r="D1" s="30" t="s">
        <v>87</v>
      </c>
      <c r="E1" s="30" t="s">
        <v>70</v>
      </c>
      <c r="F1" s="41" t="s">
        <v>71</v>
      </c>
      <c r="G1" s="41" t="s">
        <v>72</v>
      </c>
      <c r="H1" s="30" t="s">
        <v>73</v>
      </c>
      <c r="I1" s="30" t="s">
        <v>74</v>
      </c>
      <c r="J1" s="30" t="s">
        <v>75</v>
      </c>
      <c r="K1" s="42" t="s">
        <v>88</v>
      </c>
    </row>
    <row r="2" spans="1:11" ht="21" customHeight="1" x14ac:dyDescent="0.15">
      <c r="A2" s="35">
        <v>49002000</v>
      </c>
      <c r="B2" s="35">
        <v>1</v>
      </c>
      <c r="C2" s="35" t="s">
        <v>89</v>
      </c>
      <c r="D2" s="35">
        <v>100</v>
      </c>
      <c r="E2" s="35" t="s">
        <v>215</v>
      </c>
      <c r="F2" s="35" t="s">
        <v>90</v>
      </c>
      <c r="G2" s="35">
        <v>1</v>
      </c>
      <c r="H2" s="35" t="s">
        <v>90</v>
      </c>
      <c r="I2" s="35" t="s">
        <v>90</v>
      </c>
      <c r="J2" s="36">
        <f t="shared" ref="J2" si="0">D2</f>
        <v>100</v>
      </c>
    </row>
    <row r="3" spans="1:11" ht="21" customHeight="1" x14ac:dyDescent="0.15">
      <c r="A3" s="35">
        <v>49002001</v>
      </c>
      <c r="B3" s="35">
        <v>0</v>
      </c>
      <c r="C3" s="35" t="s">
        <v>89</v>
      </c>
      <c r="D3" s="35">
        <v>20</v>
      </c>
      <c r="E3" s="35" t="s">
        <v>215</v>
      </c>
      <c r="F3" s="35" t="s">
        <v>90</v>
      </c>
      <c r="G3" s="35" t="s">
        <v>216</v>
      </c>
      <c r="H3" s="35" t="s">
        <v>90</v>
      </c>
      <c r="I3" s="35" t="s">
        <v>90</v>
      </c>
      <c r="J3" s="36">
        <f t="shared" ref="J3:J66" si="1">D3</f>
        <v>20</v>
      </c>
    </row>
    <row r="4" spans="1:11" ht="21" customHeight="1" x14ac:dyDescent="0.15">
      <c r="A4" s="35">
        <v>49002002</v>
      </c>
      <c r="B4" s="35">
        <v>0</v>
      </c>
      <c r="C4" s="35" t="s">
        <v>89</v>
      </c>
      <c r="D4" s="35">
        <v>100</v>
      </c>
      <c r="E4" s="35" t="s">
        <v>215</v>
      </c>
      <c r="F4" s="35" t="s">
        <v>90</v>
      </c>
      <c r="G4" s="35" t="s">
        <v>216</v>
      </c>
      <c r="H4" s="35" t="s">
        <v>90</v>
      </c>
      <c r="I4" s="35" t="s">
        <v>90</v>
      </c>
      <c r="J4" s="36">
        <f t="shared" si="1"/>
        <v>100</v>
      </c>
    </row>
    <row r="5" spans="1:11" ht="21" customHeight="1" x14ac:dyDescent="0.15">
      <c r="A5" s="35">
        <v>49002003</v>
      </c>
      <c r="B5" s="35">
        <v>0</v>
      </c>
      <c r="C5" s="35" t="s">
        <v>89</v>
      </c>
      <c r="D5" s="35">
        <v>100</v>
      </c>
      <c r="E5" s="35" t="s">
        <v>215</v>
      </c>
      <c r="F5" s="35" t="s">
        <v>90</v>
      </c>
      <c r="G5" s="35" t="s">
        <v>216</v>
      </c>
      <c r="H5" s="35" t="s">
        <v>90</v>
      </c>
      <c r="I5" s="35" t="s">
        <v>90</v>
      </c>
      <c r="J5" s="36">
        <f t="shared" si="1"/>
        <v>100</v>
      </c>
    </row>
    <row r="6" spans="1:11" ht="21" customHeight="1" x14ac:dyDescent="0.15">
      <c r="A6" s="35">
        <v>49002004</v>
      </c>
      <c r="B6" s="35">
        <v>0</v>
      </c>
      <c r="C6" s="35" t="s">
        <v>89</v>
      </c>
      <c r="D6" s="35">
        <v>100</v>
      </c>
      <c r="E6" s="35" t="s">
        <v>215</v>
      </c>
      <c r="F6" s="35" t="s">
        <v>90</v>
      </c>
      <c r="G6" s="35" t="s">
        <v>216</v>
      </c>
      <c r="H6" s="35" t="s">
        <v>90</v>
      </c>
      <c r="I6" s="35" t="s">
        <v>90</v>
      </c>
      <c r="J6" s="36">
        <f t="shared" si="1"/>
        <v>100</v>
      </c>
    </row>
    <row r="7" spans="1:11" ht="21" customHeight="1" x14ac:dyDescent="0.15">
      <c r="A7" s="35">
        <v>49002005</v>
      </c>
      <c r="B7" s="35">
        <v>1</v>
      </c>
      <c r="C7" s="35" t="s">
        <v>89</v>
      </c>
      <c r="D7" s="35">
        <v>100</v>
      </c>
      <c r="E7" s="35" t="s">
        <v>215</v>
      </c>
      <c r="F7" s="35" t="s">
        <v>90</v>
      </c>
      <c r="G7" s="35">
        <v>1</v>
      </c>
      <c r="H7" s="35" t="s">
        <v>90</v>
      </c>
      <c r="I7" s="35" t="s">
        <v>90</v>
      </c>
      <c r="J7" s="36">
        <f t="shared" si="1"/>
        <v>100</v>
      </c>
    </row>
    <row r="8" spans="1:11" ht="21" customHeight="1" x14ac:dyDescent="0.15">
      <c r="A8" s="35">
        <v>49002006</v>
      </c>
      <c r="B8" s="35">
        <v>0</v>
      </c>
      <c r="C8" s="35" t="s">
        <v>89</v>
      </c>
      <c r="D8" s="35">
        <v>20</v>
      </c>
      <c r="E8" s="35" t="s">
        <v>215</v>
      </c>
      <c r="F8" s="35" t="s">
        <v>90</v>
      </c>
      <c r="G8" s="35" t="s">
        <v>216</v>
      </c>
      <c r="H8" s="35" t="s">
        <v>90</v>
      </c>
      <c r="I8" s="35" t="s">
        <v>90</v>
      </c>
      <c r="J8" s="36">
        <f t="shared" si="1"/>
        <v>20</v>
      </c>
    </row>
    <row r="9" spans="1:11" ht="21" customHeight="1" x14ac:dyDescent="0.15">
      <c r="A9" s="35">
        <v>49002007</v>
      </c>
      <c r="B9" s="35">
        <v>0</v>
      </c>
      <c r="C9" s="35" t="s">
        <v>89</v>
      </c>
      <c r="D9" s="35">
        <v>100</v>
      </c>
      <c r="E9" s="35" t="s">
        <v>215</v>
      </c>
      <c r="F9" s="35" t="s">
        <v>90</v>
      </c>
      <c r="G9" s="35" t="s">
        <v>216</v>
      </c>
      <c r="H9" s="35" t="s">
        <v>90</v>
      </c>
      <c r="I9" s="35" t="s">
        <v>90</v>
      </c>
      <c r="J9" s="36">
        <f t="shared" si="1"/>
        <v>100</v>
      </c>
    </row>
    <row r="10" spans="1:11" ht="21" customHeight="1" x14ac:dyDescent="0.15">
      <c r="A10" s="35">
        <v>49002008</v>
      </c>
      <c r="B10" s="35">
        <v>0</v>
      </c>
      <c r="C10" s="35" t="s">
        <v>89</v>
      </c>
      <c r="D10" s="35">
        <v>100</v>
      </c>
      <c r="E10" s="35" t="s">
        <v>215</v>
      </c>
      <c r="F10" s="35" t="s">
        <v>90</v>
      </c>
      <c r="G10" s="35" t="s">
        <v>216</v>
      </c>
      <c r="H10" s="35" t="s">
        <v>90</v>
      </c>
      <c r="I10" s="35" t="s">
        <v>90</v>
      </c>
      <c r="J10" s="36">
        <f t="shared" si="1"/>
        <v>100</v>
      </c>
    </row>
    <row r="11" spans="1:11" ht="21" customHeight="1" x14ac:dyDescent="0.15">
      <c r="A11" s="35">
        <v>49002009</v>
      </c>
      <c r="B11" s="35">
        <v>0</v>
      </c>
      <c r="C11" s="35" t="s">
        <v>89</v>
      </c>
      <c r="D11" s="35">
        <v>100</v>
      </c>
      <c r="E11" s="35" t="s">
        <v>215</v>
      </c>
      <c r="F11" s="35" t="s">
        <v>90</v>
      </c>
      <c r="G11" s="35" t="s">
        <v>216</v>
      </c>
      <c r="H11" s="35" t="s">
        <v>90</v>
      </c>
      <c r="I11" s="35" t="s">
        <v>90</v>
      </c>
      <c r="J11" s="36">
        <f t="shared" si="1"/>
        <v>100</v>
      </c>
    </row>
    <row r="12" spans="1:11" ht="21" customHeight="1" x14ac:dyDescent="0.15">
      <c r="A12" s="35">
        <v>49002010</v>
      </c>
      <c r="B12" s="35">
        <v>1</v>
      </c>
      <c r="C12" s="35" t="s">
        <v>89</v>
      </c>
      <c r="D12" s="35">
        <v>100</v>
      </c>
      <c r="E12" s="35" t="s">
        <v>215</v>
      </c>
      <c r="F12" s="35" t="s">
        <v>90</v>
      </c>
      <c r="G12" s="35">
        <v>1</v>
      </c>
      <c r="H12" s="35" t="s">
        <v>90</v>
      </c>
      <c r="I12" s="35" t="s">
        <v>90</v>
      </c>
      <c r="J12" s="36">
        <f t="shared" si="1"/>
        <v>100</v>
      </c>
    </row>
    <row r="13" spans="1:11" ht="21" customHeight="1" x14ac:dyDescent="0.15">
      <c r="A13" s="35">
        <v>49002011</v>
      </c>
      <c r="B13" s="35">
        <v>0</v>
      </c>
      <c r="C13" s="35" t="s">
        <v>89</v>
      </c>
      <c r="D13" s="35">
        <v>100</v>
      </c>
      <c r="E13" s="35" t="s">
        <v>215</v>
      </c>
      <c r="F13" s="35" t="s">
        <v>90</v>
      </c>
      <c r="G13" s="35">
        <v>1</v>
      </c>
      <c r="H13" s="35" t="s">
        <v>90</v>
      </c>
      <c r="I13" s="35">
        <v>706</v>
      </c>
      <c r="J13" s="36">
        <f t="shared" si="1"/>
        <v>100</v>
      </c>
    </row>
    <row r="14" spans="1:11" ht="21" customHeight="1" x14ac:dyDescent="0.15">
      <c r="A14" s="35">
        <v>49002012</v>
      </c>
      <c r="B14" s="35">
        <v>0</v>
      </c>
      <c r="C14" s="35" t="s">
        <v>89</v>
      </c>
      <c r="D14" s="35">
        <v>100</v>
      </c>
      <c r="E14" s="35" t="s">
        <v>215</v>
      </c>
      <c r="F14" s="35" t="s">
        <v>90</v>
      </c>
      <c r="G14" s="35" t="s">
        <v>216</v>
      </c>
      <c r="H14" s="35" t="s">
        <v>90</v>
      </c>
      <c r="I14" s="35" t="s">
        <v>90</v>
      </c>
      <c r="J14" s="36">
        <f t="shared" si="1"/>
        <v>100</v>
      </c>
    </row>
    <row r="15" spans="1:11" ht="21" customHeight="1" x14ac:dyDescent="0.15">
      <c r="A15" s="35">
        <v>49002013</v>
      </c>
      <c r="B15" s="35">
        <v>0</v>
      </c>
      <c r="C15" s="35" t="s">
        <v>89</v>
      </c>
      <c r="D15" s="35">
        <v>100</v>
      </c>
      <c r="E15" s="35" t="s">
        <v>215</v>
      </c>
      <c r="F15" s="35" t="s">
        <v>90</v>
      </c>
      <c r="G15" s="35" t="s">
        <v>216</v>
      </c>
      <c r="H15" s="35" t="s">
        <v>90</v>
      </c>
      <c r="I15" s="35" t="s">
        <v>90</v>
      </c>
      <c r="J15" s="36">
        <f t="shared" si="1"/>
        <v>100</v>
      </c>
    </row>
    <row r="16" spans="1:11" ht="21" customHeight="1" x14ac:dyDescent="0.15">
      <c r="A16" s="35">
        <v>49002014</v>
      </c>
      <c r="B16" s="35">
        <v>0</v>
      </c>
      <c r="C16" s="35" t="s">
        <v>89</v>
      </c>
      <c r="D16" s="35">
        <v>100</v>
      </c>
      <c r="E16" s="35" t="s">
        <v>215</v>
      </c>
      <c r="F16" s="35" t="s">
        <v>90</v>
      </c>
      <c r="G16" s="35" t="s">
        <v>216</v>
      </c>
      <c r="H16" s="35" t="s">
        <v>90</v>
      </c>
      <c r="I16" s="35" t="s">
        <v>90</v>
      </c>
      <c r="J16" s="36">
        <f t="shared" si="1"/>
        <v>100</v>
      </c>
    </row>
    <row r="17" spans="1:10" ht="21" customHeight="1" x14ac:dyDescent="0.15">
      <c r="A17" s="35">
        <v>49002015</v>
      </c>
      <c r="B17" s="35">
        <v>1</v>
      </c>
      <c r="C17" s="35" t="s">
        <v>89</v>
      </c>
      <c r="D17" s="35">
        <v>100</v>
      </c>
      <c r="E17" s="35" t="s">
        <v>215</v>
      </c>
      <c r="F17" s="35" t="s">
        <v>90</v>
      </c>
      <c r="G17" s="35">
        <v>1</v>
      </c>
      <c r="H17" s="35" t="s">
        <v>90</v>
      </c>
      <c r="I17" s="35" t="s">
        <v>90</v>
      </c>
      <c r="J17" s="36">
        <f t="shared" si="1"/>
        <v>100</v>
      </c>
    </row>
    <row r="18" spans="1:10" ht="21" customHeight="1" x14ac:dyDescent="0.15">
      <c r="A18" s="35">
        <v>49002016</v>
      </c>
      <c r="B18" s="35">
        <v>0</v>
      </c>
      <c r="C18" s="35">
        <v>100</v>
      </c>
      <c r="D18" s="35">
        <v>100</v>
      </c>
      <c r="E18" s="35" t="s">
        <v>215</v>
      </c>
      <c r="F18" s="35" t="s">
        <v>90</v>
      </c>
      <c r="G18" s="35">
        <v>1</v>
      </c>
      <c r="H18" s="35" t="s">
        <v>90</v>
      </c>
      <c r="I18" s="35" t="s">
        <v>53</v>
      </c>
      <c r="J18" s="36">
        <f t="shared" si="1"/>
        <v>100</v>
      </c>
    </row>
    <row r="19" spans="1:10" ht="21" customHeight="1" x14ac:dyDescent="0.15">
      <c r="A19" s="35">
        <v>49002017</v>
      </c>
      <c r="B19" s="35">
        <v>0</v>
      </c>
      <c r="C19" s="35">
        <v>90</v>
      </c>
      <c r="D19" s="35">
        <v>100</v>
      </c>
      <c r="E19" s="35" t="s">
        <v>215</v>
      </c>
      <c r="F19" s="35" t="s">
        <v>90</v>
      </c>
      <c r="G19" s="35">
        <v>0</v>
      </c>
      <c r="H19" s="35" t="s">
        <v>53</v>
      </c>
      <c r="I19" s="35">
        <v>0</v>
      </c>
      <c r="J19" s="36">
        <f t="shared" si="1"/>
        <v>100</v>
      </c>
    </row>
    <row r="20" spans="1:10" ht="21" customHeight="1" x14ac:dyDescent="0.15">
      <c r="A20" s="35">
        <v>49002018</v>
      </c>
      <c r="B20" s="35">
        <v>0</v>
      </c>
      <c r="C20" s="35" t="s">
        <v>89</v>
      </c>
      <c r="D20" s="35">
        <v>100</v>
      </c>
      <c r="E20" s="35" t="s">
        <v>215</v>
      </c>
      <c r="F20" s="35" t="s">
        <v>90</v>
      </c>
      <c r="G20" s="35" t="s">
        <v>216</v>
      </c>
      <c r="H20" s="35" t="s">
        <v>90</v>
      </c>
      <c r="I20" s="35" t="s">
        <v>90</v>
      </c>
      <c r="J20" s="36">
        <f t="shared" si="1"/>
        <v>100</v>
      </c>
    </row>
    <row r="21" spans="1:10" ht="21" customHeight="1" x14ac:dyDescent="0.15">
      <c r="A21" s="35">
        <v>49002019</v>
      </c>
      <c r="B21" s="35">
        <v>0</v>
      </c>
      <c r="C21" s="35" t="s">
        <v>89</v>
      </c>
      <c r="D21" s="35">
        <v>100</v>
      </c>
      <c r="E21" s="35" t="s">
        <v>215</v>
      </c>
      <c r="F21" s="35" t="s">
        <v>90</v>
      </c>
      <c r="G21" s="35" t="s">
        <v>216</v>
      </c>
      <c r="H21" s="35" t="s">
        <v>90</v>
      </c>
      <c r="I21" s="35" t="s">
        <v>90</v>
      </c>
      <c r="J21" s="36">
        <f t="shared" si="1"/>
        <v>100</v>
      </c>
    </row>
    <row r="22" spans="1:10" ht="21" customHeight="1" x14ac:dyDescent="0.15">
      <c r="A22" s="35">
        <v>49002020</v>
      </c>
      <c r="B22" s="35">
        <v>1</v>
      </c>
      <c r="C22" s="35" t="s">
        <v>89</v>
      </c>
      <c r="D22" s="35">
        <v>100</v>
      </c>
      <c r="E22" s="35" t="s">
        <v>215</v>
      </c>
      <c r="F22" s="35" t="s">
        <v>90</v>
      </c>
      <c r="G22" s="35">
        <v>1</v>
      </c>
      <c r="H22" s="35" t="s">
        <v>90</v>
      </c>
      <c r="I22" s="35" t="s">
        <v>90</v>
      </c>
      <c r="J22" s="36">
        <f t="shared" si="1"/>
        <v>100</v>
      </c>
    </row>
    <row r="23" spans="1:10" ht="21" customHeight="1" x14ac:dyDescent="0.15">
      <c r="A23" s="35">
        <v>49002021</v>
      </c>
      <c r="B23" s="35">
        <v>0</v>
      </c>
      <c r="C23" s="35" t="s">
        <v>89</v>
      </c>
      <c r="D23" s="35">
        <v>100</v>
      </c>
      <c r="E23" s="35" t="s">
        <v>215</v>
      </c>
      <c r="F23" s="35" t="s">
        <v>90</v>
      </c>
      <c r="G23" s="35" t="s">
        <v>216</v>
      </c>
      <c r="H23" s="35" t="s">
        <v>90</v>
      </c>
      <c r="I23" s="35" t="s">
        <v>90</v>
      </c>
      <c r="J23" s="36">
        <f t="shared" si="1"/>
        <v>100</v>
      </c>
    </row>
    <row r="24" spans="1:10" ht="21" customHeight="1" x14ac:dyDescent="0.15">
      <c r="A24" s="35">
        <v>49002022</v>
      </c>
      <c r="B24" s="35">
        <v>0</v>
      </c>
      <c r="C24" s="35" t="s">
        <v>89</v>
      </c>
      <c r="D24" s="35">
        <v>100</v>
      </c>
      <c r="E24" s="35" t="s">
        <v>215</v>
      </c>
      <c r="F24" s="35" t="s">
        <v>90</v>
      </c>
      <c r="G24" s="35" t="s">
        <v>216</v>
      </c>
      <c r="H24" s="35" t="s">
        <v>90</v>
      </c>
      <c r="I24" s="35" t="s">
        <v>90</v>
      </c>
      <c r="J24" s="36">
        <f t="shared" si="1"/>
        <v>100</v>
      </c>
    </row>
    <row r="25" spans="1:10" ht="21" customHeight="1" x14ac:dyDescent="0.15">
      <c r="A25" s="35">
        <v>49002023</v>
      </c>
      <c r="B25" s="35">
        <v>0</v>
      </c>
      <c r="C25" s="35" t="s">
        <v>89</v>
      </c>
      <c r="D25" s="35">
        <v>100</v>
      </c>
      <c r="E25" s="35" t="s">
        <v>215</v>
      </c>
      <c r="F25" s="35" t="s">
        <v>90</v>
      </c>
      <c r="G25" s="35" t="s">
        <v>216</v>
      </c>
      <c r="H25" s="35" t="s">
        <v>90</v>
      </c>
      <c r="I25" s="35" t="s">
        <v>90</v>
      </c>
      <c r="J25" s="36">
        <f t="shared" si="1"/>
        <v>100</v>
      </c>
    </row>
    <row r="26" spans="1:10" ht="21" customHeight="1" x14ac:dyDescent="0.15">
      <c r="A26" s="35">
        <v>49002024</v>
      </c>
      <c r="B26" s="35">
        <v>0</v>
      </c>
      <c r="C26" s="35" t="s">
        <v>89</v>
      </c>
      <c r="D26" s="35">
        <v>100</v>
      </c>
      <c r="E26" s="35" t="s">
        <v>215</v>
      </c>
      <c r="F26" s="35" t="s">
        <v>90</v>
      </c>
      <c r="G26" s="35" t="s">
        <v>216</v>
      </c>
      <c r="H26" s="35" t="s">
        <v>90</v>
      </c>
      <c r="I26" s="35" t="s">
        <v>90</v>
      </c>
      <c r="J26" s="36">
        <f t="shared" si="1"/>
        <v>100</v>
      </c>
    </row>
    <row r="27" spans="1:10" ht="21" customHeight="1" x14ac:dyDescent="0.15">
      <c r="A27" s="35">
        <v>49002025</v>
      </c>
      <c r="B27" s="35">
        <v>1</v>
      </c>
      <c r="C27" s="35" t="s">
        <v>89</v>
      </c>
      <c r="D27" s="35">
        <v>100</v>
      </c>
      <c r="E27" s="35" t="s">
        <v>215</v>
      </c>
      <c r="F27" s="35" t="s">
        <v>90</v>
      </c>
      <c r="G27" s="35">
        <v>1</v>
      </c>
      <c r="H27" s="35" t="s">
        <v>90</v>
      </c>
      <c r="I27" s="35" t="s">
        <v>90</v>
      </c>
      <c r="J27" s="36">
        <f t="shared" si="1"/>
        <v>100</v>
      </c>
    </row>
    <row r="28" spans="1:10" ht="21" customHeight="1" x14ac:dyDescent="0.15">
      <c r="A28" s="35">
        <v>49002026</v>
      </c>
      <c r="B28" s="35">
        <v>0</v>
      </c>
      <c r="C28" s="35" t="s">
        <v>89</v>
      </c>
      <c r="D28" s="35">
        <v>100</v>
      </c>
      <c r="E28" s="35" t="s">
        <v>215</v>
      </c>
      <c r="F28" s="35" t="s">
        <v>90</v>
      </c>
      <c r="G28" s="35" t="s">
        <v>216</v>
      </c>
      <c r="H28" s="35" t="s">
        <v>90</v>
      </c>
      <c r="I28" s="35" t="s">
        <v>90</v>
      </c>
      <c r="J28" s="36">
        <f t="shared" si="1"/>
        <v>100</v>
      </c>
    </row>
    <row r="29" spans="1:10" ht="21" customHeight="1" x14ac:dyDescent="0.15">
      <c r="A29" s="35">
        <v>49002027</v>
      </c>
      <c r="B29" s="35">
        <v>0</v>
      </c>
      <c r="C29" s="35" t="s">
        <v>89</v>
      </c>
      <c r="D29" s="35">
        <v>100</v>
      </c>
      <c r="E29" s="35" t="s">
        <v>215</v>
      </c>
      <c r="F29" s="35" t="s">
        <v>90</v>
      </c>
      <c r="G29" s="35" t="s">
        <v>216</v>
      </c>
      <c r="H29" s="35" t="s">
        <v>90</v>
      </c>
      <c r="I29" s="35" t="s">
        <v>90</v>
      </c>
      <c r="J29" s="36">
        <f t="shared" si="1"/>
        <v>100</v>
      </c>
    </row>
    <row r="30" spans="1:10" ht="21" customHeight="1" x14ac:dyDescent="0.15">
      <c r="A30" s="35">
        <v>49002028</v>
      </c>
      <c r="B30" s="35">
        <v>0</v>
      </c>
      <c r="C30" s="35" t="s">
        <v>89</v>
      </c>
      <c r="D30" s="35">
        <v>100</v>
      </c>
      <c r="E30" s="35" t="s">
        <v>215</v>
      </c>
      <c r="F30" s="35" t="s">
        <v>90</v>
      </c>
      <c r="G30" s="35" t="s">
        <v>216</v>
      </c>
      <c r="H30" s="35" t="s">
        <v>90</v>
      </c>
      <c r="I30" s="35" t="s">
        <v>90</v>
      </c>
      <c r="J30" s="36">
        <f t="shared" si="1"/>
        <v>100</v>
      </c>
    </row>
    <row r="31" spans="1:10" ht="21" customHeight="1" x14ac:dyDescent="0.15">
      <c r="A31" s="35">
        <v>49002029</v>
      </c>
      <c r="B31" s="35">
        <v>0</v>
      </c>
      <c r="C31" s="35" t="s">
        <v>89</v>
      </c>
      <c r="D31" s="35">
        <v>100</v>
      </c>
      <c r="E31" s="35" t="s">
        <v>215</v>
      </c>
      <c r="F31" s="35" t="s">
        <v>90</v>
      </c>
      <c r="G31" s="35" t="s">
        <v>216</v>
      </c>
      <c r="H31" s="35" t="s">
        <v>90</v>
      </c>
      <c r="I31" s="35" t="s">
        <v>90</v>
      </c>
      <c r="J31" s="36">
        <f t="shared" si="1"/>
        <v>100</v>
      </c>
    </row>
    <row r="32" spans="1:10" ht="21" customHeight="1" x14ac:dyDescent="0.15">
      <c r="A32" s="35">
        <v>49002030</v>
      </c>
      <c r="B32" s="35">
        <v>1</v>
      </c>
      <c r="C32" s="35" t="s">
        <v>89</v>
      </c>
      <c r="D32" s="35">
        <v>100</v>
      </c>
      <c r="E32" s="35" t="s">
        <v>215</v>
      </c>
      <c r="F32" s="35" t="s">
        <v>90</v>
      </c>
      <c r="G32" s="35">
        <v>1</v>
      </c>
      <c r="H32" s="35" t="s">
        <v>90</v>
      </c>
      <c r="I32" s="35" t="s">
        <v>90</v>
      </c>
      <c r="J32" s="36">
        <f t="shared" si="1"/>
        <v>100</v>
      </c>
    </row>
    <row r="33" spans="1:10" ht="21" customHeight="1" x14ac:dyDescent="0.15">
      <c r="A33" s="35">
        <v>49002031</v>
      </c>
      <c r="B33" s="35">
        <v>0</v>
      </c>
      <c r="C33" s="35" t="s">
        <v>89</v>
      </c>
      <c r="D33" s="35">
        <v>20</v>
      </c>
      <c r="E33" s="35" t="s">
        <v>215</v>
      </c>
      <c r="F33" s="35" t="s">
        <v>90</v>
      </c>
      <c r="G33" s="35" t="s">
        <v>216</v>
      </c>
      <c r="H33" s="35" t="s">
        <v>90</v>
      </c>
      <c r="I33" s="35" t="s">
        <v>90</v>
      </c>
      <c r="J33" s="36">
        <f t="shared" si="1"/>
        <v>20</v>
      </c>
    </row>
    <row r="34" spans="1:10" ht="21" customHeight="1" x14ac:dyDescent="0.15">
      <c r="A34" s="35">
        <v>49002032</v>
      </c>
      <c r="B34" s="35">
        <v>0</v>
      </c>
      <c r="C34" s="35" t="s">
        <v>89</v>
      </c>
      <c r="D34" s="35">
        <v>100</v>
      </c>
      <c r="E34" s="35">
        <v>30</v>
      </c>
      <c r="F34" s="35" t="s">
        <v>90</v>
      </c>
      <c r="G34" s="35">
        <v>1</v>
      </c>
      <c r="H34" s="35" t="s">
        <v>90</v>
      </c>
      <c r="I34" s="35" t="s">
        <v>90</v>
      </c>
      <c r="J34" s="36">
        <f t="shared" si="1"/>
        <v>100</v>
      </c>
    </row>
    <row r="35" spans="1:10" ht="21" customHeight="1" x14ac:dyDescent="0.15">
      <c r="A35" s="35">
        <v>49002033</v>
      </c>
      <c r="B35" s="35">
        <v>0</v>
      </c>
      <c r="C35" s="35" t="s">
        <v>89</v>
      </c>
      <c r="D35" s="35">
        <v>100</v>
      </c>
      <c r="E35" s="35" t="s">
        <v>215</v>
      </c>
      <c r="F35" s="35" t="s">
        <v>90</v>
      </c>
      <c r="G35" s="35" t="s">
        <v>216</v>
      </c>
      <c r="H35" s="35" t="s">
        <v>90</v>
      </c>
      <c r="I35" s="35" t="s">
        <v>90</v>
      </c>
      <c r="J35" s="36">
        <f t="shared" si="1"/>
        <v>100</v>
      </c>
    </row>
    <row r="36" spans="1:10" ht="21" customHeight="1" x14ac:dyDescent="0.15">
      <c r="A36" s="35">
        <v>49002034</v>
      </c>
      <c r="B36" s="35">
        <v>0</v>
      </c>
      <c r="C36" s="35" t="s">
        <v>89</v>
      </c>
      <c r="D36" s="35">
        <v>100</v>
      </c>
      <c r="E36" s="35" t="s">
        <v>215</v>
      </c>
      <c r="F36" s="35" t="s">
        <v>90</v>
      </c>
      <c r="G36" s="35" t="s">
        <v>216</v>
      </c>
      <c r="H36" s="35" t="s">
        <v>90</v>
      </c>
      <c r="I36" s="35" t="s">
        <v>90</v>
      </c>
      <c r="J36" s="36">
        <f t="shared" si="1"/>
        <v>100</v>
      </c>
    </row>
    <row r="37" spans="1:10" ht="21" customHeight="1" x14ac:dyDescent="0.15">
      <c r="A37" s="35">
        <v>49002035</v>
      </c>
      <c r="B37" s="35">
        <v>1</v>
      </c>
      <c r="C37" s="35" t="s">
        <v>89</v>
      </c>
      <c r="D37" s="35">
        <v>100</v>
      </c>
      <c r="E37" s="35" t="s">
        <v>215</v>
      </c>
      <c r="F37" s="35" t="s">
        <v>90</v>
      </c>
      <c r="G37" s="35">
        <v>1</v>
      </c>
      <c r="H37" s="35" t="s">
        <v>90</v>
      </c>
      <c r="I37" s="35" t="s">
        <v>90</v>
      </c>
      <c r="J37" s="36">
        <f t="shared" si="1"/>
        <v>100</v>
      </c>
    </row>
    <row r="38" spans="1:10" ht="21" customHeight="1" x14ac:dyDescent="0.15">
      <c r="A38" s="35">
        <v>49002036</v>
      </c>
      <c r="B38" s="35">
        <v>0</v>
      </c>
      <c r="C38" s="35" t="s">
        <v>89</v>
      </c>
      <c r="D38" s="35">
        <v>100</v>
      </c>
      <c r="E38" s="35" t="s">
        <v>215</v>
      </c>
      <c r="F38" s="35" t="s">
        <v>90</v>
      </c>
      <c r="G38" s="35">
        <v>0</v>
      </c>
      <c r="H38" s="35" t="s">
        <v>53</v>
      </c>
      <c r="I38" s="35">
        <v>0</v>
      </c>
      <c r="J38" s="36">
        <f t="shared" si="1"/>
        <v>100</v>
      </c>
    </row>
    <row r="39" spans="1:10" ht="21" customHeight="1" x14ac:dyDescent="0.15">
      <c r="A39" s="35">
        <v>49002037</v>
      </c>
      <c r="B39" s="35">
        <v>0</v>
      </c>
      <c r="C39" s="35">
        <v>100</v>
      </c>
      <c r="D39" s="35">
        <v>100</v>
      </c>
      <c r="E39" s="35" t="s">
        <v>215</v>
      </c>
      <c r="F39" s="35" t="s">
        <v>90</v>
      </c>
      <c r="G39" s="35">
        <v>1</v>
      </c>
      <c r="H39" s="35" t="s">
        <v>90</v>
      </c>
      <c r="I39" s="35" t="s">
        <v>90</v>
      </c>
      <c r="J39" s="36">
        <f t="shared" si="1"/>
        <v>100</v>
      </c>
    </row>
    <row r="40" spans="1:10" ht="21" customHeight="1" x14ac:dyDescent="0.15">
      <c r="A40" s="35">
        <v>49002038</v>
      </c>
      <c r="B40" s="35">
        <v>0</v>
      </c>
      <c r="C40" s="35">
        <v>90</v>
      </c>
      <c r="D40" s="35">
        <v>100</v>
      </c>
      <c r="E40" s="35" t="s">
        <v>215</v>
      </c>
      <c r="F40" s="35" t="s">
        <v>90</v>
      </c>
      <c r="G40" s="35">
        <v>1</v>
      </c>
      <c r="H40" s="35" t="s">
        <v>90</v>
      </c>
      <c r="I40" s="35" t="s">
        <v>90</v>
      </c>
      <c r="J40" s="36">
        <f t="shared" si="1"/>
        <v>100</v>
      </c>
    </row>
    <row r="41" spans="1:10" ht="21" customHeight="1" x14ac:dyDescent="0.15">
      <c r="A41" s="35">
        <v>49002039</v>
      </c>
      <c r="B41" s="35">
        <v>0</v>
      </c>
      <c r="C41" s="35" t="s">
        <v>89</v>
      </c>
      <c r="D41" s="35">
        <v>100</v>
      </c>
      <c r="E41" s="35" t="s">
        <v>215</v>
      </c>
      <c r="F41" s="35" t="s">
        <v>90</v>
      </c>
      <c r="G41" s="35" t="s">
        <v>216</v>
      </c>
      <c r="H41" s="35" t="s">
        <v>90</v>
      </c>
      <c r="I41" s="35" t="s">
        <v>90</v>
      </c>
      <c r="J41" s="36">
        <f t="shared" si="1"/>
        <v>100</v>
      </c>
    </row>
    <row r="42" spans="1:10" ht="21" customHeight="1" x14ac:dyDescent="0.15">
      <c r="A42" s="35">
        <v>49002040</v>
      </c>
      <c r="B42" s="35">
        <v>1</v>
      </c>
      <c r="C42" s="35" t="s">
        <v>89</v>
      </c>
      <c r="D42" s="35">
        <v>100</v>
      </c>
      <c r="E42" s="35" t="s">
        <v>215</v>
      </c>
      <c r="F42" s="35" t="s">
        <v>90</v>
      </c>
      <c r="G42" s="35">
        <v>1</v>
      </c>
      <c r="H42" s="35" t="s">
        <v>90</v>
      </c>
      <c r="I42" s="35" t="s">
        <v>90</v>
      </c>
      <c r="J42" s="36">
        <f t="shared" si="1"/>
        <v>100</v>
      </c>
    </row>
    <row r="43" spans="1:10" ht="21" customHeight="1" x14ac:dyDescent="0.15">
      <c r="A43" s="35">
        <v>49002041</v>
      </c>
      <c r="B43" s="35">
        <v>0</v>
      </c>
      <c r="C43" s="35" t="s">
        <v>89</v>
      </c>
      <c r="D43" s="35">
        <v>20</v>
      </c>
      <c r="E43" s="35" t="s">
        <v>215</v>
      </c>
      <c r="F43" s="35" t="s">
        <v>90</v>
      </c>
      <c r="G43" s="35" t="s">
        <v>216</v>
      </c>
      <c r="H43" s="35" t="s">
        <v>90</v>
      </c>
      <c r="I43" s="35" t="s">
        <v>90</v>
      </c>
      <c r="J43" s="36">
        <f t="shared" si="1"/>
        <v>20</v>
      </c>
    </row>
    <row r="44" spans="1:10" ht="21" customHeight="1" x14ac:dyDescent="0.15">
      <c r="A44" s="35">
        <v>49002042</v>
      </c>
      <c r="B44" s="35">
        <v>0</v>
      </c>
      <c r="C44" s="35" t="s">
        <v>89</v>
      </c>
      <c r="D44" s="35">
        <v>20</v>
      </c>
      <c r="E44" s="35" t="s">
        <v>215</v>
      </c>
      <c r="F44" s="35" t="s">
        <v>90</v>
      </c>
      <c r="G44" s="35" t="s">
        <v>216</v>
      </c>
      <c r="H44" s="35" t="s">
        <v>90</v>
      </c>
      <c r="I44" s="35" t="s">
        <v>90</v>
      </c>
      <c r="J44" s="36">
        <f t="shared" si="1"/>
        <v>20</v>
      </c>
    </row>
    <row r="45" spans="1:10" ht="21" customHeight="1" x14ac:dyDescent="0.15">
      <c r="A45" s="35">
        <v>49002043</v>
      </c>
      <c r="B45" s="35">
        <v>0</v>
      </c>
      <c r="C45" s="35" t="s">
        <v>89</v>
      </c>
      <c r="D45" s="35">
        <v>100</v>
      </c>
      <c r="E45" s="35" t="s">
        <v>215</v>
      </c>
      <c r="F45" s="35" t="s">
        <v>90</v>
      </c>
      <c r="G45" s="35">
        <v>0</v>
      </c>
      <c r="H45" s="35" t="s">
        <v>90</v>
      </c>
      <c r="I45" s="35">
        <v>0</v>
      </c>
      <c r="J45" s="36">
        <f t="shared" si="1"/>
        <v>100</v>
      </c>
    </row>
    <row r="46" spans="1:10" ht="21" customHeight="1" x14ac:dyDescent="0.15">
      <c r="A46" s="35">
        <v>49002044</v>
      </c>
      <c r="B46" s="35">
        <v>0</v>
      </c>
      <c r="C46" s="35" t="s">
        <v>89</v>
      </c>
      <c r="D46" s="35">
        <v>100</v>
      </c>
      <c r="E46" s="35">
        <v>50</v>
      </c>
      <c r="F46" s="35" t="s">
        <v>90</v>
      </c>
      <c r="G46" s="35" t="s">
        <v>216</v>
      </c>
      <c r="H46" s="35" t="s">
        <v>90</v>
      </c>
      <c r="I46" s="35" t="s">
        <v>90</v>
      </c>
      <c r="J46" s="36">
        <f t="shared" si="1"/>
        <v>100</v>
      </c>
    </row>
    <row r="47" spans="1:10" ht="21" customHeight="1" x14ac:dyDescent="0.15">
      <c r="A47" s="35">
        <v>49002045</v>
      </c>
      <c r="B47" s="35">
        <v>0</v>
      </c>
      <c r="C47" s="35" t="s">
        <v>89</v>
      </c>
      <c r="D47" s="35">
        <v>100</v>
      </c>
      <c r="E47" s="35" t="s">
        <v>215</v>
      </c>
      <c r="F47" s="35" t="s">
        <v>90</v>
      </c>
      <c r="G47" s="35" t="s">
        <v>216</v>
      </c>
      <c r="H47" s="35" t="s">
        <v>90</v>
      </c>
      <c r="I47" s="35" t="s">
        <v>90</v>
      </c>
      <c r="J47" s="36">
        <f t="shared" si="1"/>
        <v>100</v>
      </c>
    </row>
    <row r="48" spans="1:10" ht="21" customHeight="1" x14ac:dyDescent="0.15">
      <c r="A48" s="35">
        <v>49002046</v>
      </c>
      <c r="B48" s="35">
        <v>0</v>
      </c>
      <c r="C48" s="35" t="s">
        <v>89</v>
      </c>
      <c r="D48" s="35">
        <v>100</v>
      </c>
      <c r="E48" s="35" t="s">
        <v>215</v>
      </c>
      <c r="F48" s="35" t="s">
        <v>90</v>
      </c>
      <c r="G48" s="35" t="s">
        <v>216</v>
      </c>
      <c r="H48" s="35" t="s">
        <v>90</v>
      </c>
      <c r="I48" s="35" t="s">
        <v>90</v>
      </c>
      <c r="J48" s="36">
        <f t="shared" si="1"/>
        <v>100</v>
      </c>
    </row>
    <row r="49" spans="1:10" ht="21" customHeight="1" x14ac:dyDescent="0.15">
      <c r="A49" s="35">
        <v>49002047</v>
      </c>
      <c r="B49" s="35">
        <v>0</v>
      </c>
      <c r="C49" s="35" t="s">
        <v>89</v>
      </c>
      <c r="D49" s="35">
        <v>100</v>
      </c>
      <c r="E49" s="35" t="s">
        <v>215</v>
      </c>
      <c r="F49" s="35" t="s">
        <v>90</v>
      </c>
      <c r="G49" s="35" t="s">
        <v>216</v>
      </c>
      <c r="H49" s="35" t="s">
        <v>90</v>
      </c>
      <c r="I49" s="35" t="s">
        <v>90</v>
      </c>
      <c r="J49" s="36">
        <f t="shared" si="1"/>
        <v>100</v>
      </c>
    </row>
    <row r="50" spans="1:10" ht="21" customHeight="1" x14ac:dyDescent="0.15">
      <c r="A50" s="35">
        <v>49002048</v>
      </c>
      <c r="B50" s="35">
        <v>0</v>
      </c>
      <c r="C50" s="35" t="s">
        <v>89</v>
      </c>
      <c r="D50" s="35">
        <v>100</v>
      </c>
      <c r="E50" s="35" t="s">
        <v>215</v>
      </c>
      <c r="F50" s="35" t="s">
        <v>90</v>
      </c>
      <c r="G50" s="35" t="s">
        <v>216</v>
      </c>
      <c r="H50" s="35" t="s">
        <v>90</v>
      </c>
      <c r="I50" s="35" t="s">
        <v>90</v>
      </c>
      <c r="J50" s="36">
        <f t="shared" si="1"/>
        <v>100</v>
      </c>
    </row>
    <row r="51" spans="1:10" ht="21" customHeight="1" x14ac:dyDescent="0.15">
      <c r="A51" s="35">
        <v>49002049</v>
      </c>
      <c r="B51" s="35">
        <v>0</v>
      </c>
      <c r="C51" s="35" t="s">
        <v>89</v>
      </c>
      <c r="D51" s="35">
        <v>100</v>
      </c>
      <c r="E51" s="35" t="s">
        <v>215</v>
      </c>
      <c r="F51" s="35" t="s">
        <v>90</v>
      </c>
      <c r="G51" s="35" t="s">
        <v>216</v>
      </c>
      <c r="H51" s="35" t="s">
        <v>90</v>
      </c>
      <c r="I51" s="35" t="s">
        <v>90</v>
      </c>
      <c r="J51" s="36">
        <f t="shared" si="1"/>
        <v>100</v>
      </c>
    </row>
    <row r="52" spans="1:10" ht="21" customHeight="1" x14ac:dyDescent="0.15">
      <c r="A52" s="87">
        <v>49002050</v>
      </c>
      <c r="B52" s="35">
        <v>1</v>
      </c>
      <c r="C52" s="87">
        <v>100</v>
      </c>
      <c r="D52" s="35">
        <v>100</v>
      </c>
      <c r="E52" s="35" t="s">
        <v>215</v>
      </c>
      <c r="F52" s="35" t="s">
        <v>90</v>
      </c>
      <c r="G52" s="35">
        <v>1</v>
      </c>
      <c r="H52" s="35" t="s">
        <v>90</v>
      </c>
      <c r="I52" s="87">
        <v>712</v>
      </c>
      <c r="J52" s="36">
        <f t="shared" si="1"/>
        <v>100</v>
      </c>
    </row>
    <row r="53" spans="1:10" ht="21" customHeight="1" x14ac:dyDescent="0.15">
      <c r="A53" s="35">
        <v>49002051</v>
      </c>
      <c r="B53" s="35">
        <v>0</v>
      </c>
      <c r="C53" s="35" t="s">
        <v>89</v>
      </c>
      <c r="D53" s="35">
        <v>100</v>
      </c>
      <c r="E53" s="35" t="s">
        <v>245</v>
      </c>
      <c r="F53" s="35" t="s">
        <v>90</v>
      </c>
      <c r="G53" s="35" t="s">
        <v>246</v>
      </c>
      <c r="H53" s="35">
        <v>3</v>
      </c>
      <c r="I53" s="35" t="s">
        <v>90</v>
      </c>
      <c r="J53" s="36">
        <f t="shared" si="1"/>
        <v>100</v>
      </c>
    </row>
    <row r="54" spans="1:10" ht="21" customHeight="1" x14ac:dyDescent="0.15">
      <c r="A54" s="35">
        <v>49002052</v>
      </c>
      <c r="B54" s="35">
        <v>0</v>
      </c>
      <c r="C54" s="35" t="s">
        <v>89</v>
      </c>
      <c r="D54" s="35">
        <v>20</v>
      </c>
      <c r="E54" s="35" t="s">
        <v>215</v>
      </c>
      <c r="F54" s="35" t="s">
        <v>90</v>
      </c>
      <c r="G54" s="35" t="s">
        <v>216</v>
      </c>
      <c r="H54" s="35" t="s">
        <v>90</v>
      </c>
      <c r="I54" s="35" t="s">
        <v>90</v>
      </c>
      <c r="J54" s="36">
        <f t="shared" si="1"/>
        <v>20</v>
      </c>
    </row>
    <row r="55" spans="1:10" ht="21" customHeight="1" x14ac:dyDescent="0.15">
      <c r="A55" s="87">
        <v>49002053</v>
      </c>
      <c r="B55" s="35">
        <v>1</v>
      </c>
      <c r="C55" s="87">
        <v>90</v>
      </c>
      <c r="D55" s="35">
        <v>100</v>
      </c>
      <c r="E55" s="35" t="s">
        <v>215</v>
      </c>
      <c r="F55" s="35" t="s">
        <v>90</v>
      </c>
      <c r="G55" s="35">
        <v>1</v>
      </c>
      <c r="H55" s="35" t="s">
        <v>90</v>
      </c>
      <c r="I55" s="87">
        <v>693</v>
      </c>
      <c r="J55" s="36">
        <f t="shared" si="1"/>
        <v>100</v>
      </c>
    </row>
    <row r="56" spans="1:10" ht="21" customHeight="1" x14ac:dyDescent="0.15">
      <c r="A56" s="87">
        <v>49002054</v>
      </c>
      <c r="B56" s="35">
        <v>1</v>
      </c>
      <c r="C56" s="87">
        <v>90</v>
      </c>
      <c r="D56" s="35">
        <v>100</v>
      </c>
      <c r="E56" s="35" t="s">
        <v>215</v>
      </c>
      <c r="F56" s="35" t="s">
        <v>90</v>
      </c>
      <c r="G56" s="35">
        <v>1</v>
      </c>
      <c r="H56" s="35" t="s">
        <v>90</v>
      </c>
      <c r="I56" s="87">
        <v>694</v>
      </c>
      <c r="J56" s="36">
        <f t="shared" si="1"/>
        <v>100</v>
      </c>
    </row>
    <row r="57" spans="1:10" ht="21" customHeight="1" x14ac:dyDescent="0.15">
      <c r="A57" s="87">
        <v>49002055</v>
      </c>
      <c r="B57" s="35">
        <v>1</v>
      </c>
      <c r="C57" s="87">
        <v>80</v>
      </c>
      <c r="D57" s="35">
        <v>100</v>
      </c>
      <c r="E57" s="35" t="s">
        <v>215</v>
      </c>
      <c r="F57" s="35" t="s">
        <v>90</v>
      </c>
      <c r="G57" s="35">
        <v>1</v>
      </c>
      <c r="H57" s="35" t="s">
        <v>90</v>
      </c>
      <c r="I57" s="87">
        <v>696</v>
      </c>
      <c r="J57" s="36">
        <f t="shared" si="1"/>
        <v>100</v>
      </c>
    </row>
    <row r="58" spans="1:10" ht="21" customHeight="1" x14ac:dyDescent="0.15">
      <c r="A58" s="87">
        <v>49002056</v>
      </c>
      <c r="B58" s="35">
        <v>1</v>
      </c>
      <c r="C58" s="87">
        <v>80</v>
      </c>
      <c r="D58" s="35">
        <v>100</v>
      </c>
      <c r="E58" s="35" t="s">
        <v>215</v>
      </c>
      <c r="F58" s="35" t="s">
        <v>90</v>
      </c>
      <c r="G58" s="35">
        <v>1</v>
      </c>
      <c r="H58" s="35" t="s">
        <v>90</v>
      </c>
      <c r="I58" s="87">
        <v>697</v>
      </c>
      <c r="J58" s="36">
        <f t="shared" si="1"/>
        <v>100</v>
      </c>
    </row>
    <row r="59" spans="1:10" ht="21" customHeight="1" x14ac:dyDescent="0.15">
      <c r="A59" s="87">
        <v>49002057</v>
      </c>
      <c r="B59" s="35">
        <v>1</v>
      </c>
      <c r="C59" s="87">
        <v>70</v>
      </c>
      <c r="D59" s="35">
        <v>100</v>
      </c>
      <c r="E59" s="35" t="s">
        <v>215</v>
      </c>
      <c r="F59" s="35" t="s">
        <v>90</v>
      </c>
      <c r="G59" s="35">
        <v>1</v>
      </c>
      <c r="H59" s="35" t="s">
        <v>90</v>
      </c>
      <c r="I59" s="87">
        <v>700</v>
      </c>
      <c r="J59" s="36">
        <f t="shared" si="1"/>
        <v>100</v>
      </c>
    </row>
    <row r="60" spans="1:10" ht="21" customHeight="1" x14ac:dyDescent="0.15">
      <c r="A60" s="87">
        <v>49002058</v>
      </c>
      <c r="B60" s="35">
        <v>1</v>
      </c>
      <c r="C60" s="87">
        <v>70</v>
      </c>
      <c r="D60" s="35">
        <v>100</v>
      </c>
      <c r="E60" s="35" t="s">
        <v>215</v>
      </c>
      <c r="F60" s="35" t="s">
        <v>90</v>
      </c>
      <c r="G60" s="35">
        <v>1</v>
      </c>
      <c r="H60" s="35" t="s">
        <v>90</v>
      </c>
      <c r="I60" s="87">
        <v>701</v>
      </c>
      <c r="J60" s="36">
        <f t="shared" si="1"/>
        <v>100</v>
      </c>
    </row>
    <row r="61" spans="1:10" ht="21" customHeight="1" x14ac:dyDescent="0.15">
      <c r="A61" s="87">
        <v>49002059</v>
      </c>
      <c r="B61" s="35">
        <v>1</v>
      </c>
      <c r="C61" s="87">
        <v>60</v>
      </c>
      <c r="D61" s="35">
        <v>100</v>
      </c>
      <c r="E61" s="35" t="s">
        <v>215</v>
      </c>
      <c r="F61" s="35" t="s">
        <v>90</v>
      </c>
      <c r="G61" s="35">
        <v>1</v>
      </c>
      <c r="H61" s="35" t="s">
        <v>90</v>
      </c>
      <c r="I61" s="87" t="s">
        <v>90</v>
      </c>
      <c r="J61" s="36">
        <f t="shared" si="1"/>
        <v>100</v>
      </c>
    </row>
    <row r="62" spans="1:10" ht="21" customHeight="1" x14ac:dyDescent="0.15">
      <c r="A62" s="35">
        <v>49002060</v>
      </c>
      <c r="B62" s="35">
        <v>1</v>
      </c>
      <c r="C62" s="35" t="s">
        <v>89</v>
      </c>
      <c r="D62" s="35">
        <v>100</v>
      </c>
      <c r="E62" s="35" t="s">
        <v>215</v>
      </c>
      <c r="F62" s="35" t="s">
        <v>90</v>
      </c>
      <c r="G62" s="35">
        <v>1</v>
      </c>
      <c r="H62" s="35" t="s">
        <v>90</v>
      </c>
      <c r="I62" s="35" t="s">
        <v>90</v>
      </c>
      <c r="J62" s="36">
        <f t="shared" si="1"/>
        <v>100</v>
      </c>
    </row>
    <row r="63" spans="1:10" ht="21" customHeight="1" x14ac:dyDescent="0.15">
      <c r="A63" s="35">
        <v>49002061</v>
      </c>
      <c r="B63" s="35">
        <v>0</v>
      </c>
      <c r="C63" s="35" t="s">
        <v>89</v>
      </c>
      <c r="D63" s="35">
        <v>100</v>
      </c>
      <c r="E63" s="35" t="s">
        <v>53</v>
      </c>
      <c r="F63" s="35" t="s">
        <v>90</v>
      </c>
      <c r="G63" s="35" t="s">
        <v>216</v>
      </c>
      <c r="H63" s="35">
        <v>3</v>
      </c>
      <c r="I63" s="35" t="s">
        <v>90</v>
      </c>
      <c r="J63" s="36">
        <f t="shared" si="1"/>
        <v>100</v>
      </c>
    </row>
    <row r="64" spans="1:10" ht="21" customHeight="1" x14ac:dyDescent="0.15">
      <c r="A64" s="35">
        <v>49002062</v>
      </c>
      <c r="B64" s="35">
        <v>0</v>
      </c>
      <c r="C64" s="35" t="s">
        <v>89</v>
      </c>
      <c r="D64" s="35">
        <v>20</v>
      </c>
      <c r="E64" s="35" t="s">
        <v>215</v>
      </c>
      <c r="F64" s="35" t="s">
        <v>90</v>
      </c>
      <c r="G64" s="35" t="s">
        <v>216</v>
      </c>
      <c r="H64" s="35" t="s">
        <v>90</v>
      </c>
      <c r="I64" s="35" t="s">
        <v>90</v>
      </c>
      <c r="J64" s="36">
        <f t="shared" si="1"/>
        <v>20</v>
      </c>
    </row>
    <row r="65" spans="1:10" ht="21" customHeight="1" x14ac:dyDescent="0.15">
      <c r="A65" s="35">
        <v>49002063</v>
      </c>
      <c r="B65" s="35">
        <v>0</v>
      </c>
      <c r="C65" s="35" t="s">
        <v>89</v>
      </c>
      <c r="D65" s="35">
        <v>20</v>
      </c>
      <c r="E65" s="35" t="s">
        <v>215</v>
      </c>
      <c r="F65" s="35" t="s">
        <v>90</v>
      </c>
      <c r="G65" s="35" t="s">
        <v>216</v>
      </c>
      <c r="H65" s="35" t="s">
        <v>90</v>
      </c>
      <c r="I65" s="35" t="s">
        <v>90</v>
      </c>
      <c r="J65" s="36">
        <f t="shared" si="1"/>
        <v>20</v>
      </c>
    </row>
    <row r="66" spans="1:10" ht="21" customHeight="1" x14ac:dyDescent="0.15">
      <c r="A66" s="35">
        <v>49002064</v>
      </c>
      <c r="B66" s="35">
        <v>0</v>
      </c>
      <c r="C66" s="35" t="s">
        <v>89</v>
      </c>
      <c r="D66" s="35">
        <v>20</v>
      </c>
      <c r="E66" s="35" t="s">
        <v>215</v>
      </c>
      <c r="F66" s="35" t="s">
        <v>90</v>
      </c>
      <c r="G66" s="35" t="s">
        <v>216</v>
      </c>
      <c r="H66" s="35" t="s">
        <v>90</v>
      </c>
      <c r="I66" s="35" t="s">
        <v>90</v>
      </c>
      <c r="J66" s="36">
        <f t="shared" si="1"/>
        <v>20</v>
      </c>
    </row>
    <row r="67" spans="1:10" ht="21" customHeight="1" x14ac:dyDescent="0.15">
      <c r="A67" s="35">
        <v>49002065</v>
      </c>
      <c r="B67" s="35">
        <v>0</v>
      </c>
      <c r="C67" s="35">
        <v>100</v>
      </c>
      <c r="D67" s="35">
        <v>100</v>
      </c>
      <c r="E67" s="35">
        <v>50</v>
      </c>
      <c r="F67" s="35" t="s">
        <v>90</v>
      </c>
      <c r="G67" s="35">
        <v>1</v>
      </c>
      <c r="H67" s="35" t="s">
        <v>90</v>
      </c>
      <c r="I67" s="35" t="s">
        <v>90</v>
      </c>
      <c r="J67" s="36">
        <f t="shared" ref="J67:J78" si="2">D67</f>
        <v>100</v>
      </c>
    </row>
    <row r="68" spans="1:10" ht="21" customHeight="1" x14ac:dyDescent="0.15">
      <c r="A68" s="87">
        <v>49002066</v>
      </c>
      <c r="B68" s="35">
        <v>1</v>
      </c>
      <c r="C68" s="87">
        <v>100</v>
      </c>
      <c r="D68" s="35">
        <v>100</v>
      </c>
      <c r="E68" s="35" t="s">
        <v>215</v>
      </c>
      <c r="F68" s="35" t="s">
        <v>90</v>
      </c>
      <c r="G68" s="35">
        <v>1</v>
      </c>
      <c r="H68" s="35" t="s">
        <v>90</v>
      </c>
      <c r="I68" s="87">
        <v>713</v>
      </c>
      <c r="J68" s="36">
        <f t="shared" si="2"/>
        <v>100</v>
      </c>
    </row>
    <row r="69" spans="1:10" ht="21" customHeight="1" x14ac:dyDescent="0.15">
      <c r="A69" s="87">
        <v>49002067</v>
      </c>
      <c r="B69" s="35">
        <v>1</v>
      </c>
      <c r="C69" s="87">
        <v>80</v>
      </c>
      <c r="D69" s="35">
        <v>100</v>
      </c>
      <c r="E69" s="35" t="s">
        <v>215</v>
      </c>
      <c r="F69" s="35" t="s">
        <v>90</v>
      </c>
      <c r="G69" s="35">
        <v>1</v>
      </c>
      <c r="H69" s="35" t="s">
        <v>90</v>
      </c>
      <c r="I69" s="87">
        <v>695</v>
      </c>
      <c r="J69" s="36">
        <f t="shared" si="2"/>
        <v>100</v>
      </c>
    </row>
    <row r="70" spans="1:10" ht="21" customHeight="1" x14ac:dyDescent="0.15">
      <c r="A70" s="35">
        <v>49002068</v>
      </c>
      <c r="B70" s="35">
        <v>0</v>
      </c>
      <c r="C70" s="35" t="s">
        <v>89</v>
      </c>
      <c r="D70" s="35">
        <v>100</v>
      </c>
      <c r="E70" s="35" t="s">
        <v>215</v>
      </c>
      <c r="F70" s="35" t="s">
        <v>90</v>
      </c>
      <c r="G70" s="35" t="s">
        <v>216</v>
      </c>
      <c r="H70" s="35" t="s">
        <v>90</v>
      </c>
      <c r="I70" s="35" t="s">
        <v>90</v>
      </c>
      <c r="J70" s="36">
        <f t="shared" si="2"/>
        <v>100</v>
      </c>
    </row>
    <row r="71" spans="1:10" ht="21" customHeight="1" x14ac:dyDescent="0.15">
      <c r="A71" s="35">
        <v>49002069</v>
      </c>
      <c r="B71" s="35">
        <v>0</v>
      </c>
      <c r="C71" s="35" t="s">
        <v>89</v>
      </c>
      <c r="D71" s="35">
        <v>100</v>
      </c>
      <c r="E71" s="35" t="s">
        <v>215</v>
      </c>
      <c r="F71" s="35" t="s">
        <v>90</v>
      </c>
      <c r="G71" s="35" t="s">
        <v>216</v>
      </c>
      <c r="H71" s="35" t="s">
        <v>90</v>
      </c>
      <c r="I71" s="35" t="s">
        <v>90</v>
      </c>
      <c r="J71" s="36">
        <f t="shared" si="2"/>
        <v>100</v>
      </c>
    </row>
    <row r="72" spans="1:10" ht="21" customHeight="1" x14ac:dyDescent="0.15">
      <c r="A72" s="35">
        <v>49002070</v>
      </c>
      <c r="B72" s="35">
        <v>1</v>
      </c>
      <c r="C72" s="35" t="s">
        <v>89</v>
      </c>
      <c r="D72" s="35">
        <v>100</v>
      </c>
      <c r="E72" s="35" t="s">
        <v>215</v>
      </c>
      <c r="F72" s="35" t="s">
        <v>90</v>
      </c>
      <c r="G72" s="35">
        <v>1</v>
      </c>
      <c r="H72" s="35" t="s">
        <v>90</v>
      </c>
      <c r="I72" s="35" t="s">
        <v>90</v>
      </c>
      <c r="J72" s="36">
        <f t="shared" si="2"/>
        <v>100</v>
      </c>
    </row>
    <row r="73" spans="1:10" ht="21" customHeight="1" x14ac:dyDescent="0.15">
      <c r="A73" s="35">
        <v>49002071</v>
      </c>
      <c r="B73" s="35">
        <v>0</v>
      </c>
      <c r="C73" s="35" t="s">
        <v>89</v>
      </c>
      <c r="D73" s="35">
        <v>100</v>
      </c>
      <c r="E73" s="35" t="s">
        <v>215</v>
      </c>
      <c r="F73" s="35" t="s">
        <v>90</v>
      </c>
      <c r="G73" s="35" t="s">
        <v>216</v>
      </c>
      <c r="H73" s="35">
        <v>3</v>
      </c>
      <c r="I73" s="35" t="s">
        <v>90</v>
      </c>
      <c r="J73" s="36">
        <f t="shared" si="2"/>
        <v>100</v>
      </c>
    </row>
    <row r="74" spans="1:10" ht="21" customHeight="1" x14ac:dyDescent="0.15">
      <c r="A74" s="35">
        <v>49002072</v>
      </c>
      <c r="B74" s="35">
        <v>0</v>
      </c>
      <c r="C74" s="35" t="s">
        <v>89</v>
      </c>
      <c r="D74" s="35">
        <v>20</v>
      </c>
      <c r="E74" s="35" t="s">
        <v>215</v>
      </c>
      <c r="F74" s="35" t="s">
        <v>90</v>
      </c>
      <c r="G74" s="35" t="s">
        <v>216</v>
      </c>
      <c r="H74" s="35" t="s">
        <v>289</v>
      </c>
      <c r="I74" s="35" t="s">
        <v>90</v>
      </c>
      <c r="J74" s="36">
        <f t="shared" si="2"/>
        <v>20</v>
      </c>
    </row>
    <row r="75" spans="1:10" ht="21" customHeight="1" x14ac:dyDescent="0.15">
      <c r="A75" s="35">
        <v>49002073</v>
      </c>
      <c r="B75" s="35">
        <v>0</v>
      </c>
      <c r="C75" s="35" t="s">
        <v>89</v>
      </c>
      <c r="D75" s="35">
        <v>20</v>
      </c>
      <c r="E75" s="35" t="s">
        <v>215</v>
      </c>
      <c r="F75" s="35" t="s">
        <v>90</v>
      </c>
      <c r="G75" s="35" t="s">
        <v>216</v>
      </c>
      <c r="H75" s="35" t="s">
        <v>90</v>
      </c>
      <c r="I75" s="35" t="s">
        <v>90</v>
      </c>
      <c r="J75" s="36">
        <f t="shared" si="2"/>
        <v>20</v>
      </c>
    </row>
    <row r="76" spans="1:10" ht="21" customHeight="1" x14ac:dyDescent="0.15">
      <c r="A76" s="35">
        <v>49002074</v>
      </c>
      <c r="B76" s="35">
        <v>0</v>
      </c>
      <c r="C76" s="35" t="s">
        <v>89</v>
      </c>
      <c r="D76" s="35">
        <v>10</v>
      </c>
      <c r="E76" s="35">
        <v>70</v>
      </c>
      <c r="F76" s="35" t="s">
        <v>90</v>
      </c>
      <c r="G76" s="35">
        <v>1</v>
      </c>
      <c r="H76" s="35" t="s">
        <v>90</v>
      </c>
      <c r="I76" s="35" t="s">
        <v>90</v>
      </c>
      <c r="J76" s="36">
        <f t="shared" si="2"/>
        <v>10</v>
      </c>
    </row>
    <row r="77" spans="1:10" ht="21" customHeight="1" x14ac:dyDescent="0.15">
      <c r="A77" s="35">
        <v>49002075</v>
      </c>
      <c r="B77" s="35">
        <v>0</v>
      </c>
      <c r="C77" s="35" t="s">
        <v>89</v>
      </c>
      <c r="D77" s="35">
        <v>100</v>
      </c>
      <c r="E77" s="35">
        <v>50</v>
      </c>
      <c r="F77" s="35" t="s">
        <v>90</v>
      </c>
      <c r="G77" s="35">
        <v>1</v>
      </c>
      <c r="H77" s="35" t="s">
        <v>90</v>
      </c>
      <c r="I77" s="35" t="s">
        <v>90</v>
      </c>
      <c r="J77" s="36">
        <f t="shared" si="2"/>
        <v>100</v>
      </c>
    </row>
    <row r="78" spans="1:10" ht="21" customHeight="1" x14ac:dyDescent="0.15">
      <c r="A78" s="35">
        <v>49002076</v>
      </c>
      <c r="B78" s="35">
        <v>0</v>
      </c>
      <c r="C78" s="35" t="s">
        <v>89</v>
      </c>
      <c r="D78" s="35">
        <v>100</v>
      </c>
      <c r="E78" s="35" t="s">
        <v>215</v>
      </c>
      <c r="F78" s="35" t="s">
        <v>90</v>
      </c>
      <c r="G78" s="35" t="s">
        <v>216</v>
      </c>
      <c r="H78" s="35" t="s">
        <v>90</v>
      </c>
      <c r="I78" s="35" t="s">
        <v>90</v>
      </c>
      <c r="J78" s="36">
        <f t="shared" si="2"/>
        <v>100</v>
      </c>
    </row>
    <row r="79" spans="1:10" ht="21" customHeight="1" x14ac:dyDescent="0.15">
      <c r="A79" s="35">
        <v>49002077</v>
      </c>
      <c r="B79" s="35">
        <v>0</v>
      </c>
      <c r="C79" s="35" t="s">
        <v>89</v>
      </c>
      <c r="D79" s="35">
        <v>100</v>
      </c>
      <c r="E79" s="35" t="s">
        <v>215</v>
      </c>
      <c r="F79" s="35" t="s">
        <v>90</v>
      </c>
      <c r="G79" s="35" t="s">
        <v>216</v>
      </c>
      <c r="H79" s="35" t="s">
        <v>90</v>
      </c>
      <c r="I79" s="35" t="s">
        <v>90</v>
      </c>
      <c r="J79" s="36">
        <f t="shared" ref="J79:J81" si="3">D79</f>
        <v>100</v>
      </c>
    </row>
    <row r="80" spans="1:10" ht="21" customHeight="1" x14ac:dyDescent="0.15">
      <c r="A80" s="35">
        <v>49002078</v>
      </c>
      <c r="B80" s="35">
        <v>0</v>
      </c>
      <c r="C80" s="35" t="s">
        <v>89</v>
      </c>
      <c r="D80" s="35">
        <v>100</v>
      </c>
      <c r="E80" s="35" t="s">
        <v>215</v>
      </c>
      <c r="F80" s="35" t="s">
        <v>90</v>
      </c>
      <c r="G80" s="35" t="s">
        <v>216</v>
      </c>
      <c r="H80" s="35" t="s">
        <v>90</v>
      </c>
      <c r="I80" s="35" t="s">
        <v>90</v>
      </c>
      <c r="J80" s="36">
        <f t="shared" si="3"/>
        <v>100</v>
      </c>
    </row>
    <row r="81" spans="1:10" ht="21" customHeight="1" x14ac:dyDescent="0.15">
      <c r="A81" s="35">
        <v>49002079</v>
      </c>
      <c r="B81" s="35">
        <v>0</v>
      </c>
      <c r="C81" s="35" t="s">
        <v>89</v>
      </c>
      <c r="D81" s="35">
        <v>100</v>
      </c>
      <c r="E81" s="35" t="s">
        <v>215</v>
      </c>
      <c r="F81" s="35" t="s">
        <v>90</v>
      </c>
      <c r="G81" s="35" t="s">
        <v>216</v>
      </c>
      <c r="H81" s="35" t="s">
        <v>90</v>
      </c>
      <c r="I81" s="35" t="s">
        <v>90</v>
      </c>
      <c r="J81" s="36">
        <f t="shared" si="3"/>
        <v>100</v>
      </c>
    </row>
  </sheetData>
  <autoFilter ref="A1:G1"/>
  <phoneticPr fontId="5"/>
  <conditionalFormatting sqref="K1:K2 K82:K1048576">
    <cfRule type="duplicateValues" dxfId="2" priority="3"/>
  </conditionalFormatting>
  <conditionalFormatting sqref="K3:K78">
    <cfRule type="duplicateValues" dxfId="1" priority="2"/>
  </conditionalFormatting>
  <conditionalFormatting sqref="K79:K8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1"/>
  <sheetViews>
    <sheetView workbookViewId="0">
      <selection activeCell="C24" sqref="C24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162" t="s">
        <v>151</v>
      </c>
      <c r="B1" s="162" t="s">
        <v>152</v>
      </c>
      <c r="C1" s="53" t="s">
        <v>153</v>
      </c>
      <c r="D1" s="163" t="s">
        <v>154</v>
      </c>
      <c r="E1" s="164" t="s">
        <v>155</v>
      </c>
      <c r="F1" s="162" t="s">
        <v>156</v>
      </c>
      <c r="G1" s="162" t="s">
        <v>157</v>
      </c>
      <c r="H1" s="162" t="s">
        <v>158</v>
      </c>
      <c r="I1" s="162" t="s">
        <v>159</v>
      </c>
      <c r="J1" s="162" t="s">
        <v>160</v>
      </c>
      <c r="K1" s="162" t="s">
        <v>161</v>
      </c>
      <c r="L1" s="162" t="s">
        <v>162</v>
      </c>
      <c r="M1" s="162" t="s">
        <v>163</v>
      </c>
      <c r="N1" s="162" t="s">
        <v>164</v>
      </c>
      <c r="O1" s="162" t="s">
        <v>165</v>
      </c>
      <c r="P1" s="162" t="s">
        <v>166</v>
      </c>
      <c r="Q1" s="162" t="s">
        <v>167</v>
      </c>
      <c r="R1" s="162" t="s">
        <v>168</v>
      </c>
    </row>
    <row r="2" spans="1:18" s="169" customFormat="1" x14ac:dyDescent="0.15">
      <c r="A2" s="167">
        <v>49002</v>
      </c>
      <c r="B2" s="168">
        <v>1</v>
      </c>
      <c r="C2" s="168" t="str">
        <f t="shared" ref="C2:C11" si="0">A2&amp; "_"&amp;B2</f>
        <v>49002_1</v>
      </c>
      <c r="D2" s="168" t="str">
        <f>VLOOKUP(C2,[2]stages!$A:$AE,31,FALSE)</f>
        <v>everyone</v>
      </c>
      <c r="E2" s="168">
        <v>1</v>
      </c>
      <c r="F2" s="168" t="s">
        <v>169</v>
      </c>
      <c r="G2" s="168">
        <v>40000</v>
      </c>
      <c r="H2" s="168" t="s">
        <v>292</v>
      </c>
      <c r="I2" s="168">
        <v>1</v>
      </c>
      <c r="J2" s="168">
        <v>1</v>
      </c>
      <c r="K2" s="168">
        <v>0</v>
      </c>
      <c r="L2" s="168">
        <v>0</v>
      </c>
      <c r="M2" s="168">
        <v>0</v>
      </c>
      <c r="N2" s="168">
        <v>0</v>
      </c>
      <c r="O2" s="168">
        <v>1</v>
      </c>
      <c r="P2" s="168">
        <v>150</v>
      </c>
      <c r="Q2" s="168" t="s">
        <v>170</v>
      </c>
      <c r="R2" s="168" t="s">
        <v>171</v>
      </c>
    </row>
    <row r="3" spans="1:18" s="171" customFormat="1" x14ac:dyDescent="0.15">
      <c r="A3" s="170">
        <v>49002</v>
      </c>
      <c r="B3" s="85">
        <v>1</v>
      </c>
      <c r="C3" s="85" t="str">
        <f t="shared" si="0"/>
        <v>49002_1</v>
      </c>
      <c r="D3" s="85" t="str">
        <f>VLOOKUP(C3,[2]stages!$A:$AE,31,FALSE)</f>
        <v>everyone</v>
      </c>
      <c r="E3" s="85">
        <v>2</v>
      </c>
      <c r="F3" s="85" t="s">
        <v>293</v>
      </c>
      <c r="G3" s="85">
        <v>30</v>
      </c>
      <c r="H3" s="85" t="s">
        <v>292</v>
      </c>
      <c r="I3" s="85">
        <v>1</v>
      </c>
      <c r="J3" s="85">
        <v>1</v>
      </c>
      <c r="K3" s="85">
        <v>0</v>
      </c>
      <c r="L3" s="85">
        <v>0</v>
      </c>
      <c r="M3" s="85">
        <v>0</v>
      </c>
      <c r="N3" s="85">
        <v>0</v>
      </c>
      <c r="O3" s="85">
        <v>1</v>
      </c>
      <c r="P3" s="85">
        <v>150</v>
      </c>
      <c r="Q3" s="85" t="s">
        <v>170</v>
      </c>
      <c r="R3" s="85" t="s">
        <v>171</v>
      </c>
    </row>
    <row r="4" spans="1:18" s="171" customFormat="1" x14ac:dyDescent="0.15">
      <c r="A4" s="170">
        <v>49002</v>
      </c>
      <c r="B4" s="85">
        <v>1</v>
      </c>
      <c r="C4" s="85" t="str">
        <f t="shared" si="0"/>
        <v>49002_1</v>
      </c>
      <c r="D4" s="85" t="str">
        <f>VLOOKUP(C4,[2]stages!$A:$AE,31,FALSE)</f>
        <v>everyone</v>
      </c>
      <c r="E4" s="85">
        <v>3</v>
      </c>
      <c r="F4" s="85" t="s">
        <v>294</v>
      </c>
      <c r="G4" s="85">
        <v>333</v>
      </c>
      <c r="H4" s="85">
        <v>1</v>
      </c>
      <c r="I4" s="85">
        <v>1</v>
      </c>
      <c r="J4" s="85">
        <v>1</v>
      </c>
      <c r="K4" s="85">
        <v>0</v>
      </c>
      <c r="L4" s="85">
        <v>0</v>
      </c>
      <c r="M4" s="85">
        <v>0</v>
      </c>
      <c r="N4" s="85">
        <v>0</v>
      </c>
      <c r="O4" s="85">
        <v>1</v>
      </c>
      <c r="P4" s="85">
        <v>28</v>
      </c>
      <c r="Q4" s="85" t="s">
        <v>170</v>
      </c>
      <c r="R4" s="85" t="s">
        <v>171</v>
      </c>
    </row>
    <row r="5" spans="1:18" s="171" customFormat="1" x14ac:dyDescent="0.15">
      <c r="A5" s="170">
        <v>49002</v>
      </c>
      <c r="B5" s="85">
        <v>1</v>
      </c>
      <c r="C5" s="85" t="str">
        <f t="shared" si="0"/>
        <v>49002_1</v>
      </c>
      <c r="D5" s="85" t="str">
        <f>VLOOKUP(C5,[2]stages!$A:$AE,31,FALSE)</f>
        <v>everyone</v>
      </c>
      <c r="E5" s="85">
        <v>4</v>
      </c>
      <c r="F5" s="85" t="s">
        <v>294</v>
      </c>
      <c r="G5" s="85">
        <v>334</v>
      </c>
      <c r="H5" s="85">
        <v>1</v>
      </c>
      <c r="I5" s="85">
        <v>1</v>
      </c>
      <c r="J5" s="85">
        <v>1</v>
      </c>
      <c r="K5" s="85">
        <v>0</v>
      </c>
      <c r="L5" s="85">
        <v>0</v>
      </c>
      <c r="M5" s="85">
        <v>0</v>
      </c>
      <c r="N5" s="85">
        <v>0</v>
      </c>
      <c r="O5" s="85">
        <v>1</v>
      </c>
      <c r="P5" s="85">
        <v>112</v>
      </c>
      <c r="Q5" s="85" t="s">
        <v>170</v>
      </c>
      <c r="R5" s="85" t="s">
        <v>171</v>
      </c>
    </row>
    <row r="6" spans="1:18" s="171" customFormat="1" x14ac:dyDescent="0.15">
      <c r="A6" s="170">
        <v>49002</v>
      </c>
      <c r="B6" s="85">
        <v>1</v>
      </c>
      <c r="C6" s="85" t="str">
        <f t="shared" si="0"/>
        <v>49002_1</v>
      </c>
      <c r="D6" s="85" t="str">
        <f>VLOOKUP(C6,[2]stages!$A:$AE,31,FALSE)</f>
        <v>everyone</v>
      </c>
      <c r="E6" s="85">
        <v>5</v>
      </c>
      <c r="F6" s="85" t="s">
        <v>294</v>
      </c>
      <c r="G6" s="85">
        <v>121</v>
      </c>
      <c r="H6" s="85">
        <v>1</v>
      </c>
      <c r="I6" s="85">
        <v>1</v>
      </c>
      <c r="J6" s="85">
        <v>1</v>
      </c>
      <c r="K6" s="85">
        <v>0</v>
      </c>
      <c r="L6" s="85">
        <v>0</v>
      </c>
      <c r="M6" s="85">
        <v>0</v>
      </c>
      <c r="N6" s="85">
        <v>0</v>
      </c>
      <c r="O6" s="85">
        <v>1</v>
      </c>
      <c r="P6" s="85">
        <v>50</v>
      </c>
      <c r="Q6" s="85" t="s">
        <v>170</v>
      </c>
      <c r="R6" s="85" t="s">
        <v>171</v>
      </c>
    </row>
    <row r="7" spans="1:18" s="171" customFormat="1" x14ac:dyDescent="0.15">
      <c r="A7" s="170">
        <v>49002</v>
      </c>
      <c r="B7" s="85">
        <v>1</v>
      </c>
      <c r="C7" s="85" t="str">
        <f t="shared" si="0"/>
        <v>49002_1</v>
      </c>
      <c r="D7" s="85" t="str">
        <f>VLOOKUP(C7,[2]stages!$A:$AE,31,FALSE)</f>
        <v>everyone</v>
      </c>
      <c r="E7" s="85">
        <v>6</v>
      </c>
      <c r="F7" s="85" t="s">
        <v>294</v>
      </c>
      <c r="G7" s="85">
        <v>122</v>
      </c>
      <c r="H7" s="85">
        <v>1</v>
      </c>
      <c r="I7" s="85">
        <v>1</v>
      </c>
      <c r="J7" s="85">
        <v>1</v>
      </c>
      <c r="K7" s="85">
        <v>0</v>
      </c>
      <c r="L7" s="85">
        <v>0</v>
      </c>
      <c r="M7" s="85">
        <v>0</v>
      </c>
      <c r="N7" s="85">
        <v>0</v>
      </c>
      <c r="O7" s="85">
        <v>1</v>
      </c>
      <c r="P7" s="85">
        <v>50</v>
      </c>
      <c r="Q7" s="85" t="s">
        <v>170</v>
      </c>
      <c r="R7" s="85" t="s">
        <v>171</v>
      </c>
    </row>
    <row r="8" spans="1:18" s="171" customFormat="1" x14ac:dyDescent="0.15">
      <c r="A8" s="170">
        <v>49002</v>
      </c>
      <c r="B8" s="85">
        <v>1</v>
      </c>
      <c r="C8" s="85" t="str">
        <f t="shared" si="0"/>
        <v>49002_1</v>
      </c>
      <c r="D8" s="85" t="str">
        <f>VLOOKUP(C8,[2]stages!$A:$AE,31,FALSE)</f>
        <v>everyone</v>
      </c>
      <c r="E8" s="85">
        <v>7</v>
      </c>
      <c r="F8" s="85" t="s">
        <v>294</v>
      </c>
      <c r="G8" s="85">
        <v>123</v>
      </c>
      <c r="H8" s="85">
        <v>1</v>
      </c>
      <c r="I8" s="85">
        <v>1</v>
      </c>
      <c r="J8" s="85">
        <v>1</v>
      </c>
      <c r="K8" s="85">
        <v>0</v>
      </c>
      <c r="L8" s="85">
        <v>0</v>
      </c>
      <c r="M8" s="85">
        <v>0</v>
      </c>
      <c r="N8" s="85">
        <v>0</v>
      </c>
      <c r="O8" s="85">
        <v>1</v>
      </c>
      <c r="P8" s="85">
        <v>50</v>
      </c>
      <c r="Q8" s="85" t="s">
        <v>170</v>
      </c>
      <c r="R8" s="85" t="s">
        <v>171</v>
      </c>
    </row>
    <row r="9" spans="1:18" s="171" customFormat="1" x14ac:dyDescent="0.15">
      <c r="A9" s="170">
        <v>49002</v>
      </c>
      <c r="B9" s="85">
        <v>1</v>
      </c>
      <c r="C9" s="85" t="str">
        <f t="shared" si="0"/>
        <v>49002_1</v>
      </c>
      <c r="D9" s="85" t="str">
        <f>VLOOKUP(C9,[2]stages!$A:$AE,31,FALSE)</f>
        <v>everyone</v>
      </c>
      <c r="E9" s="85">
        <v>8</v>
      </c>
      <c r="F9" s="85" t="s">
        <v>295</v>
      </c>
      <c r="G9" s="85">
        <v>125</v>
      </c>
      <c r="H9" s="85">
        <v>1</v>
      </c>
      <c r="I9" s="85">
        <v>1</v>
      </c>
      <c r="J9" s="85">
        <v>1</v>
      </c>
      <c r="K9" s="85">
        <v>0</v>
      </c>
      <c r="L9" s="85">
        <v>0</v>
      </c>
      <c r="M9" s="85">
        <v>0</v>
      </c>
      <c r="N9" s="85">
        <v>0</v>
      </c>
      <c r="O9" s="85">
        <v>1</v>
      </c>
      <c r="P9" s="85">
        <v>10</v>
      </c>
      <c r="Q9" s="85" t="s">
        <v>170</v>
      </c>
      <c r="R9" s="85" t="s">
        <v>171</v>
      </c>
    </row>
    <row r="10" spans="1:18" s="171" customFormat="1" x14ac:dyDescent="0.15">
      <c r="A10" s="170">
        <v>49002</v>
      </c>
      <c r="B10" s="85">
        <v>1</v>
      </c>
      <c r="C10" s="85" t="str">
        <f t="shared" si="0"/>
        <v>49002_1</v>
      </c>
      <c r="D10" s="85" t="str">
        <f>VLOOKUP(C10,[2]stages!$A:$AE,31,FALSE)</f>
        <v>everyone</v>
      </c>
      <c r="E10" s="85">
        <v>9</v>
      </c>
      <c r="F10" s="85" t="s">
        <v>295</v>
      </c>
      <c r="G10" s="86">
        <v>698</v>
      </c>
      <c r="H10" s="85">
        <v>1</v>
      </c>
      <c r="I10" s="85">
        <v>1</v>
      </c>
      <c r="J10" s="85">
        <v>1</v>
      </c>
      <c r="K10" s="85">
        <v>0</v>
      </c>
      <c r="L10" s="85">
        <v>0</v>
      </c>
      <c r="M10" s="85">
        <v>0</v>
      </c>
      <c r="N10" s="85">
        <v>0</v>
      </c>
      <c r="O10" s="85">
        <v>1</v>
      </c>
      <c r="P10" s="85">
        <v>250</v>
      </c>
      <c r="Q10" s="85" t="s">
        <v>170</v>
      </c>
      <c r="R10" s="85" t="s">
        <v>171</v>
      </c>
    </row>
    <row r="11" spans="1:18" s="174" customFormat="1" ht="16" thickBot="1" x14ac:dyDescent="0.2">
      <c r="A11" s="172">
        <v>49002</v>
      </c>
      <c r="B11" s="173">
        <v>1</v>
      </c>
      <c r="C11" s="173" t="str">
        <f t="shared" si="0"/>
        <v>49002_1</v>
      </c>
      <c r="D11" s="173" t="str">
        <f>VLOOKUP(C11,[2]stages!$A:$AE,31,FALSE)</f>
        <v>everyone</v>
      </c>
      <c r="E11" s="173">
        <v>10</v>
      </c>
      <c r="F11" s="173" t="s">
        <v>295</v>
      </c>
      <c r="G11" s="173">
        <v>348</v>
      </c>
      <c r="H11" s="173">
        <v>1</v>
      </c>
      <c r="I11" s="173">
        <v>1</v>
      </c>
      <c r="J11" s="173">
        <v>1</v>
      </c>
      <c r="K11" s="173">
        <v>0</v>
      </c>
      <c r="L11" s="173">
        <v>0</v>
      </c>
      <c r="M11" s="173">
        <v>0</v>
      </c>
      <c r="N11" s="173">
        <v>0</v>
      </c>
      <c r="O11" s="173">
        <v>1</v>
      </c>
      <c r="P11" s="173">
        <v>150</v>
      </c>
      <c r="Q11" s="173" t="s">
        <v>170</v>
      </c>
      <c r="R11" s="173" t="s">
        <v>171</v>
      </c>
    </row>
    <row r="12" spans="1:18" x14ac:dyDescent="0.15">
      <c r="A12" s="165">
        <v>49002</v>
      </c>
      <c r="B12" s="166">
        <v>2</v>
      </c>
      <c r="C12" s="166" t="str">
        <f t="shared" ref="C12:C21" si="1">A12&amp; "_"&amp;B12</f>
        <v>49002_2</v>
      </c>
      <c r="D12" s="166" t="str">
        <f>VLOOKUP(C12,[2]stages!$A:$AE,31,FALSE)</f>
        <v>everyone</v>
      </c>
      <c r="E12" s="166">
        <v>1</v>
      </c>
      <c r="F12" s="166" t="s">
        <v>169</v>
      </c>
      <c r="G12" s="166">
        <v>40000</v>
      </c>
      <c r="H12" s="166" t="s">
        <v>90</v>
      </c>
      <c r="I12" s="166">
        <v>1</v>
      </c>
      <c r="J12" s="166">
        <v>1</v>
      </c>
      <c r="K12" s="166">
        <v>0</v>
      </c>
      <c r="L12" s="166">
        <v>0</v>
      </c>
      <c r="M12" s="166">
        <v>0</v>
      </c>
      <c r="N12" s="166">
        <v>0</v>
      </c>
      <c r="O12" s="166">
        <v>1</v>
      </c>
      <c r="P12" s="166">
        <v>150</v>
      </c>
      <c r="Q12" s="166" t="s">
        <v>170</v>
      </c>
      <c r="R12" s="166" t="s">
        <v>171</v>
      </c>
    </row>
    <row r="13" spans="1:18" x14ac:dyDescent="0.15">
      <c r="A13" s="45">
        <v>49002</v>
      </c>
      <c r="B13" s="85">
        <v>2</v>
      </c>
      <c r="C13" s="85" t="str">
        <f t="shared" si="1"/>
        <v>49002_2</v>
      </c>
      <c r="D13" s="85" t="str">
        <f>VLOOKUP(C13,[2]stages!$A:$AE,31,FALSE)</f>
        <v>everyone</v>
      </c>
      <c r="E13" s="85">
        <v>2</v>
      </c>
      <c r="F13" s="85" t="s">
        <v>293</v>
      </c>
      <c r="G13" s="85">
        <v>30</v>
      </c>
      <c r="H13" s="85" t="s">
        <v>90</v>
      </c>
      <c r="I13" s="85">
        <v>1</v>
      </c>
      <c r="J13" s="85">
        <v>1</v>
      </c>
      <c r="K13" s="85">
        <v>0</v>
      </c>
      <c r="L13" s="85">
        <v>0</v>
      </c>
      <c r="M13" s="85">
        <v>0</v>
      </c>
      <c r="N13" s="85">
        <v>0</v>
      </c>
      <c r="O13" s="85">
        <v>1</v>
      </c>
      <c r="P13" s="85">
        <v>150</v>
      </c>
      <c r="Q13" s="85" t="s">
        <v>170</v>
      </c>
      <c r="R13" s="85" t="s">
        <v>171</v>
      </c>
    </row>
    <row r="14" spans="1:18" x14ac:dyDescent="0.15">
      <c r="A14" s="45">
        <v>49002</v>
      </c>
      <c r="B14" s="85">
        <v>2</v>
      </c>
      <c r="C14" s="85" t="str">
        <f t="shared" si="1"/>
        <v>49002_2</v>
      </c>
      <c r="D14" s="85" t="str">
        <f>VLOOKUP(C14,[2]stages!$A:$AE,31,FALSE)</f>
        <v>everyone</v>
      </c>
      <c r="E14" s="85">
        <v>3</v>
      </c>
      <c r="F14" s="85" t="s">
        <v>294</v>
      </c>
      <c r="G14" s="85">
        <v>333</v>
      </c>
      <c r="H14" s="85">
        <v>1</v>
      </c>
      <c r="I14" s="85">
        <v>1</v>
      </c>
      <c r="J14" s="85">
        <v>1</v>
      </c>
      <c r="K14" s="85">
        <v>0</v>
      </c>
      <c r="L14" s="85">
        <v>0</v>
      </c>
      <c r="M14" s="85">
        <v>0</v>
      </c>
      <c r="N14" s="85">
        <v>0</v>
      </c>
      <c r="O14" s="85">
        <v>1</v>
      </c>
      <c r="P14" s="85">
        <v>28</v>
      </c>
      <c r="Q14" s="85" t="s">
        <v>170</v>
      </c>
      <c r="R14" s="85" t="s">
        <v>171</v>
      </c>
    </row>
    <row r="15" spans="1:18" x14ac:dyDescent="0.15">
      <c r="A15" s="45">
        <v>49002</v>
      </c>
      <c r="B15" s="85">
        <v>2</v>
      </c>
      <c r="C15" s="85" t="str">
        <f t="shared" si="1"/>
        <v>49002_2</v>
      </c>
      <c r="D15" s="85" t="str">
        <f>VLOOKUP(C15,[2]stages!$A:$AE,31,FALSE)</f>
        <v>everyone</v>
      </c>
      <c r="E15" s="85">
        <v>4</v>
      </c>
      <c r="F15" s="85" t="s">
        <v>294</v>
      </c>
      <c r="G15" s="85">
        <v>334</v>
      </c>
      <c r="H15" s="85">
        <v>1</v>
      </c>
      <c r="I15" s="85">
        <v>1</v>
      </c>
      <c r="J15" s="85">
        <v>1</v>
      </c>
      <c r="K15" s="85">
        <v>0</v>
      </c>
      <c r="L15" s="85">
        <v>0</v>
      </c>
      <c r="M15" s="85">
        <v>0</v>
      </c>
      <c r="N15" s="85">
        <v>0</v>
      </c>
      <c r="O15" s="85">
        <v>1</v>
      </c>
      <c r="P15" s="85">
        <v>112</v>
      </c>
      <c r="Q15" s="85" t="s">
        <v>170</v>
      </c>
      <c r="R15" s="85" t="s">
        <v>171</v>
      </c>
    </row>
    <row r="16" spans="1:18" x14ac:dyDescent="0.15">
      <c r="A16" s="45">
        <v>49002</v>
      </c>
      <c r="B16" s="85">
        <v>2</v>
      </c>
      <c r="C16" s="85" t="str">
        <f t="shared" si="1"/>
        <v>49002_2</v>
      </c>
      <c r="D16" s="85" t="str">
        <f>VLOOKUP(C16,[2]stages!$A:$AE,31,FALSE)</f>
        <v>everyone</v>
      </c>
      <c r="E16" s="85">
        <v>5</v>
      </c>
      <c r="F16" s="85" t="s">
        <v>294</v>
      </c>
      <c r="G16" s="85">
        <v>121</v>
      </c>
      <c r="H16" s="85">
        <v>1</v>
      </c>
      <c r="I16" s="85">
        <v>1</v>
      </c>
      <c r="J16" s="85">
        <v>1</v>
      </c>
      <c r="K16" s="85">
        <v>0</v>
      </c>
      <c r="L16" s="85">
        <v>0</v>
      </c>
      <c r="M16" s="85">
        <v>0</v>
      </c>
      <c r="N16" s="85">
        <v>0</v>
      </c>
      <c r="O16" s="85">
        <v>1</v>
      </c>
      <c r="P16" s="85">
        <v>50</v>
      </c>
      <c r="Q16" s="85" t="s">
        <v>170</v>
      </c>
      <c r="R16" s="85" t="s">
        <v>171</v>
      </c>
    </row>
    <row r="17" spans="1:18" x14ac:dyDescent="0.15">
      <c r="A17" s="45">
        <v>49002</v>
      </c>
      <c r="B17" s="85">
        <v>2</v>
      </c>
      <c r="C17" s="85" t="str">
        <f t="shared" si="1"/>
        <v>49002_2</v>
      </c>
      <c r="D17" s="85" t="str">
        <f>VLOOKUP(C17,[2]stages!$A:$AE,31,FALSE)</f>
        <v>everyone</v>
      </c>
      <c r="E17" s="85">
        <v>6</v>
      </c>
      <c r="F17" s="85" t="s">
        <v>294</v>
      </c>
      <c r="G17" s="85">
        <v>122</v>
      </c>
      <c r="H17" s="85">
        <v>1</v>
      </c>
      <c r="I17" s="85">
        <v>1</v>
      </c>
      <c r="J17" s="85">
        <v>1</v>
      </c>
      <c r="K17" s="85">
        <v>0</v>
      </c>
      <c r="L17" s="85">
        <v>0</v>
      </c>
      <c r="M17" s="85">
        <v>0</v>
      </c>
      <c r="N17" s="85">
        <v>0</v>
      </c>
      <c r="O17" s="85">
        <v>1</v>
      </c>
      <c r="P17" s="85">
        <v>50</v>
      </c>
      <c r="Q17" s="85" t="s">
        <v>170</v>
      </c>
      <c r="R17" s="85" t="s">
        <v>171</v>
      </c>
    </row>
    <row r="18" spans="1:18" x14ac:dyDescent="0.15">
      <c r="A18" s="45">
        <v>49002</v>
      </c>
      <c r="B18" s="85">
        <v>2</v>
      </c>
      <c r="C18" s="85" t="str">
        <f t="shared" si="1"/>
        <v>49002_2</v>
      </c>
      <c r="D18" s="85" t="str">
        <f>VLOOKUP(C18,[2]stages!$A:$AE,31,FALSE)</f>
        <v>everyone</v>
      </c>
      <c r="E18" s="85">
        <v>7</v>
      </c>
      <c r="F18" s="85" t="s">
        <v>294</v>
      </c>
      <c r="G18" s="85">
        <v>123</v>
      </c>
      <c r="H18" s="85">
        <v>1</v>
      </c>
      <c r="I18" s="85">
        <v>1</v>
      </c>
      <c r="J18" s="85">
        <v>1</v>
      </c>
      <c r="K18" s="85">
        <v>0</v>
      </c>
      <c r="L18" s="85">
        <v>0</v>
      </c>
      <c r="M18" s="85">
        <v>0</v>
      </c>
      <c r="N18" s="85">
        <v>0</v>
      </c>
      <c r="O18" s="85">
        <v>1</v>
      </c>
      <c r="P18" s="85">
        <v>50</v>
      </c>
      <c r="Q18" s="85" t="s">
        <v>170</v>
      </c>
      <c r="R18" s="85" t="s">
        <v>171</v>
      </c>
    </row>
    <row r="19" spans="1:18" x14ac:dyDescent="0.15">
      <c r="A19" s="45">
        <v>49002</v>
      </c>
      <c r="B19" s="85">
        <v>2</v>
      </c>
      <c r="C19" s="85" t="str">
        <f t="shared" si="1"/>
        <v>49002_2</v>
      </c>
      <c r="D19" s="85" t="str">
        <f>VLOOKUP(C19,[2]stages!$A:$AE,31,FALSE)</f>
        <v>everyone</v>
      </c>
      <c r="E19" s="85">
        <v>8</v>
      </c>
      <c r="F19" s="85" t="s">
        <v>294</v>
      </c>
      <c r="G19" s="85">
        <v>125</v>
      </c>
      <c r="H19" s="85">
        <v>1</v>
      </c>
      <c r="I19" s="85">
        <v>1</v>
      </c>
      <c r="J19" s="85">
        <v>1</v>
      </c>
      <c r="K19" s="85">
        <v>0</v>
      </c>
      <c r="L19" s="85">
        <v>0</v>
      </c>
      <c r="M19" s="85">
        <v>0</v>
      </c>
      <c r="N19" s="85">
        <v>0</v>
      </c>
      <c r="O19" s="85">
        <v>1</v>
      </c>
      <c r="P19" s="85">
        <v>10</v>
      </c>
      <c r="Q19" s="85" t="s">
        <v>170</v>
      </c>
      <c r="R19" s="85" t="s">
        <v>171</v>
      </c>
    </row>
    <row r="20" spans="1:18" x14ac:dyDescent="0.15">
      <c r="A20" s="45">
        <v>49002</v>
      </c>
      <c r="B20" s="85">
        <v>2</v>
      </c>
      <c r="C20" s="85" t="str">
        <f t="shared" si="1"/>
        <v>49002_2</v>
      </c>
      <c r="D20" s="85" t="str">
        <f>VLOOKUP(C20,[2]stages!$A:$AE,31,FALSE)</f>
        <v>everyone</v>
      </c>
      <c r="E20" s="85">
        <v>9</v>
      </c>
      <c r="F20" s="85" t="s">
        <v>294</v>
      </c>
      <c r="G20" s="86">
        <v>698</v>
      </c>
      <c r="H20" s="85">
        <v>1</v>
      </c>
      <c r="I20" s="85">
        <v>1</v>
      </c>
      <c r="J20" s="85">
        <v>1</v>
      </c>
      <c r="K20" s="85">
        <v>0</v>
      </c>
      <c r="L20" s="85">
        <v>0</v>
      </c>
      <c r="M20" s="85">
        <v>0</v>
      </c>
      <c r="N20" s="85">
        <v>0</v>
      </c>
      <c r="O20" s="85">
        <v>1</v>
      </c>
      <c r="P20" s="85">
        <v>250</v>
      </c>
      <c r="Q20" s="85" t="s">
        <v>170</v>
      </c>
      <c r="R20" s="85" t="s">
        <v>171</v>
      </c>
    </row>
    <row r="21" spans="1:18" x14ac:dyDescent="0.15">
      <c r="A21" s="45">
        <v>49002</v>
      </c>
      <c r="B21" s="85">
        <v>2</v>
      </c>
      <c r="C21" s="85" t="str">
        <f t="shared" si="1"/>
        <v>49002_2</v>
      </c>
      <c r="D21" s="85" t="str">
        <f>VLOOKUP(C21,[2]stages!$A:$AE,31,FALSE)</f>
        <v>everyone</v>
      </c>
      <c r="E21" s="85">
        <v>10</v>
      </c>
      <c r="F21" s="85" t="s">
        <v>294</v>
      </c>
      <c r="G21" s="85">
        <v>348</v>
      </c>
      <c r="H21" s="85">
        <v>1</v>
      </c>
      <c r="I21" s="85">
        <v>1</v>
      </c>
      <c r="J21" s="85">
        <v>1</v>
      </c>
      <c r="K21" s="85">
        <v>0</v>
      </c>
      <c r="L21" s="85">
        <v>0</v>
      </c>
      <c r="M21" s="85">
        <v>0</v>
      </c>
      <c r="N21" s="85">
        <v>0</v>
      </c>
      <c r="O21" s="85">
        <v>1</v>
      </c>
      <c r="P21" s="85">
        <v>150</v>
      </c>
      <c r="Q21" s="85" t="s">
        <v>170</v>
      </c>
      <c r="R21" s="85" t="s">
        <v>171</v>
      </c>
    </row>
  </sheetData>
  <phoneticPr fontId="5"/>
  <dataValidations disablePrompts="1" count="1">
    <dataValidation type="list" allowBlank="1" showInputMessage="1" showErrorMessage="1" sqref="F2:F2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L37" sqref="L37"/>
    </sheetView>
  </sheetViews>
  <sheetFormatPr baseColWidth="12" defaultColWidth="13" defaultRowHeight="15" outlineLevelCol="1" x14ac:dyDescent="0.15"/>
  <cols>
    <col min="1" max="1" width="13" style="7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ht="16" thickBot="1" x14ac:dyDescent="0.2">
      <c r="A1" s="175" t="s">
        <v>188</v>
      </c>
      <c r="B1" s="176" t="s">
        <v>189</v>
      </c>
      <c r="C1" s="177" t="s">
        <v>190</v>
      </c>
      <c r="D1" s="177" t="s">
        <v>33</v>
      </c>
      <c r="E1" s="176" t="s">
        <v>191</v>
      </c>
      <c r="F1" s="177" t="s">
        <v>192</v>
      </c>
      <c r="G1" s="177" t="s">
        <v>33</v>
      </c>
      <c r="H1" s="176" t="s">
        <v>193</v>
      </c>
      <c r="I1" s="178" t="s">
        <v>195</v>
      </c>
      <c r="J1" s="179" t="s">
        <v>127</v>
      </c>
      <c r="K1" s="180" t="s">
        <v>187</v>
      </c>
      <c r="L1" s="181" t="s">
        <v>186</v>
      </c>
      <c r="M1" s="182" t="s">
        <v>196</v>
      </c>
    </row>
    <row r="2" spans="1:13" s="169" customFormat="1" ht="16" customHeight="1" x14ac:dyDescent="0.15">
      <c r="A2" s="189" t="s">
        <v>201</v>
      </c>
      <c r="B2" s="190">
        <f>floors!$C$2</f>
        <v>49002</v>
      </c>
      <c r="C2" s="191" t="e">
        <f ca="1">VLOOKUP($B2,OFFSET([2]quests!$A$1,0,0,COUNTA([2]quests!$A:$A),MATCH(C$1,[2]quests!$1:$1,0)-MATCH($B$1,[2]quests!$1:$1,0)+1),MATCH(C$1,[2]quests!$1:$1,0)-MATCH($B$1,[2]quests!$1:$1,0)+1,FALSE)</f>
        <v>#VALUE!</v>
      </c>
      <c r="D2" s="191" t="e">
        <f ca="1">VLOOKUP($B2,OFFSET([2]quests!$A$1,0,0,COUNTA([2]quests!$A:$A),MATCH(D$1,[2]quests!$1:$1,0)-MATCH($B$1,[2]quests!$1:$1,0)+1),MATCH(D$1,[2]quests!$1:$1,0)-MATCH($B$1,[2]quests!$1:$1,0)+1,FALSE)</f>
        <v>#VALUE!</v>
      </c>
      <c r="E2" s="192">
        <v>1</v>
      </c>
      <c r="F2" s="191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191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193">
        <v>0</v>
      </c>
      <c r="I2" s="169">
        <v>12</v>
      </c>
      <c r="J2" s="194" t="s">
        <v>198</v>
      </c>
      <c r="K2" s="195" t="str">
        <f>VLOOKUP(I2,[7]stage_hints!$A:$C,3,FALSE)</f>
        <v>ユニットのお気に入り登録</v>
      </c>
      <c r="L2" s="196" t="str">
        <f>VLOOKUP(I2,[7]stage_hints!$A:$D,4,FALSE)</f>
        <v>大事なユニットを誤って消さないように_x000D_フォルダから「お気に入り登録」しましょう</v>
      </c>
      <c r="M2" s="197" t="s">
        <v>211</v>
      </c>
    </row>
    <row r="3" spans="1:13" s="171" customFormat="1" ht="16" customHeight="1" x14ac:dyDescent="0.15">
      <c r="A3" s="198" t="s">
        <v>201</v>
      </c>
      <c r="B3" s="69">
        <f>floors!$C$2</f>
        <v>49002</v>
      </c>
      <c r="C3" s="70" t="e">
        <f ca="1">VLOOKUP($B3,OFFSET([2]quests!$A$1,0,0,COUNTA([2]quests!$A:$A),MATCH(C$1,[2]quests!$1:$1,0)-MATCH($B$1,[2]quests!$1:$1,0)+1),MATCH(C$1,[2]quests!$1:$1,0)-MATCH($B$1,[2]quests!$1:$1,0)+1,FALSE)</f>
        <v>#VALUE!</v>
      </c>
      <c r="D3" s="70" t="e">
        <f ca="1">VLOOKUP($B3,OFFSET([2]quests!$A$1,0,0,COUNTA([2]quests!$A:$A),MATCH(D$1,[2]quests!$1:$1,0)-MATCH($B$1,[2]quests!$1:$1,0)+1),MATCH(D$1,[2]quests!$1:$1,0)-MATCH($B$1,[2]quests!$1:$1,0)+1,FALSE)</f>
        <v>#VALUE!</v>
      </c>
      <c r="E3" s="74">
        <v>1</v>
      </c>
      <c r="F3" s="70" t="e">
        <f ca="1">VLOOKUP($B3&amp;"_"&amp;$E3,OFFSET([2]stages!$A$1,0,0,COUNTA([2]stages!$A:$A),MATCH(F$1,[2]stages!$2:$2,0)-MATCH("temp_stage",[2]stages!$2:$2,0)+1),MATCH(F$1,[2]stages!$2:$2,0)-MATCH("temp_stage",[2]stages!$2:$2,0)+1,FALSE)</f>
        <v>#VALUE!</v>
      </c>
      <c r="G3" s="70" t="e">
        <f ca="1">VLOOKUP($B3&amp;"_"&amp;$E3,OFFSET([2]stages!$A$1,0,0,COUNTA([2]stages!$A:$A),MATCH(G$1,[2]stages!$2:$2,0)-MATCH("temp_stage",[2]stages!$2:$2,0)+1),MATCH(G$1,[2]stages!$2:$2,0)-MATCH("temp_stage",[2]stages!$2:$2,0)+1,FALSE)</f>
        <v>#VALUE!</v>
      </c>
      <c r="H3" s="72">
        <v>0</v>
      </c>
      <c r="I3" s="171">
        <v>17</v>
      </c>
      <c r="J3" s="71" t="s">
        <v>198</v>
      </c>
      <c r="K3" s="80" t="str">
        <f>VLOOKUP(I3,[7]stage_hints!$A:$C,3,FALSE)</f>
        <v>リンクガチャ</v>
      </c>
      <c r="L3" s="81" t="str">
        <f>VLOOKUP(I3,[7]stage_hints!$A:$D,4,FALSE)</f>
        <v>無料のリンクガチャを回して_x000D_経験値素材や売却素材を獲得しましょう</v>
      </c>
      <c r="M3" s="45" t="s">
        <v>211</v>
      </c>
    </row>
    <row r="4" spans="1:13" s="171" customFormat="1" ht="16" customHeight="1" x14ac:dyDescent="0.15">
      <c r="A4" s="198" t="s">
        <v>201</v>
      </c>
      <c r="B4" s="69">
        <f>floors!$C$2</f>
        <v>49002</v>
      </c>
      <c r="C4" s="70" t="e">
        <f ca="1">VLOOKUP($B4,OFFSET([2]quests!$A$1,0,0,COUNTA([2]quests!$A:$A),MATCH(C$1,[2]quests!$1:$1,0)-MATCH($B$1,[2]quests!$1:$1,0)+1),MATCH(C$1,[2]quests!$1:$1,0)-MATCH($B$1,[2]quests!$1:$1,0)+1,FALSE)</f>
        <v>#VALUE!</v>
      </c>
      <c r="D4" s="70" t="e">
        <f ca="1">VLOOKUP($B4,OFFSET([2]quests!$A$1,0,0,COUNTA([2]quests!$A:$A),MATCH(D$1,[2]quests!$1:$1,0)-MATCH($B$1,[2]quests!$1:$1,0)+1),MATCH(D$1,[2]quests!$1:$1,0)-MATCH($B$1,[2]quests!$1:$1,0)+1,FALSE)</f>
        <v>#VALUE!</v>
      </c>
      <c r="E4" s="74">
        <v>1</v>
      </c>
      <c r="F4" s="70" t="e">
        <f ca="1">VLOOKUP($B4&amp;"_"&amp;$E4,OFFSET([2]stages!$A$1,0,0,COUNTA([2]stages!$A:$A),MATCH(F$1,[2]stages!$2:$2,0)-MATCH("temp_stage",[2]stages!$2:$2,0)+1),MATCH(F$1,[2]stages!$2:$2,0)-MATCH("temp_stage",[2]stages!$2:$2,0)+1,FALSE)</f>
        <v>#VALUE!</v>
      </c>
      <c r="G4" s="70" t="e">
        <f ca="1">VLOOKUP($B4&amp;"_"&amp;$E4,OFFSET([2]stages!$A$1,0,0,COUNTA([2]stages!$A:$A),MATCH(G$1,[2]stages!$2:$2,0)-MATCH("temp_stage",[2]stages!$2:$2,0)+1),MATCH(G$1,[2]stages!$2:$2,0)-MATCH("temp_stage",[2]stages!$2:$2,0)+1,FALSE)</f>
        <v>#VALUE!</v>
      </c>
      <c r="H4" s="72">
        <v>0</v>
      </c>
      <c r="I4" s="171">
        <v>19</v>
      </c>
      <c r="J4" s="71" t="s">
        <v>198</v>
      </c>
      <c r="K4" s="80" t="str">
        <f>VLOOKUP(I4,[7]stage_hints!$A:$C,3,FALSE)</f>
        <v>ソロ専用チャレンジタワー</v>
      </c>
      <c r="L4" s="81" t="str">
        <f>VLOOKUP(I4,[7]stage_hints!$A:$D,4,FALSE)</f>
        <v>ソロ専用の「チャレンジタワー」では_x000D_各フロアごとにクリア報酬がもらえます</v>
      </c>
      <c r="M4" s="45" t="s">
        <v>211</v>
      </c>
    </row>
    <row r="5" spans="1:13" s="171" customFormat="1" ht="16" customHeight="1" x14ac:dyDescent="0.15">
      <c r="A5" s="198" t="s">
        <v>201</v>
      </c>
      <c r="B5" s="69">
        <f>floors!$C$2</f>
        <v>49002</v>
      </c>
      <c r="C5" s="70" t="e">
        <f ca="1">VLOOKUP($B5,OFFSET([2]quests!$A$1,0,0,COUNTA([2]quests!$A:$A),MATCH(C$1,[2]quests!$1:$1,0)-MATCH($B$1,[2]quests!$1:$1,0)+1),MATCH(C$1,[2]quests!$1:$1,0)-MATCH($B$1,[2]quests!$1:$1,0)+1,FALSE)</f>
        <v>#VALUE!</v>
      </c>
      <c r="D5" s="70" t="e">
        <f ca="1">VLOOKUP($B5,OFFSET([2]quests!$A$1,0,0,COUNTA([2]quests!$A:$A),MATCH(D$1,[2]quests!$1:$1,0)-MATCH($B$1,[2]quests!$1:$1,0)+1),MATCH(D$1,[2]quests!$1:$1,0)-MATCH($B$1,[2]quests!$1:$1,0)+1,FALSE)</f>
        <v>#VALUE!</v>
      </c>
      <c r="E5" s="74">
        <v>1</v>
      </c>
      <c r="F5" s="70" t="e">
        <f ca="1">VLOOKUP($B5&amp;"_"&amp;$E5,OFFSET([2]stages!$A$1,0,0,COUNTA([2]stages!$A:$A),MATCH(F$1,[2]stages!$2:$2,0)-MATCH("temp_stage",[2]stages!$2:$2,0)+1),MATCH(F$1,[2]stages!$2:$2,0)-MATCH("temp_stage",[2]stages!$2:$2,0)+1,FALSE)</f>
        <v>#VALUE!</v>
      </c>
      <c r="G5" s="70" t="e">
        <f ca="1">VLOOKUP($B5&amp;"_"&amp;$E5,OFFSET([2]stages!$A$1,0,0,COUNTA([2]stages!$A:$A),MATCH(G$1,[2]stages!$2:$2,0)-MATCH("temp_stage",[2]stages!$2:$2,0)+1),MATCH(G$1,[2]stages!$2:$2,0)-MATCH("temp_stage",[2]stages!$2:$2,0)+1,FALSE)</f>
        <v>#VALUE!</v>
      </c>
      <c r="H5" s="72">
        <v>0</v>
      </c>
      <c r="I5" s="171">
        <v>21</v>
      </c>
      <c r="J5" s="71" t="s">
        <v>198</v>
      </c>
      <c r="K5" s="80" t="str">
        <f>VLOOKUP(I5,[7]stage_hints!$A:$C,3,FALSE)</f>
        <v>スキルを有効に</v>
      </c>
      <c r="L5" s="81" t="str">
        <f>VLOOKUP(I5,[7]stage_hints!$A:$D,4,FALSE)</f>
        <v>ターン経過でユニットのスキルが使えます_x000D_強力スキルでバトルを有利に進めましょう</v>
      </c>
      <c r="M5" s="45" t="s">
        <v>211</v>
      </c>
    </row>
    <row r="6" spans="1:13" s="171" customFormat="1" ht="16" customHeight="1" x14ac:dyDescent="0.15">
      <c r="A6" s="198" t="s">
        <v>201</v>
      </c>
      <c r="B6" s="69">
        <f>floors!$C$2</f>
        <v>49002</v>
      </c>
      <c r="C6" s="70" t="e">
        <f ca="1">VLOOKUP($B6,OFFSET([2]quests!$A$1,0,0,COUNTA([2]quests!$A:$A),MATCH(C$1,[2]quests!$1:$1,0)-MATCH($B$1,[2]quests!$1:$1,0)+1),MATCH(C$1,[2]quests!$1:$1,0)-MATCH($B$1,[2]quests!$1:$1,0)+1,FALSE)</f>
        <v>#VALUE!</v>
      </c>
      <c r="D6" s="70" t="e">
        <f ca="1">VLOOKUP($B6,OFFSET([2]quests!$A$1,0,0,COUNTA([2]quests!$A:$A),MATCH(D$1,[2]quests!$1:$1,0)-MATCH($B$1,[2]quests!$1:$1,0)+1),MATCH(D$1,[2]quests!$1:$1,0)-MATCH($B$1,[2]quests!$1:$1,0)+1,FALSE)</f>
        <v>#VALUE!</v>
      </c>
      <c r="E6" s="74">
        <v>1</v>
      </c>
      <c r="F6" s="70" t="e">
        <f ca="1">VLOOKUP($B6&amp;"_"&amp;$E6,OFFSET([2]stages!$A$1,0,0,COUNTA([2]stages!$A:$A),MATCH(F$1,[2]stages!$2:$2,0)-MATCH("temp_stage",[2]stages!$2:$2,0)+1),MATCH(F$1,[2]stages!$2:$2,0)-MATCH("temp_stage",[2]stages!$2:$2,0)+1,FALSE)</f>
        <v>#VALUE!</v>
      </c>
      <c r="G6" s="70" t="e">
        <f ca="1">VLOOKUP($B6&amp;"_"&amp;$E6,OFFSET([2]stages!$A$1,0,0,COUNTA([2]stages!$A:$A),MATCH(G$1,[2]stages!$2:$2,0)-MATCH("temp_stage",[2]stages!$2:$2,0)+1),MATCH(G$1,[2]stages!$2:$2,0)-MATCH("temp_stage",[2]stages!$2:$2,0)+1,FALSE)</f>
        <v>#VALUE!</v>
      </c>
      <c r="H6" s="72">
        <v>0</v>
      </c>
      <c r="I6" s="171">
        <v>29</v>
      </c>
      <c r="J6" s="71" t="s">
        <v>198</v>
      </c>
      <c r="K6" s="80" t="str">
        <f>VLOOKUP(I6,[7]stage_hints!$A:$C,3,FALSE)</f>
        <v>「バグ」のメリット</v>
      </c>
      <c r="L6" s="81" t="str">
        <f>VLOOKUP(I6,[7]stage_hints!$A:$D,4,FALSE)</f>
        <v>ユニットの「バグ」を増やすと_x000D_報酬をもらえる確率がアップします</v>
      </c>
      <c r="M6" s="45" t="s">
        <v>211</v>
      </c>
    </row>
    <row r="7" spans="1:13" s="171" customFormat="1" ht="16" customHeight="1" x14ac:dyDescent="0.15">
      <c r="A7" s="198" t="s">
        <v>201</v>
      </c>
      <c r="B7" s="69">
        <f>floors!$C$2</f>
        <v>49002</v>
      </c>
      <c r="C7" s="70" t="e">
        <f ca="1">VLOOKUP($B7,OFFSET([2]quests!$A$1,0,0,COUNTA([2]quests!$A:$A),MATCH(C$1,[2]quests!$1:$1,0)-MATCH($B$1,[2]quests!$1:$1,0)+1),MATCH(C$1,[2]quests!$1:$1,0)-MATCH($B$1,[2]quests!$1:$1,0)+1,FALSE)</f>
        <v>#VALUE!</v>
      </c>
      <c r="D7" s="70" t="e">
        <f ca="1">VLOOKUP($B7,OFFSET([2]quests!$A$1,0,0,COUNTA([2]quests!$A:$A),MATCH(D$1,[2]quests!$1:$1,0)-MATCH($B$1,[2]quests!$1:$1,0)+1),MATCH(D$1,[2]quests!$1:$1,0)-MATCH($B$1,[2]quests!$1:$1,0)+1,FALSE)</f>
        <v>#VALUE!</v>
      </c>
      <c r="E7" s="74">
        <v>1</v>
      </c>
      <c r="F7" s="70" t="e">
        <f ca="1">VLOOKUP($B7&amp;"_"&amp;$E7,OFFSET([2]stages!$A$1,0,0,COUNTA([2]stages!$A:$A),MATCH(F$1,[2]stages!$2:$2,0)-MATCH("temp_stage",[2]stages!$2:$2,0)+1),MATCH(F$1,[2]stages!$2:$2,0)-MATCH("temp_stage",[2]stages!$2:$2,0)+1,FALSE)</f>
        <v>#VALUE!</v>
      </c>
      <c r="G7" s="70" t="e">
        <f ca="1">VLOOKUP($B7&amp;"_"&amp;$E7,OFFSET([2]stages!$A$1,0,0,COUNTA([2]stages!$A:$A),MATCH(G$1,[2]stages!$2:$2,0)-MATCH("temp_stage",[2]stages!$2:$2,0)+1),MATCH(G$1,[2]stages!$2:$2,0)-MATCH("temp_stage",[2]stages!$2:$2,0)+1,FALSE)</f>
        <v>#VALUE!</v>
      </c>
      <c r="H7" s="72">
        <v>0</v>
      </c>
      <c r="I7" s="171">
        <v>30</v>
      </c>
      <c r="J7" s="71" t="s">
        <v>198</v>
      </c>
      <c r="K7" s="80" t="str">
        <f>VLOOKUP(I7,[7]stage_hints!$A:$C,3,FALSE)</f>
        <v>「バグ」の増やし方</v>
      </c>
      <c r="L7" s="81" t="str">
        <f>VLOOKUP(I7,[7]stage_hints!$A:$D,4,FALSE)</f>
        <v>同じユニット同士を強化で合成すると_x000D_「バグ」を増やすことができます</v>
      </c>
      <c r="M7" s="45" t="s">
        <v>211</v>
      </c>
    </row>
    <row r="8" spans="1:13" s="171" customFormat="1" ht="16" customHeight="1" x14ac:dyDescent="0.15">
      <c r="A8" s="198" t="s">
        <v>201</v>
      </c>
      <c r="B8" s="69">
        <f>floors!$C$2</f>
        <v>49002</v>
      </c>
      <c r="C8" s="70" t="e">
        <f ca="1">VLOOKUP($B8,OFFSET([2]quests!$A$1,0,0,COUNTA([2]quests!$A:$A),MATCH(C$1,[2]quests!$1:$1,0)-MATCH($B$1,[2]quests!$1:$1,0)+1),MATCH(C$1,[2]quests!$1:$1,0)-MATCH($B$1,[2]quests!$1:$1,0)+1,FALSE)</f>
        <v>#VALUE!</v>
      </c>
      <c r="D8" s="70" t="e">
        <f ca="1">VLOOKUP($B8,OFFSET([2]quests!$A$1,0,0,COUNTA([2]quests!$A:$A),MATCH(D$1,[2]quests!$1:$1,0)-MATCH($B$1,[2]quests!$1:$1,0)+1),MATCH(D$1,[2]quests!$1:$1,0)-MATCH($B$1,[2]quests!$1:$1,0)+1,FALSE)</f>
        <v>#VALUE!</v>
      </c>
      <c r="E8" s="74">
        <v>1</v>
      </c>
      <c r="F8" s="70" t="e">
        <f ca="1">VLOOKUP($B8&amp;"_"&amp;$E8,OFFSET([2]stages!$A$1,0,0,COUNTA([2]stages!$A:$A),MATCH(F$1,[2]stages!$2:$2,0)-MATCH("temp_stage",[2]stages!$2:$2,0)+1),MATCH(F$1,[2]stages!$2:$2,0)-MATCH("temp_stage",[2]stages!$2:$2,0)+1,FALSE)</f>
        <v>#VALUE!</v>
      </c>
      <c r="G8" s="70" t="e">
        <f ca="1">VLOOKUP($B8&amp;"_"&amp;$E8,OFFSET([2]stages!$A$1,0,0,COUNTA([2]stages!$A:$A),MATCH(G$1,[2]stages!$2:$2,0)-MATCH("temp_stage",[2]stages!$2:$2,0)+1),MATCH(G$1,[2]stages!$2:$2,0)-MATCH("temp_stage",[2]stages!$2:$2,0)+1,FALSE)</f>
        <v>#VALUE!</v>
      </c>
      <c r="H8" s="72">
        <v>0</v>
      </c>
      <c r="I8" s="171">
        <v>32</v>
      </c>
      <c r="J8" s="71" t="s">
        <v>198</v>
      </c>
      <c r="K8" s="80" t="str">
        <f>VLOOKUP(I8,[7]stage_hints!$A:$C,3,FALSE)</f>
        <v>敵の連続攻撃には</v>
      </c>
      <c r="L8" s="81" t="str">
        <f>VLOOKUP(I8,[7]stage_hints!$A:$D,4,FALSE)</f>
        <v>カウンタースキルを持つユニットがいれば_x000D_ダメージ回数分の反撃ができます</v>
      </c>
      <c r="M8" s="45" t="s">
        <v>211</v>
      </c>
    </row>
    <row r="9" spans="1:13" s="171" customFormat="1" ht="16" customHeight="1" x14ac:dyDescent="0.15">
      <c r="A9" s="198" t="s">
        <v>201</v>
      </c>
      <c r="B9" s="69">
        <f>floors!$C$2</f>
        <v>49002</v>
      </c>
      <c r="C9" s="70" t="e">
        <f ca="1">VLOOKUP($B9,OFFSET([2]quests!$A$1,0,0,COUNTA([2]quests!$A:$A),MATCH(C$1,[2]quests!$1:$1,0)-MATCH($B$1,[2]quests!$1:$1,0)+1),MATCH(C$1,[2]quests!$1:$1,0)-MATCH($B$1,[2]quests!$1:$1,0)+1,FALSE)</f>
        <v>#VALUE!</v>
      </c>
      <c r="D9" s="70" t="e">
        <f ca="1">VLOOKUP($B9,OFFSET([2]quests!$A$1,0,0,COUNTA([2]quests!$A:$A),MATCH(D$1,[2]quests!$1:$1,0)-MATCH($B$1,[2]quests!$1:$1,0)+1),MATCH(D$1,[2]quests!$1:$1,0)-MATCH($B$1,[2]quests!$1:$1,0)+1,FALSE)</f>
        <v>#VALUE!</v>
      </c>
      <c r="E9" s="74">
        <v>1</v>
      </c>
      <c r="F9" s="70" t="e">
        <f ca="1">VLOOKUP($B9&amp;"_"&amp;$E9,OFFSET([2]stages!$A$1,0,0,COUNTA([2]stages!$A:$A),MATCH(F$1,[2]stages!$2:$2,0)-MATCH("temp_stage",[2]stages!$2:$2,0)+1),MATCH(F$1,[2]stages!$2:$2,0)-MATCH("temp_stage",[2]stages!$2:$2,0)+1,FALSE)</f>
        <v>#VALUE!</v>
      </c>
      <c r="G9" s="70" t="e">
        <f ca="1">VLOOKUP($B9&amp;"_"&amp;$E9,OFFSET([2]stages!$A$1,0,0,COUNTA([2]stages!$A:$A),MATCH(G$1,[2]stages!$2:$2,0)-MATCH("temp_stage",[2]stages!$2:$2,0)+1),MATCH(G$1,[2]stages!$2:$2,0)-MATCH("temp_stage",[2]stages!$2:$2,0)+1,FALSE)</f>
        <v>#VALUE!</v>
      </c>
      <c r="H9" s="72">
        <v>0</v>
      </c>
      <c r="I9" s="171">
        <v>33</v>
      </c>
      <c r="J9" s="71" t="s">
        <v>198</v>
      </c>
      <c r="K9" s="80" t="str">
        <f>VLOOKUP(I9,[7]stage_hints!$A:$C,3,FALSE)</f>
        <v>敵のカウンター攻撃には</v>
      </c>
      <c r="L9" s="81" t="str">
        <f>VLOOKUP(I9,[7]stage_hints!$A:$D,4,FALSE)</f>
        <v>カウンターブレイクスキルを持っていれば_x000D_敵のカウンターを解除して攻撃ができます</v>
      </c>
      <c r="M9" s="45" t="s">
        <v>211</v>
      </c>
    </row>
    <row r="10" spans="1:13" s="171" customFormat="1" ht="16" customHeight="1" x14ac:dyDescent="0.15">
      <c r="A10" s="198" t="s">
        <v>201</v>
      </c>
      <c r="B10" s="69">
        <f>floors!$C$2</f>
        <v>49002</v>
      </c>
      <c r="C10" s="70" t="e">
        <f ca="1">VLOOKUP($B10,OFFSET([2]quests!$A$1,0,0,COUNTA([2]quests!$A:$A),MATCH(C$1,[2]quests!$1:$1,0)-MATCH($B$1,[2]quests!$1:$1,0)+1),MATCH(C$1,[2]quests!$1:$1,0)-MATCH($B$1,[2]quests!$1:$1,0)+1,FALSE)</f>
        <v>#VALUE!</v>
      </c>
      <c r="D10" s="70" t="e">
        <f ca="1">VLOOKUP($B10,OFFSET([2]quests!$A$1,0,0,COUNTA([2]quests!$A:$A),MATCH(D$1,[2]quests!$1:$1,0)-MATCH($B$1,[2]quests!$1:$1,0)+1),MATCH(D$1,[2]quests!$1:$1,0)-MATCH($B$1,[2]quests!$1:$1,0)+1,FALSE)</f>
        <v>#VALUE!</v>
      </c>
      <c r="E10" s="74">
        <v>1</v>
      </c>
      <c r="F10" s="70" t="e">
        <f ca="1">VLOOKUP($B10&amp;"_"&amp;$E10,OFFSET([2]stages!$A$1,0,0,COUNTA([2]stages!$A:$A),MATCH(F$1,[2]stages!$2:$2,0)-MATCH("temp_stage",[2]stages!$2:$2,0)+1),MATCH(F$1,[2]stages!$2:$2,0)-MATCH("temp_stage",[2]stages!$2:$2,0)+1,FALSE)</f>
        <v>#VALUE!</v>
      </c>
      <c r="G10" s="70" t="e">
        <f ca="1">VLOOKUP($B10&amp;"_"&amp;$E10,OFFSET([2]stages!$A$1,0,0,COUNTA([2]stages!$A:$A),MATCH(G$1,[2]stages!$2:$2,0)-MATCH("temp_stage",[2]stages!$2:$2,0)+1),MATCH(G$1,[2]stages!$2:$2,0)-MATCH("temp_stage",[2]stages!$2:$2,0)+1,FALSE)</f>
        <v>#VALUE!</v>
      </c>
      <c r="H10" s="72">
        <v>0</v>
      </c>
      <c r="I10" s="171">
        <v>34</v>
      </c>
      <c r="J10" s="71" t="s">
        <v>198</v>
      </c>
      <c r="K10" s="80" t="str">
        <f>VLOOKUP(I10,[7]stage_hints!$A:$C,3,FALSE)</f>
        <v>ステータスをスキルで下げられたら</v>
      </c>
      <c r="L10" s="81" t="str">
        <f>VLOOKUP(I10,[7]stage_hints!$A:$D,4,FALSE)</f>
        <v>ステータスダウンのスキルを受けたら_x000D_ステータスアップスキルで上書きしましょう</v>
      </c>
      <c r="M10" s="45" t="s">
        <v>211</v>
      </c>
    </row>
    <row r="11" spans="1:13" s="171" customFormat="1" ht="16" customHeight="1" x14ac:dyDescent="0.15">
      <c r="A11" s="198" t="s">
        <v>201</v>
      </c>
      <c r="B11" s="69">
        <f>floors!$C$2</f>
        <v>49002</v>
      </c>
      <c r="C11" s="70" t="e">
        <f ca="1">VLOOKUP($B11,OFFSET([2]quests!$A$1,0,0,COUNTA([2]quests!$A:$A),MATCH(C$1,[2]quests!$1:$1,0)-MATCH($B$1,[2]quests!$1:$1,0)+1),MATCH(C$1,[2]quests!$1:$1,0)-MATCH($B$1,[2]quests!$1:$1,0)+1,FALSE)</f>
        <v>#VALUE!</v>
      </c>
      <c r="D11" s="70" t="e">
        <f ca="1">VLOOKUP($B11,OFFSET([2]quests!$A$1,0,0,COUNTA([2]quests!$A:$A),MATCH(D$1,[2]quests!$1:$1,0)-MATCH($B$1,[2]quests!$1:$1,0)+1),MATCH(D$1,[2]quests!$1:$1,0)-MATCH($B$1,[2]quests!$1:$1,0)+1,FALSE)</f>
        <v>#VALUE!</v>
      </c>
      <c r="E11" s="74">
        <v>1</v>
      </c>
      <c r="F11" s="70" t="e">
        <f ca="1">VLOOKUP($B11&amp;"_"&amp;$E11,OFFSET([2]stages!$A$1,0,0,COUNTA([2]stages!$A:$A),MATCH(F$1,[2]stages!$2:$2,0)-MATCH("temp_stage",[2]stages!$2:$2,0)+1),MATCH(F$1,[2]stages!$2:$2,0)-MATCH("temp_stage",[2]stages!$2:$2,0)+1,FALSE)</f>
        <v>#VALUE!</v>
      </c>
      <c r="G11" s="70" t="e">
        <f ca="1">VLOOKUP($B11&amp;"_"&amp;$E11,OFFSET([2]stages!$A$1,0,0,COUNTA([2]stages!$A:$A),MATCH(G$1,[2]stages!$2:$2,0)-MATCH("temp_stage",[2]stages!$2:$2,0)+1),MATCH(G$1,[2]stages!$2:$2,0)-MATCH("temp_stage",[2]stages!$2:$2,0)+1,FALSE)</f>
        <v>#VALUE!</v>
      </c>
      <c r="H11" s="72">
        <v>0</v>
      </c>
      <c r="I11" s="171">
        <v>35</v>
      </c>
      <c r="J11" s="71" t="s">
        <v>198</v>
      </c>
      <c r="K11" s="80" t="str">
        <f>VLOOKUP(I11,[7]stage_hints!$A:$C,3,FALSE)</f>
        <v>敵のステータスがスキルで上がったら</v>
      </c>
      <c r="L11" s="81" t="str">
        <f>VLOOKUP(I11,[7]stage_hints!$A:$D,4,FALSE)</f>
        <v>敵のステータスがスキルでアップしたときは_x000D_ステータスダウンスキルで上書きしましょう</v>
      </c>
      <c r="M11" s="45" t="s">
        <v>211</v>
      </c>
    </row>
    <row r="12" spans="1:13" s="171" customFormat="1" ht="16" customHeight="1" x14ac:dyDescent="0.15">
      <c r="A12" s="198" t="s">
        <v>201</v>
      </c>
      <c r="B12" s="69">
        <f>floors!$C$2</f>
        <v>49002</v>
      </c>
      <c r="C12" s="70" t="e">
        <f ca="1">VLOOKUP($B12,OFFSET([2]quests!$A$1,0,0,COUNTA([2]quests!$A:$A),MATCH(C$1,[2]quests!$1:$1,0)-MATCH($B$1,[2]quests!$1:$1,0)+1),MATCH(C$1,[2]quests!$1:$1,0)-MATCH($B$1,[2]quests!$1:$1,0)+1,FALSE)</f>
        <v>#VALUE!</v>
      </c>
      <c r="D12" s="70" t="e">
        <f ca="1">VLOOKUP($B12,OFFSET([2]quests!$A$1,0,0,COUNTA([2]quests!$A:$A),MATCH(D$1,[2]quests!$1:$1,0)-MATCH($B$1,[2]quests!$1:$1,0)+1),MATCH(D$1,[2]quests!$1:$1,0)-MATCH($B$1,[2]quests!$1:$1,0)+1,FALSE)</f>
        <v>#VALUE!</v>
      </c>
      <c r="E12" s="74">
        <v>1</v>
      </c>
      <c r="F12" s="70" t="e">
        <f ca="1">VLOOKUP($B12&amp;"_"&amp;$E12,OFFSET([2]stages!$A$1,0,0,COUNTA([2]stages!$A:$A),MATCH(F$1,[2]stages!$2:$2,0)-MATCH("temp_stage",[2]stages!$2:$2,0)+1),MATCH(F$1,[2]stages!$2:$2,0)-MATCH("temp_stage",[2]stages!$2:$2,0)+1,FALSE)</f>
        <v>#VALUE!</v>
      </c>
      <c r="G12" s="70" t="e">
        <f ca="1">VLOOKUP($B12&amp;"_"&amp;$E12,OFFSET([2]stages!$A$1,0,0,COUNTA([2]stages!$A:$A),MATCH(G$1,[2]stages!$2:$2,0)-MATCH("temp_stage",[2]stages!$2:$2,0)+1),MATCH(G$1,[2]stages!$2:$2,0)-MATCH("temp_stage",[2]stages!$2:$2,0)+1,FALSE)</f>
        <v>#VALUE!</v>
      </c>
      <c r="H12" s="72">
        <v>0</v>
      </c>
      <c r="I12" s="171">
        <v>36</v>
      </c>
      <c r="J12" s="71" t="s">
        <v>198</v>
      </c>
      <c r="K12" s="80" t="str">
        <f>VLOOKUP(I12,[7]stage_hints!$A:$C,3,FALSE)</f>
        <v>チャレンジタワーのボス</v>
      </c>
      <c r="L12" s="81" t="str">
        <f>VLOOKUP(I12,[7]stage_hints!$A:$D,4,FALSE)</f>
        <v>チャレンジタワーでのみ登場するボスは_x000D_一定確率で獲得することができます</v>
      </c>
      <c r="M12" s="45" t="s">
        <v>211</v>
      </c>
    </row>
    <row r="13" spans="1:13" s="171" customFormat="1" ht="16" customHeight="1" x14ac:dyDescent="0.15">
      <c r="A13" s="198" t="s">
        <v>201</v>
      </c>
      <c r="B13" s="69">
        <f>floors!$C$2</f>
        <v>49002</v>
      </c>
      <c r="C13" s="70" t="e">
        <f ca="1">VLOOKUP($B13,OFFSET([2]quests!$A$1,0,0,COUNTA([2]quests!$A:$A),MATCH(C$1,[2]quests!$1:$1,0)-MATCH($B$1,[2]quests!$1:$1,0)+1),MATCH(C$1,[2]quests!$1:$1,0)-MATCH($B$1,[2]quests!$1:$1,0)+1,FALSE)</f>
        <v>#VALUE!</v>
      </c>
      <c r="D13" s="70" t="e">
        <f ca="1">VLOOKUP($B13,OFFSET([2]quests!$A$1,0,0,COUNTA([2]quests!$A:$A),MATCH(D$1,[2]quests!$1:$1,0)-MATCH($B$1,[2]quests!$1:$1,0)+1),MATCH(D$1,[2]quests!$1:$1,0)-MATCH($B$1,[2]quests!$1:$1,0)+1,FALSE)</f>
        <v>#VALUE!</v>
      </c>
      <c r="E13" s="74">
        <v>1</v>
      </c>
      <c r="F13" s="70" t="e">
        <f ca="1">VLOOKUP($B13&amp;"_"&amp;$E13,OFFSET([2]stages!$A$1,0,0,COUNTA([2]stages!$A:$A),MATCH(F$1,[2]stages!$2:$2,0)-MATCH("temp_stage",[2]stages!$2:$2,0)+1),MATCH(F$1,[2]stages!$2:$2,0)-MATCH("temp_stage",[2]stages!$2:$2,0)+1,FALSE)</f>
        <v>#VALUE!</v>
      </c>
      <c r="G13" s="70" t="e">
        <f ca="1">VLOOKUP($B13&amp;"_"&amp;$E13,OFFSET([2]stages!$A$1,0,0,COUNTA([2]stages!$A:$A),MATCH(G$1,[2]stages!$2:$2,0)-MATCH("temp_stage",[2]stages!$2:$2,0)+1),MATCH(G$1,[2]stages!$2:$2,0)-MATCH("temp_stage",[2]stages!$2:$2,0)+1,FALSE)</f>
        <v>#VALUE!</v>
      </c>
      <c r="H13" s="72">
        <v>0</v>
      </c>
      <c r="I13" s="171">
        <v>37</v>
      </c>
      <c r="J13" s="71" t="s">
        <v>198</v>
      </c>
      <c r="K13" s="80" t="str">
        <f>VLOOKUP(I13,[7]stage_hints!$A:$C,3,FALSE)</f>
        <v>限界突破値の引き継ぎ</v>
      </c>
      <c r="L13" s="81" t="str">
        <f>VLOOKUP(I13,[7]stage_hints!$A:$D,4,FALSE)</f>
        <v>同じユニットを強化で合成すると_x000D_限界突破値を引き継げます（覚醒前後も可）</v>
      </c>
      <c r="M13" s="45" t="s">
        <v>211</v>
      </c>
    </row>
    <row r="14" spans="1:13" s="174" customFormat="1" ht="16" customHeight="1" thickBot="1" x14ac:dyDescent="0.2">
      <c r="A14" s="199" t="s">
        <v>201</v>
      </c>
      <c r="B14" s="200">
        <f>floors!$C$2</f>
        <v>49002</v>
      </c>
      <c r="C14" s="201" t="e">
        <f ca="1">VLOOKUP($B14,OFFSET([2]quests!$A$1,0,0,COUNTA([2]quests!$A:$A),MATCH(C$1,[2]quests!$1:$1,0)-MATCH($B$1,[2]quests!$1:$1,0)+1),MATCH(C$1,[2]quests!$1:$1,0)-MATCH($B$1,[2]quests!$1:$1,0)+1,FALSE)</f>
        <v>#VALUE!</v>
      </c>
      <c r="D14" s="201" t="e">
        <f ca="1">VLOOKUP($B14,OFFSET([2]quests!$A$1,0,0,COUNTA([2]quests!$A:$A),MATCH(D$1,[2]quests!$1:$1,0)-MATCH($B$1,[2]quests!$1:$1,0)+1),MATCH(D$1,[2]quests!$1:$1,0)-MATCH($B$1,[2]quests!$1:$1,0)+1,FALSE)</f>
        <v>#VALUE!</v>
      </c>
      <c r="E14" s="202">
        <v>1</v>
      </c>
      <c r="F14" s="201" t="e">
        <f ca="1">VLOOKUP($B14&amp;"_"&amp;$E14,OFFSET([2]stages!$A$1,0,0,COUNTA([2]stages!$A:$A),MATCH(F$1,[2]stages!$2:$2,0)-MATCH("temp_stage",[2]stages!$2:$2,0)+1),MATCH(F$1,[2]stages!$2:$2,0)-MATCH("temp_stage",[2]stages!$2:$2,0)+1,FALSE)</f>
        <v>#VALUE!</v>
      </c>
      <c r="G14" s="201" t="e">
        <f ca="1">VLOOKUP($B14&amp;"_"&amp;$E14,OFFSET([2]stages!$A$1,0,0,COUNTA([2]stages!$A:$A),MATCH(G$1,[2]stages!$2:$2,0)-MATCH("temp_stage",[2]stages!$2:$2,0)+1),MATCH(G$1,[2]stages!$2:$2,0)-MATCH("temp_stage",[2]stages!$2:$2,0)+1,FALSE)</f>
        <v>#VALUE!</v>
      </c>
      <c r="H14" s="203">
        <v>0</v>
      </c>
      <c r="I14" s="174">
        <v>39</v>
      </c>
      <c r="J14" s="204" t="s">
        <v>198</v>
      </c>
      <c r="K14" s="205" t="str">
        <f>VLOOKUP(I14,[7]stage_hints!$A:$C,3,FALSE)</f>
        <v>システム適合者を確認</v>
      </c>
      <c r="L14" s="206" t="str">
        <f>VLOOKUP(I14,[7]stage_hints!$A:$D,4,FALSE)</f>
        <v>ALICEが「アナタ」を呼んでいます</v>
      </c>
      <c r="M14" s="207" t="s">
        <v>211</v>
      </c>
    </row>
    <row r="15" spans="1:13" ht="16" customHeight="1" x14ac:dyDescent="0.15">
      <c r="A15" s="183" t="s">
        <v>201</v>
      </c>
      <c r="B15" s="184">
        <f>floors!$C$2</f>
        <v>49002</v>
      </c>
      <c r="C15" s="70" t="e">
        <f ca="1">VLOOKUP($B15,OFFSET([2]quests!$A$1,0,0,COUNTA([2]quests!$A:$A),MATCH(C$1,[2]quests!$1:$1,0)-MATCH($B$1,[2]quests!$1:$1,0)+1),MATCH(C$1,[2]quests!$1:$1,0)-MATCH($B$1,[2]quests!$1:$1,0)+1,FALSE)</f>
        <v>#VALUE!</v>
      </c>
      <c r="D15" s="70" t="e">
        <f ca="1">VLOOKUP($B15,OFFSET([2]quests!$A$1,0,0,COUNTA([2]quests!$A:$A),MATCH(D$1,[2]quests!$1:$1,0)-MATCH($B$1,[2]quests!$1:$1,0)+1),MATCH(D$1,[2]quests!$1:$1,0)-MATCH($B$1,[2]quests!$1:$1,0)+1,FALSE)</f>
        <v>#VALUE!</v>
      </c>
      <c r="E15" s="185">
        <v>2</v>
      </c>
      <c r="F15" s="70" t="e">
        <f ca="1">VLOOKUP($B15&amp;"_"&amp;$E15,OFFSET([2]stages!$A$1,0,0,COUNTA([2]stages!$A:$A),MATCH(F$1,[2]stages!$2:$2,0)-MATCH("temp_stage",[2]stages!$2:$2,0)+1),MATCH(F$1,[2]stages!$2:$2,0)-MATCH("temp_stage",[2]stages!$2:$2,0)+1,FALSE)</f>
        <v>#VALUE!</v>
      </c>
      <c r="G15" s="70" t="e">
        <f ca="1">VLOOKUP($B15&amp;"_"&amp;$E15,OFFSET([2]stages!$A$1,0,0,COUNTA([2]stages!$A:$A),MATCH(G$1,[2]stages!$2:$2,0)-MATCH("temp_stage",[2]stages!$2:$2,0)+1),MATCH(G$1,[2]stages!$2:$2,0)-MATCH("temp_stage",[2]stages!$2:$2,0)+1,FALSE)</f>
        <v>#VALUE!</v>
      </c>
      <c r="H15" s="72">
        <v>0</v>
      </c>
      <c r="I15">
        <v>12</v>
      </c>
      <c r="J15" s="186" t="s">
        <v>128</v>
      </c>
      <c r="K15" s="187" t="str">
        <f>VLOOKUP(I15,[7]stage_hints!$A:$C,3,FALSE)</f>
        <v>ユニットのお気に入り登録</v>
      </c>
      <c r="L15" s="188" t="str">
        <f>VLOOKUP(I15,[7]stage_hints!$A:$D,4,FALSE)</f>
        <v>大事なユニットを誤って消さないように_x000D_フォルダから「お気に入り登録」しましょう</v>
      </c>
      <c r="M15" s="165" t="s">
        <v>200</v>
      </c>
    </row>
    <row r="16" spans="1:13" ht="16" customHeight="1" x14ac:dyDescent="0.15">
      <c r="A16" s="68" t="s">
        <v>201</v>
      </c>
      <c r="B16" s="69">
        <f>floors!$C$2</f>
        <v>49002</v>
      </c>
      <c r="C16" s="70" t="e">
        <f ca="1">VLOOKUP($B16,OFFSET([2]quests!$A$1,0,0,COUNTA([2]quests!$A:$A),MATCH(C$1,[2]quests!$1:$1,0)-MATCH($B$1,[2]quests!$1:$1,0)+1),MATCH(C$1,[2]quests!$1:$1,0)-MATCH($B$1,[2]quests!$1:$1,0)+1,FALSE)</f>
        <v>#VALUE!</v>
      </c>
      <c r="D16" s="70" t="e">
        <f ca="1">VLOOKUP($B16,OFFSET([2]quests!$A$1,0,0,COUNTA([2]quests!$A:$A),MATCH(D$1,[2]quests!$1:$1,0)-MATCH($B$1,[2]quests!$1:$1,0)+1),MATCH(D$1,[2]quests!$1:$1,0)-MATCH($B$1,[2]quests!$1:$1,0)+1,FALSE)</f>
        <v>#VALUE!</v>
      </c>
      <c r="E16" s="74">
        <v>2</v>
      </c>
      <c r="F16" s="70" t="e">
        <f ca="1">VLOOKUP($B16&amp;"_"&amp;$E16,OFFSET([2]stages!$A$1,0,0,COUNTA([2]stages!$A:$A),MATCH(F$1,[2]stages!$2:$2,0)-MATCH("temp_stage",[2]stages!$2:$2,0)+1),MATCH(F$1,[2]stages!$2:$2,0)-MATCH("temp_stage",[2]stages!$2:$2,0)+1,FALSE)</f>
        <v>#VALUE!</v>
      </c>
      <c r="G16" s="70" t="e">
        <f ca="1">VLOOKUP($B16&amp;"_"&amp;$E16,OFFSET([2]stages!$A$1,0,0,COUNTA([2]stages!$A:$A),MATCH(G$1,[2]stages!$2:$2,0)-MATCH("temp_stage",[2]stages!$2:$2,0)+1),MATCH(G$1,[2]stages!$2:$2,0)-MATCH("temp_stage",[2]stages!$2:$2,0)+1,FALSE)</f>
        <v>#VALUE!</v>
      </c>
      <c r="H16" s="72">
        <v>0</v>
      </c>
      <c r="I16">
        <v>17</v>
      </c>
      <c r="J16" s="71" t="s">
        <v>128</v>
      </c>
      <c r="K16" s="80" t="str">
        <f>VLOOKUP(I16,[7]stage_hints!$A:$C,3,FALSE)</f>
        <v>リンクガチャ</v>
      </c>
      <c r="L16" s="81" t="str">
        <f>VLOOKUP(I16,[7]stage_hints!$A:$D,4,FALSE)</f>
        <v>無料のリンクガチャを回して_x000D_経験値素材や売却素材を獲得しましょう</v>
      </c>
      <c r="M16" s="45" t="s">
        <v>200</v>
      </c>
    </row>
    <row r="17" spans="1:13" ht="16" customHeight="1" x14ac:dyDescent="0.15">
      <c r="A17" s="68" t="s">
        <v>201</v>
      </c>
      <c r="B17" s="69">
        <f>floors!$C$2</f>
        <v>49002</v>
      </c>
      <c r="C17" s="70" t="e">
        <f ca="1">VLOOKUP($B17,OFFSET([2]quests!$A$1,0,0,COUNTA([2]quests!$A:$A),MATCH(C$1,[2]quests!$1:$1,0)-MATCH($B$1,[2]quests!$1:$1,0)+1),MATCH(C$1,[2]quests!$1:$1,0)-MATCH($B$1,[2]quests!$1:$1,0)+1,FALSE)</f>
        <v>#VALUE!</v>
      </c>
      <c r="D17" s="70" t="e">
        <f ca="1">VLOOKUP($B17,OFFSET([2]quests!$A$1,0,0,COUNTA([2]quests!$A:$A),MATCH(D$1,[2]quests!$1:$1,0)-MATCH($B$1,[2]quests!$1:$1,0)+1),MATCH(D$1,[2]quests!$1:$1,0)-MATCH($B$1,[2]quests!$1:$1,0)+1,FALSE)</f>
        <v>#VALUE!</v>
      </c>
      <c r="E17" s="74">
        <v>2</v>
      </c>
      <c r="F17" s="70" t="e">
        <f ca="1">VLOOKUP($B17&amp;"_"&amp;$E17,OFFSET([2]stages!$A$1,0,0,COUNTA([2]stages!$A:$A),MATCH(F$1,[2]stages!$2:$2,0)-MATCH("temp_stage",[2]stages!$2:$2,0)+1),MATCH(F$1,[2]stages!$2:$2,0)-MATCH("temp_stage",[2]stages!$2:$2,0)+1,FALSE)</f>
        <v>#VALUE!</v>
      </c>
      <c r="G17" s="70" t="e">
        <f ca="1">VLOOKUP($B17&amp;"_"&amp;$E17,OFFSET([2]stages!$A$1,0,0,COUNTA([2]stages!$A:$A),MATCH(G$1,[2]stages!$2:$2,0)-MATCH("temp_stage",[2]stages!$2:$2,0)+1),MATCH(G$1,[2]stages!$2:$2,0)-MATCH("temp_stage",[2]stages!$2:$2,0)+1,FALSE)</f>
        <v>#VALUE!</v>
      </c>
      <c r="H17" s="72">
        <v>0</v>
      </c>
      <c r="I17">
        <v>19</v>
      </c>
      <c r="J17" s="71" t="s">
        <v>128</v>
      </c>
      <c r="K17" s="80" t="str">
        <f>VLOOKUP(I17,[7]stage_hints!$A:$C,3,FALSE)</f>
        <v>ソロ専用チャレンジタワー</v>
      </c>
      <c r="L17" s="81" t="str">
        <f>VLOOKUP(I17,[7]stage_hints!$A:$D,4,FALSE)</f>
        <v>ソロ専用の「チャレンジタワー」では_x000D_各フロアごとにクリア報酬がもらえます</v>
      </c>
      <c r="M17" s="45" t="s">
        <v>200</v>
      </c>
    </row>
    <row r="18" spans="1:13" ht="16" customHeight="1" x14ac:dyDescent="0.15">
      <c r="A18" s="68" t="s">
        <v>201</v>
      </c>
      <c r="B18" s="69">
        <f>floors!$C$2</f>
        <v>49002</v>
      </c>
      <c r="C18" s="70" t="e">
        <f ca="1">VLOOKUP($B18,OFFSET([2]quests!$A$1,0,0,COUNTA([2]quests!$A:$A),MATCH(C$1,[2]quests!$1:$1,0)-MATCH($B$1,[2]quests!$1:$1,0)+1),MATCH(C$1,[2]quests!$1:$1,0)-MATCH($B$1,[2]quests!$1:$1,0)+1,FALSE)</f>
        <v>#VALUE!</v>
      </c>
      <c r="D18" s="70" t="e">
        <f ca="1">VLOOKUP($B18,OFFSET([2]quests!$A$1,0,0,COUNTA([2]quests!$A:$A),MATCH(D$1,[2]quests!$1:$1,0)-MATCH($B$1,[2]quests!$1:$1,0)+1),MATCH(D$1,[2]quests!$1:$1,0)-MATCH($B$1,[2]quests!$1:$1,0)+1,FALSE)</f>
        <v>#VALUE!</v>
      </c>
      <c r="E18" s="74">
        <v>2</v>
      </c>
      <c r="F18" s="70" t="e">
        <f ca="1">VLOOKUP($B18&amp;"_"&amp;$E18,OFFSET([2]stages!$A$1,0,0,COUNTA([2]stages!$A:$A),MATCH(F$1,[2]stages!$2:$2,0)-MATCH("temp_stage",[2]stages!$2:$2,0)+1),MATCH(F$1,[2]stages!$2:$2,0)-MATCH("temp_stage",[2]stages!$2:$2,0)+1,FALSE)</f>
        <v>#VALUE!</v>
      </c>
      <c r="G18" s="70" t="e">
        <f ca="1">VLOOKUP($B18&amp;"_"&amp;$E18,OFFSET([2]stages!$A$1,0,0,COUNTA([2]stages!$A:$A),MATCH(G$1,[2]stages!$2:$2,0)-MATCH("temp_stage",[2]stages!$2:$2,0)+1),MATCH(G$1,[2]stages!$2:$2,0)-MATCH("temp_stage",[2]stages!$2:$2,0)+1,FALSE)</f>
        <v>#VALUE!</v>
      </c>
      <c r="H18" s="72">
        <v>0</v>
      </c>
      <c r="I18">
        <v>21</v>
      </c>
      <c r="J18" s="71" t="s">
        <v>128</v>
      </c>
      <c r="K18" s="80" t="str">
        <f>VLOOKUP(I18,[7]stage_hints!$A:$C,3,FALSE)</f>
        <v>スキルを有効に</v>
      </c>
      <c r="L18" s="81" t="str">
        <f>VLOOKUP(I18,[7]stage_hints!$A:$D,4,FALSE)</f>
        <v>ターン経過でユニットのスキルが使えます_x000D_強力スキルでバトルを有利に進めましょう</v>
      </c>
      <c r="M18" s="45" t="s">
        <v>200</v>
      </c>
    </row>
    <row r="19" spans="1:13" ht="16" customHeight="1" x14ac:dyDescent="0.15">
      <c r="A19" s="68" t="s">
        <v>201</v>
      </c>
      <c r="B19" s="69">
        <f>floors!$C$2</f>
        <v>49002</v>
      </c>
      <c r="C19" s="70" t="e">
        <f ca="1">VLOOKUP($B19,OFFSET([2]quests!$A$1,0,0,COUNTA([2]quests!$A:$A),MATCH(C$1,[2]quests!$1:$1,0)-MATCH($B$1,[2]quests!$1:$1,0)+1),MATCH(C$1,[2]quests!$1:$1,0)-MATCH($B$1,[2]quests!$1:$1,0)+1,FALSE)</f>
        <v>#VALUE!</v>
      </c>
      <c r="D19" s="70" t="e">
        <f ca="1">VLOOKUP($B19,OFFSET([2]quests!$A$1,0,0,COUNTA([2]quests!$A:$A),MATCH(D$1,[2]quests!$1:$1,0)-MATCH($B$1,[2]quests!$1:$1,0)+1),MATCH(D$1,[2]quests!$1:$1,0)-MATCH($B$1,[2]quests!$1:$1,0)+1,FALSE)</f>
        <v>#VALUE!</v>
      </c>
      <c r="E19" s="74">
        <v>2</v>
      </c>
      <c r="F19" s="70" t="e">
        <f ca="1">VLOOKUP($B19&amp;"_"&amp;$E19,OFFSET([2]stages!$A$1,0,0,COUNTA([2]stages!$A:$A),MATCH(F$1,[2]stages!$2:$2,0)-MATCH("temp_stage",[2]stages!$2:$2,0)+1),MATCH(F$1,[2]stages!$2:$2,0)-MATCH("temp_stage",[2]stages!$2:$2,0)+1,FALSE)</f>
        <v>#VALUE!</v>
      </c>
      <c r="G19" s="70" t="e">
        <f ca="1">VLOOKUP($B19&amp;"_"&amp;$E19,OFFSET([2]stages!$A$1,0,0,COUNTA([2]stages!$A:$A),MATCH(G$1,[2]stages!$2:$2,0)-MATCH("temp_stage",[2]stages!$2:$2,0)+1),MATCH(G$1,[2]stages!$2:$2,0)-MATCH("temp_stage",[2]stages!$2:$2,0)+1,FALSE)</f>
        <v>#VALUE!</v>
      </c>
      <c r="H19" s="72">
        <v>0</v>
      </c>
      <c r="I19">
        <v>29</v>
      </c>
      <c r="J19" s="71" t="s">
        <v>128</v>
      </c>
      <c r="K19" s="80" t="str">
        <f>VLOOKUP(I19,[7]stage_hints!$A:$C,3,FALSE)</f>
        <v>「バグ」のメリット</v>
      </c>
      <c r="L19" s="81" t="str">
        <f>VLOOKUP(I19,[7]stage_hints!$A:$D,4,FALSE)</f>
        <v>ユニットの「バグ」を増やすと_x000D_報酬をもらえる確率がアップします</v>
      </c>
      <c r="M19" s="45" t="s">
        <v>200</v>
      </c>
    </row>
    <row r="20" spans="1:13" ht="16" customHeight="1" x14ac:dyDescent="0.15">
      <c r="A20" s="68" t="s">
        <v>201</v>
      </c>
      <c r="B20" s="69">
        <f>floors!$C$2</f>
        <v>49002</v>
      </c>
      <c r="C20" s="70" t="e">
        <f ca="1">VLOOKUP($B20,OFFSET([2]quests!$A$1,0,0,COUNTA([2]quests!$A:$A),MATCH(C$1,[2]quests!$1:$1,0)-MATCH($B$1,[2]quests!$1:$1,0)+1),MATCH(C$1,[2]quests!$1:$1,0)-MATCH($B$1,[2]quests!$1:$1,0)+1,FALSE)</f>
        <v>#VALUE!</v>
      </c>
      <c r="D20" s="70" t="e">
        <f ca="1">VLOOKUP($B20,OFFSET([2]quests!$A$1,0,0,COUNTA([2]quests!$A:$A),MATCH(D$1,[2]quests!$1:$1,0)-MATCH($B$1,[2]quests!$1:$1,0)+1),MATCH(D$1,[2]quests!$1:$1,0)-MATCH($B$1,[2]quests!$1:$1,0)+1,FALSE)</f>
        <v>#VALUE!</v>
      </c>
      <c r="E20" s="74">
        <v>2</v>
      </c>
      <c r="F20" s="70" t="e">
        <f ca="1">VLOOKUP($B20&amp;"_"&amp;$E20,OFFSET([2]stages!$A$1,0,0,COUNTA([2]stages!$A:$A),MATCH(F$1,[2]stages!$2:$2,0)-MATCH("temp_stage",[2]stages!$2:$2,0)+1),MATCH(F$1,[2]stages!$2:$2,0)-MATCH("temp_stage",[2]stages!$2:$2,0)+1,FALSE)</f>
        <v>#VALUE!</v>
      </c>
      <c r="G20" s="70" t="e">
        <f ca="1">VLOOKUP($B20&amp;"_"&amp;$E20,OFFSET([2]stages!$A$1,0,0,COUNTA([2]stages!$A:$A),MATCH(G$1,[2]stages!$2:$2,0)-MATCH("temp_stage",[2]stages!$2:$2,0)+1),MATCH(G$1,[2]stages!$2:$2,0)-MATCH("temp_stage",[2]stages!$2:$2,0)+1,FALSE)</f>
        <v>#VALUE!</v>
      </c>
      <c r="H20" s="72">
        <v>0</v>
      </c>
      <c r="I20">
        <v>30</v>
      </c>
      <c r="J20" s="71" t="s">
        <v>128</v>
      </c>
      <c r="K20" s="80" t="str">
        <f>VLOOKUP(I20,[7]stage_hints!$A:$C,3,FALSE)</f>
        <v>「バグ」の増やし方</v>
      </c>
      <c r="L20" s="81" t="str">
        <f>VLOOKUP(I20,[7]stage_hints!$A:$D,4,FALSE)</f>
        <v>同じユニット同士を強化で合成すると_x000D_「バグ」を増やすことができます</v>
      </c>
      <c r="M20" s="45" t="s">
        <v>200</v>
      </c>
    </row>
    <row r="21" spans="1:13" ht="16" customHeight="1" x14ac:dyDescent="0.15">
      <c r="A21" s="68" t="s">
        <v>201</v>
      </c>
      <c r="B21" s="69">
        <f>floors!$C$2</f>
        <v>49002</v>
      </c>
      <c r="C21" s="70" t="e">
        <f ca="1">VLOOKUP($B21,OFFSET([2]quests!$A$1,0,0,COUNTA([2]quests!$A:$A),MATCH(C$1,[2]quests!$1:$1,0)-MATCH($B$1,[2]quests!$1:$1,0)+1),MATCH(C$1,[2]quests!$1:$1,0)-MATCH($B$1,[2]quests!$1:$1,0)+1,FALSE)</f>
        <v>#VALUE!</v>
      </c>
      <c r="D21" s="70" t="e">
        <f ca="1">VLOOKUP($B21,OFFSET([2]quests!$A$1,0,0,COUNTA([2]quests!$A:$A),MATCH(D$1,[2]quests!$1:$1,0)-MATCH($B$1,[2]quests!$1:$1,0)+1),MATCH(D$1,[2]quests!$1:$1,0)-MATCH($B$1,[2]quests!$1:$1,0)+1,FALSE)</f>
        <v>#VALUE!</v>
      </c>
      <c r="E21" s="74">
        <v>2</v>
      </c>
      <c r="F21" s="70" t="e">
        <f ca="1">VLOOKUP($B21&amp;"_"&amp;$E21,OFFSET([2]stages!$A$1,0,0,COUNTA([2]stages!$A:$A),MATCH(F$1,[2]stages!$2:$2,0)-MATCH("temp_stage",[2]stages!$2:$2,0)+1),MATCH(F$1,[2]stages!$2:$2,0)-MATCH("temp_stage",[2]stages!$2:$2,0)+1,FALSE)</f>
        <v>#VALUE!</v>
      </c>
      <c r="G21" s="70" t="e">
        <f ca="1">VLOOKUP($B21&amp;"_"&amp;$E21,OFFSET([2]stages!$A$1,0,0,COUNTA([2]stages!$A:$A),MATCH(G$1,[2]stages!$2:$2,0)-MATCH("temp_stage",[2]stages!$2:$2,0)+1),MATCH(G$1,[2]stages!$2:$2,0)-MATCH("temp_stage",[2]stages!$2:$2,0)+1,FALSE)</f>
        <v>#VALUE!</v>
      </c>
      <c r="H21" s="72">
        <v>0</v>
      </c>
      <c r="I21">
        <v>32</v>
      </c>
      <c r="J21" s="71" t="s">
        <v>128</v>
      </c>
      <c r="K21" s="80" t="str">
        <f>VLOOKUP(I21,[7]stage_hints!$A:$C,3,FALSE)</f>
        <v>敵の連続攻撃には</v>
      </c>
      <c r="L21" s="81" t="str">
        <f>VLOOKUP(I21,[7]stage_hints!$A:$D,4,FALSE)</f>
        <v>カウンタースキルを持つユニットがいれば_x000D_ダメージ回数分の反撃ができます</v>
      </c>
      <c r="M21" s="45" t="s">
        <v>200</v>
      </c>
    </row>
    <row r="22" spans="1:13" ht="16" customHeight="1" x14ac:dyDescent="0.15">
      <c r="A22" s="68" t="s">
        <v>201</v>
      </c>
      <c r="B22" s="69">
        <f>floors!$C$2</f>
        <v>49002</v>
      </c>
      <c r="C22" s="70" t="e">
        <f ca="1">VLOOKUP($B22,OFFSET([2]quests!$A$1,0,0,COUNTA([2]quests!$A:$A),MATCH(C$1,[2]quests!$1:$1,0)-MATCH($B$1,[2]quests!$1:$1,0)+1),MATCH(C$1,[2]quests!$1:$1,0)-MATCH($B$1,[2]quests!$1:$1,0)+1,FALSE)</f>
        <v>#VALUE!</v>
      </c>
      <c r="D22" s="70" t="e">
        <f ca="1">VLOOKUP($B22,OFFSET([2]quests!$A$1,0,0,COUNTA([2]quests!$A:$A),MATCH(D$1,[2]quests!$1:$1,0)-MATCH($B$1,[2]quests!$1:$1,0)+1),MATCH(D$1,[2]quests!$1:$1,0)-MATCH($B$1,[2]quests!$1:$1,0)+1,FALSE)</f>
        <v>#VALUE!</v>
      </c>
      <c r="E22" s="74">
        <v>2</v>
      </c>
      <c r="F22" s="70" t="e">
        <f ca="1">VLOOKUP($B22&amp;"_"&amp;$E22,OFFSET([2]stages!$A$1,0,0,COUNTA([2]stages!$A:$A),MATCH(F$1,[2]stages!$2:$2,0)-MATCH("temp_stage",[2]stages!$2:$2,0)+1),MATCH(F$1,[2]stages!$2:$2,0)-MATCH("temp_stage",[2]stages!$2:$2,0)+1,FALSE)</f>
        <v>#VALUE!</v>
      </c>
      <c r="G22" s="70" t="e">
        <f ca="1">VLOOKUP($B22&amp;"_"&amp;$E22,OFFSET([2]stages!$A$1,0,0,COUNTA([2]stages!$A:$A),MATCH(G$1,[2]stages!$2:$2,0)-MATCH("temp_stage",[2]stages!$2:$2,0)+1),MATCH(G$1,[2]stages!$2:$2,0)-MATCH("temp_stage",[2]stages!$2:$2,0)+1,FALSE)</f>
        <v>#VALUE!</v>
      </c>
      <c r="H22" s="72">
        <v>0</v>
      </c>
      <c r="I22">
        <v>33</v>
      </c>
      <c r="J22" s="71" t="s">
        <v>128</v>
      </c>
      <c r="K22" s="80" t="str">
        <f>VLOOKUP(I22,[7]stage_hints!$A:$C,3,FALSE)</f>
        <v>敵のカウンター攻撃には</v>
      </c>
      <c r="L22" s="81" t="str">
        <f>VLOOKUP(I22,[7]stage_hints!$A:$D,4,FALSE)</f>
        <v>カウンターブレイクスキルを持っていれば_x000D_敵のカウンターを解除して攻撃ができます</v>
      </c>
      <c r="M22" s="45" t="s">
        <v>200</v>
      </c>
    </row>
    <row r="23" spans="1:13" ht="16" customHeight="1" x14ac:dyDescent="0.15">
      <c r="A23" s="68" t="s">
        <v>201</v>
      </c>
      <c r="B23" s="69">
        <f>floors!$C$2</f>
        <v>49002</v>
      </c>
      <c r="C23" s="70" t="e">
        <f ca="1">VLOOKUP($B23,OFFSET([2]quests!$A$1,0,0,COUNTA([2]quests!$A:$A),MATCH(C$1,[2]quests!$1:$1,0)-MATCH($B$1,[2]quests!$1:$1,0)+1),MATCH(C$1,[2]quests!$1:$1,0)-MATCH($B$1,[2]quests!$1:$1,0)+1,FALSE)</f>
        <v>#VALUE!</v>
      </c>
      <c r="D23" s="70" t="e">
        <f ca="1">VLOOKUP($B23,OFFSET([2]quests!$A$1,0,0,COUNTA([2]quests!$A:$A),MATCH(D$1,[2]quests!$1:$1,0)-MATCH($B$1,[2]quests!$1:$1,0)+1),MATCH(D$1,[2]quests!$1:$1,0)-MATCH($B$1,[2]quests!$1:$1,0)+1,FALSE)</f>
        <v>#VALUE!</v>
      </c>
      <c r="E23" s="74">
        <v>2</v>
      </c>
      <c r="F23" s="70" t="e">
        <f ca="1">VLOOKUP($B23&amp;"_"&amp;$E23,OFFSET([2]stages!$A$1,0,0,COUNTA([2]stages!$A:$A),MATCH(F$1,[2]stages!$2:$2,0)-MATCH("temp_stage",[2]stages!$2:$2,0)+1),MATCH(F$1,[2]stages!$2:$2,0)-MATCH("temp_stage",[2]stages!$2:$2,0)+1,FALSE)</f>
        <v>#VALUE!</v>
      </c>
      <c r="G23" s="70" t="e">
        <f ca="1">VLOOKUP($B23&amp;"_"&amp;$E23,OFFSET([2]stages!$A$1,0,0,COUNTA([2]stages!$A:$A),MATCH(G$1,[2]stages!$2:$2,0)-MATCH("temp_stage",[2]stages!$2:$2,0)+1),MATCH(G$1,[2]stages!$2:$2,0)-MATCH("temp_stage",[2]stages!$2:$2,0)+1,FALSE)</f>
        <v>#VALUE!</v>
      </c>
      <c r="H23" s="72">
        <v>0</v>
      </c>
      <c r="I23">
        <v>34</v>
      </c>
      <c r="J23" s="71" t="s">
        <v>128</v>
      </c>
      <c r="K23" s="80" t="str">
        <f>VLOOKUP(I23,[7]stage_hints!$A:$C,3,FALSE)</f>
        <v>ステータスをスキルで下げられたら</v>
      </c>
      <c r="L23" s="81" t="str">
        <f>VLOOKUP(I23,[7]stage_hints!$A:$D,4,FALSE)</f>
        <v>ステータスダウンのスキルを受けたら_x000D_ステータスアップスキルで上書きしましょう</v>
      </c>
      <c r="M23" s="45" t="s">
        <v>200</v>
      </c>
    </row>
    <row r="24" spans="1:13" ht="16" customHeight="1" x14ac:dyDescent="0.15">
      <c r="A24" s="68" t="s">
        <v>201</v>
      </c>
      <c r="B24" s="69">
        <f>floors!$C$2</f>
        <v>49002</v>
      </c>
      <c r="C24" s="70" t="e">
        <f ca="1">VLOOKUP($B24,OFFSET([2]quests!$A$1,0,0,COUNTA([2]quests!$A:$A),MATCH(C$1,[2]quests!$1:$1,0)-MATCH($B$1,[2]quests!$1:$1,0)+1),MATCH(C$1,[2]quests!$1:$1,0)-MATCH($B$1,[2]quests!$1:$1,0)+1,FALSE)</f>
        <v>#VALUE!</v>
      </c>
      <c r="D24" s="70" t="e">
        <f ca="1">VLOOKUP($B24,OFFSET([2]quests!$A$1,0,0,COUNTA([2]quests!$A:$A),MATCH(D$1,[2]quests!$1:$1,0)-MATCH($B$1,[2]quests!$1:$1,0)+1),MATCH(D$1,[2]quests!$1:$1,0)-MATCH($B$1,[2]quests!$1:$1,0)+1,FALSE)</f>
        <v>#VALUE!</v>
      </c>
      <c r="E24" s="74">
        <v>2</v>
      </c>
      <c r="F24" s="70" t="e">
        <f ca="1">VLOOKUP($B24&amp;"_"&amp;$E24,OFFSET([2]stages!$A$1,0,0,COUNTA([2]stages!$A:$A),MATCH(F$1,[2]stages!$2:$2,0)-MATCH("temp_stage",[2]stages!$2:$2,0)+1),MATCH(F$1,[2]stages!$2:$2,0)-MATCH("temp_stage",[2]stages!$2:$2,0)+1,FALSE)</f>
        <v>#VALUE!</v>
      </c>
      <c r="G24" s="70" t="e">
        <f ca="1">VLOOKUP($B24&amp;"_"&amp;$E24,OFFSET([2]stages!$A$1,0,0,COUNTA([2]stages!$A:$A),MATCH(G$1,[2]stages!$2:$2,0)-MATCH("temp_stage",[2]stages!$2:$2,0)+1),MATCH(G$1,[2]stages!$2:$2,0)-MATCH("temp_stage",[2]stages!$2:$2,0)+1,FALSE)</f>
        <v>#VALUE!</v>
      </c>
      <c r="H24" s="72">
        <v>0</v>
      </c>
      <c r="I24">
        <v>35</v>
      </c>
      <c r="J24" s="71" t="s">
        <v>128</v>
      </c>
      <c r="K24" s="80" t="str">
        <f>VLOOKUP(I24,[7]stage_hints!$A:$C,3,FALSE)</f>
        <v>敵のステータスがスキルで上がったら</v>
      </c>
      <c r="L24" s="81" t="str">
        <f>VLOOKUP(I24,[7]stage_hints!$A:$D,4,FALSE)</f>
        <v>敵のステータスがスキルでアップしたときは_x000D_ステータスダウンスキルで上書きしましょう</v>
      </c>
      <c r="M24" s="45" t="s">
        <v>200</v>
      </c>
    </row>
    <row r="25" spans="1:13" ht="16" customHeight="1" x14ac:dyDescent="0.15">
      <c r="A25" s="68" t="s">
        <v>201</v>
      </c>
      <c r="B25" s="69">
        <f>floors!$C$2</f>
        <v>49002</v>
      </c>
      <c r="C25" s="70" t="e">
        <f ca="1">VLOOKUP($B25,OFFSET([2]quests!$A$1,0,0,COUNTA([2]quests!$A:$A),MATCH(C$1,[2]quests!$1:$1,0)-MATCH($B$1,[2]quests!$1:$1,0)+1),MATCH(C$1,[2]quests!$1:$1,0)-MATCH($B$1,[2]quests!$1:$1,0)+1,FALSE)</f>
        <v>#VALUE!</v>
      </c>
      <c r="D25" s="70" t="e">
        <f ca="1">VLOOKUP($B25,OFFSET([2]quests!$A$1,0,0,COUNTA([2]quests!$A:$A),MATCH(D$1,[2]quests!$1:$1,0)-MATCH($B$1,[2]quests!$1:$1,0)+1),MATCH(D$1,[2]quests!$1:$1,0)-MATCH($B$1,[2]quests!$1:$1,0)+1,FALSE)</f>
        <v>#VALUE!</v>
      </c>
      <c r="E25" s="74">
        <v>2</v>
      </c>
      <c r="F25" s="70" t="e">
        <f ca="1">VLOOKUP($B25&amp;"_"&amp;$E25,OFFSET([2]stages!$A$1,0,0,COUNTA([2]stages!$A:$A),MATCH(F$1,[2]stages!$2:$2,0)-MATCH("temp_stage",[2]stages!$2:$2,0)+1),MATCH(F$1,[2]stages!$2:$2,0)-MATCH("temp_stage",[2]stages!$2:$2,0)+1,FALSE)</f>
        <v>#VALUE!</v>
      </c>
      <c r="G25" s="70" t="e">
        <f ca="1">VLOOKUP($B25&amp;"_"&amp;$E25,OFFSET([2]stages!$A$1,0,0,COUNTA([2]stages!$A:$A),MATCH(G$1,[2]stages!$2:$2,0)-MATCH("temp_stage",[2]stages!$2:$2,0)+1),MATCH(G$1,[2]stages!$2:$2,0)-MATCH("temp_stage",[2]stages!$2:$2,0)+1,FALSE)</f>
        <v>#VALUE!</v>
      </c>
      <c r="H25" s="72">
        <v>0</v>
      </c>
      <c r="I25">
        <v>36</v>
      </c>
      <c r="J25" s="71" t="s">
        <v>128</v>
      </c>
      <c r="K25" s="80" t="str">
        <f>VLOOKUP(I25,[7]stage_hints!$A:$C,3,FALSE)</f>
        <v>チャレンジタワーのボス</v>
      </c>
      <c r="L25" s="81" t="str">
        <f>VLOOKUP(I25,[7]stage_hints!$A:$D,4,FALSE)</f>
        <v>チャレンジタワーでのみ登場するボスは_x000D_一定確率で獲得することができます</v>
      </c>
      <c r="M25" s="45" t="s">
        <v>200</v>
      </c>
    </row>
    <row r="26" spans="1:13" ht="16" customHeight="1" x14ac:dyDescent="0.15">
      <c r="A26" s="68" t="s">
        <v>201</v>
      </c>
      <c r="B26" s="69">
        <f>floors!$C$2</f>
        <v>49002</v>
      </c>
      <c r="C26" s="70" t="e">
        <f ca="1">VLOOKUP($B26,OFFSET([2]quests!$A$1,0,0,COUNTA([2]quests!$A:$A),MATCH(C$1,[2]quests!$1:$1,0)-MATCH($B$1,[2]quests!$1:$1,0)+1),MATCH(C$1,[2]quests!$1:$1,0)-MATCH($B$1,[2]quests!$1:$1,0)+1,FALSE)</f>
        <v>#VALUE!</v>
      </c>
      <c r="D26" s="70" t="e">
        <f ca="1">VLOOKUP($B26,OFFSET([2]quests!$A$1,0,0,COUNTA([2]quests!$A:$A),MATCH(D$1,[2]quests!$1:$1,0)-MATCH($B$1,[2]quests!$1:$1,0)+1),MATCH(D$1,[2]quests!$1:$1,0)-MATCH($B$1,[2]quests!$1:$1,0)+1,FALSE)</f>
        <v>#VALUE!</v>
      </c>
      <c r="E26" s="74">
        <v>2</v>
      </c>
      <c r="F26" s="70" t="e">
        <f ca="1">VLOOKUP($B26&amp;"_"&amp;$E26,OFFSET([2]stages!$A$1,0,0,COUNTA([2]stages!$A:$A),MATCH(F$1,[2]stages!$2:$2,0)-MATCH("temp_stage",[2]stages!$2:$2,0)+1),MATCH(F$1,[2]stages!$2:$2,0)-MATCH("temp_stage",[2]stages!$2:$2,0)+1,FALSE)</f>
        <v>#VALUE!</v>
      </c>
      <c r="G26" s="70" t="e">
        <f ca="1">VLOOKUP($B26&amp;"_"&amp;$E26,OFFSET([2]stages!$A$1,0,0,COUNTA([2]stages!$A:$A),MATCH(G$1,[2]stages!$2:$2,0)-MATCH("temp_stage",[2]stages!$2:$2,0)+1),MATCH(G$1,[2]stages!$2:$2,0)-MATCH("temp_stage",[2]stages!$2:$2,0)+1,FALSE)</f>
        <v>#VALUE!</v>
      </c>
      <c r="H26" s="72">
        <v>0</v>
      </c>
      <c r="I26">
        <v>37</v>
      </c>
      <c r="J26" s="71" t="s">
        <v>128</v>
      </c>
      <c r="K26" s="80" t="str">
        <f>VLOOKUP(I26,[7]stage_hints!$A:$C,3,FALSE)</f>
        <v>限界突破値の引き継ぎ</v>
      </c>
      <c r="L26" s="81" t="str">
        <f>VLOOKUP(I26,[7]stage_hints!$A:$D,4,FALSE)</f>
        <v>同じユニットを強化で合成すると_x000D_限界突破値を引き継げます（覚醒前後も可）</v>
      </c>
      <c r="M26" s="45" t="s">
        <v>200</v>
      </c>
    </row>
    <row r="27" spans="1:13" ht="16" customHeight="1" x14ac:dyDescent="0.15">
      <c r="A27" s="68" t="s">
        <v>201</v>
      </c>
      <c r="B27" s="69">
        <f>floors!$C$2</f>
        <v>49002</v>
      </c>
      <c r="C27" s="70" t="e">
        <f ca="1">VLOOKUP($B27,OFFSET([2]quests!$A$1,0,0,COUNTA([2]quests!$A:$A),MATCH(C$1,[2]quests!$1:$1,0)-MATCH($B$1,[2]quests!$1:$1,0)+1),MATCH(C$1,[2]quests!$1:$1,0)-MATCH($B$1,[2]quests!$1:$1,0)+1,FALSE)</f>
        <v>#VALUE!</v>
      </c>
      <c r="D27" s="70" t="e">
        <f ca="1">VLOOKUP($B27,OFFSET([2]quests!$A$1,0,0,COUNTA([2]quests!$A:$A),MATCH(D$1,[2]quests!$1:$1,0)-MATCH($B$1,[2]quests!$1:$1,0)+1),MATCH(D$1,[2]quests!$1:$1,0)-MATCH($B$1,[2]quests!$1:$1,0)+1,FALSE)</f>
        <v>#VALUE!</v>
      </c>
      <c r="E27" s="74">
        <v>2</v>
      </c>
      <c r="F27" s="70" t="e">
        <f ca="1">VLOOKUP($B27&amp;"_"&amp;$E27,OFFSET([2]stages!$A$1,0,0,COUNTA([2]stages!$A:$A),MATCH(F$1,[2]stages!$2:$2,0)-MATCH("temp_stage",[2]stages!$2:$2,0)+1),MATCH(F$1,[2]stages!$2:$2,0)-MATCH("temp_stage",[2]stages!$2:$2,0)+1,FALSE)</f>
        <v>#VALUE!</v>
      </c>
      <c r="G27" s="70" t="e">
        <f ca="1">VLOOKUP($B27&amp;"_"&amp;$E27,OFFSET([2]stages!$A$1,0,0,COUNTA([2]stages!$A:$A),MATCH(G$1,[2]stages!$2:$2,0)-MATCH("temp_stage",[2]stages!$2:$2,0)+1),MATCH(G$1,[2]stages!$2:$2,0)-MATCH("temp_stage",[2]stages!$2:$2,0)+1,FALSE)</f>
        <v>#VALUE!</v>
      </c>
      <c r="H27" s="72">
        <v>0</v>
      </c>
      <c r="I27">
        <v>39</v>
      </c>
      <c r="J27" s="71" t="s">
        <v>128</v>
      </c>
      <c r="K27" s="80" t="str">
        <f>VLOOKUP(I27,[7]stage_hints!$A:$C,3,FALSE)</f>
        <v>システム適合者を確認</v>
      </c>
      <c r="L27" s="81" t="str">
        <f>VLOOKUP(I27,[7]stage_hints!$A:$D,4,FALSE)</f>
        <v>ALICEが「アナタ」を呼んでいます</v>
      </c>
      <c r="M27" s="45" t="s">
        <v>200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M20" sqref="M20"/>
    </sheetView>
  </sheetViews>
  <sheetFormatPr baseColWidth="12" defaultColWidth="13" defaultRowHeight="15" outlineLevelCol="1" x14ac:dyDescent="0.15"/>
  <cols>
    <col min="1" max="1" width="13" style="7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3" t="s">
        <v>188</v>
      </c>
      <c r="B1" s="59" t="s">
        <v>151</v>
      </c>
      <c r="C1" s="64" t="s">
        <v>190</v>
      </c>
      <c r="D1" s="64" t="s">
        <v>33</v>
      </c>
      <c r="E1" s="59" t="s">
        <v>191</v>
      </c>
      <c r="F1" s="64" t="s">
        <v>18</v>
      </c>
      <c r="G1" s="64" t="s">
        <v>33</v>
      </c>
      <c r="H1" s="59" t="s">
        <v>193</v>
      </c>
      <c r="I1" s="76" t="s">
        <v>194</v>
      </c>
      <c r="J1" s="78" t="s">
        <v>195</v>
      </c>
      <c r="K1" s="66" t="s">
        <v>127</v>
      </c>
      <c r="L1" s="65" t="s">
        <v>187</v>
      </c>
      <c r="M1" s="79" t="s">
        <v>186</v>
      </c>
      <c r="N1" s="67" t="s">
        <v>196</v>
      </c>
    </row>
    <row r="2" spans="1:14" ht="42" x14ac:dyDescent="0.15">
      <c r="A2" s="68" t="s">
        <v>197</v>
      </c>
      <c r="B2" s="69">
        <f>floors!$C$2</f>
        <v>49002</v>
      </c>
      <c r="C2" s="70" t="e">
        <f ca="1">VLOOKUP($B2,OFFSET([2]quests!$A$1,0,0,COUNTA([2]quests!$A:$A),MATCH(C$1,[2]quests!$1:$1,0)-MATCH($B$1,[2]quests!$1:$1,0)+1),MATCH(C$1,[2]quests!$1:$1,0)-MATCH($B$1,[2]quests!$1:$1,0)+1,FALSE)</f>
        <v>#VALUE!</v>
      </c>
      <c r="D2" s="70" t="e">
        <f ca="1">VLOOKUP($B2,OFFSET([2]quests!$A$1,0,0,COUNTA([2]quests!$A:$A),MATCH(D$1,[2]quests!$1:$1,0)-MATCH($B$1,[2]quests!$1:$1,0)+1),MATCH(D$1,[2]quests!$1:$1,0)-MATCH($B$1,[2]quests!$1:$1,0)+1,FALSE)</f>
        <v>#VALUE!</v>
      </c>
      <c r="E2" s="71">
        <v>1</v>
      </c>
      <c r="F2" s="70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70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72">
        <v>0</v>
      </c>
      <c r="I2" s="77">
        <f>ROW()-1</f>
        <v>1</v>
      </c>
      <c r="J2" s="73" t="str">
        <f>B2&amp;TEXT(I2,"00")</f>
        <v>4900201</v>
      </c>
      <c r="K2" s="71" t="s">
        <v>198</v>
      </c>
      <c r="L2" s="74" t="s">
        <v>199</v>
      </c>
      <c r="M2" s="84" t="s">
        <v>296</v>
      </c>
      <c r="N2" s="45" t="s">
        <v>200</v>
      </c>
    </row>
    <row r="3" spans="1:14" ht="42" x14ac:dyDescent="0.15">
      <c r="A3" s="68" t="s">
        <v>197</v>
      </c>
      <c r="B3" s="69">
        <f>floors!$C$2</f>
        <v>49002</v>
      </c>
      <c r="C3" s="70" t="e">
        <f ca="1">VLOOKUP($B3,OFFSET([2]quests!$A$1,0,0,COUNTA([2]quests!$A:$A),MATCH(C$1,[2]quests!$1:$1,0)-MATCH($B$1,[2]quests!$1:$1,0)+1),MATCH(C$1,[2]quests!$1:$1,0)-MATCH($B$1,[2]quests!$1:$1,0)+1,FALSE)</f>
        <v>#VALUE!</v>
      </c>
      <c r="D3" s="70" t="e">
        <f ca="1">VLOOKUP($B3,OFFSET([2]quests!$A$1,0,0,COUNTA([2]quests!$A:$A),MATCH(D$1,[2]quests!$1:$1,0)-MATCH($B$1,[2]quests!$1:$1,0)+1),MATCH(D$1,[2]quests!$1:$1,0)-MATCH($B$1,[2]quests!$1:$1,0)+1,FALSE)</f>
        <v>#VALUE!</v>
      </c>
      <c r="E3" s="71">
        <v>1</v>
      </c>
      <c r="F3" s="70" t="e">
        <f ca="1">VLOOKUP($B3&amp;"_"&amp;$E3,OFFSET([2]stages!$A$1,0,0,COUNTA([2]stages!$A:$A),MATCH(F$1,[2]stages!$2:$2,0)-MATCH("temp_stage",[2]stages!$2:$2,0)+1),MATCH(F$1,[2]stages!$2:$2,0)-MATCH("temp_stage",[2]stages!$2:$2,0)+1,FALSE)</f>
        <v>#VALUE!</v>
      </c>
      <c r="G3" s="70" t="e">
        <f ca="1">VLOOKUP($B3&amp;"_"&amp;$E3,OFFSET([2]stages!$A$1,0,0,COUNTA([2]stages!$A:$A),MATCH(G$1,[2]stages!$2:$2,0)-MATCH("temp_stage",[2]stages!$2:$2,0)+1),MATCH(G$1,[2]stages!$2:$2,0)-MATCH("temp_stage",[2]stages!$2:$2,0)+1,FALSE)</f>
        <v>#VALUE!</v>
      </c>
      <c r="H3" s="72">
        <v>0</v>
      </c>
      <c r="I3" s="77">
        <f t="shared" ref="I3:I13" si="0">ROW()-1</f>
        <v>2</v>
      </c>
      <c r="J3" s="73" t="str">
        <f t="shared" ref="J3:J7" si="1">B3&amp;TEXT(I3,"00")</f>
        <v>4900202</v>
      </c>
      <c r="K3" s="71" t="s">
        <v>198</v>
      </c>
      <c r="L3" s="74" t="s">
        <v>199</v>
      </c>
      <c r="M3" s="84" t="s">
        <v>297</v>
      </c>
      <c r="N3" s="45" t="s">
        <v>200</v>
      </c>
    </row>
    <row r="4" spans="1:14" ht="42" x14ac:dyDescent="0.15">
      <c r="A4" s="68" t="s">
        <v>197</v>
      </c>
      <c r="B4" s="69">
        <f>floors!$C$2</f>
        <v>49002</v>
      </c>
      <c r="C4" s="70" t="e">
        <f ca="1">VLOOKUP($B4,OFFSET([2]quests!$A$1,0,0,COUNTA([2]quests!$A:$A),MATCH(C$1,[2]quests!$1:$1,0)-MATCH($B$1,[2]quests!$1:$1,0)+1),MATCH(C$1,[2]quests!$1:$1,0)-MATCH($B$1,[2]quests!$1:$1,0)+1,FALSE)</f>
        <v>#VALUE!</v>
      </c>
      <c r="D4" s="70" t="e">
        <f ca="1">VLOOKUP($B4,OFFSET([2]quests!$A$1,0,0,COUNTA([2]quests!$A:$A),MATCH(D$1,[2]quests!$1:$1,0)-MATCH($B$1,[2]quests!$1:$1,0)+1),MATCH(D$1,[2]quests!$1:$1,0)-MATCH($B$1,[2]quests!$1:$1,0)+1,FALSE)</f>
        <v>#VALUE!</v>
      </c>
      <c r="E4" s="71">
        <v>1</v>
      </c>
      <c r="F4" s="70" t="e">
        <f ca="1">VLOOKUP($B4&amp;"_"&amp;$E4,OFFSET([2]stages!$A$1,0,0,COUNTA([2]stages!$A:$A),MATCH(F$1,[2]stages!$2:$2,0)-MATCH("temp_stage",[2]stages!$2:$2,0)+1),MATCH(F$1,[2]stages!$2:$2,0)-MATCH("temp_stage",[2]stages!$2:$2,0)+1,FALSE)</f>
        <v>#VALUE!</v>
      </c>
      <c r="G4" s="70" t="e">
        <f ca="1">VLOOKUP($B4&amp;"_"&amp;$E4,OFFSET([2]stages!$A$1,0,0,COUNTA([2]stages!$A:$A),MATCH(G$1,[2]stages!$2:$2,0)-MATCH("temp_stage",[2]stages!$2:$2,0)+1),MATCH(G$1,[2]stages!$2:$2,0)-MATCH("temp_stage",[2]stages!$2:$2,0)+1,FALSE)</f>
        <v>#VALUE!</v>
      </c>
      <c r="H4" s="72">
        <v>4</v>
      </c>
      <c r="I4" s="77">
        <f t="shared" si="0"/>
        <v>3</v>
      </c>
      <c r="J4" s="73" t="str">
        <f t="shared" si="1"/>
        <v>4900203</v>
      </c>
      <c r="K4" s="71" t="s">
        <v>198</v>
      </c>
      <c r="L4" s="74" t="s">
        <v>199</v>
      </c>
      <c r="M4" s="84" t="s">
        <v>290</v>
      </c>
      <c r="N4" s="45" t="s">
        <v>200</v>
      </c>
    </row>
    <row r="5" spans="1:14" ht="42" x14ac:dyDescent="0.15">
      <c r="A5" s="68" t="s">
        <v>197</v>
      </c>
      <c r="B5" s="69">
        <f>floors!$C$2</f>
        <v>49002</v>
      </c>
      <c r="C5" s="70" t="e">
        <f ca="1">VLOOKUP($B5,OFFSET([2]quests!$A$1,0,0,COUNTA([2]quests!$A:$A),MATCH(C$1,[2]quests!$1:$1,0)-MATCH($B$1,[2]quests!$1:$1,0)+1),MATCH(C$1,[2]quests!$1:$1,0)-MATCH($B$1,[2]quests!$1:$1,0)+1,FALSE)</f>
        <v>#VALUE!</v>
      </c>
      <c r="D5" s="70" t="e">
        <f ca="1">VLOOKUP($B5,OFFSET([2]quests!$A$1,0,0,COUNTA([2]quests!$A:$A),MATCH(D$1,[2]quests!$1:$1,0)-MATCH($B$1,[2]quests!$1:$1,0)+1),MATCH(D$1,[2]quests!$1:$1,0)-MATCH($B$1,[2]quests!$1:$1,0)+1,FALSE)</f>
        <v>#VALUE!</v>
      </c>
      <c r="E5" s="71">
        <v>1</v>
      </c>
      <c r="F5" s="70" t="e">
        <f ca="1">VLOOKUP($B5&amp;"_"&amp;$E5,OFFSET([2]stages!$A$1,0,0,COUNTA([2]stages!$A:$A),MATCH(F$1,[2]stages!$2:$2,0)-MATCH("temp_stage",[2]stages!$2:$2,0)+1),MATCH(F$1,[2]stages!$2:$2,0)-MATCH("temp_stage",[2]stages!$2:$2,0)+1,FALSE)</f>
        <v>#VALUE!</v>
      </c>
      <c r="G5" s="70" t="e">
        <f ca="1">VLOOKUP($B5&amp;"_"&amp;$E5,OFFSET([2]stages!$A$1,0,0,COUNTA([2]stages!$A:$A),MATCH(G$1,[2]stages!$2:$2,0)-MATCH("temp_stage",[2]stages!$2:$2,0)+1),MATCH(G$1,[2]stages!$2:$2,0)-MATCH("temp_stage",[2]stages!$2:$2,0)+1,FALSE)</f>
        <v>#VALUE!</v>
      </c>
      <c r="H5" s="72">
        <v>4</v>
      </c>
      <c r="I5" s="77">
        <f t="shared" si="0"/>
        <v>4</v>
      </c>
      <c r="J5" s="73" t="str">
        <f t="shared" si="1"/>
        <v>4900204</v>
      </c>
      <c r="K5" s="71" t="s">
        <v>198</v>
      </c>
      <c r="L5" s="74" t="s">
        <v>199</v>
      </c>
      <c r="M5" s="84" t="s">
        <v>298</v>
      </c>
      <c r="N5" s="45" t="s">
        <v>200</v>
      </c>
    </row>
    <row r="6" spans="1:14" ht="42" x14ac:dyDescent="0.15">
      <c r="A6" s="68" t="s">
        <v>197</v>
      </c>
      <c r="B6" s="69">
        <f>floors!$C$2</f>
        <v>49002</v>
      </c>
      <c r="C6" s="70" t="e">
        <f ca="1">VLOOKUP($B6,OFFSET([2]quests!$A$1,0,0,COUNTA([2]quests!$A:$A),MATCH(C$1,[2]quests!$1:$1,0)-MATCH($B$1,[2]quests!$1:$1,0)+1),MATCH(C$1,[2]quests!$1:$1,0)-MATCH($B$1,[2]quests!$1:$1,0)+1,FALSE)</f>
        <v>#VALUE!</v>
      </c>
      <c r="D6" s="70" t="e">
        <f ca="1">VLOOKUP($B6,OFFSET([2]quests!$A$1,0,0,COUNTA([2]quests!$A:$A),MATCH(D$1,[2]quests!$1:$1,0)-MATCH($B$1,[2]quests!$1:$1,0)+1),MATCH(D$1,[2]quests!$1:$1,0)-MATCH($B$1,[2]quests!$1:$1,0)+1,FALSE)</f>
        <v>#VALUE!</v>
      </c>
      <c r="E6" s="71">
        <v>1</v>
      </c>
      <c r="F6" s="70" t="e">
        <f ca="1">VLOOKUP($B6&amp;"_"&amp;$E6,OFFSET([2]stages!$A$1,0,0,COUNTA([2]stages!$A:$A),MATCH(F$1,[2]stages!$2:$2,0)-MATCH("temp_stage",[2]stages!$2:$2,0)+1),MATCH(F$1,[2]stages!$2:$2,0)-MATCH("temp_stage",[2]stages!$2:$2,0)+1,FALSE)</f>
        <v>#VALUE!</v>
      </c>
      <c r="G6" s="70" t="e">
        <f ca="1">VLOOKUP($B6&amp;"_"&amp;$E6,OFFSET([2]stages!$A$1,0,0,COUNTA([2]stages!$A:$A),MATCH(G$1,[2]stages!$2:$2,0)-MATCH("temp_stage",[2]stages!$2:$2,0)+1),MATCH(G$1,[2]stages!$2:$2,0)-MATCH("temp_stage",[2]stages!$2:$2,0)+1,FALSE)</f>
        <v>#VALUE!</v>
      </c>
      <c r="H6" s="72">
        <v>5</v>
      </c>
      <c r="I6" s="77">
        <f t="shared" si="0"/>
        <v>5</v>
      </c>
      <c r="J6" s="73" t="str">
        <f t="shared" si="1"/>
        <v>4900205</v>
      </c>
      <c r="K6" s="71" t="s">
        <v>198</v>
      </c>
      <c r="L6" s="74" t="s">
        <v>199</v>
      </c>
      <c r="M6" s="84" t="s">
        <v>299</v>
      </c>
      <c r="N6" s="45" t="s">
        <v>200</v>
      </c>
    </row>
    <row r="7" spans="1:14" ht="43" thickBot="1" x14ac:dyDescent="0.2">
      <c r="A7" s="208" t="s">
        <v>197</v>
      </c>
      <c r="B7" s="209">
        <f>floors!$C$2</f>
        <v>49002</v>
      </c>
      <c r="C7" s="210" t="e">
        <f ca="1">VLOOKUP($B7,OFFSET([2]quests!$A$1,0,0,COUNTA([2]quests!$A:$A),MATCH(C$1,[2]quests!$1:$1,0)-MATCH($B$1,[2]quests!$1:$1,0)+1),MATCH(C$1,[2]quests!$1:$1,0)-MATCH($B$1,[2]quests!$1:$1,0)+1,FALSE)</f>
        <v>#VALUE!</v>
      </c>
      <c r="D7" s="210" t="e">
        <f ca="1">VLOOKUP($B7,OFFSET([2]quests!$A$1,0,0,COUNTA([2]quests!$A:$A),MATCH(D$1,[2]quests!$1:$1,0)-MATCH($B$1,[2]quests!$1:$1,0)+1),MATCH(D$1,[2]quests!$1:$1,0)-MATCH($B$1,[2]quests!$1:$1,0)+1,FALSE)</f>
        <v>#VALUE!</v>
      </c>
      <c r="E7" s="211">
        <v>1</v>
      </c>
      <c r="F7" s="210" t="e">
        <f ca="1">VLOOKUP($B7&amp;"_"&amp;$E7,OFFSET([2]stages!$A$1,0,0,COUNTA([2]stages!$A:$A),MATCH(F$1,[2]stages!$2:$2,0)-MATCH("temp_stage",[2]stages!$2:$2,0)+1),MATCH(F$1,[2]stages!$2:$2,0)-MATCH("temp_stage",[2]stages!$2:$2,0)+1,FALSE)</f>
        <v>#VALUE!</v>
      </c>
      <c r="G7" s="210" t="e">
        <f ca="1">VLOOKUP($B7&amp;"_"&amp;$E7,OFFSET([2]stages!$A$1,0,0,COUNTA([2]stages!$A:$A),MATCH(G$1,[2]stages!$2:$2,0)-MATCH("temp_stage",[2]stages!$2:$2,0)+1),MATCH(G$1,[2]stages!$2:$2,0)-MATCH("temp_stage",[2]stages!$2:$2,0)+1,FALSE)</f>
        <v>#VALUE!</v>
      </c>
      <c r="H7" s="212">
        <v>5</v>
      </c>
      <c r="I7" s="213">
        <f t="shared" si="0"/>
        <v>6</v>
      </c>
      <c r="J7" s="214" t="str">
        <f t="shared" si="1"/>
        <v>4900206</v>
      </c>
      <c r="K7" s="211" t="s">
        <v>198</v>
      </c>
      <c r="L7" s="215" t="s">
        <v>199</v>
      </c>
      <c r="M7" s="216" t="s">
        <v>291</v>
      </c>
      <c r="N7" s="217" t="s">
        <v>200</v>
      </c>
    </row>
    <row r="8" spans="1:14" s="169" customFormat="1" ht="42" x14ac:dyDescent="0.15">
      <c r="A8" s="189" t="s">
        <v>197</v>
      </c>
      <c r="B8" s="190">
        <f>floors!$C$2</f>
        <v>49002</v>
      </c>
      <c r="C8" s="191" t="e">
        <f ca="1">VLOOKUP($B8,OFFSET([2]quests!$A$1,0,0,COUNTA([2]quests!$A:$A),MATCH(C$1,[2]quests!$1:$1,0)-MATCH($B$1,[2]quests!$1:$1,0)+1),MATCH(C$1,[2]quests!$1:$1,0)-MATCH($B$1,[2]quests!$1:$1,0)+1,FALSE)</f>
        <v>#VALUE!</v>
      </c>
      <c r="D8" s="191" t="e">
        <f ca="1">VLOOKUP($B8,OFFSET([2]quests!$A$1,0,0,COUNTA([2]quests!$A:$A),MATCH(D$1,[2]quests!$1:$1,0)-MATCH($B$1,[2]quests!$1:$1,0)+1),MATCH(D$1,[2]quests!$1:$1,0)-MATCH($B$1,[2]quests!$1:$1,0)+1,FALSE)</f>
        <v>#VALUE!</v>
      </c>
      <c r="E8" s="194">
        <v>2</v>
      </c>
      <c r="F8" s="191" t="e">
        <f ca="1">VLOOKUP($B8&amp;"_"&amp;$E8,OFFSET([2]stages!$A$1,0,0,COUNTA([2]stages!$A:$A),MATCH(F$1,[2]stages!$2:$2,0)-MATCH("temp_stage",[2]stages!$2:$2,0)+1),MATCH(F$1,[2]stages!$2:$2,0)-MATCH("temp_stage",[2]stages!$2:$2,0)+1,FALSE)</f>
        <v>#VALUE!</v>
      </c>
      <c r="G8" s="191" t="e">
        <f ca="1">VLOOKUP($B8&amp;"_"&amp;$E8,OFFSET([2]stages!$A$1,0,0,COUNTA([2]stages!$A:$A),MATCH(G$1,[2]stages!$2:$2,0)-MATCH("temp_stage",[2]stages!$2:$2,0)+1),MATCH(G$1,[2]stages!$2:$2,0)-MATCH("temp_stage",[2]stages!$2:$2,0)+1,FALSE)</f>
        <v>#VALUE!</v>
      </c>
      <c r="H8" s="193">
        <v>0</v>
      </c>
      <c r="I8" s="218">
        <f>ROW()-1</f>
        <v>7</v>
      </c>
      <c r="J8" s="219" t="str">
        <f>B8&amp;TEXT(I8,"00")</f>
        <v>4900207</v>
      </c>
      <c r="K8" s="194" t="s">
        <v>128</v>
      </c>
      <c r="L8" s="192" t="s">
        <v>199</v>
      </c>
      <c r="M8" s="220" t="s">
        <v>296</v>
      </c>
      <c r="N8" s="197" t="s">
        <v>200</v>
      </c>
    </row>
    <row r="9" spans="1:14" s="171" customFormat="1" ht="42" x14ac:dyDescent="0.15">
      <c r="A9" s="198" t="s">
        <v>197</v>
      </c>
      <c r="B9" s="69">
        <f>floors!$C$2</f>
        <v>49002</v>
      </c>
      <c r="C9" s="70" t="e">
        <f ca="1">VLOOKUP($B9,OFFSET([2]quests!$A$1,0,0,COUNTA([2]quests!$A:$A),MATCH(C$1,[2]quests!$1:$1,0)-MATCH($B$1,[2]quests!$1:$1,0)+1),MATCH(C$1,[2]quests!$1:$1,0)-MATCH($B$1,[2]quests!$1:$1,0)+1,FALSE)</f>
        <v>#VALUE!</v>
      </c>
      <c r="D9" s="70" t="e">
        <f ca="1">VLOOKUP($B9,OFFSET([2]quests!$A$1,0,0,COUNTA([2]quests!$A:$A),MATCH(D$1,[2]quests!$1:$1,0)-MATCH($B$1,[2]quests!$1:$1,0)+1),MATCH(D$1,[2]quests!$1:$1,0)-MATCH($B$1,[2]quests!$1:$1,0)+1,FALSE)</f>
        <v>#VALUE!</v>
      </c>
      <c r="E9" s="71">
        <v>2</v>
      </c>
      <c r="F9" s="70" t="e">
        <f ca="1">VLOOKUP($B9&amp;"_"&amp;$E9,OFFSET([2]stages!$A$1,0,0,COUNTA([2]stages!$A:$A),MATCH(F$1,[2]stages!$2:$2,0)-MATCH("temp_stage",[2]stages!$2:$2,0)+1),MATCH(F$1,[2]stages!$2:$2,0)-MATCH("temp_stage",[2]stages!$2:$2,0)+1,FALSE)</f>
        <v>#VALUE!</v>
      </c>
      <c r="G9" s="70" t="e">
        <f ca="1">VLOOKUP($B9&amp;"_"&amp;$E9,OFFSET([2]stages!$A$1,0,0,COUNTA([2]stages!$A:$A),MATCH(G$1,[2]stages!$2:$2,0)-MATCH("temp_stage",[2]stages!$2:$2,0)+1),MATCH(G$1,[2]stages!$2:$2,0)-MATCH("temp_stage",[2]stages!$2:$2,0)+1,FALSE)</f>
        <v>#VALUE!</v>
      </c>
      <c r="H9" s="72">
        <v>0</v>
      </c>
      <c r="I9" s="77">
        <f t="shared" si="0"/>
        <v>8</v>
      </c>
      <c r="J9" s="73" t="str">
        <f t="shared" ref="J9:J13" si="2">B9&amp;TEXT(I9,"00")</f>
        <v>4900208</v>
      </c>
      <c r="K9" s="71" t="s">
        <v>128</v>
      </c>
      <c r="L9" s="74" t="s">
        <v>199</v>
      </c>
      <c r="M9" s="84" t="s">
        <v>297</v>
      </c>
      <c r="N9" s="45" t="s">
        <v>200</v>
      </c>
    </row>
    <row r="10" spans="1:14" s="171" customFormat="1" ht="42" x14ac:dyDescent="0.15">
      <c r="A10" s="198" t="s">
        <v>197</v>
      </c>
      <c r="B10" s="69">
        <f>floors!$C$2</f>
        <v>49002</v>
      </c>
      <c r="C10" s="70" t="e">
        <f ca="1">VLOOKUP($B10,OFFSET([2]quests!$A$1,0,0,COUNTA([2]quests!$A:$A),MATCH(C$1,[2]quests!$1:$1,0)-MATCH($B$1,[2]quests!$1:$1,0)+1),MATCH(C$1,[2]quests!$1:$1,0)-MATCH($B$1,[2]quests!$1:$1,0)+1,FALSE)</f>
        <v>#VALUE!</v>
      </c>
      <c r="D10" s="70" t="e">
        <f ca="1">VLOOKUP($B10,OFFSET([2]quests!$A$1,0,0,COUNTA([2]quests!$A:$A),MATCH(D$1,[2]quests!$1:$1,0)-MATCH($B$1,[2]quests!$1:$1,0)+1),MATCH(D$1,[2]quests!$1:$1,0)-MATCH($B$1,[2]quests!$1:$1,0)+1,FALSE)</f>
        <v>#VALUE!</v>
      </c>
      <c r="E10" s="71">
        <v>2</v>
      </c>
      <c r="F10" s="70" t="e">
        <f ca="1">VLOOKUP($B10&amp;"_"&amp;$E10,OFFSET([2]stages!$A$1,0,0,COUNTA([2]stages!$A:$A),MATCH(F$1,[2]stages!$2:$2,0)-MATCH("temp_stage",[2]stages!$2:$2,0)+1),MATCH(F$1,[2]stages!$2:$2,0)-MATCH("temp_stage",[2]stages!$2:$2,0)+1,FALSE)</f>
        <v>#VALUE!</v>
      </c>
      <c r="G10" s="70" t="e">
        <f ca="1">VLOOKUP($B10&amp;"_"&amp;$E10,OFFSET([2]stages!$A$1,0,0,COUNTA([2]stages!$A:$A),MATCH(G$1,[2]stages!$2:$2,0)-MATCH("temp_stage",[2]stages!$2:$2,0)+1),MATCH(G$1,[2]stages!$2:$2,0)-MATCH("temp_stage",[2]stages!$2:$2,0)+1,FALSE)</f>
        <v>#VALUE!</v>
      </c>
      <c r="H10" s="72">
        <v>4</v>
      </c>
      <c r="I10" s="77">
        <f t="shared" si="0"/>
        <v>9</v>
      </c>
      <c r="J10" s="73" t="str">
        <f t="shared" si="2"/>
        <v>4900209</v>
      </c>
      <c r="K10" s="71" t="s">
        <v>128</v>
      </c>
      <c r="L10" s="74" t="s">
        <v>199</v>
      </c>
      <c r="M10" s="84" t="s">
        <v>290</v>
      </c>
      <c r="N10" s="45" t="s">
        <v>200</v>
      </c>
    </row>
    <row r="11" spans="1:14" s="171" customFormat="1" ht="42" x14ac:dyDescent="0.15">
      <c r="A11" s="198" t="s">
        <v>197</v>
      </c>
      <c r="B11" s="69">
        <f>floors!$C$2</f>
        <v>49002</v>
      </c>
      <c r="C11" s="70" t="e">
        <f ca="1">VLOOKUP($B11,OFFSET([2]quests!$A$1,0,0,COUNTA([2]quests!$A:$A),MATCH(C$1,[2]quests!$1:$1,0)-MATCH($B$1,[2]quests!$1:$1,0)+1),MATCH(C$1,[2]quests!$1:$1,0)-MATCH($B$1,[2]quests!$1:$1,0)+1,FALSE)</f>
        <v>#VALUE!</v>
      </c>
      <c r="D11" s="70" t="e">
        <f ca="1">VLOOKUP($B11,OFFSET([2]quests!$A$1,0,0,COUNTA([2]quests!$A:$A),MATCH(D$1,[2]quests!$1:$1,0)-MATCH($B$1,[2]quests!$1:$1,0)+1),MATCH(D$1,[2]quests!$1:$1,0)-MATCH($B$1,[2]quests!$1:$1,0)+1,FALSE)</f>
        <v>#VALUE!</v>
      </c>
      <c r="E11" s="71">
        <v>2</v>
      </c>
      <c r="F11" s="70" t="e">
        <f ca="1">VLOOKUP($B11&amp;"_"&amp;$E11,OFFSET([2]stages!$A$1,0,0,COUNTA([2]stages!$A:$A),MATCH(F$1,[2]stages!$2:$2,0)-MATCH("temp_stage",[2]stages!$2:$2,0)+1),MATCH(F$1,[2]stages!$2:$2,0)-MATCH("temp_stage",[2]stages!$2:$2,0)+1,FALSE)</f>
        <v>#VALUE!</v>
      </c>
      <c r="G11" s="70" t="e">
        <f ca="1">VLOOKUP($B11&amp;"_"&amp;$E11,OFFSET([2]stages!$A$1,0,0,COUNTA([2]stages!$A:$A),MATCH(G$1,[2]stages!$2:$2,0)-MATCH("temp_stage",[2]stages!$2:$2,0)+1),MATCH(G$1,[2]stages!$2:$2,0)-MATCH("temp_stage",[2]stages!$2:$2,0)+1,FALSE)</f>
        <v>#VALUE!</v>
      </c>
      <c r="H11" s="72">
        <v>4</v>
      </c>
      <c r="I11" s="77">
        <f t="shared" si="0"/>
        <v>10</v>
      </c>
      <c r="J11" s="73" t="str">
        <f t="shared" si="2"/>
        <v>4900210</v>
      </c>
      <c r="K11" s="71" t="s">
        <v>128</v>
      </c>
      <c r="L11" s="74" t="s">
        <v>199</v>
      </c>
      <c r="M11" s="84" t="s">
        <v>298</v>
      </c>
      <c r="N11" s="45" t="s">
        <v>200</v>
      </c>
    </row>
    <row r="12" spans="1:14" s="171" customFormat="1" ht="42" x14ac:dyDescent="0.15">
      <c r="A12" s="198" t="s">
        <v>197</v>
      </c>
      <c r="B12" s="69">
        <f>floors!$C$2</f>
        <v>49002</v>
      </c>
      <c r="C12" s="70" t="e">
        <f ca="1">VLOOKUP($B12,OFFSET([2]quests!$A$1,0,0,COUNTA([2]quests!$A:$A),MATCH(C$1,[2]quests!$1:$1,0)-MATCH($B$1,[2]quests!$1:$1,0)+1),MATCH(C$1,[2]quests!$1:$1,0)-MATCH($B$1,[2]quests!$1:$1,0)+1,FALSE)</f>
        <v>#VALUE!</v>
      </c>
      <c r="D12" s="70" t="e">
        <f ca="1">VLOOKUP($B12,OFFSET([2]quests!$A$1,0,0,COUNTA([2]quests!$A:$A),MATCH(D$1,[2]quests!$1:$1,0)-MATCH($B$1,[2]quests!$1:$1,0)+1),MATCH(D$1,[2]quests!$1:$1,0)-MATCH($B$1,[2]quests!$1:$1,0)+1,FALSE)</f>
        <v>#VALUE!</v>
      </c>
      <c r="E12" s="71">
        <v>2</v>
      </c>
      <c r="F12" s="70" t="e">
        <f ca="1">VLOOKUP($B12&amp;"_"&amp;$E12,OFFSET([2]stages!$A$1,0,0,COUNTA([2]stages!$A:$A),MATCH(F$1,[2]stages!$2:$2,0)-MATCH("temp_stage",[2]stages!$2:$2,0)+1),MATCH(F$1,[2]stages!$2:$2,0)-MATCH("temp_stage",[2]stages!$2:$2,0)+1,FALSE)</f>
        <v>#VALUE!</v>
      </c>
      <c r="G12" s="70" t="e">
        <f ca="1">VLOOKUP($B12&amp;"_"&amp;$E12,OFFSET([2]stages!$A$1,0,0,COUNTA([2]stages!$A:$A),MATCH(G$1,[2]stages!$2:$2,0)-MATCH("temp_stage",[2]stages!$2:$2,0)+1),MATCH(G$1,[2]stages!$2:$2,0)-MATCH("temp_stage",[2]stages!$2:$2,0)+1,FALSE)</f>
        <v>#VALUE!</v>
      </c>
      <c r="H12" s="72">
        <v>5</v>
      </c>
      <c r="I12" s="77">
        <f t="shared" si="0"/>
        <v>11</v>
      </c>
      <c r="J12" s="73" t="str">
        <f t="shared" si="2"/>
        <v>4900211</v>
      </c>
      <c r="K12" s="71" t="s">
        <v>128</v>
      </c>
      <c r="L12" s="74" t="s">
        <v>199</v>
      </c>
      <c r="M12" s="84" t="s">
        <v>299</v>
      </c>
      <c r="N12" s="45" t="s">
        <v>200</v>
      </c>
    </row>
    <row r="13" spans="1:14" s="174" customFormat="1" ht="43" thickBot="1" x14ac:dyDescent="0.2">
      <c r="A13" s="199" t="s">
        <v>197</v>
      </c>
      <c r="B13" s="200">
        <f>floors!$C$2</f>
        <v>49002</v>
      </c>
      <c r="C13" s="201" t="e">
        <f ca="1">VLOOKUP($B13,OFFSET([2]quests!$A$1,0,0,COUNTA([2]quests!$A:$A),MATCH(C$1,[2]quests!$1:$1,0)-MATCH($B$1,[2]quests!$1:$1,0)+1),MATCH(C$1,[2]quests!$1:$1,0)-MATCH($B$1,[2]quests!$1:$1,0)+1,FALSE)</f>
        <v>#VALUE!</v>
      </c>
      <c r="D13" s="201" t="e">
        <f ca="1">VLOOKUP($B13,OFFSET([2]quests!$A$1,0,0,COUNTA([2]quests!$A:$A),MATCH(D$1,[2]quests!$1:$1,0)-MATCH($B$1,[2]quests!$1:$1,0)+1),MATCH(D$1,[2]quests!$1:$1,0)-MATCH($B$1,[2]quests!$1:$1,0)+1,FALSE)</f>
        <v>#VALUE!</v>
      </c>
      <c r="E13" s="71">
        <v>2</v>
      </c>
      <c r="F13" s="201" t="e">
        <f ca="1">VLOOKUP($B13&amp;"_"&amp;$E13,OFFSET([2]stages!$A$1,0,0,COUNTA([2]stages!$A:$A),MATCH(F$1,[2]stages!$2:$2,0)-MATCH("temp_stage",[2]stages!$2:$2,0)+1),MATCH(F$1,[2]stages!$2:$2,0)-MATCH("temp_stage",[2]stages!$2:$2,0)+1,FALSE)</f>
        <v>#VALUE!</v>
      </c>
      <c r="G13" s="201" t="e">
        <f ca="1">VLOOKUP($B13&amp;"_"&amp;$E13,OFFSET([2]stages!$A$1,0,0,COUNTA([2]stages!$A:$A),MATCH(G$1,[2]stages!$2:$2,0)-MATCH("temp_stage",[2]stages!$2:$2,0)+1),MATCH(G$1,[2]stages!$2:$2,0)-MATCH("temp_stage",[2]stages!$2:$2,0)+1,FALSE)</f>
        <v>#VALUE!</v>
      </c>
      <c r="H13" s="203">
        <v>5</v>
      </c>
      <c r="I13" s="221">
        <f t="shared" si="0"/>
        <v>12</v>
      </c>
      <c r="J13" s="222" t="str">
        <f t="shared" si="2"/>
        <v>4900212</v>
      </c>
      <c r="K13" s="204" t="s">
        <v>128</v>
      </c>
      <c r="L13" s="202" t="s">
        <v>199</v>
      </c>
      <c r="M13" s="223" t="s">
        <v>291</v>
      </c>
      <c r="N13" s="207" t="s">
        <v>200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2016-04-26T10:50:00Z</dcterms:modified>
</cp:coreProperties>
</file>