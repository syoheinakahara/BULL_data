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820" yWindow="1100" windowWidth="25600" windowHeight="1586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_complete" sheetId="19" r:id="rId8"/>
    <sheet name="stage_hints_failure" sheetId="21" r:id="rId9"/>
  </sheets>
  <externalReferences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7" hidden="1">stage_hints_complete!$B$1:$L$2</definedName>
    <definedName name="_xlnm._FilterDatabase" localSheetId="8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1" l="1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J15" i="11"/>
  <c r="O23" i="9"/>
  <c r="N23" i="9"/>
  <c r="M23" i="9"/>
  <c r="L23" i="9"/>
  <c r="K23" i="9"/>
  <c r="J23" i="9"/>
  <c r="I23" i="9"/>
  <c r="H23" i="9"/>
  <c r="G23" i="9"/>
  <c r="E23" i="9"/>
  <c r="D23" i="9"/>
  <c r="A23" i="9"/>
  <c r="J16" i="11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O20" i="9"/>
  <c r="N20" i="9"/>
  <c r="M20" i="9"/>
  <c r="L20" i="9"/>
  <c r="K20" i="9"/>
  <c r="J20" i="9"/>
  <c r="I20" i="9"/>
  <c r="H20" i="9"/>
  <c r="G20" i="9"/>
  <c r="E20" i="9"/>
  <c r="D20" i="9"/>
  <c r="A20" i="9"/>
  <c r="J17" i="11"/>
  <c r="O15" i="9"/>
  <c r="N15" i="9"/>
  <c r="M15" i="9"/>
  <c r="L15" i="9"/>
  <c r="K15" i="9"/>
  <c r="J15" i="9"/>
  <c r="I15" i="9"/>
  <c r="H15" i="9"/>
  <c r="G15" i="9"/>
  <c r="E15" i="9"/>
  <c r="D15" i="9"/>
  <c r="A15" i="9"/>
  <c r="L4" i="19"/>
  <c r="K4" i="19"/>
  <c r="B3" i="19"/>
  <c r="G3" i="19"/>
  <c r="F3" i="19"/>
  <c r="D3" i="19"/>
  <c r="C3" i="19"/>
  <c r="J12" i="11"/>
  <c r="O29" i="9"/>
  <c r="N29" i="9"/>
  <c r="M29" i="9"/>
  <c r="L29" i="9"/>
  <c r="K29" i="9"/>
  <c r="J29" i="9"/>
  <c r="I29" i="9"/>
  <c r="H29" i="9"/>
  <c r="G29" i="9"/>
  <c r="E29" i="9"/>
  <c r="D29" i="9"/>
  <c r="A29" i="9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J13" i="11"/>
  <c r="O19" i="9"/>
  <c r="N19" i="9"/>
  <c r="M19" i="9"/>
  <c r="L19" i="9"/>
  <c r="K19" i="9"/>
  <c r="J19" i="9"/>
  <c r="I19" i="9"/>
  <c r="H19" i="9"/>
  <c r="G19" i="9"/>
  <c r="E19" i="9"/>
  <c r="D19" i="9"/>
  <c r="A19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O28" i="9"/>
  <c r="N28" i="9"/>
  <c r="M28" i="9"/>
  <c r="L28" i="9"/>
  <c r="K28" i="9"/>
  <c r="J28" i="9"/>
  <c r="I28" i="9"/>
  <c r="H28" i="9"/>
  <c r="G28" i="9"/>
  <c r="E28" i="9"/>
  <c r="D28" i="9"/>
  <c r="A28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H13" i="9"/>
  <c r="G13" i="9"/>
  <c r="J3" i="11"/>
  <c r="O13" i="9"/>
  <c r="N13" i="9"/>
  <c r="M13" i="9"/>
  <c r="L13" i="9"/>
  <c r="K13" i="9"/>
  <c r="J13" i="9"/>
  <c r="I13" i="9"/>
  <c r="E13" i="9"/>
  <c r="D13" i="9"/>
  <c r="A13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H25" i="9"/>
  <c r="G25" i="9"/>
  <c r="G18" i="9"/>
  <c r="J11" i="11"/>
  <c r="J10" i="11"/>
  <c r="J9" i="11"/>
  <c r="J8" i="11"/>
  <c r="J7" i="11"/>
  <c r="J6" i="11"/>
  <c r="J5" i="11"/>
  <c r="J4" i="11"/>
  <c r="Y3" i="7"/>
  <c r="R3" i="7"/>
  <c r="Q3" i="7"/>
  <c r="P3" i="7"/>
  <c r="O3" i="7"/>
  <c r="N3" i="7"/>
  <c r="H3" i="7"/>
  <c r="G2" i="2"/>
  <c r="A2" i="2"/>
  <c r="G3" i="2"/>
  <c r="A3" i="2"/>
  <c r="G4" i="2"/>
  <c r="A4" i="2"/>
  <c r="J3" i="7"/>
  <c r="I3" i="7"/>
  <c r="D3" i="7"/>
  <c r="F3" i="7"/>
  <c r="E3" i="7"/>
  <c r="A3" i="7"/>
  <c r="AB6" i="1"/>
  <c r="AD6" i="1"/>
  <c r="AG6" i="1"/>
  <c r="AE6" i="1"/>
  <c r="AC6" i="1"/>
  <c r="AA6" i="1"/>
  <c r="E2" i="9"/>
  <c r="E16" i="9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E22" i="9"/>
  <c r="V5" i="1"/>
  <c r="Q5" i="1"/>
  <c r="P5" i="1"/>
  <c r="O5" i="1"/>
  <c r="N5" i="1"/>
  <c r="M5" i="1"/>
  <c r="H5" i="1"/>
  <c r="J5" i="1"/>
  <c r="I5" i="1"/>
  <c r="D5" i="1"/>
  <c r="F5" i="1"/>
  <c r="E5" i="1"/>
  <c r="A5" i="1"/>
  <c r="V2" i="1"/>
  <c r="AB3" i="1"/>
  <c r="AD3" i="1"/>
  <c r="AG3" i="1"/>
  <c r="AE3" i="1"/>
  <c r="AC3" i="1"/>
  <c r="AA3" i="1"/>
  <c r="E6" i="9"/>
  <c r="V3" i="1"/>
  <c r="Q3" i="1"/>
  <c r="P3" i="1"/>
  <c r="O3" i="1"/>
  <c r="N3" i="1"/>
  <c r="M3" i="1"/>
  <c r="H3" i="1"/>
  <c r="J3" i="1"/>
  <c r="I3" i="1"/>
  <c r="D3" i="1"/>
  <c r="F3" i="1"/>
  <c r="E3" i="1"/>
  <c r="A3" i="1"/>
  <c r="O21" i="9"/>
  <c r="N21" i="9"/>
  <c r="M21" i="9"/>
  <c r="L21" i="9"/>
  <c r="K21" i="9"/>
  <c r="J21" i="9"/>
  <c r="I21" i="9"/>
  <c r="H21" i="9"/>
  <c r="G21" i="9"/>
  <c r="E21" i="9"/>
  <c r="D21" i="9"/>
  <c r="A21" i="9"/>
  <c r="O27" i="9"/>
  <c r="N27" i="9"/>
  <c r="M27" i="9"/>
  <c r="L27" i="9"/>
  <c r="K27" i="9"/>
  <c r="J27" i="9"/>
  <c r="I27" i="9"/>
  <c r="H27" i="9"/>
  <c r="G27" i="9"/>
  <c r="E27" i="9"/>
  <c r="D27" i="9"/>
  <c r="A27" i="9"/>
  <c r="O18" i="9"/>
  <c r="N18" i="9"/>
  <c r="M18" i="9"/>
  <c r="L18" i="9"/>
  <c r="K18" i="9"/>
  <c r="J18" i="9"/>
  <c r="I18" i="9"/>
  <c r="H18" i="9"/>
  <c r="E18" i="9"/>
  <c r="D18" i="9"/>
  <c r="A18" i="9"/>
  <c r="J2" i="11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17" i="9"/>
  <c r="N17" i="9"/>
  <c r="M17" i="9"/>
  <c r="L17" i="9"/>
  <c r="K17" i="9"/>
  <c r="J17" i="9"/>
  <c r="I17" i="9"/>
  <c r="H17" i="9"/>
  <c r="G17" i="9"/>
  <c r="E17" i="9"/>
  <c r="D17" i="9"/>
  <c r="A17" i="9"/>
  <c r="O22" i="9"/>
  <c r="N22" i="9"/>
  <c r="M22" i="9"/>
  <c r="L22" i="9"/>
  <c r="K22" i="9"/>
  <c r="J22" i="9"/>
  <c r="I22" i="9"/>
  <c r="H22" i="9"/>
  <c r="G22" i="9"/>
  <c r="D22" i="9"/>
  <c r="A22" i="9"/>
  <c r="O16" i="9"/>
  <c r="N16" i="9"/>
  <c r="M16" i="9"/>
  <c r="L16" i="9"/>
  <c r="K16" i="9"/>
  <c r="J16" i="9"/>
  <c r="I16" i="9"/>
  <c r="H16" i="9"/>
  <c r="G16" i="9"/>
  <c r="D16" i="9"/>
  <c r="A16" i="9"/>
  <c r="O14" i="9"/>
  <c r="N14" i="9"/>
  <c r="M14" i="9"/>
  <c r="L14" i="9"/>
  <c r="K14" i="9"/>
  <c r="J14" i="9"/>
  <c r="I14" i="9"/>
  <c r="H14" i="9"/>
  <c r="G14" i="9"/>
  <c r="E14" i="9"/>
  <c r="D14" i="9"/>
  <c r="A14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8" i="9"/>
  <c r="N8" i="9"/>
  <c r="M8" i="9"/>
  <c r="L8" i="9"/>
  <c r="K8" i="9"/>
  <c r="J8" i="9"/>
  <c r="I8" i="9"/>
  <c r="H8" i="9"/>
  <c r="G8" i="9"/>
  <c r="E8" i="9"/>
  <c r="D8" i="9"/>
  <c r="A8" i="9"/>
  <c r="O10" i="9"/>
  <c r="N10" i="9"/>
  <c r="M10" i="9"/>
  <c r="L10" i="9"/>
  <c r="K10" i="9"/>
  <c r="J10" i="9"/>
  <c r="I10" i="9"/>
  <c r="H10" i="9"/>
  <c r="G10" i="9"/>
  <c r="E10" i="9"/>
  <c r="D10" i="9"/>
  <c r="A10" i="9"/>
  <c r="O7" i="9"/>
  <c r="N7" i="9"/>
  <c r="M7" i="9"/>
  <c r="L7" i="9"/>
  <c r="K7" i="9"/>
  <c r="J7" i="9"/>
  <c r="I7" i="9"/>
  <c r="H7" i="9"/>
  <c r="G7" i="9"/>
  <c r="E7" i="9"/>
  <c r="D7" i="9"/>
  <c r="A7" i="9"/>
  <c r="O9" i="9"/>
  <c r="N9" i="9"/>
  <c r="M9" i="9"/>
  <c r="L9" i="9"/>
  <c r="K9" i="9"/>
  <c r="J9" i="9"/>
  <c r="I9" i="9"/>
  <c r="H9" i="9"/>
  <c r="G9" i="9"/>
  <c r="E9" i="9"/>
  <c r="D9" i="9"/>
  <c r="A9" i="9"/>
  <c r="O6" i="9"/>
  <c r="N6" i="9"/>
  <c r="M6" i="9"/>
  <c r="L6" i="9"/>
  <c r="K6" i="9"/>
  <c r="J6" i="9"/>
  <c r="I6" i="9"/>
  <c r="H6" i="9"/>
  <c r="G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H4" i="2"/>
  <c r="E4" i="2"/>
  <c r="D4" i="2"/>
  <c r="H2" i="1"/>
  <c r="H4" i="1"/>
  <c r="B4" i="2"/>
  <c r="H3" i="2"/>
  <c r="E3" i="2"/>
  <c r="D3" i="2"/>
  <c r="B3" i="2"/>
  <c r="C12" i="16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O2" i="9"/>
  <c r="N2" i="9"/>
  <c r="M2" i="9"/>
  <c r="L2" i="9"/>
  <c r="K2" i="9"/>
  <c r="J2" i="9"/>
  <c r="I2" i="9"/>
  <c r="H2" i="9"/>
  <c r="G2" i="9"/>
  <c r="D2" i="9"/>
  <c r="Y2" i="7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B4" i="1"/>
  <c r="AE4" i="1"/>
  <c r="AD4" i="1"/>
  <c r="AC4" i="1"/>
  <c r="AB2" i="1"/>
  <c r="AE2" i="1"/>
  <c r="AD2" i="1"/>
  <c r="AC2" i="1"/>
  <c r="AA4" i="1"/>
  <c r="AA2" i="1"/>
  <c r="V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4" i="1"/>
  <c r="A2" i="1"/>
  <c r="AG4" i="1"/>
  <c r="A2" i="9"/>
  <c r="J4" i="1"/>
  <c r="I4" i="1"/>
  <c r="D4" i="1"/>
  <c r="F4" i="1"/>
  <c r="E4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<sst xmlns="http://schemas.openxmlformats.org/spreadsheetml/2006/main" count="497" uniqueCount="295">
  <si>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</si>
  <si>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</si>
  <si>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</si>
  <si>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</si>
  <si>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</si>
  <si>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</si>
  <si>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</si>
  <si>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</si>
  <si>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</si>
  <si>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</si>
  <si>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</si>
  <si>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</si>
  <si>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</si>
  <si>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</si>
  <si>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</si>
  <si>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</si>
  <si>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</si>
  <si>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</si>
  <si>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</si>
  <si>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</si>
  <si>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</si>
  <si>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</si>
  <si>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</si>
  <si>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</si>
  <si>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</si>
  <si>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</si>
  <si>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</si>
  <si>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</si>
  <si>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</si>
  <si>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</si>
  <si>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</si>
  <si>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</si>
  <si>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</si>
  <si>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</si>
  <si>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</si>
  <si>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</si>
  <si>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</si>
  <si>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</si>
  <si>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</si>
  <si>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</si>
  <si>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</si>
  <si>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</si>
  <si>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</si>
  <si>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</si>
  <si>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</si>
  <si>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</si>
  <si>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</si>
  <si>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</si>
  <si>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</si>
  <si>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</si>
  <si>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</si>
  <si>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</si>
  <si>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</si>
  <si>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</si>
  <si>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</si>
  <si>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</si>
  <si>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</si>
  <si>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</si>
  <si>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</si>
  <si>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</si>
  <si>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</si>
  <si>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</si>
  <si>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</si>
  <si>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</si>
  <si>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</si>
  <si>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</si>
  <si>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</si>
  <si>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</si>
  <si>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</si>
  <si>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</si>
  <si>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</si>
  <si>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</si>
  <si>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</si>
  <si>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</si>
  <si>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</si>
  <si>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</si>
  <si>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</si>
  <si>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</si>
  <si>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</si>
  <si>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</si>
  <si>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</si>
  <si>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</si>
  <si>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</si>
  <si>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</si>
  <si>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</si>
  <si>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</si>
  <si>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</si>
  <si>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</si>
  <si>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</si>
  <si>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</si>
  <si>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</si>
  <si>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</si>
  <si>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</si>
  <si>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</si>
  <si>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</si>
  <si>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</si>
  <si>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</si>
  <si>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</si>
  <si>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</si>
  <si>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</si>
  <si>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</si>
  <si>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</si>
  <si>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</si>
  <si>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</si>
  <si>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</si>
  <si>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</si>
  <si>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</si>
  <si>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</si>
  <si>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</si>
  <si>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</si>
  <si>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</si>
  <si>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</si>
  <si>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</si>
  <si>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</si>
  <si>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</si>
  <si>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</si>
  <si>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</si>
  <si>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</si>
  <si>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</si>
  <si>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</si>
  <si>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</si>
  <si>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</si>
  <si>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</si>
  <si>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</si>
  <si>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</si>
  <si>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</si>
  <si>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</si>
  <si>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</si>
  <si>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</si>
  <si>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</si>
  <si>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</si>
  <si>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</si>
  <si>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</si>
  <si>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</si>
  <si>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</si>
  <si>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</si>
  <si>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</si>
  <si>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</si>
  <si>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</si>
  <si>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</si>
  <si>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</si>
  <si>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</si>
  <si>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</si>
  <si>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</si>
  <si>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</si>
  <si>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</si>
  <si>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</si>
  <si>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</si>
  <si>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</si>
  <si>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</si>
  <si>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</si>
  <si>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</si>
  <si>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</si>
  <si>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</si>
  <si>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</si>
  <si>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</si>
  <si>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</si>
  <si>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</si>
  <si>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</si>
  <si>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</si>
  <si>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</si>
  <si>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</si>
  <si>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</si>
  <si>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</si>
  <si>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</si>
  <si>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</si>
  <si>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</si>
  <si>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</si>
  <si>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</si>
  <si>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</si>
  <si>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</si>
  <si>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</si>
  <si>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</si>
  <si>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</si>
  <si>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</si>
  <si>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</si>
  <si>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</si>
  <si>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</si>
  <si>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</si>
  <si>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</si>
  <si>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</si>
  <si>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</si>
  <si>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</si>
  <si>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</si>
  <si>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</si>
  <si>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</si>
  <si>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</si>
  <si>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</si>
  <si>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</si>
  <si>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</si>
  <si>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</si>
  <si>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</si>
  <si>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</si>
  <si>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</si>
  <si>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</si>
  <si>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</si>
  <si>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</si>
  <si>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</si>
  <si>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</si>
  <si>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</si>
  <si>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</si>
  <si>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</si>
  <si>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</si>
  <si>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</si>
  <si>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</si>
  <si>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</si>
  <si>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cm1605</t>
    <phoneticPr fontId="5"/>
  </si>
  <si>
    <t>old</t>
  </si>
  <si>
    <t>とりあえず
コレ 片付けといてェ〜</t>
    <rPh sb="9" eb="11">
      <t>カタヅケ</t>
    </rPh>
    <phoneticPr fontId="5"/>
  </si>
  <si>
    <t>厄介事を押しつけて逃げた
ウザリーマンを追いかけよう！</t>
    <rPh sb="0" eb="3">
      <t>ヤッカイゴトヲ</t>
    </rPh>
    <rPh sb="4" eb="5">
      <t>オシツケテ</t>
    </rPh>
    <rPh sb="9" eb="10">
      <t>ニゲタ</t>
    </rPh>
    <rPh sb="20" eb="21">
      <t>オイカケヨウ</t>
    </rPh>
    <phoneticPr fontId="5"/>
  </si>
  <si>
    <t>食らえ！正義の一太刀！</t>
    <rPh sb="0" eb="1">
      <t>クラエ</t>
    </rPh>
    <rPh sb="4" eb="6">
      <t>セイギノ</t>
    </rPh>
    <rPh sb="7" eb="10">
      <t>ヒトタチ</t>
    </rPh>
    <phoneticPr fontId="5"/>
  </si>
  <si>
    <t>ウザリーマンに会心の一撃！</t>
    <rPh sb="7" eb="9">
      <t>カイシンノ</t>
    </rPh>
    <rPh sb="10" eb="12">
      <t>イチゲキ</t>
    </rPh>
    <phoneticPr fontId="5"/>
  </si>
  <si>
    <t>売られたケンカは
「買うンター」</t>
    <rPh sb="0" eb="1">
      <t>ウラレタ</t>
    </rPh>
    <rPh sb="10" eb="11">
      <t>カウ</t>
    </rPh>
    <phoneticPr fontId="5"/>
  </si>
  <si>
    <t>ランスロットは力をためている</t>
    <rPh sb="7" eb="8">
      <t>チカラヲ</t>
    </rPh>
    <phoneticPr fontId="5"/>
  </si>
  <si>
    <t>ケロケーロ！</t>
    <phoneticPr fontId="5"/>
  </si>
  <si>
    <t>逃げるウザリーマンを追いかけよう！</t>
    <rPh sb="0" eb="1">
      <t>ニゲル</t>
    </rPh>
    <rPh sb="10" eb="11">
      <t>オイカケヨウ</t>
    </rPh>
    <phoneticPr fontId="5"/>
  </si>
  <si>
    <t>忍法影分身の術！(￣ト￣)</t>
    <rPh sb="0" eb="2">
      <t>ニンポウ</t>
    </rPh>
    <rPh sb="2" eb="5">
      <t>カゲブンシンノジュツ</t>
    </rPh>
    <phoneticPr fontId="5"/>
  </si>
  <si>
    <t>ちゃんと聞いてますかァ〜？</t>
    <rPh sb="4" eb="5">
      <t>キイテマスカ</t>
    </rPh>
    <phoneticPr fontId="5"/>
  </si>
  <si>
    <t>油断したケロな！</t>
    <rPh sb="0" eb="2">
      <t>ユダンシタケロ</t>
    </rPh>
    <phoneticPr fontId="5"/>
  </si>
  <si>
    <t>お邪魔パネルが出現した</t>
    <rPh sb="7" eb="9">
      <t>シュツゲンシタ</t>
    </rPh>
    <phoneticPr fontId="5"/>
  </si>
  <si>
    <t>さらに お邪魔パネルが出現した</t>
    <rPh sb="11" eb="13">
      <t>シュツゲンシタ</t>
    </rPh>
    <phoneticPr fontId="5"/>
  </si>
  <si>
    <t>もっと お邪魔パネルが出現した</t>
    <rPh sb="11" eb="13">
      <t>シュツゲンシタ</t>
    </rPh>
    <phoneticPr fontId="5"/>
  </si>
  <si>
    <t>成敗してくれる！</t>
    <rPh sb="0" eb="2">
      <t>セイバイシテクレル</t>
    </rPh>
    <phoneticPr fontId="5"/>
  </si>
  <si>
    <t>[effect:enhance_enemy, target:myself, turn:-1, status:attack, val:1, calc:mul, animation:enemy_enhance_attack]</t>
    <phoneticPr fontId="5"/>
  </si>
  <si>
    <t>[effect:suicide, val:1, dead_type:escape, target:myself]</t>
    <phoneticPr fontId="5"/>
  </si>
  <si>
    <t>[effect:fix_speed, target:myself, turn:2],[effect:force_change_block, new_block:jammer, target:block_all, count:5, val:0, animation:change_block]</t>
    <phoneticPr fontId="5"/>
  </si>
  <si>
    <t>[effect:suicide, val:0.5, dead_type:suicide, target:enemy_red, animation:damage_one_green03]</t>
    <phoneticPr fontId="5"/>
  </si>
  <si>
    <t>礼儀というものを 教えちゃおゥ！</t>
    <rPh sb="0" eb="2">
      <t>レイギトイウモノヲ</t>
    </rPh>
    <rPh sb="9" eb="10">
      <t>オシエチャオ</t>
    </rPh>
    <phoneticPr fontId="5"/>
  </si>
  <si>
    <t>もしかして
既読スルゥ〜？</t>
    <rPh sb="6" eb="8">
      <t>キドク</t>
    </rPh>
    <phoneticPr fontId="5"/>
  </si>
  <si>
    <t>ランスロットの姿が歪む！</t>
    <rPh sb="7" eb="8">
      <t>スガタガ</t>
    </rPh>
    <rPh sb="9" eb="10">
      <t>ユガム</t>
    </rPh>
    <phoneticPr fontId="5"/>
  </si>
  <si>
    <t>胸元がモゾモゾしている！</t>
    <rPh sb="0" eb="2">
      <t>ムナモトガ</t>
    </rPh>
    <phoneticPr fontId="5"/>
  </si>
  <si>
    <t>こっちには…
秘策があるケロ！</t>
    <rPh sb="7" eb="9">
      <t>ヒサクガアルケロ</t>
    </rPh>
    <phoneticPr fontId="5"/>
  </si>
  <si>
    <t>ケロケロは 跳ねながら去っていった…</t>
    <rPh sb="6" eb="7">
      <t>ハネナガラ</t>
    </rPh>
    <rPh sb="11" eb="12">
      <t>サッテイッタ</t>
    </rPh>
    <phoneticPr fontId="5"/>
  </si>
  <si>
    <t>隙を突いて さっきのケロケロが躍り出た！</t>
    <rPh sb="0" eb="1">
      <t>スキヲツイテ</t>
    </rPh>
    <rPh sb="15" eb="16">
      <t>オドリデタ</t>
    </rPh>
    <phoneticPr fontId="5"/>
  </si>
  <si>
    <t>これでハンドもフットも出ないでしョ？</t>
    <phoneticPr fontId="5"/>
  </si>
  <si>
    <t>じゃ、コレも片付けといてェ〜</t>
    <rPh sb="6" eb="8">
      <t>カタヅケトイ</t>
    </rPh>
    <phoneticPr fontId="5"/>
  </si>
  <si>
    <t>あれェ…ボクの出番もう終わり？</t>
    <rPh sb="11" eb="12">
      <t>オワリ</t>
    </rPh>
    <phoneticPr fontId="5"/>
  </si>
  <si>
    <t>マイホームのローン
たっぷり残ってるのにィ…</t>
    <rPh sb="14" eb="15">
      <t>ノコッテルノニ</t>
    </rPh>
    <phoneticPr fontId="5"/>
  </si>
  <si>
    <t>くっ…ここは耐えるタイミングだ…</t>
    <rPh sb="6" eb="7">
      <t>タエル</t>
    </rPh>
    <phoneticPr fontId="5"/>
  </si>
  <si>
    <t>お片づけまだァ？</t>
    <phoneticPr fontId="5"/>
  </si>
  <si>
    <t>[effect:fix_speed, target:myself, turn:1],[effect:enemy_message, val1:0, val2:2]</t>
    <phoneticPr fontId="5"/>
  </si>
  <si>
    <t>ケロ！？</t>
    <phoneticPr fontId="5"/>
  </si>
  <si>
    <t>ケロケロの姿に変えられた！</t>
    <rPh sb="5" eb="6">
      <t>スガタ</t>
    </rPh>
    <rPh sb="7" eb="8">
      <t>カエラレタ</t>
    </rPh>
    <phoneticPr fontId="5"/>
  </si>
  <si>
    <t>えェ？まだランク【[player_rank]】なのォ？</t>
    <phoneticPr fontId="5"/>
  </si>
  <si>
    <t>[effect:fix_speed, target:myself, turn:1],[effect:enemy_message, val1:2]</t>
    <phoneticPr fontId="5"/>
  </si>
  <si>
    <t>[effect:fix_speed, target:myself, turn:1],[effect:enemy_message, val1:2, val2:2]</t>
    <phoneticPr fontId="5"/>
  </si>
  <si>
    <t>カエルが鳴くからカーエル♪</t>
    <rPh sb="4" eb="5">
      <t>ナクカラ</t>
    </rPh>
    <phoneticPr fontId="5"/>
  </si>
  <si>
    <t>あっ！？
チョットやめてェ！</t>
    <phoneticPr fontId="5"/>
  </si>
  <si>
    <t>[effect:enemy_message, val1:2],[effect:suicide, val:1, dead_type:suicide, target:myself, animation:enemy_suicide]</t>
    <phoneticPr fontId="5"/>
  </si>
  <si>
    <t>[effect:enemy_message, val1:2, val2:3],[effect:fix_speed, target:myself, turn:1],[effect:hungup, target:unit_all, turn:-1, rate:1],[effect:crash_condition, target:unit_all, val:50, turn:-1]</t>
    <phoneticPr fontId="5"/>
  </si>
  <si>
    <t>残業、お断りなんですけどォ</t>
    <rPh sb="0" eb="2">
      <t>ザンギョウ</t>
    </rPh>
    <phoneticPr fontId="5"/>
  </si>
  <si>
    <t>ウザリーマンは 退屈している</t>
    <rPh sb="8" eb="10">
      <t>タイクツシテイル</t>
    </rPh>
    <phoneticPr fontId="5"/>
  </si>
  <si>
    <t>[effect:enemy_message, val1:3, val2:3],[effect:dark, target:unit_all, turn:1, animation:dark],[effect:enhance_fever, val:1000.0, animation:fevergauge_up04]</t>
    <phoneticPr fontId="5"/>
  </si>
  <si>
    <t>キミが【[player_name]】クンかァ</t>
    <phoneticPr fontId="5"/>
  </si>
  <si>
    <t>[effect:force_change_block, new_block:jammer, target:block_all, count:5, val:0, animation:change_block],[effect:suicide, val:1, dead_type:escape, target:myself],[effect:degrade_fever, val:1000]</t>
    <phoneticPr fontId="5"/>
  </si>
  <si>
    <t>最近の若者は
なってないなァ</t>
    <rPh sb="0" eb="2">
      <t>サイキン</t>
    </rPh>
    <rPh sb="3" eb="5">
      <t>ワカモノハ</t>
    </rPh>
    <phoneticPr fontId="5"/>
  </si>
  <si>
    <t>厄介さも ウザさも 3倍になった！</t>
    <rPh sb="0" eb="2">
      <t>ヤッカイサモ</t>
    </rPh>
    <phoneticPr fontId="5"/>
  </si>
  <si>
    <t>old</t>
    <phoneticPr fontId="5"/>
  </si>
  <si>
    <t>old</t>
    <phoneticPr fontId="7"/>
  </si>
  <si>
    <t>とにかくウザいあの人も
ストレスフルな日常を
必死に生きているようです
アナタの日々のストレスは
クラフィでぶっ飛ばしましょう</t>
    <rPh sb="19" eb="21">
      <t>ニチジョウ</t>
    </rPh>
    <rPh sb="23" eb="25">
      <t>ヒッシニ</t>
    </rPh>
    <rPh sb="41" eb="42">
      <t>ヒビノ</t>
    </rPh>
    <phoneticPr fontId="5"/>
  </si>
  <si>
    <t>ひねりのない ネーミングだねェ〜
　（嫌味で 1ターン暗闇！）</t>
    <rPh sb="19" eb="21">
      <t>イヤミ</t>
    </rPh>
    <rPh sb="27" eb="29">
      <t>クラヤミ</t>
    </rPh>
    <phoneticPr fontId="5"/>
  </si>
  <si>
    <t>[effect:force_change_block, new_block:jammer, target:block_all, count:5, val:0, animation:change_block],[effect:suicide, val:1, dead_type:escape, target:myself],[effect:enemy_message, val1:2, val2:2],[effect:degrade_fever, val:1000]</t>
    <phoneticPr fontId="5"/>
  </si>
  <si>
    <t>[effect:suicide, val:0.9, dead_type:escape, target:enemy_all],[effect:enhance_fever, val:1000.0, animation:fevergauge_up04],[effect:enemy_message, val1:2.5, val2:3]</t>
    <phoneticPr fontId="5"/>
  </si>
  <si>
    <t>[effect:enemy_message, val1:2, val2:3, dead_type:suicide]</t>
    <phoneticPr fontId="5"/>
  </si>
  <si>
    <t>[effect:enemy_message, val1:2.5, val2:3],[effect:enemy_counter, target:myself, invoke_condition:unit_all, counter_target:attacker, turn:1, val:1, animation:enemy_counter],[effect:suicide, val:0.5, dead_type:suicide, target:enemy_green, animation:damage_one_red03]</t>
    <phoneticPr fontId="5"/>
  </si>
  <si>
    <t>[effect:enemy_message, val1:2, val2:2],[effect:suicide, val:1, dead_type:suicide, target:enemy_green, animation:enemy_suicide]</t>
    <phoneticPr fontId="5"/>
  </si>
  <si>
    <t>まだまだ 赤チャンでちゅねェ〜
（毒舌で 毎ターンダメージ！）</t>
    <rPh sb="5" eb="6">
      <t>アカチャン</t>
    </rPh>
    <rPh sb="17" eb="19">
      <t>ドクゼツ</t>
    </rPh>
    <rPh sb="21" eb="22">
      <t>マイターン</t>
    </rPh>
    <phoneticPr fontId="5"/>
  </si>
  <si>
    <t>[effect:suicide, val:1, dead_type:escape, target:enemy_all],[effect:enemy_message, val1:2, val2:2.5]</t>
    <phoneticPr fontId="5"/>
  </si>
  <si>
    <t>[effect:fix_speed, target:myself, turn:3],[effect:force_change_block, new_block:jammer, target:block_all, count:-1, val:0, animation:change_block],[effect:drop_block, block_type:jammer, color:block_all, val:0, rate:1, turn:-1],[effect:enemy_message, val2:3]</t>
    <phoneticPr fontId="5"/>
  </si>
  <si>
    <t>フンっ！</t>
    <phoneticPr fontId="5"/>
  </si>
  <si>
    <t>TVCMで猛威をふるう ウザリーマンが襲来した！</t>
    <rPh sb="5" eb="7">
      <t>モウイヲフルウ</t>
    </rPh>
    <rPh sb="19" eb="21">
      <t>シュウライシタ</t>
    </rPh>
    <phoneticPr fontId="5"/>
  </si>
  <si>
    <t>[effect:enemy_message, val1:3, val2:3.5],[effect:dark, target:unit_all, turn:1, animation:enemy_dark]</t>
    <phoneticPr fontId="5"/>
  </si>
  <si>
    <t>[effect:enemy_message, val1:2, val2:3.5],[effect:virus, turn:7, target:unit_all, rate:1, val:0.12, animation:virus03]</t>
    <phoneticPr fontId="5"/>
  </si>
  <si>
    <t>ボクもろとも ウザリーマンをブッ倒すケロ！</t>
    <phoneticPr fontId="5"/>
  </si>
  <si>
    <t>フィーバーで ウザリーマンをブッ倒すケロ！</t>
    <phoneticPr fontId="5"/>
  </si>
  <si>
    <t>ウザMAXの
ウザリーマンめ…</t>
    <phoneticPr fontId="5"/>
  </si>
  <si>
    <t>[effect:enemy_message, val1:2.5],[effect:force_change_block, new_block:jammer, target:block_all, count:5, val:0, animation:change_block]</t>
    <phoneticPr fontId="5"/>
  </si>
  <si>
    <t>[effect:fix_speed, target:myself, turn:1],[effect:enemy_message, val2:3],[effect:enhance_enemy, target:myself, turn:1, status:defense, val:65535, calc:add]</t>
    <phoneticPr fontId="5"/>
  </si>
  <si>
    <t>フィーバー手加減してくれて ありがとうケロ！＾＾</t>
    <rPh sb="5" eb="8">
      <t>テカゲン</t>
    </rPh>
    <phoneticPr fontId="5"/>
  </si>
  <si>
    <t>【クラフィTVCM 全国ネットで放送中】
全国のお茶の間に ウザリーマン襲来！</t>
    <rPh sb="10" eb="12">
      <t>ゼンコクネットデ</t>
    </rPh>
    <rPh sb="16" eb="19">
      <t>ホウソウチュウ</t>
    </rPh>
    <rPh sb="21" eb="23">
      <t>ゼンコクノ</t>
    </rPh>
    <rPh sb="36" eb="38">
      <t>シュウライ</t>
    </rPh>
    <phoneticPr fontId="5"/>
  </si>
  <si>
    <t>ちょっ！？Σ(ﾟДﾟ)
既読スルーしないでケロ</t>
    <rPh sb="12" eb="14">
      <t>キドク</t>
    </rPh>
    <phoneticPr fontId="5"/>
  </si>
  <si>
    <t>………？
まだ生きてるケロ？！</t>
    <rPh sb="7" eb="8">
      <t>イキテル</t>
    </rPh>
    <phoneticPr fontId="5"/>
  </si>
  <si>
    <t>人生 楽しんでますかァ〜！？</t>
    <rPh sb="0" eb="2">
      <t>ジンセイ</t>
    </rPh>
    <rPh sb="3" eb="4">
      <t>タノシンデマス</t>
    </rPh>
    <phoneticPr fontId="5"/>
  </si>
  <si>
    <t>（これでヨシ）</t>
    <phoneticPr fontId="5"/>
  </si>
  <si>
    <t>[effect:enemy_message, val1:3, val2:3][effect:suicide, val:1, dead_type:suicide, target:enemy_all]</t>
    <phoneticPr fontId="5"/>
  </si>
  <si>
    <t>（チョット！台本にないことしないでよォ〜）</t>
    <rPh sb="6" eb="8">
      <t>ダイホンニ</t>
    </rPh>
    <phoneticPr fontId="5"/>
  </si>
  <si>
    <t>1ターンの間 カウンター態勢
攻撃を受けると 反撃する！</t>
    <rPh sb="12" eb="14">
      <t>タイセイ</t>
    </rPh>
    <rPh sb="15" eb="17">
      <t>コウゲキヲウケルト</t>
    </rPh>
    <rPh sb="23" eb="25">
      <t>ハンゲキスル</t>
    </rPh>
    <phoneticPr fontId="5"/>
  </si>
  <si>
    <t>[effect:enemy_message, val1:2, val2:2],[effect:fix_speed, target:enemy_all, turn:1],[effect:enhance_enemy, target:enemy_all, turn:3, status:defense, val:65535, calc:add, animation:enemy_freq_turn]</t>
    <phoneticPr fontId="5"/>
  </si>
  <si>
    <t>[effect:enemy_message, val1:0, val2:0]</t>
    <phoneticPr fontId="5"/>
  </si>
  <si>
    <t>遅延行為だよぉ〜？</t>
    <phoneticPr fontId="5"/>
  </si>
  <si>
    <t>いつまでやってんのォ？</t>
    <phoneticPr fontId="5"/>
  </si>
  <si>
    <t>[effect:damage_fix_absolute, target:unit_all, val:33333]</t>
  </si>
  <si>
    <t>[effect:fix_speed, target:myself, turn:5],[effect:force_change_block, new_block:jammer, target:block_all, count:5, val:0, animation:change_block]</t>
    <phoneticPr fontId="5"/>
  </si>
  <si>
    <t>見つけてくれて ありがとう！</t>
    <phoneticPr fontId="5"/>
  </si>
  <si>
    <t>負けパターン 見つけちゃいましたね
アナタの飽くなき探究心には
ワタシもミミが上がりません</t>
    <rPh sb="0" eb="1">
      <t>マケパターン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</si>
</sst>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69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176" fontId="4" fillId="0" borderId="9" xfId="0" applyNumberFormat="1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6" fillId="0" borderId="8" xfId="0" applyFont="1" applyFill="1" applyBorder="1" applyAlignment="1">
      <alignment vertical="center"/>
    </xf>
    <xf numFmtId="0" fontId="16" fillId="0" borderId="8" xfId="0" applyFont="1" applyFill="1" applyBorder="1" applyAlignment="1">
      <alignment vertical="center"/>
    </xf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31" fillId="0" borderId="7" xfId="0" applyFont="1" applyFill="1" applyBorder="1" applyAlignment="1">
      <alignment wrapText="1"/>
    </xf>
  </cellXfs>
  <cellStyles count="69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赤字強調" xfId="431"/>
    <cellStyle name="青字強調" xfId="43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30001</v>
          </cell>
        </row>
        <row r="111">
          <cell r="A111">
            <v>30002</v>
          </cell>
        </row>
        <row r="112">
          <cell r="A112">
            <v>30003</v>
          </cell>
        </row>
        <row r="113">
          <cell r="A113">
            <v>30004</v>
          </cell>
        </row>
        <row r="114">
          <cell r="A114">
            <v>30005</v>
          </cell>
        </row>
        <row r="115">
          <cell r="A115">
            <v>30006</v>
          </cell>
        </row>
        <row r="116">
          <cell r="A116">
            <v>30007</v>
          </cell>
        </row>
        <row r="117">
          <cell r="A117">
            <v>30008</v>
          </cell>
        </row>
        <row r="118">
          <cell r="A118">
            <v>30009</v>
          </cell>
        </row>
        <row r="119">
          <cell r="A119">
            <v>30010</v>
          </cell>
        </row>
        <row r="120">
          <cell r="A120">
            <v>30011</v>
          </cell>
        </row>
        <row r="121">
          <cell r="A121">
            <v>30012</v>
          </cell>
        </row>
        <row r="122">
          <cell r="A122">
            <v>30013</v>
          </cell>
        </row>
        <row r="123">
          <cell r="A123">
            <v>30014</v>
          </cell>
        </row>
        <row r="124">
          <cell r="A124">
            <v>30015</v>
          </cell>
        </row>
        <row r="125">
          <cell r="A125">
            <v>30016</v>
          </cell>
        </row>
        <row r="126">
          <cell r="A126">
            <v>30017</v>
          </cell>
        </row>
        <row r="127">
          <cell r="A127">
            <v>30018</v>
          </cell>
        </row>
        <row r="128">
          <cell r="A128">
            <v>30019</v>
          </cell>
        </row>
        <row r="129">
          <cell r="A129">
            <v>30020</v>
          </cell>
        </row>
        <row r="130">
          <cell r="A130">
            <v>30021</v>
          </cell>
        </row>
        <row r="131">
          <cell r="A131">
            <v>30022</v>
          </cell>
        </row>
        <row r="132">
          <cell r="A132">
            <v>30023</v>
          </cell>
        </row>
        <row r="133">
          <cell r="A133">
            <v>30024</v>
          </cell>
        </row>
        <row r="134">
          <cell r="A134">
            <v>30025</v>
          </cell>
        </row>
        <row r="135">
          <cell r="A135">
            <v>30026</v>
          </cell>
        </row>
        <row r="136">
          <cell r="A136">
            <v>30027</v>
          </cell>
        </row>
        <row r="137">
          <cell r="A137">
            <v>30028</v>
          </cell>
        </row>
        <row r="138">
          <cell r="A138">
            <v>30029</v>
          </cell>
        </row>
        <row r="139">
          <cell r="A139">
            <v>30030</v>
          </cell>
        </row>
        <row r="140">
          <cell r="A140">
            <v>30031</v>
          </cell>
        </row>
        <row r="141">
          <cell r="A141">
            <v>30032</v>
          </cell>
        </row>
        <row r="142">
          <cell r="A142">
            <v>30033</v>
          </cell>
        </row>
        <row r="143">
          <cell r="A143">
            <v>30034</v>
          </cell>
        </row>
        <row r="144">
          <cell r="A144">
            <v>39001</v>
          </cell>
        </row>
        <row r="145">
          <cell r="A145">
            <v>39002</v>
          </cell>
        </row>
        <row r="146">
          <cell r="A146">
            <v>39003</v>
          </cell>
        </row>
        <row r="147">
          <cell r="A147">
            <v>39004</v>
          </cell>
        </row>
        <row r="148">
          <cell r="A148">
            <v>40001</v>
          </cell>
        </row>
        <row r="149">
          <cell r="A149">
            <v>40002</v>
          </cell>
        </row>
        <row r="150">
          <cell r="A150">
            <v>40003</v>
          </cell>
        </row>
        <row r="151">
          <cell r="A151">
            <v>40004</v>
          </cell>
        </row>
        <row r="152">
          <cell r="A152">
            <v>40005</v>
          </cell>
        </row>
        <row r="153">
          <cell r="A153">
            <v>40006</v>
          </cell>
        </row>
        <row r="154">
          <cell r="A154">
            <v>40007</v>
          </cell>
        </row>
        <row r="155">
          <cell r="A155">
            <v>40008</v>
          </cell>
        </row>
        <row r="156">
          <cell r="A156">
            <v>40009</v>
          </cell>
        </row>
        <row r="157">
          <cell r="A157">
            <v>40010</v>
          </cell>
        </row>
        <row r="158">
          <cell r="A158">
            <v>40011</v>
          </cell>
        </row>
        <row r="159">
          <cell r="A159">
            <v>40012</v>
          </cell>
        </row>
        <row r="160">
          <cell r="A160">
            <v>40013</v>
          </cell>
        </row>
        <row r="161">
          <cell r="A161">
            <v>40014</v>
          </cell>
        </row>
        <row r="162">
          <cell r="A162">
            <v>40015</v>
          </cell>
        </row>
        <row r="163">
          <cell r="A163">
            <v>40016</v>
          </cell>
        </row>
        <row r="164">
          <cell r="A164">
            <v>40017</v>
          </cell>
        </row>
        <row r="165">
          <cell r="A165">
            <v>41001</v>
          </cell>
        </row>
        <row r="166">
          <cell r="A166">
            <v>41002</v>
          </cell>
        </row>
        <row r="167">
          <cell r="A167">
            <v>41003</v>
          </cell>
        </row>
        <row r="168">
          <cell r="A168">
            <v>41004</v>
          </cell>
        </row>
        <row r="169">
          <cell r="A169">
            <v>49001</v>
          </cell>
        </row>
        <row r="170">
          <cell r="A170">
            <v>49002</v>
          </cell>
        </row>
        <row r="171">
          <cell r="A171">
            <v>49003</v>
          </cell>
        </row>
        <row r="172">
          <cell r="A172">
            <v>49004</v>
          </cell>
        </row>
        <row r="173">
          <cell r="A173">
            <v>50001</v>
          </cell>
        </row>
        <row r="174">
          <cell r="A174">
            <v>50002</v>
          </cell>
        </row>
        <row r="175">
          <cell r="A175">
            <v>50003</v>
          </cell>
        </row>
        <row r="176">
          <cell r="A176">
            <v>50004</v>
          </cell>
        </row>
        <row r="177">
          <cell r="A177">
            <v>51001</v>
          </cell>
        </row>
        <row r="178">
          <cell r="A178">
            <v>51002</v>
          </cell>
        </row>
        <row r="179">
          <cell r="A179">
            <v>60001</v>
          </cell>
        </row>
        <row r="180">
          <cell r="A180">
            <v>60002</v>
          </cell>
        </row>
        <row r="181">
          <cell r="A181">
            <v>60003</v>
          </cell>
        </row>
        <row r="182">
          <cell r="A182">
            <v>60004</v>
          </cell>
        </row>
        <row r="183">
          <cell r="A183">
            <v>60005</v>
          </cell>
        </row>
        <row r="184">
          <cell r="A184">
            <v>60006</v>
          </cell>
        </row>
        <row r="185">
          <cell r="A185">
            <v>60007</v>
          </cell>
        </row>
        <row r="186">
          <cell r="A186">
            <v>60010</v>
          </cell>
        </row>
        <row r="187">
          <cell r="A187">
            <v>65535</v>
          </cell>
        </row>
        <row r="188">
          <cell r="A188">
            <v>60021</v>
          </cell>
        </row>
        <row r="189">
          <cell r="A189">
            <v>60022</v>
          </cell>
        </row>
        <row r="190">
          <cell r="A190">
            <v>60023</v>
          </cell>
        </row>
        <row r="191">
          <cell r="A19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12001_1</v>
          </cell>
        </row>
        <row r="274">
          <cell r="A274" t="str">
            <v>12001_2</v>
          </cell>
        </row>
        <row r="275">
          <cell r="A275" t="str">
            <v>12001_3</v>
          </cell>
        </row>
        <row r="276">
          <cell r="A276" t="str">
            <v>12002_1</v>
          </cell>
        </row>
        <row r="277">
          <cell r="A277" t="str">
            <v>12002_2</v>
          </cell>
        </row>
        <row r="278">
          <cell r="A278" t="str">
            <v>12003_1</v>
          </cell>
        </row>
        <row r="279">
          <cell r="A279" t="str">
            <v>12003_2</v>
          </cell>
        </row>
        <row r="280">
          <cell r="A280" t="str">
            <v>12003_3</v>
          </cell>
        </row>
        <row r="281">
          <cell r="A281" t="str">
            <v>12003_4</v>
          </cell>
        </row>
        <row r="282">
          <cell r="A282" t="str">
            <v>12004_1</v>
          </cell>
        </row>
        <row r="283">
          <cell r="A283" t="str">
            <v>13001_1</v>
          </cell>
        </row>
        <row r="284">
          <cell r="A284" t="str">
            <v>13001_2</v>
          </cell>
        </row>
        <row r="285">
          <cell r="A285" t="str">
            <v>13001_3</v>
          </cell>
        </row>
        <row r="286">
          <cell r="A286" t="str">
            <v>13001_4</v>
          </cell>
        </row>
        <row r="287">
          <cell r="A287" t="str">
            <v>13001_5</v>
          </cell>
        </row>
        <row r="288">
          <cell r="A288" t="str">
            <v>13001_6</v>
          </cell>
        </row>
        <row r="289">
          <cell r="A289" t="str">
            <v>13001_7</v>
          </cell>
        </row>
        <row r="290">
          <cell r="A290" t="str">
            <v>13001_8</v>
          </cell>
        </row>
        <row r="291">
          <cell r="A291" t="str">
            <v>13001_9</v>
          </cell>
        </row>
        <row r="292">
          <cell r="A292" t="str">
            <v>13001_10</v>
          </cell>
        </row>
        <row r="293">
          <cell r="A293" t="str">
            <v>13001_11</v>
          </cell>
        </row>
        <row r="294">
          <cell r="A294" t="str">
            <v>13001_12</v>
          </cell>
        </row>
        <row r="295">
          <cell r="A295" t="str">
            <v>13001_13</v>
          </cell>
        </row>
        <row r="296">
          <cell r="A296" t="str">
            <v>13001_14</v>
          </cell>
        </row>
        <row r="297">
          <cell r="A297" t="str">
            <v>13001_15</v>
          </cell>
        </row>
        <row r="298">
          <cell r="A298" t="str">
            <v>13001_16</v>
          </cell>
        </row>
        <row r="299">
          <cell r="A299" t="str">
            <v>13001_17</v>
          </cell>
        </row>
        <row r="300">
          <cell r="A300" t="str">
            <v>13001_18</v>
          </cell>
        </row>
        <row r="301">
          <cell r="A301" t="str">
            <v>13001_19</v>
          </cell>
        </row>
        <row r="302">
          <cell r="A302" t="str">
            <v>13001_20</v>
          </cell>
        </row>
        <row r="303">
          <cell r="A303" t="str">
            <v>13001_21</v>
          </cell>
        </row>
        <row r="304">
          <cell r="A304" t="str">
            <v>13001_22</v>
          </cell>
        </row>
        <row r="305">
          <cell r="A305" t="str">
            <v>13001_23</v>
          </cell>
        </row>
        <row r="306">
          <cell r="A306" t="str">
            <v>13001_24</v>
          </cell>
        </row>
        <row r="307">
          <cell r="A307" t="str">
            <v>13001_25</v>
          </cell>
        </row>
        <row r="308">
          <cell r="A308" t="str">
            <v>14001_1</v>
          </cell>
        </row>
        <row r="309">
          <cell r="A309" t="str">
            <v>14001_2</v>
          </cell>
        </row>
        <row r="310">
          <cell r="A310" t="str">
            <v>14001_3</v>
          </cell>
        </row>
        <row r="311">
          <cell r="A311" t="str">
            <v>14001_4</v>
          </cell>
        </row>
        <row r="312">
          <cell r="A312" t="str">
            <v>14001_5</v>
          </cell>
        </row>
        <row r="313">
          <cell r="A313" t="str">
            <v>14001_6</v>
          </cell>
        </row>
        <row r="314">
          <cell r="A314" t="str">
            <v>14001_7</v>
          </cell>
        </row>
        <row r="315">
          <cell r="A315" t="str">
            <v>14001_8</v>
          </cell>
        </row>
        <row r="316">
          <cell r="A316" t="str">
            <v>14002_1</v>
          </cell>
        </row>
        <row r="317">
          <cell r="A317" t="str">
            <v>14002_2</v>
          </cell>
        </row>
        <row r="318">
          <cell r="A318" t="str">
            <v>14003_1</v>
          </cell>
        </row>
        <row r="319">
          <cell r="A319" t="str">
            <v>14003_2</v>
          </cell>
        </row>
        <row r="320">
          <cell r="A320" t="str">
            <v>14003_3</v>
          </cell>
        </row>
        <row r="321">
          <cell r="A321" t="str">
            <v>14003_4</v>
          </cell>
        </row>
        <row r="322">
          <cell r="A322" t="str">
            <v>14004_1</v>
          </cell>
        </row>
        <row r="323">
          <cell r="A323" t="str">
            <v>14004_2</v>
          </cell>
        </row>
        <row r="324">
          <cell r="A324" t="str">
            <v>14004_3</v>
          </cell>
        </row>
        <row r="325">
          <cell r="A325" t="str">
            <v>14004_4</v>
          </cell>
        </row>
        <row r="326">
          <cell r="A326" t="str">
            <v>14005_1</v>
          </cell>
        </row>
        <row r="327">
          <cell r="A327" t="str">
            <v>14006_1</v>
          </cell>
        </row>
        <row r="328">
          <cell r="A328" t="str">
            <v>15027_1</v>
          </cell>
        </row>
        <row r="329">
          <cell r="A329" t="str">
            <v>15027_2</v>
          </cell>
        </row>
        <row r="330">
          <cell r="A330" t="str">
            <v>15027_3</v>
          </cell>
        </row>
        <row r="331">
          <cell r="A331" t="str">
            <v>15027_4</v>
          </cell>
        </row>
        <row r="332">
          <cell r="A332" t="str">
            <v>15028_1</v>
          </cell>
        </row>
        <row r="333">
          <cell r="A333" t="str">
            <v>15028_2</v>
          </cell>
        </row>
        <row r="334">
          <cell r="A334" t="str">
            <v>15028_3</v>
          </cell>
        </row>
        <row r="335">
          <cell r="A335" t="str">
            <v>15028_4</v>
          </cell>
        </row>
        <row r="336">
          <cell r="A336" t="str">
            <v>15029_1</v>
          </cell>
        </row>
        <row r="337">
          <cell r="A337" t="str">
            <v>15029_2</v>
          </cell>
        </row>
        <row r="338">
          <cell r="A338" t="str">
            <v>15029_3</v>
          </cell>
        </row>
        <row r="339">
          <cell r="A339" t="str">
            <v>15029_4</v>
          </cell>
        </row>
        <row r="340">
          <cell r="A340" t="str">
            <v>15030_1</v>
          </cell>
        </row>
        <row r="341">
          <cell r="A341" t="str">
            <v>15030_2</v>
          </cell>
        </row>
        <row r="342">
          <cell r="A342" t="str">
            <v>15030_3</v>
          </cell>
        </row>
        <row r="343">
          <cell r="A343" t="str">
            <v>15030_4</v>
          </cell>
        </row>
        <row r="344">
          <cell r="A344" t="str">
            <v>15031_1</v>
          </cell>
        </row>
        <row r="345">
          <cell r="A345" t="str">
            <v>15031_2</v>
          </cell>
        </row>
        <row r="346">
          <cell r="A346" t="str">
            <v>15031_3</v>
          </cell>
        </row>
        <row r="347">
          <cell r="A347" t="str">
            <v>15031_4</v>
          </cell>
        </row>
        <row r="348">
          <cell r="A348" t="str">
            <v>20001_1</v>
          </cell>
        </row>
        <row r="349">
          <cell r="A349" t="str">
            <v>20001_2</v>
          </cell>
        </row>
        <row r="350">
          <cell r="A350" t="str">
            <v>20001_3</v>
          </cell>
        </row>
        <row r="351">
          <cell r="A351" t="str">
            <v>20002_1</v>
          </cell>
        </row>
        <row r="352">
          <cell r="A352" t="str">
            <v>20002_2</v>
          </cell>
        </row>
        <row r="353">
          <cell r="A353" t="str">
            <v>20002_3</v>
          </cell>
        </row>
        <row r="354">
          <cell r="A354" t="str">
            <v>20003_1</v>
          </cell>
        </row>
        <row r="355">
          <cell r="A355" t="str">
            <v>20003_2</v>
          </cell>
        </row>
        <row r="356">
          <cell r="A356" t="str">
            <v>20003_3</v>
          </cell>
        </row>
        <row r="357">
          <cell r="A357" t="str">
            <v>20004_1</v>
          </cell>
        </row>
        <row r="358">
          <cell r="A358" t="str">
            <v>20004_2</v>
          </cell>
        </row>
        <row r="359">
          <cell r="A359" t="str">
            <v>20004_3</v>
          </cell>
        </row>
        <row r="360">
          <cell r="A360" t="str">
            <v>20005_1</v>
          </cell>
        </row>
        <row r="361">
          <cell r="A361" t="str">
            <v>20005_2</v>
          </cell>
        </row>
        <row r="362">
          <cell r="A362" t="str">
            <v>20005_3</v>
          </cell>
        </row>
        <row r="363">
          <cell r="A363" t="str">
            <v>20006_1</v>
          </cell>
        </row>
        <row r="364">
          <cell r="A364" t="str">
            <v>20006_2</v>
          </cell>
        </row>
        <row r="365">
          <cell r="A365" t="str">
            <v>20006_3</v>
          </cell>
        </row>
        <row r="366">
          <cell r="A366" t="str">
            <v>20007_1</v>
          </cell>
        </row>
        <row r="367">
          <cell r="A367" t="str">
            <v>20007_2</v>
          </cell>
        </row>
        <row r="368">
          <cell r="A368" t="str">
            <v>20007_3</v>
          </cell>
        </row>
        <row r="369">
          <cell r="A369" t="str">
            <v>20008_1</v>
          </cell>
        </row>
        <row r="370">
          <cell r="A370" t="str">
            <v>20008_2</v>
          </cell>
        </row>
        <row r="371">
          <cell r="A371" t="str">
            <v>20008_3</v>
          </cell>
        </row>
        <row r="372">
          <cell r="A372" t="str">
            <v>20009_1</v>
          </cell>
        </row>
        <row r="373">
          <cell r="A373" t="str">
            <v>20009_2</v>
          </cell>
        </row>
        <row r="374">
          <cell r="A374" t="str">
            <v>20009_3</v>
          </cell>
        </row>
        <row r="375">
          <cell r="A375" t="str">
            <v>20010_1</v>
          </cell>
        </row>
        <row r="376">
          <cell r="A376" t="str">
            <v>20010_2</v>
          </cell>
        </row>
        <row r="377">
          <cell r="A377" t="str">
            <v>20010_3</v>
          </cell>
        </row>
        <row r="378">
          <cell r="A378" t="str">
            <v>20011_1</v>
          </cell>
        </row>
        <row r="379">
          <cell r="A379" t="str">
            <v>20011_2</v>
          </cell>
        </row>
        <row r="380">
          <cell r="A380" t="str">
            <v>20011_3</v>
          </cell>
        </row>
        <row r="381">
          <cell r="A381" t="str">
            <v>20012_1</v>
          </cell>
        </row>
        <row r="382">
          <cell r="A382" t="str">
            <v>20012_2</v>
          </cell>
        </row>
        <row r="383">
          <cell r="A383" t="str">
            <v>20012_3</v>
          </cell>
        </row>
        <row r="384">
          <cell r="A384" t="str">
            <v>20013_1</v>
          </cell>
        </row>
        <row r="385">
          <cell r="A385" t="str">
            <v>20013_2</v>
          </cell>
        </row>
        <row r="386">
          <cell r="A386" t="str">
            <v>20013_3</v>
          </cell>
        </row>
        <row r="387">
          <cell r="A387" t="str">
            <v>20014_1</v>
          </cell>
        </row>
        <row r="388">
          <cell r="A388" t="str">
            <v>20014_2</v>
          </cell>
        </row>
        <row r="389">
          <cell r="A389" t="str">
            <v>20014_3</v>
          </cell>
        </row>
        <row r="390">
          <cell r="A390" t="str">
            <v>20015_1</v>
          </cell>
        </row>
        <row r="391">
          <cell r="A391" t="str">
            <v>20015_2</v>
          </cell>
        </row>
        <row r="392">
          <cell r="A392" t="str">
            <v>20015_3</v>
          </cell>
        </row>
        <row r="393">
          <cell r="A393" t="str">
            <v>30001_1</v>
          </cell>
        </row>
        <row r="394">
          <cell r="A394" t="str">
            <v>30001_2</v>
          </cell>
        </row>
        <row r="395">
          <cell r="A395" t="str">
            <v>30001_3</v>
          </cell>
        </row>
        <row r="396">
          <cell r="A396" t="str">
            <v>30002_1</v>
          </cell>
        </row>
        <row r="397">
          <cell r="A397" t="str">
            <v>30002_2</v>
          </cell>
        </row>
        <row r="398">
          <cell r="A398" t="str">
            <v>30002_3</v>
          </cell>
        </row>
        <row r="399">
          <cell r="A399" t="str">
            <v>30003_1</v>
          </cell>
        </row>
        <row r="400">
          <cell r="A400" t="str">
            <v>30003_2</v>
          </cell>
        </row>
        <row r="401">
          <cell r="A401" t="str">
            <v>30003_3</v>
          </cell>
        </row>
        <row r="402">
          <cell r="A402" t="str">
            <v>30004_1</v>
          </cell>
        </row>
        <row r="403">
          <cell r="A403" t="str">
            <v>30004_2</v>
          </cell>
        </row>
        <row r="404">
          <cell r="A404" t="str">
            <v>30004_3</v>
          </cell>
        </row>
        <row r="405">
          <cell r="A405" t="str">
            <v>30005_1</v>
          </cell>
        </row>
        <row r="406">
          <cell r="A406" t="str">
            <v>30005_2</v>
          </cell>
        </row>
        <row r="407">
          <cell r="A407" t="str">
            <v>30005_3</v>
          </cell>
        </row>
        <row r="408">
          <cell r="A408" t="str">
            <v>30006_1</v>
          </cell>
        </row>
        <row r="409">
          <cell r="A409" t="str">
            <v>30006_2</v>
          </cell>
        </row>
        <row r="410">
          <cell r="A410" t="str">
            <v>30006_3</v>
          </cell>
        </row>
        <row r="411">
          <cell r="A411" t="str">
            <v>30007_1</v>
          </cell>
        </row>
        <row r="412">
          <cell r="A412" t="str">
            <v>30007_2</v>
          </cell>
        </row>
        <row r="413">
          <cell r="A413" t="str">
            <v>30007_3</v>
          </cell>
        </row>
        <row r="414">
          <cell r="A414" t="str">
            <v>30008_1</v>
          </cell>
        </row>
        <row r="415">
          <cell r="A415" t="str">
            <v>30008_2</v>
          </cell>
        </row>
        <row r="416">
          <cell r="A416" t="str">
            <v>30008_3</v>
          </cell>
        </row>
        <row r="417">
          <cell r="A417" t="str">
            <v>30009_3</v>
          </cell>
        </row>
        <row r="418">
          <cell r="A418" t="str">
            <v>30009_1</v>
          </cell>
        </row>
        <row r="419">
          <cell r="A419" t="str">
            <v>30009_2</v>
          </cell>
        </row>
        <row r="420">
          <cell r="A420" t="str">
            <v>30010_1</v>
          </cell>
        </row>
        <row r="421">
          <cell r="A421" t="str">
            <v>30010_2</v>
          </cell>
        </row>
        <row r="422">
          <cell r="A422" t="str">
            <v>30010_3</v>
          </cell>
        </row>
        <row r="423">
          <cell r="A423" t="str">
            <v>30011_1</v>
          </cell>
        </row>
        <row r="424">
          <cell r="A424" t="str">
            <v>30011_2</v>
          </cell>
        </row>
        <row r="425">
          <cell r="A425" t="str">
            <v>30011_3</v>
          </cell>
        </row>
        <row r="426">
          <cell r="A426" t="str">
            <v>30012_1</v>
          </cell>
        </row>
        <row r="427">
          <cell r="A427" t="str">
            <v>30012_2</v>
          </cell>
        </row>
        <row r="428">
          <cell r="A428" t="str">
            <v>30012_3</v>
          </cell>
        </row>
        <row r="429">
          <cell r="A429" t="str">
            <v>30013_1</v>
          </cell>
        </row>
        <row r="430">
          <cell r="A430" t="str">
            <v>30013_2</v>
          </cell>
        </row>
        <row r="431">
          <cell r="A431" t="str">
            <v>30014_1</v>
          </cell>
        </row>
        <row r="432">
          <cell r="A432" t="str">
            <v>30014_2</v>
          </cell>
        </row>
        <row r="433">
          <cell r="A433" t="str">
            <v>30015_1</v>
          </cell>
        </row>
        <row r="434">
          <cell r="A434" t="str">
            <v>30015_2</v>
          </cell>
        </row>
        <row r="435">
          <cell r="A435" t="str">
            <v>30016_1</v>
          </cell>
        </row>
        <row r="436">
          <cell r="A436" t="str">
            <v>30016_2</v>
          </cell>
        </row>
        <row r="437">
          <cell r="A437" t="str">
            <v>30017_1</v>
          </cell>
        </row>
        <row r="438">
          <cell r="A438" t="str">
            <v>30017_2</v>
          </cell>
        </row>
        <row r="439">
          <cell r="A439" t="str">
            <v>30018_1</v>
          </cell>
        </row>
        <row r="440">
          <cell r="A440" t="str">
            <v>30018_2</v>
          </cell>
        </row>
        <row r="441">
          <cell r="A441" t="str">
            <v>30019_1</v>
          </cell>
        </row>
        <row r="442">
          <cell r="A442" t="str">
            <v>30019_2</v>
          </cell>
        </row>
        <row r="443">
          <cell r="A443" t="str">
            <v>30020_1</v>
          </cell>
        </row>
        <row r="444">
          <cell r="A444" t="str">
            <v>30020_2</v>
          </cell>
        </row>
        <row r="445">
          <cell r="A445" t="str">
            <v>30021_1</v>
          </cell>
        </row>
        <row r="446">
          <cell r="A446" t="str">
            <v>30021_2</v>
          </cell>
        </row>
        <row r="447">
          <cell r="A447" t="str">
            <v>30021_3</v>
          </cell>
        </row>
        <row r="448">
          <cell r="A448" t="str">
            <v>30022_1</v>
          </cell>
        </row>
        <row r="449">
          <cell r="A449" t="str">
            <v>30022_2</v>
          </cell>
        </row>
        <row r="450">
          <cell r="A450" t="str">
            <v>30023_1</v>
          </cell>
        </row>
        <row r="451">
          <cell r="A451" t="str">
            <v>30023_2</v>
          </cell>
        </row>
        <row r="452">
          <cell r="A452" t="str">
            <v>30023_3</v>
          </cell>
        </row>
        <row r="453">
          <cell r="A453" t="str">
            <v>30024_1</v>
          </cell>
        </row>
        <row r="454">
          <cell r="A454" t="str">
            <v>30024_2</v>
          </cell>
        </row>
        <row r="455">
          <cell r="A455" t="str">
            <v>30024_3</v>
          </cell>
        </row>
        <row r="456">
          <cell r="A456" t="str">
            <v>30025_1</v>
          </cell>
        </row>
        <row r="457">
          <cell r="A457" t="str">
            <v>30025_2</v>
          </cell>
        </row>
        <row r="458">
          <cell r="A458" t="str">
            <v>30025_3</v>
          </cell>
        </row>
        <row r="459">
          <cell r="A459" t="str">
            <v>30026_1</v>
          </cell>
        </row>
        <row r="460">
          <cell r="A460" t="str">
            <v>30026_2</v>
          </cell>
        </row>
        <row r="461">
          <cell r="A461" t="str">
            <v>30026_3</v>
          </cell>
        </row>
        <row r="462">
          <cell r="A462" t="str">
            <v>30027_1</v>
          </cell>
        </row>
        <row r="463">
          <cell r="A463" t="str">
            <v>30027_2</v>
          </cell>
        </row>
        <row r="464">
          <cell r="A464" t="str">
            <v>30027_3</v>
          </cell>
        </row>
        <row r="465">
          <cell r="A465" t="str">
            <v>30028_1</v>
          </cell>
        </row>
        <row r="466">
          <cell r="A466" t="str">
            <v>30028_2</v>
          </cell>
        </row>
        <row r="467">
          <cell r="A467" t="str">
            <v>30028_3</v>
          </cell>
        </row>
        <row r="468">
          <cell r="A468" t="str">
            <v>30029_1</v>
          </cell>
        </row>
        <row r="469">
          <cell r="A469" t="str">
            <v>30029_2</v>
          </cell>
        </row>
        <row r="470">
          <cell r="A470" t="str">
            <v>30029_3</v>
          </cell>
        </row>
        <row r="471">
          <cell r="A471" t="str">
            <v>30030_1</v>
          </cell>
        </row>
        <row r="472">
          <cell r="A472" t="str">
            <v>30030_2</v>
          </cell>
        </row>
        <row r="473">
          <cell r="A473" t="str">
            <v>30030_3</v>
          </cell>
        </row>
        <row r="474">
          <cell r="A474" t="str">
            <v>30031_1</v>
          </cell>
        </row>
        <row r="475">
          <cell r="A475" t="str">
            <v>30031_2</v>
          </cell>
        </row>
        <row r="476">
          <cell r="A476" t="str">
            <v>30031_3</v>
          </cell>
        </row>
        <row r="477">
          <cell r="A477" t="str">
            <v>30032_1</v>
          </cell>
        </row>
        <row r="478">
          <cell r="A478" t="str">
            <v>30032_2</v>
          </cell>
        </row>
        <row r="479">
          <cell r="A479" t="str">
            <v>30032_3</v>
          </cell>
        </row>
        <row r="480">
          <cell r="A480" t="str">
            <v>30033_1</v>
          </cell>
        </row>
        <row r="481">
          <cell r="A481" t="str">
            <v>30033_2</v>
          </cell>
        </row>
        <row r="482">
          <cell r="A482" t="str">
            <v>30033_3</v>
          </cell>
        </row>
        <row r="483">
          <cell r="A483" t="str">
            <v>30034_1</v>
          </cell>
        </row>
        <row r="484">
          <cell r="A484" t="str">
            <v>30034_2</v>
          </cell>
        </row>
        <row r="485">
          <cell r="A485" t="str">
            <v>30034_3</v>
          </cell>
        </row>
        <row r="486">
          <cell r="A486" t="str">
            <v>39001_1</v>
          </cell>
        </row>
        <row r="487">
          <cell r="A487" t="str">
            <v>39001_2</v>
          </cell>
        </row>
        <row r="488">
          <cell r="A488" t="str">
            <v>39001_3</v>
          </cell>
        </row>
        <row r="489">
          <cell r="A489" t="str">
            <v>39001_4</v>
          </cell>
        </row>
        <row r="490">
          <cell r="A490" t="str">
            <v>39001_5</v>
          </cell>
        </row>
        <row r="491">
          <cell r="A491" t="str">
            <v>39002_1</v>
          </cell>
        </row>
        <row r="492">
          <cell r="A492" t="str">
            <v>39002_2</v>
          </cell>
        </row>
        <row r="493">
          <cell r="A493" t="str">
            <v>39002_3</v>
          </cell>
        </row>
        <row r="494">
          <cell r="A494" t="str">
            <v>39002_4</v>
          </cell>
        </row>
        <row r="495">
          <cell r="A495" t="str">
            <v>39003_1</v>
          </cell>
        </row>
        <row r="496">
          <cell r="A496" t="str">
            <v>39003_2</v>
          </cell>
        </row>
        <row r="497">
          <cell r="A497" t="str">
            <v>39003_3</v>
          </cell>
        </row>
        <row r="498">
          <cell r="A498" t="str">
            <v>39003_4</v>
          </cell>
        </row>
        <row r="499">
          <cell r="A499" t="str">
            <v>39004_1</v>
          </cell>
        </row>
        <row r="500">
          <cell r="A500" t="str">
            <v>39004_2</v>
          </cell>
        </row>
        <row r="501">
          <cell r="A501" t="str">
            <v>39004_3</v>
          </cell>
        </row>
        <row r="502">
          <cell r="A502" t="str">
            <v>39004_4</v>
          </cell>
        </row>
        <row r="503">
          <cell r="A503" t="str">
            <v>40001_1</v>
          </cell>
        </row>
        <row r="504">
          <cell r="A504" t="str">
            <v>40002_1</v>
          </cell>
        </row>
        <row r="505">
          <cell r="A505" t="str">
            <v>40002_2</v>
          </cell>
        </row>
        <row r="506">
          <cell r="A506" t="str">
            <v>40002_3</v>
          </cell>
        </row>
        <row r="507">
          <cell r="A507" t="str">
            <v>40003_1</v>
          </cell>
        </row>
        <row r="508">
          <cell r="A508" t="str">
            <v>40004_1</v>
          </cell>
        </row>
        <row r="509">
          <cell r="A509" t="str">
            <v>40005_1</v>
          </cell>
        </row>
        <row r="510">
          <cell r="A510" t="str">
            <v>40006_1</v>
          </cell>
        </row>
        <row r="511">
          <cell r="A511" t="str">
            <v>40007_1</v>
          </cell>
        </row>
        <row r="512">
          <cell r="A512" t="str">
            <v>40008_1</v>
          </cell>
        </row>
        <row r="513">
          <cell r="A513" t="str">
            <v>40009_1</v>
          </cell>
        </row>
        <row r="514">
          <cell r="A514" t="str">
            <v>40010_1</v>
          </cell>
        </row>
        <row r="515">
          <cell r="A515" t="str">
            <v>40011_1</v>
          </cell>
        </row>
        <row r="516">
          <cell r="A516" t="str">
            <v>40012_1</v>
          </cell>
        </row>
        <row r="517">
          <cell r="A517" t="str">
            <v>40013_1</v>
          </cell>
        </row>
        <row r="518">
          <cell r="A518" t="str">
            <v>40014_1</v>
          </cell>
        </row>
        <row r="519">
          <cell r="A519" t="str">
            <v>40015_1</v>
          </cell>
        </row>
        <row r="520">
          <cell r="A520" t="str">
            <v>40016_1</v>
          </cell>
        </row>
        <row r="521">
          <cell r="A521" t="str">
            <v>40016_2</v>
          </cell>
        </row>
        <row r="522">
          <cell r="A522" t="str">
            <v>40017_1</v>
          </cell>
        </row>
        <row r="523">
          <cell r="A523" t="str">
            <v>40017_2</v>
          </cell>
        </row>
        <row r="524">
          <cell r="A524" t="str">
            <v>40017_3</v>
          </cell>
        </row>
        <row r="525">
          <cell r="A525" t="str">
            <v>41001_1</v>
          </cell>
        </row>
        <row r="526">
          <cell r="A526" t="str">
            <v>41001_2</v>
          </cell>
        </row>
        <row r="527">
          <cell r="A527" t="str">
            <v>41001_3</v>
          </cell>
        </row>
        <row r="528">
          <cell r="A528" t="str">
            <v>41002_1</v>
          </cell>
        </row>
        <row r="529">
          <cell r="A529" t="str">
            <v>41002_2</v>
          </cell>
        </row>
        <row r="530">
          <cell r="A530" t="str">
            <v>41002_3</v>
          </cell>
        </row>
        <row r="531">
          <cell r="A531" t="str">
            <v>41003_1</v>
          </cell>
        </row>
        <row r="532">
          <cell r="A532" t="str">
            <v>41003_2</v>
          </cell>
        </row>
        <row r="533">
          <cell r="A533" t="str">
            <v>41003_3</v>
          </cell>
        </row>
        <row r="534">
          <cell r="A534" t="str">
            <v>41004_1</v>
          </cell>
        </row>
        <row r="535">
          <cell r="A535" t="str">
            <v>41004_2</v>
          </cell>
        </row>
        <row r="536">
          <cell r="A536" t="str">
            <v>41004_3</v>
          </cell>
        </row>
        <row r="537">
          <cell r="A537" t="str">
            <v>49001_1</v>
          </cell>
        </row>
        <row r="538">
          <cell r="A538" t="str">
            <v>49002_1</v>
          </cell>
        </row>
        <row r="539">
          <cell r="A539" t="str">
            <v>49002_2</v>
          </cell>
        </row>
        <row r="540">
          <cell r="A540" t="str">
            <v>49003_1</v>
          </cell>
        </row>
        <row r="541">
          <cell r="A541" t="str">
            <v>49003_2</v>
          </cell>
        </row>
        <row r="542">
          <cell r="A542" t="str">
            <v>49004_1</v>
          </cell>
        </row>
        <row r="543">
          <cell r="A543" t="str">
            <v>49004_2</v>
          </cell>
        </row>
        <row r="544">
          <cell r="A544" t="str">
            <v>50001_1</v>
          </cell>
        </row>
        <row r="545">
          <cell r="A545" t="str">
            <v>50002_1</v>
          </cell>
        </row>
        <row r="546">
          <cell r="A546" t="str">
            <v>50003_1</v>
          </cell>
        </row>
        <row r="547">
          <cell r="A547" t="str">
            <v>50004_1</v>
          </cell>
        </row>
        <row r="548">
          <cell r="A548" t="str">
            <v>51001_1</v>
          </cell>
        </row>
        <row r="549">
          <cell r="A549" t="str">
            <v>51002_1</v>
          </cell>
        </row>
        <row r="550">
          <cell r="A550" t="str">
            <v>60001_1</v>
          </cell>
        </row>
        <row r="551">
          <cell r="A551" t="str">
            <v>60002_1</v>
          </cell>
        </row>
        <row r="552">
          <cell r="A552" t="str">
            <v>60002_2</v>
          </cell>
        </row>
        <row r="553">
          <cell r="A553" t="str">
            <v>60003_1</v>
          </cell>
        </row>
        <row r="554">
          <cell r="A554" t="str">
            <v>60003_2</v>
          </cell>
        </row>
        <row r="555">
          <cell r="A555" t="str">
            <v>60003_3</v>
          </cell>
        </row>
        <row r="556">
          <cell r="A556" t="str">
            <v>60004_1</v>
          </cell>
        </row>
        <row r="557">
          <cell r="A557" t="str">
            <v>60005_1</v>
          </cell>
        </row>
        <row r="558">
          <cell r="A558" t="str">
            <v>60006_1</v>
          </cell>
        </row>
        <row r="559">
          <cell r="A559" t="str">
            <v>60006_2</v>
          </cell>
        </row>
        <row r="560">
          <cell r="A560" t="str">
            <v>60006_3</v>
          </cell>
        </row>
        <row r="561">
          <cell r="A561" t="str">
            <v>60007_1</v>
          </cell>
        </row>
        <row r="562">
          <cell r="A562" t="str">
            <v>60007_2</v>
          </cell>
        </row>
        <row r="563">
          <cell r="A563" t="str">
            <v>60007_3</v>
          </cell>
        </row>
        <row r="564">
          <cell r="A564" t="str">
            <v>60010_1</v>
          </cell>
        </row>
        <row r="565">
          <cell r="A565" t="str">
            <v>60010_2</v>
          </cell>
        </row>
        <row r="566">
          <cell r="A566" t="str">
            <v>60010_3</v>
          </cell>
        </row>
        <row r="567">
          <cell r="A567" t="str">
            <v>65535_1</v>
          </cell>
        </row>
        <row r="568">
          <cell r="A568" t="str">
            <v>65535_2</v>
          </cell>
        </row>
        <row r="569">
          <cell r="A569" t="str">
            <v>65535_3</v>
          </cell>
        </row>
        <row r="570">
          <cell r="A570" t="str">
            <v>60021_3</v>
          </cell>
        </row>
        <row r="571">
          <cell r="A571" t="str">
            <v>60022_3</v>
          </cell>
        </row>
        <row r="572">
          <cell r="A572" t="str">
            <v>60023_3</v>
          </cell>
        </row>
        <row r="573">
          <cell r="A573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8001</v>
          </cell>
        </row>
        <row r="979">
          <cell r="A979">
            <v>8002</v>
          </cell>
        </row>
        <row r="980">
          <cell r="A980">
            <v>8003</v>
          </cell>
        </row>
        <row r="981">
          <cell r="A981">
            <v>8004</v>
          </cell>
        </row>
        <row r="982">
          <cell r="A982">
            <v>8005</v>
          </cell>
        </row>
        <row r="983">
          <cell r="A983">
            <v>8006</v>
          </cell>
        </row>
        <row r="984">
          <cell r="A984">
            <v>8007</v>
          </cell>
        </row>
        <row r="985">
          <cell r="A985">
            <v>8008</v>
          </cell>
        </row>
        <row r="986">
          <cell r="A986">
            <v>8009</v>
          </cell>
        </row>
        <row r="987">
          <cell r="A987">
            <v>8010</v>
          </cell>
        </row>
        <row r="988">
          <cell r="A988">
            <v>8011</v>
          </cell>
        </row>
        <row r="989">
          <cell r="A989">
            <v>8012</v>
          </cell>
        </row>
        <row r="990">
          <cell r="A990">
            <v>8013</v>
          </cell>
        </row>
        <row r="991">
          <cell r="A991">
            <v>8014</v>
          </cell>
        </row>
        <row r="992">
          <cell r="A992">
            <v>8015</v>
          </cell>
        </row>
        <row r="993">
          <cell r="A993">
            <v>8016</v>
          </cell>
        </row>
        <row r="994">
          <cell r="A994">
            <v>8017</v>
          </cell>
        </row>
        <row r="995">
          <cell r="A995">
            <v>8018</v>
          </cell>
        </row>
        <row r="996">
          <cell r="A996">
            <v>8019</v>
          </cell>
        </row>
        <row r="997">
          <cell r="A997">
            <v>8020</v>
          </cell>
        </row>
        <row r="998">
          <cell r="A998">
            <v>8021</v>
          </cell>
        </row>
        <row r="999">
          <cell r="A999">
            <v>8022</v>
          </cell>
        </row>
        <row r="1000">
          <cell r="A1000">
            <v>8023</v>
          </cell>
        </row>
        <row r="1001">
          <cell r="A1001">
            <v>8024</v>
          </cell>
        </row>
        <row r="1002">
          <cell r="A1002">
            <v>8025</v>
          </cell>
        </row>
        <row r="1003">
          <cell r="A1003">
            <v>8026</v>
          </cell>
        </row>
        <row r="1004">
          <cell r="A1004">
            <v>8027</v>
          </cell>
        </row>
        <row r="1005">
          <cell r="A1005">
            <v>8028</v>
          </cell>
        </row>
        <row r="1006">
          <cell r="A1006">
            <v>8029</v>
          </cell>
        </row>
        <row r="1007">
          <cell r="A1007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1040</v>
          </cell>
        </row>
        <row r="979">
          <cell r="A979">
            <v>8001</v>
          </cell>
        </row>
        <row r="980">
          <cell r="A980">
            <v>8002</v>
          </cell>
        </row>
        <row r="981">
          <cell r="A981">
            <v>8003</v>
          </cell>
        </row>
        <row r="982">
          <cell r="A982">
            <v>8004</v>
          </cell>
        </row>
        <row r="983">
          <cell r="A983">
            <v>8005</v>
          </cell>
        </row>
        <row r="984">
          <cell r="A984">
            <v>8006</v>
          </cell>
        </row>
        <row r="985">
          <cell r="A985">
            <v>8007</v>
          </cell>
        </row>
        <row r="986">
          <cell r="A986">
            <v>8008</v>
          </cell>
        </row>
        <row r="987">
          <cell r="A987">
            <v>8009</v>
          </cell>
        </row>
        <row r="988">
          <cell r="A988">
            <v>8010</v>
          </cell>
        </row>
        <row r="989">
          <cell r="A989">
            <v>8011</v>
          </cell>
        </row>
        <row r="990">
          <cell r="A990">
            <v>8012</v>
          </cell>
        </row>
        <row r="991">
          <cell r="A991">
            <v>8013</v>
          </cell>
        </row>
        <row r="992">
          <cell r="A992">
            <v>8014</v>
          </cell>
        </row>
        <row r="993">
          <cell r="A993">
            <v>8015</v>
          </cell>
        </row>
        <row r="994">
          <cell r="A994">
            <v>8016</v>
          </cell>
        </row>
        <row r="995">
          <cell r="A995">
            <v>8017</v>
          </cell>
        </row>
        <row r="996">
          <cell r="A996">
            <v>8018</v>
          </cell>
        </row>
        <row r="997">
          <cell r="A997">
            <v>8019</v>
          </cell>
        </row>
        <row r="998">
          <cell r="A998">
            <v>8020</v>
          </cell>
        </row>
        <row r="999">
          <cell r="A999">
            <v>8021</v>
          </cell>
        </row>
        <row r="1000">
          <cell r="A1000">
            <v>8022</v>
          </cell>
        </row>
        <row r="1001">
          <cell r="A1001">
            <v>8023</v>
          </cell>
        </row>
        <row r="1002">
          <cell r="A1002">
            <v>8024</v>
          </cell>
        </row>
        <row r="1003">
          <cell r="A1003">
            <v>8025</v>
          </cell>
        </row>
        <row r="1004">
          <cell r="A1004">
            <v>8026</v>
          </cell>
        </row>
        <row r="1005">
          <cell r="A1005">
            <v>8027</v>
          </cell>
        </row>
        <row r="1006">
          <cell r="A1006">
            <v>8028</v>
          </cell>
        </row>
        <row r="1007">
          <cell r="A1007">
            <v>8029</v>
          </cell>
        </row>
        <row r="1008">
          <cell r="A1008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3" sqref="A13"/>
    </sheetView>
  </sheetViews>
  <sheetFormatPr baseColWidth="12" defaultRowHeight="15" x14ac:dyDescent="0.15"/>
  <cols>
    <col min="2" max="2" width="18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207</v>
      </c>
      <c r="B2" s="57" t="s">
        <v>106</v>
      </c>
      <c r="C2" s="63" t="s">
        <v>206</v>
      </c>
      <c r="D2" s="57" t="s">
        <v>107</v>
      </c>
      <c r="E2" s="56" t="str">
        <f>B2&amp;C2&amp;D2</f>
        <v>floors_cm1605.tmp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207</v>
      </c>
      <c r="B3" s="57" t="s">
        <v>109</v>
      </c>
      <c r="C3" s="63" t="str">
        <f>C$2</f>
        <v>cm1605</v>
      </c>
      <c r="D3" s="57" t="s">
        <v>107</v>
      </c>
      <c r="E3" s="56" t="str">
        <f>B3&amp;C3&amp;D3</f>
        <v>enemy_habitats_cm1605.tmp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170</v>
      </c>
    </row>
    <row r="4" spans="1:30" x14ac:dyDescent="0.15">
      <c r="A4" s="61" t="s">
        <v>207</v>
      </c>
      <c r="B4" s="57" t="s">
        <v>111</v>
      </c>
      <c r="C4" s="63" t="str">
        <f t="shared" ref="C4:C12" si="0">C$2</f>
        <v>cm1605</v>
      </c>
      <c r="D4" s="57" t="s">
        <v>107</v>
      </c>
      <c r="E4" s="56" t="str">
        <f>B4&amp;C4&amp;D4</f>
        <v>enemy_habitat_S_cm1605.tmp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207</v>
      </c>
      <c r="B5" s="57" t="s">
        <v>113</v>
      </c>
      <c r="C5" s="63" t="str">
        <f t="shared" si="0"/>
        <v>cm1605</v>
      </c>
      <c r="D5" s="57" t="s">
        <v>107</v>
      </c>
      <c r="E5" s="56" t="str">
        <f>B5&amp;C5&amp;D5</f>
        <v>enemy_skill_sets_cm1605.tmp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207</v>
      </c>
      <c r="B6" s="57" t="s">
        <v>115</v>
      </c>
      <c r="C6" s="63" t="str">
        <f t="shared" si="0"/>
        <v>cm1605</v>
      </c>
      <c r="D6" s="57" t="s">
        <v>116</v>
      </c>
      <c r="E6" s="56" t="str">
        <f t="shared" ref="E6:E10" si="1">B6&amp;C6&amp;D6</f>
        <v>enemy_skills_tmp_cm1605.tmp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207</v>
      </c>
      <c r="B7" s="57" t="s">
        <v>117</v>
      </c>
      <c r="C7" s="63" t="str">
        <f t="shared" si="0"/>
        <v>cm1605</v>
      </c>
      <c r="D7" s="57" t="s">
        <v>107</v>
      </c>
      <c r="E7" s="56" t="str">
        <f>B7&amp;C7&amp;D7</f>
        <v>enemy_skills_i18n_cm1605.tmp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207</v>
      </c>
      <c r="B8" s="57" t="s">
        <v>119</v>
      </c>
      <c r="C8" s="63" t="str">
        <f t="shared" si="0"/>
        <v>cm1605</v>
      </c>
      <c r="D8" s="57" t="s">
        <v>120</v>
      </c>
      <c r="E8" s="56" t="str">
        <f t="shared" si="1"/>
        <v>enemy_skill_triggers_cm1605.tmp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179</v>
      </c>
      <c r="B9" s="67" t="s">
        <v>169</v>
      </c>
      <c r="C9" s="63" t="str">
        <f t="shared" si="0"/>
        <v>cm1605</v>
      </c>
      <c r="D9" s="67" t="s">
        <v>163</v>
      </c>
      <c r="E9" s="68" t="str">
        <f t="shared" si="1"/>
        <v>stage_bug_bonuses_cm1605.tmp</v>
      </c>
      <c r="F9" s="67" t="s">
        <v>164</v>
      </c>
      <c r="G9" s="65" t="s">
        <v>150</v>
      </c>
      <c r="H9" s="65" t="s">
        <v>165</v>
      </c>
      <c r="I9" s="65" t="s">
        <v>166</v>
      </c>
      <c r="J9" s="66" t="s">
        <v>167</v>
      </c>
      <c r="K9" s="65" t="s">
        <v>168</v>
      </c>
      <c r="L9" s="65" t="s">
        <v>151</v>
      </c>
      <c r="M9" s="65" t="s">
        <v>152</v>
      </c>
      <c r="N9" s="65" t="s">
        <v>153</v>
      </c>
      <c r="O9" s="65" t="s">
        <v>154</v>
      </c>
      <c r="P9" s="65" t="s">
        <v>155</v>
      </c>
      <c r="Q9" s="65" t="s">
        <v>156</v>
      </c>
      <c r="R9" s="65" t="s">
        <v>157</v>
      </c>
      <c r="S9" s="65" t="s">
        <v>158</v>
      </c>
      <c r="T9" s="65" t="s">
        <v>159</v>
      </c>
      <c r="U9" s="65" t="s">
        <v>160</v>
      </c>
      <c r="V9" s="65" t="s">
        <v>161</v>
      </c>
      <c r="W9" s="65" t="s">
        <v>162</v>
      </c>
    </row>
    <row r="10" spans="1:30" s="74" customFormat="1" x14ac:dyDescent="0.15">
      <c r="A10" s="61" t="s">
        <v>257</v>
      </c>
      <c r="B10" s="67" t="s">
        <v>195</v>
      </c>
      <c r="C10" s="63" t="str">
        <f>C$2</f>
        <v>cm1605</v>
      </c>
      <c r="D10" s="67" t="s">
        <v>172</v>
      </c>
      <c r="E10" s="68" t="str">
        <f t="shared" si="1"/>
        <v>stage_hints_data_c_cm1605.tmp</v>
      </c>
      <c r="F10" s="67" t="s">
        <v>203</v>
      </c>
      <c r="G10" s="71" t="s">
        <v>173</v>
      </c>
      <c r="H10" s="71" t="s">
        <v>165</v>
      </c>
      <c r="I10" s="72" t="s">
        <v>174</v>
      </c>
      <c r="J10" s="66" t="s">
        <v>175</v>
      </c>
      <c r="K10" s="73" t="s">
        <v>176</v>
      </c>
    </row>
    <row r="11" spans="1:30" s="74" customFormat="1" x14ac:dyDescent="0.15">
      <c r="A11" s="61" t="s">
        <v>179</v>
      </c>
      <c r="B11" s="67" t="s">
        <v>196</v>
      </c>
      <c r="C11" s="63" t="str">
        <f t="shared" si="0"/>
        <v>cm1605</v>
      </c>
      <c r="D11" s="67" t="s">
        <v>163</v>
      </c>
      <c r="E11" s="68" t="str">
        <f t="shared" ref="E11:E12" si="2">B11&amp;C11&amp;D11</f>
        <v>stage_hints_data_f_cm1605.tmp</v>
      </c>
      <c r="F11" s="67" t="s">
        <v>205</v>
      </c>
      <c r="G11" s="71" t="s">
        <v>173</v>
      </c>
      <c r="H11" s="71" t="s">
        <v>165</v>
      </c>
      <c r="I11" s="72" t="s">
        <v>174</v>
      </c>
      <c r="J11" s="66" t="s">
        <v>175</v>
      </c>
      <c r="K11" s="73" t="s">
        <v>176</v>
      </c>
    </row>
    <row r="12" spans="1:30" s="74" customFormat="1" x14ac:dyDescent="0.15">
      <c r="A12" s="67" t="s">
        <v>258</v>
      </c>
      <c r="B12" s="67" t="s">
        <v>197</v>
      </c>
      <c r="C12" s="63" t="str">
        <f t="shared" si="0"/>
        <v>cm1605</v>
      </c>
      <c r="D12" s="67" t="s">
        <v>163</v>
      </c>
      <c r="E12" s="68" t="str">
        <f t="shared" si="2"/>
        <v>stage_hints_i18n_cm1605.tmp</v>
      </c>
      <c r="F12" s="67" t="s">
        <v>203</v>
      </c>
      <c r="G12" s="72" t="s">
        <v>198</v>
      </c>
      <c r="H12" s="93" t="s">
        <v>199</v>
      </c>
      <c r="I12" s="71" t="s">
        <v>200</v>
      </c>
      <c r="J12" s="94" t="s">
        <v>201</v>
      </c>
      <c r="K12" s="73" t="s">
        <v>202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J4" sqref="J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11224_1-1</v>
      </c>
      <c r="B2" s="16" t="str">
        <f>IF(COUNTIF(enemy_habitats!$H:$H,A2),"OK","NG")</f>
        <v>OK</v>
      </c>
      <c r="C2" s="7">
        <v>11224</v>
      </c>
      <c r="D2" s="11" t="str">
        <f ca="1">VLOOKUP($C2,OFFSET([2]quests!$A$1,0,0,COUNTA([2]quests!$A:$A),MATCH(D$1,[2]quests!$1:$1,0)-MATCH($C$1,[2]quests!$1:$1,0)+1),MATCH(D$1,[2]quests!$1:$1,0)-MATCH($C$1,[2]quests!$1:$1,0)+1,FALSE)</f>
        <v>TVCM放送記念★特別クエスト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TVCM放送記念★特別クエスト</v>
      </c>
      <c r="F2" s="21">
        <v>1</v>
      </c>
      <c r="G2" s="23" t="str">
        <f>C2&amp;"_"&amp;F2</f>
        <v>11224_1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【超ウザード級】ウザリーマン襲来！</v>
      </c>
      <c r="I2" s="21">
        <v>1</v>
      </c>
      <c r="J2" s="12">
        <v>20</v>
      </c>
      <c r="K2" s="12">
        <v>20</v>
      </c>
    </row>
    <row r="3" spans="1:11" ht="21" customHeight="1" x14ac:dyDescent="0.15">
      <c r="A3" s="16" t="str">
        <f>G3&amp;"-"&amp;I3</f>
        <v>11224_1-2</v>
      </c>
      <c r="B3" s="16" t="str">
        <f>IF(COUNTIF(enemy_habitats!$H:$H,A3),"OK","NG")</f>
        <v>OK</v>
      </c>
      <c r="C3" s="7">
        <v>11224</v>
      </c>
      <c r="D3" s="11" t="str">
        <f ca="1">VLOOKUP($C3,OFFSET([2]quests!$A$1,0,0,COUNTA([2]quests!$A:$A),MATCH(D$1,[2]quests!$1:$1,0)-MATCH($C$1,[2]quests!$1:$1,0)+1),MATCH(D$1,[2]quests!$1:$1,0)-MATCH($C$1,[2]quests!$1:$1,0)+1,FALSE)</f>
        <v>TVCM放送記念★特別クエスト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TVCM放送記念★特別クエスト</v>
      </c>
      <c r="F3" s="21">
        <v>1</v>
      </c>
      <c r="G3" s="23" t="str">
        <f>C3&amp;"_"&amp;F3</f>
        <v>11224_1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【超ウザード級】ウザリーマン襲来！</v>
      </c>
      <c r="I3" s="21">
        <v>2</v>
      </c>
      <c r="J3" s="12">
        <v>40</v>
      </c>
      <c r="K3" s="12">
        <v>40</v>
      </c>
    </row>
    <row r="4" spans="1:11" ht="21" customHeight="1" x14ac:dyDescent="0.15">
      <c r="A4" s="16" t="str">
        <f>G4&amp;"-"&amp;I4</f>
        <v>11224_1-3</v>
      </c>
      <c r="B4" s="16" t="str">
        <f>IF(COUNTIF(enemy_habitats!$H:$H,A4),"OK","NG")</f>
        <v>OK</v>
      </c>
      <c r="C4" s="7">
        <v>11224</v>
      </c>
      <c r="D4" s="11" t="str">
        <f ca="1">VLOOKUP($C4,OFFSET([2]quests!$A$1,0,0,COUNTA([2]quests!$A:$A),MATCH(D$1,[2]quests!$1:$1,0)-MATCH($C$1,[2]quests!$1:$1,0)+1),MATCH(D$1,[2]quests!$1:$1,0)-MATCH($C$1,[2]quests!$1:$1,0)+1,FALSE)</f>
        <v>TVCM放送記念★特別クエスト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TVCM放送記念★特別クエスト</v>
      </c>
      <c r="F4" s="21">
        <v>1</v>
      </c>
      <c r="G4" s="23" t="str">
        <f>C4&amp;"_"&amp;F4</f>
        <v>11224_1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【超ウザード級】ウザリーマン襲来！</v>
      </c>
      <c r="I4" s="21">
        <v>3</v>
      </c>
      <c r="J4" s="97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7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B3" sqref="B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171</v>
      </c>
    </row>
    <row r="2" spans="1:40" ht="21" customHeight="1" x14ac:dyDescent="0.15">
      <c r="A2" s="16" t="str">
        <f t="shared" ref="A2:A7" ca="1" si="0">B2&amp;"_"&amp;C2&amp;"-"&amp;G2&amp;"/"&amp;L2&amp;"&lt;lv"&amp;R2&amp;"&gt;s"&amp;AA2</f>
        <v>11224_1-1/976&lt;lv1&gt;s3</v>
      </c>
      <c r="B2" s="22">
        <v>11224</v>
      </c>
      <c r="C2" s="21">
        <v>1</v>
      </c>
      <c r="D2" s="2" t="str">
        <f t="shared" ref="D2:D7" si="1">B2&amp;"_"&amp;C2</f>
        <v>11224_1</v>
      </c>
      <c r="E2" s="4" t="str">
        <f ca="1">VLOOKUP($B2,OFFSET([2]quests!$A$1,0,0,COUNTA([2]quests!$A:$A),MATCH(E$1,[2]quests!$1:$1,0)-MATCH($B$1,[2]quests!$1:$1,0)+1),MATCH(E$1,[2]quests!$1:$1,0)-MATCH($B$1,[2]quests!$1:$1,0)+1,FALSE)</f>
        <v>TVCM放送記念★特別クエスト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【超ウザード級】ウザリーマン襲来！</v>
      </c>
      <c r="G2" s="21">
        <v>1</v>
      </c>
      <c r="H2" s="15" t="str">
        <f t="shared" ref="H2:H7" si="2">B2&amp;"_"&amp;C2&amp;"-"&amp;G2</f>
        <v>11224_1-1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 t="s">
        <v>53</v>
      </c>
      <c r="L2" s="20">
        <v>976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ウザリーマン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</v>
      </c>
      <c r="S2" s="25">
        <v>0.1</v>
      </c>
      <c r="T2" s="25">
        <v>1</v>
      </c>
      <c r="U2" s="5">
        <v>65535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TVCMで猛威をふるう ウザリーマンが襲来した！</v>
      </c>
      <c r="W2" s="62">
        <v>11224000</v>
      </c>
      <c r="X2" s="6">
        <v>1</v>
      </c>
      <c r="Y2" s="6">
        <v>100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7" si="3">L2</f>
        <v>976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ウザリーマン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4">
        <f t="shared" ref="AG2:AG7" ca="1" si="4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ca="1" si="0"/>
        <v>11224_1-2/465&lt;lv99&gt;s3</v>
      </c>
      <c r="B3" s="22">
        <v>11224</v>
      </c>
      <c r="C3" s="21">
        <v>1</v>
      </c>
      <c r="D3" s="2" t="str">
        <f t="shared" si="1"/>
        <v>11224_1</v>
      </c>
      <c r="E3" s="4" t="str">
        <f ca="1">VLOOKUP($B3,OFFSET([2]quests!$A$1,0,0,COUNTA([2]quests!$A:$A),MATCH(E$1,[2]quests!$1:$1,0)-MATCH($B$1,[2]quests!$1:$1,0)+1),MATCH(E$1,[2]quests!$1:$1,0)-MATCH($B$1,[2]quests!$1:$1,0)+1,FALSE)</f>
        <v>TVCM放送記念★特別クエスト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【超ウザード級】ウザリーマン襲来！</v>
      </c>
      <c r="G3" s="21">
        <v>2</v>
      </c>
      <c r="H3" s="15" t="str">
        <f t="shared" si="2"/>
        <v>11224_1-2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>
        <v>1</v>
      </c>
      <c r="L3" s="20">
        <v>465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真撃 ランスロット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99</v>
      </c>
      <c r="S3" s="25">
        <v>1</v>
      </c>
      <c r="T3" s="25">
        <v>1</v>
      </c>
      <c r="U3" s="5">
        <v>65535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成敗してくれる！</v>
      </c>
      <c r="W3" s="62">
        <v>11224010</v>
      </c>
      <c r="X3" s="6">
        <v>1</v>
      </c>
      <c r="Y3" s="6">
        <v>100</v>
      </c>
      <c r="Z3" s="6">
        <v>2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 t="shared" si="3"/>
        <v>465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真撃 ランスロット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" s="7">
        <v>1</v>
      </c>
      <c r="AG3" s="24">
        <f t="shared" ca="1" si="4"/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11224_1-2/976&lt;lv1&gt;s3</v>
      </c>
      <c r="B4" s="22">
        <v>11224</v>
      </c>
      <c r="C4" s="21">
        <v>1</v>
      </c>
      <c r="D4" s="2" t="str">
        <f t="shared" si="1"/>
        <v>11224_1</v>
      </c>
      <c r="E4" s="4" t="str">
        <f ca="1">VLOOKUP($B4,OFFSET([2]quests!$A$1,0,0,COUNTA([2]quests!$A:$A),MATCH(E$1,[2]quests!$1:$1,0)-MATCH($B$1,[2]quests!$1:$1,0)+1),MATCH(E$1,[2]quests!$1:$1,0)-MATCH($B$1,[2]quests!$1:$1,0)+1,FALSE)</f>
        <v>TVCM放送記念★特別クエスト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【超ウザード級】ウザリーマン襲来！</v>
      </c>
      <c r="G4" s="21">
        <v>2</v>
      </c>
      <c r="H4" s="15" t="str">
        <f t="shared" si="2"/>
        <v>11224_1-2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 t="s">
        <v>53</v>
      </c>
      <c r="L4" s="20">
        <v>976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ウザリーマン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0.1</v>
      </c>
      <c r="T4" s="25">
        <v>1</v>
      </c>
      <c r="U4" s="5">
        <v>65535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礼儀というものを 教えちゃおゥ！</v>
      </c>
      <c r="W4" s="62">
        <v>11224020</v>
      </c>
      <c r="X4" s="6">
        <v>1</v>
      </c>
      <c r="Y4" s="6">
        <v>100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976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ウザリーマン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Drop2N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0"/>
        <v>11224_1-3/976&lt;lv2&gt;s3</v>
      </c>
      <c r="B5" s="22">
        <v>11224</v>
      </c>
      <c r="C5" s="21">
        <v>1</v>
      </c>
      <c r="D5" s="2" t="str">
        <f t="shared" si="1"/>
        <v>11224_1</v>
      </c>
      <c r="E5" s="4" t="str">
        <f ca="1">VLOOKUP($B5,OFFSET([2]quests!$A$1,0,0,COUNTA([2]quests!$A:$A),MATCH(E$1,[2]quests!$1:$1,0)-MATCH($B$1,[2]quests!$1:$1,0)+1),MATCH(E$1,[2]quests!$1:$1,0)-MATCH($B$1,[2]quests!$1:$1,0)+1,FALSE)</f>
        <v>TVCM放送記念★特別クエスト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【超ウザード級】ウザリーマン襲来！</v>
      </c>
      <c r="G5" s="21">
        <v>3</v>
      </c>
      <c r="H5" s="15" t="str">
        <f t="shared" si="2"/>
        <v>11224_1-3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976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ウザリーマン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2</v>
      </c>
      <c r="S5" s="25">
        <v>0.1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お邪魔パネルが出現した</v>
      </c>
      <c r="W5" s="62">
        <v>11224030</v>
      </c>
      <c r="X5" s="6">
        <v>1</v>
      </c>
      <c r="Y5" s="6">
        <v>100</v>
      </c>
      <c r="Z5" s="6">
        <v>2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 t="shared" si="3"/>
        <v>976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ウザリーマン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Drop2N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ca="1" si="0"/>
        <v>11224_1-3/976&lt;lv3&gt;s3</v>
      </c>
      <c r="B6" s="22">
        <v>11224</v>
      </c>
      <c r="C6" s="21">
        <v>1</v>
      </c>
      <c r="D6" s="2" t="str">
        <f t="shared" si="1"/>
        <v>11224_1</v>
      </c>
      <c r="E6" s="4" t="str">
        <f ca="1">VLOOKUP($B6,OFFSET([2]quests!$A$1,0,0,COUNTA([2]quests!$A:$A),MATCH(E$1,[2]quests!$1:$1,0)-MATCH($B$1,[2]quests!$1:$1,0)+1),MATCH(E$1,[2]quests!$1:$1,0)-MATCH($B$1,[2]quests!$1:$1,0)+1,FALSE)</f>
        <v>TVCM放送記念★特別クエスト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【超ウザード級】ウザリーマン襲来！</v>
      </c>
      <c r="G6" s="21">
        <v>3</v>
      </c>
      <c r="H6" s="15" t="str">
        <f t="shared" si="2"/>
        <v>11224_1-3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976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ウザリーマン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3</v>
      </c>
      <c r="S6" s="25">
        <v>0.1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マイホームのローン_x000D_たっぷり残ってるのにィ…</v>
      </c>
      <c r="W6" s="62">
        <v>11224040</v>
      </c>
      <c r="X6" s="6">
        <v>1</v>
      </c>
      <c r="Y6" s="6">
        <v>100</v>
      </c>
      <c r="Z6" s="6">
        <v>1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3"/>
        <v>976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ウザリーマン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4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ca="1" si="0"/>
        <v>11224_1-3/976&lt;lv1&gt;s3</v>
      </c>
      <c r="B7" s="22">
        <v>11224</v>
      </c>
      <c r="C7" s="21">
        <v>1</v>
      </c>
      <c r="D7" s="2" t="str">
        <f t="shared" si="1"/>
        <v>11224_1</v>
      </c>
      <c r="E7" s="4" t="str">
        <f ca="1">VLOOKUP($B7,OFFSET([2]quests!$A$1,0,0,COUNTA([2]quests!$A:$A),MATCH(E$1,[2]quests!$1:$1,0)-MATCH($B$1,[2]quests!$1:$1,0)+1),MATCH(E$1,[2]quests!$1:$1,0)-MATCH($B$1,[2]quests!$1:$1,0)+1,FALSE)</f>
        <v>TVCM放送記念★特別クエスト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【超ウザード級】ウザリーマン襲来！</v>
      </c>
      <c r="G7" s="21">
        <v>3</v>
      </c>
      <c r="H7" s="15" t="str">
        <f t="shared" si="2"/>
        <v>11224_1-3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976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ウザリーマン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1</v>
      </c>
      <c r="S7" s="25">
        <v>0.1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もっと お邪魔パネルが出現した</v>
      </c>
      <c r="W7" s="62">
        <v>11224050</v>
      </c>
      <c r="X7" s="6">
        <v>1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24">
        <f t="shared" si="3"/>
        <v>976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ウザリーマン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4">
        <f t="shared" ca="1" si="4"/>
        <v>3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30" t="s">
        <v>129</v>
      </c>
      <c r="X1" s="36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11224_1-2/350&lt;lv99&gt;sq1st2</v>
      </c>
      <c r="B2" s="95">
        <v>11224</v>
      </c>
      <c r="C2" s="21">
        <v>1</v>
      </c>
      <c r="D2" s="2" t="str">
        <f>B2&amp;"_"&amp;C2</f>
        <v>11224_1</v>
      </c>
      <c r="E2" s="4" t="str">
        <f ca="1">VLOOKUP($B2,OFFSET([2]quests!$A$1,0,0,COUNTA([2]quests!$A:$A),MATCH(E$1,[2]quests!$1:$1,0)-MATCH($B$1,[2]quests!$1:$1,0)+1),MATCH(E$1,[2]quests!$1:$1,0)-MATCH($B$1,[2]quests!$1:$1,0)+1,FALSE)</f>
        <v>TVCM放送記念★特別クエスト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【超ウザード級】ウザリーマン襲来！</v>
      </c>
      <c r="G2" s="21">
        <v>2</v>
      </c>
      <c r="H2" s="15" t="str">
        <f>B2&amp;"_"&amp;C2&amp;"-"&amp;G2</f>
        <v>11224_1-2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>
        <v>1</v>
      </c>
      <c r="L2" s="38">
        <v>2</v>
      </c>
      <c r="M2" s="20">
        <v>350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森のケロケロ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Material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99</v>
      </c>
      <c r="T2" s="25">
        <v>99.9</v>
      </c>
      <c r="U2" s="25">
        <v>1</v>
      </c>
      <c r="V2" s="5">
        <v>65535</v>
      </c>
      <c r="W2" s="62"/>
      <c r="X2" s="62">
        <v>11224011</v>
      </c>
      <c r="Y2" s="70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x14ac:dyDescent="0.15">
      <c r="A3" s="16" t="str">
        <f>B3&amp;"_"&amp;C3&amp;"-"&amp;G3&amp;"/"&amp;M3&amp;"&lt;lv"&amp;S3&amp;"&gt;sq"&amp;K3&amp;"st"&amp;L3</f>
        <v>11224_1-3/350&lt;lv1&gt;sq1st2</v>
      </c>
      <c r="B3" s="95">
        <v>11224</v>
      </c>
      <c r="C3" s="21">
        <v>1</v>
      </c>
      <c r="D3" s="2" t="str">
        <f>B3&amp;"_"&amp;C3</f>
        <v>11224_1</v>
      </c>
      <c r="E3" s="4" t="str">
        <f ca="1">VLOOKUP($B3,OFFSET([2]quests!$A$1,0,0,COUNTA([2]quests!$A:$A),MATCH(E$1,[2]quests!$1:$1,0)-MATCH($B$1,[2]quests!$1:$1,0)+1),MATCH(E$1,[2]quests!$1:$1,0)-MATCH($B$1,[2]quests!$1:$1,0)+1,FALSE)</f>
        <v>TVCM放送記念★特別クエスト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【超ウザード級】ウザリーマン襲来！</v>
      </c>
      <c r="G3" s="21">
        <v>3</v>
      </c>
      <c r="H3" s="15" t="str">
        <f>B3&amp;"_"&amp;C3&amp;"-"&amp;G3</f>
        <v>11224_1-3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350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森のケロケロ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1</v>
      </c>
      <c r="T3" s="25">
        <v>1</v>
      </c>
      <c r="U3" s="25">
        <v>1</v>
      </c>
      <c r="V3" s="5">
        <v>0</v>
      </c>
      <c r="W3" s="62"/>
      <c r="X3" s="96">
        <v>11224051</v>
      </c>
      <c r="Y3" s="70">
        <f ca="1">VLOOKUP($M3,OFFSET([3]enemies!$A$1,0,0,COUNTA([3]enemies!$A:$A),MATCH(Y$1,[3]enemies!$1:$1,0)-MATCH($M$1,[3]enemies!$1:$1,0)+1),MATCH(Y$1,[3]enemies!$1:$1,0)-MATCH($M$1,[3]enemies!$1:$1,0)+1,FALSE)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tabSelected="1" workbookViewId="0">
      <pane xSplit="5" ySplit="1" topLeftCell="F11" activePane="bottomRight" state="frozen"/>
      <selection pane="topRight"/>
      <selection pane="bottomLeft"/>
      <selection pane="bottomRight" activeCell="A24" sqref="A24:XFD2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11224000_11224000</v>
      </c>
      <c r="B2" s="47">
        <v>11224000</v>
      </c>
      <c r="C2" s="47">
        <v>11224000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人生 楽しんでますかァ〜！？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TVCMで猛威をふるう ウザリーマンが襲来した！</v>
      </c>
      <c r="F2" s="47">
        <v>11224000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11224000_11224010</v>
      </c>
      <c r="B3" s="47">
        <v>11224000</v>
      </c>
      <c r="C3" s="47">
        <v>11224010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キミが【[player_name]】クンかァ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ひねりのない ネーミングだねェ〜_x000D_　（嫌味で 1ターン暗闇！）</v>
      </c>
      <c r="F3" s="47">
        <v>11224010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11224000_11224020</v>
      </c>
      <c r="B4" s="47">
        <v>11224000</v>
      </c>
      <c r="C4" s="47">
        <v>11224020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えェ？まだランク【[player_rank]】なのォ？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まだまだ 赤チャンでちゅねェ〜_x000D_（毒舌で 毎ターンダメージ！）</v>
      </c>
      <c r="F4" s="47">
        <v>11224020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9" si="2">B5&amp;"_"&amp;C5</f>
        <v>11224000_11224030</v>
      </c>
      <c r="B5" s="47">
        <v>11224000</v>
      </c>
      <c r="C5" s="47">
        <v>11224030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とりあえず_x000D_コレ 片付けといてェ〜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厄介事を押しつけて逃げた_x000D_ウザリーマンを追いかけよう！</v>
      </c>
      <c r="F5" s="47">
        <v>11224030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11224010_11224040</v>
      </c>
      <c r="B6" s="47">
        <v>11224010</v>
      </c>
      <c r="C6" s="47">
        <v>11224040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ウザMAXの_x000D_ウザリーマンめ…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成敗してくれる！</v>
      </c>
      <c r="F6" s="47">
        <v>11224000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>B7&amp;"_"&amp;C7</f>
        <v>11224010_11224060</v>
      </c>
      <c r="B7" s="47">
        <v>11224010</v>
      </c>
      <c r="C7" s="47">
        <v>11224060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食らえ！正義の一太刀！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ウザリーマンに会心の一撃！</v>
      </c>
      <c r="F7" s="47">
        <v>11224010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>B8&amp;"_"&amp;C8</f>
        <v>11224010_11224080</v>
      </c>
      <c r="B8" s="47">
        <v>11224010</v>
      </c>
      <c r="C8" s="47">
        <v>11224080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くっ…ここは耐えるタイミングだ…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ランスロットは力をためている</v>
      </c>
      <c r="F8" s="47">
        <v>11224020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11224020_11224050</v>
      </c>
      <c r="B9" s="47">
        <v>11224020</v>
      </c>
      <c r="C9" s="47">
        <v>11224050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最近の若者は_x000D_なってないなァ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礼儀というものを 教えちゃおゥ！</v>
      </c>
      <c r="F9" s="47">
        <v>11224000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23" si="3">B10&amp;"_"&amp;C10</f>
        <v>11224020_11224070</v>
      </c>
      <c r="B10" s="47">
        <v>11224020</v>
      </c>
      <c r="C10" s="47">
        <v>11224070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売られたケンカは_x000D_「買うンター」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1ターンの間 カウンター態勢_x000D_攻撃を受けると 反撃する！</v>
      </c>
      <c r="F10" s="47">
        <v>11224010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11224020_11224090</v>
      </c>
      <c r="B11" s="47">
        <v>11224020</v>
      </c>
      <c r="C11" s="47">
        <v>11224090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カエルが鳴くからカーエル♪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ランスロットの姿が歪む！</v>
      </c>
      <c r="F11" s="47">
        <v>11224020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>B12&amp;"_"&amp;C12</f>
        <v>11224011_11224100</v>
      </c>
      <c r="B12" s="47">
        <v>11224011</v>
      </c>
      <c r="C12" s="47">
        <v>11224100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ケロ！？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ケロケロの姿に変えられた！</v>
      </c>
      <c r="F12" s="47">
        <v>11224000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>B13&amp;"_"&amp;C13</f>
        <v>11224011_11224101</v>
      </c>
      <c r="B13" s="47">
        <v>11224011</v>
      </c>
      <c r="C13" s="47">
        <v>11224101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ケロケーロ！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ケロケロは 跳ねながら去っていった…</v>
      </c>
      <c r="F13" s="47">
        <v>11224010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11224020_11224110</v>
      </c>
      <c r="B14" s="47">
        <v>11224020</v>
      </c>
      <c r="C14" s="47">
        <v>11224110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じゃ、コレも片付けといてェ〜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逃げるウザリーマンを追いかけよう！</v>
      </c>
      <c r="F14" s="47">
        <v>11224030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11224040_11224200</v>
      </c>
      <c r="B15" s="47">
        <v>11224040</v>
      </c>
      <c r="C15" s="47">
        <v>11224200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あれェ…ボクの出番もう終わり？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マイホームのローン_x000D_たっぷり残ってるのにィ…</v>
      </c>
      <c r="F15" s="47">
        <v>11224999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3"/>
        <v>11224040_11224120</v>
      </c>
      <c r="B16" s="98">
        <v>11224040</v>
      </c>
      <c r="C16" s="47">
        <v>11224120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忍法影分身の術！(￣ト￣)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厄介さも ウザさも 3倍になった！</v>
      </c>
      <c r="F16" s="47">
        <v>11224000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>B17&amp;"_"&amp;C17</f>
        <v>11224040_11224140</v>
      </c>
      <c r="B17" s="47">
        <v>11224040</v>
      </c>
      <c r="C17" s="47">
        <v>11224140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ちゃんと聞いてますかァ〜？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さらに お邪魔パネルが出現した</v>
      </c>
      <c r="F17" s="47">
        <v>11224010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>B18&amp;"_"&amp;C18</f>
        <v>11224040_11224180</v>
      </c>
      <c r="B18" s="47">
        <v>11224040</v>
      </c>
      <c r="C18" s="47">
        <v>11224180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フンっ！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これでハンドもフットも出ないでしョ？</v>
      </c>
      <c r="F18" s="47">
        <v>11224020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>B19&amp;"_"&amp;C19</f>
        <v>11224040_11224181</v>
      </c>
      <c r="B19" s="47">
        <v>11224040</v>
      </c>
      <c r="C19" s="47">
        <v>11224181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残業、お断りなんですけどォ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ウザリーマンは 退屈している</v>
      </c>
      <c r="F19" s="47">
        <v>11224100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" si="4">B20&amp;"_"&amp;C20</f>
        <v>11224040_11224201</v>
      </c>
      <c r="B20" s="47">
        <v>11224040</v>
      </c>
      <c r="C20" s="47">
        <v>11224201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（チョット！台本にないことしないでよォ〜）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（これでヨシ）</v>
      </c>
      <c r="F20" s="47">
        <v>11224997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976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" si="5">B21&amp;"_"&amp;C21</f>
        <v>11224040_11224202</v>
      </c>
      <c r="B21" s="47">
        <v>11224040</v>
      </c>
      <c r="C21" s="47">
        <v>11224202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（チョット！台本にないことしないでよォ〜）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（これでヨシ）</v>
      </c>
      <c r="F21" s="47">
        <v>11224998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350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11224030_11224130</v>
      </c>
      <c r="B22" s="47">
        <v>11224030</v>
      </c>
      <c r="C22" s="47">
        <v>11224130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お片づけまだァ？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お邪魔パネルが出現した</v>
      </c>
      <c r="F22" s="47">
        <v>11224010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11224030_11224203</v>
      </c>
      <c r="B23" s="47">
        <v>11224030</v>
      </c>
      <c r="C23" s="47">
        <v>11224203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いつまでやってんのォ？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遅延行為だよぉ〜？</v>
      </c>
      <c r="F23" s="47">
        <v>11224100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ref="A24:A26" si="6">B24&amp;"_"&amp;C24</f>
        <v>11224050_11224150</v>
      </c>
      <c r="B24" s="47">
        <v>11224050</v>
      </c>
      <c r="C24" s="47">
        <v>11224150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もしかして_x000D_既読スルゥ〜？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もっと お邪魔パネルが出現した</v>
      </c>
      <c r="F24" s="47">
        <v>11224010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6"/>
        <v>11224050_11224160</v>
      </c>
      <c r="B25" s="47">
        <v>11224050</v>
      </c>
      <c r="C25" s="47">
        <v>11224160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あっ！？_x000D_チョットやめてェ！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胸元がモゾモゾしている！</v>
      </c>
      <c r="F25" s="47">
        <v>11224020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6"/>
        <v>11224051_11224170</v>
      </c>
      <c r="B26" s="47">
        <v>11224051</v>
      </c>
      <c r="C26" s="47">
        <v>11224170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油断したケロな！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隙を突いて さっきのケロケロが躍り出た！</v>
      </c>
      <c r="F26" s="47">
        <v>11224000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7">B27&amp;"_"&amp;C27</f>
        <v>11224051_11224190</v>
      </c>
      <c r="B27" s="47">
        <v>11224051</v>
      </c>
      <c r="C27" s="47">
        <v>11224190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こっちには…_x000D_秘策があるケロ！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ボクもろとも ウザリーマンをブッ倒すケロ！</v>
      </c>
      <c r="F27" s="47">
        <v>11224010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" si="8">B28&amp;"_"&amp;C28</f>
        <v>11224051_11224191</v>
      </c>
      <c r="B28" s="47">
        <v>11224051</v>
      </c>
      <c r="C28" s="47">
        <v>11224191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ちょっ！？Σ(ﾟДﾟ)_x000D_既読スルーしないでケロ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フィーバーで ウザリーマンをブッ倒すケロ！</v>
      </c>
      <c r="F28" s="47">
        <v>11224100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" si="9">B29&amp;"_"&amp;C29</f>
        <v>11224051_11224192</v>
      </c>
      <c r="B29" s="47">
        <v>11224051</v>
      </c>
      <c r="C29" s="47">
        <v>11224192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………？_x000D_まだ生きてるケロ？！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フィーバー手加減してくれて ありがとうケロ！＾＾</v>
      </c>
      <c r="F29" s="47">
        <v>11224091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976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"/>
  <sheetViews>
    <sheetView showGridLines="0" zoomScale="75" zoomScaleNormal="75" zoomScalePageLayoutView="75" workbookViewId="0">
      <pane ySplit="1" topLeftCell="A3" activePane="bottomLeft" state="frozenSplit"/>
      <selection pane="bottomLeft" activeCell="B16" sqref="B1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32.832031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11224000</v>
      </c>
      <c r="B2" s="47" t="s">
        <v>249</v>
      </c>
      <c r="C2" s="50">
        <v>3</v>
      </c>
      <c r="D2" s="50" t="s">
        <v>127</v>
      </c>
      <c r="E2" s="51" t="s">
        <v>282</v>
      </c>
      <c r="F2" s="51" t="s">
        <v>270</v>
      </c>
      <c r="G2" s="64" t="str">
        <f t="shared" ref="G2:G26" si="0">IFERROR(LEFT(B2,FIND("],",B2)),B2)</f>
        <v>[effect:enemy_message, val1:2, val2:3]</v>
      </c>
      <c r="H2" s="64">
        <f t="shared" ref="H2:H26" si="1">FIND("effect:",G2)+7</f>
        <v>9</v>
      </c>
      <c r="I2" s="64">
        <f t="shared" ref="I2:I26" si="2">IFERROR(FIND(",",G2),LEN(G2))</f>
        <v>22</v>
      </c>
      <c r="J2" s="64" t="e">
        <f t="shared" ref="J2:J26" si="3">FIND("target:",G2)+7</f>
        <v>#VALUE!</v>
      </c>
      <c r="K2" s="64">
        <f t="shared" ref="K2:K26" si="4">FIND(",",G2,I2+1)</f>
        <v>30</v>
      </c>
      <c r="L2" s="64" t="str">
        <f>IFERROR(VLOOKUP(MID(G2,J2,K2-J2),[5]skilldef!$C:$D,2,FALSE),"-") &amp; " / " &amp; IFERROR(VLOOKUP(MID(G2,H2,I2-H2),[5]skilldef!$A:$B,2,FALSE),"-")</f>
        <v>- / -</v>
      </c>
      <c r="M2" s="64" t="str">
        <f t="shared" ref="M2:M26" si="5">IFERROR(RIGHT(B2,LEN(B2)-FIND("],",B2)-1),"none")</f>
        <v>[effect:fix_speed, target:myself, turn:1],[effect:hungup, target:unit_all, turn:-1, rate:1],[effect:crash_condition, target:unit_all, val:50, turn:-1]</v>
      </c>
      <c r="N2" s="48" t="str">
        <f t="shared" ref="N2:N13" si="6">IFERROR(LEFT(M2,FIND("],",M2)+S39),M2)</f>
        <v>[effect:fix_speed, target:myself, turn:1]</v>
      </c>
      <c r="O2" s="64">
        <f t="shared" ref="O2:O26" si="7">FIND("effect:",N2)+7</f>
        <v>9</v>
      </c>
      <c r="P2" s="64">
        <f t="shared" ref="P2:P26" si="8">IFERROR(FIND(",",N2),LEN(N2))</f>
        <v>18</v>
      </c>
      <c r="Q2" s="64">
        <f t="shared" ref="Q2:Q26" si="9">FIND("target:",N2)+7</f>
        <v>27</v>
      </c>
      <c r="R2" s="64">
        <f t="shared" ref="R2:R26" si="10">FIND(",",N2,P2+1)</f>
        <v>33</v>
      </c>
      <c r="S2" s="64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26" si="11">IFERROR(RIGHT(M2,LEN(M2)-FIND("],",M2)-1),"none")</f>
        <v>[effect:hungup, target:unit_all, turn:-1, rate:1],[effect:crash_condition, target:unit_all, val:50, turn:-1]</v>
      </c>
      <c r="U2" s="64">
        <f t="shared" ref="U2:U26" si="12">FIND("effect:",T2)+7</f>
        <v>9</v>
      </c>
      <c r="V2" s="64">
        <f t="shared" ref="V2:V26" si="13">IFERROR(FIND(",",T2),LEN(T2))</f>
        <v>15</v>
      </c>
      <c r="W2" s="64">
        <f t="shared" ref="W2:W26" si="14">FIND("target:",T2)+7</f>
        <v>24</v>
      </c>
      <c r="X2" s="64">
        <f t="shared" ref="X2:X26" si="15">FIND(",",T2,V2+1)</f>
        <v>32</v>
      </c>
      <c r="Y2" s="64" t="str">
        <f>IFERROR(VLOOKUP(MID(T2,W2,X2-W2),[5]skilldef!$C:$D,2,FALSE),"-") &amp; " / " &amp; IFERROR(VLOOKUP(MID(T2,U2,V2-U2),[5]skilldef!$A:$B,2,FALSE),"-")</f>
        <v>味方全体に / ハングアップ</v>
      </c>
      <c r="Z2" s="50"/>
      <c r="AA2" s="52"/>
      <c r="AB2" s="50"/>
    </row>
    <row r="3" spans="1:28" ht="28" x14ac:dyDescent="0.15">
      <c r="A3" s="47">
        <v>11224010</v>
      </c>
      <c r="B3" s="47" t="s">
        <v>271</v>
      </c>
      <c r="C3" s="50">
        <v>3</v>
      </c>
      <c r="D3" s="50" t="s">
        <v>127</v>
      </c>
      <c r="E3" s="51" t="s">
        <v>253</v>
      </c>
      <c r="F3" s="51" t="s">
        <v>260</v>
      </c>
      <c r="G3" s="64" t="str">
        <f t="shared" si="0"/>
        <v>[effect:enemy_message, val1:3, val2:3.5]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30</v>
      </c>
      <c r="L3" s="64" t="str">
        <f>IFERROR(VLOOKUP(MID(G3,J3,K3-J3),[5]skilldef!$C:$D,2,FALSE),"-") &amp; " / " &amp; IFERROR(VLOOKUP(MID(G3,H3,I3-H3),[5]skilldef!$A:$B,2,FALSE),"-")</f>
        <v>- / -</v>
      </c>
      <c r="M3" s="64" t="str">
        <f t="shared" si="5"/>
        <v>[effect:dark, target:unit_all, turn:1, animation:enemy_dark]</v>
      </c>
      <c r="N3" s="48" t="str">
        <f t="shared" si="6"/>
        <v>[effect:dark, target:unit_all, turn:1, animation:enemy_dark]</v>
      </c>
      <c r="O3" s="64">
        <f t="shared" si="7"/>
        <v>9</v>
      </c>
      <c r="P3" s="64">
        <f t="shared" si="8"/>
        <v>13</v>
      </c>
      <c r="Q3" s="64">
        <f t="shared" si="9"/>
        <v>22</v>
      </c>
      <c r="R3" s="64">
        <f t="shared" si="10"/>
        <v>30</v>
      </c>
      <c r="S3" s="64" t="str">
        <f>IFERROR(VLOOKUP(MID(N3,Q3,R3-Q3),[5]skilldef!$C:$D,2,FALSE),"-") &amp; " / " &amp; IFERROR(VLOOKUP(MID(N3,O3,P3-O3),[5]skilldef!$A:$B,2,FALSE),"-")</f>
        <v>味方全体に / 暗黒</v>
      </c>
      <c r="T3" s="48" t="str">
        <f t="shared" si="11"/>
        <v>none</v>
      </c>
      <c r="U3" s="64" t="e">
        <f t="shared" si="12"/>
        <v>#VALUE!</v>
      </c>
      <c r="V3" s="64">
        <f t="shared" si="13"/>
        <v>4</v>
      </c>
      <c r="W3" s="64" t="e">
        <f t="shared" si="14"/>
        <v>#VALUE!</v>
      </c>
      <c r="X3" s="64" t="e">
        <f t="shared" si="15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31" customHeight="1" x14ac:dyDescent="0.15">
      <c r="A4" s="47">
        <v>11224020</v>
      </c>
      <c r="B4" s="47" t="s">
        <v>272</v>
      </c>
      <c r="C4" s="50">
        <v>3</v>
      </c>
      <c r="D4" s="50" t="s">
        <v>127</v>
      </c>
      <c r="E4" s="51" t="s">
        <v>243</v>
      </c>
      <c r="F4" s="51" t="s">
        <v>266</v>
      </c>
      <c r="G4" s="64" t="str">
        <f t="shared" si="0"/>
        <v>[effect:enemy_message, val1:2, val2:3.5]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30</v>
      </c>
      <c r="L4" s="64" t="str">
        <f>IFERROR(VLOOKUP(MID(G4,J4,K4-J4),[5]skilldef!$C:$D,2,FALSE),"-") &amp; " / " &amp; IFERROR(VLOOKUP(MID(G4,H4,I4-H4),[5]skilldef!$A:$B,2,FALSE),"-")</f>
        <v>- / -</v>
      </c>
      <c r="M4" s="64" t="str">
        <f t="shared" si="5"/>
        <v>[effect:virus, turn:7, target:unit_all, rate:1, val:0.12, animation:virus03]</v>
      </c>
      <c r="N4" s="48" t="str">
        <f t="shared" si="6"/>
        <v>[effect:virus, turn:7, target:unit_all, rate:1, val:0.12, animation:virus03]</v>
      </c>
      <c r="O4" s="64">
        <f t="shared" si="7"/>
        <v>9</v>
      </c>
      <c r="P4" s="64">
        <f t="shared" si="8"/>
        <v>14</v>
      </c>
      <c r="Q4" s="64">
        <f t="shared" si="9"/>
        <v>31</v>
      </c>
      <c r="R4" s="64">
        <f t="shared" si="10"/>
        <v>22</v>
      </c>
      <c r="S4" s="64" t="str">
        <f>IFERROR(VLOOKUP(MID(N4,Q4,R4-Q4),[5]skilldef!$C:$D,2,FALSE),"-") &amp; " / " &amp; IFERROR(VLOOKUP(MID(N4,O4,P4-O4),[5]skilldef!$A:$B,2,FALSE),"-")</f>
        <v>- / ウィルス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8" customHeight="1" x14ac:dyDescent="0.15">
      <c r="A5" s="47">
        <v>11224030</v>
      </c>
      <c r="B5" s="47" t="s">
        <v>261</v>
      </c>
      <c r="C5" s="50">
        <v>3</v>
      </c>
      <c r="D5" s="50" t="s">
        <v>127</v>
      </c>
      <c r="E5" s="51" t="s">
        <v>208</v>
      </c>
      <c r="F5" s="51" t="s">
        <v>209</v>
      </c>
      <c r="G5" s="64" t="str">
        <f t="shared" si="0"/>
        <v>[effect:force_change_block, new_block:jammer, target:block_all, count:5, val:0, animation:change_block]</v>
      </c>
      <c r="H5" s="64">
        <f t="shared" si="1"/>
        <v>9</v>
      </c>
      <c r="I5" s="64">
        <f t="shared" si="2"/>
        <v>27</v>
      </c>
      <c r="J5" s="64">
        <f t="shared" si="3"/>
        <v>54</v>
      </c>
      <c r="K5" s="64">
        <f t="shared" si="4"/>
        <v>45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5"/>
        <v>[effect:suicide, val:1, dead_type:escape, target:myself],[effect:enemy_message, val1:2, val2:2],[effect:degrade_fever, val:1000]</v>
      </c>
      <c r="N5" s="48" t="str">
        <f t="shared" si="6"/>
        <v>[effect:suicide, val:1, dead_type:escape, target:myself]</v>
      </c>
      <c r="O5" s="64">
        <f t="shared" si="7"/>
        <v>9</v>
      </c>
      <c r="P5" s="64">
        <f t="shared" si="8"/>
        <v>16</v>
      </c>
      <c r="Q5" s="64">
        <f t="shared" si="9"/>
        <v>50</v>
      </c>
      <c r="R5" s="64">
        <f t="shared" si="10"/>
        <v>23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1"/>
        <v>[effect:enemy_message, val1:2, val2:2],[effect:degrade_fever, val:1000]</v>
      </c>
      <c r="U5" s="64">
        <f t="shared" si="12"/>
        <v>9</v>
      </c>
      <c r="V5" s="64">
        <f t="shared" si="13"/>
        <v>22</v>
      </c>
      <c r="W5" s="64" t="e">
        <f t="shared" si="14"/>
        <v>#VALUE!</v>
      </c>
      <c r="X5" s="64">
        <f t="shared" si="15"/>
        <v>30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30" customHeight="1" x14ac:dyDescent="0.15">
      <c r="A6" s="47">
        <v>11224040</v>
      </c>
      <c r="B6" s="47" t="s">
        <v>244</v>
      </c>
      <c r="C6" s="50">
        <v>3</v>
      </c>
      <c r="D6" s="50" t="s">
        <v>127</v>
      </c>
      <c r="E6" s="51" t="s">
        <v>275</v>
      </c>
      <c r="F6" s="51" t="s">
        <v>222</v>
      </c>
      <c r="G6" s="64" t="str">
        <f t="shared" si="0"/>
        <v>[effect:fix_speed, target:myself, turn:1]</v>
      </c>
      <c r="H6" s="64">
        <f t="shared" si="1"/>
        <v>9</v>
      </c>
      <c r="I6" s="64">
        <f t="shared" si="2"/>
        <v>18</v>
      </c>
      <c r="J6" s="64">
        <f t="shared" si="3"/>
        <v>27</v>
      </c>
      <c r="K6" s="64">
        <f t="shared" si="4"/>
        <v>33</v>
      </c>
      <c r="L6" s="64" t="str">
        <f>IFERROR(VLOOKUP(MID(G6,J6,K6-J6),[5]skilldef!$C:$D,2,FALSE),"-") &amp; " / " &amp; IFERROR(VLOOKUP(MID(G6,H6,I6-H6),[5]skilldef!$A:$B,2,FALSE),"-")</f>
        <v>自分自身に / 行動値設定</v>
      </c>
      <c r="M6" s="64" t="str">
        <f t="shared" si="5"/>
        <v>[effect:enemy_message, val1:2]</v>
      </c>
      <c r="N6" s="48" t="str">
        <f t="shared" si="6"/>
        <v>[effect:enemy_message, val1:2]</v>
      </c>
      <c r="O6" s="64">
        <f t="shared" si="7"/>
        <v>9</v>
      </c>
      <c r="P6" s="64">
        <f t="shared" si="8"/>
        <v>22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11224050</v>
      </c>
      <c r="B7" s="47" t="s">
        <v>245</v>
      </c>
      <c r="C7" s="50">
        <v>3</v>
      </c>
      <c r="D7" s="50" t="s">
        <v>127</v>
      </c>
      <c r="E7" s="51" t="s">
        <v>255</v>
      </c>
      <c r="F7" s="51" t="s">
        <v>227</v>
      </c>
      <c r="G7" s="64" t="str">
        <f t="shared" si="0"/>
        <v>[effect:fix_speed, target:myself, turn:1]</v>
      </c>
      <c r="H7" s="64">
        <f t="shared" si="1"/>
        <v>9</v>
      </c>
      <c r="I7" s="64">
        <f t="shared" si="2"/>
        <v>18</v>
      </c>
      <c r="J7" s="64">
        <f t="shared" si="3"/>
        <v>27</v>
      </c>
      <c r="K7" s="64">
        <f t="shared" si="4"/>
        <v>33</v>
      </c>
      <c r="L7" s="64" t="str">
        <f>IFERROR(VLOOKUP(MID(G7,J7,K7-J7),[5]skilldef!$C:$D,2,FALSE),"-") &amp; " / " &amp; IFERROR(VLOOKUP(MID(G7,H7,I7-H7),[5]skilldef!$A:$B,2,FALSE),"-")</f>
        <v>自分自身に / 行動値設定</v>
      </c>
      <c r="M7" s="64" t="str">
        <f t="shared" si="5"/>
        <v>[effect:enemy_message, val1:2, val2:2]</v>
      </c>
      <c r="N7" s="48" t="str">
        <f t="shared" si="6"/>
        <v>[effect:enemy_message, val1:2, val2:2]</v>
      </c>
      <c r="O7" s="64">
        <f t="shared" si="7"/>
        <v>9</v>
      </c>
      <c r="P7" s="64">
        <f t="shared" si="8"/>
        <v>22</v>
      </c>
      <c r="Q7" s="64" t="e">
        <f t="shared" si="9"/>
        <v>#VALUE!</v>
      </c>
      <c r="R7" s="64">
        <f t="shared" si="10"/>
        <v>30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11224060</v>
      </c>
      <c r="B8" s="47" t="s">
        <v>226</v>
      </c>
      <c r="C8" s="50">
        <v>3</v>
      </c>
      <c r="D8" s="50" t="s">
        <v>127</v>
      </c>
      <c r="E8" s="51" t="s">
        <v>210</v>
      </c>
      <c r="F8" s="51" t="s">
        <v>211</v>
      </c>
      <c r="G8" s="64" t="str">
        <f t="shared" si="0"/>
        <v>[effect:suicide, val:0.5, dead_type:suicide, target:enemy_red, animation:damage_one_green03]</v>
      </c>
      <c r="H8" s="64">
        <f t="shared" si="1"/>
        <v>9</v>
      </c>
      <c r="I8" s="64">
        <f t="shared" si="2"/>
        <v>16</v>
      </c>
      <c r="J8" s="64">
        <f t="shared" si="3"/>
        <v>53</v>
      </c>
      <c r="K8" s="64">
        <f t="shared" si="4"/>
        <v>25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5"/>
        <v>none</v>
      </c>
      <c r="N8" s="48" t="str">
        <f t="shared" si="6"/>
        <v>none</v>
      </c>
      <c r="O8" s="64" t="e">
        <f t="shared" si="7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9" customHeight="1" x14ac:dyDescent="0.15">
      <c r="A9" s="47">
        <v>11224070</v>
      </c>
      <c r="B9" s="47" t="s">
        <v>264</v>
      </c>
      <c r="C9" s="50">
        <v>3</v>
      </c>
      <c r="D9" s="50" t="s">
        <v>127</v>
      </c>
      <c r="E9" s="51" t="s">
        <v>212</v>
      </c>
      <c r="F9" s="51" t="s">
        <v>286</v>
      </c>
      <c r="G9" s="64" t="str">
        <f t="shared" si="0"/>
        <v>[effect:enemy_message, val1:2.5, val2:3]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32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5"/>
        <v>[effect:enemy_counter, target:myself, invoke_condition:unit_all, counter_target:attacker, turn:1, val:1, animation:enemy_counter],[effect:suicide, val:0.5, dead_type:suicide, target:enemy_green, animation:damage_one_red03]</v>
      </c>
      <c r="N9" s="48" t="str">
        <f t="shared" si="6"/>
        <v>[effect:enemy_counter, target:myself, invoke_condition:unit_all, counter_target:attacker, turn:1, val:1, animation:enemy_counter]</v>
      </c>
      <c r="O9" s="64">
        <f t="shared" si="7"/>
        <v>9</v>
      </c>
      <c r="P9" s="64">
        <f t="shared" si="8"/>
        <v>22</v>
      </c>
      <c r="Q9" s="64">
        <f t="shared" si="9"/>
        <v>31</v>
      </c>
      <c r="R9" s="64">
        <f t="shared" si="10"/>
        <v>37</v>
      </c>
      <c r="S9" s="64" t="str">
        <f>IFERROR(VLOOKUP(MID(N9,Q9,R9-Q9),[5]skilldef!$C:$D,2,FALSE),"-") &amp; " / " &amp; IFERROR(VLOOKUP(MID(N9,O9,P9-O9),[5]skilldef!$A:$B,2,FALSE),"-")</f>
        <v>自分自身に / カウンター</v>
      </c>
      <c r="T9" s="48" t="str">
        <f t="shared" si="11"/>
        <v>[effect:suicide, val:0.5, dead_type:suicide, target:enemy_green, animation:damage_one_red03]</v>
      </c>
      <c r="U9" s="64">
        <f t="shared" si="12"/>
        <v>9</v>
      </c>
      <c r="V9" s="64">
        <f t="shared" si="13"/>
        <v>16</v>
      </c>
      <c r="W9" s="64">
        <f t="shared" si="14"/>
        <v>53</v>
      </c>
      <c r="X9" s="64">
        <f t="shared" si="15"/>
        <v>25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11224080</v>
      </c>
      <c r="B10" s="47" t="s">
        <v>223</v>
      </c>
      <c r="C10" s="50">
        <v>3</v>
      </c>
      <c r="D10" s="50" t="s">
        <v>127</v>
      </c>
      <c r="E10" s="51" t="s">
        <v>238</v>
      </c>
      <c r="F10" s="51" t="s">
        <v>213</v>
      </c>
      <c r="G10" s="64" t="str">
        <f t="shared" si="0"/>
        <v>[effect:enhance_enemy, target:myself, turn:-1, status:attack, val:1, calc:mul, animation:enemy_enhance_attack]</v>
      </c>
      <c r="H10" s="64">
        <f t="shared" si="1"/>
        <v>9</v>
      </c>
      <c r="I10" s="64">
        <f t="shared" si="2"/>
        <v>22</v>
      </c>
      <c r="J10" s="64">
        <f t="shared" si="3"/>
        <v>31</v>
      </c>
      <c r="K10" s="64">
        <f t="shared" si="4"/>
        <v>37</v>
      </c>
      <c r="L10" s="64" t="str">
        <f>IFERROR(VLOOKUP(MID(G10,J10,K10-J10),[5]skilldef!$C:$D,2,FALSE),"-") &amp; " / " &amp; IFERROR(VLOOKUP(MID(G10,H10,I10-H10),[5]skilldef!$A:$B,2,FALSE),"-")</f>
        <v>自分自身に / ステータス強化</v>
      </c>
      <c r="M10" s="64" t="str">
        <f t="shared" si="5"/>
        <v>none</v>
      </c>
      <c r="N10" s="48" t="str">
        <f t="shared" si="6"/>
        <v>none</v>
      </c>
      <c r="O10" s="64" t="e">
        <f t="shared" si="7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11224090</v>
      </c>
      <c r="B11" s="47" t="s">
        <v>265</v>
      </c>
      <c r="C11" s="50">
        <v>3</v>
      </c>
      <c r="D11" s="50" t="s">
        <v>127</v>
      </c>
      <c r="E11" s="51" t="s">
        <v>246</v>
      </c>
      <c r="F11" s="51" t="s">
        <v>229</v>
      </c>
      <c r="G11" s="64" t="str">
        <f t="shared" si="0"/>
        <v>[effect:enemy_message, val1:2, val2:2]</v>
      </c>
      <c r="H11" s="64">
        <f t="shared" si="1"/>
        <v>9</v>
      </c>
      <c r="I11" s="64">
        <f t="shared" si="2"/>
        <v>22</v>
      </c>
      <c r="J11" s="64" t="e">
        <f t="shared" si="3"/>
        <v>#VALUE!</v>
      </c>
      <c r="K11" s="64">
        <f t="shared" si="4"/>
        <v>30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5"/>
        <v>[effect:suicide, val:1, dead_type:suicide, target:enemy_green, animation:enemy_suicide]</v>
      </c>
      <c r="N11" s="48" t="str">
        <f t="shared" si="6"/>
        <v>[effect:suicide, val:1, dead_type:suicide, target:enemy_green, animation:enemy_suicide]</v>
      </c>
      <c r="O11" s="64">
        <f t="shared" si="7"/>
        <v>9</v>
      </c>
      <c r="P11" s="64">
        <f t="shared" si="8"/>
        <v>16</v>
      </c>
      <c r="Q11" s="64">
        <f t="shared" si="9"/>
        <v>51</v>
      </c>
      <c r="R11" s="64">
        <f t="shared" si="10"/>
        <v>23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11224100</v>
      </c>
      <c r="B12" s="47" t="s">
        <v>240</v>
      </c>
      <c r="C12" s="50">
        <v>3</v>
      </c>
      <c r="D12" s="50" t="s">
        <v>127</v>
      </c>
      <c r="E12" s="51" t="s">
        <v>241</v>
      </c>
      <c r="F12" s="51" t="s">
        <v>242</v>
      </c>
      <c r="G12" s="64" t="str">
        <f t="shared" si="0"/>
        <v>[effect:fix_speed, target:myself, turn:1]</v>
      </c>
      <c r="H12" s="64">
        <f t="shared" si="1"/>
        <v>9</v>
      </c>
      <c r="I12" s="64">
        <f t="shared" si="2"/>
        <v>18</v>
      </c>
      <c r="J12" s="64">
        <f t="shared" si="3"/>
        <v>27</v>
      </c>
      <c r="K12" s="64">
        <f t="shared" si="4"/>
        <v>33</v>
      </c>
      <c r="L12" s="64" t="str">
        <f>IFERROR(VLOOKUP(MID(G12,J12,K12-J12),[5]skilldef!$C:$D,2,FALSE),"-") &amp; " / " &amp; IFERROR(VLOOKUP(MID(G12,H12,I12-H12),[5]skilldef!$A:$B,2,FALSE),"-")</f>
        <v>自分自身に / 行動値設定</v>
      </c>
      <c r="M12" s="64" t="str">
        <f t="shared" si="5"/>
        <v>[effect:enemy_message, val1:0, val2:2]</v>
      </c>
      <c r="N12" s="48" t="str">
        <f t="shared" si="6"/>
        <v>[effect:enemy_message, val1:0, val2:2]</v>
      </c>
      <c r="O12" s="64">
        <f t="shared" si="7"/>
        <v>9</v>
      </c>
      <c r="P12" s="64">
        <f t="shared" si="8"/>
        <v>22</v>
      </c>
      <c r="Q12" s="64" t="e">
        <f t="shared" si="9"/>
        <v>#VALUE!</v>
      </c>
      <c r="R12" s="64">
        <f t="shared" si="10"/>
        <v>30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11224101</v>
      </c>
      <c r="B13" s="47" t="s">
        <v>224</v>
      </c>
      <c r="C13" s="50">
        <v>3</v>
      </c>
      <c r="D13" s="50" t="s">
        <v>127</v>
      </c>
      <c r="E13" s="51" t="s">
        <v>214</v>
      </c>
      <c r="F13" s="51" t="s">
        <v>232</v>
      </c>
      <c r="G13" s="64" t="str">
        <f t="shared" ref="G13" si="16">IFERROR(LEFT(B13,FIND("],",B13)),B13)</f>
        <v>[effect:suicide, val:1, dead_type:escape, target:myself]</v>
      </c>
      <c r="H13" s="64">
        <f t="shared" si="1"/>
        <v>9</v>
      </c>
      <c r="I13" s="64">
        <f t="shared" ref="I13" si="17">IFERROR(FIND(",",G13),LEN(G13))</f>
        <v>16</v>
      </c>
      <c r="J13" s="64">
        <f t="shared" ref="J13" si="18">FIND("target:",G13)+7</f>
        <v>50</v>
      </c>
      <c r="K13" s="64">
        <f t="shared" ref="K13" si="19">FIND(",",G13,I13+1)</f>
        <v>23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ref="M13" si="20">IFERROR(RIGHT(B13,LEN(B13)-FIND("],",B13)-1),"none")</f>
        <v>none</v>
      </c>
      <c r="N13" s="48" t="str">
        <f t="shared" si="6"/>
        <v>none</v>
      </c>
      <c r="O13" s="64" t="e">
        <f t="shared" si="7"/>
        <v>#VALUE!</v>
      </c>
      <c r="P13" s="64">
        <f t="shared" ref="P13" si="21">IFERROR(FIND(",",N13),LEN(N13))</f>
        <v>4</v>
      </c>
      <c r="Q13" s="64" t="e">
        <f t="shared" ref="Q13" si="22">FIND("target:",N13)+7</f>
        <v>#VALUE!</v>
      </c>
      <c r="R13" s="64" t="e">
        <f t="shared" ref="R13" si="23">FIND(",",N13,P13+1)</f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ref="T13" si="24">IFERROR(RIGHT(M13,LEN(M13)-FIND("],",M13)-1),"none")</f>
        <v>none</v>
      </c>
      <c r="U13" s="64" t="e">
        <f t="shared" si="12"/>
        <v>#VALUE!</v>
      </c>
      <c r="V13" s="64">
        <f t="shared" ref="V13" si="25">IFERROR(FIND(",",T13),LEN(T13))</f>
        <v>4</v>
      </c>
      <c r="W13" s="64" t="e">
        <f t="shared" ref="W13" si="26">FIND("target:",T13)+7</f>
        <v>#VALUE!</v>
      </c>
      <c r="X13" s="64" t="e">
        <f t="shared" ref="X13" si="27">FIND(",",T13,V13+1)</f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11224110</v>
      </c>
      <c r="B14" s="47" t="s">
        <v>254</v>
      </c>
      <c r="C14" s="50">
        <v>3</v>
      </c>
      <c r="D14" s="50" t="s">
        <v>127</v>
      </c>
      <c r="E14" s="51" t="s">
        <v>235</v>
      </c>
      <c r="F14" s="51" t="s">
        <v>215</v>
      </c>
      <c r="G14" s="64" t="str">
        <f t="shared" si="0"/>
        <v>[effect:force_change_block, new_block:jammer, target:block_all, count:5, val:0, animation:change_block]</v>
      </c>
      <c r="H14" s="64">
        <f t="shared" si="1"/>
        <v>9</v>
      </c>
      <c r="I14" s="64">
        <f t="shared" si="2"/>
        <v>27</v>
      </c>
      <c r="J14" s="64">
        <f t="shared" si="3"/>
        <v>54</v>
      </c>
      <c r="K14" s="64">
        <f t="shared" si="4"/>
        <v>45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>[effect:suicide, val:1, dead_type:escape, target:myself],[effect:degrade_fever, val:1000]</v>
      </c>
      <c r="N14" s="48" t="str">
        <f t="shared" ref="N14:N22" si="28">IFERROR(LEFT(M14,FIND("],",M14)+S50),M14)</f>
        <v>[effect:suicide, val:1, dead_type:escape, target:myself]</v>
      </c>
      <c r="O14" s="64">
        <f t="shared" si="7"/>
        <v>9</v>
      </c>
      <c r="P14" s="64">
        <f t="shared" si="8"/>
        <v>16</v>
      </c>
      <c r="Q14" s="64">
        <f t="shared" si="9"/>
        <v>50</v>
      </c>
      <c r="R14" s="64">
        <f t="shared" si="10"/>
        <v>23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11"/>
        <v>[effect:degrade_fever, val:1000]</v>
      </c>
      <c r="U14" s="64">
        <f t="shared" si="12"/>
        <v>9</v>
      </c>
      <c r="V14" s="64">
        <f t="shared" si="13"/>
        <v>22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IFERROR(VLOOKUP(MID(T14,W14,X14-W14),[5]skilldef!$C:$D,2,FALSE),"-") &amp; " / " &amp; IFERROR(VLOOKUP(MID(T14,U14,V14-U14),[5]skilldef!$A:$B,2,FALSE),"-")</f>
        <v>- / フィーバーゲージ減少</v>
      </c>
      <c r="Z14" s="50"/>
      <c r="AA14" s="52"/>
      <c r="AB14" s="50"/>
    </row>
    <row r="15" spans="1:28" ht="21" customHeight="1" x14ac:dyDescent="0.15">
      <c r="A15" s="47">
        <v>11224120</v>
      </c>
      <c r="B15" s="47" t="s">
        <v>287</v>
      </c>
      <c r="C15" s="50">
        <v>3</v>
      </c>
      <c r="D15" s="50" t="s">
        <v>127</v>
      </c>
      <c r="E15" s="51" t="s">
        <v>216</v>
      </c>
      <c r="F15" s="51" t="s">
        <v>256</v>
      </c>
      <c r="G15" s="64" t="str">
        <f t="shared" si="0"/>
        <v>[effect:enemy_message, val1:2, val2:2]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30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[effect:fix_speed, target:enemy_all, turn:1],[effect:enhance_enemy, target:enemy_all, turn:3, status:defense, val:65535, calc:add, animation:enemy_freq_turn]</v>
      </c>
      <c r="N15" s="48" t="str">
        <f t="shared" si="28"/>
        <v>[effect:fix_speed, target:enemy_all, turn:1]</v>
      </c>
      <c r="O15" s="64">
        <f t="shared" si="7"/>
        <v>9</v>
      </c>
      <c r="P15" s="64">
        <f t="shared" si="8"/>
        <v>18</v>
      </c>
      <c r="Q15" s="64">
        <f t="shared" si="9"/>
        <v>27</v>
      </c>
      <c r="R15" s="64">
        <f t="shared" si="10"/>
        <v>36</v>
      </c>
      <c r="S15" s="64" t="str">
        <f>IFERROR(VLOOKUP(MID(N15,Q15,R15-Q15),[5]skilldef!$C:$D,2,FALSE),"-") &amp; " / " &amp; IFERROR(VLOOKUP(MID(N15,O15,P15-O15),[5]skilldef!$A:$B,2,FALSE),"-")</f>
        <v>敵全体に / 行動値設定</v>
      </c>
      <c r="T15" s="48" t="str">
        <f t="shared" si="11"/>
        <v>[effect:enhance_enemy, target:enemy_all, turn:3, status:defense, val:65535, calc:add, animation:enemy_freq_turn]</v>
      </c>
      <c r="U15" s="64">
        <f t="shared" si="12"/>
        <v>9</v>
      </c>
      <c r="V15" s="64">
        <f t="shared" si="13"/>
        <v>22</v>
      </c>
      <c r="W15" s="64">
        <f t="shared" si="14"/>
        <v>31</v>
      </c>
      <c r="X15" s="64">
        <f t="shared" si="15"/>
        <v>40</v>
      </c>
      <c r="Y15" s="64" t="str">
        <f>IFERROR(VLOOKUP(MID(T15,W15,X15-W15),[5]skilldef!$C:$D,2,FALSE),"-") &amp; " / " &amp; IFERROR(VLOOKUP(MID(T15,U15,V15-U15),[5]skilldef!$A:$B,2,FALSE),"-")</f>
        <v>敵全体に / ステータス強化</v>
      </c>
      <c r="Z15" s="50"/>
      <c r="AA15" s="52"/>
      <c r="AB15" s="50"/>
    </row>
    <row r="16" spans="1:28" ht="21" customHeight="1" x14ac:dyDescent="0.15">
      <c r="A16" s="47">
        <v>11224130</v>
      </c>
      <c r="B16" s="47" t="s">
        <v>292</v>
      </c>
      <c r="C16" s="50">
        <v>3</v>
      </c>
      <c r="D16" s="50" t="s">
        <v>127</v>
      </c>
      <c r="E16" s="51" t="s">
        <v>239</v>
      </c>
      <c r="F16" s="51" t="s">
        <v>219</v>
      </c>
      <c r="G16" s="64" t="str">
        <f t="shared" si="0"/>
        <v>[effect:fix_speed, target:myself, turn:5]</v>
      </c>
      <c r="H16" s="64">
        <f t="shared" si="1"/>
        <v>9</v>
      </c>
      <c r="I16" s="64">
        <f t="shared" si="2"/>
        <v>18</v>
      </c>
      <c r="J16" s="64">
        <f t="shared" si="3"/>
        <v>27</v>
      </c>
      <c r="K16" s="64">
        <f t="shared" si="4"/>
        <v>33</v>
      </c>
      <c r="L16" s="64" t="str">
        <f>IFERROR(VLOOKUP(MID(G16,J16,K16-J16),[5]skilldef!$C:$D,2,FALSE),"-") &amp; " / " &amp; IFERROR(VLOOKUP(MID(G16,H16,I16-H16),[5]skilldef!$A:$B,2,FALSE),"-")</f>
        <v>自分自身に / 行動値設定</v>
      </c>
      <c r="M16" s="64" t="str">
        <f t="shared" si="5"/>
        <v>[effect:force_change_block, new_block:jammer, target:block_all, count:5, val:0, animation:change_block]</v>
      </c>
      <c r="N16" s="48" t="str">
        <f t="shared" si="28"/>
        <v>[effect:force_change_block, new_block:jammer, target:block_all, count:5, val:0, animation:change_block]</v>
      </c>
      <c r="O16" s="64">
        <f t="shared" si="7"/>
        <v>9</v>
      </c>
      <c r="P16" s="64">
        <f t="shared" si="8"/>
        <v>27</v>
      </c>
      <c r="Q16" s="64">
        <f t="shared" si="9"/>
        <v>54</v>
      </c>
      <c r="R16" s="64">
        <f t="shared" si="10"/>
        <v>45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11224140</v>
      </c>
      <c r="B17" s="47" t="s">
        <v>225</v>
      </c>
      <c r="C17" s="50">
        <v>3</v>
      </c>
      <c r="D17" s="50" t="s">
        <v>127</v>
      </c>
      <c r="E17" s="51" t="s">
        <v>217</v>
      </c>
      <c r="F17" s="51" t="s">
        <v>220</v>
      </c>
      <c r="G17" s="64" t="str">
        <f t="shared" si="0"/>
        <v>[effect:fix_speed, target:myself, turn:2]</v>
      </c>
      <c r="H17" s="64">
        <f t="shared" si="1"/>
        <v>9</v>
      </c>
      <c r="I17" s="64">
        <f t="shared" si="2"/>
        <v>18</v>
      </c>
      <c r="J17" s="64">
        <f t="shared" si="3"/>
        <v>27</v>
      </c>
      <c r="K17" s="64">
        <f t="shared" si="4"/>
        <v>33</v>
      </c>
      <c r="L17" s="64" t="str">
        <f>IFERROR(VLOOKUP(MID(G17,J17,K17-J17),[5]skilldef!$C:$D,2,FALSE),"-") &amp; " / " &amp; IFERROR(VLOOKUP(MID(G17,H17,I17-H17),[5]skilldef!$A:$B,2,FALSE),"-")</f>
        <v>自分自身に / 行動値設定</v>
      </c>
      <c r="M17" s="64" t="str">
        <f t="shared" si="5"/>
        <v>[effect:force_change_block, new_block:jammer, target:block_all, count:5, val:0, animation:change_block]</v>
      </c>
      <c r="N17" s="48" t="str">
        <f t="shared" si="28"/>
        <v>[effect:force_change_block, new_block:jammer, target:block_all, count:5, val:0, animation:change_block]</v>
      </c>
      <c r="O17" s="64">
        <f t="shared" si="7"/>
        <v>9</v>
      </c>
      <c r="P17" s="64">
        <f t="shared" si="8"/>
        <v>27</v>
      </c>
      <c r="Q17" s="64">
        <f t="shared" si="9"/>
        <v>54</v>
      </c>
      <c r="R17" s="64">
        <f t="shared" si="10"/>
        <v>45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11224150</v>
      </c>
      <c r="B18" s="47" t="s">
        <v>276</v>
      </c>
      <c r="C18" s="50">
        <v>3</v>
      </c>
      <c r="D18" s="50" t="s">
        <v>127</v>
      </c>
      <c r="E18" s="51" t="s">
        <v>228</v>
      </c>
      <c r="F18" s="51" t="s">
        <v>221</v>
      </c>
      <c r="G18" s="64" t="str">
        <f t="shared" si="0"/>
        <v>[effect:enemy_message, val1:2.5]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 t="e">
        <f t="shared" si="4"/>
        <v>#VALUE!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si="5"/>
        <v>[effect:force_change_block, new_block:jammer, target:block_all, count:5, val:0, animation:change_block]</v>
      </c>
      <c r="N18" s="48" t="str">
        <f t="shared" si="28"/>
        <v>[effect:force_change_block, new_block:jammer, target:block_all, count:5, val:0, animation:change_block]</v>
      </c>
      <c r="O18" s="64">
        <f t="shared" si="7"/>
        <v>9</v>
      </c>
      <c r="P18" s="64">
        <f t="shared" si="8"/>
        <v>27</v>
      </c>
      <c r="Q18" s="64">
        <f t="shared" si="9"/>
        <v>54</v>
      </c>
      <c r="R18" s="64">
        <f t="shared" si="10"/>
        <v>45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11224160</v>
      </c>
      <c r="B19" s="47" t="s">
        <v>248</v>
      </c>
      <c r="C19" s="50">
        <v>3</v>
      </c>
      <c r="D19" s="50" t="s">
        <v>127</v>
      </c>
      <c r="E19" s="51" t="s">
        <v>247</v>
      </c>
      <c r="F19" s="51" t="s">
        <v>230</v>
      </c>
      <c r="G19" s="64" t="str">
        <f t="shared" si="0"/>
        <v>[effect:enemy_message, val1:2]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 t="e">
        <f t="shared" si="4"/>
        <v>#VALUE!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5"/>
        <v>[effect:suicide, val:1, dead_type:suicide, target:myself, animation:enemy_suicide]</v>
      </c>
      <c r="N19" s="48" t="str">
        <f t="shared" si="28"/>
        <v>[effect:suicide, val:1, dead_type:suicide, target:myself, animation:enemy_suicide]</v>
      </c>
      <c r="O19" s="64">
        <f t="shared" si="7"/>
        <v>9</v>
      </c>
      <c r="P19" s="64">
        <f t="shared" si="8"/>
        <v>16</v>
      </c>
      <c r="Q19" s="64">
        <f t="shared" si="9"/>
        <v>51</v>
      </c>
      <c r="R19" s="64">
        <f t="shared" si="10"/>
        <v>23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si="11"/>
        <v>none</v>
      </c>
      <c r="U19" s="64" t="e">
        <f t="shared" si="12"/>
        <v>#VALUE!</v>
      </c>
      <c r="V19" s="64">
        <f t="shared" si="13"/>
        <v>4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11224170</v>
      </c>
      <c r="B20" s="47" t="s">
        <v>277</v>
      </c>
      <c r="C20" s="50">
        <v>3</v>
      </c>
      <c r="D20" s="50" t="s">
        <v>127</v>
      </c>
      <c r="E20" s="51" t="s">
        <v>218</v>
      </c>
      <c r="F20" s="51" t="s">
        <v>233</v>
      </c>
      <c r="G20" s="64" t="str">
        <f t="shared" si="0"/>
        <v>[effect:fix_speed, target:myself, turn:1]</v>
      </c>
      <c r="H20" s="64">
        <f t="shared" si="1"/>
        <v>9</v>
      </c>
      <c r="I20" s="64">
        <f t="shared" si="2"/>
        <v>18</v>
      </c>
      <c r="J20" s="64">
        <f t="shared" si="3"/>
        <v>27</v>
      </c>
      <c r="K20" s="64">
        <f t="shared" si="4"/>
        <v>33</v>
      </c>
      <c r="L20" s="64" t="str">
        <f>IFERROR(VLOOKUP(MID(G20,J20,K20-J20),[5]skilldef!$C:$D,2,FALSE),"-") &amp; " / " &amp; IFERROR(VLOOKUP(MID(G20,H20,I20-H20),[5]skilldef!$A:$B,2,FALSE),"-")</f>
        <v>自分自身に / 行動値設定</v>
      </c>
      <c r="M20" s="64" t="str">
        <f t="shared" si="5"/>
        <v>[effect:enemy_message, val2:3],[effect:enhance_enemy, target:myself, turn:1, status:defense, val:65535, calc:add]</v>
      </c>
      <c r="N20" s="48" t="str">
        <f t="shared" si="28"/>
        <v>[effect:enemy_message, val2:3]</v>
      </c>
      <c r="O20" s="64">
        <f t="shared" si="7"/>
        <v>9</v>
      </c>
      <c r="P20" s="64">
        <f t="shared" si="8"/>
        <v>22</v>
      </c>
      <c r="Q20" s="64" t="e">
        <f t="shared" si="9"/>
        <v>#VALUE!</v>
      </c>
      <c r="R20" s="64" t="e">
        <f t="shared" si="10"/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si="11"/>
        <v>[effect:enhance_enemy, target:myself, turn:1, status:defense, val:65535, calc:add]</v>
      </c>
      <c r="U20" s="64">
        <f t="shared" si="12"/>
        <v>9</v>
      </c>
      <c r="V20" s="64">
        <f t="shared" si="13"/>
        <v>22</v>
      </c>
      <c r="W20" s="64">
        <f t="shared" si="14"/>
        <v>31</v>
      </c>
      <c r="X20" s="64">
        <f t="shared" si="15"/>
        <v>37</v>
      </c>
      <c r="Y20" s="64" t="str">
        <f>IFERROR(VLOOKUP(MID(T20,W20,X20-W20),[5]skilldef!$C:$D,2,FALSE),"-") &amp; " / " &amp; IFERROR(VLOOKUP(MID(T20,U20,V20-U20),[5]skilldef!$A:$B,2,FALSE),"-")</f>
        <v>自分自身に / ステータス強化</v>
      </c>
      <c r="Z20" s="50"/>
      <c r="AA20" s="52"/>
      <c r="AB20" s="50"/>
    </row>
    <row r="21" spans="1:28" ht="21" customHeight="1" x14ac:dyDescent="0.15">
      <c r="A21" s="47">
        <v>11224180</v>
      </c>
      <c r="B21" s="47" t="s">
        <v>268</v>
      </c>
      <c r="C21" s="50">
        <v>3</v>
      </c>
      <c r="D21" s="50" t="s">
        <v>127</v>
      </c>
      <c r="E21" s="51" t="s">
        <v>269</v>
      </c>
      <c r="F21" s="51" t="s">
        <v>234</v>
      </c>
      <c r="G21" s="64" t="str">
        <f t="shared" si="0"/>
        <v>[effect:fix_speed, target:myself, turn:3]</v>
      </c>
      <c r="H21" s="64">
        <f t="shared" si="1"/>
        <v>9</v>
      </c>
      <c r="I21" s="64">
        <f t="shared" si="2"/>
        <v>18</v>
      </c>
      <c r="J21" s="64">
        <f t="shared" si="3"/>
        <v>27</v>
      </c>
      <c r="K21" s="64">
        <f t="shared" si="4"/>
        <v>33</v>
      </c>
      <c r="L21" s="64" t="str">
        <f>IFERROR(VLOOKUP(MID(G21,J21,K21-J21),[5]skilldef!$C:$D,2,FALSE),"-") &amp; " / " &amp; IFERROR(VLOOKUP(MID(G21,H21,I21-H21),[5]skilldef!$A:$B,2,FALSE),"-")</f>
        <v>自分自身に / 行動値設定</v>
      </c>
      <c r="M21" s="64" t="str">
        <f t="shared" si="5"/>
        <v>[effect:force_change_block, new_block:jammer, target:block_all, count:-1, val:0, animation:change_block],[effect:drop_block, block_type:jammer, color:block_all, val:0, rate:1, turn:-1],[effect:enemy_message, val2:3]</v>
      </c>
      <c r="N21" s="48" t="str">
        <f t="shared" si="28"/>
        <v>[effect:force_change_block, new_block:jammer, target:block_all, count:-1, val:0, animation:change_block]</v>
      </c>
      <c r="O21" s="64">
        <f t="shared" si="7"/>
        <v>9</v>
      </c>
      <c r="P21" s="64">
        <f t="shared" si="8"/>
        <v>27</v>
      </c>
      <c r="Q21" s="64">
        <f t="shared" si="9"/>
        <v>54</v>
      </c>
      <c r="R21" s="64">
        <f t="shared" si="10"/>
        <v>45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1"/>
        <v>[effect:drop_block, block_type:jammer, color:block_all, val:0, rate:1, turn:-1],[effect:enemy_message, val2:3]</v>
      </c>
      <c r="U21" s="64">
        <f t="shared" si="12"/>
        <v>9</v>
      </c>
      <c r="V21" s="64">
        <f t="shared" si="13"/>
        <v>19</v>
      </c>
      <c r="W21" s="64" t="e">
        <f t="shared" si="14"/>
        <v>#VALUE!</v>
      </c>
      <c r="X21" s="64">
        <f t="shared" si="15"/>
        <v>38</v>
      </c>
      <c r="Y21" s="64" t="str">
        <f>IFERROR(VLOOKUP(MID(T21,W21,X21-W21),[5]skilldef!$C:$D,2,FALSE),"-") &amp; " / " &amp; IFERROR(VLOOKUP(MID(T21,U21,V21-U21),[5]skilldef!$A:$B,2,FALSE),"-")</f>
        <v>- / 特定ブロックの割合ドロップ</v>
      </c>
      <c r="Z21" s="50"/>
      <c r="AA21" s="52"/>
      <c r="AB21" s="50"/>
    </row>
    <row r="22" spans="1:28" ht="21" customHeight="1" x14ac:dyDescent="0.15">
      <c r="A22" s="47">
        <v>11224181</v>
      </c>
      <c r="B22" s="47" t="s">
        <v>288</v>
      </c>
      <c r="C22" s="50">
        <v>3</v>
      </c>
      <c r="D22" s="50" t="s">
        <v>127</v>
      </c>
      <c r="E22" s="51" t="s">
        <v>250</v>
      </c>
      <c r="F22" s="51" t="s">
        <v>251</v>
      </c>
      <c r="G22" s="64" t="str">
        <f t="shared" ref="G22" si="29">IFERROR(LEFT(B22,FIND("],",B22)),B22)</f>
        <v>[effect:enemy_message, val1:0, val2:0]</v>
      </c>
      <c r="H22" s="64">
        <f t="shared" ref="H22" si="30">FIND("effect:",G22)+7</f>
        <v>9</v>
      </c>
      <c r="I22" s="64">
        <f t="shared" ref="I22" si="31">IFERROR(FIND(",",G22),LEN(G22))</f>
        <v>22</v>
      </c>
      <c r="J22" s="64" t="e">
        <f t="shared" ref="J22" si="32">FIND("target:",G22)+7</f>
        <v>#VALUE!</v>
      </c>
      <c r="K22" s="64">
        <f t="shared" ref="K22" si="33">FIND(",",G22,I22+1)</f>
        <v>30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ref="M22" si="34">IFERROR(RIGHT(B22,LEN(B22)-FIND("],",B22)-1),"none")</f>
        <v>none</v>
      </c>
      <c r="N22" s="48" t="str">
        <f t="shared" si="28"/>
        <v>none</v>
      </c>
      <c r="O22" s="64" t="e">
        <f t="shared" ref="O22" si="35">FIND("effect:",N22)+7</f>
        <v>#VALUE!</v>
      </c>
      <c r="P22" s="64">
        <f t="shared" ref="P22" si="36">IFERROR(FIND(",",N22),LEN(N22))</f>
        <v>4</v>
      </c>
      <c r="Q22" s="64" t="e">
        <f t="shared" ref="Q22" si="37">FIND("target:",N22)+7</f>
        <v>#VALUE!</v>
      </c>
      <c r="R22" s="64" t="e">
        <f t="shared" ref="R22" si="38">FIND(",",N22,P22+1)</f>
        <v>#VALUE!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ref="T22" si="39">IFERROR(RIGHT(M22,LEN(M22)-FIND("],",M22)-1),"none")</f>
        <v>none</v>
      </c>
      <c r="U22" s="64" t="e">
        <f t="shared" ref="U22" si="40">FIND("effect:",T22)+7</f>
        <v>#VALUE!</v>
      </c>
      <c r="V22" s="64">
        <f t="shared" ref="V22" si="41">IFERROR(FIND(",",T22),LEN(T22))</f>
        <v>4</v>
      </c>
      <c r="W22" s="64" t="e">
        <f t="shared" ref="W22" si="42">FIND("target:",T22)+7</f>
        <v>#VALUE!</v>
      </c>
      <c r="X22" s="64" t="e">
        <f t="shared" ref="X22" si="43">FIND(",",T22,V22+1)</f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11224190</v>
      </c>
      <c r="B23" s="47" t="s">
        <v>262</v>
      </c>
      <c r="C23" s="50">
        <v>3</v>
      </c>
      <c r="D23" s="50" t="s">
        <v>127</v>
      </c>
      <c r="E23" s="51" t="s">
        <v>231</v>
      </c>
      <c r="F23" s="51" t="s">
        <v>273</v>
      </c>
      <c r="G23" s="64" t="str">
        <f t="shared" si="0"/>
        <v>[effect:suicide, val:0.9, dead_type:escape, target:enemy_all]</v>
      </c>
      <c r="H23" s="64">
        <f t="shared" si="1"/>
        <v>9</v>
      </c>
      <c r="I23" s="64">
        <f t="shared" si="2"/>
        <v>16</v>
      </c>
      <c r="J23" s="64">
        <f t="shared" si="3"/>
        <v>52</v>
      </c>
      <c r="K23" s="64">
        <f t="shared" si="4"/>
        <v>25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5"/>
        <v>[effect:enhance_fever, val:1000.0, animation:fevergauge_up04],[effect:enemy_message, val1:2.5, val2:3]</v>
      </c>
      <c r="N23" s="48" t="str">
        <f>IFERROR(LEFT(M23,FIND("],",M23)+S58),M23)</f>
        <v>[effect:enhance_fever, val:1000.0, animation:fevergauge_up04]</v>
      </c>
      <c r="O23" s="64">
        <f t="shared" si="7"/>
        <v>9</v>
      </c>
      <c r="P23" s="64">
        <f t="shared" si="8"/>
        <v>22</v>
      </c>
      <c r="Q23" s="64" t="e">
        <f t="shared" si="9"/>
        <v>#VALUE!</v>
      </c>
      <c r="R23" s="64">
        <f t="shared" si="10"/>
        <v>34</v>
      </c>
      <c r="S23" s="64" t="str">
        <f>IFERROR(VLOOKUP(MID(N23,Q23,R23-Q23),[5]skilldef!$C:$D,2,FALSE),"-") &amp; " / " &amp; IFERROR(VLOOKUP(MID(N23,O23,P23-O23),[5]skilldef!$A:$B,2,FALSE),"-")</f>
        <v>- / -</v>
      </c>
      <c r="T23" s="48" t="str">
        <f t="shared" si="11"/>
        <v>[effect:enemy_message, val1:2.5, val2:3]</v>
      </c>
      <c r="U23" s="64">
        <f t="shared" si="12"/>
        <v>9</v>
      </c>
      <c r="V23" s="64">
        <f t="shared" si="13"/>
        <v>22</v>
      </c>
      <c r="W23" s="64" t="e">
        <f t="shared" si="14"/>
        <v>#VALUE!</v>
      </c>
      <c r="X23" s="64">
        <f t="shared" si="15"/>
        <v>32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11224191</v>
      </c>
      <c r="B24" s="47" t="s">
        <v>252</v>
      </c>
      <c r="C24" s="50">
        <v>3</v>
      </c>
      <c r="D24" s="50" t="s">
        <v>127</v>
      </c>
      <c r="E24" s="51" t="s">
        <v>280</v>
      </c>
      <c r="F24" s="51" t="s">
        <v>274</v>
      </c>
      <c r="G24" s="64" t="str">
        <f t="shared" ref="G24" si="44">IFERROR(LEFT(B24,FIND("],",B24)),B24)</f>
        <v>[effect:enemy_message, val1:3, val2:3]</v>
      </c>
      <c r="H24" s="64">
        <f t="shared" ref="H24" si="45">FIND("effect:",G24)+7</f>
        <v>9</v>
      </c>
      <c r="I24" s="64">
        <f t="shared" ref="I24" si="46">IFERROR(FIND(",",G24),LEN(G24))</f>
        <v>22</v>
      </c>
      <c r="J24" s="64" t="e">
        <f t="shared" ref="J24" si="47">FIND("target:",G24)+7</f>
        <v>#VALUE!</v>
      </c>
      <c r="K24" s="64">
        <f t="shared" ref="K24" si="48">FIND(",",G24,I24+1)</f>
        <v>30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ref="M24" si="49">IFERROR(RIGHT(B24,LEN(B24)-FIND("],",B24)-1),"none")</f>
        <v>[effect:dark, target:unit_all, turn:1, animation:dark],[effect:enhance_fever, val:1000.0, animation:fevergauge_up04]</v>
      </c>
      <c r="N24" s="48" t="str">
        <f>IFERROR(LEFT(M24,FIND("],",M24)+S59),M24)</f>
        <v>[effect:dark, target:unit_all, turn:1, animation:dark]</v>
      </c>
      <c r="O24" s="64">
        <f t="shared" ref="O24" si="50">FIND("effect:",N24)+7</f>
        <v>9</v>
      </c>
      <c r="P24" s="64">
        <f t="shared" ref="P24" si="51">IFERROR(FIND(",",N24),LEN(N24))</f>
        <v>13</v>
      </c>
      <c r="Q24" s="64">
        <f t="shared" ref="Q24" si="52">FIND("target:",N24)+7</f>
        <v>22</v>
      </c>
      <c r="R24" s="64">
        <f t="shared" ref="R24" si="53">FIND(",",N24,P24+1)</f>
        <v>30</v>
      </c>
      <c r="S24" s="64" t="str">
        <f>IFERROR(VLOOKUP(MID(N24,Q24,R24-Q24),[5]skilldef!$C:$D,2,FALSE),"-") &amp; " / " &amp; IFERROR(VLOOKUP(MID(N24,O24,P24-O24),[5]skilldef!$A:$B,2,FALSE),"-")</f>
        <v>味方全体に / 暗黒</v>
      </c>
      <c r="T24" s="48" t="str">
        <f t="shared" ref="T24" si="54">IFERROR(RIGHT(M24,LEN(M24)-FIND("],",M24)-1),"none")</f>
        <v>[effect:enhance_fever, val:1000.0, animation:fevergauge_up04]</v>
      </c>
      <c r="U24" s="64">
        <f t="shared" ref="U24" si="55">FIND("effect:",T24)+7</f>
        <v>9</v>
      </c>
      <c r="V24" s="64">
        <f t="shared" ref="V24" si="56">IFERROR(FIND(",",T24),LEN(T24))</f>
        <v>22</v>
      </c>
      <c r="W24" s="64" t="e">
        <f t="shared" ref="W24" si="57">FIND("target:",T24)+7</f>
        <v>#VALUE!</v>
      </c>
      <c r="X24" s="64">
        <f t="shared" ref="X24" si="58">FIND(",",T24,V24+1)</f>
        <v>34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11224192</v>
      </c>
      <c r="B25" s="47" t="s">
        <v>267</v>
      </c>
      <c r="C25" s="50">
        <v>3</v>
      </c>
      <c r="D25" s="50" t="s">
        <v>127</v>
      </c>
      <c r="E25" s="51" t="s">
        <v>281</v>
      </c>
      <c r="F25" s="51" t="s">
        <v>278</v>
      </c>
      <c r="G25" s="64" t="str">
        <f t="shared" ref="G25" si="59">IFERROR(LEFT(B25,FIND("],",B25)),B25)</f>
        <v>[effect:suicide, val:1, dead_type:escape, target:enemy_all]</v>
      </c>
      <c r="H25" s="64">
        <f t="shared" ref="H25" si="60">FIND("effect:",G25)+7</f>
        <v>9</v>
      </c>
      <c r="I25" s="64">
        <f t="shared" ref="I25" si="61">IFERROR(FIND(",",G25),LEN(G25))</f>
        <v>16</v>
      </c>
      <c r="J25" s="64">
        <f t="shared" ref="J25" si="62">FIND("target:",G25)+7</f>
        <v>50</v>
      </c>
      <c r="K25" s="64">
        <f t="shared" ref="K25" si="63">FIND(",",G25,I25+1)</f>
        <v>23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ref="M25" si="64">IFERROR(RIGHT(B25,LEN(B25)-FIND("],",B25)-1),"none")</f>
        <v>[effect:enemy_message, val1:2, val2:2.5]</v>
      </c>
      <c r="N25" s="48" t="str">
        <f>IFERROR(LEFT(M25,FIND("],",M25)+S60),M25)</f>
        <v>[effect:enemy_message, val1:2, val2:2.5]</v>
      </c>
      <c r="O25" s="64">
        <f t="shared" ref="O25" si="65">FIND("effect:",N25)+7</f>
        <v>9</v>
      </c>
      <c r="P25" s="64">
        <f t="shared" ref="P25" si="66">IFERROR(FIND(",",N25),LEN(N25))</f>
        <v>22</v>
      </c>
      <c r="Q25" s="64" t="e">
        <f t="shared" ref="Q25" si="67">FIND("target:",N25)+7</f>
        <v>#VALUE!</v>
      </c>
      <c r="R25" s="64">
        <f t="shared" ref="R25" si="68">FIND(",",N25,P25+1)</f>
        <v>30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ref="T25" si="69">IFERROR(RIGHT(M25,LEN(M25)-FIND("],",M25)-1),"none")</f>
        <v>none</v>
      </c>
      <c r="U25" s="64" t="e">
        <f t="shared" ref="U25" si="70">FIND("effect:",T25)+7</f>
        <v>#VALUE!</v>
      </c>
      <c r="V25" s="64">
        <f t="shared" ref="V25" si="71">IFERROR(FIND(",",T25),LEN(T25))</f>
        <v>4</v>
      </c>
      <c r="W25" s="64" t="e">
        <f t="shared" ref="W25" si="72">FIND("target:",T25)+7</f>
        <v>#VALUE!</v>
      </c>
      <c r="X25" s="64" t="e">
        <f t="shared" ref="X25" si="73">FIND(",",T25,V25+1)</f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8" customHeight="1" x14ac:dyDescent="0.15">
      <c r="A26" s="47">
        <v>11224200</v>
      </c>
      <c r="B26" s="47" t="s">
        <v>263</v>
      </c>
      <c r="C26" s="50">
        <v>3</v>
      </c>
      <c r="D26" s="50" t="s">
        <v>127</v>
      </c>
      <c r="E26" s="51" t="s">
        <v>236</v>
      </c>
      <c r="F26" s="51" t="s">
        <v>237</v>
      </c>
      <c r="G26" s="64" t="str">
        <f t="shared" si="0"/>
        <v>[effect:enemy_message, val1:2, val2:3, dead_type:suicide]</v>
      </c>
      <c r="H26" s="64">
        <f t="shared" si="1"/>
        <v>9</v>
      </c>
      <c r="I26" s="64">
        <f t="shared" si="2"/>
        <v>22</v>
      </c>
      <c r="J26" s="64" t="e">
        <f t="shared" si="3"/>
        <v>#VALUE!</v>
      </c>
      <c r="K26" s="64">
        <f t="shared" si="4"/>
        <v>30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5"/>
        <v>none</v>
      </c>
      <c r="N26" s="48" t="str">
        <f t="shared" ref="N26" si="74">IFERROR(LEFT(M26,FIND("],",M26)+S59),M26)</f>
        <v>none</v>
      </c>
      <c r="O26" s="64" t="e">
        <f t="shared" si="7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8" customHeight="1" x14ac:dyDescent="0.15">
      <c r="A27" s="47">
        <v>11224201</v>
      </c>
      <c r="B27" s="47" t="s">
        <v>284</v>
      </c>
      <c r="C27" s="50">
        <v>3</v>
      </c>
      <c r="D27" s="50" t="s">
        <v>127</v>
      </c>
      <c r="E27" s="51" t="s">
        <v>285</v>
      </c>
      <c r="F27" s="51" t="s">
        <v>283</v>
      </c>
      <c r="G27" s="64" t="str">
        <f t="shared" ref="G27" si="75">IFERROR(LEFT(B27,FIND("],",B27)),B27)</f>
        <v>[effect:enemy_message, val1:3, val2:3][effect:suicide, val:1, dead_type:suicide, target:enemy_all]</v>
      </c>
      <c r="H27" s="64">
        <f t="shared" ref="H27" si="76">FIND("effect:",G27)+7</f>
        <v>9</v>
      </c>
      <c r="I27" s="64">
        <f t="shared" ref="I27" si="77">IFERROR(FIND(",",G27),LEN(G27))</f>
        <v>22</v>
      </c>
      <c r="J27" s="64">
        <f t="shared" ref="J27" si="78">FIND("target:",G27)+7</f>
        <v>89</v>
      </c>
      <c r="K27" s="64">
        <f t="shared" ref="K27" si="79">FIND(",",G27,I27+1)</f>
        <v>30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ref="M27" si="80">IFERROR(RIGHT(B27,LEN(B27)-FIND("],",B27)-1),"none")</f>
        <v>none</v>
      </c>
      <c r="N27" s="48" t="str">
        <f t="shared" ref="N27" si="81">IFERROR(LEFT(M27,FIND("],",M27)+S60),M27)</f>
        <v>none</v>
      </c>
      <c r="O27" s="64" t="e">
        <f t="shared" ref="O27" si="82">FIND("effect:",N27)+7</f>
        <v>#VALUE!</v>
      </c>
      <c r="P27" s="64">
        <f t="shared" ref="P27" si="83">IFERROR(FIND(",",N27),LEN(N27))</f>
        <v>4</v>
      </c>
      <c r="Q27" s="64" t="e">
        <f t="shared" ref="Q27" si="84">FIND("target:",N27)+7</f>
        <v>#VALUE!</v>
      </c>
      <c r="R27" s="64" t="e">
        <f t="shared" ref="R27" si="85">FIND(",",N27,P27+1)</f>
        <v>#VALUE!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ref="T27" si="86">IFERROR(RIGHT(M27,LEN(M27)-FIND("],",M27)-1),"none")</f>
        <v>none</v>
      </c>
      <c r="U27" s="64" t="e">
        <f t="shared" ref="U27" si="87">FIND("effect:",T27)+7</f>
        <v>#VALUE!</v>
      </c>
      <c r="V27" s="64">
        <f t="shared" ref="V27" si="88">IFERROR(FIND(",",T27),LEN(T27))</f>
        <v>4</v>
      </c>
      <c r="W27" s="64" t="e">
        <f t="shared" ref="W27" si="89">FIND("target:",T27)+7</f>
        <v>#VALUE!</v>
      </c>
      <c r="X27" s="64" t="e">
        <f t="shared" ref="X27" si="90">FIND(",",T27,V27+1)</f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8" customHeight="1" x14ac:dyDescent="0.15">
      <c r="A28" s="47">
        <v>11224202</v>
      </c>
      <c r="B28" s="47" t="s">
        <v>284</v>
      </c>
      <c r="C28" s="50">
        <v>3</v>
      </c>
      <c r="D28" s="50" t="s">
        <v>127</v>
      </c>
      <c r="E28" s="51" t="s">
        <v>285</v>
      </c>
      <c r="F28" s="51" t="s">
        <v>283</v>
      </c>
      <c r="G28" s="64" t="str">
        <f t="shared" ref="G28" si="91">IFERROR(LEFT(B28,FIND("],",B28)),B28)</f>
        <v>[effect:enemy_message, val1:3, val2:3][effect:suicide, val:1, dead_type:suicide, target:enemy_all]</v>
      </c>
      <c r="H28" s="64">
        <f t="shared" ref="H28" si="92">FIND("effect:",G28)+7</f>
        <v>9</v>
      </c>
      <c r="I28" s="64">
        <f t="shared" ref="I28" si="93">IFERROR(FIND(",",G28),LEN(G28))</f>
        <v>22</v>
      </c>
      <c r="J28" s="64">
        <f t="shared" ref="J28" si="94">FIND("target:",G28)+7</f>
        <v>89</v>
      </c>
      <c r="K28" s="64">
        <f t="shared" ref="K28" si="95">FIND(",",G28,I28+1)</f>
        <v>30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ref="M28" si="96">IFERROR(RIGHT(B28,LEN(B28)-FIND("],",B28)-1),"none")</f>
        <v>none</v>
      </c>
      <c r="N28" s="48" t="str">
        <f t="shared" ref="N28" si="97">IFERROR(LEFT(M28,FIND("],",M28)+S61),M28)</f>
        <v>none</v>
      </c>
      <c r="O28" s="64" t="e">
        <f t="shared" ref="O28" si="98">FIND("effect:",N28)+7</f>
        <v>#VALUE!</v>
      </c>
      <c r="P28" s="64">
        <f t="shared" ref="P28" si="99">IFERROR(FIND(",",N28),LEN(N28))</f>
        <v>4</v>
      </c>
      <c r="Q28" s="64" t="e">
        <f t="shared" ref="Q28" si="100">FIND("target:",N28)+7</f>
        <v>#VALUE!</v>
      </c>
      <c r="R28" s="64" t="e">
        <f t="shared" ref="R28" si="101">FIND(",",N28,P28+1)</f>
        <v>#VALUE!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ref="T28" si="102">IFERROR(RIGHT(M28,LEN(M28)-FIND("],",M28)-1),"none")</f>
        <v>none</v>
      </c>
      <c r="U28" s="64" t="e">
        <f t="shared" ref="U28" si="103">FIND("effect:",T28)+7</f>
        <v>#VALUE!</v>
      </c>
      <c r="V28" s="64">
        <f t="shared" ref="V28" si="104">IFERROR(FIND(",",T28),LEN(T28))</f>
        <v>4</v>
      </c>
      <c r="W28" s="64" t="e">
        <f t="shared" ref="W28" si="105">FIND("target:",T28)+7</f>
        <v>#VALUE!</v>
      </c>
      <c r="X28" s="64" t="e">
        <f t="shared" ref="X28" si="106">FIND(",",T28,V28+1)</f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8" customHeight="1" x14ac:dyDescent="0.15">
      <c r="A29" s="47">
        <v>11224203</v>
      </c>
      <c r="B29" s="47" t="s">
        <v>291</v>
      </c>
      <c r="C29" s="50">
        <v>3</v>
      </c>
      <c r="D29" s="50" t="s">
        <v>127</v>
      </c>
      <c r="E29" s="51" t="s">
        <v>290</v>
      </c>
      <c r="F29" s="51" t="s">
        <v>289</v>
      </c>
      <c r="G29" s="64" t="str">
        <f t="shared" ref="G29" si="107">IFERROR(LEFT(B29,FIND("],",B29)),B29)</f>
        <v>[effect:damage_fix_absolute, target:unit_all, val:33333]</v>
      </c>
      <c r="H29" s="64">
        <f t="shared" ref="H29" si="108">FIND("effect:",G29)+7</f>
        <v>9</v>
      </c>
      <c r="I29" s="64">
        <f t="shared" ref="I29" si="109">IFERROR(FIND(",",G29),LEN(G29))</f>
        <v>28</v>
      </c>
      <c r="J29" s="64">
        <f t="shared" ref="J29" si="110">FIND("target:",G29)+7</f>
        <v>37</v>
      </c>
      <c r="K29" s="64">
        <f t="shared" ref="K29" si="111">FIND(",",G29,I29+1)</f>
        <v>45</v>
      </c>
      <c r="L29" s="64" t="str">
        <f>IFERROR(VLOOKUP(MID(G29,J29,K29-J29),[5]skilldef!$C:$D,2,FALSE),"-") &amp; " / " &amp; IFERROR(VLOOKUP(MID(G29,H29,I29-H29),[5]skilldef!$A:$B,2,FALSE),"-")</f>
        <v>味方全体に / -</v>
      </c>
      <c r="M29" s="64" t="str">
        <f t="shared" ref="M29" si="112">IFERROR(RIGHT(B29,LEN(B29)-FIND("],",B29)-1),"none")</f>
        <v>none</v>
      </c>
      <c r="N29" s="48" t="str">
        <f t="shared" ref="N29" si="113">IFERROR(LEFT(M29,FIND("],",M29)+S62),M29)</f>
        <v>none</v>
      </c>
      <c r="O29" s="64" t="e">
        <f t="shared" ref="O29" si="114">FIND("effect:",N29)+7</f>
        <v>#VALUE!</v>
      </c>
      <c r="P29" s="64">
        <f t="shared" ref="P29" si="115">IFERROR(FIND(",",N29),LEN(N29))</f>
        <v>4</v>
      </c>
      <c r="Q29" s="64" t="e">
        <f t="shared" ref="Q29" si="116">FIND("target:",N29)+7</f>
        <v>#VALUE!</v>
      </c>
      <c r="R29" s="64" t="e">
        <f t="shared" ref="R29" si="117">FIND(",",N29,P29+1)</f>
        <v>#VALUE!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ref="T29" si="118">IFERROR(RIGHT(M29,LEN(M29)-FIND("],",M29)-1),"none")</f>
        <v>none</v>
      </c>
      <c r="U29" s="64" t="e">
        <f t="shared" ref="U29" si="119">FIND("effect:",T29)+7</f>
        <v>#VALUE!</v>
      </c>
      <c r="V29" s="64">
        <f t="shared" ref="V29" si="120">IFERROR(FIND(",",T29),LEN(T29))</f>
        <v>4</v>
      </c>
      <c r="W29" s="64" t="e">
        <f t="shared" ref="W29" si="121">FIND("target:",T29)+7</f>
        <v>#VALUE!</v>
      </c>
      <c r="X29" s="64" t="e">
        <f t="shared" ref="X29" si="122">FIND(",",T29,V29+1)</f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7"/>
  <sheetViews>
    <sheetView showGridLines="0" zoomScale="75" zoomScaleNormal="75" zoomScalePageLayoutView="75" workbookViewId="0">
      <pane ySplit="1" topLeftCell="A2" activePane="bottomLeft" state="frozenSplit"/>
      <selection pane="bottomLeft" activeCell="G14" sqref="G1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11224000</v>
      </c>
      <c r="B2" s="47">
        <v>1</v>
      </c>
      <c r="C2" s="47">
        <v>100</v>
      </c>
      <c r="D2" s="47">
        <v>100</v>
      </c>
      <c r="E2" s="47" t="s">
        <v>53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47">
        <v>11224010</v>
      </c>
      <c r="B3" s="47">
        <v>0</v>
      </c>
      <c r="C3" s="47">
        <v>90</v>
      </c>
      <c r="D3" s="47">
        <v>100</v>
      </c>
      <c r="E3" s="47" t="s">
        <v>53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:J4" si="1">D3</f>
        <v>100</v>
      </c>
    </row>
    <row r="4" spans="1:11" ht="21" customHeight="1" x14ac:dyDescent="0.15">
      <c r="A4" s="47">
        <v>11224020</v>
      </c>
      <c r="B4" s="47">
        <v>0</v>
      </c>
      <c r="C4" s="47">
        <v>80</v>
      </c>
      <c r="D4" s="47">
        <v>100</v>
      </c>
      <c r="E4" s="47" t="s">
        <v>53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11224030</v>
      </c>
      <c r="B5" s="47">
        <v>0</v>
      </c>
      <c r="C5" s="47">
        <v>70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ref="J5:J8" si="2">D5</f>
        <v>100</v>
      </c>
    </row>
    <row r="6" spans="1:11" ht="21" customHeight="1" x14ac:dyDescent="0.15">
      <c r="A6" s="47">
        <v>11224040</v>
      </c>
      <c r="B6" s="47">
        <v>0</v>
      </c>
      <c r="C6" s="47">
        <v>60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2"/>
        <v>100</v>
      </c>
    </row>
    <row r="7" spans="1:11" ht="21" customHeight="1" x14ac:dyDescent="0.15">
      <c r="A7" s="47">
        <v>11224050</v>
      </c>
      <c r="B7" s="47">
        <v>0</v>
      </c>
      <c r="C7" s="47">
        <v>50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2"/>
        <v>100</v>
      </c>
    </row>
    <row r="8" spans="1:11" ht="21" customHeight="1" x14ac:dyDescent="0.15">
      <c r="A8" s="47">
        <v>11224060</v>
      </c>
      <c r="B8" s="47">
        <v>0</v>
      </c>
      <c r="C8" s="47">
        <v>40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2"/>
        <v>100</v>
      </c>
    </row>
    <row r="9" spans="1:11" ht="21" customHeight="1" x14ac:dyDescent="0.15">
      <c r="A9" s="47">
        <v>11224070</v>
      </c>
      <c r="B9" s="47">
        <v>0</v>
      </c>
      <c r="C9" s="47">
        <v>30</v>
      </c>
      <c r="D9" s="47">
        <v>100</v>
      </c>
      <c r="E9" s="47" t="s">
        <v>53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ref="J9:J11" si="3">D9</f>
        <v>100</v>
      </c>
    </row>
    <row r="10" spans="1:11" ht="21" customHeight="1" x14ac:dyDescent="0.15">
      <c r="A10" s="47">
        <v>11224080</v>
      </c>
      <c r="B10" s="47">
        <v>0</v>
      </c>
      <c r="C10" s="47">
        <v>20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3"/>
        <v>100</v>
      </c>
    </row>
    <row r="11" spans="1:11" ht="21" customHeight="1" x14ac:dyDescent="0.15">
      <c r="A11" s="47">
        <v>11224090</v>
      </c>
      <c r="B11" s="47">
        <v>0</v>
      </c>
      <c r="C11" s="47">
        <v>10</v>
      </c>
      <c r="D11" s="47">
        <v>100</v>
      </c>
      <c r="E11" s="47" t="s">
        <v>53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si="3"/>
        <v>100</v>
      </c>
    </row>
    <row r="12" spans="1:11" ht="21" customHeight="1" x14ac:dyDescent="0.15">
      <c r="A12" s="47">
        <v>11224091</v>
      </c>
      <c r="B12" s="47">
        <v>0</v>
      </c>
      <c r="C12" s="47">
        <v>100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47">
        <v>976</v>
      </c>
      <c r="J12" s="48">
        <f t="shared" ref="J12" si="4">D12</f>
        <v>100</v>
      </c>
    </row>
    <row r="13" spans="1:11" ht="21" customHeight="1" x14ac:dyDescent="0.15">
      <c r="A13" s="47">
        <v>11224100</v>
      </c>
      <c r="B13" s="47">
        <v>0</v>
      </c>
      <c r="C13" s="47">
        <v>0</v>
      </c>
      <c r="D13" s="47">
        <v>100</v>
      </c>
      <c r="E13" s="47" t="s">
        <v>53</v>
      </c>
      <c r="F13" s="47" t="s">
        <v>53</v>
      </c>
      <c r="G13" s="47" t="s">
        <v>53</v>
      </c>
      <c r="H13" s="47" t="s">
        <v>53</v>
      </c>
      <c r="I13" s="47" t="s">
        <v>53</v>
      </c>
      <c r="J13" s="48">
        <f t="shared" ref="J13:J15" si="5">D13</f>
        <v>100</v>
      </c>
    </row>
    <row r="14" spans="1:11" ht="21" customHeight="1" x14ac:dyDescent="0.15">
      <c r="A14" s="47">
        <v>11224101</v>
      </c>
      <c r="B14" s="47">
        <v>0</v>
      </c>
      <c r="C14" s="47">
        <v>0</v>
      </c>
      <c r="D14" s="47">
        <v>100</v>
      </c>
      <c r="E14" s="47" t="s">
        <v>53</v>
      </c>
      <c r="F14" s="47" t="s">
        <v>53</v>
      </c>
      <c r="G14" s="47" t="s">
        <v>53</v>
      </c>
      <c r="H14" s="47">
        <v>10</v>
      </c>
      <c r="I14" s="47" t="s">
        <v>53</v>
      </c>
      <c r="J14" s="48">
        <f t="shared" ref="J14" si="6">D14</f>
        <v>100</v>
      </c>
    </row>
    <row r="15" spans="1:11" ht="21" customHeight="1" x14ac:dyDescent="0.15">
      <c r="A15" s="47">
        <v>11224997</v>
      </c>
      <c r="B15" s="47">
        <v>0</v>
      </c>
      <c r="C15" s="47">
        <v>0</v>
      </c>
      <c r="D15" s="47">
        <v>100</v>
      </c>
      <c r="E15" s="47" t="s">
        <v>53</v>
      </c>
      <c r="F15" s="47" t="s">
        <v>53</v>
      </c>
      <c r="G15" s="47">
        <v>1</v>
      </c>
      <c r="H15" s="47" t="s">
        <v>53</v>
      </c>
      <c r="I15" s="47">
        <v>976</v>
      </c>
      <c r="J15" s="48">
        <f t="shared" si="5"/>
        <v>100</v>
      </c>
    </row>
    <row r="16" spans="1:11" ht="21" customHeight="1" x14ac:dyDescent="0.15">
      <c r="A16" s="47">
        <v>11224998</v>
      </c>
      <c r="B16" s="47">
        <v>0</v>
      </c>
      <c r="C16" s="47">
        <v>0</v>
      </c>
      <c r="D16" s="47">
        <v>100</v>
      </c>
      <c r="E16" s="47" t="s">
        <v>53</v>
      </c>
      <c r="F16" s="47" t="s">
        <v>53</v>
      </c>
      <c r="G16" s="47">
        <v>1</v>
      </c>
      <c r="H16" s="47" t="s">
        <v>53</v>
      </c>
      <c r="I16" s="47">
        <v>350</v>
      </c>
      <c r="J16" s="48">
        <f t="shared" ref="J16" si="7">D16</f>
        <v>100</v>
      </c>
    </row>
    <row r="17" spans="1:10" ht="21" customHeight="1" x14ac:dyDescent="0.15">
      <c r="A17" s="47">
        <v>11224999</v>
      </c>
      <c r="B17" s="47">
        <v>0</v>
      </c>
      <c r="C17" s="47">
        <v>101</v>
      </c>
      <c r="D17" s="47">
        <v>100</v>
      </c>
      <c r="E17" s="47" t="s">
        <v>53</v>
      </c>
      <c r="F17" s="47" t="s">
        <v>53</v>
      </c>
      <c r="G17" s="47">
        <v>0</v>
      </c>
      <c r="H17" s="47" t="s">
        <v>53</v>
      </c>
      <c r="I17" s="47">
        <v>0</v>
      </c>
      <c r="J17" s="48">
        <f t="shared" ref="J17" si="8">D17</f>
        <v>100</v>
      </c>
    </row>
  </sheetData>
  <autoFilter ref="A1:G1"/>
  <phoneticPr fontId="5"/>
  <conditionalFormatting sqref="K18:K1048576 K1:K2">
    <cfRule type="duplicateValues" dxfId="15" priority="16"/>
  </conditionalFormatting>
  <conditionalFormatting sqref="K3">
    <cfRule type="duplicateValues" dxfId="14" priority="15"/>
  </conditionalFormatting>
  <conditionalFormatting sqref="K4">
    <cfRule type="duplicateValues" dxfId="13" priority="14"/>
  </conditionalFormatting>
  <conditionalFormatting sqref="K5">
    <cfRule type="duplicateValues" dxfId="12" priority="13"/>
  </conditionalFormatting>
  <conditionalFormatting sqref="K6">
    <cfRule type="duplicateValues" dxfId="11" priority="12"/>
  </conditionalFormatting>
  <conditionalFormatting sqref="K7">
    <cfRule type="duplicateValues" dxfId="10" priority="11"/>
  </conditionalFormatting>
  <conditionalFormatting sqref="K8">
    <cfRule type="duplicateValues" dxfId="9" priority="10"/>
  </conditionalFormatting>
  <conditionalFormatting sqref="K9">
    <cfRule type="duplicateValues" dxfId="8" priority="9"/>
  </conditionalFormatting>
  <conditionalFormatting sqref="K10">
    <cfRule type="duplicateValues" dxfId="7" priority="8"/>
  </conditionalFormatting>
  <conditionalFormatting sqref="K11">
    <cfRule type="duplicateValues" dxfId="6" priority="7"/>
  </conditionalFormatting>
  <conditionalFormatting sqref="K13">
    <cfRule type="duplicateValues" dxfId="5" priority="6"/>
  </conditionalFormatting>
  <conditionalFormatting sqref="K17">
    <cfRule type="duplicateValues" dxfId="4" priority="5"/>
  </conditionalFormatting>
  <conditionalFormatting sqref="K12">
    <cfRule type="duplicateValues" dxfId="3" priority="4"/>
  </conditionalFormatting>
  <conditionalFormatting sqref="K15">
    <cfRule type="duplicateValues" dxfId="2" priority="3"/>
  </conditionalFormatting>
  <conditionalFormatting sqref="K16">
    <cfRule type="duplicateValues" dxfId="1" priority="2"/>
  </conditionalFormatting>
  <conditionalFormatting sqref="K1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"/>
  <sheetViews>
    <sheetView showGridLines="0" workbookViewId="0">
      <pane ySplit="1" topLeftCell="A2" activePane="bottomLeft" state="frozen"/>
      <selection pane="bottomLeft" activeCell="A4" sqref="A4:XFD4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31.6640625" customWidth="1"/>
    <col min="12" max="12" width="42.6640625" customWidth="1"/>
  </cols>
  <sheetData>
    <row r="1" spans="1:13" x14ac:dyDescent="0.15">
      <c r="A1" s="75" t="s">
        <v>180</v>
      </c>
      <c r="B1" s="71" t="s">
        <v>181</v>
      </c>
      <c r="C1" s="76" t="s">
        <v>182</v>
      </c>
      <c r="D1" s="76" t="s">
        <v>33</v>
      </c>
      <c r="E1" s="71" t="s">
        <v>183</v>
      </c>
      <c r="F1" s="76" t="s">
        <v>184</v>
      </c>
      <c r="G1" s="76" t="s">
        <v>33</v>
      </c>
      <c r="H1" s="71" t="s">
        <v>185</v>
      </c>
      <c r="I1" s="91" t="s">
        <v>187</v>
      </c>
      <c r="J1" s="78" t="s">
        <v>126</v>
      </c>
      <c r="K1" s="71" t="s">
        <v>178</v>
      </c>
      <c r="L1" s="72" t="s">
        <v>177</v>
      </c>
      <c r="M1" s="79" t="s">
        <v>188</v>
      </c>
    </row>
    <row r="2" spans="1:13" ht="84" x14ac:dyDescent="0.15">
      <c r="A2" s="80" t="s">
        <v>193</v>
      </c>
      <c r="B2" s="81">
        <f>floors!$C$2</f>
        <v>11224</v>
      </c>
      <c r="C2" s="99" t="str">
        <f ca="1">VLOOKUP($B2,OFFSET([2]quests!$A$1,0,0,COUNTA([2]quests!$A:$A),MATCH(C$1,[2]quests!$1:$1,0)-MATCH($B$1,[2]quests!$1:$1,0)+1),MATCH(C$1,[2]quests!$1:$1,0)-MATCH($B$1,[2]quests!$1:$1,0)+1,FALSE)</f>
        <v>TVCM放送記念★特別クエスト</v>
      </c>
      <c r="D2" s="99" t="str">
        <f ca="1">VLOOKUP($B2,OFFSET([2]quests!$A$1,0,0,COUNTA([2]quests!$A:$A),MATCH(D$1,[2]quests!$1:$1,0)-MATCH($B$1,[2]quests!$1:$1,0)+1),MATCH(D$1,[2]quests!$1:$1,0)-MATCH($B$1,[2]quests!$1:$1,0)+1,FALSE)</f>
        <v>TVCM放送記念★特別クエスト</v>
      </c>
      <c r="E2" s="86">
        <v>1</v>
      </c>
      <c r="F2" s="99" t="str">
        <f ca="1">VLOOKUP($B2&amp;"_"&amp;$E2,OFFSET([2]stages!$A$1,0,0,COUNTA([2]stages!$A:$A),MATCH(F$1,[2]stages!$2:$2,0)-MATCH("temp_stage",[2]stages!$2:$2,0)+1),MATCH(F$1,[2]stages!$2:$2,0)-MATCH("temp_stage",[2]stages!$2:$2,0)+1,FALSE)</f>
        <v>【超ウザード級】ウザリーマン襲来！</v>
      </c>
      <c r="G2" s="99" t="str">
        <f ca="1">VLOOKUP($B2&amp;"_"&amp;$E2,OFFSET([2]stages!$A$1,0,0,COUNTA([2]stages!$A:$A),MATCH(G$1,[2]stages!$2:$2,0)-MATCH("temp_stage",[2]stages!$2:$2,0)+1),MATCH(G$1,[2]stages!$2:$2,0)-MATCH("temp_stage",[2]stages!$2:$2,0)+1,FALSE)</f>
        <v>TVCM放送記念★特別クエスト</v>
      </c>
      <c r="H2" s="100">
        <v>0</v>
      </c>
      <c r="I2" s="57">
        <v>112241</v>
      </c>
      <c r="J2" s="83" t="s">
        <v>190</v>
      </c>
      <c r="K2" s="102" t="s">
        <v>279</v>
      </c>
      <c r="L2" s="101" t="s">
        <v>259</v>
      </c>
      <c r="M2" s="57" t="s">
        <v>204</v>
      </c>
    </row>
    <row r="3" spans="1:13" ht="56" x14ac:dyDescent="0.15">
      <c r="A3" s="80" t="s">
        <v>189</v>
      </c>
      <c r="B3" s="81">
        <f>floors!$C$2</f>
        <v>11224</v>
      </c>
      <c r="C3" s="99" t="str">
        <f ca="1">VLOOKUP($B3,OFFSET([2]quests!$A$1,0,0,COUNTA([2]quests!$A:$A),MATCH(C$1,[2]quests!$1:$1,0)-MATCH($B$1,[2]quests!$1:$1,0)+1),MATCH(C$1,[2]quests!$1:$1,0)-MATCH($B$1,[2]quests!$1:$1,0)+1,FALSE)</f>
        <v>TVCM放送記念★特別クエスト</v>
      </c>
      <c r="D3" s="99" t="str">
        <f ca="1">VLOOKUP($B3,OFFSET([2]quests!$A$1,0,0,COUNTA([2]quests!$A:$A),MATCH(D$1,[2]quests!$1:$1,0)-MATCH($B$1,[2]quests!$1:$1,0)+1),MATCH(D$1,[2]quests!$1:$1,0)-MATCH($B$1,[2]quests!$1:$1,0)+1,FALSE)</f>
        <v>TVCM放送記念★特別クエスト</v>
      </c>
      <c r="E3" s="86">
        <v>1</v>
      </c>
      <c r="F3" s="99" t="str">
        <f ca="1">VLOOKUP($B3&amp;"_"&amp;$E3,OFFSET([2]stages!$A$1,0,0,COUNTA([2]stages!$A:$A),MATCH(F$1,[2]stages!$2:$2,0)-MATCH("temp_stage",[2]stages!$2:$2,0)+1),MATCH(F$1,[2]stages!$2:$2,0)-MATCH("temp_stage",[2]stages!$2:$2,0)+1,FALSE)</f>
        <v>【超ウザード級】ウザリーマン襲来！</v>
      </c>
      <c r="G3" s="99" t="str">
        <f ca="1">VLOOKUP($B3&amp;"_"&amp;$E3,OFFSET([2]stages!$A$1,0,0,COUNTA([2]stages!$A:$A),MATCH(G$1,[2]stages!$2:$2,0)-MATCH("temp_stage",[2]stages!$2:$2,0)+1),MATCH(G$1,[2]stages!$2:$2,0)-MATCH("temp_stage",[2]stages!$2:$2,0)+1,FALSE)</f>
        <v>TVCM放送記念★特別クエスト</v>
      </c>
      <c r="H3" s="100">
        <v>0</v>
      </c>
      <c r="I3" s="57">
        <v>112242</v>
      </c>
      <c r="J3" s="83" t="s">
        <v>127</v>
      </c>
      <c r="K3" s="102" t="s">
        <v>293</v>
      </c>
      <c r="L3" s="101" t="s">
        <v>294</v>
      </c>
      <c r="M3" s="57" t="s">
        <v>192</v>
      </c>
    </row>
    <row r="4" spans="1:13" x14ac:dyDescent="0.15">
      <c r="K4">
        <f>LEN(K3)</f>
        <v>14</v>
      </c>
      <c r="L4">
        <f>LEN(L3)</f>
        <v>46</v>
      </c>
    </row>
  </sheetData>
  <phoneticPr fontId="5"/>
  <dataValidations count="1">
    <dataValidation type="list" allowBlank="1" showInputMessage="1" showErrorMessage="1" sqref="A2:A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K2" sqref="K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180</v>
      </c>
      <c r="B1" s="71" t="s">
        <v>150</v>
      </c>
      <c r="C1" s="76" t="s">
        <v>182</v>
      </c>
      <c r="D1" s="76" t="s">
        <v>33</v>
      </c>
      <c r="E1" s="71" t="s">
        <v>183</v>
      </c>
      <c r="F1" s="76" t="s">
        <v>18</v>
      </c>
      <c r="G1" s="76" t="s">
        <v>33</v>
      </c>
      <c r="H1" s="71" t="s">
        <v>185</v>
      </c>
      <c r="I1" s="89" t="s">
        <v>186</v>
      </c>
      <c r="J1" s="91" t="s">
        <v>187</v>
      </c>
      <c r="K1" s="78" t="s">
        <v>126</v>
      </c>
      <c r="L1" s="77" t="s">
        <v>178</v>
      </c>
      <c r="M1" s="92" t="s">
        <v>177</v>
      </c>
      <c r="N1" s="79" t="s">
        <v>188</v>
      </c>
    </row>
    <row r="2" spans="1:14" x14ac:dyDescent="0.15">
      <c r="A2" s="80" t="s">
        <v>189</v>
      </c>
      <c r="B2" s="81">
        <f>floors!$C$2</f>
        <v>11224</v>
      </c>
      <c r="C2" s="82" t="str">
        <f ca="1">VLOOKUP($B2,OFFSET([2]quests!$A$1,0,0,COUNTA([2]quests!$A:$A),MATCH(C$1,[2]quests!$1:$1,0)-MATCH($B$1,[2]quests!$1:$1,0)+1),MATCH(C$1,[2]quests!$1:$1,0)-MATCH($B$1,[2]quests!$1:$1,0)+1,FALSE)</f>
        <v>TVCM放送記念★特別クエスト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TVCM放送記念★特別クエスト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【超ウザード級】ウザリーマン襲来！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TVCM放送記念★特別クエスト</v>
      </c>
      <c r="H2" s="84">
        <v>0</v>
      </c>
      <c r="I2" s="90">
        <f>ROW()-1</f>
        <v>1</v>
      </c>
      <c r="J2" s="85" t="str">
        <f>B2&amp;TEXT(I2,"00")</f>
        <v>1122401</v>
      </c>
      <c r="K2" s="83" t="s">
        <v>190</v>
      </c>
      <c r="L2" s="86" t="s">
        <v>191</v>
      </c>
      <c r="M2" s="87" t="s">
        <v>194</v>
      </c>
      <c r="N2" s="57" t="s">
        <v>192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2016-05-15T16:07:24Z</dcterms:modified>
</cp:coreProperties>
</file>