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user/BULL_data/master_excel/"/>
    </mc:Choice>
  </mc:AlternateContent>
  <bookViews>
    <workbookView xWindow="560" yWindow="460" windowWidth="25500" windowHeight="13860" tabRatio="936"/>
  </bookViews>
  <sheets>
    <sheet name="output" sheetId="16" r:id="rId1"/>
    <sheet name="floors" sheetId="2" r:id="rId2"/>
    <sheet name="ranking_stages" sheetId="24" r:id="rId3"/>
    <sheet name="clear_turn" sheetId="25" r:id="rId4"/>
    <sheet name="damege_give" sheetId="27" r:id="rId5"/>
    <sheet name="damage_receive" sheetId="26" r:id="rId6"/>
    <sheet name="ranking_eval" sheetId="28" r:id="rId7"/>
    <sheet name="ranking_eval_gift" sheetId="29" r:id="rId8"/>
    <sheet name="ranking_ACH" sheetId="22" r:id="rId9"/>
    <sheet name="enemy_habitats" sheetId="1" r:id="rId10"/>
    <sheet name="enemy_habitat_S" sheetId="7" r:id="rId11"/>
    <sheet name="enemy_skill_sets" sheetId="9" r:id="rId12"/>
    <sheet name="enemy_skills" sheetId="10" r:id="rId13"/>
    <sheet name="enemy_skill_triggers" sheetId="11" r:id="rId14"/>
    <sheet name="bugbonuses" sheetId="18" r:id="rId15"/>
    <sheet name="stage_hints_complete" sheetId="19" r:id="rId16"/>
    <sheet name="stage_hints_failure" sheetId="21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xlnm._FilterDatabase" localSheetId="10" hidden="1">enemy_habitat_S!$B$1:$Y$2</definedName>
    <definedName name="_xlnm._FilterDatabase" localSheetId="9" hidden="1">enemy_habitats!$B$1:$AH$2</definedName>
    <definedName name="_xlnm._FilterDatabase" localSheetId="11" hidden="1">enemy_skill_sets!$A$1:$R$1</definedName>
    <definedName name="_xlnm._FilterDatabase" localSheetId="13" hidden="1">enemy_skill_triggers!$A$1:$G$1</definedName>
    <definedName name="_xlnm._FilterDatabase" localSheetId="12" hidden="1">enemy_skills!$A$1:$AB$1</definedName>
    <definedName name="_xlnm._FilterDatabase" localSheetId="15" hidden="1">stage_hints_complete!$B$1:$L$2</definedName>
    <definedName name="_xlnm._FilterDatabase" localSheetId="16" hidden="1">stage_hints_failure!$B$1:$M$2</definedName>
    <definedName name="Excel_BuiltIn__FilterDatabase_6_1" localSheetId="11">[1]unit_skills!#REF!</definedName>
    <definedName name="Excel_BuiltIn__FilterDatabase_6_1" localSheetId="13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4" i="16" l="1"/>
  <c r="J69" i="11"/>
  <c r="O41" i="9"/>
  <c r="N41" i="9"/>
  <c r="M41" i="9"/>
  <c r="L41" i="9"/>
  <c r="K41" i="9"/>
  <c r="J41" i="9"/>
  <c r="I41" i="9"/>
  <c r="H41" i="9"/>
  <c r="G41" i="9"/>
  <c r="E41" i="9"/>
  <c r="D41" i="9"/>
  <c r="A41" i="9"/>
  <c r="F42" i="22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G2" i="22"/>
  <c r="C2" i="22"/>
  <c r="B2" i="22"/>
  <c r="AD41" i="10"/>
  <c r="AC41" i="10"/>
  <c r="AD40" i="10"/>
  <c r="AC40" i="10"/>
  <c r="AD39" i="10"/>
  <c r="AC39" i="10"/>
  <c r="AD38" i="10"/>
  <c r="AC38" i="10"/>
  <c r="AD37" i="10"/>
  <c r="AC37" i="10"/>
  <c r="AD36" i="10"/>
  <c r="AC36" i="10"/>
  <c r="AD35" i="10"/>
  <c r="AC35" i="10"/>
  <c r="AD34" i="10"/>
  <c r="AC34" i="10"/>
  <c r="AD33" i="10"/>
  <c r="AC33" i="10"/>
  <c r="AD32" i="10"/>
  <c r="AC32" i="10"/>
  <c r="AD31" i="10"/>
  <c r="AC31" i="10"/>
  <c r="AD30" i="10"/>
  <c r="AC30" i="10"/>
  <c r="AD29" i="10"/>
  <c r="AC29" i="10"/>
  <c r="AD28" i="10"/>
  <c r="AC28" i="10"/>
  <c r="AD27" i="10"/>
  <c r="AC27" i="10"/>
  <c r="AD26" i="10"/>
  <c r="AC26" i="10"/>
  <c r="AD25" i="10"/>
  <c r="AC25" i="10"/>
  <c r="AD24" i="10"/>
  <c r="AC24" i="10"/>
  <c r="AD23" i="10"/>
  <c r="AC23" i="10"/>
  <c r="AD22" i="10"/>
  <c r="AC22" i="10"/>
  <c r="AD21" i="10"/>
  <c r="AC21" i="10"/>
  <c r="AD20" i="10"/>
  <c r="AC20" i="10"/>
  <c r="AD19" i="10"/>
  <c r="AC19" i="10"/>
  <c r="AD18" i="10"/>
  <c r="AC18" i="10"/>
  <c r="AD17" i="10"/>
  <c r="AC17" i="10"/>
  <c r="AD16" i="10"/>
  <c r="AC16" i="10"/>
  <c r="AD15" i="10"/>
  <c r="AC15" i="10"/>
  <c r="AD14" i="10"/>
  <c r="AC14" i="10"/>
  <c r="AD13" i="10"/>
  <c r="AC13" i="10"/>
  <c r="AD12" i="10"/>
  <c r="AC12" i="10"/>
  <c r="AD11" i="10"/>
  <c r="AC11" i="10"/>
  <c r="AD10" i="10"/>
  <c r="AC10" i="10"/>
  <c r="AD9" i="10"/>
  <c r="AC9" i="10"/>
  <c r="AD8" i="10"/>
  <c r="AC8" i="10"/>
  <c r="AD7" i="10"/>
  <c r="AC7" i="10"/>
  <c r="AD6" i="10"/>
  <c r="AC6" i="10"/>
  <c r="AD5" i="10"/>
  <c r="AC5" i="10"/>
  <c r="AD4" i="10"/>
  <c r="AC4" i="10"/>
  <c r="AD3" i="10"/>
  <c r="AC3" i="10"/>
  <c r="AD2" i="10"/>
  <c r="AC2" i="10"/>
  <c r="J47" i="11"/>
  <c r="O26" i="9"/>
  <c r="N26" i="9"/>
  <c r="M26" i="9"/>
  <c r="L26" i="9"/>
  <c r="K26" i="9"/>
  <c r="J26" i="9"/>
  <c r="I26" i="9"/>
  <c r="H26" i="9"/>
  <c r="G26" i="9"/>
  <c r="E26" i="9"/>
  <c r="D26" i="9"/>
  <c r="A26" i="9"/>
  <c r="C21" i="27"/>
  <c r="C11" i="27"/>
  <c r="C23" i="25"/>
  <c r="C13" i="27"/>
  <c r="C15" i="27"/>
  <c r="C12" i="27"/>
  <c r="C14" i="27"/>
  <c r="B13" i="27"/>
  <c r="B15" i="27"/>
  <c r="B12" i="27"/>
  <c r="B14" i="27"/>
  <c r="D14" i="27"/>
  <c r="D13" i="27"/>
  <c r="D12" i="27"/>
  <c r="D11" i="27"/>
  <c r="C22" i="27"/>
  <c r="B22" i="27"/>
  <c r="D21" i="27"/>
  <c r="C23" i="27"/>
  <c r="B23" i="27"/>
  <c r="D22" i="27"/>
  <c r="C24" i="27"/>
  <c r="B24" i="27"/>
  <c r="D23" i="27"/>
  <c r="C25" i="27"/>
  <c r="B25" i="27"/>
  <c r="D24" i="27"/>
  <c r="C17" i="27"/>
  <c r="C7" i="27"/>
  <c r="C3" i="27"/>
  <c r="C5" i="27"/>
  <c r="C9" i="27"/>
  <c r="C19" i="27"/>
  <c r="C28" i="27"/>
  <c r="E15" i="27"/>
  <c r="E14" i="27"/>
  <c r="E25" i="27"/>
  <c r="E24" i="27"/>
  <c r="A2" i="18"/>
  <c r="C2" i="18"/>
  <c r="D2" i="18"/>
  <c r="F81" i="26"/>
  <c r="D80" i="26"/>
  <c r="E80" i="26"/>
  <c r="F80" i="26"/>
  <c r="D79" i="26"/>
  <c r="E79" i="26"/>
  <c r="F79" i="26"/>
  <c r="D78" i="26"/>
  <c r="E78" i="26"/>
  <c r="F78" i="26"/>
  <c r="D77" i="26"/>
  <c r="E77" i="26"/>
  <c r="F77" i="26"/>
  <c r="D76" i="26"/>
  <c r="E76" i="26"/>
  <c r="F76" i="26"/>
  <c r="D75" i="26"/>
  <c r="E75" i="26"/>
  <c r="F75" i="26"/>
  <c r="D74" i="26"/>
  <c r="E74" i="26"/>
  <c r="F74" i="26"/>
  <c r="D73" i="26"/>
  <c r="E73" i="26"/>
  <c r="F73" i="26"/>
  <c r="D72" i="26"/>
  <c r="E72" i="26"/>
  <c r="F72" i="26"/>
  <c r="D71" i="26"/>
  <c r="E71" i="26"/>
  <c r="F71" i="26"/>
  <c r="D70" i="26"/>
  <c r="E70" i="26"/>
  <c r="F70" i="26"/>
  <c r="D69" i="26"/>
  <c r="E69" i="26"/>
  <c r="F69" i="26"/>
  <c r="D68" i="26"/>
  <c r="E68" i="26"/>
  <c r="F68" i="26"/>
  <c r="D67" i="26"/>
  <c r="E67" i="26"/>
  <c r="F67" i="26"/>
  <c r="D66" i="26"/>
  <c r="E66" i="26"/>
  <c r="F66" i="26"/>
  <c r="D65" i="26"/>
  <c r="E65" i="26"/>
  <c r="F65" i="26"/>
  <c r="D64" i="26"/>
  <c r="E64" i="26"/>
  <c r="F64" i="26"/>
  <c r="D63" i="26"/>
  <c r="E63" i="26"/>
  <c r="F63" i="26"/>
  <c r="F62" i="26"/>
  <c r="D61" i="26"/>
  <c r="E61" i="26"/>
  <c r="F61" i="26"/>
  <c r="D60" i="26"/>
  <c r="E60" i="26"/>
  <c r="F60" i="26"/>
  <c r="D59" i="26"/>
  <c r="E59" i="26"/>
  <c r="F59" i="26"/>
  <c r="D58" i="26"/>
  <c r="E58" i="26"/>
  <c r="F58" i="26"/>
  <c r="D57" i="26"/>
  <c r="E57" i="26"/>
  <c r="F57" i="26"/>
  <c r="D56" i="26"/>
  <c r="E56" i="26"/>
  <c r="F56" i="26"/>
  <c r="D55" i="26"/>
  <c r="E55" i="26"/>
  <c r="F55" i="26"/>
  <c r="D54" i="26"/>
  <c r="E54" i="26"/>
  <c r="F54" i="26"/>
  <c r="D53" i="26"/>
  <c r="E53" i="26"/>
  <c r="F53" i="26"/>
  <c r="D52" i="26"/>
  <c r="E52" i="26"/>
  <c r="F52" i="26"/>
  <c r="D51" i="26"/>
  <c r="E51" i="26"/>
  <c r="F51" i="26"/>
  <c r="D50" i="26"/>
  <c r="E50" i="26"/>
  <c r="F50" i="26"/>
  <c r="D49" i="26"/>
  <c r="E49" i="26"/>
  <c r="F49" i="26"/>
  <c r="F48" i="26"/>
  <c r="D47" i="26"/>
  <c r="E47" i="26"/>
  <c r="F47" i="26"/>
  <c r="D46" i="26"/>
  <c r="E46" i="26"/>
  <c r="F46" i="26"/>
  <c r="D45" i="26"/>
  <c r="E45" i="26"/>
  <c r="F45" i="26"/>
  <c r="D44" i="26"/>
  <c r="E44" i="26"/>
  <c r="F44" i="26"/>
  <c r="D43" i="26"/>
  <c r="E43" i="26"/>
  <c r="F43" i="26"/>
  <c r="D42" i="26"/>
  <c r="E42" i="26"/>
  <c r="F42" i="26"/>
  <c r="D41" i="26"/>
  <c r="E41" i="26"/>
  <c r="F41" i="26"/>
  <c r="D40" i="26"/>
  <c r="E40" i="26"/>
  <c r="F40" i="26"/>
  <c r="D39" i="26"/>
  <c r="E39" i="26"/>
  <c r="F39" i="26"/>
  <c r="D38" i="26"/>
  <c r="E38" i="26"/>
  <c r="F38" i="26"/>
  <c r="D37" i="26"/>
  <c r="E37" i="26"/>
  <c r="F37" i="26"/>
  <c r="D36" i="26"/>
  <c r="E36" i="26"/>
  <c r="F36" i="26"/>
  <c r="D35" i="26"/>
  <c r="E35" i="26"/>
  <c r="F35" i="26"/>
  <c r="D34" i="26"/>
  <c r="E34" i="26"/>
  <c r="F34" i="26"/>
  <c r="D33" i="26"/>
  <c r="E33" i="26"/>
  <c r="F33" i="26"/>
  <c r="D32" i="26"/>
  <c r="E32" i="26"/>
  <c r="F32" i="26"/>
  <c r="D31" i="26"/>
  <c r="E31" i="26"/>
  <c r="F31" i="26"/>
  <c r="D30" i="26"/>
  <c r="E30" i="26"/>
  <c r="F30" i="26"/>
  <c r="F29" i="26"/>
  <c r="C29" i="26"/>
  <c r="C28" i="26"/>
  <c r="D28" i="26"/>
  <c r="E28" i="26"/>
  <c r="F28" i="26"/>
  <c r="C27" i="26"/>
  <c r="D27" i="26"/>
  <c r="E27" i="26"/>
  <c r="F27" i="26"/>
  <c r="C26" i="26"/>
  <c r="D26" i="26"/>
  <c r="E26" i="26"/>
  <c r="F26" i="26"/>
  <c r="C25" i="26"/>
  <c r="D25" i="26"/>
  <c r="E25" i="26"/>
  <c r="F25" i="26"/>
  <c r="C24" i="26"/>
  <c r="D24" i="26"/>
  <c r="E24" i="26"/>
  <c r="F24" i="26"/>
  <c r="C23" i="26"/>
  <c r="D23" i="26"/>
  <c r="E23" i="26"/>
  <c r="F23" i="26"/>
  <c r="C22" i="26"/>
  <c r="D22" i="26"/>
  <c r="E22" i="26"/>
  <c r="F22" i="26"/>
  <c r="C21" i="26"/>
  <c r="D21" i="26"/>
  <c r="E21" i="26"/>
  <c r="F21" i="26"/>
  <c r="C20" i="26"/>
  <c r="D20" i="26"/>
  <c r="E20" i="26"/>
  <c r="F20" i="26"/>
  <c r="C19" i="26"/>
  <c r="D19" i="26"/>
  <c r="E19" i="26"/>
  <c r="F19" i="26"/>
  <c r="C18" i="26"/>
  <c r="D18" i="26"/>
  <c r="E18" i="26"/>
  <c r="F18" i="26"/>
  <c r="C17" i="26"/>
  <c r="D17" i="26"/>
  <c r="E17" i="26"/>
  <c r="F17" i="26"/>
  <c r="D16" i="26"/>
  <c r="E16" i="26"/>
  <c r="F16" i="26"/>
  <c r="F15" i="26"/>
  <c r="C15" i="26"/>
  <c r="C14" i="26"/>
  <c r="D14" i="26"/>
  <c r="E14" i="26"/>
  <c r="F14" i="26"/>
  <c r="C13" i="26"/>
  <c r="D13" i="26"/>
  <c r="E13" i="26"/>
  <c r="F13" i="26"/>
  <c r="C12" i="26"/>
  <c r="D12" i="26"/>
  <c r="E12" i="26"/>
  <c r="F12" i="26"/>
  <c r="C11" i="26"/>
  <c r="D11" i="26"/>
  <c r="E11" i="26"/>
  <c r="F11" i="26"/>
  <c r="C10" i="26"/>
  <c r="D10" i="26"/>
  <c r="E10" i="26"/>
  <c r="F10" i="26"/>
  <c r="C9" i="26"/>
  <c r="D9" i="26"/>
  <c r="E9" i="26"/>
  <c r="F9" i="26"/>
  <c r="C8" i="26"/>
  <c r="D8" i="26"/>
  <c r="E8" i="26"/>
  <c r="F8" i="26"/>
  <c r="C7" i="26"/>
  <c r="D7" i="26"/>
  <c r="E7" i="26"/>
  <c r="F7" i="26"/>
  <c r="C6" i="26"/>
  <c r="D6" i="26"/>
  <c r="E6" i="26"/>
  <c r="F6" i="26"/>
  <c r="C5" i="26"/>
  <c r="D5" i="26"/>
  <c r="E5" i="26"/>
  <c r="F5" i="26"/>
  <c r="C4" i="26"/>
  <c r="D4" i="26"/>
  <c r="E4" i="26"/>
  <c r="F4" i="26"/>
  <c r="C3" i="26"/>
  <c r="D3" i="26"/>
  <c r="E3" i="26"/>
  <c r="F3" i="26"/>
  <c r="D2" i="26"/>
  <c r="E2" i="26"/>
  <c r="F2" i="26"/>
  <c r="E23" i="27"/>
  <c r="E22" i="27"/>
  <c r="E21" i="27"/>
  <c r="D20" i="27"/>
  <c r="E20" i="27"/>
  <c r="B19" i="27"/>
  <c r="E19" i="27"/>
  <c r="C18" i="27"/>
  <c r="B18" i="27"/>
  <c r="D18" i="27"/>
  <c r="E18" i="27"/>
  <c r="D17" i="27"/>
  <c r="E17" i="27"/>
  <c r="D16" i="27"/>
  <c r="E16" i="27"/>
  <c r="E13" i="27"/>
  <c r="E12" i="27"/>
  <c r="E11" i="27"/>
  <c r="D10" i="27"/>
  <c r="E10" i="27"/>
  <c r="B9" i="27"/>
  <c r="E9" i="27"/>
  <c r="C8" i="27"/>
  <c r="B8" i="27"/>
  <c r="D8" i="27"/>
  <c r="E8" i="27"/>
  <c r="D7" i="27"/>
  <c r="E7" i="27"/>
  <c r="D6" i="27"/>
  <c r="E6" i="27"/>
  <c r="B5" i="27"/>
  <c r="E5" i="27"/>
  <c r="C4" i="27"/>
  <c r="B4" i="27"/>
  <c r="D4" i="27"/>
  <c r="E4" i="27"/>
  <c r="D3" i="27"/>
  <c r="E3" i="27"/>
  <c r="D2" i="27"/>
  <c r="E2" i="27"/>
  <c r="D20" i="25"/>
  <c r="E20" i="25"/>
  <c r="D19" i="25"/>
  <c r="E19" i="25"/>
  <c r="D18" i="25"/>
  <c r="E18" i="25"/>
  <c r="D16" i="25"/>
  <c r="E16" i="25"/>
  <c r="D15" i="25"/>
  <c r="E15" i="25"/>
  <c r="D14" i="25"/>
  <c r="E14" i="25"/>
  <c r="D12" i="25"/>
  <c r="E12" i="25"/>
  <c r="D11" i="25"/>
  <c r="E11" i="25"/>
  <c r="D10" i="25"/>
  <c r="E10" i="25"/>
  <c r="D8" i="25"/>
  <c r="E8" i="25"/>
  <c r="D7" i="25"/>
  <c r="E7" i="25"/>
  <c r="D6" i="25"/>
  <c r="E6" i="25"/>
  <c r="D4" i="25"/>
  <c r="E4" i="25"/>
  <c r="D3" i="25"/>
  <c r="E3" i="25"/>
  <c r="D2" i="25"/>
  <c r="E2" i="25"/>
  <c r="J71" i="11"/>
  <c r="J70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W4" i="7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G6" i="2"/>
  <c r="A6" i="2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AB9" i="1"/>
  <c r="AD9" i="1"/>
  <c r="AG9" i="1"/>
  <c r="AE9" i="1"/>
  <c r="AC9" i="1"/>
  <c r="E2" i="9"/>
  <c r="V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V8" i="1"/>
  <c r="Q8" i="1"/>
  <c r="P8" i="1"/>
  <c r="O8" i="1"/>
  <c r="N8" i="1"/>
  <c r="M8" i="1"/>
  <c r="H8" i="1"/>
  <c r="J8" i="1"/>
  <c r="I8" i="1"/>
  <c r="D8" i="1"/>
  <c r="F8" i="1"/>
  <c r="E8" i="1"/>
  <c r="A8" i="1"/>
  <c r="AB7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V4" i="1"/>
  <c r="Q4" i="1"/>
  <c r="P4" i="1"/>
  <c r="O4" i="1"/>
  <c r="N4" i="1"/>
  <c r="M4" i="1"/>
  <c r="H4" i="1"/>
  <c r="J4" i="1"/>
  <c r="I4" i="1"/>
  <c r="D4" i="1"/>
  <c r="F4" i="1"/>
  <c r="E4" i="1"/>
  <c r="A4" i="1"/>
  <c r="N6" i="2"/>
  <c r="M6" i="2"/>
  <c r="L6" i="2"/>
  <c r="N5" i="2"/>
  <c r="M5" i="2"/>
  <c r="L5" i="2"/>
  <c r="N4" i="2"/>
  <c r="M4" i="2"/>
  <c r="L4" i="2"/>
  <c r="N3" i="2"/>
  <c r="M3" i="2"/>
  <c r="L3" i="2"/>
  <c r="N2" i="2"/>
  <c r="M2" i="2"/>
  <c r="L2" i="2"/>
  <c r="H6" i="2"/>
  <c r="E6" i="2"/>
  <c r="D6" i="2"/>
  <c r="H2" i="1"/>
  <c r="H3" i="1"/>
  <c r="B6" i="2"/>
  <c r="H5" i="2"/>
  <c r="E5" i="2"/>
  <c r="D5" i="2"/>
  <c r="B5" i="2"/>
  <c r="H4" i="2"/>
  <c r="E4" i="2"/>
  <c r="D4" i="2"/>
  <c r="B4" i="2"/>
  <c r="H3" i="2"/>
  <c r="E3" i="2"/>
  <c r="D3" i="2"/>
  <c r="B3" i="2"/>
  <c r="C26" i="16"/>
  <c r="C25" i="16"/>
  <c r="C23" i="16"/>
  <c r="C22" i="16"/>
  <c r="C21" i="16"/>
  <c r="C20" i="16"/>
  <c r="C19" i="16"/>
  <c r="C18" i="16"/>
  <c r="C17" i="16"/>
  <c r="C16" i="16"/>
  <c r="C15" i="16"/>
  <c r="C14" i="16"/>
  <c r="C13" i="16"/>
  <c r="C12" i="16"/>
  <c r="C11" i="16"/>
  <c r="C10" i="16"/>
  <c r="E26" i="16"/>
  <c r="E25" i="16"/>
  <c r="E24" i="16"/>
  <c r="E8" i="16"/>
  <c r="E9" i="16"/>
  <c r="E5" i="16"/>
  <c r="E6" i="16"/>
  <c r="E7" i="16"/>
  <c r="E4" i="16"/>
  <c r="E2" i="24"/>
  <c r="B2" i="24"/>
  <c r="D2" i="2"/>
  <c r="F2" i="24"/>
  <c r="C2" i="24"/>
  <c r="E2" i="2"/>
  <c r="E23" i="16"/>
  <c r="E22" i="16"/>
  <c r="E20" i="16"/>
  <c r="E21" i="16"/>
  <c r="E3" i="16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B2" i="21"/>
  <c r="I2" i="21"/>
  <c r="J2" i="21"/>
  <c r="G2" i="21"/>
  <c r="F2" i="21"/>
  <c r="D2" i="21"/>
  <c r="C2" i="21"/>
  <c r="E19" i="16"/>
  <c r="E18" i="16"/>
  <c r="B2" i="19"/>
  <c r="G2" i="19"/>
  <c r="F2" i="19"/>
  <c r="D2" i="19"/>
  <c r="C2" i="19"/>
  <c r="E17" i="16"/>
  <c r="O2" i="9"/>
  <c r="N2" i="9"/>
  <c r="M2" i="9"/>
  <c r="L2" i="9"/>
  <c r="K2" i="9"/>
  <c r="J2" i="9"/>
  <c r="I2" i="9"/>
  <c r="H2" i="9"/>
  <c r="G2" i="9"/>
  <c r="D2" i="9"/>
  <c r="E16" i="16"/>
  <c r="W2" i="7"/>
  <c r="V2" i="1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15" i="16"/>
  <c r="E14" i="16"/>
  <c r="E13" i="16"/>
  <c r="E12" i="16"/>
  <c r="E11" i="16"/>
  <c r="E10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Microsoft Office ユーザー</author>
  </authors>
  <commentList>
    <comment ref="S8" authorId="0">
      <text>
        <r>
          <rPr>
            <b/>
            <sz val="11"/>
            <color indexed="81"/>
            <rFont val="ＭＳ Ｐゴシック"/>
            <family val="3"/>
            <charset val="128"/>
          </rPr>
          <t>Microsoft Office ユーザー:</t>
        </r>
        <r>
          <rPr>
            <sz val="11"/>
            <color indexed="81"/>
            <rFont val="ＭＳ Ｐゴシック"/>
            <family val="3"/>
            <charset val="128"/>
          </rPr>
          <t xml:space="preserve">
データは1だが見出しは2になっていた
excel上では修正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5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6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7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8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9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<sst xmlns="http://schemas.openxmlformats.org/spreadsheetml/2006/main" count="1923" uniqueCount="502">
  <si>
    <t>quest_id</t>
  </si>
  <si>
    <t>stage_id</t>
  </si>
  <si>
    <t>character_id</t>
  </si>
  <si>
    <t>level</t>
  </si>
  <si>
    <t>skill_set_id</t>
    <phoneticPr fontId="8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</si>
  <si>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</si>
  <si>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</si>
  <si>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</si>
  <si>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</si>
  <si>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</si>
  <si>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</si>
  <si>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</si>
  <si>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</si>
  <si>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</si>
  <si>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</si>
  <si>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</si>
  <si>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8"/>
  </si>
  <si>
    <t>rare</t>
    <phoneticPr fontId="8"/>
  </si>
  <si>
    <t>name</t>
    <phoneticPr fontId="8"/>
  </si>
  <si>
    <t>floor_id</t>
    <phoneticPr fontId="8"/>
  </si>
  <si>
    <t>name</t>
    <phoneticPr fontId="8"/>
  </si>
  <si>
    <t>name</t>
    <phoneticPr fontId="8"/>
  </si>
  <si>
    <t>skill_set_id</t>
  </si>
  <si>
    <t>drop_label</t>
    <phoneticPr fontId="8"/>
  </si>
  <si>
    <t>color</t>
    <phoneticPr fontId="8"/>
  </si>
  <si>
    <t>size</t>
    <phoneticPr fontId="8"/>
  </si>
  <si>
    <t>character_main_tribe_id</t>
    <phoneticPr fontId="8"/>
  </si>
  <si>
    <t>drop_label</t>
    <phoneticPr fontId="10"/>
  </si>
  <si>
    <t>temp_stage</t>
    <phoneticPr fontId="8"/>
  </si>
  <si>
    <t>temp_habitats</t>
    <phoneticPr fontId="8"/>
  </si>
  <si>
    <t>temp_floor</t>
    <phoneticPr fontId="8"/>
  </si>
  <si>
    <t>スキル</t>
    <phoneticPr fontId="8"/>
  </si>
  <si>
    <t>temp_stage</t>
    <phoneticPr fontId="8"/>
  </si>
  <si>
    <t>位置付け</t>
    <rPh sb="0" eb="3">
      <t>イチヅ</t>
    </rPh>
    <phoneticPr fontId="8"/>
  </si>
  <si>
    <t>name</t>
    <phoneticPr fontId="8"/>
  </si>
  <si>
    <t>temp_floor</t>
    <phoneticPr fontId="8"/>
  </si>
  <si>
    <t>status</t>
    <phoneticPr fontId="8"/>
  </si>
  <si>
    <t>hp_plus</t>
  </si>
  <si>
    <t>hp_plus</t>
    <phoneticPr fontId="8"/>
  </si>
  <si>
    <t>attack_plus</t>
  </si>
  <si>
    <t>attack_plus</t>
    <phoneticPr fontId="8"/>
  </si>
  <si>
    <t>defense_plus</t>
  </si>
  <si>
    <t>defense_plus</t>
    <phoneticPr fontId="8"/>
  </si>
  <si>
    <t>heal_plus</t>
  </si>
  <si>
    <t>heal_plus</t>
    <phoneticPr fontId="8"/>
  </si>
  <si>
    <t>bug</t>
  </si>
  <si>
    <t>bug</t>
    <phoneticPr fontId="8"/>
  </si>
  <si>
    <t>hp_coefficient</t>
  </si>
  <si>
    <t>hp_coefficient</t>
    <phoneticPr fontId="8"/>
  </si>
  <si>
    <t>attack_coefficient</t>
  </si>
  <si>
    <t>attack_coefficient</t>
    <phoneticPr fontId="8"/>
  </si>
  <si>
    <t>defense_correction</t>
  </si>
  <si>
    <t>defense_correction</t>
    <phoneticPr fontId="8"/>
  </si>
  <si>
    <t>null</t>
    <phoneticPr fontId="8"/>
  </si>
  <si>
    <t>seq_no</t>
    <phoneticPr fontId="8"/>
  </si>
  <si>
    <t>state_no</t>
    <phoneticPr fontId="8"/>
  </si>
  <si>
    <t>character_id</t>
    <phoneticPr fontId="8"/>
  </si>
  <si>
    <t>level</t>
    <phoneticPr fontId="8"/>
  </si>
  <si>
    <t>speed</t>
    <phoneticPr fontId="8"/>
  </si>
  <si>
    <t>skill_set_id</t>
    <phoneticPr fontId="8"/>
  </si>
  <si>
    <t>temp_id</t>
    <phoneticPr fontId="8"/>
  </si>
  <si>
    <t>skill_set_id</t>
    <phoneticPr fontId="10"/>
  </si>
  <si>
    <t>skill_id</t>
    <phoneticPr fontId="10"/>
  </si>
  <si>
    <t>name</t>
    <phoneticPr fontId="10"/>
  </si>
  <si>
    <t>comment</t>
    <phoneticPr fontId="10"/>
  </si>
  <si>
    <t>skill_trigger_id</t>
    <phoneticPr fontId="10"/>
  </si>
  <si>
    <t>first_time</t>
    <phoneticPr fontId="8"/>
  </si>
  <si>
    <t>priority</t>
    <phoneticPr fontId="8"/>
  </si>
  <si>
    <t>priority</t>
    <phoneticPr fontId="8"/>
  </si>
  <si>
    <t>invoke_rate</t>
    <phoneticPr fontId="8"/>
  </si>
  <si>
    <t>hp_threshold</t>
    <phoneticPr fontId="8"/>
  </si>
  <si>
    <t>hp_termination</t>
    <phoneticPr fontId="8"/>
  </si>
  <si>
    <t>invoke_times</t>
    <phoneticPr fontId="8"/>
  </si>
  <si>
    <t>every_time_count</t>
    <phoneticPr fontId="8"/>
  </si>
  <si>
    <t>neighbor_dead_id</t>
    <phoneticPr fontId="8"/>
  </si>
  <si>
    <t>invoke_weight</t>
    <phoneticPr fontId="8"/>
  </si>
  <si>
    <t>作成者</t>
    <rPh sb="0" eb="3">
      <t>サクセイシャ</t>
    </rPh>
    <phoneticPr fontId="8"/>
  </si>
  <si>
    <t>更新日</t>
    <rPh sb="0" eb="3">
      <t>コウシンニチジ</t>
    </rPh>
    <phoneticPr fontId="8"/>
  </si>
  <si>
    <t>備考（使用箇所）</t>
    <rPh sb="0" eb="2">
      <t>ビコウ</t>
    </rPh>
    <rPh sb="3" eb="7">
      <t>シヨウカショ</t>
    </rPh>
    <phoneticPr fontId="8"/>
  </si>
  <si>
    <t>enemy_skill_id</t>
  </si>
  <si>
    <t>effect_param</t>
    <phoneticPr fontId="8"/>
  </si>
  <si>
    <t>valid_flg</t>
  </si>
  <si>
    <t>name</t>
    <phoneticPr fontId="10"/>
  </si>
  <si>
    <t>comment</t>
    <phoneticPr fontId="10"/>
  </si>
  <si>
    <t>skill_trigger_id</t>
    <phoneticPr fontId="10"/>
  </si>
  <si>
    <t>first_time</t>
    <phoneticPr fontId="8"/>
  </si>
  <si>
    <t>priority</t>
    <phoneticPr fontId="8"/>
  </si>
  <si>
    <t>invoke_rate</t>
    <phoneticPr fontId="8"/>
  </si>
  <si>
    <t>重複チェック</t>
    <rPh sb="0" eb="2">
      <t>チョウフク</t>
    </rPh>
    <phoneticPr fontId="8"/>
  </si>
  <si>
    <t>enemy_skills</t>
    <phoneticPr fontId="8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</si>
  <si>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</si>
  <si>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</si>
  <si>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</si>
  <si>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</si>
  <si>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</si>
  <si>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</si>
  <si>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</si>
  <si>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</si>
  <si>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</si>
  <si>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8"/>
  </si>
  <si>
    <t>識別子</t>
    <rPh sb="0" eb="3">
      <t>シキベツシ</t>
    </rPh>
    <phoneticPr fontId="8"/>
  </si>
  <si>
    <t>形式</t>
    <rPh sb="0" eb="2">
      <t>ケイシキ</t>
    </rPh>
    <phoneticPr fontId="8"/>
  </si>
  <si>
    <t>出力ファイル名</t>
    <rPh sb="0" eb="2">
      <t>シュツリョク</t>
    </rPh>
    <rPh sb="6" eb="7">
      <t>メイ</t>
    </rPh>
    <phoneticPr fontId="8"/>
  </si>
  <si>
    <t>入力シート名</t>
    <rPh sb="0" eb="2">
      <t>ニュウリョク</t>
    </rPh>
    <rPh sb="5" eb="6">
      <t>メイ</t>
    </rPh>
    <phoneticPr fontId="8"/>
  </si>
  <si>
    <t>出力データ</t>
    <rPh sb="0" eb="2">
      <t>シュツリョク</t>
    </rPh>
    <phoneticPr fontId="8"/>
  </si>
  <si>
    <t>floors_</t>
    <phoneticPr fontId="8"/>
  </si>
  <si>
    <t>.tmp</t>
    <phoneticPr fontId="8"/>
  </si>
  <si>
    <t>floors</t>
    <phoneticPr fontId="8"/>
  </si>
  <si>
    <t>enemy_habitats_</t>
    <phoneticPr fontId="8"/>
  </si>
  <si>
    <t>enemy_habitats</t>
    <phoneticPr fontId="8"/>
  </si>
  <si>
    <t>enemy_habitat_S_</t>
    <phoneticPr fontId="8"/>
  </si>
  <si>
    <t>enemy_habitat_S</t>
    <phoneticPr fontId="8"/>
  </si>
  <si>
    <t>enemy_skill_sets_</t>
    <phoneticPr fontId="8"/>
  </si>
  <si>
    <t>enemy_skill_sets</t>
    <phoneticPr fontId="8"/>
  </si>
  <si>
    <t>enemy_skills_tmp_</t>
    <phoneticPr fontId="8"/>
  </si>
  <si>
    <t>.tmp</t>
    <phoneticPr fontId="8"/>
  </si>
  <si>
    <t>enemy_skills_i18n_</t>
    <phoneticPr fontId="8"/>
  </si>
  <si>
    <t>enemy_skills</t>
    <phoneticPr fontId="8"/>
  </si>
  <si>
    <t>enemy_skill_triggers_</t>
    <phoneticPr fontId="8"/>
  </si>
  <si>
    <t>.tmp</t>
    <phoneticPr fontId="8"/>
  </si>
  <si>
    <t>enemy_skill_triggers</t>
    <phoneticPr fontId="8"/>
  </si>
  <si>
    <t>hp_termination</t>
    <phoneticPr fontId="8"/>
  </si>
  <si>
    <t>invoke_weight</t>
    <phoneticPr fontId="8"/>
  </si>
  <si>
    <t>every_time_count</t>
    <phoneticPr fontId="8"/>
  </si>
  <si>
    <t>neighbor_dead_id</t>
    <phoneticPr fontId="8"/>
  </si>
  <si>
    <t>language</t>
    <phoneticPr fontId="8"/>
  </si>
  <si>
    <t>skill_set_id</t>
    <phoneticPr fontId="8"/>
  </si>
  <si>
    <t>スキル</t>
    <phoneticPr fontId="8"/>
  </si>
  <si>
    <t>出力flg</t>
    <rPh sb="0" eb="2">
      <t>シュツリョク</t>
    </rPh>
    <phoneticPr fontId="8"/>
  </si>
  <si>
    <t>中間文字列１</t>
    <rPh sb="0" eb="2">
      <t>チュウカン</t>
    </rPh>
    <rPh sb="2" eb="5">
      <t>モジレツ</t>
    </rPh>
    <phoneticPr fontId="8"/>
  </si>
  <si>
    <t>効果１文字列</t>
    <rPh sb="0" eb="2">
      <t>コウカ</t>
    </rPh>
    <rPh sb="3" eb="6">
      <t>モジレツ</t>
    </rPh>
    <phoneticPr fontId="8"/>
  </si>
  <si>
    <t>効果１簡易デコード</t>
    <rPh sb="0" eb="2">
      <t>コウカ</t>
    </rPh>
    <rPh sb="3" eb="5">
      <t>カンイ</t>
    </rPh>
    <phoneticPr fontId="8"/>
  </si>
  <si>
    <t>効果２文字列</t>
    <rPh sb="0" eb="2">
      <t>コウカ</t>
    </rPh>
    <rPh sb="3" eb="6">
      <t>モジレツ</t>
    </rPh>
    <phoneticPr fontId="8"/>
  </si>
  <si>
    <t>効果２簡易デコード</t>
    <rPh sb="0" eb="2">
      <t>コウカ</t>
    </rPh>
    <rPh sb="3" eb="5">
      <t>カンイ</t>
    </rPh>
    <phoneticPr fontId="8"/>
  </si>
  <si>
    <t>効果３文字列</t>
    <rPh sb="0" eb="2">
      <t>コウカ</t>
    </rPh>
    <rPh sb="3" eb="6">
      <t>モジレツ</t>
    </rPh>
    <phoneticPr fontId="8"/>
  </si>
  <si>
    <t>効果３簡易デコード</t>
    <rPh sb="0" eb="2">
      <t>コウカ</t>
    </rPh>
    <rPh sb="3" eb="5">
      <t>カンイ</t>
    </rPh>
    <phoneticPr fontId="8"/>
  </si>
  <si>
    <t>効果１efect位置</t>
    <rPh sb="0" eb="2">
      <t>コウカ</t>
    </rPh>
    <rPh sb="8" eb="10">
      <t>イチ</t>
    </rPh>
    <phoneticPr fontId="8"/>
  </si>
  <si>
    <t>効果１target位置</t>
    <rPh sb="0" eb="2">
      <t>コウカ</t>
    </rPh>
    <rPh sb="9" eb="11">
      <t>イチ</t>
    </rPh>
    <phoneticPr fontId="8"/>
  </si>
  <si>
    <t>効果1終了位置</t>
    <rPh sb="0" eb="2">
      <t>コウカ</t>
    </rPh>
    <rPh sb="3" eb="5">
      <t>シュウリョウ</t>
    </rPh>
    <rPh sb="5" eb="7">
      <t>イチ</t>
    </rPh>
    <phoneticPr fontId="8"/>
  </si>
  <si>
    <t>効果1target終了位置</t>
    <rPh sb="0" eb="2">
      <t>コウカ</t>
    </rPh>
    <rPh sb="9" eb="11">
      <t>シュウリョウ</t>
    </rPh>
    <rPh sb="11" eb="13">
      <t>イチ</t>
    </rPh>
    <phoneticPr fontId="8"/>
  </si>
  <si>
    <t>効果2efect位置</t>
    <rPh sb="0" eb="2">
      <t>コウカ</t>
    </rPh>
    <rPh sb="8" eb="10">
      <t>イチ</t>
    </rPh>
    <phoneticPr fontId="8"/>
  </si>
  <si>
    <t>効果2終了位置</t>
    <rPh sb="0" eb="2">
      <t>コウカ</t>
    </rPh>
    <rPh sb="3" eb="5">
      <t>シュウリョウ</t>
    </rPh>
    <rPh sb="5" eb="7">
      <t>イチ</t>
    </rPh>
    <phoneticPr fontId="8"/>
  </si>
  <si>
    <t>効果2target位置</t>
    <rPh sb="0" eb="2">
      <t>コウカ</t>
    </rPh>
    <rPh sb="9" eb="11">
      <t>イチ</t>
    </rPh>
    <phoneticPr fontId="8"/>
  </si>
  <si>
    <t>効果2target終了位置</t>
    <rPh sb="0" eb="2">
      <t>コウカ</t>
    </rPh>
    <rPh sb="9" eb="11">
      <t>シュウリョウ</t>
    </rPh>
    <rPh sb="11" eb="13">
      <t>イチ</t>
    </rPh>
    <phoneticPr fontId="8"/>
  </si>
  <si>
    <t>効果3efect位置</t>
    <rPh sb="0" eb="2">
      <t>コウカ</t>
    </rPh>
    <rPh sb="8" eb="10">
      <t>イチ</t>
    </rPh>
    <phoneticPr fontId="8"/>
  </si>
  <si>
    <t>効果3終了位置</t>
    <rPh sb="0" eb="2">
      <t>コウカ</t>
    </rPh>
    <rPh sb="3" eb="5">
      <t>シュウリョウ</t>
    </rPh>
    <rPh sb="5" eb="7">
      <t>イチ</t>
    </rPh>
    <phoneticPr fontId="8"/>
  </si>
  <si>
    <t>効果3target位置</t>
    <rPh sb="0" eb="2">
      <t>コウカ</t>
    </rPh>
    <rPh sb="9" eb="11">
      <t>イチ</t>
    </rPh>
    <phoneticPr fontId="8"/>
  </si>
  <si>
    <t>効果3target終了位置</t>
    <rPh sb="0" eb="2">
      <t>コウカ</t>
    </rPh>
    <rPh sb="9" eb="11">
      <t>シュウリョウ</t>
    </rPh>
    <rPh sb="11" eb="13">
      <t>イチ</t>
    </rPh>
    <phoneticPr fontId="8"/>
  </si>
  <si>
    <t>quest_id</t>
    <phoneticPr fontId="8"/>
  </si>
  <si>
    <t>stage_id</t>
    <phoneticPr fontId="8"/>
  </si>
  <si>
    <t>temp_stage</t>
    <phoneticPr fontId="10"/>
  </si>
  <si>
    <t>stage_target</t>
    <phoneticPr fontId="8"/>
  </si>
  <si>
    <t>bonus_id</t>
    <phoneticPr fontId="8"/>
  </si>
  <si>
    <t>bonus_type</t>
    <phoneticPr fontId="8"/>
  </si>
  <si>
    <t>bonus_value</t>
    <phoneticPr fontId="8"/>
  </si>
  <si>
    <t>bonus_count</t>
    <phoneticPr fontId="8"/>
  </si>
  <si>
    <t>level</t>
    <phoneticPr fontId="8"/>
  </si>
  <si>
    <t>skill_level</t>
    <phoneticPr fontId="8"/>
  </si>
  <si>
    <t>hp_plus</t>
    <phoneticPr fontId="8"/>
  </si>
  <si>
    <t>attack_plus</t>
    <phoneticPr fontId="8"/>
  </si>
  <si>
    <t>defense_plus</t>
    <phoneticPr fontId="8"/>
  </si>
  <si>
    <t>heal_plus</t>
    <phoneticPr fontId="8"/>
  </si>
  <si>
    <t>bug</t>
    <phoneticPr fontId="8"/>
  </si>
  <si>
    <t>weight</t>
    <phoneticPr fontId="8"/>
  </si>
  <si>
    <t>definite_start_date</t>
    <phoneticPr fontId="8"/>
  </si>
  <si>
    <t>definite_end_date</t>
    <phoneticPr fontId="8"/>
  </si>
  <si>
    <t>bit</t>
  </si>
  <si>
    <t>null</t>
    <phoneticPr fontId="8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</si>
  <si>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</si>
  <si>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</si>
  <si>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8"/>
  </si>
  <si>
    <t>bugbonuses</t>
    <phoneticPr fontId="8"/>
  </si>
  <si>
    <t>stage_id</t>
    <phoneticPr fontId="8"/>
  </si>
  <si>
    <t>stage_target</t>
    <phoneticPr fontId="8"/>
  </si>
  <si>
    <t>bonus_id</t>
    <phoneticPr fontId="8"/>
  </si>
  <si>
    <t>bonus_type</t>
    <phoneticPr fontId="8"/>
  </si>
  <si>
    <t>stage_bug_bonuses_</t>
    <phoneticPr fontId="8"/>
  </si>
  <si>
    <t>skill_level</t>
    <phoneticPr fontId="8"/>
  </si>
  <si>
    <t>skill_level</t>
    <phoneticPr fontId="8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</si>
  <si>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8"/>
  </si>
  <si>
    <t>quest_id</t>
    <phoneticPr fontId="8"/>
  </si>
  <si>
    <t>hint_id</t>
    <phoneticPr fontId="8"/>
  </si>
  <si>
    <t>floor_id</t>
    <phoneticPr fontId="8"/>
  </si>
  <si>
    <t>hint_type</t>
    <phoneticPr fontId="8"/>
  </si>
  <si>
    <t>hint</t>
    <phoneticPr fontId="8"/>
  </si>
  <si>
    <t>title</t>
    <phoneticPr fontId="8"/>
  </si>
  <si>
    <t>skip</t>
  </si>
  <si>
    <t>hint_type</t>
    <phoneticPr fontId="8"/>
  </si>
  <si>
    <t>quest_id</t>
    <phoneticPr fontId="8"/>
  </si>
  <si>
    <t>name</t>
    <phoneticPr fontId="8"/>
  </si>
  <si>
    <t>stage_id</t>
    <phoneticPr fontId="8"/>
  </si>
  <si>
    <t>name</t>
    <phoneticPr fontId="8"/>
  </si>
  <si>
    <t>floor_id</t>
    <phoneticPr fontId="8"/>
  </si>
  <si>
    <t>tmp_hint_id</t>
    <phoneticPr fontId="8"/>
  </si>
  <si>
    <t>hint_id</t>
    <phoneticPr fontId="8"/>
  </si>
  <si>
    <t>filename</t>
    <phoneticPr fontId="8"/>
  </si>
  <si>
    <t>failure</t>
  </si>
  <si>
    <t>ja</t>
    <phoneticPr fontId="8"/>
  </si>
  <si>
    <t>攻略のヒント</t>
    <rPh sb="0" eb="2">
      <t>コウリャク</t>
    </rPh>
    <phoneticPr fontId="8"/>
  </si>
  <si>
    <t>NULL</t>
    <phoneticPr fontId="8"/>
  </si>
  <si>
    <t>complete</t>
  </si>
  <si>
    <t>敵が強すぎます</t>
    <rPh sb="0" eb="2">
      <t>テk</t>
    </rPh>
    <rPh sb="2" eb="7">
      <t>ツヨs</t>
    </rPh>
    <phoneticPr fontId="8"/>
  </si>
  <si>
    <t>stage_hints_data_c_</t>
    <phoneticPr fontId="8"/>
  </si>
  <si>
    <t>stage_hints_data_f_</t>
    <phoneticPr fontId="8"/>
  </si>
  <si>
    <t>skip</t>
    <phoneticPr fontId="10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</si>
  <si>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8"/>
  </si>
  <si>
    <t>hint_id</t>
    <phoneticPr fontId="8"/>
  </si>
  <si>
    <t>language</t>
    <phoneticPr fontId="8"/>
  </si>
  <si>
    <t>hint</t>
    <phoneticPr fontId="8"/>
  </si>
  <si>
    <t>filename</t>
  </si>
  <si>
    <t>title</t>
    <phoneticPr fontId="8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</si>
  <si>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8"/>
  </si>
  <si>
    <t>NULL</t>
    <phoneticPr fontId="8"/>
  </si>
  <si>
    <t>stage_hints_failure</t>
    <phoneticPr fontId="8"/>
  </si>
  <si>
    <t>stage_hints_failure</t>
    <phoneticPr fontId="8"/>
  </si>
  <si>
    <t>初級</t>
    <rPh sb="0" eb="2">
      <t>ショキュウ</t>
    </rPh>
    <phoneticPr fontId="8"/>
  </si>
  <si>
    <t>中級</t>
    <rPh sb="0" eb="2">
      <t>チュウキュウ</t>
    </rPh>
    <phoneticPr fontId="8"/>
  </si>
  <si>
    <t>上級</t>
    <rPh sb="0" eb="2">
      <t>ジョウキュウ</t>
    </rPh>
    <phoneticPr fontId="8"/>
  </si>
  <si>
    <t>超級</t>
    <rPh sb="0" eb="2">
      <t>チョウキュウ</t>
    </rPh>
    <phoneticPr fontId="8"/>
  </si>
  <si>
    <t>超絶級</t>
    <rPh sb="0" eb="2">
      <t>チョウゼツ</t>
    </rPh>
    <rPh sb="2" eb="3">
      <t>キュウ</t>
    </rPh>
    <phoneticPr fontId="8"/>
  </si>
  <si>
    <t>(超)ウィザード級</t>
    <rPh sb="1" eb="2">
      <t>チョウ</t>
    </rPh>
    <rPh sb="8" eb="9">
      <t>キュウ</t>
    </rPh>
    <phoneticPr fontId="8"/>
  </si>
  <si>
    <t>param_code_damage_givn</t>
    <phoneticPr fontId="8"/>
  </si>
  <si>
    <t>param_code_damage_received</t>
    <phoneticPr fontId="8"/>
  </si>
  <si>
    <t>param_code_clear_turn</t>
    <phoneticPr fontId="8"/>
  </si>
  <si>
    <t>upper_ranking</t>
    <phoneticPr fontId="8"/>
  </si>
  <si>
    <t>lower_ranking</t>
    <phoneticPr fontId="8"/>
  </si>
  <si>
    <t>gift_id</t>
    <phoneticPr fontId="8"/>
  </si>
  <si>
    <t>gift_type</t>
    <phoneticPr fontId="10"/>
  </si>
  <si>
    <t>gift_value</t>
    <phoneticPr fontId="10"/>
  </si>
  <si>
    <t>gift_count</t>
    <phoneticPr fontId="10"/>
  </si>
  <si>
    <t>language</t>
    <phoneticPr fontId="10"/>
  </si>
  <si>
    <t>title</t>
    <phoneticPr fontId="10"/>
  </si>
  <si>
    <t>detail</t>
    <phoneticPr fontId="10"/>
  </si>
  <si>
    <t>message</t>
    <phoneticPr fontId="10"/>
  </si>
  <si>
    <t>temp_gift_id</t>
    <phoneticPr fontId="8"/>
  </si>
  <si>
    <t>unit</t>
    <phoneticPr fontId="10"/>
  </si>
  <si>
    <t>ja</t>
    <phoneticPr fontId="10"/>
  </si>
  <si>
    <t>ranking_ACH_</t>
    <phoneticPr fontId="8"/>
  </si>
  <si>
    <t>ranking_ACH</t>
    <phoneticPr fontId="8"/>
  </si>
  <si>
    <t>quest_id</t>
    <phoneticPr fontId="8"/>
  </si>
  <si>
    <t>upper_ranking</t>
    <phoneticPr fontId="8"/>
  </si>
  <si>
    <t>lower_ranking</t>
    <phoneticPr fontId="8"/>
  </si>
  <si>
    <t>gift_id</t>
    <phoneticPr fontId="8"/>
  </si>
  <si>
    <t>gifts_tmp_</t>
    <phoneticPr fontId="10"/>
  </si>
  <si>
    <t>gift_id</t>
    <phoneticPr fontId="10"/>
  </si>
  <si>
    <t>gifts_i18n_</t>
    <phoneticPr fontId="10"/>
  </si>
  <si>
    <t>title</t>
    <phoneticPr fontId="10"/>
  </si>
  <si>
    <t>detail</t>
    <phoneticPr fontId="10"/>
  </si>
  <si>
    <t>ranking_floors_</t>
    <phoneticPr fontId="8"/>
  </si>
  <si>
    <t>ranking_stages_</t>
    <phoneticPr fontId="8"/>
  </si>
  <si>
    <t>clear_bonus</t>
    <phoneticPr fontId="8"/>
  </si>
  <si>
    <t>ranking_stages</t>
    <phoneticPr fontId="8"/>
  </si>
  <si>
    <t>param_code</t>
    <phoneticPr fontId="8"/>
  </si>
  <si>
    <t>x</t>
    <phoneticPr fontId="8"/>
  </si>
  <si>
    <t>a</t>
    <phoneticPr fontId="8"/>
  </si>
  <si>
    <t>b</t>
    <phoneticPr fontId="8"/>
  </si>
  <si>
    <t>clear_turn_</t>
    <phoneticPr fontId="8"/>
  </si>
  <si>
    <t>damage_give_</t>
    <phoneticPr fontId="8"/>
  </si>
  <si>
    <t>damage_receive</t>
    <phoneticPr fontId="8"/>
  </si>
  <si>
    <t>damage_receive_</t>
    <phoneticPr fontId="8"/>
  </si>
  <si>
    <t>clear_turn</t>
    <phoneticPr fontId="8"/>
  </si>
  <si>
    <t>damege_give</t>
    <phoneticPr fontId="8"/>
  </si>
  <si>
    <t>evaluation_id</t>
    <phoneticPr fontId="8"/>
  </si>
  <si>
    <t>quest_id</t>
    <phoneticPr fontId="8"/>
  </si>
  <si>
    <t>stage_id</t>
    <phoneticPr fontId="8"/>
  </si>
  <si>
    <t>score</t>
    <phoneticPr fontId="8"/>
  </si>
  <si>
    <t>language</t>
    <phoneticPr fontId="8"/>
  </si>
  <si>
    <t>evaluation</t>
    <phoneticPr fontId="8"/>
  </si>
  <si>
    <t>animation_file_name</t>
    <phoneticPr fontId="8"/>
  </si>
  <si>
    <t>ranking_eval_data_</t>
    <phoneticPr fontId="8"/>
  </si>
  <si>
    <t>ranking_eval_i18n_</t>
    <phoneticPr fontId="8"/>
  </si>
  <si>
    <t>ranking_eval</t>
  </si>
  <si>
    <t>hp_plus</t>
    <phoneticPr fontId="8"/>
  </si>
  <si>
    <t>attack_plus</t>
    <phoneticPr fontId="8"/>
  </si>
  <si>
    <t>heal_plus</t>
    <phoneticPr fontId="8"/>
  </si>
  <si>
    <t>defense_plus</t>
    <phoneticPr fontId="8"/>
  </si>
  <si>
    <t>level</t>
    <phoneticPr fontId="8"/>
  </si>
  <si>
    <t>skill_level</t>
  </si>
  <si>
    <t>skill_level</t>
    <phoneticPr fontId="8"/>
  </si>
  <si>
    <t>bug</t>
    <phoneticPr fontId="8"/>
  </si>
  <si>
    <t>ranking_stage_evaluation_gifts</t>
    <phoneticPr fontId="8"/>
  </si>
  <si>
    <t>ranking_eval_gift</t>
    <phoneticPr fontId="8"/>
  </si>
  <si>
    <t>evaluation_id</t>
    <phoneticPr fontId="8"/>
  </si>
  <si>
    <t>quest_id</t>
    <phoneticPr fontId="8"/>
  </si>
  <si>
    <t>gift_id</t>
    <phoneticPr fontId="8"/>
  </si>
  <si>
    <t xml:space="preserve">gift_limit </t>
    <phoneticPr fontId="8"/>
  </si>
  <si>
    <t>gifts_tmp_</t>
    <phoneticPr fontId="8"/>
  </si>
  <si>
    <t>.tmp</t>
    <phoneticPr fontId="8"/>
  </si>
  <si>
    <t>ranking_eval_gift</t>
    <phoneticPr fontId="8"/>
  </si>
  <si>
    <t>gift_id</t>
    <phoneticPr fontId="10"/>
  </si>
  <si>
    <t>gift_type</t>
    <phoneticPr fontId="10"/>
  </si>
  <si>
    <t>gift_value</t>
    <phoneticPr fontId="10"/>
  </si>
  <si>
    <t>gift_count</t>
    <phoneticPr fontId="10"/>
  </si>
  <si>
    <t>gifts_i18n_</t>
    <phoneticPr fontId="8"/>
  </si>
  <si>
    <t>.tmp</t>
    <phoneticPr fontId="8"/>
  </si>
  <si>
    <t>language</t>
    <phoneticPr fontId="10"/>
  </si>
  <si>
    <t>title</t>
    <phoneticPr fontId="10"/>
  </si>
  <si>
    <t>detail</t>
    <phoneticPr fontId="10"/>
  </si>
  <si>
    <t>message</t>
    <phoneticPr fontId="10"/>
  </si>
  <si>
    <t>evaluation_id</t>
    <phoneticPr fontId="8"/>
  </si>
  <si>
    <t>quest_id</t>
    <phoneticPr fontId="8"/>
  </si>
  <si>
    <t>stage_id</t>
    <phoneticPr fontId="8"/>
  </si>
  <si>
    <t>score</t>
    <phoneticPr fontId="8"/>
  </si>
  <si>
    <t>gift_id</t>
    <phoneticPr fontId="8"/>
  </si>
  <si>
    <t>gift_type</t>
    <phoneticPr fontId="10"/>
  </si>
  <si>
    <t>gift_value</t>
    <phoneticPr fontId="10"/>
  </si>
  <si>
    <t>gift_count</t>
    <phoneticPr fontId="10"/>
  </si>
  <si>
    <t>hp_plus</t>
    <phoneticPr fontId="8"/>
  </si>
  <si>
    <t>attack_plus</t>
    <phoneticPr fontId="8"/>
  </si>
  <si>
    <t>heal_plus</t>
    <phoneticPr fontId="8"/>
  </si>
  <si>
    <t>defense_plus</t>
    <phoneticPr fontId="8"/>
  </si>
  <si>
    <t>level</t>
    <phoneticPr fontId="8"/>
  </si>
  <si>
    <t>skill_level</t>
    <phoneticPr fontId="8"/>
  </si>
  <si>
    <t>bug</t>
    <phoneticPr fontId="8"/>
  </si>
  <si>
    <t>language</t>
    <phoneticPr fontId="10"/>
  </si>
  <si>
    <t>title</t>
    <phoneticPr fontId="10"/>
  </si>
  <si>
    <t>detail</t>
    <phoneticPr fontId="10"/>
  </si>
  <si>
    <t>message</t>
    <phoneticPr fontId="10"/>
  </si>
  <si>
    <t xml:space="preserve">gift_limit </t>
    <phoneticPr fontId="8"/>
  </si>
  <si>
    <t>リトルハンプティ × 1</t>
    <phoneticPr fontId="10"/>
  </si>
  <si>
    <t>ランキングクエストスコア評価報酬</t>
    <rPh sb="12" eb="14">
      <t>ヒョウカ</t>
    </rPh>
    <rPh sb="14" eb="16">
      <t>ホウシュウ</t>
    </rPh>
    <phoneticPr fontId="10"/>
  </si>
  <si>
    <t>ギガ秘術の果実 × 1</t>
    <rPh sb="2" eb="4">
      <t>ヒジュツ</t>
    </rPh>
    <rPh sb="5" eb="7">
      <t>カジツ</t>
    </rPh>
    <phoneticPr fontId="10"/>
  </si>
  <si>
    <t>item</t>
    <phoneticPr fontId="10"/>
  </si>
  <si>
    <t>link</t>
    <phoneticPr fontId="10"/>
  </si>
  <si>
    <t>null</t>
    <phoneticPr fontId="8"/>
  </si>
  <si>
    <t>2000リンク</t>
    <phoneticPr fontId="10"/>
  </si>
  <si>
    <t>bit</t>
    <phoneticPr fontId="10"/>
  </si>
  <si>
    <t>10万ビット</t>
    <rPh sb="2" eb="3">
      <t>マン</t>
    </rPh>
    <phoneticPr fontId="10"/>
  </si>
  <si>
    <t>old</t>
    <phoneticPr fontId="8"/>
  </si>
  <si>
    <t>null</t>
    <phoneticPr fontId="8"/>
  </si>
  <si>
    <t>temp_habitats</t>
    <phoneticPr fontId="8"/>
  </si>
  <si>
    <t>ja</t>
    <phoneticPr fontId="8"/>
  </si>
  <si>
    <t>全体攻撃</t>
    <rPh sb="0" eb="4">
      <t>ゼｎ</t>
    </rPh>
    <phoneticPr fontId="8"/>
  </si>
  <si>
    <t>ja</t>
    <phoneticPr fontId="8"/>
  </si>
  <si>
    <t>ja</t>
    <phoneticPr fontId="8"/>
  </si>
  <si>
    <t>null</t>
    <phoneticPr fontId="8"/>
  </si>
  <si>
    <t>null</t>
    <phoneticPr fontId="8"/>
  </si>
  <si>
    <t>null</t>
    <phoneticPr fontId="8"/>
  </si>
  <si>
    <t>param_code</t>
    <phoneticPr fontId="8"/>
  </si>
  <si>
    <t>x</t>
    <phoneticPr fontId="8"/>
  </si>
  <si>
    <t>y</t>
    <phoneticPr fontId="8"/>
  </si>
  <si>
    <t>a</t>
    <phoneticPr fontId="8"/>
  </si>
  <si>
    <t>b</t>
    <phoneticPr fontId="8"/>
  </si>
  <si>
    <t>次条係数</t>
    <rPh sb="0" eb="2">
      <t>jijyou</t>
    </rPh>
    <rPh sb="2" eb="4">
      <t>ケイス</t>
    </rPh>
    <phoneticPr fontId="8"/>
  </si>
  <si>
    <t>param_code</t>
    <phoneticPr fontId="8"/>
  </si>
  <si>
    <t>x</t>
    <phoneticPr fontId="8"/>
  </si>
  <si>
    <t>y</t>
    <phoneticPr fontId="8"/>
  </si>
  <si>
    <t>a</t>
    <phoneticPr fontId="8"/>
  </si>
  <si>
    <t>b</t>
    <phoneticPr fontId="8"/>
  </si>
  <si>
    <t>ja</t>
    <phoneticPr fontId="10"/>
  </si>
  <si>
    <t>SSS</t>
    <phoneticPr fontId="10"/>
  </si>
  <si>
    <t>View/RankingBattle_Evelution_SSS.ccbi</t>
    <phoneticPr fontId="10"/>
  </si>
  <si>
    <t>SS</t>
    <phoneticPr fontId="10"/>
  </si>
  <si>
    <t>View/RankingBattle_Evelution_SS.ccbi</t>
    <phoneticPr fontId="10"/>
  </si>
  <si>
    <t>S</t>
    <phoneticPr fontId="10"/>
  </si>
  <si>
    <t>View/RankingBattle_Evelution_S.ccbi</t>
    <phoneticPr fontId="10"/>
  </si>
  <si>
    <t>AAA</t>
    <phoneticPr fontId="10"/>
  </si>
  <si>
    <t>View/RankingBattle_Evelution_AAA.ccbi</t>
    <phoneticPr fontId="10"/>
  </si>
  <si>
    <t>AA</t>
    <phoneticPr fontId="10"/>
  </si>
  <si>
    <t>View/RankingBattle_Evelution_AA.ccbi</t>
    <phoneticPr fontId="10"/>
  </si>
  <si>
    <t>A</t>
    <phoneticPr fontId="10"/>
  </si>
  <si>
    <t>View/RankingBattle_Evelution_A.ccbi</t>
    <phoneticPr fontId="10"/>
  </si>
  <si>
    <t>B</t>
    <phoneticPr fontId="10"/>
  </si>
  <si>
    <t>View/RankingBattle_Evelution_B.ccbi</t>
    <phoneticPr fontId="10"/>
  </si>
  <si>
    <t>C</t>
    <phoneticPr fontId="10"/>
  </si>
  <si>
    <t>View/RankingBattle_Evelution_C.ccbi</t>
    <phoneticPr fontId="10"/>
  </si>
  <si>
    <t>クリティカル！</t>
    <phoneticPr fontId="8"/>
  </si>
  <si>
    <t>5回連続攻撃</t>
    <rPh sb="1" eb="2">
      <t>カ</t>
    </rPh>
    <rPh sb="2" eb="6">
      <t>レンゾｋ</t>
    </rPh>
    <phoneticPr fontId="8"/>
  </si>
  <si>
    <t>5ターン緑パネル出現率DOWN</t>
    <rPh sb="4" eb="5">
      <t>ミドｒ</t>
    </rPh>
    <rPh sb="8" eb="11">
      <t>シュｔ</t>
    </rPh>
    <phoneticPr fontId="8"/>
  </si>
  <si>
    <t>ライトニング・ステップ</t>
    <phoneticPr fontId="8"/>
  </si>
  <si>
    <t>ヴィーナスハート</t>
    <phoneticPr fontId="8"/>
  </si>
  <si>
    <t>愛のスイング</t>
    <rPh sb="0" eb="1">
      <t>ア</t>
    </rPh>
    <phoneticPr fontId="8"/>
  </si>
  <si>
    <t>満天の贈り物</t>
    <phoneticPr fontId="8"/>
  </si>
  <si>
    <t>満天の贈り物</t>
    <phoneticPr fontId="8"/>
  </si>
  <si>
    <t>降り注げ、星の雨！！</t>
    <phoneticPr fontId="8"/>
  </si>
  <si>
    <t>これならどうです！？</t>
    <phoneticPr fontId="8"/>
  </si>
  <si>
    <t>全ては星の導きのままに…！</t>
    <phoneticPr fontId="8"/>
  </si>
  <si>
    <t>墜ちなさい！！</t>
    <phoneticPr fontId="8"/>
  </si>
  <si>
    <t>夜天の落星</t>
    <rPh sb="0" eb="2">
      <t>ヤテｎ</t>
    </rPh>
    <rPh sb="3" eb="5">
      <t>RAKUセイ</t>
    </rPh>
    <phoneticPr fontId="8"/>
  </si>
  <si>
    <t>アビア・モルトクオーレ</t>
    <phoneticPr fontId="8"/>
  </si>
  <si>
    <t>えいえいっ☆</t>
    <phoneticPr fontId="8"/>
  </si>
  <si>
    <t>妖精の導き</t>
    <phoneticPr fontId="8"/>
  </si>
  <si>
    <t>さあいくよっ！</t>
    <phoneticPr fontId="8"/>
  </si>
  <si>
    <t>怪しいお薬</t>
    <rPh sb="0" eb="1">
      <t>アヤｓ</t>
    </rPh>
    <phoneticPr fontId="8"/>
  </si>
  <si>
    <t>アナタは[player_ranking_grade]の挑戦者ね</t>
    <rPh sb="27" eb="30">
      <t>チョ</t>
    </rPh>
    <phoneticPr fontId="8"/>
  </si>
  <si>
    <t>輝く星を感じなさい！</t>
    <rPh sb="0" eb="1">
      <t>カガヤｋ</t>
    </rPh>
    <rPh sb="2" eb="3">
      <t>ホ</t>
    </rPh>
    <rPh sb="4" eb="5">
      <t>カンｊ</t>
    </rPh>
    <phoneticPr fontId="8"/>
  </si>
  <si>
    <t>ちょっと強いのいくわよ！</t>
    <rPh sb="4" eb="5">
      <t>ツｙ</t>
    </rPh>
    <phoneticPr fontId="8"/>
  </si>
  <si>
    <t>静かにしてなさい…</t>
    <rPh sb="0" eb="1">
      <t>シズｋ</t>
    </rPh>
    <phoneticPr fontId="8"/>
  </si>
  <si>
    <t>煌めく凶星</t>
    <rPh sb="0" eb="1">
      <t>キラメク</t>
    </rPh>
    <rPh sb="3" eb="5">
      <t>KYOUSEI</t>
    </rPh>
    <phoneticPr fontId="8"/>
  </si>
  <si>
    <t>荒ぶりの超銀河</t>
    <rPh sb="0" eb="1">
      <t>アラブｒ</t>
    </rPh>
    <rPh sb="4" eb="7">
      <t>チョ</t>
    </rPh>
    <phoneticPr fontId="8"/>
  </si>
  <si>
    <t>見上げてごらんなさい…！</t>
    <rPh sb="0" eb="2">
      <t>ミアｇ</t>
    </rPh>
    <phoneticPr fontId="8"/>
  </si>
  <si>
    <t>ネビュラ・インテグレート</t>
    <phoneticPr fontId="8"/>
  </si>
  <si>
    <t>宇宙は全て私の手の中よ</t>
    <phoneticPr fontId="8"/>
  </si>
  <si>
    <t>グリッター・ダンス</t>
    <phoneticPr fontId="8"/>
  </si>
  <si>
    <t>このエネルギー、まるで宇宙みたい…</t>
    <rPh sb="11" eb="13">
      <t>ウチュ</t>
    </rPh>
    <phoneticPr fontId="8"/>
  </si>
  <si>
    <t>輝く銀河のようね…</t>
    <rPh sb="0" eb="1">
      <t>カガヤｋ</t>
    </rPh>
    <rPh sb="2" eb="4">
      <t>ギ</t>
    </rPh>
    <phoneticPr fontId="8"/>
  </si>
  <si>
    <t>ランダムで黄のダメージパネルに4個変換</t>
    <rPh sb="5" eb="6">
      <t>キ</t>
    </rPh>
    <phoneticPr fontId="8"/>
  </si>
  <si>
    <t>ランダムで黄のダメージパネルに4個変換</t>
    <rPh sb="5" eb="6">
      <t>kino</t>
    </rPh>
    <phoneticPr fontId="8"/>
  </si>
  <si>
    <t>文字数</t>
    <rPh sb="0" eb="3">
      <t>モｊ</t>
    </rPh>
    <phoneticPr fontId="8"/>
  </si>
  <si>
    <t>unit</t>
    <phoneticPr fontId="10"/>
  </si>
  <si>
    <t>ja</t>
    <phoneticPr fontId="10"/>
  </si>
  <si>
    <t>ハップルチャレンジ
スコア評価報酬</t>
  </si>
  <si>
    <t>杖のランキングチケット × 1</t>
  </si>
  <si>
    <t>ランキングクエスト報酬</t>
    <rPh sb="9" eb="11">
      <t>ホウシュウ</t>
    </rPh>
    <phoneticPr fontId="10"/>
  </si>
  <si>
    <t>item</t>
    <phoneticPr fontId="10"/>
  </si>
  <si>
    <t>杖のチケットピース × 2</t>
  </si>
  <si>
    <t>polygon</t>
    <phoneticPr fontId="10"/>
  </si>
  <si>
    <t>ポリゴン×10</t>
    <phoneticPr fontId="10"/>
  </si>
  <si>
    <t>リトルハンプティ×1</t>
    <phoneticPr fontId="10"/>
  </si>
  <si>
    <t>ギガ秘術の果実×1</t>
    <rPh sb="2" eb="4">
      <t>ヒジュツ</t>
    </rPh>
    <rPh sb="5" eb="7">
      <t>カジツ</t>
    </rPh>
    <phoneticPr fontId="10"/>
  </si>
  <si>
    <t>item</t>
    <phoneticPr fontId="10"/>
  </si>
  <si>
    <t>ja</t>
    <phoneticPr fontId="10"/>
  </si>
  <si>
    <t>杖のチケットピース × 1</t>
  </si>
  <si>
    <t>ポリゴン×5</t>
    <phoneticPr fontId="10"/>
  </si>
  <si>
    <t>メガ秘術の果実 ×1</t>
    <rPh sb="2" eb="4">
      <t>ヒジュツ</t>
    </rPh>
    <rPh sb="5" eb="7">
      <t>カジツ</t>
    </rPh>
    <phoneticPr fontId="10"/>
  </si>
  <si>
    <t>マスターキー×3</t>
    <phoneticPr fontId="10"/>
  </si>
  <si>
    <t>杖のチケットピース × 3</t>
  </si>
  <si>
    <t>炎のメタルジェントル ×1</t>
    <rPh sb="0" eb="1">
      <t>ホノオ</t>
    </rPh>
    <phoneticPr fontId="10"/>
  </si>
  <si>
    <t>森のメタルジェントル ×1</t>
    <rPh sb="0" eb="1">
      <t>モリノ</t>
    </rPh>
    <phoneticPr fontId="10"/>
  </si>
  <si>
    <t>水のメタルジェントル ×1</t>
    <rPh sb="0" eb="1">
      <t>ミズノ</t>
    </rPh>
    <phoneticPr fontId="10"/>
  </si>
  <si>
    <t>雷のメタルジェントル ×1</t>
    <rPh sb="0" eb="1">
      <t>カミナリ</t>
    </rPh>
    <phoneticPr fontId="10"/>
  </si>
  <si>
    <t>秘術の果実 ×1</t>
    <rPh sb="0" eb="2">
      <t>ヒジュツ</t>
    </rPh>
    <rPh sb="3" eb="5">
      <t>カジツ</t>
    </rPh>
    <phoneticPr fontId="10"/>
  </si>
  <si>
    <t>マスターキー×1</t>
    <phoneticPr fontId="10"/>
  </si>
  <si>
    <t>item</t>
    <phoneticPr fontId="10"/>
  </si>
  <si>
    <t>ja</t>
    <phoneticPr fontId="10"/>
  </si>
  <si>
    <t>炎のメタルダック ×1</t>
    <rPh sb="0" eb="1">
      <t>ホノオ</t>
    </rPh>
    <phoneticPr fontId="10"/>
  </si>
  <si>
    <t>森のメタルダック ×1</t>
    <rPh sb="0" eb="1">
      <t>モリノ</t>
    </rPh>
    <phoneticPr fontId="10"/>
  </si>
  <si>
    <t>水のメタルダック ×1</t>
    <rPh sb="0" eb="1">
      <t>ミズノ</t>
    </rPh>
    <phoneticPr fontId="10"/>
  </si>
  <si>
    <t>雷のメタルダック ×1</t>
    <rPh sb="0" eb="1">
      <t>カミナリ</t>
    </rPh>
    <phoneticPr fontId="10"/>
  </si>
  <si>
    <t>ポリゴン×3</t>
    <phoneticPr fontId="10"/>
  </si>
  <si>
    <t>20万ビット</t>
    <rPh sb="2" eb="3">
      <t>マン</t>
    </rPh>
    <phoneticPr fontId="10"/>
  </si>
  <si>
    <t>ポリゴン×2</t>
    <phoneticPr fontId="10"/>
  </si>
  <si>
    <t>1000リンク</t>
    <phoneticPr fontId="10"/>
  </si>
  <si>
    <t>15万ビット</t>
    <rPh sb="2" eb="3">
      <t>マン</t>
    </rPh>
    <phoneticPr fontId="10"/>
  </si>
  <si>
    <t>ポリゴン×1</t>
    <phoneticPr fontId="10"/>
  </si>
  <si>
    <t>ハップルチャレンジ
順位報酬</t>
    <rPh sb="10" eb="12">
      <t>ジュンイ</t>
    </rPh>
    <rPh sb="12" eb="14">
      <t>ホウシュウ</t>
    </rPh>
    <phoneticPr fontId="10"/>
  </si>
  <si>
    <t>old</t>
  </si>
  <si>
    <t>[effect:enemy_message, dead_type:suicide, val1:1.7, val2:2]</t>
    <phoneticPr fontId="8"/>
  </si>
  <si>
    <t xml:space="preserve">[effect:enemy_message, val1:1.2, val2:1.9],[effect:force_change_block, new_block:damage, target:block_all, ignore01:crash, ignore02:crack_bomb, ignore03:color_break, ignore04:time_bomb, ignore05:jammer, count:4, val:0.1, animation:change_block]    </t>
    <phoneticPr fontId="8"/>
  </si>
  <si>
    <t>[effect:enemy_message, val1:1.2, val2:1.5],[effect:change_panel_ratio, turn:5, block_type:green, val:0.05, animation:block_incidence04]</t>
    <phoneticPr fontId="8"/>
  </si>
  <si>
    <t>状態異常耐性</t>
    <phoneticPr fontId="8"/>
  </si>
  <si>
    <t>[effect:enemy_message, val1:1.2, val2:1.7],[effect:force_change_block, new_block:block_heart, target:block_all, ignore01:crash, ignore02:crack_bomb, ignore03:damage, ignore04:time_bomb, ignore05:color_break, ignore06:jammer, count:10, val:0, animation:change_block]</t>
    <phoneticPr fontId="8"/>
  </si>
  <si>
    <t>[effect:enemy_message, val1:1.2, val2:1.2],[effect:spread, val:0.4]</t>
    <phoneticPr fontId="8"/>
  </si>
  <si>
    <t>[effect:enemy_message, val1:1.2, val2:1.2],[effect:critical, val:1.2, animation:enemy_critical]</t>
    <phoneticPr fontId="8"/>
  </si>
  <si>
    <t>[effect:enemy_message, val1:1.2, val2:1.2],[effect:fix_speed, target:myself, turn:2],[effect:tolerance, target:myself, turn:-1, count:-1, tolerance_effect:all, animation:enemy_tolerance]</t>
    <phoneticPr fontId="8"/>
  </si>
  <si>
    <t>[effect:enemy_message, val1:1.2, val2:1.2],[effect:rush, count:5, val:0.3]</t>
    <phoneticPr fontId="8"/>
  </si>
  <si>
    <t>[effect:enemy_message, val1:1.3, val2:1.2],[effect:fix_speed, target:myself, turn:1],[effect:tolerance, target:myself, turn:-1, count:-1, tolerance_effect:all, animation:enemy_tolerance]</t>
    <phoneticPr fontId="8"/>
  </si>
  <si>
    <t>[effect:enemy_message, val1:1.2, val2:1.2],[effect:rush, count:5, val:0.3]</t>
    <phoneticPr fontId="8"/>
  </si>
  <si>
    <t xml:space="preserve">[effect:enemy_message, val1:1.2, val2:1.9],[effect:force_change_block, new_block:damage, target:block_all, ignore01:crash, ignore02:crack_bomb, ignore03:damage, ignore04:time_bomb, ignore05:color_break, ignore06:jammer, count:4, val:0.1, animation:change_block]    </t>
    <phoneticPr fontId="8"/>
  </si>
  <si>
    <t>ß</t>
    <phoneticPr fontId="8"/>
  </si>
  <si>
    <t>ハートパネルを吸収して全体攻撃</t>
    <rPh sb="7" eb="9">
      <t>9ｓｙ</t>
    </rPh>
    <rPh sb="11" eb="13">
      <t>ゼｎ</t>
    </rPh>
    <rPh sb="13" eb="15">
      <t>コウゲｋ</t>
    </rPh>
    <phoneticPr fontId="8"/>
  </si>
  <si>
    <t>星々よ…私に加護を！</t>
    <phoneticPr fontId="8"/>
  </si>
  <si>
    <t>ハートパネルを吸収して攻撃</t>
    <rPh sb="7" eb="9">
      <t>キュウシュ</t>
    </rPh>
    <rPh sb="11" eb="13">
      <t>コウゲｋ</t>
    </rPh>
    <phoneticPr fontId="8"/>
  </si>
  <si>
    <t>ハートパネルとダメージパネルを吸収して全体攻撃</t>
    <rPh sb="15" eb="23">
      <t>キュウシュ</t>
    </rPh>
    <phoneticPr fontId="8"/>
  </si>
  <si>
    <t>[effect:enemy_message, val1:1.2, val2:1.9],[effect:break_attack, target:unit_one, val:0.3, lowest_val:1500, count:5, color:yellow, block_color:block_heart, block01:block_heart, ignore01:crack_bomb, ignore02:color_break, ignore03:damage, ignore04:jammer, ignore05:crash]</t>
    <phoneticPr fontId="8"/>
  </si>
  <si>
    <t>[effect:enemy_message, val1:1.2, val2:1.5],[effect:break_attack, target:unit_all, val:0.05, lowest_val:0, count:-1, color:yellow, block_color:block_heart, block01:block_heart, ignore01:crack_bomb, ignore02:color_break, ignore03:damage, ignore04:jammer, ignore05:crash]</t>
    <phoneticPr fontId="8"/>
  </si>
  <si>
    <t>[effect:enemy_message, val1:1.2, val2:2.3],[effect:break_attack, target:unit_all, val:0.05, lowest_val:0, count:-1, color:yellow, block01:block_heart, block02:damage, ignore01:crack_bomb, ignore02:color_break, ignore03:jammer, ignore04:crash]</t>
    <phoneticPr fontId="8"/>
  </si>
  <si>
    <t>[effect:enemy_message, val1:1.2, val2:1.2],[effect:freq_turn, target:enemy_blue, turn:-1, val:1, animation:enemy_freq_turn]</t>
    <phoneticPr fontId="8"/>
  </si>
  <si>
    <t>[effect:enemy_message, val1:1.2,val2:1.2],[effect:enhance_enemy, target:enemy_green, turn:-1, status:attack, val:0.5, calc:mul, animation:enemy_enhance_attack]</t>
    <phoneticPr fontId="8"/>
  </si>
  <si>
    <t>ハートパネルを吸収して攻撃(最大5個)</t>
    <rPh sb="7" eb="9">
      <t>9ｓｙ</t>
    </rPh>
    <rPh sb="11" eb="13">
      <t>コウゲｋ</t>
    </rPh>
    <phoneticPr fontId="8"/>
  </si>
  <si>
    <t>限界突破キー × 2</t>
    <rPh sb="0" eb="4">
      <t>ゲンカイトッパ</t>
    </rPh>
    <phoneticPr fontId="10"/>
  </si>
  <si>
    <t>経験値キー × 2</t>
    <rPh sb="0" eb="3">
      <t>ケイケンチ</t>
    </rPh>
    <phoneticPr fontId="10"/>
  </si>
  <si>
    <t>マスターキー × 2</t>
    <phoneticPr fontId="10"/>
  </si>
  <si>
    <t>ポリゴン × 3</t>
    <phoneticPr fontId="10"/>
  </si>
  <si>
    <t>ビットキー × 2</t>
    <phoneticPr fontId="10"/>
  </si>
  <si>
    <t>ポリゴン × 2</t>
    <phoneticPr fontId="10"/>
  </si>
  <si>
    <t>200000ビット</t>
    <phoneticPr fontId="8"/>
  </si>
  <si>
    <t>2000リンク</t>
    <phoneticPr fontId="8"/>
  </si>
  <si>
    <t>杖のチケットピース × 1</t>
    <rPh sb="0" eb="1">
      <t>ツ</t>
    </rPh>
    <phoneticPr fontId="10"/>
  </si>
  <si>
    <t>[effect:enemy_message, val1:1.2,val2:1.3],[effect:break_attack, target:unit_one, val:0.2, lowest_val:0, count:-1, color:blue, block01:block_heart]</t>
    <phoneticPr fontId="8"/>
  </si>
  <si>
    <t>黄属性のユニットに大ダメージの攻撃</t>
    <rPh sb="0" eb="3">
      <t>kizokusei</t>
    </rPh>
    <rPh sb="9" eb="10">
      <t>ダ</t>
    </rPh>
    <rPh sb="15" eb="17">
      <t>コウゲｋ</t>
    </rPh>
    <phoneticPr fontId="8"/>
  </si>
  <si>
    <t>種族サムライのユニットに大ダメージの4回連続攻撃</t>
    <rPh sb="0" eb="2">
      <t>ｓｙ</t>
    </rPh>
    <rPh sb="12" eb="13">
      <t>ダ</t>
    </rPh>
    <rPh sb="19" eb="20">
      <t>カ</t>
    </rPh>
    <rPh sb="20" eb="24">
      <t>レンゾｋ</t>
    </rPh>
    <phoneticPr fontId="8"/>
  </si>
  <si>
    <t>[effect:enemy_message, val1:1.2, val2:2.4],[effect:enemy_message, val2:1.9],[effect:damage_anti_tribe, target:unit_one, tribe:samurai, val1:0.5, val2:0.3],[effect:damage_anti_tribe, target:unit_one, tribe:samurai, val1:0.5, val2:0.3],[effect:damage_anti_tribe, target:unit_one, tribe:samurai, val1:0.5, val2:0.3],[effect:damage_anti_tribe, target:unit_one, tribe:samurai, val1:0.5, val2:0.3]</t>
    <phoneticPr fontId="8"/>
  </si>
  <si>
    <t>[effect:enemy_message, val1:1.2, val2:1.7],[effect:damage_anti_color, target:unit_one, color:yellow, val1:1.2, val2:1]</t>
    <phoneticPr fontId="8"/>
  </si>
  <si>
    <t>[effect:enemy_message, val1:1.2, val2:2.4],[effect:damage_anti_tribe, target:unit_one, tribe:samurai, val1:0.5, val2:0.3],[effect:damage_anti_tribe, target:unit_one, tribe:samurai, val1:0.5, val2:0.3],[effect:damage_anti_tribe, target:unit_one, tribe:samurai, val1:0.5, val2:0.3],[effect:damage_anti_tribe, target:unit_one, tribe:samurai, val1:0.5, val2:0.3]</t>
    <phoneticPr fontId="8"/>
  </si>
  <si>
    <t>[effect:enemy_message, val1:1.2, val2:1.7],[effect:damage_anti_color, target:unit_one, color:yellow, val1:1.2, val2:1]</t>
    <phoneticPr fontId="8"/>
  </si>
  <si>
    <t>[effect:enemy_message, val1:1.2, val2:2.4],[effect:damage_anti_tribe, target:unit_one, tribe:samurai, val1:0.5, val2:0.3],[effect:damage_anti_tribe, target:unit_one, tribe:samurai, val1:0.5, val2:0.3],[effect:damage_anti_tribe, target:unit_one, tribe:samurai, val1:0.5, val2:0.3],[effect:damage_anti_tribe, target:unit_one, tribe:samurai, val1:0.5, val2:0.3]</t>
    <phoneticPr fontId="8"/>
  </si>
  <si>
    <t>[effect:enemy_message, val1:1.2, val2:1.7],[effect:damage_anti_color, target:unit_one, color:yellow, val1:1.2, val2:1]</t>
    <phoneticPr fontId="8"/>
  </si>
  <si>
    <t>薄紅の綺羅星</t>
    <rPh sb="0" eb="2">
      <t>ウスベｎ</t>
    </rPh>
    <rPh sb="3" eb="6">
      <t>キラボｓ</t>
    </rPh>
    <phoneticPr fontId="8"/>
  </si>
  <si>
    <t>私の愛は宇宙をも包み込む！</t>
    <phoneticPr fontId="8"/>
  </si>
  <si>
    <t>私の愛は宇宙をも包み込む！</t>
    <phoneticPr fontId="8"/>
  </si>
  <si>
    <t>[effect:enemy_message, val1:1.3, val2:1.5],[effect:force_change_block, new_block:block_heart, target:block_all, count:-1, val:0, animation:change_block]</t>
    <phoneticPr fontId="8"/>
  </si>
  <si>
    <t>全てのパネルをハートパネルに変換</t>
    <rPh sb="0" eb="1">
      <t>スベｔ</t>
    </rPh>
    <rPh sb="14" eb="16">
      <t>ヘｎ</t>
    </rPh>
    <phoneticPr fontId="8"/>
  </si>
  <si>
    <t>緑属性の敵の攻撃力UP</t>
    <rPh sb="0" eb="3">
      <t>ミドｒ</t>
    </rPh>
    <rPh sb="4" eb="5">
      <t>テｋ</t>
    </rPh>
    <rPh sb="6" eb="8">
      <t>コウゲｋ</t>
    </rPh>
    <rPh sb="8" eb="9">
      <t>リョク</t>
    </rPh>
    <phoneticPr fontId="8"/>
  </si>
  <si>
    <t>青属性の敵の攻撃頻度UP</t>
    <rPh sb="0" eb="3">
      <t>ア</t>
    </rPh>
    <rPh sb="4" eb="5">
      <t>テｋ</t>
    </rPh>
    <rPh sb="6" eb="8">
      <t>コウゲｋ</t>
    </rPh>
    <rPh sb="8" eb="10">
      <t>ヒンｄ</t>
    </rPh>
    <phoneticPr fontId="8"/>
  </si>
  <si>
    <t>ランダムでハートパネルに変換(最大10個)</t>
    <rPh sb="15" eb="17">
      <t>サ</t>
    </rPh>
    <phoneticPr fontId="8"/>
  </si>
  <si>
    <t>[effect:enemy_message, val1:1.2, val2:1.7],[effect:force_change_block, new_block:block_heart, target:block_all, ignore01:crash, ignore02:crack_bomb, ignore03:damage, ignore04:time_bomb, ignore05:color_break, ignore06:jammer, count:10, val:0, animation:change_block]</t>
    <phoneticPr fontId="8"/>
  </si>
  <si>
    <t>[effect:enemy_message, val1:1.2, val2:1.7],[effect:force_change_block, new_block:block_heart, target:block_all, ignore01:crash, ignore02:crack_bomb, ignore03:damage, ignore04:time_bomb, ignore05:color_break, ignore06:jammer, count:15, val:0, animation:change_block]</t>
    <phoneticPr fontId="8"/>
  </si>
  <si>
    <t>ランダムでハートパネルに変換(最大15個)</t>
    <rPh sb="15" eb="17">
      <t>サ</t>
    </rPh>
    <phoneticPr fontId="8"/>
  </si>
  <si>
    <t>[effect:enemy_message, val1:1.2, val2:1.7],[effect:force_change_block, new_block:block_heart, target:block_all, ignore01:crash, ignore02:crack_bomb, ignore03:damage, ignore04:time_bomb, ignore05:color_break, ignore06:jammer, count:15, val:0, animation:change_block]</t>
    <phoneticPr fontId="8"/>
  </si>
  <si>
    <t>[effect:enemy_message, val1:1.2, val2:1.7],[effect:force_change_block, new_block:block_heart, target:block_all, ignore01:crash, ignore02:crack_bomb, ignore03:damage, ignore04:time_bomb, ignore05:color_break, ignore06:jammer, count:10, val:0, animation:change_block]</t>
    <phoneticPr fontId="8"/>
  </si>
  <si>
    <t>[effect:enemy_message, val1:1.2, val2:3.6],[effect:break_attack, target:unit_all, val:0.03, lowest_val:0, count:15, color:yellow, block01:block_heart, block02:damage, block03:jammer, ignore01:crack_bomb, ignore02:color_break, ignore03:crash]</t>
    <phoneticPr fontId="8"/>
  </si>
  <si>
    <t>ハートパネルとダメージパネルとお邪魔パネルを
吸収して全体攻撃(最大15個)</t>
    <rPh sb="23" eb="25">
      <t>9ｓｙ</t>
    </rPh>
    <rPh sb="27" eb="29">
      <t>ゼｎ</t>
    </rPh>
    <rPh sb="29" eb="31">
      <t>コウゲｋ</t>
    </rPh>
    <rPh sb="32" eb="34">
      <t>サ</t>
    </rPh>
    <rPh sb="36" eb="37">
      <t>コ</t>
    </rPh>
    <phoneticPr fontId="8"/>
  </si>
  <si>
    <t>[effect:enemy_message, val1:1.2, val2:1.5],[effect:break_attack, target:unit_all, val:0.04, lowest_val:0, count:-1, color:yellow, block01:block_heart]</t>
    <phoneticPr fontId="8"/>
  </si>
  <si>
    <t>[effect:enemy_message, val1:1.2, val2:1.5],[effect:break_attack, target:unit_all, val:0.04, lowest_val:0, count:-1, color:yellow, block01:block_heart]</t>
    <phoneticPr fontId="8"/>
  </si>
  <si>
    <t>[effect:enemy_message, val1:1.7 val2:1.5],[effect:break_attack, target:unit_all, val:0.04, lowest_val:0, count:-1, color:yellow, block01:block_heart]</t>
    <phoneticPr fontId="8"/>
  </si>
  <si>
    <t>[effect:enemy_message, val1:1.7 val2:1.5],[effect:break_attack, target:unit_all, val:0.04, lowest_val:0, count:-1, color:yellow, block01:block_heart]</t>
    <phoneticPr fontId="8"/>
  </si>
  <si>
    <t>状態異常耐性+
全てのドロップパネル変換を解除+
緑パネルをお邪魔パネルに変換してドロップ</t>
    <rPh sb="25" eb="26">
      <t>ミドリパネｒ</t>
    </rPh>
    <rPh sb="37" eb="39">
      <t>ヘｎ</t>
    </rPh>
    <phoneticPr fontId="8"/>
  </si>
  <si>
    <t>状態異常耐性+
全てのドロップパネル変換を解除+
緑パネルをハートパネルに変換してドロップ</t>
    <rPh sb="25" eb="26">
      <t>ミドリパネｒ</t>
    </rPh>
    <rPh sb="37" eb="39">
      <t>ヘｎ</t>
    </rPh>
    <phoneticPr fontId="8"/>
  </si>
  <si>
    <t>[effect:enemy_message, val1:1.2, val2:3.2],[effect:fix_speed, target:myself, turn:2],[effect:remove_enhancement, target:unit_all, target_effect:drop_block, target_type:all],[effect:tolerance, target:myself, turn:-1, count:-1, tolerance_effect:all, animation:enemy_tolerance],[effect:drop_block, block_type:jammer, color:block_green, val:0, rate:1, turn:-1, animation:jammer_influence04]</t>
    <phoneticPr fontId="8"/>
  </si>
  <si>
    <t>[effect:enemy_message, val1:1.2, val2:3.2],[effect:fix_speed, target:myself, turn:1],[effect:remove_enhancement, target:unit_all, target_effect:drop_block, target_type:all],[effect:tolerance, target:myself, turn:-1, count:-1, tolerance_effect:all, animation:enemy_tolerance],[effect:drop_block, block_type:normal, block_color:block_heart, color:block_green, val:0, rate:1, turn:-1, animation:block_incidence04]</t>
    <phoneticPr fontId="8"/>
  </si>
  <si>
    <t>[effect:enemy_message, val1:1.2, val2:3.2],[effect:fix_speed, target:myself, turn:1],[effect:remove_enhancement, target:unit_all, target_effect:drop_block, target_type:all],[effect:tolerance, target:myself, turn:-1, count:-1, tolerance_effect:all, animation:enemy_tolerance],[effect:drop_block, block_type:normal, block_color:block_heart, color:block_green, val:0, rate:1, turn:-1, animation:block_incidence04]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</si>
</sst>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1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</font>
    <font>
      <sz val="11"/>
      <color indexed="81"/>
      <name val="ＭＳ Ｐゴシック"/>
      <family val="3"/>
      <charset val="128"/>
    </font>
  </fonts>
  <fills count="4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</borders>
  <cellStyleXfs count="725">
    <xf numFmtId="0" fontId="0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1" fillId="0" borderId="0"/>
    <xf numFmtId="38" fontId="22" fillId="0" borderId="0" applyFill="0" applyBorder="0" applyAlignment="0" applyProtection="0"/>
    <xf numFmtId="0" fontId="23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0" borderId="0"/>
    <xf numFmtId="0" fontId="26" fillId="0" borderId="0">
      <alignment vertical="center"/>
    </xf>
    <xf numFmtId="0" fontId="27" fillId="0" borderId="0">
      <alignment vertical="center"/>
    </xf>
    <xf numFmtId="0" fontId="28" fillId="10" borderId="0" applyNumberFormat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5" fillId="0" borderId="0"/>
    <xf numFmtId="0" fontId="5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0" fontId="35" fillId="16" borderId="13" applyNumberFormat="0" applyAlignment="0" applyProtection="0"/>
    <xf numFmtId="0" fontId="36" fillId="17" borderId="0" applyNumberFormat="0" applyBorder="0" applyAlignment="0" applyProtection="0"/>
    <xf numFmtId="0" fontId="37" fillId="18" borderId="14" applyNumberFormat="0" applyAlignment="0" applyProtection="0"/>
    <xf numFmtId="0" fontId="38" fillId="0" borderId="0" applyNumberFormat="0" applyFill="0" applyBorder="0" applyAlignment="0" applyProtection="0"/>
    <xf numFmtId="0" fontId="39" fillId="19" borderId="0" applyNumberFormat="0" applyBorder="0" applyAlignment="0" applyProtection="0"/>
    <xf numFmtId="0" fontId="40" fillId="20" borderId="15" applyNumberFormat="0" applyAlignment="0" applyProtection="0"/>
    <xf numFmtId="0" fontId="41" fillId="0" borderId="0" applyNumberFormat="0" applyFill="0" applyBorder="0" applyAlignment="0" applyProtection="0"/>
    <xf numFmtId="0" fontId="42" fillId="0" borderId="16" applyNumberFormat="0" applyFill="0" applyAlignment="0" applyProtection="0"/>
    <xf numFmtId="0" fontId="43" fillId="0" borderId="17" applyNumberFormat="0" applyFill="0" applyAlignment="0" applyProtection="0"/>
    <xf numFmtId="0" fontId="44" fillId="0" borderId="18" applyNumberFormat="0" applyFill="0" applyAlignment="0" applyProtection="0"/>
    <xf numFmtId="0" fontId="44" fillId="0" borderId="0" applyNumberFormat="0" applyFill="0" applyBorder="0" applyAlignment="0" applyProtection="0"/>
    <xf numFmtId="0" fontId="45" fillId="18" borderId="0" applyNumberFormat="0" applyBorder="0" applyAlignment="0" applyProtection="0"/>
    <xf numFmtId="0" fontId="45" fillId="17" borderId="0" applyNumberFormat="0" applyBorder="0" applyAlignment="0" applyProtection="0"/>
    <xf numFmtId="0" fontId="45" fillId="21" borderId="0" applyNumberFormat="0" applyBorder="0" applyAlignment="0" applyProtection="0"/>
    <xf numFmtId="0" fontId="45" fillId="18" borderId="0" applyNumberFormat="0" applyBorder="0" applyAlignment="0" applyProtection="0"/>
    <xf numFmtId="0" fontId="45" fillId="22" borderId="0" applyNumberFormat="0" applyBorder="0" applyAlignment="0" applyProtection="0"/>
    <xf numFmtId="0" fontId="45" fillId="16" borderId="0" applyNumberFormat="0" applyBorder="0" applyAlignment="0" applyProtection="0"/>
    <xf numFmtId="0" fontId="45" fillId="18" borderId="0" applyNumberFormat="0" applyBorder="0" applyAlignment="0" applyProtection="0"/>
    <xf numFmtId="0" fontId="45" fillId="23" borderId="0" applyNumberFormat="0" applyBorder="0" applyAlignment="0" applyProtection="0"/>
    <xf numFmtId="0" fontId="45" fillId="21" borderId="0" applyNumberFormat="0" applyBorder="0" applyAlignment="0" applyProtection="0"/>
    <xf numFmtId="0" fontId="45" fillId="18" borderId="0" applyNumberFormat="0" applyBorder="0" applyAlignment="0" applyProtection="0"/>
    <xf numFmtId="0" fontId="45" fillId="24" borderId="0" applyNumberFormat="0" applyBorder="0" applyAlignment="0" applyProtection="0"/>
    <xf numFmtId="0" fontId="45" fillId="17" borderId="0" applyNumberFormat="0" applyBorder="0" applyAlignment="0" applyProtection="0"/>
    <xf numFmtId="0" fontId="46" fillId="25" borderId="0" applyNumberFormat="0" applyBorder="0" applyAlignment="0" applyProtection="0"/>
    <xf numFmtId="0" fontId="46" fillId="23" borderId="0" applyNumberFormat="0" applyBorder="0" applyAlignment="0" applyProtection="0"/>
    <xf numFmtId="0" fontId="46" fillId="21" borderId="0" applyNumberFormat="0" applyBorder="0" applyAlignment="0" applyProtection="0"/>
    <xf numFmtId="0" fontId="46" fillId="18" borderId="0" applyNumberFormat="0" applyBorder="0" applyAlignment="0" applyProtection="0"/>
    <xf numFmtId="0" fontId="46" fillId="25" borderId="0" applyNumberFormat="0" applyBorder="0" applyAlignment="0" applyProtection="0"/>
    <xf numFmtId="0" fontId="46" fillId="17" borderId="0" applyNumberFormat="0" applyBorder="0" applyAlignment="0" applyProtection="0"/>
    <xf numFmtId="0" fontId="38" fillId="0" borderId="0" applyNumberFormat="0" applyFill="0" applyBorder="0" applyAlignment="0" applyProtection="0"/>
    <xf numFmtId="0" fontId="46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1" borderId="0" applyNumberFormat="0" applyBorder="0" applyAlignment="0" applyProtection="0"/>
    <xf numFmtId="0" fontId="46" fillId="27" borderId="0" applyNumberFormat="0" applyBorder="0" applyAlignment="0" applyProtection="0"/>
    <xf numFmtId="0" fontId="46" fillId="25" borderId="0" applyNumberFormat="0" applyBorder="0" applyAlignment="0" applyProtection="0"/>
    <xf numFmtId="0" fontId="46" fillId="23" borderId="0" applyNumberFormat="0" applyBorder="0" applyAlignment="0" applyProtection="0"/>
    <xf numFmtId="0" fontId="47" fillId="28" borderId="0" applyNumberFormat="0" applyBorder="0" applyAlignment="0" applyProtection="0"/>
    <xf numFmtId="0" fontId="36" fillId="17" borderId="0" applyNumberFormat="0" applyBorder="0" applyAlignment="0" applyProtection="0"/>
    <xf numFmtId="0" fontId="48" fillId="0" borderId="19" applyNumberFormat="0" applyFill="0" applyAlignment="0" applyProtection="0"/>
    <xf numFmtId="0" fontId="49" fillId="18" borderId="20" applyNumberFormat="0" applyAlignment="0" applyProtection="0"/>
    <xf numFmtId="0" fontId="49" fillId="29" borderId="20" applyNumberFormat="0" applyAlignment="0" applyProtection="0"/>
    <xf numFmtId="0" fontId="37" fillId="17" borderId="14" applyNumberFormat="0" applyAlignment="0" applyProtection="0"/>
    <xf numFmtId="0" fontId="50" fillId="0" borderId="21" applyNumberFormat="0" applyFill="0" applyAlignment="0" applyProtection="0"/>
    <xf numFmtId="0" fontId="51" fillId="29" borderId="14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22" applyNumberFormat="0" applyFill="0" applyAlignment="0" applyProtection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38" fontId="1" fillId="0" borderId="0" applyFont="0" applyFill="0" applyBorder="0" applyAlignment="0" applyProtection="0"/>
  </cellStyleXfs>
  <cellXfs count="160">
    <xf numFmtId="0" fontId="0" fillId="0" borderId="0" xfId="0"/>
    <xf numFmtId="0" fontId="7" fillId="2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9" fillId="5" borderId="3" xfId="0" applyFont="1" applyFill="1" applyBorder="1" applyAlignment="1">
      <alignment vertical="center"/>
    </xf>
    <xf numFmtId="0" fontId="11" fillId="0" borderId="4" xfId="0" applyFont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9" fillId="5" borderId="1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7" fillId="3" borderId="7" xfId="0" applyFont="1" applyFill="1" applyBorder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9" fillId="5" borderId="9" xfId="0" applyFont="1" applyFill="1" applyBorder="1" applyAlignment="1">
      <alignment vertical="center"/>
    </xf>
    <xf numFmtId="0" fontId="9" fillId="5" borderId="7" xfId="0" applyFont="1" applyFill="1" applyBorder="1" applyAlignment="1">
      <alignment vertical="center"/>
    </xf>
    <xf numFmtId="0" fontId="15" fillId="0" borderId="0" xfId="0" applyFont="1" applyFill="1" applyAlignment="1">
      <alignment vertical="center"/>
    </xf>
    <xf numFmtId="0" fontId="7" fillId="0" borderId="1" xfId="0" applyFont="1" applyFill="1" applyBorder="1" applyAlignment="1">
      <alignment horizontal="center" vertical="center"/>
    </xf>
    <xf numFmtId="176" fontId="7" fillId="0" borderId="3" xfId="0" applyNumberFormat="1" applyFont="1" applyFill="1" applyBorder="1" applyAlignment="1">
      <alignment horizontal="center" vertical="center"/>
    </xf>
    <xf numFmtId="0" fontId="9" fillId="3" borderId="7" xfId="0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177" fontId="11" fillId="0" borderId="4" xfId="0" applyNumberFormat="1" applyFont="1" applyBorder="1" applyAlignment="1">
      <alignment vertical="center"/>
    </xf>
    <xf numFmtId="0" fontId="7" fillId="2" borderId="7" xfId="0" applyFont="1" applyFill="1" applyBorder="1" applyAlignment="1">
      <alignment horizontal="left" vertical="center"/>
    </xf>
    <xf numFmtId="0" fontId="15" fillId="7" borderId="0" xfId="0" applyFont="1" applyFill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7" fillId="3" borderId="7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7" fillId="3" borderId="8" xfId="0" applyFont="1" applyFill="1" applyBorder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left" vertical="center"/>
    </xf>
    <xf numFmtId="0" fontId="9" fillId="4" borderId="7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6" borderId="7" xfId="0" applyFont="1" applyFill="1" applyBorder="1" applyAlignment="1">
      <alignment horizontal="left" vertical="center"/>
    </xf>
    <xf numFmtId="0" fontId="7" fillId="6" borderId="1" xfId="0" applyFont="1" applyFill="1" applyBorder="1" applyAlignment="1">
      <alignment horizontal="left" vertical="center"/>
    </xf>
    <xf numFmtId="0" fontId="9" fillId="0" borderId="7" xfId="0" applyFont="1" applyFill="1" applyBorder="1" applyAlignment="1">
      <alignment vertical="center"/>
    </xf>
    <xf numFmtId="0" fontId="17" fillId="7" borderId="0" xfId="0" applyFont="1" applyFill="1" applyAlignment="1">
      <alignment vertical="center"/>
    </xf>
    <xf numFmtId="0" fontId="19" fillId="6" borderId="7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3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>
      <alignment vertical="center"/>
    </xf>
    <xf numFmtId="0" fontId="19" fillId="3" borderId="7" xfId="0" applyFont="1" applyFill="1" applyBorder="1" applyAlignment="1">
      <alignment vertical="center"/>
    </xf>
    <xf numFmtId="0" fontId="19" fillId="0" borderId="0" xfId="0" applyFont="1" applyFill="1" applyAlignment="1">
      <alignment vertical="center"/>
    </xf>
    <xf numFmtId="0" fontId="19" fillId="0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>
      <alignment horizontal="left" vertical="center" wrapText="1"/>
    </xf>
    <xf numFmtId="14" fontId="19" fillId="0" borderId="7" xfId="0" applyNumberFormat="1" applyFont="1" applyFill="1" applyBorder="1" applyAlignment="1">
      <alignment horizontal="left" vertical="center"/>
    </xf>
    <xf numFmtId="0" fontId="14" fillId="6" borderId="2" xfId="0" applyFont="1" applyFill="1" applyBorder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16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9" fillId="12" borderId="7" xfId="0" applyFont="1" applyFill="1" applyBorder="1"/>
    <xf numFmtId="0" fontId="16" fillId="11" borderId="7" xfId="434" applyFont="1" applyFill="1" applyBorder="1" applyAlignment="1"/>
    <xf numFmtId="0" fontId="27" fillId="0" borderId="7" xfId="434" applyBorder="1" applyAlignment="1"/>
    <xf numFmtId="0" fontId="0" fillId="13" borderId="7" xfId="0" applyFill="1" applyBorder="1"/>
    <xf numFmtId="0" fontId="19" fillId="3" borderId="7" xfId="0" applyFont="1" applyFill="1" applyBorder="1" applyAlignment="1">
      <alignment horizontal="left" vertical="center" wrapText="1"/>
    </xf>
    <xf numFmtId="0" fontId="19" fillId="6" borderId="7" xfId="614" applyFont="1" applyFill="1" applyBorder="1" applyAlignment="1">
      <alignment horizontal="left"/>
    </xf>
    <xf numFmtId="0" fontId="17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5" fillId="11" borderId="7" xfId="615" applyFill="1" applyBorder="1"/>
    <xf numFmtId="0" fontId="7" fillId="0" borderId="7" xfId="0" applyFont="1" applyBorder="1" applyAlignment="1">
      <alignment vertical="center"/>
    </xf>
    <xf numFmtId="0" fontId="9" fillId="5" borderId="11" xfId="0" applyFont="1" applyFill="1" applyBorder="1" applyAlignment="1">
      <alignment vertical="center"/>
    </xf>
    <xf numFmtId="0" fontId="0" fillId="3" borderId="7" xfId="0" applyFill="1" applyBorder="1"/>
    <xf numFmtId="0" fontId="19" fillId="3" borderId="7" xfId="614" applyFont="1" applyFill="1" applyBorder="1" applyAlignment="1">
      <alignment horizontal="left"/>
    </xf>
    <xf numFmtId="0" fontId="19" fillId="6" borderId="7" xfId="0" applyFont="1" applyFill="1" applyBorder="1" applyAlignment="1">
      <alignment horizontal="center"/>
    </xf>
    <xf numFmtId="56" fontId="19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5" fillId="0" borderId="0" xfId="615"/>
    <xf numFmtId="0" fontId="30" fillId="6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19" fillId="14" borderId="7" xfId="0" applyFont="1" applyFill="1" applyBorder="1" applyAlignment="1">
      <alignment horizontal="center"/>
    </xf>
    <xf numFmtId="0" fontId="19" fillId="15" borderId="7" xfId="0" applyFont="1" applyFill="1" applyBorder="1" applyAlignment="1">
      <alignment horizontal="center"/>
    </xf>
    <xf numFmtId="0" fontId="0" fillId="15" borderId="7" xfId="0" applyFill="1" applyBorder="1"/>
    <xf numFmtId="0" fontId="30" fillId="0" borderId="7" xfId="0" applyFont="1" applyFill="1" applyBorder="1"/>
    <xf numFmtId="0" fontId="31" fillId="0" borderId="7" xfId="0" applyFont="1" applyFill="1" applyBorder="1"/>
    <xf numFmtId="0" fontId="32" fillId="3" borderId="12" xfId="0" applyFont="1" applyFill="1" applyBorder="1" applyAlignment="1">
      <alignment vertical="center"/>
    </xf>
    <xf numFmtId="0" fontId="33" fillId="0" borderId="7" xfId="0" applyFont="1" applyFill="1" applyBorder="1"/>
    <xf numFmtId="0" fontId="32" fillId="0" borderId="12" xfId="0" applyFont="1" applyFill="1" applyBorder="1" applyAlignment="1">
      <alignment vertical="center"/>
    </xf>
    <xf numFmtId="0" fontId="33" fillId="14" borderId="7" xfId="0" applyFont="1" applyFill="1" applyBorder="1"/>
    <xf numFmtId="0" fontId="34" fillId="0" borderId="7" xfId="0" applyFont="1" applyFill="1" applyBorder="1"/>
    <xf numFmtId="38" fontId="19" fillId="0" borderId="7" xfId="628" applyFont="1" applyFill="1" applyBorder="1" applyAlignment="1"/>
    <xf numFmtId="0" fontId="30" fillId="0" borderId="0" xfId="0" applyFont="1" applyFill="1"/>
    <xf numFmtId="0" fontId="19" fillId="30" borderId="7" xfId="0" applyFont="1" applyFill="1" applyBorder="1" applyAlignment="1">
      <alignment horizontal="center"/>
    </xf>
    <xf numFmtId="0" fontId="33" fillId="30" borderId="7" xfId="0" applyFont="1" applyFill="1" applyBorder="1"/>
    <xf numFmtId="0" fontId="19" fillId="13" borderId="7" xfId="0" applyFont="1" applyFill="1" applyBorder="1" applyAlignment="1">
      <alignment horizontal="center"/>
    </xf>
    <xf numFmtId="56" fontId="19" fillId="14" borderId="7" xfId="0" applyNumberFormat="1" applyFont="1" applyFill="1" applyBorder="1" applyAlignment="1">
      <alignment horizontal="center"/>
    </xf>
    <xf numFmtId="0" fontId="34" fillId="14" borderId="7" xfId="0" applyFont="1" applyFill="1" applyBorder="1"/>
    <xf numFmtId="38" fontId="19" fillId="14" borderId="7" xfId="628" applyFont="1" applyFill="1" applyBorder="1" applyAlignment="1"/>
    <xf numFmtId="0" fontId="19" fillId="6" borderId="7" xfId="11" applyFont="1" applyFill="1" applyBorder="1" applyAlignment="1">
      <alignment horizontal="left"/>
    </xf>
    <xf numFmtId="0" fontId="5" fillId="6" borderId="0" xfId="615" applyFill="1"/>
    <xf numFmtId="0" fontId="29" fillId="0" borderId="0" xfId="0" applyFont="1"/>
    <xf numFmtId="0" fontId="7" fillId="31" borderId="7" xfId="0" applyFont="1" applyFill="1" applyBorder="1" applyAlignment="1">
      <alignment vertical="center"/>
    </xf>
    <xf numFmtId="0" fontId="19" fillId="6" borderId="23" xfId="0" applyFont="1" applyFill="1" applyBorder="1" applyAlignment="1">
      <alignment horizontal="center"/>
    </xf>
    <xf numFmtId="0" fontId="11" fillId="33" borderId="7" xfId="0" applyFont="1" applyFill="1" applyBorder="1" applyAlignment="1">
      <alignment horizontal="left" vertical="center"/>
    </xf>
    <xf numFmtId="0" fontId="19" fillId="32" borderId="7" xfId="432" applyFont="1" applyFill="1" applyBorder="1" applyAlignment="1">
      <alignment horizontal="left" vertical="center"/>
    </xf>
    <xf numFmtId="0" fontId="19" fillId="14" borderId="23" xfId="0" applyFont="1" applyFill="1" applyBorder="1" applyAlignment="1">
      <alignment horizontal="center"/>
    </xf>
    <xf numFmtId="0" fontId="4" fillId="0" borderId="7" xfId="676" applyBorder="1"/>
    <xf numFmtId="0" fontId="4" fillId="11" borderId="7" xfId="676" applyFill="1" applyBorder="1"/>
    <xf numFmtId="0" fontId="3" fillId="6" borderId="7" xfId="434" applyFont="1" applyFill="1" applyBorder="1" applyAlignment="1"/>
    <xf numFmtId="0" fontId="0" fillId="0" borderId="0" xfId="0" applyFill="1" applyBorder="1"/>
    <xf numFmtId="0" fontId="0" fillId="32" borderId="7" xfId="0" applyFill="1" applyBorder="1"/>
    <xf numFmtId="0" fontId="0" fillId="34" borderId="7" xfId="0" applyFill="1" applyBorder="1"/>
    <xf numFmtId="0" fontId="0" fillId="34" borderId="7" xfId="615" applyFont="1" applyFill="1" applyBorder="1"/>
    <xf numFmtId="0" fontId="4" fillId="34" borderId="7" xfId="676" applyFill="1" applyBorder="1"/>
    <xf numFmtId="0" fontId="0" fillId="6" borderId="0" xfId="0" applyFill="1"/>
    <xf numFmtId="0" fontId="0" fillId="34" borderId="7" xfId="676" applyFont="1" applyFill="1" applyBorder="1"/>
    <xf numFmtId="0" fontId="0" fillId="0" borderId="7" xfId="615" applyFont="1" applyFill="1" applyBorder="1"/>
    <xf numFmtId="0" fontId="2" fillId="6" borderId="7" xfId="434" applyFont="1" applyFill="1" applyBorder="1" applyAlignment="1"/>
    <xf numFmtId="0" fontId="55" fillId="35" borderId="7" xfId="0" applyFont="1" applyFill="1" applyBorder="1"/>
    <xf numFmtId="0" fontId="19" fillId="0" borderId="7" xfId="0" applyFont="1" applyBorder="1" applyAlignment="1">
      <alignment horizontal="left" vertical="center"/>
    </xf>
    <xf numFmtId="0" fontId="19" fillId="0" borderId="7" xfId="432" applyFont="1" applyBorder="1" applyAlignment="1">
      <alignment horizontal="left" vertical="center"/>
    </xf>
    <xf numFmtId="0" fontId="19" fillId="0" borderId="7" xfId="432" applyFont="1" applyBorder="1" applyAlignment="1">
      <alignment horizontal="left" vertical="center" wrapText="1"/>
    </xf>
    <xf numFmtId="0" fontId="7" fillId="0" borderId="7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0" fillId="6" borderId="23" xfId="0" applyFill="1" applyBorder="1"/>
    <xf numFmtId="0" fontId="0" fillId="36" borderId="7" xfId="0" applyFill="1" applyBorder="1"/>
    <xf numFmtId="0" fontId="0" fillId="13" borderId="0" xfId="0" applyFill="1"/>
    <xf numFmtId="38" fontId="0" fillId="37" borderId="7" xfId="724" applyFont="1" applyFill="1" applyBorder="1"/>
    <xf numFmtId="38" fontId="0" fillId="37" borderId="7" xfId="0" applyNumberFormat="1" applyFill="1" applyBorder="1"/>
    <xf numFmtId="38" fontId="0" fillId="36" borderId="7" xfId="724" applyFont="1" applyFill="1" applyBorder="1"/>
    <xf numFmtId="38" fontId="0" fillId="36" borderId="7" xfId="0" applyNumberFormat="1" applyFill="1" applyBorder="1"/>
    <xf numFmtId="0" fontId="0" fillId="38" borderId="7" xfId="0" applyFill="1" applyBorder="1"/>
    <xf numFmtId="38" fontId="0" fillId="38" borderId="7" xfId="724" applyFont="1" applyFill="1" applyBorder="1"/>
    <xf numFmtId="38" fontId="0" fillId="38" borderId="7" xfId="0" applyNumberFormat="1" applyFill="1" applyBorder="1"/>
    <xf numFmtId="40" fontId="0" fillId="37" borderId="7" xfId="724" applyNumberFormat="1" applyFont="1" applyFill="1" applyBorder="1"/>
    <xf numFmtId="9" fontId="0" fillId="0" borderId="0" xfId="0" applyNumberFormat="1"/>
    <xf numFmtId="40" fontId="0" fillId="36" borderId="7" xfId="0" applyNumberFormat="1" applyFill="1" applyBorder="1"/>
    <xf numFmtId="0" fontId="0" fillId="0" borderId="24" xfId="0" applyFill="1" applyBorder="1"/>
    <xf numFmtId="38" fontId="0" fillId="0" borderId="24" xfId="724" applyFont="1" applyFill="1" applyBorder="1"/>
    <xf numFmtId="38" fontId="0" fillId="0" borderId="0" xfId="724" applyFont="1" applyFill="1" applyBorder="1"/>
    <xf numFmtId="0" fontId="0" fillId="36" borderId="7" xfId="724" applyNumberFormat="1" applyFont="1" applyFill="1" applyBorder="1"/>
    <xf numFmtId="38" fontId="0" fillId="3" borderId="7" xfId="724" applyFont="1" applyFill="1" applyBorder="1"/>
    <xf numFmtId="38" fontId="0" fillId="3" borderId="7" xfId="0" applyNumberFormat="1" applyFill="1" applyBorder="1"/>
    <xf numFmtId="0" fontId="0" fillId="38" borderId="7" xfId="724" applyNumberFormat="1" applyFont="1" applyFill="1" applyBorder="1"/>
    <xf numFmtId="0" fontId="19" fillId="13" borderId="7" xfId="0" applyFont="1" applyFill="1" applyBorder="1" applyAlignment="1">
      <alignment vertical="center"/>
    </xf>
    <xf numFmtId="0" fontId="19" fillId="13" borderId="7" xfId="0" applyFont="1" applyFill="1" applyBorder="1" applyAlignment="1">
      <alignment horizontal="left" vertical="center" wrapText="1"/>
    </xf>
    <xf numFmtId="0" fontId="19" fillId="13" borderId="0" xfId="0" applyFont="1" applyFill="1" applyAlignment="1">
      <alignment vertical="center"/>
    </xf>
    <xf numFmtId="0" fontId="19" fillId="0" borderId="7" xfId="432" applyFont="1" applyFill="1" applyBorder="1" applyAlignment="1">
      <alignment horizontal="left" vertical="center"/>
    </xf>
    <xf numFmtId="0" fontId="31" fillId="0" borderId="7" xfId="0" applyFont="1" applyFill="1" applyBorder="1" applyAlignment="1">
      <alignment horizontal="left" vertical="center"/>
    </xf>
    <xf numFmtId="0" fontId="32" fillId="3" borderId="12" xfId="0" applyFont="1" applyFill="1" applyBorder="1" applyAlignment="1">
      <alignment horizontal="left" vertical="center"/>
    </xf>
    <xf numFmtId="0" fontId="32" fillId="0" borderId="12" xfId="0" applyFont="1" applyFill="1" applyBorder="1" applyAlignment="1">
      <alignment horizontal="left" vertical="center"/>
    </xf>
    <xf numFmtId="0" fontId="32" fillId="0" borderId="0" xfId="0" applyFont="1" applyFill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0" borderId="0" xfId="432" applyFont="1" applyAlignment="1">
      <alignment horizontal="left" vertical="center"/>
    </xf>
    <xf numFmtId="0" fontId="19" fillId="0" borderId="0" xfId="432" applyFont="1" applyAlignment="1">
      <alignment horizontal="left" vertical="center" wrapText="1"/>
    </xf>
    <xf numFmtId="0" fontId="19" fillId="0" borderId="0" xfId="432" applyFont="1" applyFill="1" applyAlignment="1">
      <alignment horizontal="left" vertical="center"/>
    </xf>
    <xf numFmtId="0" fontId="27" fillId="13" borderId="7" xfId="434" applyFill="1" applyBorder="1" applyAlignment="1"/>
    <xf numFmtId="0" fontId="0" fillId="13" borderId="7" xfId="615" applyFont="1" applyFill="1" applyBorder="1"/>
    <xf numFmtId="0" fontId="19" fillId="39" borderId="7" xfId="0" applyFont="1" applyFill="1" applyBorder="1" applyAlignment="1">
      <alignment horizontal="left" vertical="center" wrapText="1"/>
    </xf>
    <xf numFmtId="0" fontId="19" fillId="40" borderId="7" xfId="0" applyFont="1" applyFill="1" applyBorder="1" applyAlignment="1">
      <alignment horizontal="left" vertical="center" wrapText="1"/>
    </xf>
    <xf numFmtId="0" fontId="19" fillId="34" borderId="7" xfId="0" applyFont="1" applyFill="1" applyBorder="1" applyAlignment="1">
      <alignment horizontal="left" vertical="center" wrapText="1"/>
    </xf>
  </cellXfs>
  <cellStyles count="725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桁区切り 2" xfId="429"/>
    <cellStyle name="桁区切り 2 2" xfId="628"/>
    <cellStyle name="桁区切り [0]" xfId="724" builtinId="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赤字強調" xfId="431"/>
    <cellStyle name="青字強調" xfId="43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externalLink" Target="externalLinks/externalLink5.xml"/><Relationship Id="rId23" Type="http://schemas.openxmlformats.org/officeDocument/2006/relationships/externalLink" Target="externalLinks/externalLink6.xml"/><Relationship Id="rId24" Type="http://schemas.openxmlformats.org/officeDocument/2006/relationships/externalLink" Target="externalLinks/externalLink7.xml"/><Relationship Id="rId25" Type="http://schemas.openxmlformats.org/officeDocument/2006/relationships/theme" Target="theme/theme1.xml"/><Relationship Id="rId26" Type="http://schemas.openxmlformats.org/officeDocument/2006/relationships/styles" Target="styles.xml"/><Relationship Id="rId27" Type="http://schemas.openxmlformats.org/officeDocument/2006/relationships/sharedStrings" Target="sharedStrings.xml"/><Relationship Id="rId28" Type="http://schemas.openxmlformats.org/officeDocument/2006/relationships/calcChain" Target="calcChain.xml"/><Relationship Id="rId29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41001</v>
          </cell>
        </row>
        <row r="247">
          <cell r="A247">
            <v>41002</v>
          </cell>
        </row>
        <row r="248">
          <cell r="A248">
            <v>41003</v>
          </cell>
        </row>
        <row r="249">
          <cell r="A249">
            <v>41004</v>
          </cell>
        </row>
        <row r="250">
          <cell r="A250">
            <v>41005</v>
          </cell>
        </row>
        <row r="251">
          <cell r="A251">
            <v>41006</v>
          </cell>
        </row>
        <row r="252">
          <cell r="A252">
            <v>41007</v>
          </cell>
        </row>
        <row r="253">
          <cell r="A253">
            <v>41008</v>
          </cell>
        </row>
        <row r="254">
          <cell r="A254">
            <v>41009</v>
          </cell>
        </row>
        <row r="255">
          <cell r="A255">
            <v>41010</v>
          </cell>
        </row>
        <row r="256">
          <cell r="A256">
            <v>41011</v>
          </cell>
        </row>
        <row r="257">
          <cell r="A257">
            <v>41012</v>
          </cell>
        </row>
        <row r="258">
          <cell r="A258">
            <v>41013</v>
          </cell>
        </row>
        <row r="259">
          <cell r="A259">
            <v>41014</v>
          </cell>
        </row>
        <row r="260">
          <cell r="A260">
            <v>41015</v>
          </cell>
        </row>
        <row r="261">
          <cell r="A261">
            <v>47001</v>
          </cell>
        </row>
        <row r="262">
          <cell r="A262">
            <v>47002</v>
          </cell>
        </row>
        <row r="263">
          <cell r="A263">
            <v>47003</v>
          </cell>
        </row>
        <row r="264">
          <cell r="A264">
            <v>47004</v>
          </cell>
        </row>
        <row r="265">
          <cell r="A265">
            <v>47005</v>
          </cell>
        </row>
        <row r="266">
          <cell r="A266">
            <v>47006</v>
          </cell>
        </row>
        <row r="267">
          <cell r="A267">
            <v>47007</v>
          </cell>
        </row>
        <row r="268">
          <cell r="A268">
            <v>47008</v>
          </cell>
        </row>
        <row r="269">
          <cell r="A269">
            <v>47009</v>
          </cell>
        </row>
        <row r="270">
          <cell r="A270">
            <v>47010</v>
          </cell>
        </row>
        <row r="271">
          <cell r="A271">
            <v>47011</v>
          </cell>
        </row>
        <row r="272">
          <cell r="A272">
            <v>49001</v>
          </cell>
        </row>
        <row r="273">
          <cell r="A273">
            <v>49002</v>
          </cell>
        </row>
        <row r="274">
          <cell r="A274">
            <v>49003</v>
          </cell>
        </row>
        <row r="275">
          <cell r="A275">
            <v>49004</v>
          </cell>
        </row>
        <row r="276">
          <cell r="A276">
            <v>49005</v>
          </cell>
        </row>
        <row r="277">
          <cell r="A277">
            <v>49006</v>
          </cell>
        </row>
        <row r="278">
          <cell r="A278">
            <v>49007</v>
          </cell>
        </row>
        <row r="279">
          <cell r="A279">
            <v>49008</v>
          </cell>
        </row>
        <row r="280">
          <cell r="A280">
            <v>49009</v>
          </cell>
        </row>
        <row r="281">
          <cell r="A281">
            <v>49010</v>
          </cell>
        </row>
        <row r="282">
          <cell r="A282">
            <v>49011</v>
          </cell>
        </row>
        <row r="283">
          <cell r="A283">
            <v>49012</v>
          </cell>
        </row>
        <row r="284">
          <cell r="A284">
            <v>49013</v>
          </cell>
        </row>
        <row r="285">
          <cell r="A285">
            <v>49014</v>
          </cell>
        </row>
        <row r="286">
          <cell r="A286">
            <v>50001</v>
          </cell>
        </row>
        <row r="287">
          <cell r="A287">
            <v>50002</v>
          </cell>
        </row>
        <row r="288">
          <cell r="A288">
            <v>50003</v>
          </cell>
        </row>
        <row r="289">
          <cell r="A289">
            <v>50004</v>
          </cell>
        </row>
        <row r="290">
          <cell r="A290">
            <v>50005</v>
          </cell>
        </row>
        <row r="291">
          <cell r="A291">
            <v>50006</v>
          </cell>
        </row>
        <row r="292">
          <cell r="A292">
            <v>50007</v>
          </cell>
        </row>
        <row r="293">
          <cell r="A293">
            <v>50008</v>
          </cell>
        </row>
        <row r="294">
          <cell r="A294">
            <v>50009</v>
          </cell>
        </row>
        <row r="295">
          <cell r="A295">
            <v>50010</v>
          </cell>
        </row>
        <row r="296">
          <cell r="A296">
            <v>50011</v>
          </cell>
        </row>
        <row r="297">
          <cell r="A297">
            <v>50012</v>
          </cell>
        </row>
        <row r="298">
          <cell r="A298">
            <v>50013</v>
          </cell>
        </row>
        <row r="299">
          <cell r="A299">
            <v>50014</v>
          </cell>
        </row>
        <row r="300">
          <cell r="A300">
            <v>51001</v>
          </cell>
        </row>
        <row r="301">
          <cell r="A301">
            <v>51002</v>
          </cell>
        </row>
        <row r="302">
          <cell r="A302">
            <v>58001</v>
          </cell>
        </row>
        <row r="303">
          <cell r="A303">
            <v>59001</v>
          </cell>
        </row>
        <row r="304">
          <cell r="A304">
            <v>59002</v>
          </cell>
        </row>
        <row r="305">
          <cell r="A305">
            <v>60001</v>
          </cell>
        </row>
        <row r="306">
          <cell r="A306">
            <v>60002</v>
          </cell>
        </row>
        <row r="307">
          <cell r="A307">
            <v>60003</v>
          </cell>
        </row>
        <row r="308">
          <cell r="A308">
            <v>60004</v>
          </cell>
        </row>
        <row r="309">
          <cell r="A309">
            <v>60005</v>
          </cell>
        </row>
        <row r="310">
          <cell r="A310">
            <v>60006</v>
          </cell>
        </row>
        <row r="311">
          <cell r="A311">
            <v>60007</v>
          </cell>
        </row>
        <row r="312">
          <cell r="A312">
            <v>60010</v>
          </cell>
        </row>
        <row r="313">
          <cell r="A313">
            <v>60011</v>
          </cell>
        </row>
        <row r="314">
          <cell r="A314">
            <v>61011</v>
          </cell>
        </row>
        <row r="315">
          <cell r="A315">
            <v>60012</v>
          </cell>
        </row>
        <row r="316">
          <cell r="A316">
            <v>60013</v>
          </cell>
        </row>
        <row r="317">
          <cell r="A317">
            <v>60014</v>
          </cell>
        </row>
        <row r="318">
          <cell r="A318">
            <v>60015</v>
          </cell>
        </row>
        <row r="319">
          <cell r="A319">
            <v>60016</v>
          </cell>
        </row>
        <row r="320">
          <cell r="A320">
            <v>60017</v>
          </cell>
        </row>
        <row r="321">
          <cell r="A321">
            <v>60018</v>
          </cell>
        </row>
        <row r="322">
          <cell r="A322">
            <v>60019</v>
          </cell>
        </row>
        <row r="323">
          <cell r="A323">
            <v>60020</v>
          </cell>
        </row>
        <row r="324">
          <cell r="A324">
            <v>60025</v>
          </cell>
        </row>
        <row r="325">
          <cell r="A325">
            <v>60026</v>
          </cell>
        </row>
        <row r="326">
          <cell r="A326">
            <v>60027</v>
          </cell>
        </row>
        <row r="327">
          <cell r="A327">
            <v>60028</v>
          </cell>
        </row>
        <row r="328">
          <cell r="A328">
            <v>65525</v>
          </cell>
        </row>
        <row r="329">
          <cell r="A329">
            <v>65526</v>
          </cell>
        </row>
        <row r="330">
          <cell r="A330">
            <v>65527</v>
          </cell>
        </row>
        <row r="331">
          <cell r="A331">
            <v>65528</v>
          </cell>
        </row>
        <row r="332">
          <cell r="A332">
            <v>65529</v>
          </cell>
        </row>
        <row r="333">
          <cell r="A333">
            <v>65530</v>
          </cell>
        </row>
        <row r="334">
          <cell r="A334">
            <v>65531</v>
          </cell>
        </row>
        <row r="335">
          <cell r="A335">
            <v>65532</v>
          </cell>
        </row>
        <row r="336">
          <cell r="A336">
            <v>65533</v>
          </cell>
        </row>
        <row r="337">
          <cell r="A337">
            <v>65534</v>
          </cell>
        </row>
        <row r="338">
          <cell r="A338">
            <v>65535</v>
          </cell>
        </row>
        <row r="339">
          <cell r="A339">
            <v>60021</v>
          </cell>
        </row>
        <row r="340">
          <cell r="A340">
            <v>60022</v>
          </cell>
        </row>
        <row r="341">
          <cell r="A341">
            <v>60023</v>
          </cell>
        </row>
        <row r="342">
          <cell r="A342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49001_1</v>
          </cell>
        </row>
        <row r="875">
          <cell r="A875" t="str">
            <v>49002_1</v>
          </cell>
        </row>
        <row r="876">
          <cell r="A876" t="str">
            <v>49002_2</v>
          </cell>
        </row>
        <row r="877">
          <cell r="A877" t="str">
            <v>49003_1</v>
          </cell>
        </row>
        <row r="878">
          <cell r="A878" t="str">
            <v>49003_2</v>
          </cell>
        </row>
        <row r="879">
          <cell r="A879" t="str">
            <v>49004_1</v>
          </cell>
        </row>
        <row r="880">
          <cell r="A880" t="str">
            <v>49004_2</v>
          </cell>
        </row>
        <row r="881">
          <cell r="A881" t="str">
            <v>49004_3</v>
          </cell>
        </row>
        <row r="882">
          <cell r="A882" t="str">
            <v>49005_1</v>
          </cell>
        </row>
        <row r="883">
          <cell r="A883" t="str">
            <v>49006_1</v>
          </cell>
        </row>
        <row r="884">
          <cell r="A884" t="str">
            <v>49006_2</v>
          </cell>
        </row>
        <row r="885">
          <cell r="A885" t="str">
            <v>49007_1</v>
          </cell>
        </row>
        <row r="886">
          <cell r="A886" t="str">
            <v>49007_2</v>
          </cell>
        </row>
        <row r="887">
          <cell r="A887" t="str">
            <v>49007_3</v>
          </cell>
        </row>
        <row r="888">
          <cell r="A888" t="str">
            <v>49008_1</v>
          </cell>
        </row>
        <row r="889">
          <cell r="A889" t="str">
            <v>49009_1</v>
          </cell>
        </row>
        <row r="890">
          <cell r="A890" t="str">
            <v>49010_1</v>
          </cell>
        </row>
        <row r="891">
          <cell r="A891" t="str">
            <v>49011_1</v>
          </cell>
        </row>
        <row r="892">
          <cell r="A892" t="str">
            <v>49012_1</v>
          </cell>
        </row>
        <row r="893">
          <cell r="A893" t="str">
            <v>49013_1</v>
          </cell>
        </row>
        <row r="894">
          <cell r="A894" t="str">
            <v>49014_1</v>
          </cell>
        </row>
        <row r="895">
          <cell r="A895" t="str">
            <v>49014_2</v>
          </cell>
        </row>
        <row r="896">
          <cell r="A896" t="str">
            <v>50001_1</v>
          </cell>
        </row>
        <row r="897">
          <cell r="A897" t="str">
            <v>50002_1</v>
          </cell>
        </row>
        <row r="898">
          <cell r="A898" t="str">
            <v>50003_1</v>
          </cell>
        </row>
        <row r="899">
          <cell r="A899" t="str">
            <v>50004_1</v>
          </cell>
        </row>
        <row r="900">
          <cell r="A900" t="str">
            <v>50005_1</v>
          </cell>
        </row>
        <row r="901">
          <cell r="A901" t="str">
            <v>50006_1</v>
          </cell>
        </row>
        <row r="902">
          <cell r="A902" t="str">
            <v>50007_1</v>
          </cell>
        </row>
        <row r="903">
          <cell r="A903" t="str">
            <v>50008_1</v>
          </cell>
        </row>
        <row r="904">
          <cell r="A904" t="str">
            <v>50009_1</v>
          </cell>
        </row>
        <row r="905">
          <cell r="A905" t="str">
            <v>50010_1</v>
          </cell>
        </row>
        <row r="906">
          <cell r="A906" t="str">
            <v>50011_1</v>
          </cell>
        </row>
        <row r="907">
          <cell r="A907" t="str">
            <v>50012_1</v>
          </cell>
        </row>
        <row r="908">
          <cell r="A908" t="str">
            <v>50013_1</v>
          </cell>
        </row>
        <row r="909">
          <cell r="A909" t="str">
            <v>50014_1</v>
          </cell>
        </row>
        <row r="910">
          <cell r="A910" t="str">
            <v>51001_1</v>
          </cell>
        </row>
        <row r="911">
          <cell r="A911" t="str">
            <v>51002_1</v>
          </cell>
        </row>
        <row r="912">
          <cell r="A912" t="str">
            <v>58001_1</v>
          </cell>
        </row>
        <row r="913">
          <cell r="A913" t="str">
            <v>59001_1</v>
          </cell>
        </row>
        <row r="914">
          <cell r="A914" t="str">
            <v>59002_1</v>
          </cell>
        </row>
        <row r="915">
          <cell r="A915" t="str">
            <v>60001_1</v>
          </cell>
        </row>
        <row r="916">
          <cell r="A916" t="str">
            <v>60002_1</v>
          </cell>
        </row>
        <row r="917">
          <cell r="A917" t="str">
            <v>60002_2</v>
          </cell>
        </row>
        <row r="918">
          <cell r="A918" t="str">
            <v>60003_1</v>
          </cell>
        </row>
        <row r="919">
          <cell r="A919" t="str">
            <v>60003_2</v>
          </cell>
        </row>
        <row r="920">
          <cell r="A920" t="str">
            <v>60003_3</v>
          </cell>
        </row>
        <row r="921">
          <cell r="A921" t="str">
            <v>60004_1</v>
          </cell>
        </row>
        <row r="922">
          <cell r="A922" t="str">
            <v>60005_1</v>
          </cell>
        </row>
        <row r="923">
          <cell r="A923" t="str">
            <v>60006_1</v>
          </cell>
        </row>
        <row r="924">
          <cell r="A924" t="str">
            <v>60006_2</v>
          </cell>
        </row>
        <row r="925">
          <cell r="A925" t="str">
            <v>60006_3</v>
          </cell>
        </row>
        <row r="926">
          <cell r="A926" t="str">
            <v>60007_1</v>
          </cell>
        </row>
        <row r="927">
          <cell r="A927" t="str">
            <v>60007_2</v>
          </cell>
        </row>
        <row r="928">
          <cell r="A928" t="str">
            <v>60007_3</v>
          </cell>
        </row>
        <row r="929">
          <cell r="A929" t="str">
            <v>60010_1</v>
          </cell>
        </row>
        <row r="930">
          <cell r="A930" t="str">
            <v>60011_1</v>
          </cell>
        </row>
        <row r="931">
          <cell r="A931" t="str">
            <v>60011_2</v>
          </cell>
        </row>
        <row r="932">
          <cell r="A932" t="str">
            <v>60012_1</v>
          </cell>
        </row>
        <row r="933">
          <cell r="A933" t="str">
            <v>60013_1</v>
          </cell>
        </row>
        <row r="934">
          <cell r="A934" t="str">
            <v>60013_2</v>
          </cell>
        </row>
        <row r="935">
          <cell r="A935" t="str">
            <v>60013_3</v>
          </cell>
        </row>
        <row r="936">
          <cell r="A936" t="str">
            <v>60014_1</v>
          </cell>
        </row>
        <row r="937">
          <cell r="A937" t="str">
            <v>60015_1</v>
          </cell>
        </row>
        <row r="938">
          <cell r="A938" t="str">
            <v>60016_1</v>
          </cell>
        </row>
        <row r="939">
          <cell r="A939" t="str">
            <v>60017_1</v>
          </cell>
        </row>
        <row r="940">
          <cell r="A940" t="str">
            <v>60018_1</v>
          </cell>
        </row>
        <row r="941">
          <cell r="A941" t="str">
            <v>60019_1</v>
          </cell>
        </row>
        <row r="942">
          <cell r="A942" t="str">
            <v>60020_1</v>
          </cell>
        </row>
        <row r="943">
          <cell r="A943" t="str">
            <v>60021_3</v>
          </cell>
        </row>
        <row r="944">
          <cell r="A944" t="str">
            <v>60022_3</v>
          </cell>
        </row>
        <row r="945">
          <cell r="A945" t="str">
            <v>60023_3</v>
          </cell>
        </row>
        <row r="946">
          <cell r="A946" t="str">
            <v>60024_3</v>
          </cell>
        </row>
        <row r="947">
          <cell r="A947" t="str">
            <v>60025_1</v>
          </cell>
        </row>
        <row r="948">
          <cell r="A948" t="str">
            <v>60026_1</v>
          </cell>
        </row>
        <row r="949">
          <cell r="A949" t="str">
            <v>61011_1</v>
          </cell>
        </row>
        <row r="950">
          <cell r="A950" t="str">
            <v>60027_1</v>
          </cell>
        </row>
        <row r="951">
          <cell r="A951" t="str">
            <v>60028_1</v>
          </cell>
        </row>
        <row r="952">
          <cell r="A952" t="str">
            <v>65525_1</v>
          </cell>
        </row>
        <row r="953">
          <cell r="A953" t="str">
            <v>65526_1</v>
          </cell>
        </row>
        <row r="954">
          <cell r="A954" t="str">
            <v>65526_2</v>
          </cell>
        </row>
        <row r="955">
          <cell r="A955" t="str">
            <v>65527_1</v>
          </cell>
        </row>
        <row r="956">
          <cell r="A956" t="str">
            <v>65528_1</v>
          </cell>
        </row>
        <row r="957">
          <cell r="A957" t="str">
            <v>65529_1</v>
          </cell>
        </row>
        <row r="958">
          <cell r="A958" t="str">
            <v>65530_1</v>
          </cell>
        </row>
        <row r="959">
          <cell r="A959" t="str">
            <v>65531_1</v>
          </cell>
        </row>
        <row r="960">
          <cell r="A960" t="str">
            <v>65531_2</v>
          </cell>
        </row>
        <row r="961">
          <cell r="A961" t="str">
            <v>65532_1</v>
          </cell>
        </row>
        <row r="962">
          <cell r="A962" t="str">
            <v>65532_2</v>
          </cell>
        </row>
        <row r="963">
          <cell r="A963" t="str">
            <v>65533_1</v>
          </cell>
        </row>
        <row r="964">
          <cell r="A964" t="str">
            <v>65533_2</v>
          </cell>
        </row>
        <row r="965">
          <cell r="A965" t="str">
            <v>65534_1</v>
          </cell>
        </row>
        <row r="966">
          <cell r="A966" t="str">
            <v>65534_2</v>
          </cell>
        </row>
        <row r="967">
          <cell r="A967" t="str">
            <v>65535_1</v>
          </cell>
        </row>
        <row r="968">
          <cell r="A968" t="str">
            <v>65535_2</v>
          </cell>
        </row>
        <row r="969">
          <cell r="A969" t="str">
            <v>65535_3</v>
          </cell>
        </row>
        <row r="970">
          <cell r="A970" t="str">
            <v>65535_4</v>
          </cell>
        </row>
        <row r="971">
          <cell r="A971" t="str">
            <v>65535_5</v>
          </cell>
        </row>
        <row r="972">
          <cell r="A972" t="str">
            <v>65535_6</v>
          </cell>
        </row>
        <row r="973">
          <cell r="A973" t="str">
            <v>65535_7</v>
          </cell>
        </row>
        <row r="974">
          <cell r="A974" t="str">
            <v>65535_8</v>
          </cell>
        </row>
        <row r="975">
          <cell r="A975" t="str">
            <v>65535_9</v>
          </cell>
        </row>
        <row r="976">
          <cell r="A97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1433</v>
          </cell>
        </row>
        <row r="1401">
          <cell r="A1401">
            <v>1434</v>
          </cell>
        </row>
        <row r="1402">
          <cell r="A1402">
            <v>1435</v>
          </cell>
        </row>
        <row r="1403">
          <cell r="A1403">
            <v>1458</v>
          </cell>
        </row>
        <row r="1404">
          <cell r="A1404">
            <v>1459</v>
          </cell>
        </row>
        <row r="1405">
          <cell r="A1405">
            <v>1460</v>
          </cell>
        </row>
        <row r="1406">
          <cell r="A1406">
            <v>1461</v>
          </cell>
        </row>
        <row r="1407">
          <cell r="A1407">
            <v>1462</v>
          </cell>
        </row>
        <row r="1408">
          <cell r="A1408">
            <v>1463</v>
          </cell>
        </row>
        <row r="1409">
          <cell r="A1409">
            <v>1464</v>
          </cell>
        </row>
        <row r="1410">
          <cell r="A1410">
            <v>1465</v>
          </cell>
        </row>
        <row r="1411">
          <cell r="A1411">
            <v>1466</v>
          </cell>
        </row>
        <row r="1412">
          <cell r="A1412">
            <v>1467</v>
          </cell>
        </row>
        <row r="1413">
          <cell r="A1413">
            <v>1468</v>
          </cell>
        </row>
        <row r="1414">
          <cell r="A1414">
            <v>1469</v>
          </cell>
        </row>
        <row r="1415">
          <cell r="A1415">
            <v>1470</v>
          </cell>
        </row>
        <row r="1416">
          <cell r="A1416">
            <v>1504</v>
          </cell>
        </row>
        <row r="1417">
          <cell r="A1417">
            <v>1505</v>
          </cell>
        </row>
        <row r="1418">
          <cell r="A1418">
            <v>1506</v>
          </cell>
        </row>
        <row r="1419">
          <cell r="A1419">
            <v>1507</v>
          </cell>
        </row>
        <row r="1420">
          <cell r="A1420">
            <v>1508</v>
          </cell>
        </row>
        <row r="1421">
          <cell r="A1421">
            <v>1509</v>
          </cell>
        </row>
        <row r="1422">
          <cell r="A1422">
            <v>1510</v>
          </cell>
        </row>
        <row r="1423">
          <cell r="A1423">
            <v>1511</v>
          </cell>
        </row>
        <row r="1424">
          <cell r="A1424">
            <v>1512</v>
          </cell>
        </row>
        <row r="1425">
          <cell r="A1425">
            <v>1513</v>
          </cell>
        </row>
        <row r="1426">
          <cell r="A1426">
            <v>1514</v>
          </cell>
        </row>
        <row r="1427">
          <cell r="A1427">
            <v>1515</v>
          </cell>
        </row>
        <row r="1428">
          <cell r="A1428">
            <v>1516</v>
          </cell>
        </row>
        <row r="1429">
          <cell r="A1429">
            <v>1517</v>
          </cell>
        </row>
        <row r="1430">
          <cell r="A1430">
            <v>1518</v>
          </cell>
        </row>
        <row r="1431">
          <cell r="A1431">
            <v>1519</v>
          </cell>
        </row>
        <row r="1432">
          <cell r="A1432">
            <v>1520</v>
          </cell>
        </row>
        <row r="1433">
          <cell r="A1433">
            <v>1521</v>
          </cell>
        </row>
        <row r="1434">
          <cell r="A1434">
            <v>1522</v>
          </cell>
        </row>
        <row r="1435">
          <cell r="A1435">
            <v>1523</v>
          </cell>
        </row>
        <row r="1436">
          <cell r="A1436">
            <v>1524</v>
          </cell>
        </row>
        <row r="1437">
          <cell r="A1437">
            <v>1525</v>
          </cell>
        </row>
        <row r="1438">
          <cell r="A1438">
            <v>1526</v>
          </cell>
        </row>
        <row r="1439">
          <cell r="A1439">
            <v>1527</v>
          </cell>
        </row>
        <row r="1440">
          <cell r="A1440">
            <v>1528</v>
          </cell>
        </row>
        <row r="1441">
          <cell r="A1441">
            <v>1529</v>
          </cell>
        </row>
        <row r="1442">
          <cell r="A1442">
            <v>1530</v>
          </cell>
        </row>
        <row r="1443">
          <cell r="A1443">
            <v>1531</v>
          </cell>
        </row>
        <row r="1444">
          <cell r="A1444">
            <v>1532</v>
          </cell>
        </row>
        <row r="1445">
          <cell r="A1445">
            <v>1533</v>
          </cell>
        </row>
        <row r="1446">
          <cell r="A1446">
            <v>1534</v>
          </cell>
        </row>
        <row r="1447">
          <cell r="A1447">
            <v>1535</v>
          </cell>
        </row>
        <row r="1448">
          <cell r="A1448">
            <v>1536</v>
          </cell>
        </row>
        <row r="1449">
          <cell r="A1449">
            <v>1537</v>
          </cell>
        </row>
        <row r="1450">
          <cell r="A1450">
            <v>1538</v>
          </cell>
        </row>
        <row r="1451">
          <cell r="A1451">
            <v>1539</v>
          </cell>
        </row>
        <row r="1452">
          <cell r="A1452">
            <v>1540</v>
          </cell>
        </row>
        <row r="1453">
          <cell r="A1453">
            <v>1541</v>
          </cell>
        </row>
        <row r="1454">
          <cell r="A1454">
            <v>1542</v>
          </cell>
        </row>
        <row r="1455">
          <cell r="A1455">
            <v>1543</v>
          </cell>
        </row>
        <row r="1456">
          <cell r="A1456">
            <v>1544</v>
          </cell>
        </row>
        <row r="1457">
          <cell r="A1457">
            <v>1545</v>
          </cell>
        </row>
        <row r="1458">
          <cell r="A1458">
            <v>1546</v>
          </cell>
        </row>
        <row r="1459">
          <cell r="A1459">
            <v>1547</v>
          </cell>
        </row>
        <row r="1460">
          <cell r="A1460">
            <v>1548</v>
          </cell>
        </row>
        <row r="1461">
          <cell r="A1461">
            <v>1549</v>
          </cell>
        </row>
        <row r="1462">
          <cell r="A1462">
            <v>1550</v>
          </cell>
        </row>
        <row r="1463">
          <cell r="A1463">
            <v>5001</v>
          </cell>
        </row>
        <row r="1464">
          <cell r="A1464">
            <v>5002</v>
          </cell>
        </row>
        <row r="1465">
          <cell r="A1465">
            <v>5003</v>
          </cell>
        </row>
        <row r="1466">
          <cell r="A1466">
            <v>5004</v>
          </cell>
        </row>
        <row r="1467">
          <cell r="A1467">
            <v>5005</v>
          </cell>
        </row>
        <row r="1468">
          <cell r="A1468">
            <v>5006</v>
          </cell>
        </row>
        <row r="1469">
          <cell r="A1469">
            <v>5007</v>
          </cell>
        </row>
        <row r="1470">
          <cell r="A1470">
            <v>5008</v>
          </cell>
        </row>
        <row r="1471">
          <cell r="A1471">
            <v>6001</v>
          </cell>
        </row>
        <row r="1472">
          <cell r="A1472">
            <v>6002</v>
          </cell>
        </row>
        <row r="1473">
          <cell r="A1473">
            <v>6003</v>
          </cell>
        </row>
        <row r="1474">
          <cell r="A1474">
            <v>6004</v>
          </cell>
        </row>
        <row r="1475">
          <cell r="A1475">
            <v>6005</v>
          </cell>
        </row>
        <row r="1476">
          <cell r="A1476">
            <v>6006</v>
          </cell>
        </row>
        <row r="1477">
          <cell r="A1477">
            <v>6007</v>
          </cell>
        </row>
        <row r="1478">
          <cell r="A1478">
            <v>6008</v>
          </cell>
        </row>
        <row r="1479">
          <cell r="A1479">
            <v>6009</v>
          </cell>
        </row>
        <row r="1480">
          <cell r="A1480">
            <v>6010</v>
          </cell>
        </row>
        <row r="1481">
          <cell r="A1481">
            <v>6011</v>
          </cell>
        </row>
        <row r="1482">
          <cell r="A1482">
            <v>6012</v>
          </cell>
        </row>
        <row r="1483">
          <cell r="A1483">
            <v>6013</v>
          </cell>
        </row>
        <row r="1484">
          <cell r="A1484">
            <v>6014</v>
          </cell>
        </row>
        <row r="1485">
          <cell r="A1485">
            <v>6015</v>
          </cell>
        </row>
        <row r="1486">
          <cell r="A1486">
            <v>6016</v>
          </cell>
        </row>
        <row r="1487">
          <cell r="A1487">
            <v>6017</v>
          </cell>
        </row>
        <row r="1488">
          <cell r="A1488">
            <v>6018</v>
          </cell>
        </row>
        <row r="1489">
          <cell r="A1489">
            <v>6019</v>
          </cell>
        </row>
        <row r="1490">
          <cell r="A1490">
            <v>6020</v>
          </cell>
        </row>
        <row r="1491">
          <cell r="A1491">
            <v>8001</v>
          </cell>
        </row>
        <row r="1492">
          <cell r="A1492">
            <v>8002</v>
          </cell>
        </row>
        <row r="1493">
          <cell r="A1493">
            <v>8003</v>
          </cell>
        </row>
        <row r="1494">
          <cell r="A1494">
            <v>8004</v>
          </cell>
        </row>
        <row r="1495">
          <cell r="A1495">
            <v>8005</v>
          </cell>
        </row>
        <row r="1496">
          <cell r="A1496">
            <v>8006</v>
          </cell>
        </row>
        <row r="1497">
          <cell r="A1497">
            <v>8007</v>
          </cell>
        </row>
        <row r="1498">
          <cell r="A1498">
            <v>8008</v>
          </cell>
        </row>
        <row r="1499">
          <cell r="A1499">
            <v>8009</v>
          </cell>
        </row>
        <row r="1500">
          <cell r="A1500">
            <v>8010</v>
          </cell>
        </row>
        <row r="1501">
          <cell r="A1501">
            <v>8011</v>
          </cell>
        </row>
        <row r="1502">
          <cell r="A1502">
            <v>8012</v>
          </cell>
        </row>
        <row r="1503">
          <cell r="A1503">
            <v>8013</v>
          </cell>
        </row>
        <row r="1504">
          <cell r="A1504">
            <v>8014</v>
          </cell>
        </row>
        <row r="1505">
          <cell r="A1505">
            <v>8015</v>
          </cell>
        </row>
        <row r="1506">
          <cell r="A1506">
            <v>8016</v>
          </cell>
        </row>
        <row r="1507">
          <cell r="A1507">
            <v>8017</v>
          </cell>
        </row>
        <row r="1508">
          <cell r="A1508">
            <v>8018</v>
          </cell>
        </row>
        <row r="1509">
          <cell r="A1509">
            <v>8019</v>
          </cell>
        </row>
        <row r="1510">
          <cell r="A1510">
            <v>8020</v>
          </cell>
        </row>
        <row r="1511">
          <cell r="A1511">
            <v>8021</v>
          </cell>
        </row>
        <row r="1512">
          <cell r="A1512">
            <v>8022</v>
          </cell>
        </row>
        <row r="1513">
          <cell r="A1513">
            <v>8023</v>
          </cell>
        </row>
        <row r="1514">
          <cell r="A1514">
            <v>8024</v>
          </cell>
        </row>
        <row r="1515">
          <cell r="A1515">
            <v>8025</v>
          </cell>
        </row>
        <row r="1516">
          <cell r="A1516">
            <v>8026</v>
          </cell>
        </row>
        <row r="1517">
          <cell r="A1517">
            <v>8027</v>
          </cell>
        </row>
        <row r="1518">
          <cell r="A1518">
            <v>8028</v>
          </cell>
        </row>
        <row r="1519">
          <cell r="A1519">
            <v>8029</v>
          </cell>
        </row>
        <row r="1520">
          <cell r="A1520">
            <v>8030</v>
          </cell>
        </row>
        <row r="1521">
          <cell r="A1521">
            <v>8031</v>
          </cell>
        </row>
        <row r="1522">
          <cell r="A1522">
            <v>8032</v>
          </cell>
        </row>
        <row r="1523">
          <cell r="A1523">
            <v>8033</v>
          </cell>
        </row>
        <row r="1524">
          <cell r="A1524">
            <v>8034</v>
          </cell>
        </row>
        <row r="1525">
          <cell r="A1525">
            <v>8035</v>
          </cell>
        </row>
        <row r="1526">
          <cell r="A1526">
            <v>8036</v>
          </cell>
        </row>
        <row r="1527">
          <cell r="A1527">
            <v>8037</v>
          </cell>
        </row>
        <row r="1528">
          <cell r="A1528">
            <v>8038</v>
          </cell>
        </row>
        <row r="1529">
          <cell r="A1529">
            <v>8039</v>
          </cell>
        </row>
        <row r="1530">
          <cell r="A1530">
            <v>8040</v>
          </cell>
        </row>
        <row r="1531">
          <cell r="A1531">
            <v>8041</v>
          </cell>
        </row>
        <row r="1532">
          <cell r="A1532">
            <v>8042</v>
          </cell>
        </row>
        <row r="1533">
          <cell r="A1533">
            <v>8043</v>
          </cell>
        </row>
        <row r="1534">
          <cell r="A1534">
            <v>8044</v>
          </cell>
        </row>
        <row r="1535">
          <cell r="A1535">
            <v>8045</v>
          </cell>
        </row>
        <row r="1536">
          <cell r="A1536">
            <v>8046</v>
          </cell>
        </row>
        <row r="1537">
          <cell r="A1537">
            <v>8047</v>
          </cell>
        </row>
        <row r="1538">
          <cell r="A1538">
            <v>8048</v>
          </cell>
        </row>
        <row r="1539">
          <cell r="A1539">
            <v>8049</v>
          </cell>
        </row>
        <row r="1540">
          <cell r="A1540">
            <v>8050</v>
          </cell>
        </row>
        <row r="1541">
          <cell r="A1541">
            <v>8051</v>
          </cell>
        </row>
        <row r="1542">
          <cell r="A1542">
            <v>8052</v>
          </cell>
        </row>
        <row r="1543">
          <cell r="A1543">
            <v>8053</v>
          </cell>
        </row>
        <row r="1544">
          <cell r="A1544">
            <v>8054</v>
          </cell>
        </row>
        <row r="1545">
          <cell r="A1545">
            <v>8055</v>
          </cell>
        </row>
        <row r="1546">
          <cell r="A1546">
            <v>8056</v>
          </cell>
        </row>
        <row r="1547">
          <cell r="A1547">
            <v>8057</v>
          </cell>
        </row>
        <row r="1548">
          <cell r="A1548">
            <v>8058</v>
          </cell>
        </row>
        <row r="1549">
          <cell r="A1549">
            <v>8059</v>
          </cell>
        </row>
        <row r="1550">
          <cell r="A1550">
            <v>8060</v>
          </cell>
        </row>
        <row r="1551">
          <cell r="A1551">
            <v>8061</v>
          </cell>
        </row>
        <row r="1552">
          <cell r="A1552">
            <v>8062</v>
          </cell>
        </row>
        <row r="1553">
          <cell r="A1553">
            <v>8063</v>
          </cell>
        </row>
        <row r="1554">
          <cell r="A1554">
            <v>8064</v>
          </cell>
        </row>
        <row r="1555">
          <cell r="A1555">
            <v>8065</v>
          </cell>
        </row>
        <row r="1556">
          <cell r="A1556">
            <v>8066</v>
          </cell>
        </row>
        <row r="1557">
          <cell r="A1557">
            <v>8067</v>
          </cell>
        </row>
        <row r="1558">
          <cell r="A1558">
            <v>8068</v>
          </cell>
        </row>
        <row r="1559">
          <cell r="A1559">
            <v>8069</v>
          </cell>
        </row>
        <row r="1560">
          <cell r="A1560">
            <v>8070</v>
          </cell>
        </row>
        <row r="1561">
          <cell r="A1561">
            <v>8071</v>
          </cell>
        </row>
        <row r="1562">
          <cell r="A1562">
            <v>8072</v>
          </cell>
        </row>
        <row r="1563">
          <cell r="A1563">
            <v>8073</v>
          </cell>
        </row>
        <row r="1564">
          <cell r="A1564">
            <v>8074</v>
          </cell>
        </row>
        <row r="1565">
          <cell r="A1565">
            <v>8075</v>
          </cell>
        </row>
        <row r="1566">
          <cell r="A1566">
            <v>8076</v>
          </cell>
        </row>
        <row r="1567">
          <cell r="A1567">
            <v>8077</v>
          </cell>
        </row>
        <row r="1568">
          <cell r="A1568">
            <v>8078</v>
          </cell>
        </row>
        <row r="1569">
          <cell r="A1569">
            <v>8079</v>
          </cell>
        </row>
        <row r="1570">
          <cell r="A1570">
            <v>8080</v>
          </cell>
        </row>
        <row r="1571">
          <cell r="A1571">
            <v>8081</v>
          </cell>
        </row>
        <row r="1572">
          <cell r="A1572">
            <v>8082</v>
          </cell>
        </row>
        <row r="1573">
          <cell r="A1573">
            <v>8083</v>
          </cell>
        </row>
        <row r="1574">
          <cell r="A1574">
            <v>8084</v>
          </cell>
        </row>
        <row r="1575">
          <cell r="A1575">
            <v>8087</v>
          </cell>
        </row>
        <row r="1576">
          <cell r="A1576">
            <v>8088</v>
          </cell>
        </row>
        <row r="1577">
          <cell r="A1577">
            <v>8089</v>
          </cell>
        </row>
        <row r="1578">
          <cell r="A1578">
            <v>8090</v>
          </cell>
        </row>
        <row r="1579">
          <cell r="A1579">
            <v>8095</v>
          </cell>
        </row>
        <row r="1580">
          <cell r="A1580">
            <v>8096</v>
          </cell>
        </row>
        <row r="1581">
          <cell r="A1581">
            <v>8097</v>
          </cell>
        </row>
        <row r="1582">
          <cell r="A1582">
            <v>8098</v>
          </cell>
        </row>
        <row r="1583">
          <cell r="A1583">
            <v>8099</v>
          </cell>
        </row>
        <row r="1584">
          <cell r="A1584">
            <v>10001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6"/>
  <sheetViews>
    <sheetView tabSelected="1" workbookViewId="0">
      <selection activeCell="D30" sqref="D30"/>
    </sheetView>
  </sheetViews>
  <sheetFormatPr baseColWidth="12" defaultRowHeight="15" x14ac:dyDescent="0.15"/>
  <cols>
    <col min="2" max="2" width="25.6640625" bestFit="1" customWidth="1"/>
    <col min="5" max="5" width="38.33203125" customWidth="1"/>
    <col min="6" max="6" width="22.1640625" bestFit="1" customWidth="1"/>
  </cols>
  <sheetData>
    <row r="1" spans="1:30" x14ac:dyDescent="0.15">
      <c r="A1" s="58" t="s">
        <v>128</v>
      </c>
      <c r="B1" s="53" t="s">
        <v>99</v>
      </c>
      <c r="C1" s="53" t="s">
        <v>100</v>
      </c>
      <c r="D1" s="53" t="s">
        <v>101</v>
      </c>
      <c r="E1" s="53" t="s">
        <v>102</v>
      </c>
      <c r="F1" s="53" t="s">
        <v>103</v>
      </c>
      <c r="G1" s="53" t="s">
        <v>104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</row>
    <row r="2" spans="1:30" x14ac:dyDescent="0.15">
      <c r="A2" s="59" t="s">
        <v>328</v>
      </c>
      <c r="B2" s="55" t="s">
        <v>105</v>
      </c>
      <c r="C2" s="60">
        <v>60026</v>
      </c>
      <c r="D2" s="55" t="s">
        <v>106</v>
      </c>
      <c r="E2" s="54" t="str">
        <f>B2&amp;C2&amp;D2</f>
        <v>floors_60026.tmp</v>
      </c>
      <c r="F2" s="55" t="s">
        <v>107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</row>
    <row r="3" spans="1:30" x14ac:dyDescent="0.15">
      <c r="A3" s="59" t="s">
        <v>328</v>
      </c>
      <c r="B3" s="108" t="s">
        <v>248</v>
      </c>
      <c r="C3" s="60">
        <v>60026</v>
      </c>
      <c r="D3" s="55" t="s">
        <v>106</v>
      </c>
      <c r="E3" s="54" t="str">
        <f>B3&amp;C3&amp;D3</f>
        <v>ranking_floors_60026.tmp</v>
      </c>
      <c r="F3" s="55" t="s">
        <v>107</v>
      </c>
      <c r="G3" s="56" t="s">
        <v>0</v>
      </c>
      <c r="H3" s="56" t="s">
        <v>1</v>
      </c>
      <c r="I3" s="56" t="s">
        <v>13</v>
      </c>
      <c r="J3" s="98" t="s">
        <v>221</v>
      </c>
      <c r="K3" s="98" t="s">
        <v>222</v>
      </c>
      <c r="L3" s="98" t="s">
        <v>223</v>
      </c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</row>
    <row r="4" spans="1:30" x14ac:dyDescent="0.15">
      <c r="A4" s="59" t="s">
        <v>328</v>
      </c>
      <c r="B4" s="108" t="s">
        <v>249</v>
      </c>
      <c r="C4" s="60">
        <v>60026</v>
      </c>
      <c r="D4" s="55" t="s">
        <v>106</v>
      </c>
      <c r="E4" s="54" t="str">
        <f>B4&amp;C4&amp;D4</f>
        <v>ranking_stages_60026.tmp</v>
      </c>
      <c r="F4" s="55" t="s">
        <v>251</v>
      </c>
      <c r="G4" s="56" t="s">
        <v>0</v>
      </c>
      <c r="H4" s="56" t="s">
        <v>1</v>
      </c>
      <c r="I4" s="35" t="s">
        <v>250</v>
      </c>
      <c r="J4" s="56"/>
      <c r="K4" s="56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</row>
    <row r="5" spans="1:30" x14ac:dyDescent="0.15">
      <c r="A5" s="59" t="s">
        <v>328</v>
      </c>
      <c r="B5" s="108" t="s">
        <v>256</v>
      </c>
      <c r="C5" s="60">
        <v>60026</v>
      </c>
      <c r="D5" s="55" t="s">
        <v>106</v>
      </c>
      <c r="E5" s="54" t="str">
        <f t="shared" ref="E5:E7" si="0">B5&amp;C5&amp;D5</f>
        <v>clear_turn_60026.tmp</v>
      </c>
      <c r="F5" s="55" t="s">
        <v>260</v>
      </c>
      <c r="G5" s="56" t="s">
        <v>252</v>
      </c>
      <c r="H5" s="56" t="s">
        <v>253</v>
      </c>
      <c r="I5" s="56" t="s">
        <v>254</v>
      </c>
      <c r="J5" s="56" t="s">
        <v>255</v>
      </c>
      <c r="K5" s="56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</row>
    <row r="6" spans="1:30" x14ac:dyDescent="0.15">
      <c r="A6" s="59" t="s">
        <v>328</v>
      </c>
      <c r="B6" s="108" t="s">
        <v>257</v>
      </c>
      <c r="C6" s="60">
        <v>60026</v>
      </c>
      <c r="D6" s="55" t="s">
        <v>106</v>
      </c>
      <c r="E6" s="54" t="str">
        <f t="shared" si="0"/>
        <v>damage_give_60026.tmp</v>
      </c>
      <c r="F6" s="55" t="s">
        <v>261</v>
      </c>
      <c r="G6" s="56" t="s">
        <v>252</v>
      </c>
      <c r="H6" s="56" t="s">
        <v>253</v>
      </c>
      <c r="I6" s="56" t="s">
        <v>254</v>
      </c>
      <c r="J6" s="56" t="s">
        <v>255</v>
      </c>
      <c r="K6" s="56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</row>
    <row r="7" spans="1:30" x14ac:dyDescent="0.15">
      <c r="A7" s="59" t="s">
        <v>328</v>
      </c>
      <c r="B7" s="108" t="s">
        <v>259</v>
      </c>
      <c r="C7" s="60">
        <v>60026</v>
      </c>
      <c r="D7" s="55" t="s">
        <v>106</v>
      </c>
      <c r="E7" s="54" t="str">
        <f t="shared" si="0"/>
        <v>damage_receive_60026.tmp</v>
      </c>
      <c r="F7" s="55" t="s">
        <v>258</v>
      </c>
      <c r="G7" s="56" t="s">
        <v>252</v>
      </c>
      <c r="H7" s="56" t="s">
        <v>253</v>
      </c>
      <c r="I7" s="56" t="s">
        <v>254</v>
      </c>
      <c r="J7" s="56" t="s">
        <v>255</v>
      </c>
      <c r="K7" s="56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</row>
    <row r="8" spans="1:30" x14ac:dyDescent="0.15">
      <c r="A8" s="59" t="s">
        <v>436</v>
      </c>
      <c r="B8" s="108" t="s">
        <v>269</v>
      </c>
      <c r="C8" s="60">
        <v>60026</v>
      </c>
      <c r="D8" s="55" t="s">
        <v>106</v>
      </c>
      <c r="E8" s="54" t="str">
        <f t="shared" ref="E8:E9" si="1">B8&amp;C8&amp;D8</f>
        <v>ranking_eval_data_60026.tmp</v>
      </c>
      <c r="F8" s="55" t="s">
        <v>271</v>
      </c>
      <c r="G8" s="56" t="s">
        <v>262</v>
      </c>
      <c r="H8" s="56" t="s">
        <v>263</v>
      </c>
      <c r="I8" s="56" t="s">
        <v>264</v>
      </c>
      <c r="J8" s="56" t="s">
        <v>265</v>
      </c>
      <c r="K8" s="56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</row>
    <row r="9" spans="1:30" x14ac:dyDescent="0.15">
      <c r="A9" s="59" t="s">
        <v>436</v>
      </c>
      <c r="B9" s="108" t="s">
        <v>270</v>
      </c>
      <c r="C9" s="60">
        <v>60026</v>
      </c>
      <c r="D9" s="55" t="s">
        <v>106</v>
      </c>
      <c r="E9" s="54" t="str">
        <f t="shared" si="1"/>
        <v>ranking_eval_i18n_60026.tmp</v>
      </c>
      <c r="F9" s="55" t="s">
        <v>271</v>
      </c>
      <c r="G9" s="56" t="s">
        <v>262</v>
      </c>
      <c r="H9" s="107" t="s">
        <v>266</v>
      </c>
      <c r="I9" s="107" t="s">
        <v>267</v>
      </c>
      <c r="J9" s="107" t="s">
        <v>268</v>
      </c>
      <c r="K9" s="56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</row>
    <row r="10" spans="1:30" x14ac:dyDescent="0.15">
      <c r="A10" s="59" t="s">
        <v>328</v>
      </c>
      <c r="B10" s="55" t="s">
        <v>108</v>
      </c>
      <c r="C10" s="60">
        <f>C$2</f>
        <v>60026</v>
      </c>
      <c r="D10" s="55" t="s">
        <v>106</v>
      </c>
      <c r="E10" s="54" t="str">
        <f>B10&amp;C10&amp;D10</f>
        <v>enemy_habitats_60026.tmp</v>
      </c>
      <c r="F10" s="55" t="s">
        <v>109</v>
      </c>
      <c r="G10" s="56" t="s">
        <v>0</v>
      </c>
      <c r="H10" s="56" t="s">
        <v>1</v>
      </c>
      <c r="I10" s="56" t="s">
        <v>13</v>
      </c>
      <c r="J10" s="56" t="s">
        <v>2</v>
      </c>
      <c r="K10" s="56" t="s">
        <v>3</v>
      </c>
      <c r="L10" s="56" t="s">
        <v>47</v>
      </c>
      <c r="M10" s="56" t="s">
        <v>49</v>
      </c>
      <c r="N10" s="56" t="s">
        <v>51</v>
      </c>
      <c r="O10" s="56" t="s">
        <v>22</v>
      </c>
      <c r="P10" s="56" t="s">
        <v>5</v>
      </c>
      <c r="Q10" s="56" t="s">
        <v>6</v>
      </c>
      <c r="R10" s="56" t="s">
        <v>7</v>
      </c>
      <c r="S10" s="56" t="s">
        <v>8</v>
      </c>
      <c r="T10" s="56" t="s">
        <v>9</v>
      </c>
      <c r="U10" s="56" t="s">
        <v>10</v>
      </c>
      <c r="V10" s="56" t="s">
        <v>11</v>
      </c>
      <c r="W10" s="56" t="s">
        <v>12</v>
      </c>
      <c r="X10" s="56" t="s">
        <v>37</v>
      </c>
      <c r="Y10" s="56" t="s">
        <v>39</v>
      </c>
      <c r="Z10" s="56" t="s">
        <v>41</v>
      </c>
      <c r="AA10" s="56" t="s">
        <v>43</v>
      </c>
      <c r="AB10" s="56" t="s">
        <v>45</v>
      </c>
      <c r="AC10" s="56" t="s">
        <v>54</v>
      </c>
      <c r="AD10" s="56" t="s">
        <v>177</v>
      </c>
    </row>
    <row r="11" spans="1:30" x14ac:dyDescent="0.15">
      <c r="A11" s="59" t="s">
        <v>328</v>
      </c>
      <c r="B11" s="55" t="s">
        <v>110</v>
      </c>
      <c r="C11" s="60">
        <f t="shared" ref="C11:C24" si="2">C$2</f>
        <v>60026</v>
      </c>
      <c r="D11" s="55" t="s">
        <v>106</v>
      </c>
      <c r="E11" s="54" t="str">
        <f>B11&amp;C11&amp;D11</f>
        <v>enemy_habitat_S_60026.tmp</v>
      </c>
      <c r="F11" s="55" t="s">
        <v>111</v>
      </c>
      <c r="G11" s="56" t="s">
        <v>0</v>
      </c>
      <c r="H11" s="56" t="s">
        <v>1</v>
      </c>
      <c r="I11" s="56" t="s">
        <v>13</v>
      </c>
      <c r="J11" s="56" t="s">
        <v>54</v>
      </c>
      <c r="K11" s="56" t="s">
        <v>55</v>
      </c>
      <c r="L11" s="56" t="s">
        <v>56</v>
      </c>
      <c r="M11" s="56" t="s">
        <v>57</v>
      </c>
      <c r="N11" s="56" t="s">
        <v>58</v>
      </c>
      <c r="O11" s="56" t="s">
        <v>59</v>
      </c>
      <c r="P11" s="56" t="s">
        <v>48</v>
      </c>
      <c r="Q11" s="56" t="s">
        <v>50</v>
      </c>
      <c r="R11" s="56" t="s">
        <v>52</v>
      </c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</row>
    <row r="12" spans="1:30" x14ac:dyDescent="0.15">
      <c r="A12" s="59" t="s">
        <v>328</v>
      </c>
      <c r="B12" s="55" t="s">
        <v>112</v>
      </c>
      <c r="C12" s="60">
        <f t="shared" si="2"/>
        <v>60026</v>
      </c>
      <c r="D12" s="55" t="s">
        <v>106</v>
      </c>
      <c r="E12" s="54" t="str">
        <f>B12&amp;C12&amp;D12</f>
        <v>enemy_skill_sets_60026.tmp</v>
      </c>
      <c r="F12" s="55" t="s">
        <v>113</v>
      </c>
      <c r="G12" s="57" t="s">
        <v>22</v>
      </c>
      <c r="H12" s="57" t="s">
        <v>98</v>
      </c>
      <c r="I12" s="57" t="s">
        <v>93</v>
      </c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</row>
    <row r="13" spans="1:30" x14ac:dyDescent="0.15">
      <c r="A13" s="59" t="s">
        <v>328</v>
      </c>
      <c r="B13" s="55" t="s">
        <v>114</v>
      </c>
      <c r="C13" s="60">
        <f t="shared" si="2"/>
        <v>60026</v>
      </c>
      <c r="D13" s="55" t="s">
        <v>115</v>
      </c>
      <c r="E13" s="54" t="str">
        <f t="shared" ref="E13:E17" si="3">B13&amp;C13&amp;D13</f>
        <v>enemy_skills_tmp_60026.tmp</v>
      </c>
      <c r="F13" s="55" t="s">
        <v>89</v>
      </c>
      <c r="G13" s="56" t="s">
        <v>79</v>
      </c>
      <c r="H13" s="56" t="s">
        <v>80</v>
      </c>
      <c r="I13" s="56" t="s">
        <v>81</v>
      </c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</row>
    <row r="14" spans="1:30" x14ac:dyDescent="0.15">
      <c r="A14" s="59" t="s">
        <v>328</v>
      </c>
      <c r="B14" s="55" t="s">
        <v>116</v>
      </c>
      <c r="C14" s="60">
        <f t="shared" si="2"/>
        <v>60026</v>
      </c>
      <c r="D14" s="55" t="s">
        <v>106</v>
      </c>
      <c r="E14" s="54" t="str">
        <f>B14&amp;C14&amp;D14</f>
        <v>enemy_skills_i18n_60026.tmp</v>
      </c>
      <c r="F14" s="55" t="s">
        <v>117</v>
      </c>
      <c r="G14" s="56" t="s">
        <v>79</v>
      </c>
      <c r="H14" s="56" t="s">
        <v>90</v>
      </c>
      <c r="I14" s="56" t="s">
        <v>91</v>
      </c>
      <c r="J14" s="56" t="s">
        <v>92</v>
      </c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</row>
    <row r="15" spans="1:30" x14ac:dyDescent="0.15">
      <c r="A15" s="59" t="s">
        <v>328</v>
      </c>
      <c r="B15" s="55" t="s">
        <v>118</v>
      </c>
      <c r="C15" s="60">
        <f t="shared" si="2"/>
        <v>60026</v>
      </c>
      <c r="D15" s="55" t="s">
        <v>119</v>
      </c>
      <c r="E15" s="54" t="str">
        <f t="shared" si="3"/>
        <v>enemy_skill_triggers_60026.tmp</v>
      </c>
      <c r="F15" s="55" t="s">
        <v>120</v>
      </c>
      <c r="G15" s="56" t="s">
        <v>93</v>
      </c>
      <c r="H15" s="56" t="s">
        <v>94</v>
      </c>
      <c r="I15" s="56" t="s">
        <v>95</v>
      </c>
      <c r="J15" s="56" t="s">
        <v>96</v>
      </c>
      <c r="K15" s="56" t="s">
        <v>121</v>
      </c>
      <c r="L15" s="56" t="s">
        <v>97</v>
      </c>
      <c r="M15" s="56" t="s">
        <v>122</v>
      </c>
      <c r="N15" s="56" t="s">
        <v>123</v>
      </c>
      <c r="O15" s="56" t="s">
        <v>124</v>
      </c>
      <c r="P15" s="56" t="s">
        <v>67</v>
      </c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</row>
    <row r="16" spans="1:30" x14ac:dyDescent="0.15">
      <c r="A16" s="155" t="s">
        <v>186</v>
      </c>
      <c r="B16" s="65" t="s">
        <v>176</v>
      </c>
      <c r="C16" s="60">
        <f t="shared" si="2"/>
        <v>60026</v>
      </c>
      <c r="D16" s="65" t="s">
        <v>170</v>
      </c>
      <c r="E16" s="66" t="str">
        <f t="shared" si="3"/>
        <v>stage_bug_bonuses_60026.tmp</v>
      </c>
      <c r="F16" s="65" t="s">
        <v>171</v>
      </c>
      <c r="G16" s="62" t="s">
        <v>148</v>
      </c>
      <c r="H16" s="62" t="s">
        <v>172</v>
      </c>
      <c r="I16" s="62" t="s">
        <v>173</v>
      </c>
      <c r="J16" s="64" t="s">
        <v>174</v>
      </c>
      <c r="K16" s="62" t="s">
        <v>175</v>
      </c>
      <c r="L16" s="62" t="s">
        <v>154</v>
      </c>
      <c r="M16" s="62" t="s">
        <v>155</v>
      </c>
      <c r="N16" s="62" t="s">
        <v>156</v>
      </c>
      <c r="O16" s="62" t="s">
        <v>157</v>
      </c>
      <c r="P16" s="62" t="s">
        <v>158</v>
      </c>
      <c r="Q16" s="62" t="s">
        <v>159</v>
      </c>
      <c r="R16" s="62" t="s">
        <v>160</v>
      </c>
      <c r="S16" s="62" t="s">
        <v>161</v>
      </c>
      <c r="T16" s="62" t="s">
        <v>162</v>
      </c>
      <c r="U16" s="62" t="s">
        <v>163</v>
      </c>
      <c r="V16" s="62" t="s">
        <v>164</v>
      </c>
      <c r="W16" s="62" t="s">
        <v>165</v>
      </c>
    </row>
    <row r="17" spans="1:21" s="74" customFormat="1" x14ac:dyDescent="0.15">
      <c r="A17" s="155" t="s">
        <v>186</v>
      </c>
      <c r="B17" s="65" t="s">
        <v>202</v>
      </c>
      <c r="C17" s="60">
        <f>C$2</f>
        <v>60026</v>
      </c>
      <c r="D17" s="65" t="s">
        <v>179</v>
      </c>
      <c r="E17" s="66" t="str">
        <f t="shared" si="3"/>
        <v>stage_hints_data_c_60026.tmp</v>
      </c>
      <c r="F17" s="65" t="s">
        <v>211</v>
      </c>
      <c r="G17" s="71" t="s">
        <v>180</v>
      </c>
      <c r="H17" s="71" t="s">
        <v>172</v>
      </c>
      <c r="I17" s="72" t="s">
        <v>181</v>
      </c>
      <c r="J17" s="64" t="s">
        <v>182</v>
      </c>
      <c r="K17" s="73" t="s">
        <v>183</v>
      </c>
    </row>
    <row r="18" spans="1:21" s="74" customFormat="1" x14ac:dyDescent="0.15">
      <c r="A18" s="155" t="s">
        <v>186</v>
      </c>
      <c r="B18" s="65" t="s">
        <v>203</v>
      </c>
      <c r="C18" s="60">
        <f t="shared" si="2"/>
        <v>60026</v>
      </c>
      <c r="D18" s="65" t="s">
        <v>170</v>
      </c>
      <c r="E18" s="66" t="str">
        <f t="shared" ref="E18:E19" si="4">B18&amp;C18&amp;D18</f>
        <v>stage_hints_data_f_60026.tmp</v>
      </c>
      <c r="F18" s="65" t="s">
        <v>213</v>
      </c>
      <c r="G18" s="71" t="s">
        <v>180</v>
      </c>
      <c r="H18" s="71" t="s">
        <v>172</v>
      </c>
      <c r="I18" s="72" t="s">
        <v>181</v>
      </c>
      <c r="J18" s="64" t="s">
        <v>182</v>
      </c>
      <c r="K18" s="73" t="s">
        <v>183</v>
      </c>
    </row>
    <row r="19" spans="1:21" s="74" customFormat="1" x14ac:dyDescent="0.15">
      <c r="A19" s="156" t="s">
        <v>204</v>
      </c>
      <c r="B19" s="65" t="s">
        <v>205</v>
      </c>
      <c r="C19" s="60">
        <f t="shared" si="2"/>
        <v>60026</v>
      </c>
      <c r="D19" s="65" t="s">
        <v>170</v>
      </c>
      <c r="E19" s="66" t="str">
        <f t="shared" si="4"/>
        <v>stage_hints_i18n_60026.tmp</v>
      </c>
      <c r="F19" s="65" t="s">
        <v>214</v>
      </c>
      <c r="G19" s="72" t="s">
        <v>206</v>
      </c>
      <c r="H19" s="95" t="s">
        <v>207</v>
      </c>
      <c r="I19" s="71" t="s">
        <v>208</v>
      </c>
      <c r="J19" s="96" t="s">
        <v>209</v>
      </c>
      <c r="K19" s="73" t="s">
        <v>210</v>
      </c>
    </row>
    <row r="20" spans="1:21" x14ac:dyDescent="0.15">
      <c r="A20" s="156" t="s">
        <v>204</v>
      </c>
      <c r="B20" s="65" t="s">
        <v>205</v>
      </c>
      <c r="C20" s="60">
        <f t="shared" si="2"/>
        <v>60026</v>
      </c>
      <c r="D20" s="65" t="s">
        <v>170</v>
      </c>
      <c r="E20" s="66" t="str">
        <f t="shared" ref="E20:E21" si="5">B20&amp;C20&amp;D20</f>
        <v>stage_hints_i18n_60026.tmp</v>
      </c>
      <c r="F20" s="65" t="s">
        <v>214</v>
      </c>
      <c r="G20" s="72" t="s">
        <v>206</v>
      </c>
      <c r="H20" s="95" t="s">
        <v>207</v>
      </c>
      <c r="I20" s="71" t="s">
        <v>208</v>
      </c>
      <c r="J20" s="96" t="s">
        <v>209</v>
      </c>
      <c r="K20" s="73" t="s">
        <v>210</v>
      </c>
    </row>
    <row r="21" spans="1:21" x14ac:dyDescent="0.15">
      <c r="A21" s="59" t="s">
        <v>328</v>
      </c>
      <c r="B21" s="109" t="s">
        <v>237</v>
      </c>
      <c r="C21" s="60">
        <f t="shared" si="2"/>
        <v>60026</v>
      </c>
      <c r="D21" s="65" t="s">
        <v>170</v>
      </c>
      <c r="E21" s="66" t="str">
        <f t="shared" si="5"/>
        <v>ranking_ACH_60026.tmp</v>
      </c>
      <c r="F21" s="65" t="s">
        <v>238</v>
      </c>
      <c r="G21" s="72" t="s">
        <v>239</v>
      </c>
      <c r="H21" s="95" t="s">
        <v>240</v>
      </c>
      <c r="I21" s="71" t="s">
        <v>241</v>
      </c>
      <c r="J21" s="73" t="s">
        <v>242</v>
      </c>
      <c r="K21" s="73"/>
    </row>
    <row r="22" spans="1:21" x14ac:dyDescent="0.15">
      <c r="A22" s="59" t="s">
        <v>328</v>
      </c>
      <c r="B22" s="110" t="s">
        <v>243</v>
      </c>
      <c r="C22" s="60">
        <f t="shared" si="2"/>
        <v>60026</v>
      </c>
      <c r="D22" s="103" t="s">
        <v>115</v>
      </c>
      <c r="E22" s="104" t="str">
        <f>B22&amp;C22&amp;D22</f>
        <v>gifts_tmp_60026.tmp</v>
      </c>
      <c r="F22" s="65" t="s">
        <v>238</v>
      </c>
      <c r="G22" s="105" t="s">
        <v>244</v>
      </c>
      <c r="H22" s="105" t="s">
        <v>227</v>
      </c>
      <c r="I22" s="105" t="s">
        <v>228</v>
      </c>
      <c r="J22" s="105" t="s">
        <v>228</v>
      </c>
      <c r="K22" s="105" t="s">
        <v>228</v>
      </c>
      <c r="L22" s="105" t="s">
        <v>229</v>
      </c>
      <c r="M22" s="105" t="s">
        <v>229</v>
      </c>
      <c r="N22" s="105" t="s">
        <v>229</v>
      </c>
      <c r="O22" s="111" t="s">
        <v>41</v>
      </c>
      <c r="P22" s="111" t="s">
        <v>45</v>
      </c>
      <c r="Q22" s="111" t="s">
        <v>39</v>
      </c>
      <c r="R22" s="111" t="s">
        <v>277</v>
      </c>
      <c r="S22" s="111" t="s">
        <v>43</v>
      </c>
      <c r="T22" s="111" t="s">
        <v>3</v>
      </c>
      <c r="U22" s="111" t="s">
        <v>37</v>
      </c>
    </row>
    <row r="23" spans="1:21" x14ac:dyDescent="0.15">
      <c r="A23" s="59" t="s">
        <v>328</v>
      </c>
      <c r="B23" s="110" t="s">
        <v>245</v>
      </c>
      <c r="C23" s="60">
        <f t="shared" si="2"/>
        <v>60026</v>
      </c>
      <c r="D23" s="103" t="s">
        <v>115</v>
      </c>
      <c r="E23" s="104" t="str">
        <f>B23&amp;C23&amp;D23</f>
        <v>gifts_i18n_60026.tmp</v>
      </c>
      <c r="F23" s="65" t="s">
        <v>238</v>
      </c>
      <c r="G23" s="105" t="s">
        <v>244</v>
      </c>
      <c r="H23" s="105" t="s">
        <v>230</v>
      </c>
      <c r="I23" s="105" t="s">
        <v>246</v>
      </c>
      <c r="J23" s="105" t="s">
        <v>247</v>
      </c>
      <c r="K23" s="105" t="s">
        <v>233</v>
      </c>
      <c r="L23" s="105"/>
      <c r="M23" s="105"/>
      <c r="N23" s="105"/>
      <c r="O23" s="103"/>
    </row>
    <row r="24" spans="1:21" x14ac:dyDescent="0.15">
      <c r="A24" s="59" t="s">
        <v>328</v>
      </c>
      <c r="B24" s="112" t="s">
        <v>280</v>
      </c>
      <c r="C24" s="60">
        <f t="shared" si="2"/>
        <v>60026</v>
      </c>
      <c r="D24" s="103" t="s">
        <v>115</v>
      </c>
      <c r="E24" s="104" t="str">
        <f>B24&amp;C24&amp;D24</f>
        <v>ranking_stage_evaluation_gifts60026.tmp</v>
      </c>
      <c r="F24" s="113" t="s">
        <v>281</v>
      </c>
      <c r="G24" s="56" t="s">
        <v>282</v>
      </c>
      <c r="H24" s="56" t="s">
        <v>283</v>
      </c>
      <c r="I24" s="107" t="s">
        <v>284</v>
      </c>
      <c r="J24" s="101" t="s">
        <v>285</v>
      </c>
    </row>
    <row r="25" spans="1:21" x14ac:dyDescent="0.15">
      <c r="A25" s="59" t="s">
        <v>328</v>
      </c>
      <c r="B25" s="112" t="s">
        <v>286</v>
      </c>
      <c r="C25" s="54" t="str">
        <f>REPLACE($C$2,2,0,"0")</f>
        <v>600026</v>
      </c>
      <c r="D25" s="55" t="s">
        <v>287</v>
      </c>
      <c r="E25" s="104" t="str">
        <f t="shared" ref="E25:E26" si="6">B25&amp;C25&amp;D25</f>
        <v>gifts_tmp_600026.tmp</v>
      </c>
      <c r="F25" s="113" t="s">
        <v>288</v>
      </c>
      <c r="G25" s="114" t="s">
        <v>289</v>
      </c>
      <c r="H25" s="114" t="s">
        <v>290</v>
      </c>
      <c r="I25" s="114" t="s">
        <v>291</v>
      </c>
      <c r="J25" s="114" t="s">
        <v>291</v>
      </c>
      <c r="K25" s="114" t="s">
        <v>291</v>
      </c>
      <c r="L25" s="114" t="s">
        <v>292</v>
      </c>
      <c r="M25" s="114" t="s">
        <v>292</v>
      </c>
      <c r="N25" s="114" t="s">
        <v>292</v>
      </c>
      <c r="O25" s="111" t="s">
        <v>41</v>
      </c>
      <c r="P25" s="111" t="s">
        <v>45</v>
      </c>
      <c r="Q25" s="111" t="s">
        <v>39</v>
      </c>
      <c r="R25" s="111" t="s">
        <v>277</v>
      </c>
      <c r="S25" s="111" t="s">
        <v>43</v>
      </c>
      <c r="T25" s="111" t="s">
        <v>3</v>
      </c>
      <c r="U25" s="111" t="s">
        <v>37</v>
      </c>
    </row>
    <row r="26" spans="1:21" x14ac:dyDescent="0.15">
      <c r="A26" s="59" t="s">
        <v>328</v>
      </c>
      <c r="B26" s="112" t="s">
        <v>293</v>
      </c>
      <c r="C26" s="54" t="str">
        <f>REPLACE($C$2,2,0,"0")</f>
        <v>600026</v>
      </c>
      <c r="D26" s="55" t="s">
        <v>294</v>
      </c>
      <c r="E26" s="104" t="str">
        <f t="shared" si="6"/>
        <v>gifts_i18n_600026.tmp</v>
      </c>
      <c r="F26" s="113" t="s">
        <v>288</v>
      </c>
      <c r="G26" s="114" t="s">
        <v>289</v>
      </c>
      <c r="H26" s="114" t="s">
        <v>295</v>
      </c>
      <c r="I26" s="114" t="s">
        <v>296</v>
      </c>
      <c r="J26" s="114" t="s">
        <v>297</v>
      </c>
      <c r="K26" s="114" t="s">
        <v>298</v>
      </c>
      <c r="L26" s="114"/>
      <c r="M26" s="114"/>
      <c r="N26" s="114"/>
      <c r="O26" s="103"/>
    </row>
  </sheetData>
  <phoneticPr fontId="8"/>
  <dataValidations disablePrompts="1" count="1">
    <dataValidation type="list" allowBlank="1" showInputMessage="1" showErrorMessage="1" sqref="A2:A18 A21:A26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N6"/>
  <sheetViews>
    <sheetView showGridLines="0" workbookViewId="0">
      <pane ySplit="1" topLeftCell="A2" activePane="bottomLeft" state="frozen"/>
      <selection activeCell="V2" sqref="V2:X34"/>
      <selection pane="bottomLeft" activeCell="L4" sqref="L4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6384" width="13" style="3"/>
  </cols>
  <sheetData>
    <row r="1" spans="1:14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1" t="s">
        <v>32</v>
      </c>
      <c r="H1" s="14" t="s">
        <v>34</v>
      </c>
      <c r="I1" s="1" t="s">
        <v>13</v>
      </c>
      <c r="J1" s="1" t="s">
        <v>14</v>
      </c>
      <c r="K1" s="1" t="s">
        <v>15</v>
      </c>
      <c r="L1" s="98" t="s">
        <v>221</v>
      </c>
      <c r="M1" s="98" t="s">
        <v>222</v>
      </c>
      <c r="N1" s="98" t="s">
        <v>223</v>
      </c>
    </row>
    <row r="2" spans="1:14" ht="21" customHeight="1" x14ac:dyDescent="0.15">
      <c r="A2" s="15" t="str">
        <f>G2&amp;"-"&amp;I2</f>
        <v>60026_1-1</v>
      </c>
      <c r="B2" s="15" t="str">
        <f>IF(COUNTIF(enemy_habitats!$H:$H,A2),"OK","NG")</f>
        <v>OK</v>
      </c>
      <c r="C2" s="7">
        <v>60026</v>
      </c>
      <c r="D2" s="11" t="str">
        <f ca="1">VLOOKUP($C2,OFFSET([2]quests!$A$1,0,0,COUNTA([2]quests!$A:$A),MATCH(D$1,[2]quests!$1:$1,0)-MATCH($C$1,[2]quests!$1:$1,0)+1),MATCH(D$1,[2]quests!$1:$1,0)-MATCH($C$1,[2]quests!$1:$1,0)+1,FALSE)</f>
        <v>ハップルチャレンジ</v>
      </c>
      <c r="E2" s="17" t="str">
        <f ca="1">VLOOKUP($C2,OFFSET([2]quests!$A$1,0,0,COUNTA([2]quests!$A:$A),MATCH(E$1,[2]quests!$1:$1,0)-MATCH($C$1,[2]quests!$1:$1,0)+1),MATCH(E$1,[2]quests!$1:$1,0)-MATCH($C$1,[2]quests!$1:$1,0)+1,FALSE)</f>
        <v>ランキング9</v>
      </c>
      <c r="F2" s="19">
        <v>1</v>
      </c>
      <c r="G2" s="21" t="str">
        <f>C2&amp;"_"&amp;F2</f>
        <v>60026_1</v>
      </c>
      <c r="H2" s="14" t="str">
        <f ca="1">VLOOKUP($G2,OFFSET([2]stages!$A$1,0,0,COUNTA([2]stages!$A:$A),MATCH(H$1,[2]stages!$2:$2,0)-MATCH($G$1,[2]stages!$2:$2,0)+1),MATCH(H$1,[2]stages!$2:$2,0)-MATCH($G$1,[2]stages!$2:$2,0)+1,FALSE)</f>
        <v>ハップルチャレンジ</v>
      </c>
      <c r="I2" s="119">
        <v>1</v>
      </c>
      <c r="J2" s="36">
        <v>60</v>
      </c>
      <c r="K2" s="36">
        <v>60</v>
      </c>
      <c r="L2" s="67" t="str">
        <f>C2&amp;F2&amp;I2</f>
        <v>6002611</v>
      </c>
      <c r="M2" s="67" t="str">
        <f>C2&amp;F2&amp;I2</f>
        <v>6002611</v>
      </c>
      <c r="N2" s="67" t="str">
        <f>C2&amp;F2&amp;I2</f>
        <v>6002611</v>
      </c>
    </row>
    <row r="3" spans="1:14" ht="21" customHeight="1" x14ac:dyDescent="0.15">
      <c r="A3" s="15" t="str">
        <f t="shared" ref="A3:A6" si="0">G3&amp;"-"&amp;I3</f>
        <v>60026_1-2</v>
      </c>
      <c r="B3" s="15" t="str">
        <f>IF(COUNTIF(enemy_habitats!$H:$H,A3),"OK","NG")</f>
        <v>OK</v>
      </c>
      <c r="C3" s="7">
        <v>60026</v>
      </c>
      <c r="D3" s="11" t="str">
        <f ca="1">VLOOKUP($C3,OFFSET([2]quests!$A$1,0,0,COUNTA([2]quests!$A:$A),MATCH(D$1,[2]quests!$1:$1,0)-MATCH($C$1,[2]quests!$1:$1,0)+1),MATCH(D$1,[2]quests!$1:$1,0)-MATCH($C$1,[2]quests!$1:$1,0)+1,FALSE)</f>
        <v>ハップルチャレンジ</v>
      </c>
      <c r="E3" s="17" t="str">
        <f ca="1">VLOOKUP($C3,OFFSET([2]quests!$A$1,0,0,COUNTA([2]quests!$A:$A),MATCH(E$1,[2]quests!$1:$1,0)-MATCH($C$1,[2]quests!$1:$1,0)+1),MATCH(E$1,[2]quests!$1:$1,0)-MATCH($C$1,[2]quests!$1:$1,0)+1,FALSE)</f>
        <v>ランキング9</v>
      </c>
      <c r="F3" s="19">
        <v>1</v>
      </c>
      <c r="G3" s="21" t="str">
        <f t="shared" ref="G3:G6" si="1">C3&amp;"_"&amp;F3</f>
        <v>60026_1</v>
      </c>
      <c r="H3" s="14" t="str">
        <f ca="1">VLOOKUP($G3,OFFSET([2]stages!$A$1,0,0,COUNTA([2]stages!$A:$A),MATCH(H$1,[2]stages!$2:$2,0)-MATCH($G$1,[2]stages!$2:$2,0)+1),MATCH(H$1,[2]stages!$2:$2,0)-MATCH($G$1,[2]stages!$2:$2,0)+1,FALSE)</f>
        <v>ハップルチャレンジ</v>
      </c>
      <c r="I3" s="119">
        <v>2</v>
      </c>
      <c r="J3" s="36">
        <v>60</v>
      </c>
      <c r="K3" s="36">
        <v>60</v>
      </c>
      <c r="L3" s="67" t="str">
        <f t="shared" ref="L3:L5" si="2">C3&amp;F3&amp;I3</f>
        <v>6002612</v>
      </c>
      <c r="M3" s="67" t="str">
        <f t="shared" ref="M3:M5" si="3">C3&amp;F3&amp;I3</f>
        <v>6002612</v>
      </c>
      <c r="N3" s="67" t="str">
        <f t="shared" ref="N3:N5" si="4">C3&amp;F3&amp;I3</f>
        <v>6002612</v>
      </c>
    </row>
    <row r="4" spans="1:14" ht="21" customHeight="1" x14ac:dyDescent="0.15">
      <c r="A4" s="15" t="str">
        <f t="shared" si="0"/>
        <v>60026_1-3</v>
      </c>
      <c r="B4" s="15" t="str">
        <f>IF(COUNTIF(enemy_habitats!$H:$H,A4),"OK","NG")</f>
        <v>OK</v>
      </c>
      <c r="C4" s="7">
        <v>60026</v>
      </c>
      <c r="D4" s="11" t="str">
        <f ca="1">VLOOKUP($C4,OFFSET([2]quests!$A$1,0,0,COUNTA([2]quests!$A:$A),MATCH(D$1,[2]quests!$1:$1,0)-MATCH($C$1,[2]quests!$1:$1,0)+1),MATCH(D$1,[2]quests!$1:$1,0)-MATCH($C$1,[2]quests!$1:$1,0)+1,FALSE)</f>
        <v>ハップルチャレンジ</v>
      </c>
      <c r="E4" s="17" t="str">
        <f ca="1">VLOOKUP($C4,OFFSET([2]quests!$A$1,0,0,COUNTA([2]quests!$A:$A),MATCH(E$1,[2]quests!$1:$1,0)-MATCH($C$1,[2]quests!$1:$1,0)+1),MATCH(E$1,[2]quests!$1:$1,0)-MATCH($C$1,[2]quests!$1:$1,0)+1,FALSE)</f>
        <v>ランキング9</v>
      </c>
      <c r="F4" s="19">
        <v>1</v>
      </c>
      <c r="G4" s="21" t="str">
        <f t="shared" si="1"/>
        <v>60026_1</v>
      </c>
      <c r="H4" s="14" t="str">
        <f ca="1">VLOOKUP($G4,OFFSET([2]stages!$A$1,0,0,COUNTA([2]stages!$A:$A),MATCH(H$1,[2]stages!$2:$2,0)-MATCH($G$1,[2]stages!$2:$2,0)+1),MATCH(H$1,[2]stages!$2:$2,0)-MATCH($G$1,[2]stages!$2:$2,0)+1,FALSE)</f>
        <v>ハップルチャレンジ</v>
      </c>
      <c r="I4" s="119">
        <v>3</v>
      </c>
      <c r="J4" s="36">
        <v>60</v>
      </c>
      <c r="K4" s="36">
        <v>60</v>
      </c>
      <c r="L4" s="67" t="str">
        <f t="shared" si="2"/>
        <v>6002613</v>
      </c>
      <c r="M4" s="67" t="str">
        <f t="shared" si="3"/>
        <v>6002613</v>
      </c>
      <c r="N4" s="67" t="str">
        <f t="shared" si="4"/>
        <v>6002613</v>
      </c>
    </row>
    <row r="5" spans="1:14" ht="21" customHeight="1" x14ac:dyDescent="0.15">
      <c r="A5" s="15" t="str">
        <f t="shared" si="0"/>
        <v>60026_1-4</v>
      </c>
      <c r="B5" s="15" t="str">
        <f>IF(COUNTIF(enemy_habitats!$H:$H,A5),"OK","NG")</f>
        <v>OK</v>
      </c>
      <c r="C5" s="7">
        <v>60026</v>
      </c>
      <c r="D5" s="11" t="str">
        <f ca="1">VLOOKUP($C5,OFFSET([2]quests!$A$1,0,0,COUNTA([2]quests!$A:$A),MATCH(D$1,[2]quests!$1:$1,0)-MATCH($C$1,[2]quests!$1:$1,0)+1),MATCH(D$1,[2]quests!$1:$1,0)-MATCH($C$1,[2]quests!$1:$1,0)+1,FALSE)</f>
        <v>ハップルチャレンジ</v>
      </c>
      <c r="E5" s="17" t="str">
        <f ca="1">VLOOKUP($C5,OFFSET([2]quests!$A$1,0,0,COUNTA([2]quests!$A:$A),MATCH(E$1,[2]quests!$1:$1,0)-MATCH($C$1,[2]quests!$1:$1,0)+1),MATCH(E$1,[2]quests!$1:$1,0)-MATCH($C$1,[2]quests!$1:$1,0)+1,FALSE)</f>
        <v>ランキング9</v>
      </c>
      <c r="F5" s="19">
        <v>1</v>
      </c>
      <c r="G5" s="21" t="str">
        <f t="shared" si="1"/>
        <v>60026_1</v>
      </c>
      <c r="H5" s="14" t="str">
        <f ca="1">VLOOKUP($G5,OFFSET([2]stages!$A$1,0,0,COUNTA([2]stages!$A:$A),MATCH(H$1,[2]stages!$2:$2,0)-MATCH($G$1,[2]stages!$2:$2,0)+1),MATCH(H$1,[2]stages!$2:$2,0)-MATCH($G$1,[2]stages!$2:$2,0)+1,FALSE)</f>
        <v>ハップルチャレンジ</v>
      </c>
      <c r="I5" s="119">
        <v>4</v>
      </c>
      <c r="J5" s="36">
        <v>60</v>
      </c>
      <c r="K5" s="36">
        <v>60</v>
      </c>
      <c r="L5" s="67" t="str">
        <f t="shared" si="2"/>
        <v>6002614</v>
      </c>
      <c r="M5" s="67" t="str">
        <f t="shared" si="3"/>
        <v>6002614</v>
      </c>
      <c r="N5" s="67" t="str">
        <f t="shared" si="4"/>
        <v>6002614</v>
      </c>
    </row>
    <row r="6" spans="1:14" ht="21" customHeight="1" x14ac:dyDescent="0.15">
      <c r="A6" s="15" t="str">
        <f t="shared" si="0"/>
        <v>60026_1-5</v>
      </c>
      <c r="B6" s="15" t="str">
        <f>IF(COUNTIF(enemy_habitats!$H:$H,A6),"OK","NG")</f>
        <v>OK</v>
      </c>
      <c r="C6" s="7">
        <v>60026</v>
      </c>
      <c r="D6" s="11" t="str">
        <f ca="1">VLOOKUP($C6,OFFSET([2]quests!$A$1,0,0,COUNTA([2]quests!$A:$A),MATCH(D$1,[2]quests!$1:$1,0)-MATCH($C$1,[2]quests!$1:$1,0)+1),MATCH(D$1,[2]quests!$1:$1,0)-MATCH($C$1,[2]quests!$1:$1,0)+1,FALSE)</f>
        <v>ハップルチャレンジ</v>
      </c>
      <c r="E6" s="17" t="str">
        <f ca="1">VLOOKUP($C6,OFFSET([2]quests!$A$1,0,0,COUNTA([2]quests!$A:$A),MATCH(E$1,[2]quests!$1:$1,0)-MATCH($C$1,[2]quests!$1:$1,0)+1),MATCH(E$1,[2]quests!$1:$1,0)-MATCH($C$1,[2]quests!$1:$1,0)+1,FALSE)</f>
        <v>ランキング9</v>
      </c>
      <c r="F6" s="19">
        <v>1</v>
      </c>
      <c r="G6" s="21" t="str">
        <f t="shared" si="1"/>
        <v>60026_1</v>
      </c>
      <c r="H6" s="14" t="str">
        <f ca="1">VLOOKUP($G6,OFFSET([2]stages!$A$1,0,0,COUNTA([2]stages!$A:$A),MATCH(H$1,[2]stages!$2:$2,0)-MATCH($G$1,[2]stages!$2:$2,0)+1),MATCH(H$1,[2]stages!$2:$2,0)-MATCH($G$1,[2]stages!$2:$2,0)+1,FALSE)</f>
        <v>ハップルチャレンジ</v>
      </c>
      <c r="I6" s="119">
        <v>5</v>
      </c>
      <c r="J6" s="36">
        <v>60</v>
      </c>
      <c r="K6" s="36">
        <v>60</v>
      </c>
      <c r="L6" s="67" t="str">
        <f>C6&amp;F6&amp;I6</f>
        <v>6002615</v>
      </c>
      <c r="M6" s="67" t="str">
        <f>C6&amp;F6&amp;I6</f>
        <v>6002615</v>
      </c>
      <c r="N6" s="67" t="str">
        <f>C6&amp;F6&amp;I6</f>
        <v>6002615</v>
      </c>
    </row>
  </sheetData>
  <sheetProtection selectLockedCells="1" selectUnlockedCells="1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workbookViewId="0">
      <selection activeCell="G2" sqref="G2"/>
    </sheetView>
  </sheetViews>
  <sheetFormatPr baseColWidth="12" defaultRowHeight="15" outlineLevelCol="1" x14ac:dyDescent="0.15"/>
  <cols>
    <col min="1" max="1" width="7.1640625" style="3" bestFit="1" customWidth="1"/>
    <col min="2" max="3" width="10.33203125" style="3" customWidth="1" outlineLevel="1"/>
    <col min="4" max="4" width="7" style="3" bestFit="1" customWidth="1"/>
    <col min="5" max="5" width="8.83203125" style="18" customWidth="1" outlineLevel="1"/>
    <col min="6" max="6" width="16.1640625" style="3" customWidth="1" outlineLevel="1"/>
    <col min="7" max="7" width="9.6640625" style="3" bestFit="1" customWidth="1"/>
  </cols>
  <sheetData>
    <row r="1" spans="1:7" x14ac:dyDescent="0.15">
      <c r="A1" s="1" t="s">
        <v>0</v>
      </c>
      <c r="B1" s="2" t="s">
        <v>16</v>
      </c>
      <c r="C1" s="14" t="s">
        <v>33</v>
      </c>
      <c r="D1" s="1" t="s">
        <v>1</v>
      </c>
      <c r="E1" s="21" t="s">
        <v>28</v>
      </c>
      <c r="F1" s="14" t="s">
        <v>16</v>
      </c>
      <c r="G1" s="1" t="s">
        <v>250</v>
      </c>
    </row>
    <row r="2" spans="1:7" x14ac:dyDescent="0.15">
      <c r="A2" s="120">
        <v>60026</v>
      </c>
      <c r="B2" s="11" t="str">
        <f ca="1">VLOOKUP($A2,OFFSET([2]quests!$A$1,0,0,COUNTA([2]quests!$A:$A),MATCH(B$1,[2]quests!$1:$1,0)-MATCH($A$1,[2]quests!$1:$1,0)+1),MATCH(B$1,[2]quests!$1:$1,0)-MATCH($A$1,[2]quests!$1:$1,0)+1,FALSE)</f>
        <v>ハップルチャレンジ</v>
      </c>
      <c r="C2" s="17">
        <f ca="1">VLOOKUP($A2,OFFSET([2]quests!$A$1,0,0,COUNTA([2]quests!$A:$A),MATCH(C$1,[2]quests!$1:$1,0)-MATCH($C$1,[2]quests!$1:$1,0)+1),MATCH(C$1,[2]quests!$1:$1,0)-MATCH($C$1,[2]quests!$1:$1,0)+1,FALSE)</f>
        <v>60026</v>
      </c>
      <c r="D2" s="19">
        <v>1</v>
      </c>
      <c r="E2" s="21" t="str">
        <f>A2&amp;"_"&amp;D2</f>
        <v>60026_1</v>
      </c>
      <c r="F2" s="14" t="str">
        <f ca="1">VLOOKUP($E2,OFFSET([2]stages!$A$1,0,0,COUNTA([2]stages!$A:$A),MATCH(F$1,[2]stages!$2:$2,0)-MATCH($E$1,[2]stages!$2:$2,0)+1),MATCH(F$1,[2]stages!$2:$2,0)-MATCH($E$1,[2]stages!$2:$2,0)+1,FALSE)</f>
        <v>ハップルチャレンジ</v>
      </c>
      <c r="G2" s="119">
        <v>2000000</v>
      </c>
    </row>
  </sheetData>
  <phoneticPr fontId="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G23"/>
  <sheetViews>
    <sheetView workbookViewId="0">
      <selection activeCell="B18" sqref="B18"/>
    </sheetView>
  </sheetViews>
  <sheetFormatPr baseColWidth="12" defaultRowHeight="15" x14ac:dyDescent="0.15"/>
  <sheetData>
    <row r="1" spans="1:7" x14ac:dyDescent="0.15">
      <c r="A1" s="56" t="s">
        <v>338</v>
      </c>
      <c r="B1" s="56" t="s">
        <v>339</v>
      </c>
      <c r="C1" s="123" t="s">
        <v>340</v>
      </c>
      <c r="D1" s="56" t="s">
        <v>341</v>
      </c>
      <c r="E1" s="56" t="s">
        <v>342</v>
      </c>
      <c r="F1" s="106"/>
      <c r="G1" s="106"/>
    </row>
    <row r="2" spans="1:7" x14ac:dyDescent="0.15">
      <c r="A2" s="124">
        <v>6002611</v>
      </c>
      <c r="B2" s="124">
        <v>1</v>
      </c>
      <c r="C2" s="125">
        <v>1000000</v>
      </c>
      <c r="D2" s="126">
        <f>(C3-C2)/(B3-B2)</f>
        <v>-142857.14285714287</v>
      </c>
      <c r="E2" s="127">
        <f t="shared" ref="E2:E3" si="0">C2-D2*B2</f>
        <v>1142857.142857143</v>
      </c>
    </row>
    <row r="3" spans="1:7" x14ac:dyDescent="0.15">
      <c r="A3" s="124">
        <v>6002611</v>
      </c>
      <c r="B3" s="124">
        <v>8</v>
      </c>
      <c r="C3" s="125">
        <v>0</v>
      </c>
      <c r="D3" s="126">
        <f>(C4-C3)/(B4-B3)</f>
        <v>-500000</v>
      </c>
      <c r="E3" s="127">
        <f t="shared" si="0"/>
        <v>4000000</v>
      </c>
    </row>
    <row r="4" spans="1:7" x14ac:dyDescent="0.15">
      <c r="A4" s="124">
        <v>6002611</v>
      </c>
      <c r="B4" s="124">
        <v>9</v>
      </c>
      <c r="C4" s="125">
        <v>-500000</v>
      </c>
      <c r="D4" s="126">
        <f>(C5-C4)/(B5-B4)</f>
        <v>-9500000</v>
      </c>
      <c r="E4" s="127">
        <f>C4-D4*B4</f>
        <v>85000000</v>
      </c>
    </row>
    <row r="5" spans="1:7" x14ac:dyDescent="0.15">
      <c r="A5" s="124">
        <v>6002611</v>
      </c>
      <c r="B5" s="124">
        <v>10</v>
      </c>
      <c r="C5" s="125">
        <v>-10000000</v>
      </c>
      <c r="D5" s="128">
        <v>0</v>
      </c>
      <c r="E5" s="129">
        <v>-10000000</v>
      </c>
    </row>
    <row r="6" spans="1:7" x14ac:dyDescent="0.15">
      <c r="A6" s="130">
        <v>6002612</v>
      </c>
      <c r="B6" s="130">
        <v>1</v>
      </c>
      <c r="C6" s="125">
        <v>1000000</v>
      </c>
      <c r="D6" s="126">
        <f>(C7-C6)/(B7-B6)</f>
        <v>-125000</v>
      </c>
      <c r="E6" s="127">
        <f t="shared" ref="E6:E7" si="1">C6-D6*B6</f>
        <v>1125000</v>
      </c>
    </row>
    <row r="7" spans="1:7" x14ac:dyDescent="0.15">
      <c r="A7" s="130">
        <v>6002612</v>
      </c>
      <c r="B7" s="130">
        <v>9</v>
      </c>
      <c r="C7" s="125">
        <v>0</v>
      </c>
      <c r="D7" s="126">
        <f>(C8-C7)/(B8-B7)</f>
        <v>-250000</v>
      </c>
      <c r="E7" s="127">
        <f t="shared" si="1"/>
        <v>2250000</v>
      </c>
    </row>
    <row r="8" spans="1:7" x14ac:dyDescent="0.15">
      <c r="A8" s="130">
        <v>6002612</v>
      </c>
      <c r="B8" s="130">
        <v>11</v>
      </c>
      <c r="C8" s="125">
        <v>-500000</v>
      </c>
      <c r="D8" s="126">
        <f>(C9-C8)/(B9-B8)</f>
        <v>-9500000</v>
      </c>
      <c r="E8" s="127">
        <f>C8-D8*B8</f>
        <v>104000000</v>
      </c>
    </row>
    <row r="9" spans="1:7" x14ac:dyDescent="0.15">
      <c r="A9" s="130">
        <v>6002612</v>
      </c>
      <c r="B9" s="130">
        <v>12</v>
      </c>
      <c r="C9" s="125">
        <v>-10000000</v>
      </c>
      <c r="D9" s="131">
        <v>0</v>
      </c>
      <c r="E9" s="132">
        <v>-10000000</v>
      </c>
    </row>
    <row r="10" spans="1:7" x14ac:dyDescent="0.15">
      <c r="A10" s="124">
        <v>6002613</v>
      </c>
      <c r="B10" s="124">
        <v>2</v>
      </c>
      <c r="C10" s="125">
        <v>1500000</v>
      </c>
      <c r="D10" s="126">
        <f>(C11-C10)/(B11-B10)</f>
        <v>-187500</v>
      </c>
      <c r="E10" s="127">
        <f t="shared" ref="E10:E11" si="2">C10-D10*B10</f>
        <v>1875000</v>
      </c>
    </row>
    <row r="11" spans="1:7" x14ac:dyDescent="0.15">
      <c r="A11" s="124">
        <v>6002613</v>
      </c>
      <c r="B11" s="124">
        <v>10</v>
      </c>
      <c r="C11" s="125">
        <v>0</v>
      </c>
      <c r="D11" s="126">
        <f>(C12-C11)/(B12-B11)</f>
        <v>-166666.66666666666</v>
      </c>
      <c r="E11" s="127">
        <f t="shared" si="2"/>
        <v>1666666.6666666665</v>
      </c>
    </row>
    <row r="12" spans="1:7" x14ac:dyDescent="0.15">
      <c r="A12" s="124">
        <v>6002613</v>
      </c>
      <c r="B12" s="124">
        <v>13</v>
      </c>
      <c r="C12" s="125">
        <v>-500000</v>
      </c>
      <c r="D12" s="126">
        <f>(C13-C12)/(B13-B12)</f>
        <v>-9500000</v>
      </c>
      <c r="E12" s="127">
        <f>C12-D12*B12</f>
        <v>123000000</v>
      </c>
    </row>
    <row r="13" spans="1:7" x14ac:dyDescent="0.15">
      <c r="A13" s="124">
        <v>6002613</v>
      </c>
      <c r="B13" s="124">
        <v>14</v>
      </c>
      <c r="C13" s="125">
        <v>-10000000</v>
      </c>
      <c r="D13" s="128">
        <v>0</v>
      </c>
      <c r="E13" s="129">
        <v>-10000000</v>
      </c>
    </row>
    <row r="14" spans="1:7" x14ac:dyDescent="0.15">
      <c r="A14" s="130">
        <v>6002614</v>
      </c>
      <c r="B14" s="130">
        <v>1</v>
      </c>
      <c r="C14" s="125">
        <v>1000000</v>
      </c>
      <c r="D14" s="126">
        <f>(C15-C14)/(B15-B14)</f>
        <v>-111111.11111111111</v>
      </c>
      <c r="E14" s="127">
        <f t="shared" ref="E14:E15" si="3">C14-D14*B14</f>
        <v>1111111.111111111</v>
      </c>
    </row>
    <row r="15" spans="1:7" x14ac:dyDescent="0.15">
      <c r="A15" s="130">
        <v>6002614</v>
      </c>
      <c r="B15" s="130">
        <v>10</v>
      </c>
      <c r="C15" s="125">
        <v>0</v>
      </c>
      <c r="D15" s="126">
        <f>(C16-C15)/(B16-B15)</f>
        <v>-166666.66666666666</v>
      </c>
      <c r="E15" s="127">
        <f t="shared" si="3"/>
        <v>1666666.6666666665</v>
      </c>
    </row>
    <row r="16" spans="1:7" x14ac:dyDescent="0.15">
      <c r="A16" s="130">
        <v>6002614</v>
      </c>
      <c r="B16" s="130">
        <v>13</v>
      </c>
      <c r="C16" s="125">
        <v>-500000</v>
      </c>
      <c r="D16" s="126">
        <f>(C17-C16)/(B17-B16)</f>
        <v>-4750000</v>
      </c>
      <c r="E16" s="127">
        <f>C16-D16*B16</f>
        <v>61250000</v>
      </c>
    </row>
    <row r="17" spans="1:5" x14ac:dyDescent="0.15">
      <c r="A17" s="130">
        <v>6002614</v>
      </c>
      <c r="B17" s="130">
        <v>15</v>
      </c>
      <c r="C17" s="125">
        <v>-10000000</v>
      </c>
      <c r="D17" s="131">
        <v>0</v>
      </c>
      <c r="E17" s="132">
        <v>-10000000</v>
      </c>
    </row>
    <row r="18" spans="1:5" x14ac:dyDescent="0.15">
      <c r="A18" s="124">
        <v>6002615</v>
      </c>
      <c r="B18" s="124">
        <v>3</v>
      </c>
      <c r="C18" s="125">
        <v>2000000</v>
      </c>
      <c r="D18" s="126">
        <f>(C19-C18)/(B19-B18)</f>
        <v>-166666.66666666666</v>
      </c>
      <c r="E18" s="127">
        <f t="shared" ref="E18:E19" si="4">C18-D18*B18</f>
        <v>2500000</v>
      </c>
    </row>
    <row r="19" spans="1:5" x14ac:dyDescent="0.15">
      <c r="A19" s="124">
        <v>6002615</v>
      </c>
      <c r="B19" s="124">
        <v>15</v>
      </c>
      <c r="C19" s="125">
        <v>0</v>
      </c>
      <c r="D19" s="126">
        <f>(C20-C19)/(B20-B19)</f>
        <v>-166666.66666666666</v>
      </c>
      <c r="E19" s="127">
        <f t="shared" si="4"/>
        <v>2500000</v>
      </c>
    </row>
    <row r="20" spans="1:5" x14ac:dyDescent="0.15">
      <c r="A20" s="124">
        <v>6002615</v>
      </c>
      <c r="B20" s="124">
        <v>18</v>
      </c>
      <c r="C20" s="125">
        <v>-500000</v>
      </c>
      <c r="D20" s="126">
        <f>(C21-C20)/(B21-B20)</f>
        <v>-4750000</v>
      </c>
      <c r="E20" s="127">
        <f>C20-D20*B20</f>
        <v>85000000</v>
      </c>
    </row>
    <row r="21" spans="1:5" x14ac:dyDescent="0.15">
      <c r="A21" s="124">
        <v>6002615</v>
      </c>
      <c r="B21" s="124">
        <v>20</v>
      </c>
      <c r="C21" s="125">
        <v>-10000000</v>
      </c>
      <c r="D21" s="128">
        <v>0</v>
      </c>
      <c r="E21" s="129">
        <v>-10000000</v>
      </c>
    </row>
    <row r="23" spans="1:5" x14ac:dyDescent="0.15">
      <c r="C23">
        <f>SUM(C2,C6,C10,C14,C18)</f>
        <v>6500000</v>
      </c>
    </row>
  </sheetData>
  <phoneticPr fontId="8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F32"/>
  <sheetViews>
    <sheetView workbookViewId="0">
      <selection activeCell="F15" sqref="F15"/>
    </sheetView>
  </sheetViews>
  <sheetFormatPr baseColWidth="12" defaultRowHeight="15" x14ac:dyDescent="0.15"/>
  <sheetData>
    <row r="1" spans="1:6" x14ac:dyDescent="0.15">
      <c r="A1" s="56" t="s">
        <v>338</v>
      </c>
      <c r="B1" s="56" t="s">
        <v>339</v>
      </c>
      <c r="C1" s="56" t="s">
        <v>340</v>
      </c>
      <c r="D1" s="56" t="s">
        <v>341</v>
      </c>
      <c r="E1" s="56" t="s">
        <v>342</v>
      </c>
    </row>
    <row r="2" spans="1:6" x14ac:dyDescent="0.15">
      <c r="A2" s="124">
        <v>6002611</v>
      </c>
      <c r="B2" s="124">
        <v>0</v>
      </c>
      <c r="C2" s="60">
        <v>0</v>
      </c>
      <c r="D2" s="133">
        <f t="shared" ref="D2:D3" si="0">(C3-C2)/(B3-B2)</f>
        <v>1</v>
      </c>
      <c r="E2" s="127">
        <f t="shared" ref="E2:E3" si="1">C2-D2*B2</f>
        <v>0</v>
      </c>
    </row>
    <row r="3" spans="1:6" x14ac:dyDescent="0.15">
      <c r="A3" s="124">
        <v>6002611</v>
      </c>
      <c r="B3" s="124">
        <v>136000</v>
      </c>
      <c r="C3" s="60">
        <f>B3*SQRT(D28)</f>
        <v>136000</v>
      </c>
      <c r="D3" s="133">
        <f t="shared" si="0"/>
        <v>1.0500000000000012</v>
      </c>
      <c r="E3" s="127">
        <f t="shared" si="1"/>
        <v>-6800.0000000001455</v>
      </c>
      <c r="F3" s="134">
        <v>1</v>
      </c>
    </row>
    <row r="4" spans="1:6" x14ac:dyDescent="0.15">
      <c r="A4" s="124">
        <v>6002611</v>
      </c>
      <c r="B4" s="124">
        <f>B3*1.2</f>
        <v>163200</v>
      </c>
      <c r="C4" s="60">
        <f>C3*SQRT(D29)^2</f>
        <v>164560.00000000003</v>
      </c>
      <c r="D4" s="133">
        <f>(C5-C4)/(B5-B4)</f>
        <v>1.0333333333333325</v>
      </c>
      <c r="E4" s="127">
        <f>C4-D4*B4</f>
        <v>-4079.9999999998545</v>
      </c>
      <c r="F4" s="134">
        <v>1.2</v>
      </c>
    </row>
    <row r="5" spans="1:6" x14ac:dyDescent="0.15">
      <c r="A5" s="124">
        <v>6002611</v>
      </c>
      <c r="B5" s="124">
        <f>B3*1.5</f>
        <v>204000</v>
      </c>
      <c r="C5" s="60">
        <f>C3*SQRT(D30)^2</f>
        <v>206720</v>
      </c>
      <c r="D5" s="135">
        <v>0.01</v>
      </c>
      <c r="E5" s="126">
        <f>C5-D5*B5</f>
        <v>204680</v>
      </c>
      <c r="F5" s="134">
        <v>1.5</v>
      </c>
    </row>
    <row r="6" spans="1:6" x14ac:dyDescent="0.15">
      <c r="A6" s="130">
        <v>6002612</v>
      </c>
      <c r="B6" s="130">
        <v>0</v>
      </c>
      <c r="C6" s="60">
        <v>0</v>
      </c>
      <c r="D6" s="133">
        <f t="shared" ref="D6:D7" si="2">(C7-C6)/(B7-B6)</f>
        <v>1</v>
      </c>
      <c r="E6" s="127">
        <f t="shared" ref="E6:E7" si="3">C6-D6*B6</f>
        <v>0</v>
      </c>
    </row>
    <row r="7" spans="1:6" x14ac:dyDescent="0.15">
      <c r="A7" s="130">
        <v>6002612</v>
      </c>
      <c r="B7" s="130">
        <v>150000</v>
      </c>
      <c r="C7" s="60">
        <f>B7*SQRT(D28)</f>
        <v>150000</v>
      </c>
      <c r="D7" s="133">
        <f t="shared" si="2"/>
        <v>1.0500000000000009</v>
      </c>
      <c r="E7" s="127">
        <f t="shared" si="3"/>
        <v>-7500.0000000001455</v>
      </c>
      <c r="F7" s="134">
        <v>1</v>
      </c>
    </row>
    <row r="8" spans="1:6" x14ac:dyDescent="0.15">
      <c r="A8" s="130">
        <v>6002612</v>
      </c>
      <c r="B8" s="130">
        <f>B7*1.2</f>
        <v>180000</v>
      </c>
      <c r="C8" s="60">
        <f>C7*SQRT(D29)^2</f>
        <v>181500.00000000003</v>
      </c>
      <c r="D8" s="133">
        <f>(C9-C8)/(B9-B8)</f>
        <v>1.0333333333333328</v>
      </c>
      <c r="E8" s="127">
        <f>C8-D8*B8</f>
        <v>-4499.9999999998836</v>
      </c>
      <c r="F8" s="134">
        <v>1.2</v>
      </c>
    </row>
    <row r="9" spans="1:6" x14ac:dyDescent="0.15">
      <c r="A9" s="130">
        <v>6002612</v>
      </c>
      <c r="B9" s="130">
        <f>B7*1.5</f>
        <v>225000</v>
      </c>
      <c r="C9" s="60">
        <f>C7*SQRT(D30)^2</f>
        <v>228000</v>
      </c>
      <c r="D9" s="135">
        <v>0.01</v>
      </c>
      <c r="E9" s="126">
        <f>C9-D9*B9</f>
        <v>225750</v>
      </c>
      <c r="F9" s="134">
        <v>1.5</v>
      </c>
    </row>
    <row r="10" spans="1:6" x14ac:dyDescent="0.15">
      <c r="A10" s="124">
        <v>6002613</v>
      </c>
      <c r="B10" s="124">
        <v>0</v>
      </c>
      <c r="C10" s="60">
        <v>0</v>
      </c>
      <c r="D10" s="133">
        <f t="shared" ref="D10:D14" si="4">(C11-C10)/(B11-B10)</f>
        <v>0.5</v>
      </c>
      <c r="E10" s="127">
        <f t="shared" ref="E10:E11" si="5">C10-D10*B10</f>
        <v>0</v>
      </c>
    </row>
    <row r="11" spans="1:6" x14ac:dyDescent="0.15">
      <c r="A11" s="124">
        <v>6002613</v>
      </c>
      <c r="B11" s="124">
        <v>800000</v>
      </c>
      <c r="C11" s="60">
        <f>B11*SQRT(D28)*0.5</f>
        <v>400000</v>
      </c>
      <c r="D11" s="133">
        <f t="shared" si="4"/>
        <v>0.52500000000000036</v>
      </c>
      <c r="E11" s="127">
        <f t="shared" si="5"/>
        <v>-20000.000000000291</v>
      </c>
      <c r="F11" s="134">
        <v>1</v>
      </c>
    </row>
    <row r="12" spans="1:6" x14ac:dyDescent="0.15">
      <c r="A12" s="124">
        <v>6002613</v>
      </c>
      <c r="B12" s="124">
        <f>B11*1.2</f>
        <v>960000</v>
      </c>
      <c r="C12" s="60">
        <f>C11*SQRT(D29)^2</f>
        <v>484000.00000000006</v>
      </c>
      <c r="D12" s="133">
        <f t="shared" si="4"/>
        <v>0.51666666666666639</v>
      </c>
      <c r="E12" s="127">
        <f>C12-D12*B12</f>
        <v>-11999.999999999651</v>
      </c>
      <c r="F12" s="134">
        <v>1.2</v>
      </c>
    </row>
    <row r="13" spans="1:6" x14ac:dyDescent="0.15">
      <c r="A13" s="124">
        <v>6002613</v>
      </c>
      <c r="B13" s="124">
        <f>B11*1.5</f>
        <v>1200000</v>
      </c>
      <c r="C13" s="60">
        <f>C11*SQRT(D30)^2</f>
        <v>608000</v>
      </c>
      <c r="D13" s="133">
        <f t="shared" si="4"/>
        <v>0.52016666666666667</v>
      </c>
      <c r="E13" s="127">
        <f t="shared" ref="E13:E17" si="6">C13-D13*B13</f>
        <v>-16200</v>
      </c>
      <c r="F13" s="134">
        <v>1.5</v>
      </c>
    </row>
    <row r="14" spans="1:6" x14ac:dyDescent="0.15">
      <c r="A14" s="124">
        <v>6002613</v>
      </c>
      <c r="B14" s="124">
        <f>B12*2</f>
        <v>1920000</v>
      </c>
      <c r="C14" s="60">
        <f t="shared" ref="C14:C15" si="7">C12*SQRT(D31)^2</f>
        <v>982520</v>
      </c>
      <c r="D14" s="133">
        <f t="shared" si="4"/>
        <v>0.51455555555555532</v>
      </c>
      <c r="E14" s="127">
        <f t="shared" ref="E14:E15" si="8">C14-D14*B14</f>
        <v>-5426.6666666661622</v>
      </c>
      <c r="F14" s="134">
        <v>2</v>
      </c>
    </row>
    <row r="15" spans="1:6" x14ac:dyDescent="0.15">
      <c r="A15" s="124">
        <v>6002613</v>
      </c>
      <c r="B15" s="124">
        <f>B13*2.5</f>
        <v>3000000</v>
      </c>
      <c r="C15" s="60">
        <f t="shared" si="7"/>
        <v>1538239.9999999998</v>
      </c>
      <c r="D15" s="135">
        <v>0.01</v>
      </c>
      <c r="E15" s="127">
        <f t="shared" si="8"/>
        <v>1508239.9999999998</v>
      </c>
      <c r="F15" s="134">
        <v>2.5</v>
      </c>
    </row>
    <row r="16" spans="1:6" ht="16" customHeight="1" x14ac:dyDescent="0.15">
      <c r="A16" s="130">
        <v>6002614</v>
      </c>
      <c r="B16" s="130">
        <v>0</v>
      </c>
      <c r="C16" s="60">
        <v>0</v>
      </c>
      <c r="D16" s="133">
        <f t="shared" ref="D16:D17" si="9">(C17-C16)/(B17-B16)</f>
        <v>1</v>
      </c>
      <c r="E16" s="127">
        <f t="shared" si="6"/>
        <v>0</v>
      </c>
    </row>
    <row r="17" spans="1:6" ht="16" customHeight="1" x14ac:dyDescent="0.15">
      <c r="A17" s="130">
        <v>6002614</v>
      </c>
      <c r="B17" s="130">
        <v>330000</v>
      </c>
      <c r="C17" s="60">
        <f>B17*SQRT(D28)</f>
        <v>330000</v>
      </c>
      <c r="D17" s="133">
        <f t="shared" si="9"/>
        <v>1.0500000000000009</v>
      </c>
      <c r="E17" s="127">
        <f t="shared" si="6"/>
        <v>-16500.000000000291</v>
      </c>
      <c r="F17" s="134">
        <v>1</v>
      </c>
    </row>
    <row r="18" spans="1:6" x14ac:dyDescent="0.15">
      <c r="A18" s="130">
        <v>6002614</v>
      </c>
      <c r="B18" s="130">
        <f>B17*1.2</f>
        <v>396000</v>
      </c>
      <c r="C18" s="60">
        <f>C17*SQRT(D29)^2</f>
        <v>399300.00000000006</v>
      </c>
      <c r="D18" s="133">
        <f>(C19-C18)/(B19-B18)</f>
        <v>1.0333333333333328</v>
      </c>
      <c r="E18" s="127">
        <f>C18-D18*B18</f>
        <v>-9899.999999999709</v>
      </c>
      <c r="F18" s="134">
        <v>1.2</v>
      </c>
    </row>
    <row r="19" spans="1:6" x14ac:dyDescent="0.15">
      <c r="A19" s="130">
        <v>6002614</v>
      </c>
      <c r="B19" s="130">
        <f>B17*1.5</f>
        <v>495000</v>
      </c>
      <c r="C19" s="60">
        <f>C17*SQRT(D30)^2</f>
        <v>501600</v>
      </c>
      <c r="D19" s="135">
        <v>0.01</v>
      </c>
      <c r="E19" s="126">
        <f>C19-D19*B19</f>
        <v>496650</v>
      </c>
      <c r="F19" s="134">
        <v>1.5</v>
      </c>
    </row>
    <row r="20" spans="1:6" x14ac:dyDescent="0.15">
      <c r="A20" s="124">
        <v>6002615</v>
      </c>
      <c r="B20" s="124">
        <v>0</v>
      </c>
      <c r="C20" s="60">
        <v>0</v>
      </c>
      <c r="D20" s="133">
        <f t="shared" ref="D20:D24" si="10">(C21-C20)/(B21-B20)</f>
        <v>0.6</v>
      </c>
      <c r="E20" s="127">
        <f t="shared" ref="E20:E23" si="11">C20-D20*B20</f>
        <v>0</v>
      </c>
    </row>
    <row r="21" spans="1:6" x14ac:dyDescent="0.15">
      <c r="A21" s="124">
        <v>6002615</v>
      </c>
      <c r="B21" s="124">
        <v>2300000</v>
      </c>
      <c r="C21" s="60">
        <f>B21*SQRT(D28)*0.6</f>
        <v>1380000</v>
      </c>
      <c r="D21" s="133">
        <f t="shared" si="10"/>
        <v>0.63000000000000056</v>
      </c>
      <c r="E21" s="127">
        <f t="shared" si="11"/>
        <v>-69000.000000001397</v>
      </c>
      <c r="F21" s="134">
        <v>1</v>
      </c>
    </row>
    <row r="22" spans="1:6" x14ac:dyDescent="0.15">
      <c r="A22" s="124">
        <v>6002615</v>
      </c>
      <c r="B22" s="124">
        <f>B21*1.2</f>
        <v>2760000</v>
      </c>
      <c r="C22" s="60">
        <f>$C$21*SQRT(D29)^2</f>
        <v>1669800.0000000002</v>
      </c>
      <c r="D22" s="133">
        <f t="shared" si="10"/>
        <v>0.61999999999999966</v>
      </c>
      <c r="E22" s="127">
        <f t="shared" si="11"/>
        <v>-41399.999999998836</v>
      </c>
      <c r="F22" s="134">
        <v>1.2</v>
      </c>
    </row>
    <row r="23" spans="1:6" x14ac:dyDescent="0.15">
      <c r="A23" s="124">
        <v>6002615</v>
      </c>
      <c r="B23" s="124">
        <f>B21*1.5</f>
        <v>3450000</v>
      </c>
      <c r="C23" s="60">
        <f>$C$21*SQRT(D30)^2</f>
        <v>2097600</v>
      </c>
      <c r="D23" s="133">
        <f t="shared" si="10"/>
        <v>0.3399999999999998</v>
      </c>
      <c r="E23" s="127">
        <f t="shared" si="11"/>
        <v>924600.0000000007</v>
      </c>
      <c r="F23" s="134">
        <v>1.5</v>
      </c>
    </row>
    <row r="24" spans="1:6" x14ac:dyDescent="0.15">
      <c r="A24" s="124">
        <v>6002615</v>
      </c>
      <c r="B24" s="124">
        <f>B22*2</f>
        <v>5520000</v>
      </c>
      <c r="C24" s="60">
        <f t="shared" ref="C24:C25" si="12">$C$21*SQRT(D31)^2</f>
        <v>2801399.9999999995</v>
      </c>
      <c r="D24" s="133">
        <f t="shared" si="10"/>
        <v>0.22222222222222221</v>
      </c>
      <c r="E24" s="127">
        <f t="shared" ref="E24:E25" si="13">C24-D24*B24</f>
        <v>1574733.333333333</v>
      </c>
      <c r="F24" s="134">
        <v>2</v>
      </c>
    </row>
    <row r="25" spans="1:6" x14ac:dyDescent="0.15">
      <c r="A25" s="124">
        <v>6002615</v>
      </c>
      <c r="B25" s="124">
        <f>B23*2.5</f>
        <v>8625000</v>
      </c>
      <c r="C25" s="60">
        <f t="shared" si="12"/>
        <v>3491399.9999999995</v>
      </c>
      <c r="D25" s="135">
        <v>0.01</v>
      </c>
      <c r="E25" s="127">
        <f t="shared" si="13"/>
        <v>3405149.9999999995</v>
      </c>
      <c r="F25" s="134">
        <v>2.5</v>
      </c>
    </row>
    <row r="27" spans="1:6" x14ac:dyDescent="0.15">
      <c r="D27" t="s">
        <v>343</v>
      </c>
    </row>
    <row r="28" spans="1:6" x14ac:dyDescent="0.15">
      <c r="A28" s="136"/>
      <c r="B28" s="136"/>
      <c r="C28" s="137">
        <f>SUM(C5,C9,C15,C19,C25)</f>
        <v>5965960</v>
      </c>
      <c r="D28">
        <v>1</v>
      </c>
    </row>
    <row r="29" spans="1:6" x14ac:dyDescent="0.15">
      <c r="A29" s="106"/>
      <c r="B29" s="106"/>
      <c r="C29" s="138"/>
      <c r="D29">
        <v>1.21</v>
      </c>
    </row>
    <row r="30" spans="1:6" x14ac:dyDescent="0.15">
      <c r="A30" s="106"/>
      <c r="B30" s="106"/>
      <c r="C30" s="138"/>
      <c r="D30">
        <v>1.52</v>
      </c>
    </row>
    <row r="31" spans="1:6" x14ac:dyDescent="0.15">
      <c r="D31">
        <v>2.0299999999999998</v>
      </c>
    </row>
    <row r="32" spans="1:6" x14ac:dyDescent="0.15">
      <c r="D32">
        <v>2.5299999999999998</v>
      </c>
    </row>
  </sheetData>
  <phoneticPr fontId="8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FF0000"/>
  </sheetPr>
  <dimension ref="A1:F81"/>
  <sheetViews>
    <sheetView workbookViewId="0">
      <selection activeCell="C50" sqref="C50"/>
    </sheetView>
  </sheetViews>
  <sheetFormatPr baseColWidth="12" defaultRowHeight="15" x14ac:dyDescent="0.15"/>
  <sheetData>
    <row r="1" spans="1:6" x14ac:dyDescent="0.15">
      <c r="A1" s="56" t="s">
        <v>344</v>
      </c>
      <c r="B1" s="56" t="s">
        <v>345</v>
      </c>
      <c r="C1" s="56" t="s">
        <v>346</v>
      </c>
      <c r="D1" s="56" t="s">
        <v>347</v>
      </c>
      <c r="E1" s="56" t="s">
        <v>348</v>
      </c>
    </row>
    <row r="2" spans="1:6" x14ac:dyDescent="0.15">
      <c r="A2" s="139">
        <v>6002611</v>
      </c>
      <c r="B2" s="139">
        <v>0</v>
      </c>
      <c r="C2" s="125">
        <v>0</v>
      </c>
      <c r="D2" s="140">
        <f t="shared" ref="D2:D13" si="0">(C3-C2)/(B3-B2)</f>
        <v>-150000</v>
      </c>
      <c r="E2" s="141">
        <f t="shared" ref="E2:E13" si="1">C2-D2*B2</f>
        <v>0</v>
      </c>
      <c r="F2">
        <f>B2*D2+E2</f>
        <v>0</v>
      </c>
    </row>
    <row r="3" spans="1:6" x14ac:dyDescent="0.15">
      <c r="A3" s="139">
        <v>6002611</v>
      </c>
      <c r="B3" s="139">
        <v>0.01</v>
      </c>
      <c r="C3" s="125">
        <f>-3000/2</f>
        <v>-1500</v>
      </c>
      <c r="D3" s="140">
        <f>(C4-C3)/(B4-B3)</f>
        <v>-150000</v>
      </c>
      <c r="E3" s="141">
        <f t="shared" si="1"/>
        <v>0</v>
      </c>
      <c r="F3">
        <f t="shared" ref="F3:F71" si="2">B3*D3+E3</f>
        <v>-1500</v>
      </c>
    </row>
    <row r="4" spans="1:6" x14ac:dyDescent="0.15">
      <c r="A4" s="139">
        <v>6002611</v>
      </c>
      <c r="B4" s="139">
        <v>0.05</v>
      </c>
      <c r="C4" s="125">
        <f>-15000/2</f>
        <v>-7500</v>
      </c>
      <c r="D4" s="140">
        <f t="shared" si="0"/>
        <v>-150000</v>
      </c>
      <c r="E4" s="141">
        <f t="shared" si="1"/>
        <v>0</v>
      </c>
      <c r="F4">
        <f t="shared" si="2"/>
        <v>-7500</v>
      </c>
    </row>
    <row r="5" spans="1:6" x14ac:dyDescent="0.15">
      <c r="A5" s="139">
        <v>6002611</v>
      </c>
      <c r="B5" s="139">
        <v>0.1</v>
      </c>
      <c r="C5" s="125">
        <f>-30000/2</f>
        <v>-15000</v>
      </c>
      <c r="D5" s="140">
        <f t="shared" si="0"/>
        <v>-150000</v>
      </c>
      <c r="E5" s="141">
        <f t="shared" si="1"/>
        <v>0</v>
      </c>
      <c r="F5">
        <f t="shared" si="2"/>
        <v>-15000</v>
      </c>
    </row>
    <row r="6" spans="1:6" x14ac:dyDescent="0.15">
      <c r="A6" s="139">
        <v>6002611</v>
      </c>
      <c r="B6" s="139">
        <v>0.2</v>
      </c>
      <c r="C6" s="125">
        <f>-60000/2</f>
        <v>-30000</v>
      </c>
      <c r="D6" s="140">
        <f t="shared" si="0"/>
        <v>-150000</v>
      </c>
      <c r="E6" s="141">
        <f t="shared" si="1"/>
        <v>0</v>
      </c>
      <c r="F6">
        <f t="shared" si="2"/>
        <v>-30000</v>
      </c>
    </row>
    <row r="7" spans="1:6" x14ac:dyDescent="0.15">
      <c r="A7" s="139">
        <v>6002611</v>
      </c>
      <c r="B7" s="139">
        <v>0.4</v>
      </c>
      <c r="C7" s="125">
        <f>-120000/2</f>
        <v>-60000</v>
      </c>
      <c r="D7" s="140">
        <f t="shared" si="0"/>
        <v>-150000.00000000003</v>
      </c>
      <c r="E7" s="141">
        <f t="shared" si="1"/>
        <v>0</v>
      </c>
      <c r="F7">
        <f t="shared" si="2"/>
        <v>-60000.000000000015</v>
      </c>
    </row>
    <row r="8" spans="1:6" x14ac:dyDescent="0.15">
      <c r="A8" s="139">
        <v>6002611</v>
      </c>
      <c r="B8" s="139">
        <v>0.6</v>
      </c>
      <c r="C8" s="125">
        <f>-180000/2</f>
        <v>-90000</v>
      </c>
      <c r="D8" s="140">
        <f t="shared" si="0"/>
        <v>-149999.99999999994</v>
      </c>
      <c r="E8" s="141">
        <f t="shared" si="1"/>
        <v>0</v>
      </c>
      <c r="F8">
        <f t="shared" si="2"/>
        <v>-89999.999999999956</v>
      </c>
    </row>
    <row r="9" spans="1:6" x14ac:dyDescent="0.15">
      <c r="A9" s="139">
        <v>6002611</v>
      </c>
      <c r="B9" s="139">
        <v>0.8</v>
      </c>
      <c r="C9" s="125">
        <f>-240000/2</f>
        <v>-120000</v>
      </c>
      <c r="D9" s="140">
        <f t="shared" si="0"/>
        <v>-150000.00000000003</v>
      </c>
      <c r="E9" s="141">
        <f t="shared" si="1"/>
        <v>0</v>
      </c>
      <c r="F9">
        <f t="shared" si="2"/>
        <v>-120000.00000000003</v>
      </c>
    </row>
    <row r="10" spans="1:6" x14ac:dyDescent="0.15">
      <c r="A10" s="139">
        <v>6002611</v>
      </c>
      <c r="B10" s="139">
        <v>1</v>
      </c>
      <c r="C10" s="125">
        <f>-300000/2</f>
        <v>-150000</v>
      </c>
      <c r="D10" s="140">
        <f t="shared" si="0"/>
        <v>-150000.00000000003</v>
      </c>
      <c r="E10" s="141">
        <f t="shared" si="1"/>
        <v>0</v>
      </c>
      <c r="F10">
        <f t="shared" si="2"/>
        <v>-150000.00000000003</v>
      </c>
    </row>
    <row r="11" spans="1:6" x14ac:dyDescent="0.15">
      <c r="A11" s="139">
        <v>6002611</v>
      </c>
      <c r="B11" s="139">
        <v>1.2</v>
      </c>
      <c r="C11" s="125">
        <f>-360000/2</f>
        <v>-180000</v>
      </c>
      <c r="D11" s="140">
        <f t="shared" si="0"/>
        <v>-150000.00000000003</v>
      </c>
      <c r="E11" s="141">
        <f t="shared" si="1"/>
        <v>0</v>
      </c>
      <c r="F11">
        <f t="shared" si="2"/>
        <v>-180000.00000000003</v>
      </c>
    </row>
    <row r="12" spans="1:6" x14ac:dyDescent="0.15">
      <c r="A12" s="139">
        <v>6002611</v>
      </c>
      <c r="B12" s="139">
        <v>1.4</v>
      </c>
      <c r="C12" s="125">
        <f>-420000/2</f>
        <v>-210000</v>
      </c>
      <c r="D12" s="140">
        <f t="shared" si="0"/>
        <v>-149999.99999999985</v>
      </c>
      <c r="E12" s="141">
        <f t="shared" si="1"/>
        <v>0</v>
      </c>
      <c r="F12">
        <f t="shared" si="2"/>
        <v>-209999.9999999998</v>
      </c>
    </row>
    <row r="13" spans="1:6" x14ac:dyDescent="0.15">
      <c r="A13" s="139">
        <v>6002611</v>
      </c>
      <c r="B13" s="139">
        <v>1.6</v>
      </c>
      <c r="C13" s="125">
        <f>-480000/2</f>
        <v>-240000</v>
      </c>
      <c r="D13" s="140">
        <f t="shared" si="0"/>
        <v>-150000.00000000003</v>
      </c>
      <c r="E13" s="141">
        <f t="shared" si="1"/>
        <v>0</v>
      </c>
      <c r="F13">
        <f t="shared" si="2"/>
        <v>-240000.00000000006</v>
      </c>
    </row>
    <row r="14" spans="1:6" x14ac:dyDescent="0.15">
      <c r="A14" s="139">
        <v>6002611</v>
      </c>
      <c r="B14" s="139">
        <v>1.8</v>
      </c>
      <c r="C14" s="125">
        <f>-540000/2</f>
        <v>-270000</v>
      </c>
      <c r="D14" s="140">
        <f>(C15-C14)/(B15-B14)</f>
        <v>-1150000.0000000002</v>
      </c>
      <c r="E14" s="141">
        <f>C14-D14*B14</f>
        <v>1800000.0000000005</v>
      </c>
      <c r="F14">
        <f t="shared" si="2"/>
        <v>-270000</v>
      </c>
    </row>
    <row r="15" spans="1:6" x14ac:dyDescent="0.15">
      <c r="A15" s="139">
        <v>6002611</v>
      </c>
      <c r="B15" s="139">
        <v>2</v>
      </c>
      <c r="C15" s="125">
        <f>-1000000/2</f>
        <v>-500000</v>
      </c>
      <c r="D15" s="128">
        <v>0</v>
      </c>
      <c r="E15" s="129">
        <v>-10000000</v>
      </c>
      <c r="F15">
        <f t="shared" si="2"/>
        <v>-10000000</v>
      </c>
    </row>
    <row r="16" spans="1:6" x14ac:dyDescent="0.15">
      <c r="A16" s="142">
        <v>6002612</v>
      </c>
      <c r="B16" s="142">
        <v>0</v>
      </c>
      <c r="C16" s="125">
        <v>0</v>
      </c>
      <c r="D16" s="140">
        <f t="shared" ref="D16:D27" si="3">(C17-C16)/(B17-B16)</f>
        <v>-150000</v>
      </c>
      <c r="E16" s="141">
        <f t="shared" ref="E16:E27" si="4">C16-D16*B16</f>
        <v>0</v>
      </c>
      <c r="F16">
        <f t="shared" si="2"/>
        <v>0</v>
      </c>
    </row>
    <row r="17" spans="1:6" x14ac:dyDescent="0.15">
      <c r="A17" s="142">
        <v>6002612</v>
      </c>
      <c r="B17" s="142">
        <v>0.01</v>
      </c>
      <c r="C17" s="125">
        <f>-3000/2</f>
        <v>-1500</v>
      </c>
      <c r="D17" s="140">
        <f t="shared" si="3"/>
        <v>-150000</v>
      </c>
      <c r="E17" s="141">
        <f t="shared" si="4"/>
        <v>0</v>
      </c>
      <c r="F17">
        <f t="shared" si="2"/>
        <v>-1500</v>
      </c>
    </row>
    <row r="18" spans="1:6" x14ac:dyDescent="0.15">
      <c r="A18" s="142">
        <v>6002612</v>
      </c>
      <c r="B18" s="142">
        <v>0.05</v>
      </c>
      <c r="C18" s="125">
        <f>-15000/2</f>
        <v>-7500</v>
      </c>
      <c r="D18" s="140">
        <f t="shared" si="3"/>
        <v>-150000</v>
      </c>
      <c r="E18" s="141">
        <f t="shared" si="4"/>
        <v>0</v>
      </c>
      <c r="F18">
        <f t="shared" si="2"/>
        <v>-7500</v>
      </c>
    </row>
    <row r="19" spans="1:6" x14ac:dyDescent="0.15">
      <c r="A19" s="142">
        <v>6002612</v>
      </c>
      <c r="B19" s="142">
        <v>0.1</v>
      </c>
      <c r="C19" s="125">
        <f>-30000/2</f>
        <v>-15000</v>
      </c>
      <c r="D19" s="140">
        <f t="shared" si="3"/>
        <v>-150000</v>
      </c>
      <c r="E19" s="141">
        <f t="shared" si="4"/>
        <v>0</v>
      </c>
      <c r="F19">
        <f t="shared" si="2"/>
        <v>-15000</v>
      </c>
    </row>
    <row r="20" spans="1:6" x14ac:dyDescent="0.15">
      <c r="A20" s="142">
        <v>6002612</v>
      </c>
      <c r="B20" s="142">
        <v>0.2</v>
      </c>
      <c r="C20" s="125">
        <f>-60000/2</f>
        <v>-30000</v>
      </c>
      <c r="D20" s="140">
        <f t="shared" si="3"/>
        <v>-150000</v>
      </c>
      <c r="E20" s="141">
        <f t="shared" si="4"/>
        <v>0</v>
      </c>
      <c r="F20">
        <f t="shared" si="2"/>
        <v>-30000</v>
      </c>
    </row>
    <row r="21" spans="1:6" x14ac:dyDescent="0.15">
      <c r="A21" s="142">
        <v>6002612</v>
      </c>
      <c r="B21" s="142">
        <v>0.4</v>
      </c>
      <c r="C21" s="125">
        <f>-120000/2</f>
        <v>-60000</v>
      </c>
      <c r="D21" s="140">
        <f t="shared" si="3"/>
        <v>-150000.00000000003</v>
      </c>
      <c r="E21" s="141">
        <f t="shared" si="4"/>
        <v>0</v>
      </c>
      <c r="F21">
        <f t="shared" si="2"/>
        <v>-60000.000000000015</v>
      </c>
    </row>
    <row r="22" spans="1:6" x14ac:dyDescent="0.15">
      <c r="A22" s="142">
        <v>6002612</v>
      </c>
      <c r="B22" s="142">
        <v>0.6</v>
      </c>
      <c r="C22" s="125">
        <f>-180000/2</f>
        <v>-90000</v>
      </c>
      <c r="D22" s="140">
        <f t="shared" si="3"/>
        <v>-149999.99999999994</v>
      </c>
      <c r="E22" s="141">
        <f t="shared" si="4"/>
        <v>0</v>
      </c>
      <c r="F22">
        <f t="shared" si="2"/>
        <v>-89999.999999999956</v>
      </c>
    </row>
    <row r="23" spans="1:6" x14ac:dyDescent="0.15">
      <c r="A23" s="142">
        <v>6002612</v>
      </c>
      <c r="B23" s="142">
        <v>0.8</v>
      </c>
      <c r="C23" s="125">
        <f>-240000/2</f>
        <v>-120000</v>
      </c>
      <c r="D23" s="140">
        <f t="shared" si="3"/>
        <v>-150000.00000000003</v>
      </c>
      <c r="E23" s="141">
        <f t="shared" si="4"/>
        <v>0</v>
      </c>
      <c r="F23">
        <f t="shared" si="2"/>
        <v>-120000.00000000003</v>
      </c>
    </row>
    <row r="24" spans="1:6" x14ac:dyDescent="0.15">
      <c r="A24" s="142">
        <v>6002612</v>
      </c>
      <c r="B24" s="142">
        <v>1</v>
      </c>
      <c r="C24" s="125">
        <f>-300000/2</f>
        <v>-150000</v>
      </c>
      <c r="D24" s="140">
        <f t="shared" si="3"/>
        <v>-150000.00000000003</v>
      </c>
      <c r="E24" s="141">
        <f t="shared" si="4"/>
        <v>0</v>
      </c>
      <c r="F24">
        <f t="shared" si="2"/>
        <v>-150000.00000000003</v>
      </c>
    </row>
    <row r="25" spans="1:6" x14ac:dyDescent="0.15">
      <c r="A25" s="142">
        <v>6002612</v>
      </c>
      <c r="B25" s="142">
        <v>1.2</v>
      </c>
      <c r="C25" s="125">
        <f>-360000/2</f>
        <v>-180000</v>
      </c>
      <c r="D25" s="140">
        <f t="shared" si="3"/>
        <v>-150000.00000000003</v>
      </c>
      <c r="E25" s="141">
        <f t="shared" si="4"/>
        <v>0</v>
      </c>
      <c r="F25">
        <f t="shared" si="2"/>
        <v>-180000.00000000003</v>
      </c>
    </row>
    <row r="26" spans="1:6" x14ac:dyDescent="0.15">
      <c r="A26" s="142">
        <v>6002612</v>
      </c>
      <c r="B26" s="142">
        <v>1.4</v>
      </c>
      <c r="C26" s="125">
        <f>-420000/2</f>
        <v>-210000</v>
      </c>
      <c r="D26" s="140">
        <f t="shared" si="3"/>
        <v>-149999.99999999985</v>
      </c>
      <c r="E26" s="141">
        <f t="shared" si="4"/>
        <v>0</v>
      </c>
      <c r="F26">
        <f t="shared" si="2"/>
        <v>-209999.9999999998</v>
      </c>
    </row>
    <row r="27" spans="1:6" x14ac:dyDescent="0.15">
      <c r="A27" s="142">
        <v>6002612</v>
      </c>
      <c r="B27" s="142">
        <v>1.6</v>
      </c>
      <c r="C27" s="125">
        <f>-480000/2</f>
        <v>-240000</v>
      </c>
      <c r="D27" s="140">
        <f t="shared" si="3"/>
        <v>-150000.00000000003</v>
      </c>
      <c r="E27" s="141">
        <f t="shared" si="4"/>
        <v>0</v>
      </c>
      <c r="F27">
        <f t="shared" si="2"/>
        <v>-240000.00000000006</v>
      </c>
    </row>
    <row r="28" spans="1:6" x14ac:dyDescent="0.15">
      <c r="A28" s="142">
        <v>6002612</v>
      </c>
      <c r="B28" s="142">
        <v>1.8</v>
      </c>
      <c r="C28" s="125">
        <f>-540000/2</f>
        <v>-270000</v>
      </c>
      <c r="D28" s="140">
        <f>(C29-C28)/(B29-B28)</f>
        <v>-1150000.0000000002</v>
      </c>
      <c r="E28" s="141">
        <f>C28-D28*B28</f>
        <v>1800000.0000000005</v>
      </c>
      <c r="F28">
        <f t="shared" si="2"/>
        <v>-270000</v>
      </c>
    </row>
    <row r="29" spans="1:6" x14ac:dyDescent="0.15">
      <c r="A29" s="142">
        <v>6002612</v>
      </c>
      <c r="B29" s="142">
        <v>2</v>
      </c>
      <c r="C29" s="125">
        <f>-1000000/2</f>
        <v>-500000</v>
      </c>
      <c r="D29" s="131">
        <v>0</v>
      </c>
      <c r="E29" s="132">
        <v>-10000000</v>
      </c>
      <c r="F29">
        <f t="shared" si="2"/>
        <v>-10000000</v>
      </c>
    </row>
    <row r="30" spans="1:6" x14ac:dyDescent="0.15">
      <c r="A30" s="139">
        <v>6002613</v>
      </c>
      <c r="B30" s="139">
        <v>0</v>
      </c>
      <c r="C30" s="125">
        <v>0</v>
      </c>
      <c r="D30" s="140">
        <f t="shared" ref="D30:D46" si="5">(C31-C30)/(B31-B30)</f>
        <v>-3000000</v>
      </c>
      <c r="E30" s="141">
        <f t="shared" ref="E30:E46" si="6">C30-D30*B30</f>
        <v>0</v>
      </c>
      <c r="F30">
        <f>B30*D30+E30</f>
        <v>0</v>
      </c>
    </row>
    <row r="31" spans="1:6" x14ac:dyDescent="0.15">
      <c r="A31" s="139">
        <v>6002613</v>
      </c>
      <c r="B31" s="139">
        <v>0.01</v>
      </c>
      <c r="C31" s="125">
        <v>-30000</v>
      </c>
      <c r="D31" s="140">
        <f t="shared" si="5"/>
        <v>-750000</v>
      </c>
      <c r="E31" s="141">
        <f t="shared" si="6"/>
        <v>-22500</v>
      </c>
      <c r="F31">
        <f t="shared" si="2"/>
        <v>-30000</v>
      </c>
    </row>
    <row r="32" spans="1:6" x14ac:dyDescent="0.15">
      <c r="A32" s="139">
        <v>6002613</v>
      </c>
      <c r="B32" s="139">
        <v>0.05</v>
      </c>
      <c r="C32" s="125">
        <v>-60000</v>
      </c>
      <c r="D32" s="140">
        <f t="shared" si="5"/>
        <v>-1200000</v>
      </c>
      <c r="E32" s="141">
        <f t="shared" si="6"/>
        <v>0</v>
      </c>
      <c r="F32">
        <f t="shared" si="2"/>
        <v>-60000</v>
      </c>
    </row>
    <row r="33" spans="1:6" x14ac:dyDescent="0.15">
      <c r="A33" s="139">
        <v>6002613</v>
      </c>
      <c r="B33" s="139">
        <v>0.1</v>
      </c>
      <c r="C33" s="125">
        <v>-120000</v>
      </c>
      <c r="D33" s="140">
        <f t="shared" si="5"/>
        <v>-1200000</v>
      </c>
      <c r="E33" s="141">
        <f t="shared" si="6"/>
        <v>0</v>
      </c>
      <c r="F33">
        <f t="shared" si="2"/>
        <v>-120000</v>
      </c>
    </row>
    <row r="34" spans="1:6" x14ac:dyDescent="0.15">
      <c r="A34" s="139">
        <v>6002613</v>
      </c>
      <c r="B34" s="139">
        <v>0.2</v>
      </c>
      <c r="C34" s="125">
        <v>-240000</v>
      </c>
      <c r="D34" s="140">
        <f t="shared" si="5"/>
        <v>-1200000</v>
      </c>
      <c r="E34" s="141">
        <f t="shared" si="6"/>
        <v>0</v>
      </c>
      <c r="F34">
        <f t="shared" si="2"/>
        <v>-240000</v>
      </c>
    </row>
    <row r="35" spans="1:6" x14ac:dyDescent="0.15">
      <c r="A35" s="139">
        <v>6002613</v>
      </c>
      <c r="B35" s="139">
        <v>0.4</v>
      </c>
      <c r="C35" s="125">
        <v>-480000</v>
      </c>
      <c r="D35" s="140">
        <f t="shared" si="5"/>
        <v>-1200000.0000000002</v>
      </c>
      <c r="E35" s="141">
        <f t="shared" si="6"/>
        <v>0</v>
      </c>
      <c r="F35">
        <f t="shared" si="2"/>
        <v>-480000.00000000012</v>
      </c>
    </row>
    <row r="36" spans="1:6" x14ac:dyDescent="0.15">
      <c r="A36" s="139">
        <v>6002613</v>
      </c>
      <c r="B36" s="139">
        <v>0.6</v>
      </c>
      <c r="C36" s="125">
        <v>-720000</v>
      </c>
      <c r="D36" s="140">
        <f t="shared" si="5"/>
        <v>-1199999.9999999995</v>
      </c>
      <c r="E36" s="141">
        <f t="shared" si="6"/>
        <v>0</v>
      </c>
      <c r="F36">
        <f t="shared" si="2"/>
        <v>-719999.99999999965</v>
      </c>
    </row>
    <row r="37" spans="1:6" x14ac:dyDescent="0.15">
      <c r="A37" s="139">
        <v>6002613</v>
      </c>
      <c r="B37" s="139">
        <v>0.8</v>
      </c>
      <c r="C37" s="125">
        <v>-960000</v>
      </c>
      <c r="D37" s="140">
        <f t="shared" si="5"/>
        <v>-1200000.0000000002</v>
      </c>
      <c r="E37" s="141">
        <f t="shared" si="6"/>
        <v>0</v>
      </c>
      <c r="F37">
        <f t="shared" si="2"/>
        <v>-960000.00000000023</v>
      </c>
    </row>
    <row r="38" spans="1:6" x14ac:dyDescent="0.15">
      <c r="A38" s="139">
        <v>6002613</v>
      </c>
      <c r="B38" s="139">
        <v>1</v>
      </c>
      <c r="C38" s="125">
        <v>-1200000</v>
      </c>
      <c r="D38" s="140">
        <f t="shared" si="5"/>
        <v>-1200000.0000000002</v>
      </c>
      <c r="E38" s="141">
        <f t="shared" si="6"/>
        <v>0</v>
      </c>
      <c r="F38">
        <f t="shared" si="2"/>
        <v>-1200000.0000000002</v>
      </c>
    </row>
    <row r="39" spans="1:6" x14ac:dyDescent="0.15">
      <c r="A39" s="139">
        <v>6002613</v>
      </c>
      <c r="B39" s="139">
        <v>1.2</v>
      </c>
      <c r="C39" s="125">
        <v>-1440000</v>
      </c>
      <c r="D39" s="140">
        <f t="shared" si="5"/>
        <v>-1200000.0000000002</v>
      </c>
      <c r="E39" s="141">
        <f t="shared" si="6"/>
        <v>0</v>
      </c>
      <c r="F39">
        <f t="shared" si="2"/>
        <v>-1440000.0000000002</v>
      </c>
    </row>
    <row r="40" spans="1:6" x14ac:dyDescent="0.15">
      <c r="A40" s="139">
        <v>6002613</v>
      </c>
      <c r="B40" s="139">
        <v>1.4</v>
      </c>
      <c r="C40" s="125">
        <v>-1680000</v>
      </c>
      <c r="D40" s="140">
        <f t="shared" si="5"/>
        <v>-1199999.9999999988</v>
      </c>
      <c r="E40" s="141">
        <f t="shared" si="6"/>
        <v>0</v>
      </c>
      <c r="F40">
        <f t="shared" si="2"/>
        <v>-1679999.9999999984</v>
      </c>
    </row>
    <row r="41" spans="1:6" x14ac:dyDescent="0.15">
      <c r="A41" s="139">
        <v>6002613</v>
      </c>
      <c r="B41" s="139">
        <v>1.6</v>
      </c>
      <c r="C41" s="125">
        <v>-1920000</v>
      </c>
      <c r="D41" s="140">
        <f t="shared" si="5"/>
        <v>-1200000.0000000002</v>
      </c>
      <c r="E41" s="141">
        <f t="shared" si="6"/>
        <v>0</v>
      </c>
      <c r="F41">
        <f t="shared" si="2"/>
        <v>-1920000.0000000005</v>
      </c>
    </row>
    <row r="42" spans="1:6" x14ac:dyDescent="0.15">
      <c r="A42" s="139">
        <v>6002613</v>
      </c>
      <c r="B42" s="139">
        <v>1.8</v>
      </c>
      <c r="C42" s="125">
        <v>-2160000</v>
      </c>
      <c r="D42" s="140">
        <f t="shared" si="5"/>
        <v>-1200000.0000000002</v>
      </c>
      <c r="E42" s="141">
        <f t="shared" si="6"/>
        <v>0</v>
      </c>
      <c r="F42">
        <f t="shared" si="2"/>
        <v>-2160000.0000000005</v>
      </c>
    </row>
    <row r="43" spans="1:6" x14ac:dyDescent="0.15">
      <c r="A43" s="139">
        <v>6002613</v>
      </c>
      <c r="B43" s="139">
        <v>2</v>
      </c>
      <c r="C43" s="125">
        <v>-2400000</v>
      </c>
      <c r="D43" s="140">
        <f t="shared" si="5"/>
        <v>-1199999.9999999988</v>
      </c>
      <c r="E43" s="141">
        <f t="shared" si="6"/>
        <v>0</v>
      </c>
      <c r="F43">
        <f t="shared" si="2"/>
        <v>-2399999.9999999977</v>
      </c>
    </row>
    <row r="44" spans="1:6" x14ac:dyDescent="0.15">
      <c r="A44" s="139">
        <v>6002613</v>
      </c>
      <c r="B44" s="139">
        <v>2.2000000000000002</v>
      </c>
      <c r="C44" s="125">
        <v>-2640000</v>
      </c>
      <c r="D44" s="140">
        <f t="shared" si="5"/>
        <v>-1200000.0000000016</v>
      </c>
      <c r="E44" s="141">
        <f t="shared" si="6"/>
        <v>3.7252902984619141E-9</v>
      </c>
      <c r="F44">
        <f t="shared" si="2"/>
        <v>-2640000</v>
      </c>
    </row>
    <row r="45" spans="1:6" x14ac:dyDescent="0.15">
      <c r="A45" s="139">
        <v>6002613</v>
      </c>
      <c r="B45" s="139">
        <v>2.4</v>
      </c>
      <c r="C45" s="125">
        <v>-2880000</v>
      </c>
      <c r="D45" s="140">
        <f t="shared" si="5"/>
        <v>-1199999.9999999988</v>
      </c>
      <c r="E45" s="141">
        <f t="shared" si="6"/>
        <v>0</v>
      </c>
      <c r="F45">
        <f t="shared" si="2"/>
        <v>-2879999.9999999972</v>
      </c>
    </row>
    <row r="46" spans="1:6" x14ac:dyDescent="0.15">
      <c r="A46" s="139">
        <v>6002613</v>
      </c>
      <c r="B46" s="139">
        <v>2.6</v>
      </c>
      <c r="C46" s="125">
        <v>-3120000</v>
      </c>
      <c r="D46" s="140">
        <f t="shared" si="5"/>
        <v>-1200000.0000000016</v>
      </c>
      <c r="E46" s="141">
        <f t="shared" si="6"/>
        <v>4.1909515857696533E-9</v>
      </c>
      <c r="F46">
        <f t="shared" si="2"/>
        <v>-3120000</v>
      </c>
    </row>
    <row r="47" spans="1:6" x14ac:dyDescent="0.15">
      <c r="A47" s="139">
        <v>6002613</v>
      </c>
      <c r="B47" s="139">
        <v>2.8</v>
      </c>
      <c r="C47" s="125">
        <v>-3360000</v>
      </c>
      <c r="D47" s="140">
        <f>(C48-C47)/(B48-B47)</f>
        <v>-33199999.99999997</v>
      </c>
      <c r="E47" s="141">
        <f>C47-D47*B47</f>
        <v>89599999.999999911</v>
      </c>
      <c r="F47">
        <f t="shared" si="2"/>
        <v>-3360000</v>
      </c>
    </row>
    <row r="48" spans="1:6" x14ac:dyDescent="0.15">
      <c r="A48" s="139">
        <v>6002613</v>
      </c>
      <c r="B48" s="139">
        <v>3</v>
      </c>
      <c r="C48" s="125">
        <v>-10000000</v>
      </c>
      <c r="D48" s="128">
        <v>0</v>
      </c>
      <c r="E48" s="129">
        <v>-10000000</v>
      </c>
      <c r="F48">
        <f t="shared" si="2"/>
        <v>-10000000</v>
      </c>
    </row>
    <row r="49" spans="1:6" x14ac:dyDescent="0.15">
      <c r="A49" s="142">
        <v>6002614</v>
      </c>
      <c r="B49" s="142">
        <v>0</v>
      </c>
      <c r="C49" s="125">
        <v>0</v>
      </c>
      <c r="D49" s="140">
        <f t="shared" ref="D49:D60" si="7">(C50-C49)/(B50-B49)</f>
        <v>-3000000</v>
      </c>
      <c r="E49" s="141">
        <f t="shared" ref="E49:E60" si="8">C49-D49*B49</f>
        <v>0</v>
      </c>
      <c r="F49">
        <f>B49*D49+E49</f>
        <v>0</v>
      </c>
    </row>
    <row r="50" spans="1:6" x14ac:dyDescent="0.15">
      <c r="A50" s="142">
        <v>6002614</v>
      </c>
      <c r="B50" s="142">
        <v>0.01</v>
      </c>
      <c r="C50" s="125">
        <v>-30000</v>
      </c>
      <c r="D50" s="140">
        <f t="shared" si="7"/>
        <v>-750000</v>
      </c>
      <c r="E50" s="141">
        <f t="shared" si="8"/>
        <v>-22500</v>
      </c>
      <c r="F50">
        <f t="shared" si="2"/>
        <v>-30000</v>
      </c>
    </row>
    <row r="51" spans="1:6" x14ac:dyDescent="0.15">
      <c r="A51" s="142">
        <v>6002614</v>
      </c>
      <c r="B51" s="142">
        <v>0.05</v>
      </c>
      <c r="C51" s="125">
        <v>-60000</v>
      </c>
      <c r="D51" s="140">
        <f t="shared" si="7"/>
        <v>-1200000</v>
      </c>
      <c r="E51" s="141">
        <f t="shared" si="8"/>
        <v>0</v>
      </c>
      <c r="F51">
        <f t="shared" si="2"/>
        <v>-60000</v>
      </c>
    </row>
    <row r="52" spans="1:6" x14ac:dyDescent="0.15">
      <c r="A52" s="142">
        <v>6002614</v>
      </c>
      <c r="B52" s="142">
        <v>0.1</v>
      </c>
      <c r="C52" s="125">
        <v>-120000</v>
      </c>
      <c r="D52" s="140">
        <f t="shared" si="7"/>
        <v>-1200000</v>
      </c>
      <c r="E52" s="141">
        <f t="shared" si="8"/>
        <v>0</v>
      </c>
      <c r="F52">
        <f t="shared" si="2"/>
        <v>-120000</v>
      </c>
    </row>
    <row r="53" spans="1:6" x14ac:dyDescent="0.15">
      <c r="A53" s="142">
        <v>6002614</v>
      </c>
      <c r="B53" s="142">
        <v>0.2</v>
      </c>
      <c r="C53" s="125">
        <v>-240000</v>
      </c>
      <c r="D53" s="140">
        <f t="shared" si="7"/>
        <v>-1200000</v>
      </c>
      <c r="E53" s="141">
        <f t="shared" si="8"/>
        <v>0</v>
      </c>
      <c r="F53">
        <f t="shared" si="2"/>
        <v>-240000</v>
      </c>
    </row>
    <row r="54" spans="1:6" x14ac:dyDescent="0.15">
      <c r="A54" s="142">
        <v>6002614</v>
      </c>
      <c r="B54" s="142">
        <v>0.4</v>
      </c>
      <c r="C54" s="125">
        <v>-480000</v>
      </c>
      <c r="D54" s="140">
        <f t="shared" si="7"/>
        <v>-1200000.0000000002</v>
      </c>
      <c r="E54" s="141">
        <f t="shared" si="8"/>
        <v>0</v>
      </c>
      <c r="F54">
        <f t="shared" si="2"/>
        <v>-480000.00000000012</v>
      </c>
    </row>
    <row r="55" spans="1:6" x14ac:dyDescent="0.15">
      <c r="A55" s="142">
        <v>6002614</v>
      </c>
      <c r="B55" s="142">
        <v>0.6</v>
      </c>
      <c r="C55" s="125">
        <v>-720000</v>
      </c>
      <c r="D55" s="140">
        <f t="shared" si="7"/>
        <v>-1199999.9999999995</v>
      </c>
      <c r="E55" s="141">
        <f t="shared" si="8"/>
        <v>0</v>
      </c>
      <c r="F55">
        <f t="shared" si="2"/>
        <v>-719999.99999999965</v>
      </c>
    </row>
    <row r="56" spans="1:6" x14ac:dyDescent="0.15">
      <c r="A56" s="142">
        <v>6002614</v>
      </c>
      <c r="B56" s="142">
        <v>0.8</v>
      </c>
      <c r="C56" s="125">
        <v>-960000</v>
      </c>
      <c r="D56" s="140">
        <f t="shared" si="7"/>
        <v>-1200000.0000000002</v>
      </c>
      <c r="E56" s="141">
        <f t="shared" si="8"/>
        <v>0</v>
      </c>
      <c r="F56">
        <f t="shared" si="2"/>
        <v>-960000.00000000023</v>
      </c>
    </row>
    <row r="57" spans="1:6" x14ac:dyDescent="0.15">
      <c r="A57" s="142">
        <v>6002614</v>
      </c>
      <c r="B57" s="142">
        <v>1</v>
      </c>
      <c r="C57" s="125">
        <v>-1200000</v>
      </c>
      <c r="D57" s="140">
        <f t="shared" si="7"/>
        <v>-1200000.0000000002</v>
      </c>
      <c r="E57" s="141">
        <f t="shared" si="8"/>
        <v>0</v>
      </c>
      <c r="F57">
        <f t="shared" si="2"/>
        <v>-1200000.0000000002</v>
      </c>
    </row>
    <row r="58" spans="1:6" x14ac:dyDescent="0.15">
      <c r="A58" s="142">
        <v>6002614</v>
      </c>
      <c r="B58" s="142">
        <v>1.2</v>
      </c>
      <c r="C58" s="125">
        <v>-1440000</v>
      </c>
      <c r="D58" s="140">
        <f t="shared" si="7"/>
        <v>-1200000.0000000002</v>
      </c>
      <c r="E58" s="141">
        <f t="shared" si="8"/>
        <v>0</v>
      </c>
      <c r="F58">
        <f t="shared" si="2"/>
        <v>-1440000.0000000002</v>
      </c>
    </row>
    <row r="59" spans="1:6" x14ac:dyDescent="0.15">
      <c r="A59" s="142">
        <v>6002614</v>
      </c>
      <c r="B59" s="142">
        <v>1.4</v>
      </c>
      <c r="C59" s="125">
        <v>-1680000</v>
      </c>
      <c r="D59" s="140">
        <f t="shared" si="7"/>
        <v>-1199999.9999999988</v>
      </c>
      <c r="E59" s="141">
        <f t="shared" si="8"/>
        <v>0</v>
      </c>
      <c r="F59">
        <f t="shared" si="2"/>
        <v>-1679999.9999999984</v>
      </c>
    </row>
    <row r="60" spans="1:6" x14ac:dyDescent="0.15">
      <c r="A60" s="142">
        <v>6002614</v>
      </c>
      <c r="B60" s="142">
        <v>1.6</v>
      </c>
      <c r="C60" s="125">
        <v>-1920000</v>
      </c>
      <c r="D60" s="140">
        <f t="shared" si="7"/>
        <v>-1200000.0000000002</v>
      </c>
      <c r="E60" s="141">
        <f t="shared" si="8"/>
        <v>0</v>
      </c>
      <c r="F60">
        <f t="shared" si="2"/>
        <v>-1920000.0000000005</v>
      </c>
    </row>
    <row r="61" spans="1:6" x14ac:dyDescent="0.15">
      <c r="A61" s="142">
        <v>6002614</v>
      </c>
      <c r="B61" s="142">
        <v>1.8</v>
      </c>
      <c r="C61" s="125">
        <v>-2160000</v>
      </c>
      <c r="D61" s="140">
        <f>(C62-C61)/(B62-B61)</f>
        <v>-39200000.000000007</v>
      </c>
      <c r="E61" s="141">
        <f>C61-D61*B61</f>
        <v>68400000.000000015</v>
      </c>
      <c r="F61">
        <f t="shared" si="2"/>
        <v>-2160000</v>
      </c>
    </row>
    <row r="62" spans="1:6" x14ac:dyDescent="0.15">
      <c r="A62" s="142">
        <v>6002614</v>
      </c>
      <c r="B62" s="142">
        <v>2</v>
      </c>
      <c r="C62" s="125">
        <v>-10000000</v>
      </c>
      <c r="D62" s="131">
        <v>0</v>
      </c>
      <c r="E62" s="132">
        <v>-10000000</v>
      </c>
      <c r="F62">
        <f t="shared" si="2"/>
        <v>-10000000</v>
      </c>
    </row>
    <row r="63" spans="1:6" x14ac:dyDescent="0.15">
      <c r="A63" s="139">
        <v>6002615</v>
      </c>
      <c r="B63" s="139">
        <v>0</v>
      </c>
      <c r="C63" s="125">
        <v>0</v>
      </c>
      <c r="D63" s="140">
        <f t="shared" ref="D63:D79" si="9">(C64-C63)/(B64-B63)</f>
        <v>-3000000</v>
      </c>
      <c r="E63" s="141">
        <f t="shared" ref="E63:E79" si="10">C63-D63*B63</f>
        <v>0</v>
      </c>
      <c r="F63">
        <f t="shared" si="2"/>
        <v>0</v>
      </c>
    </row>
    <row r="64" spans="1:6" x14ac:dyDescent="0.15">
      <c r="A64" s="139">
        <v>6002615</v>
      </c>
      <c r="B64" s="139">
        <v>0.01</v>
      </c>
      <c r="C64" s="125">
        <v>-30000</v>
      </c>
      <c r="D64" s="140">
        <f t="shared" si="9"/>
        <v>-750000</v>
      </c>
      <c r="E64" s="141">
        <f t="shared" si="10"/>
        <v>-22500</v>
      </c>
      <c r="F64">
        <f t="shared" si="2"/>
        <v>-30000</v>
      </c>
    </row>
    <row r="65" spans="1:6" x14ac:dyDescent="0.15">
      <c r="A65" s="139">
        <v>6002615</v>
      </c>
      <c r="B65" s="139">
        <v>0.05</v>
      </c>
      <c r="C65" s="125">
        <v>-60000</v>
      </c>
      <c r="D65" s="140">
        <f t="shared" si="9"/>
        <v>-1200000</v>
      </c>
      <c r="E65" s="141">
        <f t="shared" si="10"/>
        <v>0</v>
      </c>
      <c r="F65">
        <f t="shared" si="2"/>
        <v>-60000</v>
      </c>
    </row>
    <row r="66" spans="1:6" x14ac:dyDescent="0.15">
      <c r="A66" s="139">
        <v>6002615</v>
      </c>
      <c r="B66" s="139">
        <v>0.1</v>
      </c>
      <c r="C66" s="125">
        <v>-120000</v>
      </c>
      <c r="D66" s="140">
        <f t="shared" si="9"/>
        <v>-1200000</v>
      </c>
      <c r="E66" s="141">
        <f t="shared" si="10"/>
        <v>0</v>
      </c>
      <c r="F66">
        <f t="shared" si="2"/>
        <v>-120000</v>
      </c>
    </row>
    <row r="67" spans="1:6" x14ac:dyDescent="0.15">
      <c r="A67" s="139">
        <v>6002615</v>
      </c>
      <c r="B67" s="139">
        <v>0.2</v>
      </c>
      <c r="C67" s="125">
        <v>-240000</v>
      </c>
      <c r="D67" s="140">
        <f t="shared" si="9"/>
        <v>-1200000</v>
      </c>
      <c r="E67" s="141">
        <f t="shared" si="10"/>
        <v>0</v>
      </c>
      <c r="F67">
        <f t="shared" si="2"/>
        <v>-240000</v>
      </c>
    </row>
    <row r="68" spans="1:6" x14ac:dyDescent="0.15">
      <c r="A68" s="139">
        <v>6002615</v>
      </c>
      <c r="B68" s="139">
        <v>0.4</v>
      </c>
      <c r="C68" s="125">
        <v>-480000</v>
      </c>
      <c r="D68" s="140">
        <f t="shared" si="9"/>
        <v>-1200000.0000000002</v>
      </c>
      <c r="E68" s="141">
        <f t="shared" si="10"/>
        <v>0</v>
      </c>
      <c r="F68">
        <f t="shared" si="2"/>
        <v>-480000.00000000012</v>
      </c>
    </row>
    <row r="69" spans="1:6" x14ac:dyDescent="0.15">
      <c r="A69" s="139">
        <v>6002615</v>
      </c>
      <c r="B69" s="139">
        <v>0.6</v>
      </c>
      <c r="C69" s="125">
        <v>-720000</v>
      </c>
      <c r="D69" s="140">
        <f t="shared" si="9"/>
        <v>-1199999.9999999995</v>
      </c>
      <c r="E69" s="141">
        <f t="shared" si="10"/>
        <v>0</v>
      </c>
      <c r="F69">
        <f t="shared" si="2"/>
        <v>-719999.99999999965</v>
      </c>
    </row>
    <row r="70" spans="1:6" x14ac:dyDescent="0.15">
      <c r="A70" s="139">
        <v>6002615</v>
      </c>
      <c r="B70" s="139">
        <v>0.8</v>
      </c>
      <c r="C70" s="125">
        <v>-960000</v>
      </c>
      <c r="D70" s="140">
        <f t="shared" si="9"/>
        <v>-1200000.0000000002</v>
      </c>
      <c r="E70" s="141">
        <f t="shared" si="10"/>
        <v>0</v>
      </c>
      <c r="F70">
        <f t="shared" si="2"/>
        <v>-960000.00000000023</v>
      </c>
    </row>
    <row r="71" spans="1:6" x14ac:dyDescent="0.15">
      <c r="A71" s="139">
        <v>6002615</v>
      </c>
      <c r="B71" s="139">
        <v>1</v>
      </c>
      <c r="C71" s="125">
        <v>-1200000</v>
      </c>
      <c r="D71" s="140">
        <f t="shared" si="9"/>
        <v>-1200000.0000000002</v>
      </c>
      <c r="E71" s="141">
        <f t="shared" si="10"/>
        <v>0</v>
      </c>
      <c r="F71">
        <f t="shared" si="2"/>
        <v>-1200000.0000000002</v>
      </c>
    </row>
    <row r="72" spans="1:6" x14ac:dyDescent="0.15">
      <c r="A72" s="139">
        <v>6002615</v>
      </c>
      <c r="B72" s="139">
        <v>1.2</v>
      </c>
      <c r="C72" s="125">
        <v>-1440000</v>
      </c>
      <c r="D72" s="140">
        <f t="shared" si="9"/>
        <v>-1200000.0000000002</v>
      </c>
      <c r="E72" s="141">
        <f t="shared" si="10"/>
        <v>0</v>
      </c>
      <c r="F72">
        <f t="shared" ref="F72:F76" si="11">B72*D72+E72</f>
        <v>-1440000.0000000002</v>
      </c>
    </row>
    <row r="73" spans="1:6" x14ac:dyDescent="0.15">
      <c r="A73" s="139">
        <v>6002615</v>
      </c>
      <c r="B73" s="139">
        <v>1.4</v>
      </c>
      <c r="C73" s="125">
        <v>-1680000</v>
      </c>
      <c r="D73" s="140">
        <f t="shared" si="9"/>
        <v>-1199999.9999999988</v>
      </c>
      <c r="E73" s="141">
        <f t="shared" si="10"/>
        <v>0</v>
      </c>
      <c r="F73">
        <f t="shared" si="11"/>
        <v>-1679999.9999999984</v>
      </c>
    </row>
    <row r="74" spans="1:6" x14ac:dyDescent="0.15">
      <c r="A74" s="139">
        <v>6002615</v>
      </c>
      <c r="B74" s="139">
        <v>1.6</v>
      </c>
      <c r="C74" s="125">
        <v>-1920000</v>
      </c>
      <c r="D74" s="140">
        <f t="shared" si="9"/>
        <v>-1200000.0000000002</v>
      </c>
      <c r="E74" s="141">
        <f t="shared" si="10"/>
        <v>0</v>
      </c>
      <c r="F74">
        <f t="shared" si="11"/>
        <v>-1920000.0000000005</v>
      </c>
    </row>
    <row r="75" spans="1:6" x14ac:dyDescent="0.15">
      <c r="A75" s="139">
        <v>6002615</v>
      </c>
      <c r="B75" s="139">
        <v>1.8</v>
      </c>
      <c r="C75" s="125">
        <v>-2160000</v>
      </c>
      <c r="D75" s="140">
        <f t="shared" si="9"/>
        <v>-1200000.0000000002</v>
      </c>
      <c r="E75" s="141">
        <f t="shared" si="10"/>
        <v>0</v>
      </c>
      <c r="F75">
        <f t="shared" si="11"/>
        <v>-2160000.0000000005</v>
      </c>
    </row>
    <row r="76" spans="1:6" x14ac:dyDescent="0.15">
      <c r="A76" s="139">
        <v>6002615</v>
      </c>
      <c r="B76" s="139">
        <v>2</v>
      </c>
      <c r="C76" s="125">
        <v>-2400000</v>
      </c>
      <c r="D76" s="140">
        <f t="shared" si="9"/>
        <v>-1199999.9999999988</v>
      </c>
      <c r="E76" s="141">
        <f t="shared" si="10"/>
        <v>0</v>
      </c>
      <c r="F76">
        <f t="shared" si="11"/>
        <v>-2399999.9999999977</v>
      </c>
    </row>
    <row r="77" spans="1:6" x14ac:dyDescent="0.15">
      <c r="A77" s="139">
        <v>6002615</v>
      </c>
      <c r="B77" s="139">
        <v>2.2000000000000002</v>
      </c>
      <c r="C77" s="125">
        <v>-2640000</v>
      </c>
      <c r="D77" s="140">
        <f t="shared" si="9"/>
        <v>-1200000.0000000016</v>
      </c>
      <c r="E77" s="141">
        <f t="shared" si="10"/>
        <v>3.7252902984619141E-9</v>
      </c>
      <c r="F77">
        <f>B77*D77+E77</f>
        <v>-2640000</v>
      </c>
    </row>
    <row r="78" spans="1:6" x14ac:dyDescent="0.15">
      <c r="A78" s="139">
        <v>6002615</v>
      </c>
      <c r="B78" s="139">
        <v>2.4</v>
      </c>
      <c r="C78" s="125">
        <v>-2880000</v>
      </c>
      <c r="D78" s="140">
        <f t="shared" si="9"/>
        <v>-1199999.9999999988</v>
      </c>
      <c r="E78" s="141">
        <f t="shared" si="10"/>
        <v>0</v>
      </c>
      <c r="F78">
        <f>B78*D78+E78</f>
        <v>-2879999.9999999972</v>
      </c>
    </row>
    <row r="79" spans="1:6" x14ac:dyDescent="0.15">
      <c r="A79" s="139">
        <v>6002615</v>
      </c>
      <c r="B79" s="139">
        <v>2.6</v>
      </c>
      <c r="C79" s="125">
        <v>-3120000</v>
      </c>
      <c r="D79" s="140">
        <f t="shared" si="9"/>
        <v>-1200000.0000000016</v>
      </c>
      <c r="E79" s="141">
        <f t="shared" si="10"/>
        <v>4.1909515857696533E-9</v>
      </c>
      <c r="F79">
        <f t="shared" ref="F79:F81" si="12">B79*D79+E79</f>
        <v>-3120000</v>
      </c>
    </row>
    <row r="80" spans="1:6" x14ac:dyDescent="0.15">
      <c r="A80" s="139">
        <v>6002615</v>
      </c>
      <c r="B80" s="139">
        <v>2.8</v>
      </c>
      <c r="C80" s="125">
        <v>-3360000</v>
      </c>
      <c r="D80" s="140">
        <f>(C81-C80)/(B81-B80)</f>
        <v>-33199999.99999997</v>
      </c>
      <c r="E80" s="141">
        <f>C80-D80*B80</f>
        <v>89599999.999999911</v>
      </c>
      <c r="F80">
        <f t="shared" si="12"/>
        <v>-3360000</v>
      </c>
    </row>
    <row r="81" spans="1:6" x14ac:dyDescent="0.15">
      <c r="A81" s="139">
        <v>6002615</v>
      </c>
      <c r="B81" s="139">
        <v>3</v>
      </c>
      <c r="C81" s="125">
        <v>-10000000</v>
      </c>
      <c r="D81" s="128">
        <v>0</v>
      </c>
      <c r="E81" s="129">
        <v>-10000000</v>
      </c>
      <c r="F81">
        <f t="shared" si="12"/>
        <v>-10000000</v>
      </c>
    </row>
  </sheetData>
  <phoneticPr fontId="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9"/>
  <sheetViews>
    <sheetView workbookViewId="0">
      <selection activeCell="D3" sqref="D3"/>
    </sheetView>
  </sheetViews>
  <sheetFormatPr baseColWidth="12" defaultRowHeight="15" x14ac:dyDescent="0.15"/>
  <cols>
    <col min="7" max="7" width="34.5" bestFit="1" customWidth="1"/>
  </cols>
  <sheetData>
    <row r="1" spans="1:7" x14ac:dyDescent="0.15">
      <c r="A1" s="56" t="s">
        <v>262</v>
      </c>
      <c r="B1" s="56" t="s">
        <v>263</v>
      </c>
      <c r="C1" s="56" t="s">
        <v>264</v>
      </c>
      <c r="D1" s="56" t="s">
        <v>265</v>
      </c>
      <c r="E1" s="107" t="s">
        <v>266</v>
      </c>
      <c r="F1" s="107" t="s">
        <v>267</v>
      </c>
      <c r="G1" s="107" t="s">
        <v>268</v>
      </c>
    </row>
    <row r="2" spans="1:7" x14ac:dyDescent="0.15">
      <c r="A2" s="115">
        <v>2601</v>
      </c>
      <c r="B2" s="115">
        <v>60026</v>
      </c>
      <c r="C2" s="115">
        <v>1</v>
      </c>
      <c r="D2" s="115">
        <v>10000000</v>
      </c>
      <c r="E2" s="115" t="s">
        <v>349</v>
      </c>
      <c r="F2" s="115" t="s">
        <v>350</v>
      </c>
      <c r="G2" s="115" t="s">
        <v>351</v>
      </c>
    </row>
    <row r="3" spans="1:7" x14ac:dyDescent="0.15">
      <c r="A3" s="115">
        <v>2602</v>
      </c>
      <c r="B3" s="115">
        <v>60026</v>
      </c>
      <c r="C3" s="115">
        <v>1</v>
      </c>
      <c r="D3" s="115">
        <v>8500000</v>
      </c>
      <c r="E3" s="115" t="s">
        <v>349</v>
      </c>
      <c r="F3" s="115" t="s">
        <v>352</v>
      </c>
      <c r="G3" s="115" t="s">
        <v>353</v>
      </c>
    </row>
    <row r="4" spans="1:7" x14ac:dyDescent="0.15">
      <c r="A4" s="115">
        <v>2603</v>
      </c>
      <c r="B4" s="115">
        <v>60026</v>
      </c>
      <c r="C4" s="115">
        <v>1</v>
      </c>
      <c r="D4" s="115">
        <v>7000000</v>
      </c>
      <c r="E4" s="115" t="s">
        <v>349</v>
      </c>
      <c r="F4" s="115" t="s">
        <v>354</v>
      </c>
      <c r="G4" s="115" t="s">
        <v>355</v>
      </c>
    </row>
    <row r="5" spans="1:7" x14ac:dyDescent="0.15">
      <c r="A5" s="115">
        <v>2604</v>
      </c>
      <c r="B5" s="115">
        <v>60026</v>
      </c>
      <c r="C5" s="115">
        <v>1</v>
      </c>
      <c r="D5" s="115">
        <v>5500000</v>
      </c>
      <c r="E5" s="115" t="s">
        <v>349</v>
      </c>
      <c r="F5" s="115" t="s">
        <v>356</v>
      </c>
      <c r="G5" s="115" t="s">
        <v>357</v>
      </c>
    </row>
    <row r="6" spans="1:7" x14ac:dyDescent="0.15">
      <c r="A6" s="115">
        <v>2605</v>
      </c>
      <c r="B6" s="115">
        <v>60026</v>
      </c>
      <c r="C6" s="115">
        <v>1</v>
      </c>
      <c r="D6" s="115">
        <v>4000000</v>
      </c>
      <c r="E6" s="115" t="s">
        <v>349</v>
      </c>
      <c r="F6" s="115" t="s">
        <v>358</v>
      </c>
      <c r="G6" s="115" t="s">
        <v>359</v>
      </c>
    </row>
    <row r="7" spans="1:7" x14ac:dyDescent="0.15">
      <c r="A7" s="115">
        <v>2606</v>
      </c>
      <c r="B7" s="115">
        <v>60026</v>
      </c>
      <c r="C7" s="115">
        <v>1</v>
      </c>
      <c r="D7" s="115">
        <v>3000000</v>
      </c>
      <c r="E7" s="115" t="s">
        <v>349</v>
      </c>
      <c r="F7" s="115" t="s">
        <v>360</v>
      </c>
      <c r="G7" s="115" t="s">
        <v>361</v>
      </c>
    </row>
    <row r="8" spans="1:7" x14ac:dyDescent="0.15">
      <c r="A8" s="115">
        <v>2607</v>
      </c>
      <c r="B8" s="115">
        <v>60026</v>
      </c>
      <c r="C8" s="115">
        <v>1</v>
      </c>
      <c r="D8" s="115">
        <v>2000000</v>
      </c>
      <c r="E8" s="115" t="s">
        <v>349</v>
      </c>
      <c r="F8" s="115" t="s">
        <v>362</v>
      </c>
      <c r="G8" s="115" t="s">
        <v>363</v>
      </c>
    </row>
    <row r="9" spans="1:7" x14ac:dyDescent="0.15">
      <c r="A9" s="115">
        <v>2608</v>
      </c>
      <c r="B9" s="115">
        <v>60026</v>
      </c>
      <c r="C9" s="115">
        <v>1</v>
      </c>
      <c r="D9" s="115">
        <v>0</v>
      </c>
      <c r="E9" s="115" t="s">
        <v>349</v>
      </c>
      <c r="F9" s="115" t="s">
        <v>364</v>
      </c>
      <c r="G9" s="115" t="s">
        <v>365</v>
      </c>
    </row>
  </sheetData>
  <phoneticPr fontId="8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FF0000"/>
  </sheetPr>
  <dimension ref="A1:T19"/>
  <sheetViews>
    <sheetView zoomScale="106" workbookViewId="0">
      <selection activeCell="C4" sqref="C4"/>
    </sheetView>
  </sheetViews>
  <sheetFormatPr baseColWidth="12" defaultRowHeight="15" x14ac:dyDescent="0.15"/>
  <cols>
    <col min="1" max="1" width="11.83203125" bestFit="1" customWidth="1"/>
    <col min="2" max="3" width="8" bestFit="1" customWidth="1"/>
    <col min="4" max="4" width="10.1640625" bestFit="1" customWidth="1"/>
    <col min="5" max="5" width="11.83203125" bestFit="1" customWidth="1"/>
    <col min="6" max="6" width="7.1640625" bestFit="1" customWidth="1"/>
    <col min="7" max="7" width="7.6640625" bestFit="1" customWidth="1"/>
    <col min="8" max="8" width="8" bestFit="1" customWidth="1"/>
    <col min="9" max="9" width="6.33203125" bestFit="1" customWidth="1"/>
    <col min="10" max="10" width="9" bestFit="1" customWidth="1"/>
    <col min="11" max="11" width="7.5" bestFit="1" customWidth="1"/>
    <col min="12" max="12" width="10.1640625" bestFit="1" customWidth="1"/>
    <col min="13" max="13" width="4.5" bestFit="1" customWidth="1"/>
    <col min="14" max="14" width="7.6640625" bestFit="1" customWidth="1"/>
    <col min="15" max="15" width="3.83203125" bestFit="1" customWidth="1"/>
    <col min="16" max="16" width="7.33203125" bestFit="1" customWidth="1"/>
    <col min="17" max="17" width="18.1640625" bestFit="1" customWidth="1"/>
    <col min="18" max="18" width="25.1640625" bestFit="1" customWidth="1"/>
    <col min="19" max="19" width="12.33203125" bestFit="1" customWidth="1"/>
    <col min="20" max="20" width="7.5" bestFit="1" customWidth="1"/>
  </cols>
  <sheetData>
    <row r="1" spans="1:20" x14ac:dyDescent="0.15">
      <c r="A1" s="56" t="s">
        <v>299</v>
      </c>
      <c r="B1" s="56" t="s">
        <v>300</v>
      </c>
      <c r="C1" s="56" t="s">
        <v>301</v>
      </c>
      <c r="D1" s="56" t="s">
        <v>302</v>
      </c>
      <c r="E1" s="107" t="s">
        <v>303</v>
      </c>
      <c r="F1" s="100" t="s">
        <v>304</v>
      </c>
      <c r="G1" s="100" t="s">
        <v>305</v>
      </c>
      <c r="H1" s="100" t="s">
        <v>306</v>
      </c>
      <c r="I1" s="100" t="s">
        <v>307</v>
      </c>
      <c r="J1" s="100" t="s">
        <v>308</v>
      </c>
      <c r="K1" s="101" t="s">
        <v>309</v>
      </c>
      <c r="L1" s="101" t="s">
        <v>310</v>
      </c>
      <c r="M1" s="101" t="s">
        <v>311</v>
      </c>
      <c r="N1" s="101" t="s">
        <v>312</v>
      </c>
      <c r="O1" s="101" t="s">
        <v>313</v>
      </c>
      <c r="P1" s="101" t="s">
        <v>314</v>
      </c>
      <c r="Q1" s="101" t="s">
        <v>315</v>
      </c>
      <c r="R1" s="101" t="s">
        <v>316</v>
      </c>
      <c r="S1" s="101" t="s">
        <v>317</v>
      </c>
      <c r="T1" s="101" t="s">
        <v>318</v>
      </c>
    </row>
    <row r="2" spans="1:20" ht="42" x14ac:dyDescent="0.15">
      <c r="A2" s="115">
        <v>2601</v>
      </c>
      <c r="B2" s="115">
        <v>60026</v>
      </c>
      <c r="C2" s="115">
        <v>1</v>
      </c>
      <c r="D2" s="115">
        <v>10000000</v>
      </c>
      <c r="E2" s="116">
        <v>60026201</v>
      </c>
      <c r="F2" s="117" t="s">
        <v>235</v>
      </c>
      <c r="G2" s="117">
        <v>837</v>
      </c>
      <c r="H2" s="117">
        <v>1</v>
      </c>
      <c r="I2" s="117">
        <v>0</v>
      </c>
      <c r="J2" s="117">
        <v>0</v>
      </c>
      <c r="K2" s="117">
        <v>0</v>
      </c>
      <c r="L2" s="117">
        <v>0</v>
      </c>
      <c r="M2" s="117">
        <v>1</v>
      </c>
      <c r="N2" s="117">
        <v>1</v>
      </c>
      <c r="O2" s="117">
        <v>1</v>
      </c>
      <c r="P2" s="117" t="s">
        <v>236</v>
      </c>
      <c r="Q2" s="117" t="s">
        <v>319</v>
      </c>
      <c r="R2" s="117" t="s">
        <v>320</v>
      </c>
      <c r="S2" s="118" t="s">
        <v>401</v>
      </c>
      <c r="T2" s="55">
        <v>1</v>
      </c>
    </row>
    <row r="3" spans="1:20" ht="42" x14ac:dyDescent="0.15">
      <c r="A3" s="115">
        <v>2601</v>
      </c>
      <c r="B3" s="115">
        <v>60026</v>
      </c>
      <c r="C3" s="115">
        <v>1</v>
      </c>
      <c r="D3" s="115">
        <v>10000000</v>
      </c>
      <c r="E3" s="116">
        <v>60026202</v>
      </c>
      <c r="F3" s="117" t="s">
        <v>322</v>
      </c>
      <c r="G3" s="117">
        <v>1</v>
      </c>
      <c r="H3" s="117">
        <v>2</v>
      </c>
      <c r="I3" s="117">
        <v>0</v>
      </c>
      <c r="J3" s="117">
        <v>0</v>
      </c>
      <c r="K3" s="117">
        <v>0</v>
      </c>
      <c r="L3" s="117">
        <v>0</v>
      </c>
      <c r="M3" s="117">
        <v>1</v>
      </c>
      <c r="N3" s="117">
        <v>1</v>
      </c>
      <c r="O3" s="117">
        <v>1</v>
      </c>
      <c r="P3" s="117" t="s">
        <v>236</v>
      </c>
      <c r="Q3" s="117" t="s">
        <v>462</v>
      </c>
      <c r="R3" s="117" t="s">
        <v>320</v>
      </c>
      <c r="S3" s="118" t="s">
        <v>401</v>
      </c>
      <c r="T3" s="55">
        <v>1</v>
      </c>
    </row>
    <row r="4" spans="1:20" ht="42" x14ac:dyDescent="0.15">
      <c r="A4" s="115">
        <v>2601</v>
      </c>
      <c r="B4" s="115">
        <v>60026</v>
      </c>
      <c r="C4" s="115">
        <v>1</v>
      </c>
      <c r="D4" s="115">
        <v>10000000</v>
      </c>
      <c r="E4" s="116">
        <v>60026203</v>
      </c>
      <c r="F4" s="117" t="s">
        <v>235</v>
      </c>
      <c r="G4" s="117">
        <v>614</v>
      </c>
      <c r="H4" s="117">
        <v>1</v>
      </c>
      <c r="I4" s="117">
        <v>0</v>
      </c>
      <c r="J4" s="117">
        <v>0</v>
      </c>
      <c r="K4" s="117">
        <v>0</v>
      </c>
      <c r="L4" s="117">
        <v>0</v>
      </c>
      <c r="M4" s="117">
        <v>1</v>
      </c>
      <c r="N4" s="117">
        <v>1</v>
      </c>
      <c r="O4" s="117">
        <v>1</v>
      </c>
      <c r="P4" s="117" t="s">
        <v>236</v>
      </c>
      <c r="Q4" s="117" t="s">
        <v>321</v>
      </c>
      <c r="R4" s="117" t="s">
        <v>320</v>
      </c>
      <c r="S4" s="118" t="s">
        <v>401</v>
      </c>
      <c r="T4" s="55">
        <v>1</v>
      </c>
    </row>
    <row r="5" spans="1:20" ht="42" x14ac:dyDescent="0.15">
      <c r="A5" s="115">
        <v>2602</v>
      </c>
      <c r="B5" s="115">
        <v>60026</v>
      </c>
      <c r="C5" s="115">
        <v>1</v>
      </c>
      <c r="D5" s="115">
        <v>8500000</v>
      </c>
      <c r="E5" s="116">
        <v>60026204</v>
      </c>
      <c r="F5" s="117" t="s">
        <v>322</v>
      </c>
      <c r="G5" s="117">
        <v>606</v>
      </c>
      <c r="H5" s="117">
        <v>1</v>
      </c>
      <c r="I5" s="117">
        <v>0</v>
      </c>
      <c r="J5" s="117">
        <v>0</v>
      </c>
      <c r="K5" s="117">
        <v>0</v>
      </c>
      <c r="L5" s="117">
        <v>0</v>
      </c>
      <c r="M5" s="117">
        <v>1</v>
      </c>
      <c r="N5" s="117">
        <v>1</v>
      </c>
      <c r="O5" s="117">
        <v>1</v>
      </c>
      <c r="P5" s="117" t="s">
        <v>236</v>
      </c>
      <c r="Q5" s="117" t="s">
        <v>468</v>
      </c>
      <c r="R5" s="117" t="s">
        <v>320</v>
      </c>
      <c r="S5" s="118" t="s">
        <v>401</v>
      </c>
      <c r="T5" s="55">
        <v>1</v>
      </c>
    </row>
    <row r="6" spans="1:20" ht="42" x14ac:dyDescent="0.15">
      <c r="A6" s="115">
        <v>2603</v>
      </c>
      <c r="B6" s="115">
        <v>60026</v>
      </c>
      <c r="C6" s="115">
        <v>1</v>
      </c>
      <c r="D6" s="115">
        <v>7000000</v>
      </c>
      <c r="E6" s="116">
        <v>60026205</v>
      </c>
      <c r="F6" s="117" t="s">
        <v>406</v>
      </c>
      <c r="G6" s="117">
        <v>3</v>
      </c>
      <c r="H6" s="117" t="s">
        <v>167</v>
      </c>
      <c r="I6" s="117">
        <v>0</v>
      </c>
      <c r="J6" s="117">
        <v>0</v>
      </c>
      <c r="K6" s="117">
        <v>0</v>
      </c>
      <c r="L6" s="117">
        <v>0</v>
      </c>
      <c r="M6" s="117">
        <v>1</v>
      </c>
      <c r="N6" s="117">
        <v>1</v>
      </c>
      <c r="O6" s="117">
        <v>1</v>
      </c>
      <c r="P6" s="117" t="s">
        <v>236</v>
      </c>
      <c r="Q6" s="117" t="s">
        <v>463</v>
      </c>
      <c r="R6" s="117" t="s">
        <v>320</v>
      </c>
      <c r="S6" s="118" t="s">
        <v>401</v>
      </c>
      <c r="T6" s="55">
        <v>1</v>
      </c>
    </row>
    <row r="7" spans="1:20" ht="42" x14ac:dyDescent="0.15">
      <c r="A7" s="115">
        <v>2604</v>
      </c>
      <c r="B7" s="115">
        <v>60026</v>
      </c>
      <c r="C7" s="115">
        <v>1</v>
      </c>
      <c r="D7" s="115">
        <v>5500000</v>
      </c>
      <c r="E7" s="116">
        <v>60026206</v>
      </c>
      <c r="F7" s="117" t="s">
        <v>322</v>
      </c>
      <c r="G7" s="117">
        <v>4</v>
      </c>
      <c r="H7" s="117">
        <v>2</v>
      </c>
      <c r="I7" s="117">
        <v>0</v>
      </c>
      <c r="J7" s="117">
        <v>0</v>
      </c>
      <c r="K7" s="117">
        <v>0</v>
      </c>
      <c r="L7" s="117">
        <v>0</v>
      </c>
      <c r="M7" s="117">
        <v>1</v>
      </c>
      <c r="N7" s="117">
        <v>1</v>
      </c>
      <c r="O7" s="117">
        <v>1</v>
      </c>
      <c r="P7" s="117" t="s">
        <v>236</v>
      </c>
      <c r="Q7" s="117" t="s">
        <v>460</v>
      </c>
      <c r="R7" s="117" t="s">
        <v>320</v>
      </c>
      <c r="S7" s="118" t="s">
        <v>401</v>
      </c>
      <c r="T7" s="55">
        <v>1</v>
      </c>
    </row>
    <row r="8" spans="1:20" ht="42" x14ac:dyDescent="0.15">
      <c r="A8" s="115">
        <v>2605</v>
      </c>
      <c r="B8" s="115">
        <v>60026</v>
      </c>
      <c r="C8" s="115">
        <v>1</v>
      </c>
      <c r="D8" s="115">
        <v>4000000</v>
      </c>
      <c r="E8" s="116">
        <v>60026207</v>
      </c>
      <c r="F8" s="117" t="s">
        <v>322</v>
      </c>
      <c r="G8" s="117">
        <v>2</v>
      </c>
      <c r="H8" s="117">
        <v>2</v>
      </c>
      <c r="I8" s="117">
        <v>0</v>
      </c>
      <c r="J8" s="117">
        <v>0</v>
      </c>
      <c r="K8" s="117">
        <v>0</v>
      </c>
      <c r="L8" s="117">
        <v>0</v>
      </c>
      <c r="M8" s="117">
        <v>1</v>
      </c>
      <c r="N8" s="117">
        <v>1</v>
      </c>
      <c r="O8" s="117">
        <v>1</v>
      </c>
      <c r="P8" s="117" t="s">
        <v>236</v>
      </c>
      <c r="Q8" s="117" t="s">
        <v>461</v>
      </c>
      <c r="R8" s="117" t="s">
        <v>320</v>
      </c>
      <c r="S8" s="118" t="s">
        <v>401</v>
      </c>
      <c r="T8" s="55">
        <v>1</v>
      </c>
    </row>
    <row r="9" spans="1:20" ht="42" x14ac:dyDescent="0.15">
      <c r="A9" s="115">
        <v>2606</v>
      </c>
      <c r="B9" s="115">
        <v>60026</v>
      </c>
      <c r="C9" s="115">
        <v>1</v>
      </c>
      <c r="D9" s="55">
        <v>3000000</v>
      </c>
      <c r="E9" s="116">
        <v>60026208</v>
      </c>
      <c r="F9" s="117" t="s">
        <v>322</v>
      </c>
      <c r="G9" s="117">
        <v>3</v>
      </c>
      <c r="H9" s="117">
        <v>2</v>
      </c>
      <c r="I9" s="117">
        <v>0</v>
      </c>
      <c r="J9" s="117">
        <v>0</v>
      </c>
      <c r="K9" s="117">
        <v>0</v>
      </c>
      <c r="L9" s="117">
        <v>0</v>
      </c>
      <c r="M9" s="117">
        <v>1</v>
      </c>
      <c r="N9" s="117">
        <v>1</v>
      </c>
      <c r="O9" s="117">
        <v>1</v>
      </c>
      <c r="P9" s="117" t="s">
        <v>236</v>
      </c>
      <c r="Q9" s="117" t="s">
        <v>464</v>
      </c>
      <c r="R9" s="117" t="s">
        <v>320</v>
      </c>
      <c r="S9" s="118" t="s">
        <v>401</v>
      </c>
      <c r="T9" s="55">
        <v>1</v>
      </c>
    </row>
    <row r="10" spans="1:20" ht="42" x14ac:dyDescent="0.15">
      <c r="A10" s="115">
        <v>2607</v>
      </c>
      <c r="B10" s="115">
        <v>60026</v>
      </c>
      <c r="C10" s="115">
        <v>1</v>
      </c>
      <c r="D10" s="55">
        <v>2000000</v>
      </c>
      <c r="E10" s="116">
        <v>60026209</v>
      </c>
      <c r="F10" s="117" t="s">
        <v>406</v>
      </c>
      <c r="G10" s="117">
        <v>2</v>
      </c>
      <c r="H10" s="117" t="s">
        <v>167</v>
      </c>
      <c r="I10" s="117">
        <v>0</v>
      </c>
      <c r="J10" s="117">
        <v>0</v>
      </c>
      <c r="K10" s="117">
        <v>0</v>
      </c>
      <c r="L10" s="117">
        <v>0</v>
      </c>
      <c r="M10" s="117">
        <v>1</v>
      </c>
      <c r="N10" s="117">
        <v>1</v>
      </c>
      <c r="O10" s="117">
        <v>1</v>
      </c>
      <c r="P10" s="117" t="s">
        <v>236</v>
      </c>
      <c r="Q10" s="117" t="s">
        <v>465</v>
      </c>
      <c r="R10" s="117" t="s">
        <v>320</v>
      </c>
      <c r="S10" s="118" t="s">
        <v>401</v>
      </c>
      <c r="T10" s="55">
        <v>1</v>
      </c>
    </row>
    <row r="11" spans="1:20" ht="42" x14ac:dyDescent="0.15">
      <c r="A11" s="115">
        <v>2607</v>
      </c>
      <c r="B11" s="115">
        <v>60026</v>
      </c>
      <c r="C11" s="115">
        <v>1</v>
      </c>
      <c r="D11" s="55">
        <v>2000000</v>
      </c>
      <c r="E11" s="116">
        <v>60026210</v>
      </c>
      <c r="F11" s="117" t="s">
        <v>326</v>
      </c>
      <c r="G11" s="117">
        <v>200000</v>
      </c>
      <c r="H11" s="117" t="s">
        <v>167</v>
      </c>
      <c r="I11" s="117">
        <v>0</v>
      </c>
      <c r="J11" s="117">
        <v>0</v>
      </c>
      <c r="K11" s="117">
        <v>0</v>
      </c>
      <c r="L11" s="117">
        <v>0</v>
      </c>
      <c r="M11" s="117">
        <v>1</v>
      </c>
      <c r="N11" s="117">
        <v>1</v>
      </c>
      <c r="O11" s="117">
        <v>1</v>
      </c>
      <c r="P11" s="117" t="s">
        <v>236</v>
      </c>
      <c r="Q11" s="146" t="s">
        <v>466</v>
      </c>
      <c r="R11" s="117" t="s">
        <v>320</v>
      </c>
      <c r="S11" s="118" t="s">
        <v>401</v>
      </c>
      <c r="T11" s="55">
        <v>1</v>
      </c>
    </row>
    <row r="12" spans="1:20" ht="42" x14ac:dyDescent="0.15">
      <c r="A12" s="115">
        <v>2607</v>
      </c>
      <c r="B12" s="115">
        <v>60026</v>
      </c>
      <c r="C12" s="115">
        <v>1</v>
      </c>
      <c r="D12" s="55">
        <v>2000000</v>
      </c>
      <c r="E12" s="116">
        <v>60026211</v>
      </c>
      <c r="F12" s="117" t="s">
        <v>323</v>
      </c>
      <c r="G12" s="117">
        <v>2000</v>
      </c>
      <c r="H12" s="117" t="s">
        <v>167</v>
      </c>
      <c r="I12" s="117">
        <v>0</v>
      </c>
      <c r="J12" s="117">
        <v>0</v>
      </c>
      <c r="K12" s="117">
        <v>0</v>
      </c>
      <c r="L12" s="117">
        <v>0</v>
      </c>
      <c r="M12" s="117">
        <v>1</v>
      </c>
      <c r="N12" s="117">
        <v>1</v>
      </c>
      <c r="O12" s="117">
        <v>1</v>
      </c>
      <c r="P12" s="117" t="s">
        <v>236</v>
      </c>
      <c r="Q12" s="146" t="s">
        <v>467</v>
      </c>
      <c r="R12" s="117" t="s">
        <v>320</v>
      </c>
      <c r="S12" s="118" t="s">
        <v>401</v>
      </c>
      <c r="T12" s="55">
        <v>1</v>
      </c>
    </row>
    <row r="19" spans="6:6" x14ac:dyDescent="0.15">
      <c r="F19" t="s">
        <v>449</v>
      </c>
    </row>
  </sheetData>
  <phoneticPr fontId="8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workbookViewId="0">
      <selection activeCell="F2" sqref="F2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71" t="s">
        <v>148</v>
      </c>
      <c r="B1" s="76" t="s">
        <v>16</v>
      </c>
      <c r="C1" s="76" t="s">
        <v>33</v>
      </c>
      <c r="D1" s="71" t="s">
        <v>224</v>
      </c>
      <c r="E1" s="71" t="s">
        <v>225</v>
      </c>
      <c r="F1" s="102" t="s">
        <v>234</v>
      </c>
      <c r="G1" s="99" t="s">
        <v>226</v>
      </c>
      <c r="H1" s="100" t="s">
        <v>227</v>
      </c>
      <c r="I1" s="100" t="s">
        <v>228</v>
      </c>
      <c r="J1" s="100" t="s">
        <v>229</v>
      </c>
      <c r="K1" s="100" t="s">
        <v>272</v>
      </c>
      <c r="L1" s="100" t="s">
        <v>273</v>
      </c>
      <c r="M1" s="101" t="s">
        <v>274</v>
      </c>
      <c r="N1" s="101" t="s">
        <v>275</v>
      </c>
      <c r="O1" s="101" t="s">
        <v>276</v>
      </c>
      <c r="P1" s="101" t="s">
        <v>278</v>
      </c>
      <c r="Q1" s="101" t="s">
        <v>279</v>
      </c>
      <c r="R1" s="101" t="s">
        <v>230</v>
      </c>
      <c r="S1" s="101" t="s">
        <v>231</v>
      </c>
      <c r="T1" s="101" t="s">
        <v>232</v>
      </c>
      <c r="U1" s="101" t="s">
        <v>233</v>
      </c>
    </row>
    <row r="2" spans="1:21" ht="28" x14ac:dyDescent="0.15">
      <c r="A2" s="147">
        <v>60026</v>
      </c>
      <c r="B2" s="148" t="str">
        <f ca="1">VLOOKUP($A2,OFFSET([2]quests!$A$1,0,0,COUNTA([2]quests!$A:$A),MATCH(B$1,[2]quests!$1:$1,0)-MATCH($A$1,[2]quests!$1:$1,0)+1),MATCH(B$1,[2]quests!$1:$1,0)-MATCH($A$1,[2]quests!$1:$1,0)+1,FALSE)</f>
        <v>ハップルチャレンジ</v>
      </c>
      <c r="C2" s="148" t="str">
        <f ca="1">VLOOKUP($A2,OFFSET([2]quests!$A$1,0,0,COUNTA([2]quests!$A:$A),MATCH(C$1,[2]quests!$1:$1,0)-MATCH($A$1,[2]quests!$1:$1,0)+1),MATCH(C$1,[2]quests!$1:$1,0)-MATCH($A$1,[2]quests!$1:$1,0)+1,FALSE)</f>
        <v>ランキング9</v>
      </c>
      <c r="D2" s="147">
        <v>1</v>
      </c>
      <c r="E2" s="149">
        <v>1</v>
      </c>
      <c r="F2" s="150" t="str">
        <f>A2&amp;TEXT(E2,"0000")</f>
        <v>600260001</v>
      </c>
      <c r="G2" s="151" t="str">
        <f>F2&amp;TEXT(COUNTIF(F$2:F2,F2),"00")</f>
        <v>60026000101</v>
      </c>
      <c r="H2" s="152" t="s">
        <v>322</v>
      </c>
      <c r="I2" s="152">
        <v>605</v>
      </c>
      <c r="J2" s="152">
        <v>1</v>
      </c>
      <c r="K2" s="152">
        <v>0</v>
      </c>
      <c r="L2" s="152">
        <v>0</v>
      </c>
      <c r="M2" s="152">
        <v>0</v>
      </c>
      <c r="N2" s="152">
        <v>0</v>
      </c>
      <c r="O2" s="152">
        <v>1</v>
      </c>
      <c r="P2" s="152">
        <v>1</v>
      </c>
      <c r="Q2" s="152">
        <v>1</v>
      </c>
      <c r="R2" s="152" t="s">
        <v>236</v>
      </c>
      <c r="S2" s="152" t="s">
        <v>402</v>
      </c>
      <c r="T2" s="152" t="s">
        <v>403</v>
      </c>
      <c r="U2" s="153" t="s">
        <v>435</v>
      </c>
    </row>
    <row r="3" spans="1:21" ht="28" x14ac:dyDescent="0.15">
      <c r="A3" s="147">
        <v>60026</v>
      </c>
      <c r="B3" s="148" t="str">
        <f ca="1">VLOOKUP($A3,OFFSET([2]quests!$A$1,0,0,COUNTA([2]quests!$A:$A),MATCH(B$1,[2]quests!$1:$1,0)-MATCH($A$1,[2]quests!$1:$1,0)+1),MATCH(B$1,[2]quests!$1:$1,0)-MATCH($A$1,[2]quests!$1:$1,0)+1,FALSE)</f>
        <v>ハップルチャレンジ</v>
      </c>
      <c r="C3" s="148" t="str">
        <f ca="1">VLOOKUP($A3,OFFSET([2]quests!$A$1,0,0,COUNTA([2]quests!$A:$A),MATCH(C$1,[2]quests!$1:$1,0)-MATCH($A$1,[2]quests!$1:$1,0)+1),MATCH(C$1,[2]quests!$1:$1,0)-MATCH($A$1,[2]quests!$1:$1,0)+1,FALSE)</f>
        <v>ランキング9</v>
      </c>
      <c r="D3" s="147">
        <v>1</v>
      </c>
      <c r="E3" s="149">
        <v>1</v>
      </c>
      <c r="F3" s="150" t="str">
        <f t="shared" ref="F3:F6" si="0">A3&amp;TEXT(E3,"0000")</f>
        <v>600260001</v>
      </c>
      <c r="G3" s="151" t="str">
        <f>F3&amp;TEXT(COUNTIF(F$2:F3,F3),"00")</f>
        <v>60026000102</v>
      </c>
      <c r="H3" s="152" t="s">
        <v>404</v>
      </c>
      <c r="I3" s="152">
        <v>606</v>
      </c>
      <c r="J3" s="152">
        <v>2</v>
      </c>
      <c r="K3" s="152">
        <v>0</v>
      </c>
      <c r="L3" s="152">
        <v>0</v>
      </c>
      <c r="M3" s="152">
        <v>0</v>
      </c>
      <c r="N3" s="152">
        <v>0</v>
      </c>
      <c r="O3" s="152">
        <v>1</v>
      </c>
      <c r="P3" s="152">
        <v>1</v>
      </c>
      <c r="Q3" s="152">
        <v>1</v>
      </c>
      <c r="R3" s="152" t="s">
        <v>400</v>
      </c>
      <c r="S3" s="152" t="s">
        <v>405</v>
      </c>
      <c r="T3" s="152" t="s">
        <v>403</v>
      </c>
      <c r="U3" s="153" t="s">
        <v>435</v>
      </c>
    </row>
    <row r="4" spans="1:21" ht="28" x14ac:dyDescent="0.15">
      <c r="A4" s="147">
        <v>60026</v>
      </c>
      <c r="B4" s="148" t="str">
        <f ca="1">VLOOKUP($A4,OFFSET([2]quests!$A$1,0,0,COUNTA([2]quests!$A:$A),MATCH(B$1,[2]quests!$1:$1,0)-MATCH($A$1,[2]quests!$1:$1,0)+1),MATCH(B$1,[2]quests!$1:$1,0)-MATCH($A$1,[2]quests!$1:$1,0)+1,FALSE)</f>
        <v>ハップルチャレンジ</v>
      </c>
      <c r="C4" s="148" t="str">
        <f ca="1">VLOOKUP($A4,OFFSET([2]quests!$A$1,0,0,COUNTA([2]quests!$A:$A),MATCH(C$1,[2]quests!$1:$1,0)-MATCH($A$1,[2]quests!$1:$1,0)+1),MATCH(C$1,[2]quests!$1:$1,0)-MATCH($A$1,[2]quests!$1:$1,0)+1,FALSE)</f>
        <v>ランキング9</v>
      </c>
      <c r="D4" s="147">
        <v>1</v>
      </c>
      <c r="E4" s="149">
        <v>1</v>
      </c>
      <c r="F4" s="150" t="str">
        <f t="shared" si="0"/>
        <v>600260001</v>
      </c>
      <c r="G4" s="151" t="str">
        <f>F4&amp;TEXT(COUNTIF(F$2:F4,F4),"00")</f>
        <v>60026000103</v>
      </c>
      <c r="H4" s="152" t="s">
        <v>406</v>
      </c>
      <c r="I4" s="152">
        <v>10</v>
      </c>
      <c r="J4" s="152" t="s">
        <v>53</v>
      </c>
      <c r="K4" s="152">
        <v>0</v>
      </c>
      <c r="L4" s="152">
        <v>0</v>
      </c>
      <c r="M4" s="152">
        <v>0</v>
      </c>
      <c r="N4" s="152">
        <v>0</v>
      </c>
      <c r="O4" s="152">
        <v>1</v>
      </c>
      <c r="P4" s="152">
        <v>1</v>
      </c>
      <c r="Q4" s="152">
        <v>1</v>
      </c>
      <c r="R4" s="152" t="s">
        <v>236</v>
      </c>
      <c r="S4" s="152" t="s">
        <v>407</v>
      </c>
      <c r="T4" s="152" t="s">
        <v>403</v>
      </c>
      <c r="U4" s="153" t="s">
        <v>435</v>
      </c>
    </row>
    <row r="5" spans="1:21" ht="28" x14ac:dyDescent="0.15">
      <c r="A5" s="147">
        <v>60026</v>
      </c>
      <c r="B5" s="148" t="str">
        <f ca="1">VLOOKUP($A5,OFFSET([2]quests!$A$1,0,0,COUNTA([2]quests!$A:$A),MATCH(B$1,[2]quests!$1:$1,0)-MATCH($A$1,[2]quests!$1:$1,0)+1),MATCH(B$1,[2]quests!$1:$1,0)-MATCH($A$1,[2]quests!$1:$1,0)+1,FALSE)</f>
        <v>ハップルチャレンジ</v>
      </c>
      <c r="C5" s="148" t="str">
        <f ca="1">VLOOKUP($A5,OFFSET([2]quests!$A$1,0,0,COUNTA([2]quests!$A:$A),MATCH(C$1,[2]quests!$1:$1,0)-MATCH($A$1,[2]quests!$1:$1,0)+1),MATCH(C$1,[2]quests!$1:$1,0)-MATCH($A$1,[2]quests!$1:$1,0)+1,FALSE)</f>
        <v>ランキング9</v>
      </c>
      <c r="D5" s="147">
        <v>1</v>
      </c>
      <c r="E5" s="149">
        <v>1</v>
      </c>
      <c r="F5" s="150" t="str">
        <f t="shared" si="0"/>
        <v>600260001</v>
      </c>
      <c r="G5" s="151" t="str">
        <f>F5&amp;TEXT(COUNTIF(F$2:F5,F5),"00")</f>
        <v>60026000104</v>
      </c>
      <c r="H5" s="152" t="s">
        <v>399</v>
      </c>
      <c r="I5" s="152">
        <v>837</v>
      </c>
      <c r="J5" s="152">
        <v>1</v>
      </c>
      <c r="K5" s="152">
        <v>0</v>
      </c>
      <c r="L5" s="152">
        <v>0</v>
      </c>
      <c r="M5" s="152">
        <v>0</v>
      </c>
      <c r="N5" s="152">
        <v>0</v>
      </c>
      <c r="O5" s="152">
        <v>1</v>
      </c>
      <c r="P5" s="152">
        <v>1</v>
      </c>
      <c r="Q5" s="152">
        <v>1</v>
      </c>
      <c r="R5" s="152" t="s">
        <v>400</v>
      </c>
      <c r="S5" s="152" t="s">
        <v>408</v>
      </c>
      <c r="T5" s="152" t="s">
        <v>403</v>
      </c>
      <c r="U5" s="153" t="s">
        <v>435</v>
      </c>
    </row>
    <row r="6" spans="1:21" ht="28" x14ac:dyDescent="0.15">
      <c r="A6" s="147">
        <v>60026</v>
      </c>
      <c r="B6" s="148" t="str">
        <f ca="1">VLOOKUP($A6,OFFSET([2]quests!$A$1,0,0,COUNTA([2]quests!$A:$A),MATCH(B$1,[2]quests!$1:$1,0)-MATCH($A$1,[2]quests!$1:$1,0)+1),MATCH(B$1,[2]quests!$1:$1,0)-MATCH($A$1,[2]quests!$1:$1,0)+1,FALSE)</f>
        <v>ハップルチャレンジ</v>
      </c>
      <c r="C6" s="148" t="str">
        <f ca="1">VLOOKUP($A6,OFFSET([2]quests!$A$1,0,0,COUNTA([2]quests!$A:$A),MATCH(C$1,[2]quests!$1:$1,0)-MATCH($A$1,[2]quests!$1:$1,0)+1),MATCH(C$1,[2]quests!$1:$1,0)-MATCH($A$1,[2]quests!$1:$1,0)+1,FALSE)</f>
        <v>ランキング9</v>
      </c>
      <c r="D6" s="147">
        <v>1</v>
      </c>
      <c r="E6" s="149">
        <v>1</v>
      </c>
      <c r="F6" s="150" t="str">
        <f t="shared" si="0"/>
        <v>600260001</v>
      </c>
      <c r="G6" s="151" t="str">
        <f>F6&amp;TEXT(COUNTIF(F$2:F6,F6),"00")</f>
        <v>60026000105</v>
      </c>
      <c r="H6" s="152" t="s">
        <v>399</v>
      </c>
      <c r="I6" s="152">
        <v>614</v>
      </c>
      <c r="J6" s="152">
        <v>1</v>
      </c>
      <c r="K6" s="152">
        <v>0</v>
      </c>
      <c r="L6" s="152">
        <v>0</v>
      </c>
      <c r="M6" s="152">
        <v>0</v>
      </c>
      <c r="N6" s="152">
        <v>0</v>
      </c>
      <c r="O6" s="152">
        <v>1</v>
      </c>
      <c r="P6" s="152">
        <v>1</v>
      </c>
      <c r="Q6" s="152">
        <v>1</v>
      </c>
      <c r="R6" s="152" t="s">
        <v>400</v>
      </c>
      <c r="S6" s="152" t="s">
        <v>409</v>
      </c>
      <c r="T6" s="152" t="s">
        <v>403</v>
      </c>
      <c r="U6" s="153" t="s">
        <v>435</v>
      </c>
    </row>
    <row r="7" spans="1:21" ht="28" x14ac:dyDescent="0.15">
      <c r="A7" s="147">
        <v>60026</v>
      </c>
      <c r="B7" s="148" t="str">
        <f ca="1">VLOOKUP($A7,OFFSET([2]quests!$A$1,0,0,COUNTA([2]quests!$A:$A),MATCH(B$1,[2]quests!$1:$1,0)-MATCH($A$1,[2]quests!$1:$1,0)+1),MATCH(B$1,[2]quests!$1:$1,0)-MATCH($A$1,[2]quests!$1:$1,0)+1,FALSE)</f>
        <v>ハップルチャレンジ</v>
      </c>
      <c r="C7" s="148" t="str">
        <f ca="1">VLOOKUP($A7,OFFSET([2]quests!$A$1,0,0,COUNTA([2]quests!$A:$A),MATCH(C$1,[2]quests!$1:$1,0)-MATCH($A$1,[2]quests!$1:$1,0)+1),MATCH(C$1,[2]quests!$1:$1,0)-MATCH($A$1,[2]quests!$1:$1,0)+1,FALSE)</f>
        <v>ランキング9</v>
      </c>
      <c r="D7" s="147">
        <v>2</v>
      </c>
      <c r="E7" s="149">
        <v>2</v>
      </c>
      <c r="F7" s="150" t="str">
        <f>A7&amp;TEXT(E7,"0000")</f>
        <v>600260002</v>
      </c>
      <c r="G7" s="151" t="str">
        <f>F7&amp;TEXT(COUNTIF(F$2:F7,F7),"00")</f>
        <v>60026000201</v>
      </c>
      <c r="H7" s="152" t="s">
        <v>410</v>
      </c>
      <c r="I7" s="152">
        <v>605</v>
      </c>
      <c r="J7" s="152">
        <v>1</v>
      </c>
      <c r="K7" s="152">
        <v>0</v>
      </c>
      <c r="L7" s="152">
        <v>0</v>
      </c>
      <c r="M7" s="152">
        <v>0</v>
      </c>
      <c r="N7" s="152">
        <v>0</v>
      </c>
      <c r="O7" s="152">
        <v>1</v>
      </c>
      <c r="P7" s="152">
        <v>1</v>
      </c>
      <c r="Q7" s="152">
        <v>1</v>
      </c>
      <c r="R7" s="152" t="s">
        <v>411</v>
      </c>
      <c r="S7" s="152" t="s">
        <v>402</v>
      </c>
      <c r="T7" s="152" t="s">
        <v>403</v>
      </c>
      <c r="U7" s="153" t="s">
        <v>435</v>
      </c>
    </row>
    <row r="8" spans="1:21" ht="28" x14ac:dyDescent="0.15">
      <c r="A8" s="147">
        <v>60026</v>
      </c>
      <c r="B8" s="148" t="str">
        <f ca="1">VLOOKUP($A8,OFFSET([2]quests!$A$1,0,0,COUNTA([2]quests!$A:$A),MATCH(B$1,[2]quests!$1:$1,0)-MATCH($A$1,[2]quests!$1:$1,0)+1),MATCH(B$1,[2]quests!$1:$1,0)-MATCH($A$1,[2]quests!$1:$1,0)+1,FALSE)</f>
        <v>ハップルチャレンジ</v>
      </c>
      <c r="C8" s="148" t="str">
        <f ca="1">VLOOKUP($A8,OFFSET([2]quests!$A$1,0,0,COUNTA([2]quests!$A:$A),MATCH(C$1,[2]quests!$1:$1,0)-MATCH($A$1,[2]quests!$1:$1,0)+1),MATCH(C$1,[2]quests!$1:$1,0)-MATCH($A$1,[2]quests!$1:$1,0)+1,FALSE)</f>
        <v>ランキング9</v>
      </c>
      <c r="D8" s="147">
        <v>2</v>
      </c>
      <c r="E8" s="149">
        <v>2</v>
      </c>
      <c r="F8" s="150" t="str">
        <f t="shared" ref="F8:F26" si="1">A8&amp;TEXT(E8,"0000")</f>
        <v>600260002</v>
      </c>
      <c r="G8" s="151" t="str">
        <f>F8&amp;TEXT(COUNTIF(F$2:F8,F8),"00")</f>
        <v>60026000202</v>
      </c>
      <c r="H8" s="152" t="s">
        <v>410</v>
      </c>
      <c r="I8" s="152">
        <v>606</v>
      </c>
      <c r="J8" s="152">
        <v>1</v>
      </c>
      <c r="K8" s="152">
        <v>0</v>
      </c>
      <c r="L8" s="152">
        <v>0</v>
      </c>
      <c r="M8" s="152">
        <v>0</v>
      </c>
      <c r="N8" s="152">
        <v>0</v>
      </c>
      <c r="O8" s="152">
        <v>1</v>
      </c>
      <c r="P8" s="152">
        <v>1</v>
      </c>
      <c r="Q8" s="152">
        <v>1</v>
      </c>
      <c r="R8" s="152" t="s">
        <v>411</v>
      </c>
      <c r="S8" s="154" t="s">
        <v>412</v>
      </c>
      <c r="T8" s="152" t="s">
        <v>403</v>
      </c>
      <c r="U8" s="153" t="s">
        <v>435</v>
      </c>
    </row>
    <row r="9" spans="1:21" ht="28" x14ac:dyDescent="0.15">
      <c r="A9" s="147">
        <v>60026</v>
      </c>
      <c r="B9" s="148" t="str">
        <f ca="1">VLOOKUP($A9,OFFSET([2]quests!$A$1,0,0,COUNTA([2]quests!$A:$A),MATCH(B$1,[2]quests!$1:$1,0)-MATCH($A$1,[2]quests!$1:$1,0)+1),MATCH(B$1,[2]quests!$1:$1,0)-MATCH($A$1,[2]quests!$1:$1,0)+1,FALSE)</f>
        <v>ハップルチャレンジ</v>
      </c>
      <c r="C9" s="148" t="str">
        <f ca="1">VLOOKUP($A9,OFFSET([2]quests!$A$1,0,0,COUNTA([2]quests!$A:$A),MATCH(C$1,[2]quests!$1:$1,0)-MATCH($A$1,[2]quests!$1:$1,0)+1),MATCH(C$1,[2]quests!$1:$1,0)-MATCH($A$1,[2]quests!$1:$1,0)+1,FALSE)</f>
        <v>ランキング9</v>
      </c>
      <c r="D9" s="147">
        <v>2</v>
      </c>
      <c r="E9" s="149">
        <v>2</v>
      </c>
      <c r="F9" s="150" t="str">
        <f t="shared" si="1"/>
        <v>600260002</v>
      </c>
      <c r="G9" s="151" t="str">
        <f>F9&amp;TEXT(COUNTIF(F$2:F9,F9),"00")</f>
        <v>60026000203</v>
      </c>
      <c r="H9" s="152" t="s">
        <v>406</v>
      </c>
      <c r="I9" s="152">
        <v>5</v>
      </c>
      <c r="J9" s="152" t="s">
        <v>53</v>
      </c>
      <c r="K9" s="152">
        <v>0</v>
      </c>
      <c r="L9" s="152">
        <v>0</v>
      </c>
      <c r="M9" s="152">
        <v>0</v>
      </c>
      <c r="N9" s="152">
        <v>0</v>
      </c>
      <c r="O9" s="152">
        <v>1</v>
      </c>
      <c r="P9" s="152">
        <v>1</v>
      </c>
      <c r="Q9" s="152">
        <v>1</v>
      </c>
      <c r="R9" s="152" t="s">
        <v>236</v>
      </c>
      <c r="S9" s="152" t="s">
        <v>413</v>
      </c>
      <c r="T9" s="152" t="s">
        <v>403</v>
      </c>
      <c r="U9" s="153" t="s">
        <v>435</v>
      </c>
    </row>
    <row r="10" spans="1:21" ht="28" x14ac:dyDescent="0.15">
      <c r="A10" s="147">
        <v>60026</v>
      </c>
      <c r="B10" s="148" t="str">
        <f ca="1">VLOOKUP($A10,OFFSET([2]quests!$A$1,0,0,COUNTA([2]quests!$A:$A),MATCH(B$1,[2]quests!$1:$1,0)-MATCH($A$1,[2]quests!$1:$1,0)+1),MATCH(B$1,[2]quests!$1:$1,0)-MATCH($A$1,[2]quests!$1:$1,0)+1,FALSE)</f>
        <v>ハップルチャレンジ</v>
      </c>
      <c r="C10" s="148" t="str">
        <f ca="1">VLOOKUP($A10,OFFSET([2]quests!$A$1,0,0,COUNTA([2]quests!$A:$A),MATCH(C$1,[2]quests!$1:$1,0)-MATCH($A$1,[2]quests!$1:$1,0)+1),MATCH(C$1,[2]quests!$1:$1,0)-MATCH($A$1,[2]quests!$1:$1,0)+1,FALSE)</f>
        <v>ランキング9</v>
      </c>
      <c r="D10" s="147">
        <v>2</v>
      </c>
      <c r="E10" s="149">
        <v>2</v>
      </c>
      <c r="F10" s="150" t="str">
        <f t="shared" si="1"/>
        <v>600260002</v>
      </c>
      <c r="G10" s="151" t="str">
        <f>F10&amp;TEXT(COUNTIF(F$2:F10,F10),"00")</f>
        <v>60026000204</v>
      </c>
      <c r="H10" s="152" t="s">
        <v>235</v>
      </c>
      <c r="I10" s="152">
        <v>610</v>
      </c>
      <c r="J10" s="152">
        <v>1</v>
      </c>
      <c r="K10" s="152">
        <v>0</v>
      </c>
      <c r="L10" s="152">
        <v>0</v>
      </c>
      <c r="M10" s="152">
        <v>0</v>
      </c>
      <c r="N10" s="152">
        <v>0</v>
      </c>
      <c r="O10" s="152">
        <v>1</v>
      </c>
      <c r="P10" s="152">
        <v>1</v>
      </c>
      <c r="Q10" s="152">
        <v>1</v>
      </c>
      <c r="R10" s="152" t="s">
        <v>236</v>
      </c>
      <c r="S10" s="152" t="s">
        <v>414</v>
      </c>
      <c r="T10" s="152" t="s">
        <v>403</v>
      </c>
      <c r="U10" s="153" t="s">
        <v>435</v>
      </c>
    </row>
    <row r="11" spans="1:21" ht="28" x14ac:dyDescent="0.15">
      <c r="A11" s="147">
        <v>60026</v>
      </c>
      <c r="B11" s="148" t="str">
        <f ca="1">VLOOKUP($A11,OFFSET([2]quests!$A$1,0,0,COUNTA([2]quests!$A:$A),MATCH(B$1,[2]quests!$1:$1,0)-MATCH($A$1,[2]quests!$1:$1,0)+1),MATCH(B$1,[2]quests!$1:$1,0)-MATCH($A$1,[2]quests!$1:$1,0)+1,FALSE)</f>
        <v>ハップルチャレンジ</v>
      </c>
      <c r="C11" s="148" t="str">
        <f ca="1">VLOOKUP($A11,OFFSET([2]quests!$A$1,0,0,COUNTA([2]quests!$A:$A),MATCH(C$1,[2]quests!$1:$1,0)-MATCH($A$1,[2]quests!$1:$1,0)+1),MATCH(C$1,[2]quests!$1:$1,0)-MATCH($A$1,[2]quests!$1:$1,0)+1,FALSE)</f>
        <v>ランキング9</v>
      </c>
      <c r="D11" s="147">
        <v>2</v>
      </c>
      <c r="E11" s="149">
        <v>2</v>
      </c>
      <c r="F11" s="150" t="str">
        <f t="shared" si="1"/>
        <v>600260002</v>
      </c>
      <c r="G11" s="151" t="str">
        <f>F11&amp;TEXT(COUNTIF(F$2:F11,F11),"00")</f>
        <v>60026000205</v>
      </c>
      <c r="H11" s="152" t="s">
        <v>322</v>
      </c>
      <c r="I11" s="152">
        <v>1</v>
      </c>
      <c r="J11" s="152">
        <v>3</v>
      </c>
      <c r="K11" s="152">
        <v>0</v>
      </c>
      <c r="L11" s="152">
        <v>0</v>
      </c>
      <c r="M11" s="152">
        <v>0</v>
      </c>
      <c r="N11" s="152">
        <v>0</v>
      </c>
      <c r="O11" s="152">
        <v>1</v>
      </c>
      <c r="P11" s="152">
        <v>1</v>
      </c>
      <c r="Q11" s="152">
        <v>1</v>
      </c>
      <c r="R11" s="152" t="s">
        <v>236</v>
      </c>
      <c r="S11" s="152" t="s">
        <v>415</v>
      </c>
      <c r="T11" s="152" t="s">
        <v>403</v>
      </c>
      <c r="U11" s="153" t="s">
        <v>435</v>
      </c>
    </row>
    <row r="12" spans="1:21" ht="28" x14ac:dyDescent="0.15">
      <c r="A12" s="147">
        <v>60026</v>
      </c>
      <c r="B12" s="148" t="str">
        <f ca="1">VLOOKUP($A12,OFFSET([2]quests!$A$1,0,0,COUNTA([2]quests!$A:$A),MATCH(B$1,[2]quests!$1:$1,0)-MATCH($A$1,[2]quests!$1:$1,0)+1),MATCH(B$1,[2]quests!$1:$1,0)-MATCH($A$1,[2]quests!$1:$1,0)+1,FALSE)</f>
        <v>ハップルチャレンジ</v>
      </c>
      <c r="C12" s="148" t="str">
        <f ca="1">VLOOKUP($A12,OFFSET([2]quests!$A$1,0,0,COUNTA([2]quests!$A:$A),MATCH(C$1,[2]quests!$1:$1,0)-MATCH($A$1,[2]quests!$1:$1,0)+1),MATCH(C$1,[2]quests!$1:$1,0)-MATCH($A$1,[2]quests!$1:$1,0)+1,FALSE)</f>
        <v>ランキング9</v>
      </c>
      <c r="D12" s="147">
        <v>3</v>
      </c>
      <c r="E12" s="149">
        <v>3</v>
      </c>
      <c r="F12" s="150" t="str">
        <f t="shared" si="1"/>
        <v>600260003</v>
      </c>
      <c r="G12" s="151" t="str">
        <f>F12&amp;TEXT(COUNTIF(F$2:F12,F12),"00")</f>
        <v>60026000301</v>
      </c>
      <c r="H12" s="152" t="s">
        <v>322</v>
      </c>
      <c r="I12" s="152">
        <v>606</v>
      </c>
      <c r="J12" s="152">
        <v>3</v>
      </c>
      <c r="K12" s="152">
        <v>0</v>
      </c>
      <c r="L12" s="152">
        <v>0</v>
      </c>
      <c r="M12" s="152">
        <v>0</v>
      </c>
      <c r="N12" s="152">
        <v>0</v>
      </c>
      <c r="O12" s="152">
        <v>1</v>
      </c>
      <c r="P12" s="152">
        <v>1</v>
      </c>
      <c r="Q12" s="152">
        <v>1</v>
      </c>
      <c r="R12" s="152" t="s">
        <v>236</v>
      </c>
      <c r="S12" s="152" t="s">
        <v>416</v>
      </c>
      <c r="T12" s="152" t="s">
        <v>403</v>
      </c>
      <c r="U12" s="153" t="s">
        <v>435</v>
      </c>
    </row>
    <row r="13" spans="1:21" ht="28" x14ac:dyDescent="0.15">
      <c r="A13" s="147">
        <v>60026</v>
      </c>
      <c r="B13" s="148" t="str">
        <f ca="1">VLOOKUP($A13,OFFSET([2]quests!$A$1,0,0,COUNTA([2]quests!$A:$A),MATCH(B$1,[2]quests!$1:$1,0)-MATCH($A$1,[2]quests!$1:$1,0)+1),MATCH(B$1,[2]quests!$1:$1,0)-MATCH($A$1,[2]quests!$1:$1,0)+1,FALSE)</f>
        <v>ハップルチャレンジ</v>
      </c>
      <c r="C13" s="148" t="str">
        <f ca="1">VLOOKUP($A13,OFFSET([2]quests!$A$1,0,0,COUNTA([2]quests!$A:$A),MATCH(C$1,[2]quests!$1:$1,0)-MATCH($A$1,[2]quests!$1:$1,0)+1),MATCH(C$1,[2]quests!$1:$1,0)-MATCH($A$1,[2]quests!$1:$1,0)+1,FALSE)</f>
        <v>ランキング9</v>
      </c>
      <c r="D13" s="147">
        <v>3</v>
      </c>
      <c r="E13" s="149">
        <v>3</v>
      </c>
      <c r="F13" s="150" t="str">
        <f t="shared" si="1"/>
        <v>600260003</v>
      </c>
      <c r="G13" s="151" t="str">
        <f>F13&amp;TEXT(COUNTIF(F$2:F13,F13),"00")</f>
        <v>60026000302</v>
      </c>
      <c r="H13" s="152" t="s">
        <v>235</v>
      </c>
      <c r="I13" s="152">
        <v>335</v>
      </c>
      <c r="J13" s="152">
        <v>1</v>
      </c>
      <c r="K13" s="152">
        <v>0</v>
      </c>
      <c r="L13" s="152">
        <v>0</v>
      </c>
      <c r="M13" s="152">
        <v>0</v>
      </c>
      <c r="N13" s="152">
        <v>0</v>
      </c>
      <c r="O13" s="152">
        <v>1</v>
      </c>
      <c r="P13" s="152">
        <v>1</v>
      </c>
      <c r="Q13" s="152">
        <v>1</v>
      </c>
      <c r="R13" s="152" t="s">
        <v>236</v>
      </c>
      <c r="S13" s="152" t="s">
        <v>417</v>
      </c>
      <c r="T13" s="152" t="s">
        <v>403</v>
      </c>
      <c r="U13" s="153" t="s">
        <v>435</v>
      </c>
    </row>
    <row r="14" spans="1:21" ht="28" x14ac:dyDescent="0.15">
      <c r="A14" s="147">
        <v>60026</v>
      </c>
      <c r="B14" s="148" t="str">
        <f ca="1">VLOOKUP($A14,OFFSET([2]quests!$A$1,0,0,COUNTA([2]quests!$A:$A),MATCH(B$1,[2]quests!$1:$1,0)-MATCH($A$1,[2]quests!$1:$1,0)+1),MATCH(B$1,[2]quests!$1:$1,0)-MATCH($A$1,[2]quests!$1:$1,0)+1,FALSE)</f>
        <v>ハップルチャレンジ</v>
      </c>
      <c r="C14" s="148" t="str">
        <f ca="1">VLOOKUP($A14,OFFSET([2]quests!$A$1,0,0,COUNTA([2]quests!$A:$A),MATCH(C$1,[2]quests!$1:$1,0)-MATCH($A$1,[2]quests!$1:$1,0)+1),MATCH(C$1,[2]quests!$1:$1,0)-MATCH($A$1,[2]quests!$1:$1,0)+1,FALSE)</f>
        <v>ランキング9</v>
      </c>
      <c r="D14" s="147">
        <v>3</v>
      </c>
      <c r="E14" s="149">
        <v>3</v>
      </c>
      <c r="F14" s="150" t="str">
        <f t="shared" si="1"/>
        <v>600260003</v>
      </c>
      <c r="G14" s="151" t="str">
        <f>F14&amp;TEXT(COUNTIF(F$2:F14,F14),"00")</f>
        <v>60026000303</v>
      </c>
      <c r="H14" s="152" t="s">
        <v>235</v>
      </c>
      <c r="I14" s="152">
        <v>339</v>
      </c>
      <c r="J14" s="152">
        <v>1</v>
      </c>
      <c r="K14" s="152">
        <v>0</v>
      </c>
      <c r="L14" s="152">
        <v>0</v>
      </c>
      <c r="M14" s="152">
        <v>0</v>
      </c>
      <c r="N14" s="152">
        <v>0</v>
      </c>
      <c r="O14" s="152">
        <v>1</v>
      </c>
      <c r="P14" s="152">
        <v>1</v>
      </c>
      <c r="Q14" s="152">
        <v>1</v>
      </c>
      <c r="R14" s="152" t="s">
        <v>236</v>
      </c>
      <c r="S14" s="152" t="s">
        <v>418</v>
      </c>
      <c r="T14" s="152" t="s">
        <v>403</v>
      </c>
      <c r="U14" s="153" t="s">
        <v>435</v>
      </c>
    </row>
    <row r="15" spans="1:21" ht="28" x14ac:dyDescent="0.15">
      <c r="A15" s="147">
        <v>60026</v>
      </c>
      <c r="B15" s="148" t="str">
        <f ca="1">VLOOKUP($A15,OFFSET([2]quests!$A$1,0,0,COUNTA([2]quests!$A:$A),MATCH(B$1,[2]quests!$1:$1,0)-MATCH($A$1,[2]quests!$1:$1,0)+1),MATCH(B$1,[2]quests!$1:$1,0)-MATCH($A$1,[2]quests!$1:$1,0)+1,FALSE)</f>
        <v>ハップルチャレンジ</v>
      </c>
      <c r="C15" s="148" t="str">
        <f ca="1">VLOOKUP($A15,OFFSET([2]quests!$A$1,0,0,COUNTA([2]quests!$A:$A),MATCH(C$1,[2]quests!$1:$1,0)-MATCH($A$1,[2]quests!$1:$1,0)+1),MATCH(C$1,[2]quests!$1:$1,0)-MATCH($A$1,[2]quests!$1:$1,0)+1,FALSE)</f>
        <v>ランキング9</v>
      </c>
      <c r="D15" s="147">
        <v>3</v>
      </c>
      <c r="E15" s="149">
        <v>3</v>
      </c>
      <c r="F15" s="150" t="str">
        <f t="shared" si="1"/>
        <v>600260003</v>
      </c>
      <c r="G15" s="151" t="str">
        <f>F15&amp;TEXT(COUNTIF(F$2:F15,F15),"00")</f>
        <v>60026000304</v>
      </c>
      <c r="H15" s="152" t="s">
        <v>235</v>
      </c>
      <c r="I15" s="152">
        <v>343</v>
      </c>
      <c r="J15" s="152">
        <v>1</v>
      </c>
      <c r="K15" s="152">
        <v>0</v>
      </c>
      <c r="L15" s="152">
        <v>0</v>
      </c>
      <c r="M15" s="152">
        <v>0</v>
      </c>
      <c r="N15" s="152">
        <v>0</v>
      </c>
      <c r="O15" s="152">
        <v>1</v>
      </c>
      <c r="P15" s="152">
        <v>1</v>
      </c>
      <c r="Q15" s="152">
        <v>1</v>
      </c>
      <c r="R15" s="152" t="s">
        <v>236</v>
      </c>
      <c r="S15" s="152" t="s">
        <v>419</v>
      </c>
      <c r="T15" s="152" t="s">
        <v>403</v>
      </c>
      <c r="U15" s="153" t="s">
        <v>435</v>
      </c>
    </row>
    <row r="16" spans="1:21" ht="28" x14ac:dyDescent="0.15">
      <c r="A16" s="147">
        <v>60026</v>
      </c>
      <c r="B16" s="148" t="str">
        <f ca="1">VLOOKUP($A16,OFFSET([2]quests!$A$1,0,0,COUNTA([2]quests!$A:$A),MATCH(B$1,[2]quests!$1:$1,0)-MATCH($A$1,[2]quests!$1:$1,0)+1),MATCH(B$1,[2]quests!$1:$1,0)-MATCH($A$1,[2]quests!$1:$1,0)+1,FALSE)</f>
        <v>ハップルチャレンジ</v>
      </c>
      <c r="C16" s="148" t="str">
        <f ca="1">VLOOKUP($A16,OFFSET([2]quests!$A$1,0,0,COUNTA([2]quests!$A:$A),MATCH(C$1,[2]quests!$1:$1,0)-MATCH($A$1,[2]quests!$1:$1,0)+1),MATCH(C$1,[2]quests!$1:$1,0)-MATCH($A$1,[2]quests!$1:$1,0)+1,FALSE)</f>
        <v>ランキング9</v>
      </c>
      <c r="D16" s="147">
        <v>3</v>
      </c>
      <c r="E16" s="149">
        <v>3</v>
      </c>
      <c r="F16" s="150" t="str">
        <f t="shared" si="1"/>
        <v>600260003</v>
      </c>
      <c r="G16" s="151" t="str">
        <f>F16&amp;TEXT(COUNTIF(F$2:F16,F16),"00")</f>
        <v>60026000305</v>
      </c>
      <c r="H16" s="152" t="s">
        <v>235</v>
      </c>
      <c r="I16" s="152">
        <v>347</v>
      </c>
      <c r="J16" s="152">
        <v>1</v>
      </c>
      <c r="K16" s="152">
        <v>0</v>
      </c>
      <c r="L16" s="152">
        <v>0</v>
      </c>
      <c r="M16" s="152">
        <v>0</v>
      </c>
      <c r="N16" s="152">
        <v>0</v>
      </c>
      <c r="O16" s="152">
        <v>1</v>
      </c>
      <c r="P16" s="152">
        <v>1</v>
      </c>
      <c r="Q16" s="152">
        <v>1</v>
      </c>
      <c r="R16" s="152" t="s">
        <v>236</v>
      </c>
      <c r="S16" s="152" t="s">
        <v>420</v>
      </c>
      <c r="T16" s="152" t="s">
        <v>403</v>
      </c>
      <c r="U16" s="153" t="s">
        <v>435</v>
      </c>
    </row>
    <row r="17" spans="1:21" ht="28" x14ac:dyDescent="0.15">
      <c r="A17" s="147">
        <v>60026</v>
      </c>
      <c r="B17" s="148" t="str">
        <f ca="1">VLOOKUP($A17,OFFSET([2]quests!$A$1,0,0,COUNTA([2]quests!$A:$A),MATCH(B$1,[2]quests!$1:$1,0)-MATCH($A$1,[2]quests!$1:$1,0)+1),MATCH(B$1,[2]quests!$1:$1,0)-MATCH($A$1,[2]quests!$1:$1,0)+1,FALSE)</f>
        <v>ハップルチャレンジ</v>
      </c>
      <c r="C17" s="148" t="str">
        <f ca="1">VLOOKUP($A17,OFFSET([2]quests!$A$1,0,0,COUNTA([2]quests!$A:$A),MATCH(C$1,[2]quests!$1:$1,0)-MATCH($A$1,[2]quests!$1:$1,0)+1),MATCH(C$1,[2]quests!$1:$1,0)-MATCH($A$1,[2]quests!$1:$1,0)+1,FALSE)</f>
        <v>ランキング9</v>
      </c>
      <c r="D17" s="147">
        <v>3</v>
      </c>
      <c r="E17" s="149">
        <v>3</v>
      </c>
      <c r="F17" s="150" t="str">
        <f t="shared" si="1"/>
        <v>600260003</v>
      </c>
      <c r="G17" s="151" t="str">
        <f>F17&amp;TEXT(COUNTIF(F$2:F17,F17),"00")</f>
        <v>60026000306</v>
      </c>
      <c r="H17" s="152" t="s">
        <v>406</v>
      </c>
      <c r="I17" s="152">
        <v>5</v>
      </c>
      <c r="J17" s="152" t="s">
        <v>53</v>
      </c>
      <c r="K17" s="152">
        <v>0</v>
      </c>
      <c r="L17" s="152">
        <v>0</v>
      </c>
      <c r="M17" s="152">
        <v>0</v>
      </c>
      <c r="N17" s="152">
        <v>0</v>
      </c>
      <c r="O17" s="152">
        <v>1</v>
      </c>
      <c r="P17" s="152">
        <v>1</v>
      </c>
      <c r="Q17" s="152">
        <v>1</v>
      </c>
      <c r="R17" s="152" t="s">
        <v>236</v>
      </c>
      <c r="S17" s="152" t="s">
        <v>413</v>
      </c>
      <c r="T17" s="152" t="s">
        <v>403</v>
      </c>
      <c r="U17" s="153" t="s">
        <v>435</v>
      </c>
    </row>
    <row r="18" spans="1:21" ht="28" x14ac:dyDescent="0.15">
      <c r="A18" s="147">
        <v>60026</v>
      </c>
      <c r="B18" s="148" t="str">
        <f ca="1">VLOOKUP($A18,OFFSET([2]quests!$A$1,0,0,COUNTA([2]quests!$A:$A),MATCH(B$1,[2]quests!$1:$1,0)-MATCH($A$1,[2]quests!$1:$1,0)+1),MATCH(B$1,[2]quests!$1:$1,0)-MATCH($A$1,[2]quests!$1:$1,0)+1,FALSE)</f>
        <v>ハップルチャレンジ</v>
      </c>
      <c r="C18" s="148" t="str">
        <f ca="1">VLOOKUP($A18,OFFSET([2]quests!$A$1,0,0,COUNTA([2]quests!$A:$A),MATCH(C$1,[2]quests!$1:$1,0)-MATCH($A$1,[2]quests!$1:$1,0)+1),MATCH(C$1,[2]quests!$1:$1,0)-MATCH($A$1,[2]quests!$1:$1,0)+1,FALSE)</f>
        <v>ランキング9</v>
      </c>
      <c r="D18" s="147">
        <v>3</v>
      </c>
      <c r="E18" s="149">
        <v>3</v>
      </c>
      <c r="F18" s="150" t="str">
        <f t="shared" si="1"/>
        <v>600260003</v>
      </c>
      <c r="G18" s="151" t="str">
        <f>F18&amp;TEXT(COUNTIF(F$2:F18,F18),"00")</f>
        <v>60026000307</v>
      </c>
      <c r="H18" s="152" t="s">
        <v>235</v>
      </c>
      <c r="I18" s="152">
        <v>125</v>
      </c>
      <c r="J18" s="152">
        <v>1</v>
      </c>
      <c r="K18" s="152">
        <v>0</v>
      </c>
      <c r="L18" s="152">
        <v>0</v>
      </c>
      <c r="M18" s="152">
        <v>0</v>
      </c>
      <c r="N18" s="152">
        <v>0</v>
      </c>
      <c r="O18" s="152">
        <v>1</v>
      </c>
      <c r="P18" s="152">
        <v>1</v>
      </c>
      <c r="Q18" s="152">
        <v>1</v>
      </c>
      <c r="R18" s="152" t="s">
        <v>236</v>
      </c>
      <c r="S18" s="152" t="s">
        <v>421</v>
      </c>
      <c r="T18" s="152" t="s">
        <v>403</v>
      </c>
      <c r="U18" s="153" t="s">
        <v>435</v>
      </c>
    </row>
    <row r="19" spans="1:21" ht="28" x14ac:dyDescent="0.15">
      <c r="A19" s="147">
        <v>60026</v>
      </c>
      <c r="B19" s="148" t="str">
        <f ca="1">VLOOKUP($A19,OFFSET([2]quests!$A$1,0,0,COUNTA([2]quests!$A:$A),MATCH(B$1,[2]quests!$1:$1,0)-MATCH($A$1,[2]quests!$1:$1,0)+1),MATCH(B$1,[2]quests!$1:$1,0)-MATCH($A$1,[2]quests!$1:$1,0)+1,FALSE)</f>
        <v>ハップルチャレンジ</v>
      </c>
      <c r="C19" s="148" t="str">
        <f ca="1">VLOOKUP($A19,OFFSET([2]quests!$A$1,0,0,COUNTA([2]quests!$A:$A),MATCH(C$1,[2]quests!$1:$1,0)-MATCH($A$1,[2]quests!$1:$1,0)+1),MATCH(C$1,[2]quests!$1:$1,0)-MATCH($A$1,[2]quests!$1:$1,0)+1,FALSE)</f>
        <v>ランキング9</v>
      </c>
      <c r="D19" s="147">
        <v>3</v>
      </c>
      <c r="E19" s="149">
        <v>3</v>
      </c>
      <c r="F19" s="150" t="str">
        <f t="shared" si="1"/>
        <v>600260003</v>
      </c>
      <c r="G19" s="151" t="str">
        <f>F19&amp;TEXT(COUNTIF(F$2:F19,F19),"00")</f>
        <v>60026000308</v>
      </c>
      <c r="H19" s="152" t="s">
        <v>322</v>
      </c>
      <c r="I19" s="152">
        <v>1</v>
      </c>
      <c r="J19" s="152">
        <v>1</v>
      </c>
      <c r="K19" s="152">
        <v>0</v>
      </c>
      <c r="L19" s="152">
        <v>0</v>
      </c>
      <c r="M19" s="152">
        <v>0</v>
      </c>
      <c r="N19" s="152">
        <v>0</v>
      </c>
      <c r="O19" s="152">
        <v>1</v>
      </c>
      <c r="P19" s="152">
        <v>1</v>
      </c>
      <c r="Q19" s="152">
        <v>1</v>
      </c>
      <c r="R19" s="152" t="s">
        <v>236</v>
      </c>
      <c r="S19" s="152" t="s">
        <v>422</v>
      </c>
      <c r="T19" s="152" t="s">
        <v>403</v>
      </c>
      <c r="U19" s="153" t="s">
        <v>435</v>
      </c>
    </row>
    <row r="20" spans="1:21" ht="28" x14ac:dyDescent="0.15">
      <c r="A20" s="147">
        <v>60026</v>
      </c>
      <c r="B20" s="148" t="str">
        <f ca="1">VLOOKUP($A20,OFFSET([2]quests!$A$1,0,0,COUNTA([2]quests!$A:$A),MATCH(B$1,[2]quests!$1:$1,0)-MATCH($A$1,[2]quests!$1:$1,0)+1),MATCH(B$1,[2]quests!$1:$1,0)-MATCH($A$1,[2]quests!$1:$1,0)+1,FALSE)</f>
        <v>ハップルチャレンジ</v>
      </c>
      <c r="C20" s="148" t="str">
        <f ca="1">VLOOKUP($A20,OFFSET([2]quests!$A$1,0,0,COUNTA([2]quests!$A:$A),MATCH(C$1,[2]quests!$1:$1,0)-MATCH($A$1,[2]quests!$1:$1,0)+1),MATCH(C$1,[2]quests!$1:$1,0)-MATCH($A$1,[2]quests!$1:$1,0)+1,FALSE)</f>
        <v>ランキング9</v>
      </c>
      <c r="D20" s="147">
        <v>4</v>
      </c>
      <c r="E20" s="149">
        <v>5</v>
      </c>
      <c r="F20" s="150" t="str">
        <f t="shared" si="1"/>
        <v>600260005</v>
      </c>
      <c r="G20" s="151" t="str">
        <f>F20&amp;TEXT(COUNTIF(F$2:F20,F20),"00")</f>
        <v>60026000501</v>
      </c>
      <c r="H20" s="152" t="s">
        <v>423</v>
      </c>
      <c r="I20" s="152">
        <v>606</v>
      </c>
      <c r="J20" s="152">
        <v>2</v>
      </c>
      <c r="K20" s="152">
        <v>0</v>
      </c>
      <c r="L20" s="152">
        <v>0</v>
      </c>
      <c r="M20" s="152">
        <v>0</v>
      </c>
      <c r="N20" s="152">
        <v>0</v>
      </c>
      <c r="O20" s="152">
        <v>1</v>
      </c>
      <c r="P20" s="152">
        <v>1</v>
      </c>
      <c r="Q20" s="152">
        <v>1</v>
      </c>
      <c r="R20" s="152" t="s">
        <v>424</v>
      </c>
      <c r="S20" s="152" t="s">
        <v>405</v>
      </c>
      <c r="T20" s="152" t="s">
        <v>403</v>
      </c>
      <c r="U20" s="153" t="s">
        <v>435</v>
      </c>
    </row>
    <row r="21" spans="1:21" ht="28" x14ac:dyDescent="0.15">
      <c r="A21" s="147">
        <v>60026</v>
      </c>
      <c r="B21" s="148" t="str">
        <f ca="1">VLOOKUP($A21,OFFSET([2]quests!$A$1,0,0,COUNTA([2]quests!$A:$A),MATCH(B$1,[2]quests!$1:$1,0)-MATCH($A$1,[2]quests!$1:$1,0)+1),MATCH(B$1,[2]quests!$1:$1,0)-MATCH($A$1,[2]quests!$1:$1,0)+1,FALSE)</f>
        <v>ハップルチャレンジ</v>
      </c>
      <c r="C21" s="148" t="str">
        <f ca="1">VLOOKUP($A21,OFFSET([2]quests!$A$1,0,0,COUNTA([2]quests!$A:$A),MATCH(C$1,[2]quests!$1:$1,0)-MATCH($A$1,[2]quests!$1:$1,0)+1),MATCH(C$1,[2]quests!$1:$1,0)-MATCH($A$1,[2]quests!$1:$1,0)+1,FALSE)</f>
        <v>ランキング9</v>
      </c>
      <c r="D21" s="147">
        <v>4</v>
      </c>
      <c r="E21" s="149">
        <v>5</v>
      </c>
      <c r="F21" s="150" t="str">
        <f t="shared" si="1"/>
        <v>600260005</v>
      </c>
      <c r="G21" s="151" t="str">
        <f>F21&amp;TEXT(COUNTIF(F$2:F21,F21),"00")</f>
        <v>60026000502</v>
      </c>
      <c r="H21" s="152" t="s">
        <v>235</v>
      </c>
      <c r="I21" s="152">
        <v>335</v>
      </c>
      <c r="J21" s="152">
        <v>1</v>
      </c>
      <c r="K21" s="152">
        <v>0</v>
      </c>
      <c r="L21" s="152">
        <v>0</v>
      </c>
      <c r="M21" s="152">
        <v>0</v>
      </c>
      <c r="N21" s="152">
        <v>0</v>
      </c>
      <c r="O21" s="152">
        <v>1</v>
      </c>
      <c r="P21" s="152">
        <v>1</v>
      </c>
      <c r="Q21" s="152">
        <v>1</v>
      </c>
      <c r="R21" s="152" t="s">
        <v>236</v>
      </c>
      <c r="S21" s="152" t="s">
        <v>417</v>
      </c>
      <c r="T21" s="152" t="s">
        <v>403</v>
      </c>
      <c r="U21" s="153" t="s">
        <v>435</v>
      </c>
    </row>
    <row r="22" spans="1:21" ht="28" x14ac:dyDescent="0.15">
      <c r="A22" s="147">
        <v>60026</v>
      </c>
      <c r="B22" s="148" t="str">
        <f ca="1">VLOOKUP($A22,OFFSET([2]quests!$A$1,0,0,COUNTA([2]quests!$A:$A),MATCH(B$1,[2]quests!$1:$1,0)-MATCH($A$1,[2]quests!$1:$1,0)+1),MATCH(B$1,[2]quests!$1:$1,0)-MATCH($A$1,[2]quests!$1:$1,0)+1,FALSE)</f>
        <v>ハップルチャレンジ</v>
      </c>
      <c r="C22" s="148" t="str">
        <f ca="1">VLOOKUP($A22,OFFSET([2]quests!$A$1,0,0,COUNTA([2]quests!$A:$A),MATCH(C$1,[2]quests!$1:$1,0)-MATCH($A$1,[2]quests!$1:$1,0)+1),MATCH(C$1,[2]quests!$1:$1,0)-MATCH($A$1,[2]quests!$1:$1,0)+1,FALSE)</f>
        <v>ランキング9</v>
      </c>
      <c r="D22" s="147">
        <v>4</v>
      </c>
      <c r="E22" s="149">
        <v>5</v>
      </c>
      <c r="F22" s="150" t="str">
        <f t="shared" si="1"/>
        <v>600260005</v>
      </c>
      <c r="G22" s="151" t="str">
        <f>F22&amp;TEXT(COUNTIF(F$2:F22,F22),"00")</f>
        <v>60026000503</v>
      </c>
      <c r="H22" s="152" t="s">
        <v>235</v>
      </c>
      <c r="I22" s="152">
        <v>339</v>
      </c>
      <c r="J22" s="152">
        <v>1</v>
      </c>
      <c r="K22" s="152">
        <v>0</v>
      </c>
      <c r="L22" s="152">
        <v>0</v>
      </c>
      <c r="M22" s="152">
        <v>0</v>
      </c>
      <c r="N22" s="152">
        <v>0</v>
      </c>
      <c r="O22" s="152">
        <v>1</v>
      </c>
      <c r="P22" s="152">
        <v>1</v>
      </c>
      <c r="Q22" s="152">
        <v>1</v>
      </c>
      <c r="R22" s="152" t="s">
        <v>236</v>
      </c>
      <c r="S22" s="152" t="s">
        <v>418</v>
      </c>
      <c r="T22" s="152" t="s">
        <v>403</v>
      </c>
      <c r="U22" s="153" t="s">
        <v>435</v>
      </c>
    </row>
    <row r="23" spans="1:21" ht="28" x14ac:dyDescent="0.15">
      <c r="A23" s="147">
        <v>60026</v>
      </c>
      <c r="B23" s="148" t="str">
        <f ca="1">VLOOKUP($A23,OFFSET([2]quests!$A$1,0,0,COUNTA([2]quests!$A:$A),MATCH(B$1,[2]quests!$1:$1,0)-MATCH($A$1,[2]quests!$1:$1,0)+1),MATCH(B$1,[2]quests!$1:$1,0)-MATCH($A$1,[2]quests!$1:$1,0)+1,FALSE)</f>
        <v>ハップルチャレンジ</v>
      </c>
      <c r="C23" s="148" t="str">
        <f ca="1">VLOOKUP($A23,OFFSET([2]quests!$A$1,0,0,COUNTA([2]quests!$A:$A),MATCH(C$1,[2]quests!$1:$1,0)-MATCH($A$1,[2]quests!$1:$1,0)+1),MATCH(C$1,[2]quests!$1:$1,0)-MATCH($A$1,[2]quests!$1:$1,0)+1,FALSE)</f>
        <v>ランキング9</v>
      </c>
      <c r="D23" s="147">
        <v>4</v>
      </c>
      <c r="E23" s="149">
        <v>5</v>
      </c>
      <c r="F23" s="150" t="str">
        <f t="shared" si="1"/>
        <v>600260005</v>
      </c>
      <c r="G23" s="151" t="str">
        <f>F23&amp;TEXT(COUNTIF(F$2:F23,F23),"00")</f>
        <v>60026000504</v>
      </c>
      <c r="H23" s="152" t="s">
        <v>235</v>
      </c>
      <c r="I23" s="152">
        <v>343</v>
      </c>
      <c r="J23" s="152">
        <v>1</v>
      </c>
      <c r="K23" s="152">
        <v>0</v>
      </c>
      <c r="L23" s="152">
        <v>0</v>
      </c>
      <c r="M23" s="152">
        <v>0</v>
      </c>
      <c r="N23" s="152">
        <v>0</v>
      </c>
      <c r="O23" s="152">
        <v>1</v>
      </c>
      <c r="P23" s="152">
        <v>1</v>
      </c>
      <c r="Q23" s="152">
        <v>1</v>
      </c>
      <c r="R23" s="152" t="s">
        <v>236</v>
      </c>
      <c r="S23" s="152" t="s">
        <v>419</v>
      </c>
      <c r="T23" s="152" t="s">
        <v>403</v>
      </c>
      <c r="U23" s="153" t="s">
        <v>435</v>
      </c>
    </row>
    <row r="24" spans="1:21" ht="28" x14ac:dyDescent="0.15">
      <c r="A24" s="147">
        <v>60026</v>
      </c>
      <c r="B24" s="148" t="str">
        <f ca="1">VLOOKUP($A24,OFFSET([2]quests!$A$1,0,0,COUNTA([2]quests!$A:$A),MATCH(B$1,[2]quests!$1:$1,0)-MATCH($A$1,[2]quests!$1:$1,0)+1),MATCH(B$1,[2]quests!$1:$1,0)-MATCH($A$1,[2]quests!$1:$1,0)+1,FALSE)</f>
        <v>ハップルチャレンジ</v>
      </c>
      <c r="C24" s="148" t="str">
        <f ca="1">VLOOKUP($A24,OFFSET([2]quests!$A$1,0,0,COUNTA([2]quests!$A:$A),MATCH(C$1,[2]quests!$1:$1,0)-MATCH($A$1,[2]quests!$1:$1,0)+1),MATCH(C$1,[2]quests!$1:$1,0)-MATCH($A$1,[2]quests!$1:$1,0)+1,FALSE)</f>
        <v>ランキング9</v>
      </c>
      <c r="D24" s="147">
        <v>4</v>
      </c>
      <c r="E24" s="149">
        <v>5</v>
      </c>
      <c r="F24" s="150" t="str">
        <f t="shared" si="1"/>
        <v>600260005</v>
      </c>
      <c r="G24" s="151" t="str">
        <f>F24&amp;TEXT(COUNTIF(F$2:F24,F24),"00")</f>
        <v>60026000505</v>
      </c>
      <c r="H24" s="152" t="s">
        <v>235</v>
      </c>
      <c r="I24" s="152">
        <v>347</v>
      </c>
      <c r="J24" s="152">
        <v>1</v>
      </c>
      <c r="K24" s="152">
        <v>0</v>
      </c>
      <c r="L24" s="152">
        <v>0</v>
      </c>
      <c r="M24" s="152">
        <v>0</v>
      </c>
      <c r="N24" s="152">
        <v>0</v>
      </c>
      <c r="O24" s="152">
        <v>1</v>
      </c>
      <c r="P24" s="152">
        <v>1</v>
      </c>
      <c r="Q24" s="152">
        <v>1</v>
      </c>
      <c r="R24" s="152" t="s">
        <v>236</v>
      </c>
      <c r="S24" s="152" t="s">
        <v>420</v>
      </c>
      <c r="T24" s="152" t="s">
        <v>403</v>
      </c>
      <c r="U24" s="153" t="s">
        <v>435</v>
      </c>
    </row>
    <row r="25" spans="1:21" ht="28" x14ac:dyDescent="0.15">
      <c r="A25" s="147">
        <v>60026</v>
      </c>
      <c r="B25" s="148" t="str">
        <f ca="1">VLOOKUP($A25,OFFSET([2]quests!$A$1,0,0,COUNTA([2]quests!$A:$A),MATCH(B$1,[2]quests!$1:$1,0)-MATCH($A$1,[2]quests!$1:$1,0)+1),MATCH(B$1,[2]quests!$1:$1,0)-MATCH($A$1,[2]quests!$1:$1,0)+1,FALSE)</f>
        <v>ハップルチャレンジ</v>
      </c>
      <c r="C25" s="148" t="str">
        <f ca="1">VLOOKUP($A25,OFFSET([2]quests!$A$1,0,0,COUNTA([2]quests!$A:$A),MATCH(C$1,[2]quests!$1:$1,0)-MATCH($A$1,[2]quests!$1:$1,0)+1),MATCH(C$1,[2]quests!$1:$1,0)-MATCH($A$1,[2]quests!$1:$1,0)+1,FALSE)</f>
        <v>ランキング9</v>
      </c>
      <c r="D25" s="147">
        <v>4</v>
      </c>
      <c r="E25" s="149">
        <v>5</v>
      </c>
      <c r="F25" s="150" t="str">
        <f t="shared" si="1"/>
        <v>600260005</v>
      </c>
      <c r="G25" s="151" t="str">
        <f>F25&amp;TEXT(COUNTIF(F$2:F25,F25),"00")</f>
        <v>60026000506</v>
      </c>
      <c r="H25" s="152" t="s">
        <v>406</v>
      </c>
      <c r="I25" s="152">
        <v>5</v>
      </c>
      <c r="J25" s="152" t="s">
        <v>53</v>
      </c>
      <c r="K25" s="152">
        <v>0</v>
      </c>
      <c r="L25" s="152">
        <v>0</v>
      </c>
      <c r="M25" s="152">
        <v>0</v>
      </c>
      <c r="N25" s="152">
        <v>0</v>
      </c>
      <c r="O25" s="152">
        <v>1</v>
      </c>
      <c r="P25" s="152">
        <v>1</v>
      </c>
      <c r="Q25" s="152">
        <v>1</v>
      </c>
      <c r="R25" s="152" t="s">
        <v>236</v>
      </c>
      <c r="S25" s="152" t="s">
        <v>413</v>
      </c>
      <c r="T25" s="152" t="s">
        <v>403</v>
      </c>
      <c r="U25" s="153" t="s">
        <v>435</v>
      </c>
    </row>
    <row r="26" spans="1:21" ht="28" x14ac:dyDescent="0.15">
      <c r="A26" s="147">
        <v>60026</v>
      </c>
      <c r="B26" s="148" t="str">
        <f ca="1">VLOOKUP($A26,OFFSET([2]quests!$A$1,0,0,COUNTA([2]quests!$A:$A),MATCH(B$1,[2]quests!$1:$1,0)-MATCH($A$1,[2]quests!$1:$1,0)+1),MATCH(B$1,[2]quests!$1:$1,0)-MATCH($A$1,[2]quests!$1:$1,0)+1,FALSE)</f>
        <v>ハップルチャレンジ</v>
      </c>
      <c r="C26" s="148" t="str">
        <f ca="1">VLOOKUP($A26,OFFSET([2]quests!$A$1,0,0,COUNTA([2]quests!$A:$A),MATCH(C$1,[2]quests!$1:$1,0)-MATCH($A$1,[2]quests!$1:$1,0)+1),MATCH(C$1,[2]quests!$1:$1,0)-MATCH($A$1,[2]quests!$1:$1,0)+1,FALSE)</f>
        <v>ランキング9</v>
      </c>
      <c r="D26" s="147">
        <v>4</v>
      </c>
      <c r="E26" s="149">
        <v>5</v>
      </c>
      <c r="F26" s="150" t="str">
        <f t="shared" si="1"/>
        <v>600260005</v>
      </c>
      <c r="G26" s="151" t="str">
        <f>F26&amp;TEXT(COUNTIF(F$2:F26,F26),"00")</f>
        <v>60026000507</v>
      </c>
      <c r="H26" s="152" t="s">
        <v>323</v>
      </c>
      <c r="I26" s="152">
        <v>2000</v>
      </c>
      <c r="J26" s="152" t="s">
        <v>53</v>
      </c>
      <c r="K26" s="152">
        <v>0</v>
      </c>
      <c r="L26" s="152">
        <v>0</v>
      </c>
      <c r="M26" s="152">
        <v>0</v>
      </c>
      <c r="N26" s="152">
        <v>0</v>
      </c>
      <c r="O26" s="152">
        <v>1</v>
      </c>
      <c r="P26" s="152">
        <v>1</v>
      </c>
      <c r="Q26" s="152">
        <v>1</v>
      </c>
      <c r="R26" s="152" t="s">
        <v>236</v>
      </c>
      <c r="S26" s="152" t="s">
        <v>325</v>
      </c>
      <c r="T26" s="152" t="s">
        <v>403</v>
      </c>
      <c r="U26" s="153" t="s">
        <v>435</v>
      </c>
    </row>
    <row r="27" spans="1:21" ht="28" x14ac:dyDescent="0.15">
      <c r="A27" s="147">
        <v>60026</v>
      </c>
      <c r="B27" s="148" t="str">
        <f ca="1">VLOOKUP($A27,OFFSET([2]quests!$A$1,0,0,COUNTA([2]quests!$A:$A),MATCH(B$1,[2]quests!$1:$1,0)-MATCH($A$1,[2]quests!$1:$1,0)+1),MATCH(B$1,[2]quests!$1:$1,0)-MATCH($A$1,[2]quests!$1:$1,0)+1,FALSE)</f>
        <v>ハップルチャレンジ</v>
      </c>
      <c r="C27" s="148" t="str">
        <f ca="1">VLOOKUP($A27,OFFSET([2]quests!$A$1,0,0,COUNTA([2]quests!$A:$A),MATCH(C$1,[2]quests!$1:$1,0)-MATCH($A$1,[2]quests!$1:$1,0)+1),MATCH(C$1,[2]quests!$1:$1,0)-MATCH($A$1,[2]quests!$1:$1,0)+1,FALSE)</f>
        <v>ランキング9</v>
      </c>
      <c r="D27" s="147">
        <v>6</v>
      </c>
      <c r="E27" s="149">
        <v>10</v>
      </c>
      <c r="F27" s="150" t="str">
        <f>A27&amp;TEXT(E27,"0000")</f>
        <v>600260010</v>
      </c>
      <c r="G27" s="151" t="str">
        <f>F27&amp;TEXT(COUNTIF(F$2:F27,F27),"00")</f>
        <v>60026001001</v>
      </c>
      <c r="H27" s="152" t="s">
        <v>322</v>
      </c>
      <c r="I27" s="152">
        <v>606</v>
      </c>
      <c r="J27" s="152">
        <v>1</v>
      </c>
      <c r="K27" s="152">
        <v>0</v>
      </c>
      <c r="L27" s="152">
        <v>0</v>
      </c>
      <c r="M27" s="152">
        <v>0</v>
      </c>
      <c r="N27" s="152">
        <v>0</v>
      </c>
      <c r="O27" s="152">
        <v>1</v>
      </c>
      <c r="P27" s="152">
        <v>1</v>
      </c>
      <c r="Q27" s="152">
        <v>1</v>
      </c>
      <c r="R27" s="152" t="s">
        <v>236</v>
      </c>
      <c r="S27" s="152" t="s">
        <v>412</v>
      </c>
      <c r="T27" s="152" t="s">
        <v>403</v>
      </c>
      <c r="U27" s="153" t="s">
        <v>435</v>
      </c>
    </row>
    <row r="28" spans="1:21" ht="28" x14ac:dyDescent="0.15">
      <c r="A28" s="147">
        <v>60026</v>
      </c>
      <c r="B28" s="148" t="str">
        <f ca="1">VLOOKUP($A28,OFFSET([2]quests!$A$1,0,0,COUNTA([2]quests!$A:$A),MATCH(B$1,[2]quests!$1:$1,0)-MATCH($A$1,[2]quests!$1:$1,0)+1),MATCH(B$1,[2]quests!$1:$1,0)-MATCH($A$1,[2]quests!$1:$1,0)+1,FALSE)</f>
        <v>ハップルチャレンジ</v>
      </c>
      <c r="C28" s="148" t="str">
        <f ca="1">VLOOKUP($A28,OFFSET([2]quests!$A$1,0,0,COUNTA([2]quests!$A:$A),MATCH(C$1,[2]quests!$1:$1,0)-MATCH($A$1,[2]quests!$1:$1,0)+1),MATCH(C$1,[2]quests!$1:$1,0)-MATCH($A$1,[2]quests!$1:$1,0)+1,FALSE)</f>
        <v>ランキング9</v>
      </c>
      <c r="D28" s="147">
        <v>6</v>
      </c>
      <c r="E28" s="149">
        <v>10</v>
      </c>
      <c r="F28" s="150" t="str">
        <f t="shared" ref="F28:F42" si="2">A28&amp;TEXT(E28,"0000")</f>
        <v>600260010</v>
      </c>
      <c r="G28" s="151" t="str">
        <f>F28&amp;TEXT(COUNTIF(F$2:F28,F28),"00")</f>
        <v>60026001002</v>
      </c>
      <c r="H28" s="152" t="s">
        <v>235</v>
      </c>
      <c r="I28" s="152">
        <v>334</v>
      </c>
      <c r="J28" s="152">
        <v>1</v>
      </c>
      <c r="K28" s="152">
        <v>0</v>
      </c>
      <c r="L28" s="152">
        <v>0</v>
      </c>
      <c r="M28" s="152">
        <v>0</v>
      </c>
      <c r="N28" s="152">
        <v>0</v>
      </c>
      <c r="O28" s="152">
        <v>1</v>
      </c>
      <c r="P28" s="152">
        <v>1</v>
      </c>
      <c r="Q28" s="152">
        <v>1</v>
      </c>
      <c r="R28" s="152" t="s">
        <v>236</v>
      </c>
      <c r="S28" s="152" t="s">
        <v>425</v>
      </c>
      <c r="T28" s="152" t="s">
        <v>403</v>
      </c>
      <c r="U28" s="153" t="s">
        <v>435</v>
      </c>
    </row>
    <row r="29" spans="1:21" ht="28" x14ac:dyDescent="0.15">
      <c r="A29" s="147">
        <v>60026</v>
      </c>
      <c r="B29" s="148" t="str">
        <f ca="1">VLOOKUP($A29,OFFSET([2]quests!$A$1,0,0,COUNTA([2]quests!$A:$A),MATCH(B$1,[2]quests!$1:$1,0)-MATCH($A$1,[2]quests!$1:$1,0)+1),MATCH(B$1,[2]quests!$1:$1,0)-MATCH($A$1,[2]quests!$1:$1,0)+1,FALSE)</f>
        <v>ハップルチャレンジ</v>
      </c>
      <c r="C29" s="148" t="str">
        <f ca="1">VLOOKUP($A29,OFFSET([2]quests!$A$1,0,0,COUNTA([2]quests!$A:$A),MATCH(C$1,[2]quests!$1:$1,0)-MATCH($A$1,[2]quests!$1:$1,0)+1),MATCH(C$1,[2]quests!$1:$1,0)-MATCH($A$1,[2]quests!$1:$1,0)+1,FALSE)</f>
        <v>ランキング9</v>
      </c>
      <c r="D29" s="147">
        <v>6</v>
      </c>
      <c r="E29" s="149">
        <v>10</v>
      </c>
      <c r="F29" s="150" t="str">
        <f t="shared" si="2"/>
        <v>600260010</v>
      </c>
      <c r="G29" s="151" t="str">
        <f>F29&amp;TEXT(COUNTIF(F$2:F29,F29),"00")</f>
        <v>60026001003</v>
      </c>
      <c r="H29" s="152" t="s">
        <v>235</v>
      </c>
      <c r="I29" s="152">
        <v>338</v>
      </c>
      <c r="J29" s="152">
        <v>1</v>
      </c>
      <c r="K29" s="152">
        <v>0</v>
      </c>
      <c r="L29" s="152">
        <v>0</v>
      </c>
      <c r="M29" s="152">
        <v>0</v>
      </c>
      <c r="N29" s="152">
        <v>0</v>
      </c>
      <c r="O29" s="152">
        <v>1</v>
      </c>
      <c r="P29" s="152">
        <v>1</v>
      </c>
      <c r="Q29" s="152">
        <v>1</v>
      </c>
      <c r="R29" s="152" t="s">
        <v>236</v>
      </c>
      <c r="S29" s="152" t="s">
        <v>426</v>
      </c>
      <c r="T29" s="152" t="s">
        <v>403</v>
      </c>
      <c r="U29" s="153" t="s">
        <v>435</v>
      </c>
    </row>
    <row r="30" spans="1:21" ht="28" x14ac:dyDescent="0.15">
      <c r="A30" s="147">
        <v>60026</v>
      </c>
      <c r="B30" s="148" t="str">
        <f ca="1">VLOOKUP($A30,OFFSET([2]quests!$A$1,0,0,COUNTA([2]quests!$A:$A),MATCH(B$1,[2]quests!$1:$1,0)-MATCH($A$1,[2]quests!$1:$1,0)+1),MATCH(B$1,[2]quests!$1:$1,0)-MATCH($A$1,[2]quests!$1:$1,0)+1,FALSE)</f>
        <v>ハップルチャレンジ</v>
      </c>
      <c r="C30" s="148" t="str">
        <f ca="1">VLOOKUP($A30,OFFSET([2]quests!$A$1,0,0,COUNTA([2]quests!$A:$A),MATCH(C$1,[2]quests!$1:$1,0)-MATCH($A$1,[2]quests!$1:$1,0)+1),MATCH(C$1,[2]quests!$1:$1,0)-MATCH($A$1,[2]quests!$1:$1,0)+1,FALSE)</f>
        <v>ランキング9</v>
      </c>
      <c r="D30" s="147">
        <v>6</v>
      </c>
      <c r="E30" s="149">
        <v>10</v>
      </c>
      <c r="F30" s="150" t="str">
        <f t="shared" si="2"/>
        <v>600260010</v>
      </c>
      <c r="G30" s="151" t="str">
        <f>F30&amp;TEXT(COUNTIF(F$2:F30,F30),"00")</f>
        <v>60026001004</v>
      </c>
      <c r="H30" s="152" t="s">
        <v>235</v>
      </c>
      <c r="I30" s="152">
        <v>342</v>
      </c>
      <c r="J30" s="152">
        <v>1</v>
      </c>
      <c r="K30" s="152">
        <v>0</v>
      </c>
      <c r="L30" s="152">
        <v>0</v>
      </c>
      <c r="M30" s="152">
        <v>0</v>
      </c>
      <c r="N30" s="152">
        <v>0</v>
      </c>
      <c r="O30" s="152">
        <v>1</v>
      </c>
      <c r="P30" s="152">
        <v>1</v>
      </c>
      <c r="Q30" s="152">
        <v>1</v>
      </c>
      <c r="R30" s="152" t="s">
        <v>236</v>
      </c>
      <c r="S30" s="152" t="s">
        <v>427</v>
      </c>
      <c r="T30" s="152" t="s">
        <v>403</v>
      </c>
      <c r="U30" s="153" t="s">
        <v>435</v>
      </c>
    </row>
    <row r="31" spans="1:21" ht="28" x14ac:dyDescent="0.15">
      <c r="A31" s="147">
        <v>60026</v>
      </c>
      <c r="B31" s="148" t="str">
        <f ca="1">VLOOKUP($A31,OFFSET([2]quests!$A$1,0,0,COUNTA([2]quests!$A:$A),MATCH(B$1,[2]quests!$1:$1,0)-MATCH($A$1,[2]quests!$1:$1,0)+1),MATCH(B$1,[2]quests!$1:$1,0)-MATCH($A$1,[2]quests!$1:$1,0)+1,FALSE)</f>
        <v>ハップルチャレンジ</v>
      </c>
      <c r="C31" s="148" t="str">
        <f ca="1">VLOOKUP($A31,OFFSET([2]quests!$A$1,0,0,COUNTA([2]quests!$A:$A),MATCH(C$1,[2]quests!$1:$1,0)-MATCH($A$1,[2]quests!$1:$1,0)+1),MATCH(C$1,[2]quests!$1:$1,0)-MATCH($A$1,[2]quests!$1:$1,0)+1,FALSE)</f>
        <v>ランキング9</v>
      </c>
      <c r="D31" s="147">
        <v>6</v>
      </c>
      <c r="E31" s="149">
        <v>10</v>
      </c>
      <c r="F31" s="150" t="str">
        <f t="shared" si="2"/>
        <v>600260010</v>
      </c>
      <c r="G31" s="151" t="str">
        <f>F31&amp;TEXT(COUNTIF(F$2:F31,F31),"00")</f>
        <v>60026001005</v>
      </c>
      <c r="H31" s="152" t="s">
        <v>235</v>
      </c>
      <c r="I31" s="152">
        <v>346</v>
      </c>
      <c r="J31" s="152">
        <v>1</v>
      </c>
      <c r="K31" s="152">
        <v>0</v>
      </c>
      <c r="L31" s="152">
        <v>0</v>
      </c>
      <c r="M31" s="152">
        <v>0</v>
      </c>
      <c r="N31" s="152">
        <v>0</v>
      </c>
      <c r="O31" s="152">
        <v>1</v>
      </c>
      <c r="P31" s="152">
        <v>1</v>
      </c>
      <c r="Q31" s="152">
        <v>1</v>
      </c>
      <c r="R31" s="152" t="s">
        <v>236</v>
      </c>
      <c r="S31" s="152" t="s">
        <v>428</v>
      </c>
      <c r="T31" s="152" t="s">
        <v>403</v>
      </c>
      <c r="U31" s="153" t="s">
        <v>435</v>
      </c>
    </row>
    <row r="32" spans="1:21" ht="28" x14ac:dyDescent="0.15">
      <c r="A32" s="147">
        <v>60026</v>
      </c>
      <c r="B32" s="148" t="str">
        <f ca="1">VLOOKUP($A32,OFFSET([2]quests!$A$1,0,0,COUNTA([2]quests!$A:$A),MATCH(B$1,[2]quests!$1:$1,0)-MATCH($A$1,[2]quests!$1:$1,0)+1),MATCH(B$1,[2]quests!$1:$1,0)-MATCH($A$1,[2]quests!$1:$1,0)+1,FALSE)</f>
        <v>ハップルチャレンジ</v>
      </c>
      <c r="C32" s="148" t="str">
        <f ca="1">VLOOKUP($A32,OFFSET([2]quests!$A$1,0,0,COUNTA([2]quests!$A:$A),MATCH(C$1,[2]quests!$1:$1,0)-MATCH($A$1,[2]quests!$1:$1,0)+1),MATCH(C$1,[2]quests!$1:$1,0)-MATCH($A$1,[2]quests!$1:$1,0)+1,FALSE)</f>
        <v>ランキング9</v>
      </c>
      <c r="D32" s="147">
        <v>6</v>
      </c>
      <c r="E32" s="149">
        <v>10</v>
      </c>
      <c r="F32" s="150" t="str">
        <f t="shared" si="2"/>
        <v>600260010</v>
      </c>
      <c r="G32" s="151" t="str">
        <f>F32&amp;TEXT(COUNTIF(F$2:F32,F32),"00")</f>
        <v>60026001006</v>
      </c>
      <c r="H32" s="152" t="s">
        <v>406</v>
      </c>
      <c r="I32" s="152">
        <v>3</v>
      </c>
      <c r="J32" s="152" t="s">
        <v>53</v>
      </c>
      <c r="K32" s="152">
        <v>0</v>
      </c>
      <c r="L32" s="152">
        <v>0</v>
      </c>
      <c r="M32" s="152">
        <v>0</v>
      </c>
      <c r="N32" s="152">
        <v>0</v>
      </c>
      <c r="O32" s="152">
        <v>1</v>
      </c>
      <c r="P32" s="152">
        <v>1</v>
      </c>
      <c r="Q32" s="152">
        <v>1</v>
      </c>
      <c r="R32" s="152" t="s">
        <v>236</v>
      </c>
      <c r="S32" s="152" t="s">
        <v>429</v>
      </c>
      <c r="T32" s="152" t="s">
        <v>403</v>
      </c>
      <c r="U32" s="153" t="s">
        <v>435</v>
      </c>
    </row>
    <row r="33" spans="1:21" ht="28" x14ac:dyDescent="0.15">
      <c r="A33" s="147">
        <v>60026</v>
      </c>
      <c r="B33" s="148" t="str">
        <f ca="1">VLOOKUP($A33,OFFSET([2]quests!$A$1,0,0,COUNTA([2]quests!$A:$A),MATCH(B$1,[2]quests!$1:$1,0)-MATCH($A$1,[2]quests!$1:$1,0)+1),MATCH(B$1,[2]quests!$1:$1,0)-MATCH($A$1,[2]quests!$1:$1,0)+1,FALSE)</f>
        <v>ハップルチャレンジ</v>
      </c>
      <c r="C33" s="148" t="str">
        <f ca="1">VLOOKUP($A33,OFFSET([2]quests!$A$1,0,0,COUNTA([2]quests!$A:$A),MATCH(C$1,[2]quests!$1:$1,0)-MATCH($A$1,[2]quests!$1:$1,0)+1),MATCH(C$1,[2]quests!$1:$1,0)-MATCH($A$1,[2]quests!$1:$1,0)+1,FALSE)</f>
        <v>ランキング9</v>
      </c>
      <c r="D33" s="147">
        <v>6</v>
      </c>
      <c r="E33" s="149">
        <v>10</v>
      </c>
      <c r="F33" s="150" t="str">
        <f t="shared" si="2"/>
        <v>600260010</v>
      </c>
      <c r="G33" s="151" t="str">
        <f>F33&amp;TEXT(COUNTIF(F$2:F33,F33),"00")</f>
        <v>60026001007</v>
      </c>
      <c r="H33" s="152" t="s">
        <v>323</v>
      </c>
      <c r="I33" s="152">
        <v>2000</v>
      </c>
      <c r="J33" s="152" t="s">
        <v>53</v>
      </c>
      <c r="K33" s="152">
        <v>0</v>
      </c>
      <c r="L33" s="152">
        <v>0</v>
      </c>
      <c r="M33" s="152">
        <v>0</v>
      </c>
      <c r="N33" s="152">
        <v>0</v>
      </c>
      <c r="O33" s="152">
        <v>1</v>
      </c>
      <c r="P33" s="152">
        <v>1</v>
      </c>
      <c r="Q33" s="152">
        <v>1</v>
      </c>
      <c r="R33" s="152" t="s">
        <v>236</v>
      </c>
      <c r="S33" s="152" t="s">
        <v>325</v>
      </c>
      <c r="T33" s="152" t="s">
        <v>403</v>
      </c>
      <c r="U33" s="153" t="s">
        <v>435</v>
      </c>
    </row>
    <row r="34" spans="1:21" ht="28" x14ac:dyDescent="0.15">
      <c r="A34" s="147">
        <v>60026</v>
      </c>
      <c r="B34" s="148" t="str">
        <f ca="1">VLOOKUP($A34,OFFSET([2]quests!$A$1,0,0,COUNTA([2]quests!$A:$A),MATCH(B$1,[2]quests!$1:$1,0)-MATCH($A$1,[2]quests!$1:$1,0)+1),MATCH(B$1,[2]quests!$1:$1,0)-MATCH($A$1,[2]quests!$1:$1,0)+1,FALSE)</f>
        <v>ハップルチャレンジ</v>
      </c>
      <c r="C34" s="148" t="str">
        <f ca="1">VLOOKUP($A34,OFFSET([2]quests!$A$1,0,0,COUNTA([2]quests!$A:$A),MATCH(C$1,[2]quests!$1:$1,0)-MATCH($A$1,[2]quests!$1:$1,0)+1),MATCH(C$1,[2]quests!$1:$1,0)-MATCH($A$1,[2]quests!$1:$1,0)+1,FALSE)</f>
        <v>ランキング9</v>
      </c>
      <c r="D34" s="147">
        <v>11</v>
      </c>
      <c r="E34" s="149">
        <v>25</v>
      </c>
      <c r="F34" s="150" t="str">
        <f t="shared" si="2"/>
        <v>600260025</v>
      </c>
      <c r="G34" s="151" t="str">
        <f>F34&amp;TEXT(COUNTIF(F$2:F34,F34),"00")</f>
        <v>60026002501</v>
      </c>
      <c r="H34" s="152" t="s">
        <v>406</v>
      </c>
      <c r="I34" s="152">
        <v>3</v>
      </c>
      <c r="J34" s="152" t="s">
        <v>53</v>
      </c>
      <c r="K34" s="152">
        <v>0</v>
      </c>
      <c r="L34" s="152">
        <v>0</v>
      </c>
      <c r="M34" s="152">
        <v>0</v>
      </c>
      <c r="N34" s="152">
        <v>0</v>
      </c>
      <c r="O34" s="152">
        <v>1</v>
      </c>
      <c r="P34" s="152">
        <v>1</v>
      </c>
      <c r="Q34" s="152">
        <v>1</v>
      </c>
      <c r="R34" s="152" t="s">
        <v>236</v>
      </c>
      <c r="S34" s="152" t="s">
        <v>429</v>
      </c>
      <c r="T34" s="152" t="s">
        <v>403</v>
      </c>
      <c r="U34" s="153" t="s">
        <v>435</v>
      </c>
    </row>
    <row r="35" spans="1:21" ht="28" x14ac:dyDescent="0.15">
      <c r="A35" s="147">
        <v>60026</v>
      </c>
      <c r="B35" s="148" t="str">
        <f ca="1">VLOOKUP($A35,OFFSET([2]quests!$A$1,0,0,COUNTA([2]quests!$A:$A),MATCH(B$1,[2]quests!$1:$1,0)-MATCH($A$1,[2]quests!$1:$1,0)+1),MATCH(B$1,[2]quests!$1:$1,0)-MATCH($A$1,[2]quests!$1:$1,0)+1,FALSE)</f>
        <v>ハップルチャレンジ</v>
      </c>
      <c r="C35" s="148" t="str">
        <f ca="1">VLOOKUP($A35,OFFSET([2]quests!$A$1,0,0,COUNTA([2]quests!$A:$A),MATCH(C$1,[2]quests!$1:$1,0)-MATCH($A$1,[2]quests!$1:$1,0)+1),MATCH(C$1,[2]quests!$1:$1,0)-MATCH($A$1,[2]quests!$1:$1,0)+1,FALSE)</f>
        <v>ランキング9</v>
      </c>
      <c r="D35" s="147">
        <v>11</v>
      </c>
      <c r="E35" s="149">
        <v>25</v>
      </c>
      <c r="F35" s="150" t="str">
        <f t="shared" si="2"/>
        <v>600260025</v>
      </c>
      <c r="G35" s="151" t="str">
        <f>F35&amp;TEXT(COUNTIF(F$2:F35,F35),"00")</f>
        <v>60026002502</v>
      </c>
      <c r="H35" s="152" t="s">
        <v>323</v>
      </c>
      <c r="I35" s="152">
        <v>2000</v>
      </c>
      <c r="J35" s="152" t="s">
        <v>53</v>
      </c>
      <c r="K35" s="152">
        <v>0</v>
      </c>
      <c r="L35" s="152">
        <v>0</v>
      </c>
      <c r="M35" s="152">
        <v>0</v>
      </c>
      <c r="N35" s="152">
        <v>0</v>
      </c>
      <c r="O35" s="152">
        <v>1</v>
      </c>
      <c r="P35" s="152">
        <v>1</v>
      </c>
      <c r="Q35" s="152">
        <v>1</v>
      </c>
      <c r="R35" s="152" t="s">
        <v>236</v>
      </c>
      <c r="S35" s="152" t="s">
        <v>325</v>
      </c>
      <c r="T35" s="152" t="s">
        <v>403</v>
      </c>
      <c r="U35" s="153" t="s">
        <v>435</v>
      </c>
    </row>
    <row r="36" spans="1:21" ht="28" x14ac:dyDescent="0.15">
      <c r="A36" s="147">
        <v>60026</v>
      </c>
      <c r="B36" s="148" t="str">
        <f ca="1">VLOOKUP($A36,OFFSET([2]quests!$A$1,0,0,COUNTA([2]quests!$A:$A),MATCH(B$1,[2]quests!$1:$1,0)-MATCH($A$1,[2]quests!$1:$1,0)+1),MATCH(B$1,[2]quests!$1:$1,0)-MATCH($A$1,[2]quests!$1:$1,0)+1,FALSE)</f>
        <v>ハップルチャレンジ</v>
      </c>
      <c r="C36" s="148" t="str">
        <f ca="1">VLOOKUP($A36,OFFSET([2]quests!$A$1,0,0,COUNTA([2]quests!$A:$A),MATCH(C$1,[2]quests!$1:$1,0)-MATCH($A$1,[2]quests!$1:$1,0)+1),MATCH(C$1,[2]quests!$1:$1,0)-MATCH($A$1,[2]quests!$1:$1,0)+1,FALSE)</f>
        <v>ランキング9</v>
      </c>
      <c r="D36" s="147">
        <v>11</v>
      </c>
      <c r="E36" s="149">
        <v>25</v>
      </c>
      <c r="F36" s="150" t="str">
        <f t="shared" si="2"/>
        <v>600260025</v>
      </c>
      <c r="G36" s="151" t="str">
        <f>F36&amp;TEXT(COUNTIF(F$2:F36,F36),"00")</f>
        <v>60026002503</v>
      </c>
      <c r="H36" s="152" t="s">
        <v>326</v>
      </c>
      <c r="I36" s="152">
        <v>200000</v>
      </c>
      <c r="J36" s="152" t="s">
        <v>53</v>
      </c>
      <c r="K36" s="152">
        <v>0</v>
      </c>
      <c r="L36" s="152">
        <v>0</v>
      </c>
      <c r="M36" s="152">
        <v>0</v>
      </c>
      <c r="N36" s="152">
        <v>0</v>
      </c>
      <c r="O36" s="152">
        <v>1</v>
      </c>
      <c r="P36" s="152">
        <v>1</v>
      </c>
      <c r="Q36" s="152">
        <v>1</v>
      </c>
      <c r="R36" s="152" t="s">
        <v>236</v>
      </c>
      <c r="S36" s="152" t="s">
        <v>430</v>
      </c>
      <c r="T36" s="152" t="s">
        <v>403</v>
      </c>
      <c r="U36" s="153" t="s">
        <v>435</v>
      </c>
    </row>
    <row r="37" spans="1:21" ht="28" x14ac:dyDescent="0.15">
      <c r="A37" s="147">
        <v>60026</v>
      </c>
      <c r="B37" s="148" t="str">
        <f ca="1">VLOOKUP($A37,OFFSET([2]quests!$A$1,0,0,COUNTA([2]quests!$A:$A),MATCH(B$1,[2]quests!$1:$1,0)-MATCH($A$1,[2]quests!$1:$1,0)+1),MATCH(B$1,[2]quests!$1:$1,0)-MATCH($A$1,[2]quests!$1:$1,0)+1,FALSE)</f>
        <v>ハップルチャレンジ</v>
      </c>
      <c r="C37" s="148" t="str">
        <f ca="1">VLOOKUP($A37,OFFSET([2]quests!$A$1,0,0,COUNTA([2]quests!$A:$A),MATCH(C$1,[2]quests!$1:$1,0)-MATCH($A$1,[2]quests!$1:$1,0)+1),MATCH(C$1,[2]quests!$1:$1,0)-MATCH($A$1,[2]quests!$1:$1,0)+1,FALSE)</f>
        <v>ランキング9</v>
      </c>
      <c r="D37" s="147">
        <v>26</v>
      </c>
      <c r="E37" s="149">
        <v>35</v>
      </c>
      <c r="F37" s="150" t="str">
        <f t="shared" si="2"/>
        <v>600260035</v>
      </c>
      <c r="G37" s="151" t="str">
        <f>F37&amp;TEXT(COUNTIF(F$2:F37,F37),"00")</f>
        <v>60026003501</v>
      </c>
      <c r="H37" s="152" t="s">
        <v>406</v>
      </c>
      <c r="I37" s="152">
        <v>2</v>
      </c>
      <c r="J37" s="152" t="s">
        <v>53</v>
      </c>
      <c r="K37" s="152">
        <v>0</v>
      </c>
      <c r="L37" s="152">
        <v>0</v>
      </c>
      <c r="M37" s="152">
        <v>0</v>
      </c>
      <c r="N37" s="152">
        <v>0</v>
      </c>
      <c r="O37" s="152">
        <v>1</v>
      </c>
      <c r="P37" s="152">
        <v>1</v>
      </c>
      <c r="Q37" s="152">
        <v>1</v>
      </c>
      <c r="R37" s="152" t="s">
        <v>236</v>
      </c>
      <c r="S37" s="152" t="s">
        <v>431</v>
      </c>
      <c r="T37" s="152" t="s">
        <v>403</v>
      </c>
      <c r="U37" s="153" t="s">
        <v>435</v>
      </c>
    </row>
    <row r="38" spans="1:21" ht="28" x14ac:dyDescent="0.15">
      <c r="A38" s="147">
        <v>60026</v>
      </c>
      <c r="B38" s="148" t="str">
        <f ca="1">VLOOKUP($A38,OFFSET([2]quests!$A$1,0,0,COUNTA([2]quests!$A:$A),MATCH(B$1,[2]quests!$1:$1,0)-MATCH($A$1,[2]quests!$1:$1,0)+1),MATCH(B$1,[2]quests!$1:$1,0)-MATCH($A$1,[2]quests!$1:$1,0)+1,FALSE)</f>
        <v>ハップルチャレンジ</v>
      </c>
      <c r="C38" s="148" t="str">
        <f ca="1">VLOOKUP($A38,OFFSET([2]quests!$A$1,0,0,COUNTA([2]quests!$A:$A),MATCH(C$1,[2]quests!$1:$1,0)-MATCH($A$1,[2]quests!$1:$1,0)+1),MATCH(C$1,[2]quests!$1:$1,0)-MATCH($A$1,[2]quests!$1:$1,0)+1,FALSE)</f>
        <v>ランキング9</v>
      </c>
      <c r="D38" s="147">
        <v>26</v>
      </c>
      <c r="E38" s="149">
        <v>35</v>
      </c>
      <c r="F38" s="150" t="str">
        <f t="shared" si="2"/>
        <v>600260035</v>
      </c>
      <c r="G38" s="151" t="str">
        <f>F38&amp;TEXT(COUNTIF(F$2:F38,F38),"00")</f>
        <v>60026003502</v>
      </c>
      <c r="H38" s="152" t="s">
        <v>323</v>
      </c>
      <c r="I38" s="152">
        <v>1000</v>
      </c>
      <c r="J38" s="152" t="s">
        <v>53</v>
      </c>
      <c r="K38" s="152">
        <v>0</v>
      </c>
      <c r="L38" s="152">
        <v>0</v>
      </c>
      <c r="M38" s="152">
        <v>0</v>
      </c>
      <c r="N38" s="152">
        <v>0</v>
      </c>
      <c r="O38" s="152">
        <v>1</v>
      </c>
      <c r="P38" s="152">
        <v>1</v>
      </c>
      <c r="Q38" s="152">
        <v>1</v>
      </c>
      <c r="R38" s="152" t="s">
        <v>236</v>
      </c>
      <c r="S38" s="152" t="s">
        <v>432</v>
      </c>
      <c r="T38" s="152" t="s">
        <v>403</v>
      </c>
      <c r="U38" s="153" t="s">
        <v>435</v>
      </c>
    </row>
    <row r="39" spans="1:21" ht="28" x14ac:dyDescent="0.15">
      <c r="A39" s="147">
        <v>60026</v>
      </c>
      <c r="B39" s="148" t="str">
        <f ca="1">VLOOKUP($A39,OFFSET([2]quests!$A$1,0,0,COUNTA([2]quests!$A:$A),MATCH(B$1,[2]quests!$1:$1,0)-MATCH($A$1,[2]quests!$1:$1,0)+1),MATCH(B$1,[2]quests!$1:$1,0)-MATCH($A$1,[2]quests!$1:$1,0)+1,FALSE)</f>
        <v>ハップルチャレンジ</v>
      </c>
      <c r="C39" s="148" t="str">
        <f ca="1">VLOOKUP($A39,OFFSET([2]quests!$A$1,0,0,COUNTA([2]quests!$A:$A),MATCH(C$1,[2]quests!$1:$1,0)-MATCH($A$1,[2]quests!$1:$1,0)+1),MATCH(C$1,[2]quests!$1:$1,0)-MATCH($A$1,[2]quests!$1:$1,0)+1,FALSE)</f>
        <v>ランキング9</v>
      </c>
      <c r="D39" s="147">
        <v>26</v>
      </c>
      <c r="E39" s="149">
        <v>35</v>
      </c>
      <c r="F39" s="150" t="str">
        <f t="shared" si="2"/>
        <v>600260035</v>
      </c>
      <c r="G39" s="151" t="str">
        <f>F39&amp;TEXT(COUNTIF(F$2:F39,F39),"00")</f>
        <v>60026003503</v>
      </c>
      <c r="H39" s="152" t="s">
        <v>326</v>
      </c>
      <c r="I39" s="152">
        <v>150000</v>
      </c>
      <c r="J39" s="152" t="s">
        <v>53</v>
      </c>
      <c r="K39" s="152">
        <v>0</v>
      </c>
      <c r="L39" s="152">
        <v>0</v>
      </c>
      <c r="M39" s="152">
        <v>0</v>
      </c>
      <c r="N39" s="152">
        <v>0</v>
      </c>
      <c r="O39" s="152">
        <v>1</v>
      </c>
      <c r="P39" s="152">
        <v>1</v>
      </c>
      <c r="Q39" s="152">
        <v>1</v>
      </c>
      <c r="R39" s="152" t="s">
        <v>236</v>
      </c>
      <c r="S39" s="152" t="s">
        <v>433</v>
      </c>
      <c r="T39" s="152" t="s">
        <v>403</v>
      </c>
      <c r="U39" s="153" t="s">
        <v>435</v>
      </c>
    </row>
    <row r="40" spans="1:21" ht="28" x14ac:dyDescent="0.15">
      <c r="A40" s="147">
        <v>60026</v>
      </c>
      <c r="B40" s="148" t="str">
        <f ca="1">VLOOKUP($A40,OFFSET([2]quests!$A$1,0,0,COUNTA([2]quests!$A:$A),MATCH(B$1,[2]quests!$1:$1,0)-MATCH($A$1,[2]quests!$1:$1,0)+1),MATCH(B$1,[2]quests!$1:$1,0)-MATCH($A$1,[2]quests!$1:$1,0)+1,FALSE)</f>
        <v>ハップルチャレンジ</v>
      </c>
      <c r="C40" s="148" t="str">
        <f ca="1">VLOOKUP($A40,OFFSET([2]quests!$A$1,0,0,COUNTA([2]quests!$A:$A),MATCH(C$1,[2]quests!$1:$1,0)-MATCH($A$1,[2]quests!$1:$1,0)+1),MATCH(C$1,[2]quests!$1:$1,0)-MATCH($A$1,[2]quests!$1:$1,0)+1,FALSE)</f>
        <v>ランキング9</v>
      </c>
      <c r="D40" s="147">
        <v>36</v>
      </c>
      <c r="E40" s="149">
        <v>1000</v>
      </c>
      <c r="F40" s="150" t="str">
        <f t="shared" si="2"/>
        <v>600261000</v>
      </c>
      <c r="G40" s="151" t="str">
        <f>F40&amp;TEXT(COUNTIF(F$2:F40,F40),"00")</f>
        <v>60026100001</v>
      </c>
      <c r="H40" s="152" t="s">
        <v>406</v>
      </c>
      <c r="I40" s="152">
        <v>1</v>
      </c>
      <c r="J40" s="152" t="s">
        <v>53</v>
      </c>
      <c r="K40" s="152">
        <v>0</v>
      </c>
      <c r="L40" s="152">
        <v>0</v>
      </c>
      <c r="M40" s="152">
        <v>0</v>
      </c>
      <c r="N40" s="152">
        <v>0</v>
      </c>
      <c r="O40" s="152">
        <v>1</v>
      </c>
      <c r="P40" s="152">
        <v>1</v>
      </c>
      <c r="Q40" s="152">
        <v>1</v>
      </c>
      <c r="R40" s="152" t="s">
        <v>236</v>
      </c>
      <c r="S40" s="152" t="s">
        <v>434</v>
      </c>
      <c r="T40" s="152" t="s">
        <v>403</v>
      </c>
      <c r="U40" s="153" t="s">
        <v>435</v>
      </c>
    </row>
    <row r="41" spans="1:21" ht="28" x14ac:dyDescent="0.15">
      <c r="A41" s="147">
        <v>60026</v>
      </c>
      <c r="B41" s="148" t="str">
        <f ca="1">VLOOKUP($A41,OFFSET([2]quests!$A$1,0,0,COUNTA([2]quests!$A:$A),MATCH(B$1,[2]quests!$1:$1,0)-MATCH($A$1,[2]quests!$1:$1,0)+1),MATCH(B$1,[2]quests!$1:$1,0)-MATCH($A$1,[2]quests!$1:$1,0)+1,FALSE)</f>
        <v>ハップルチャレンジ</v>
      </c>
      <c r="C41" s="148" t="str">
        <f ca="1">VLOOKUP($A41,OFFSET([2]quests!$A$1,0,0,COUNTA([2]quests!$A:$A),MATCH(C$1,[2]quests!$1:$1,0)-MATCH($A$1,[2]quests!$1:$1,0)+1),MATCH(C$1,[2]quests!$1:$1,0)-MATCH($A$1,[2]quests!$1:$1,0)+1,FALSE)</f>
        <v>ランキング9</v>
      </c>
      <c r="D41" s="147">
        <v>36</v>
      </c>
      <c r="E41" s="149">
        <v>1000</v>
      </c>
      <c r="F41" s="150" t="str">
        <f t="shared" si="2"/>
        <v>600261000</v>
      </c>
      <c r="G41" s="151" t="str">
        <f>F41&amp;TEXT(COUNTIF(F$2:F41,F41),"00")</f>
        <v>60026100002</v>
      </c>
      <c r="H41" s="152" t="s">
        <v>323</v>
      </c>
      <c r="I41" s="152">
        <v>1000</v>
      </c>
      <c r="J41" s="152" t="s">
        <v>53</v>
      </c>
      <c r="K41" s="152">
        <v>0</v>
      </c>
      <c r="L41" s="152">
        <v>0</v>
      </c>
      <c r="M41" s="152">
        <v>0</v>
      </c>
      <c r="N41" s="152">
        <v>0</v>
      </c>
      <c r="O41" s="152">
        <v>1</v>
      </c>
      <c r="P41" s="152">
        <v>1</v>
      </c>
      <c r="Q41" s="152">
        <v>1</v>
      </c>
      <c r="R41" s="152" t="s">
        <v>236</v>
      </c>
      <c r="S41" s="152" t="s">
        <v>432</v>
      </c>
      <c r="T41" s="152" t="s">
        <v>403</v>
      </c>
      <c r="U41" s="153" t="s">
        <v>435</v>
      </c>
    </row>
    <row r="42" spans="1:21" ht="28" x14ac:dyDescent="0.15">
      <c r="A42" s="147">
        <v>60026</v>
      </c>
      <c r="B42" s="148" t="str">
        <f ca="1">VLOOKUP($A42,OFFSET([2]quests!$A$1,0,0,COUNTA([2]quests!$A:$A),MATCH(B$1,[2]quests!$1:$1,0)-MATCH($A$1,[2]quests!$1:$1,0)+1),MATCH(B$1,[2]quests!$1:$1,0)-MATCH($A$1,[2]quests!$1:$1,0)+1,FALSE)</f>
        <v>ハップルチャレンジ</v>
      </c>
      <c r="C42" s="148" t="str">
        <f ca="1">VLOOKUP($A42,OFFSET([2]quests!$A$1,0,0,COUNTA([2]quests!$A:$A),MATCH(C$1,[2]quests!$1:$1,0)-MATCH($A$1,[2]quests!$1:$1,0)+1),MATCH(C$1,[2]quests!$1:$1,0)-MATCH($A$1,[2]quests!$1:$1,0)+1,FALSE)</f>
        <v>ランキング9</v>
      </c>
      <c r="D42" s="147">
        <v>36</v>
      </c>
      <c r="E42" s="149">
        <v>1000</v>
      </c>
      <c r="F42" s="150" t="str">
        <f t="shared" si="2"/>
        <v>600261000</v>
      </c>
      <c r="G42" s="151" t="str">
        <f>F42&amp;TEXT(COUNTIF(F$2:F42,F42),"00")</f>
        <v>60026100003</v>
      </c>
      <c r="H42" s="152" t="s">
        <v>326</v>
      </c>
      <c r="I42" s="152">
        <v>100000</v>
      </c>
      <c r="J42" s="152" t="s">
        <v>53</v>
      </c>
      <c r="K42" s="152">
        <v>0</v>
      </c>
      <c r="L42" s="152">
        <v>0</v>
      </c>
      <c r="M42" s="152">
        <v>0</v>
      </c>
      <c r="N42" s="152">
        <v>0</v>
      </c>
      <c r="O42" s="152">
        <v>1</v>
      </c>
      <c r="P42" s="152">
        <v>1</v>
      </c>
      <c r="Q42" s="152">
        <v>1</v>
      </c>
      <c r="R42" s="152" t="s">
        <v>236</v>
      </c>
      <c r="S42" s="152" t="s">
        <v>327</v>
      </c>
      <c r="T42" s="152" t="s">
        <v>403</v>
      </c>
      <c r="U42" s="153" t="s">
        <v>435</v>
      </c>
    </row>
  </sheetData>
  <phoneticPr fontId="8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1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N11" sqref="N11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/>
    <col min="4" max="4" width="13" style="13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2" bestFit="1" customWidth="1" outlineLevel="1"/>
    <col min="30" max="30" width="8" style="13" bestFit="1" customWidth="1" outlineLevel="1"/>
    <col min="31" max="31" width="12" style="13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54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24" t="s">
        <v>50</v>
      </c>
      <c r="U1" s="24" t="s">
        <v>52</v>
      </c>
      <c r="V1" s="27" t="s">
        <v>31</v>
      </c>
      <c r="W1" s="26" t="s">
        <v>4</v>
      </c>
      <c r="X1" s="26" t="s">
        <v>5</v>
      </c>
      <c r="Y1" s="26" t="s">
        <v>6</v>
      </c>
      <c r="Z1" s="26" t="s">
        <v>7</v>
      </c>
      <c r="AA1" s="26" t="s">
        <v>8</v>
      </c>
      <c r="AB1" s="31" t="s">
        <v>9</v>
      </c>
      <c r="AC1" s="32" t="s">
        <v>16</v>
      </c>
      <c r="AD1" s="32" t="s">
        <v>17</v>
      </c>
      <c r="AE1" s="32" t="s">
        <v>27</v>
      </c>
      <c r="AF1" s="31" t="s">
        <v>10</v>
      </c>
      <c r="AG1" s="26" t="s">
        <v>11</v>
      </c>
      <c r="AH1" s="26" t="s">
        <v>12</v>
      </c>
      <c r="AI1" s="26" t="s">
        <v>38</v>
      </c>
      <c r="AJ1" s="26" t="s">
        <v>40</v>
      </c>
      <c r="AK1" s="26" t="s">
        <v>42</v>
      </c>
      <c r="AL1" s="26" t="s">
        <v>44</v>
      </c>
      <c r="AM1" s="26" t="s">
        <v>46</v>
      </c>
      <c r="AN1" s="34" t="s">
        <v>178</v>
      </c>
    </row>
    <row r="2" spans="1:40" ht="21" customHeight="1" x14ac:dyDescent="0.15">
      <c r="A2" s="15" t="str">
        <f>B2&amp;"_"&amp;C2&amp;"-"&amp;G2&amp;"/"&amp;L2&amp;"&lt;lv"&amp;R2&amp;"&gt;s"&amp;AA2</f>
        <v>60026_1-1/19&lt;lv80&gt;s1</v>
      </c>
      <c r="B2" s="20">
        <v>60026</v>
      </c>
      <c r="C2" s="19">
        <v>1</v>
      </c>
      <c r="D2" s="2" t="str">
        <f>B2&amp;"_"&amp;C2</f>
        <v>60026_1</v>
      </c>
      <c r="E2" s="4" t="str">
        <f ca="1">VLOOKUP($B2,OFFSET([2]quests!$A$1,0,0,COUNTA([2]quests!$A:$A),MATCH(E$1,[2]quests!$1:$1,0)-MATCH($B$1,[2]quests!$1:$1,0)+1),MATCH(E$1,[2]quests!$1:$1,0)-MATCH($B$1,[2]quests!$1:$1,0)+1,FALSE)</f>
        <v>ハップルチャレンジ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ハップルチャレンジ</v>
      </c>
      <c r="G2" s="119">
        <v>1</v>
      </c>
      <c r="H2" s="14" t="str">
        <f>B2&amp;"_"&amp;C2&amp;"-"&amp;G2</f>
        <v>60026_1-1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6" t="s">
        <v>329</v>
      </c>
      <c r="L2" s="121">
        <v>19</v>
      </c>
      <c r="M2" s="16" t="str">
        <f ca="1">VLOOKUP($L2,OFFSET([3]enemies!$A$1,0,0,COUNTA([3]enemies!$A:$A),MATCH(M$1,[3]enemies!$1:$1,0)-MATCH($L$1,[3]enemies!$1:$1,0)+1),MATCH(M$1,[3]enemies!$1:$1,0)-MATCH($L$1,[3]enemies!$1:$1,0)+1,FALSE)</f>
        <v>ティンク</v>
      </c>
      <c r="N2" s="16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Drop1W</v>
      </c>
      <c r="P2" s="16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6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80</v>
      </c>
      <c r="S2" s="23">
        <v>2</v>
      </c>
      <c r="T2" s="23">
        <v>0.5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" s="45">
        <v>60026001</v>
      </c>
      <c r="X2" s="6">
        <v>2</v>
      </c>
      <c r="Y2" s="6">
        <v>100</v>
      </c>
      <c r="Z2" s="6">
        <v>0</v>
      </c>
      <c r="AA2" s="16">
        <v>1</v>
      </c>
      <c r="AB2" s="22">
        <f>L2</f>
        <v>19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ティンク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Drop1W</v>
      </c>
      <c r="AF2" s="7">
        <v>1</v>
      </c>
      <c r="AG2" s="22">
        <f ca="1">AD2</f>
        <v>1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7">
        <v>1</v>
      </c>
    </row>
    <row r="3" spans="1:40" ht="21" customHeight="1" x14ac:dyDescent="0.15">
      <c r="A3" s="15" t="str">
        <f>B3&amp;"_"&amp;C3&amp;"-"&amp;G3&amp;"/"&amp;L3&amp;"&lt;lv"&amp;R3&amp;"&gt;s"&amp;AA3</f>
        <v>60026_1-1/156&lt;lv80&gt;s2</v>
      </c>
      <c r="B3" s="20">
        <v>60026</v>
      </c>
      <c r="C3" s="19">
        <v>1</v>
      </c>
      <c r="D3" s="2" t="str">
        <f>B3&amp;"_"&amp;C3</f>
        <v>60026_1</v>
      </c>
      <c r="E3" s="4" t="str">
        <f ca="1">VLOOKUP($B3,OFFSET([2]quests!$A$1,0,0,COUNTA([2]quests!$A:$A),MATCH(E$1,[2]quests!$1:$1,0)-MATCH($B$1,[2]quests!$1:$1,0)+1),MATCH(E$1,[2]quests!$1:$1,0)-MATCH($B$1,[2]quests!$1:$1,0)+1,FALSE)</f>
        <v>ハップルチャレンジ</v>
      </c>
      <c r="F3" s="4" t="str">
        <f ca="1">VLOOKUP($D3,OFFSET([2]stages!$A$1,0,0,COUNTA([2]stages!$A:$A),MATCH(F$1,[2]stages!$2:$2,0)-MATCH($D$1,[2]stages!$2:$2,0)+1),MATCH(F$1,[2]stages!$2:$2,0)-MATCH($D$1,[2]stages!$2:$2,0)+1,FALSE)</f>
        <v>ハップルチャレンジ</v>
      </c>
      <c r="G3" s="119">
        <v>1</v>
      </c>
      <c r="H3" s="14" t="str">
        <f>B3&amp;"_"&amp;C3&amp;"-"&amp;G3</f>
        <v>60026_1-1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 t="s">
        <v>53</v>
      </c>
      <c r="L3" s="121">
        <v>156</v>
      </c>
      <c r="M3" s="16" t="str">
        <f ca="1">VLOOKUP($L3,OFFSET([3]enemies!$A$1,0,0,COUNTA([3]enemies!$A:$A),MATCH(M$1,[3]enemies!$1:$1,0)-MATCH($L$1,[3]enemies!$1:$1,0)+1),MATCH(M$1,[3]enemies!$1:$1,0)-MATCH($L$1,[3]enemies!$1:$1,0)+1,FALSE)</f>
        <v>踊り子 エレナ</v>
      </c>
      <c r="N3" s="16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PremiumW</v>
      </c>
      <c r="P3" s="16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6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80</v>
      </c>
      <c r="S3" s="23">
        <v>1.2</v>
      </c>
      <c r="T3" s="23">
        <v>0.9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全体攻撃</v>
      </c>
      <c r="W3" s="45">
        <v>60026000</v>
      </c>
      <c r="X3" s="6">
        <v>1</v>
      </c>
      <c r="Y3" s="6">
        <v>100</v>
      </c>
      <c r="Z3" s="6">
        <v>1</v>
      </c>
      <c r="AA3" s="16">
        <v>2</v>
      </c>
      <c r="AB3" s="22">
        <f>L3</f>
        <v>156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踊り子 エレナ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3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3" s="7">
        <v>1</v>
      </c>
      <c r="AG3" s="22">
        <f ca="1">AD3</f>
        <v>3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7">
        <v>1</v>
      </c>
    </row>
    <row r="4" spans="1:40" ht="21" customHeight="1" x14ac:dyDescent="0.15">
      <c r="A4" s="15" t="str">
        <f t="shared" ref="A4:A9" si="0">B4&amp;"_"&amp;C4&amp;"-"&amp;G4&amp;"/"&amp;L4&amp;"&lt;lv"&amp;R4&amp;"&gt;s"&amp;AA4</f>
        <v>60026_1-2/55&lt;lv80&gt;s1</v>
      </c>
      <c r="B4" s="20">
        <v>60026</v>
      </c>
      <c r="C4" s="19">
        <v>1</v>
      </c>
      <c r="D4" s="2" t="str">
        <f t="shared" ref="D4:D9" si="1">B4&amp;"_"&amp;C4</f>
        <v>60026_1</v>
      </c>
      <c r="E4" s="4" t="str">
        <f ca="1">VLOOKUP($B4,OFFSET([2]quests!$A$1,0,0,COUNTA([2]quests!$A:$A),MATCH(E$1,[2]quests!$1:$1,0)-MATCH($B$1,[2]quests!$1:$1,0)+1),MATCH(E$1,[2]quests!$1:$1,0)-MATCH($B$1,[2]quests!$1:$1,0)+1,FALSE)</f>
        <v>ハップルチャレンジ</v>
      </c>
      <c r="F4" s="4" t="str">
        <f ca="1">VLOOKUP($D4,OFFSET([2]stages!$A$1,0,0,COUNTA([2]stages!$A:$A),MATCH(F$1,[2]stages!$2:$2,0)-MATCH($D$1,[2]stages!$2:$2,0)+1),MATCH(F$1,[2]stages!$2:$2,0)-MATCH($D$1,[2]stages!$2:$2,0)+1,FALSE)</f>
        <v>ハップルチャレンジ</v>
      </c>
      <c r="G4" s="119">
        <v>2</v>
      </c>
      <c r="H4" s="14" t="str">
        <f t="shared" ref="H4:H9" si="2">B4&amp;"_"&amp;C4&amp;"-"&amp;G4</f>
        <v>60026_1-2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 t="s">
        <v>53</v>
      </c>
      <c r="L4" s="121">
        <v>55</v>
      </c>
      <c r="M4" s="16" t="str">
        <f ca="1">VLOOKUP($L4,OFFSET([3]enemies!$A$1,0,0,COUNTA([3]enemies!$A:$A),MATCH(M$1,[3]enemies!$1:$1,0)-MATCH($L$1,[3]enemies!$1:$1,0)+1),MATCH(M$1,[3]enemies!$1:$1,0)-MATCH($L$1,[3]enemies!$1:$1,0)+1,FALSE)</f>
        <v>マミコ</v>
      </c>
      <c r="N4" s="16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6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6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80</v>
      </c>
      <c r="S4" s="23">
        <v>3</v>
      </c>
      <c r="T4" s="23">
        <v>0.6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ハートパネルを吸収して攻撃(最大5個)</v>
      </c>
      <c r="W4" s="45">
        <v>60026003</v>
      </c>
      <c r="X4" s="6">
        <v>2</v>
      </c>
      <c r="Y4" s="6">
        <v>100</v>
      </c>
      <c r="Z4" s="6">
        <v>0</v>
      </c>
      <c r="AA4" s="16">
        <v>1</v>
      </c>
      <c r="AB4" s="22">
        <f t="shared" ref="AB4:AB9" si="3">L4</f>
        <v>55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マミコ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7">
        <v>1</v>
      </c>
      <c r="AG4" s="22">
        <f t="shared" ref="AG4:AG9" ca="1" si="4">AD4</f>
        <v>2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7">
        <v>1</v>
      </c>
    </row>
    <row r="5" spans="1:40" ht="21" customHeight="1" x14ac:dyDescent="0.15">
      <c r="A5" s="15" t="str">
        <f t="shared" si="0"/>
        <v>60026_1-2/387&lt;lv80&gt;s2</v>
      </c>
      <c r="B5" s="20">
        <v>60026</v>
      </c>
      <c r="C5" s="19">
        <v>1</v>
      </c>
      <c r="D5" s="2" t="str">
        <f t="shared" si="1"/>
        <v>60026_1</v>
      </c>
      <c r="E5" s="4" t="str">
        <f ca="1">VLOOKUP($B5,OFFSET([2]quests!$A$1,0,0,COUNTA([2]quests!$A:$A),MATCH(E$1,[2]quests!$1:$1,0)-MATCH($B$1,[2]quests!$1:$1,0)+1),MATCH(E$1,[2]quests!$1:$1,0)-MATCH($B$1,[2]quests!$1:$1,0)+1,FALSE)</f>
        <v>ハップルチャレンジ</v>
      </c>
      <c r="F5" s="4" t="str">
        <f ca="1">VLOOKUP($D5,OFFSET([2]stages!$A$1,0,0,COUNTA([2]stages!$A:$A),MATCH(F$1,[2]stages!$2:$2,0)-MATCH($D$1,[2]stages!$2:$2,0)+1),MATCH(F$1,[2]stages!$2:$2,0)-MATCH($D$1,[2]stages!$2:$2,0)+1,FALSE)</f>
        <v>ハップルチャレンジ</v>
      </c>
      <c r="G5" s="119">
        <v>2</v>
      </c>
      <c r="H5" s="14" t="str">
        <f t="shared" si="2"/>
        <v>60026_1-2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6" t="s">
        <v>53</v>
      </c>
      <c r="L5" s="121">
        <v>387</v>
      </c>
      <c r="M5" s="16" t="str">
        <f ca="1">VLOOKUP($L5,OFFSET([3]enemies!$A$1,0,0,COUNTA([3]enemies!$A:$A),MATCH(M$1,[3]enemies!$1:$1,0)-MATCH($L$1,[3]enemies!$1:$1,0)+1),MATCH(M$1,[3]enemies!$1:$1,0)-MATCH($L$1,[3]enemies!$1:$1,0)+1,FALSE)</f>
        <v>スフィンクス</v>
      </c>
      <c r="N5" s="16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6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6">
        <f ca="1">VLOOKUP($L5,OFFSET([3]enemies!$A$1,0,0,COUNTA([3]enemies!$A:$A),MATCH(Q$1,[3]enemies!$1:$1,0)-MATCH($L$1,[3]enemies!$1:$1,0)+1),MATCH(Q$1,[3]enemies!$1:$1,0)-MATCH($L$1,[3]enemies!$1:$1,0)+1,FALSE)</f>
        <v>25</v>
      </c>
      <c r="R5" s="5">
        <v>80</v>
      </c>
      <c r="S5" s="23">
        <v>1.3</v>
      </c>
      <c r="T5" s="23">
        <v>0.7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ランダムでハートパネルに変換(最大10個)</v>
      </c>
      <c r="W5" s="45">
        <v>60026002</v>
      </c>
      <c r="X5" s="6">
        <v>1</v>
      </c>
      <c r="Y5" s="6">
        <v>100</v>
      </c>
      <c r="Z5" s="6">
        <v>1</v>
      </c>
      <c r="AA5" s="16">
        <v>2</v>
      </c>
      <c r="AB5" s="22">
        <f t="shared" si="3"/>
        <v>387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スフィンクス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5" s="7">
        <v>1</v>
      </c>
      <c r="AG5" s="22">
        <f t="shared" ca="1" si="4"/>
        <v>3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7">
        <v>1</v>
      </c>
    </row>
    <row r="6" spans="1:40" ht="21" customHeight="1" x14ac:dyDescent="0.15">
      <c r="A6" s="15" t="str">
        <f t="shared" si="0"/>
        <v>60026_1-3/213&lt;lv80&gt;s2</v>
      </c>
      <c r="B6" s="20">
        <v>60026</v>
      </c>
      <c r="C6" s="19">
        <v>1</v>
      </c>
      <c r="D6" s="2" t="str">
        <f t="shared" si="1"/>
        <v>60026_1</v>
      </c>
      <c r="E6" s="4" t="str">
        <f ca="1">VLOOKUP($B6,OFFSET([2]quests!$A$1,0,0,COUNTA([2]quests!$A:$A),MATCH(E$1,[2]quests!$1:$1,0)-MATCH($B$1,[2]quests!$1:$1,0)+1),MATCH(E$1,[2]quests!$1:$1,0)-MATCH($B$1,[2]quests!$1:$1,0)+1,FALSE)</f>
        <v>ハップルチャレンジ</v>
      </c>
      <c r="F6" s="4" t="str">
        <f ca="1">VLOOKUP($D6,OFFSET([2]stages!$A$1,0,0,COUNTA([2]stages!$A:$A),MATCH(F$1,[2]stages!$2:$2,0)-MATCH($D$1,[2]stages!$2:$2,0)+1),MATCH(F$1,[2]stages!$2:$2,0)-MATCH($D$1,[2]stages!$2:$2,0)+1,FALSE)</f>
        <v>ハップルチャレンジ</v>
      </c>
      <c r="G6" s="119">
        <v>3</v>
      </c>
      <c r="H6" s="14" t="str">
        <f t="shared" si="2"/>
        <v>60026_1-3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6">
        <v>1</v>
      </c>
      <c r="L6" s="121">
        <v>213</v>
      </c>
      <c r="M6" s="16" t="str">
        <f ca="1">VLOOKUP($L6,OFFSET([3]enemies!$A$1,0,0,COUNTA([3]enemies!$A:$A),MATCH(M$1,[3]enemies!$1:$1,0)-MATCH($L$1,[3]enemies!$1:$1,0)+1),MATCH(M$1,[3]enemies!$1:$1,0)-MATCH($L$1,[3]enemies!$1:$1,0)+1,FALSE)</f>
        <v>満天の星降神 アストライアー</v>
      </c>
      <c r="N6" s="16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PremiumN</v>
      </c>
      <c r="P6" s="16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6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80</v>
      </c>
      <c r="S6" s="23">
        <v>2.5</v>
      </c>
      <c r="T6" s="23">
        <v>1.1000000000000001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状態異常耐性</v>
      </c>
      <c r="W6" s="45">
        <v>60026004</v>
      </c>
      <c r="X6" s="6">
        <v>1</v>
      </c>
      <c r="Y6" s="6">
        <v>100</v>
      </c>
      <c r="Z6" s="6">
        <v>1</v>
      </c>
      <c r="AA6" s="16">
        <v>2</v>
      </c>
      <c r="AB6" s="22">
        <f t="shared" si="3"/>
        <v>213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満天の星降神 アストライアー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5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6" s="7">
        <v>1</v>
      </c>
      <c r="AG6" s="22">
        <f t="shared" ca="1" si="4"/>
        <v>5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7">
        <v>1</v>
      </c>
    </row>
    <row r="7" spans="1:40" ht="21" customHeight="1" x14ac:dyDescent="0.15">
      <c r="A7" s="15" t="str">
        <f t="shared" si="0"/>
        <v>60026_1-4/155&lt;lv80&gt;s2</v>
      </c>
      <c r="B7" s="20">
        <v>60026</v>
      </c>
      <c r="C7" s="19">
        <v>1</v>
      </c>
      <c r="D7" s="2" t="str">
        <f t="shared" si="1"/>
        <v>60026_1</v>
      </c>
      <c r="E7" s="4" t="str">
        <f ca="1">VLOOKUP($B7,OFFSET([2]quests!$A$1,0,0,COUNTA([2]quests!$A:$A),MATCH(E$1,[2]quests!$1:$1,0)-MATCH($B$1,[2]quests!$1:$1,0)+1),MATCH(E$1,[2]quests!$1:$1,0)-MATCH($B$1,[2]quests!$1:$1,0)+1,FALSE)</f>
        <v>ハップルチャレンジ</v>
      </c>
      <c r="F7" s="4" t="str">
        <f ca="1">VLOOKUP($D7,OFFSET([2]stages!$A$1,0,0,COUNTA([2]stages!$A:$A),MATCH(F$1,[2]stages!$2:$2,0)-MATCH($D$1,[2]stages!$2:$2,0)+1),MATCH(F$1,[2]stages!$2:$2,0)-MATCH($D$1,[2]stages!$2:$2,0)+1,FALSE)</f>
        <v>ハップルチャレンジ</v>
      </c>
      <c r="G7" s="119">
        <v>4</v>
      </c>
      <c r="H7" s="14" t="str">
        <f t="shared" si="2"/>
        <v>60026_1-4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6" t="s">
        <v>53</v>
      </c>
      <c r="L7" s="121">
        <v>155</v>
      </c>
      <c r="M7" s="16" t="str">
        <f ca="1">VLOOKUP($L7,OFFSET([3]enemies!$A$1,0,0,COUNTA([3]enemies!$A:$A),MATCH(M$1,[3]enemies!$1:$1,0)-MATCH($L$1,[3]enemies!$1:$1,0)+1),MATCH(M$1,[3]enemies!$1:$1,0)-MATCH($L$1,[3]enemies!$1:$1,0)+1,FALSE)</f>
        <v>隻眼の掃除屋 ハンナ</v>
      </c>
      <c r="N7" s="16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PremiumW</v>
      </c>
      <c r="P7" s="16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6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80</v>
      </c>
      <c r="S7" s="23">
        <v>3.5</v>
      </c>
      <c r="T7" s="23">
        <v>1.3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ハートパネルを吸収して攻撃</v>
      </c>
      <c r="W7" s="45">
        <v>60026007</v>
      </c>
      <c r="X7" s="6">
        <v>1</v>
      </c>
      <c r="Y7" s="6">
        <v>100</v>
      </c>
      <c r="Z7" s="6">
        <v>0</v>
      </c>
      <c r="AA7" s="16">
        <v>2</v>
      </c>
      <c r="AB7" s="22">
        <f t="shared" si="3"/>
        <v>155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隻眼の掃除屋 ハンナ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7" s="7">
        <v>1</v>
      </c>
      <c r="AG7" s="22">
        <f t="shared" ca="1" si="4"/>
        <v>4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7">
        <v>1</v>
      </c>
    </row>
    <row r="8" spans="1:40" ht="21" customHeight="1" x14ac:dyDescent="0.15">
      <c r="A8" s="15" t="str">
        <f t="shared" si="0"/>
        <v>60026_1-4/477&lt;lv80&gt;s2</v>
      </c>
      <c r="B8" s="20">
        <v>60026</v>
      </c>
      <c r="C8" s="19">
        <v>1</v>
      </c>
      <c r="D8" s="2" t="str">
        <f t="shared" si="1"/>
        <v>60026_1</v>
      </c>
      <c r="E8" s="4" t="str">
        <f ca="1">VLOOKUP($B8,OFFSET([2]quests!$A$1,0,0,COUNTA([2]quests!$A:$A),MATCH(E$1,[2]quests!$1:$1,0)-MATCH($B$1,[2]quests!$1:$1,0)+1),MATCH(E$1,[2]quests!$1:$1,0)-MATCH($B$1,[2]quests!$1:$1,0)+1,FALSE)</f>
        <v>ハップルチャレンジ</v>
      </c>
      <c r="F8" s="4" t="str">
        <f ca="1">VLOOKUP($D8,OFFSET([2]stages!$A$1,0,0,COUNTA([2]stages!$A:$A),MATCH(F$1,[2]stages!$2:$2,0)-MATCH($D$1,[2]stages!$2:$2,0)+1),MATCH(F$1,[2]stages!$2:$2,0)-MATCH($D$1,[2]stages!$2:$2,0)+1,FALSE)</f>
        <v>ハップルチャレンジ</v>
      </c>
      <c r="G8" s="119">
        <v>4</v>
      </c>
      <c r="H8" s="14" t="str">
        <f t="shared" si="2"/>
        <v>60026_1-4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6" t="s">
        <v>53</v>
      </c>
      <c r="L8" s="121">
        <v>477</v>
      </c>
      <c r="M8" s="16" t="str">
        <f ca="1">VLOOKUP($L8,OFFSET([3]enemies!$A$1,0,0,COUNTA([3]enemies!$A:$A),MATCH(M$1,[3]enemies!$1:$1,0)-MATCH($L$1,[3]enemies!$1:$1,0)+1),MATCH(M$1,[3]enemies!$1:$1,0)-MATCH($L$1,[3]enemies!$1:$1,0)+1,FALSE)</f>
        <v>愛羽妖精 ファータ</v>
      </c>
      <c r="N8" s="16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6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6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6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80</v>
      </c>
      <c r="S8" s="23">
        <v>4.5</v>
      </c>
      <c r="T8" s="23">
        <v>0.8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5ターン緑パネル出現率DOWN</v>
      </c>
      <c r="W8" s="45">
        <v>60026006</v>
      </c>
      <c r="X8" s="6">
        <v>1</v>
      </c>
      <c r="Y8" s="6">
        <v>100</v>
      </c>
      <c r="Z8" s="6">
        <v>0</v>
      </c>
      <c r="AA8" s="16">
        <v>2</v>
      </c>
      <c r="AB8" s="22">
        <f t="shared" si="3"/>
        <v>477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愛羽妖精 ファータ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8" s="7">
        <v>1</v>
      </c>
      <c r="AG8" s="22">
        <f t="shared" ca="1" si="4"/>
        <v>4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7">
        <v>1</v>
      </c>
    </row>
    <row r="9" spans="1:40" ht="21" customHeight="1" x14ac:dyDescent="0.15">
      <c r="A9" s="15" t="str">
        <f t="shared" si="0"/>
        <v>60026_1-5/489&lt;lv80&gt;s2</v>
      </c>
      <c r="B9" s="20">
        <v>60026</v>
      </c>
      <c r="C9" s="19">
        <v>1</v>
      </c>
      <c r="D9" s="2" t="str">
        <f t="shared" si="1"/>
        <v>60026_1</v>
      </c>
      <c r="E9" s="4" t="str">
        <f ca="1">VLOOKUP($B9,OFFSET([2]quests!$A$1,0,0,COUNTA([2]quests!$A:$A),MATCH(E$1,[2]quests!$1:$1,0)-MATCH($B$1,[2]quests!$1:$1,0)+1),MATCH(E$1,[2]quests!$1:$1,0)-MATCH($B$1,[2]quests!$1:$1,0)+1,FALSE)</f>
        <v>ハップルチャレンジ</v>
      </c>
      <c r="F9" s="4" t="str">
        <f ca="1">VLOOKUP($D9,OFFSET([2]stages!$A$1,0,0,COUNTA([2]stages!$A:$A),MATCH(F$1,[2]stages!$2:$2,0)-MATCH($D$1,[2]stages!$2:$2,0)+1),MATCH(F$1,[2]stages!$2:$2,0)-MATCH($D$1,[2]stages!$2:$2,0)+1,FALSE)</f>
        <v>ハップルチャレンジ</v>
      </c>
      <c r="G9" s="119">
        <v>5</v>
      </c>
      <c r="H9" s="14" t="str">
        <f t="shared" si="2"/>
        <v>60026_1-5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6">
        <v>2</v>
      </c>
      <c r="L9" s="121">
        <v>489</v>
      </c>
      <c r="M9" s="16" t="str">
        <f ca="1">VLOOKUP($L9,OFFSET([3]enemies!$A$1,0,0,COUNTA([3]enemies!$A:$A),MATCH(M$1,[3]enemies!$1:$1,0)-MATCH($L$1,[3]enemies!$1:$1,0)+1),MATCH(M$1,[3]enemies!$1:$1,0)-MATCH($L$1,[3]enemies!$1:$1,0)+1,FALSE)</f>
        <v>宇宙の拡超 ハップル</v>
      </c>
      <c r="N9" s="16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6" t="str">
        <f ca="1">VLOOKUP($L9,OFFSET([4]characters!$A$1,0,0,COUNTA([4]characters!$A:$A),MATCH(O$1,[4]characters!$1:$1,0)-MATCH($L$1,[4]characters!$1:$1,0)+1),MATCH(O$1,[4]characters!$1:$1,0)-MATCH($L$1,[4]characters!$1:$1,0)+1,FALSE)</f>
        <v>PremiumSSS</v>
      </c>
      <c r="P9" s="16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6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80</v>
      </c>
      <c r="S9" s="23">
        <v>6</v>
      </c>
      <c r="T9" s="23">
        <v>0.8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状態異常耐性+_x000D_全てのドロップパネル変換を解除+_x000D_緑パネルをお邪魔パネルに変換してドロップ</v>
      </c>
      <c r="W9" s="45">
        <v>60026008</v>
      </c>
      <c r="X9" s="6">
        <v>1</v>
      </c>
      <c r="Y9" s="6">
        <v>100</v>
      </c>
      <c r="Z9" s="6">
        <v>1</v>
      </c>
      <c r="AA9" s="16">
        <v>2</v>
      </c>
      <c r="AB9" s="22">
        <f t="shared" si="3"/>
        <v>489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宇宙の拡超 ハップル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5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9" s="7">
        <v>1</v>
      </c>
      <c r="AG9" s="22">
        <f t="shared" ca="1" si="4"/>
        <v>5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7">
        <v>1</v>
      </c>
    </row>
    <row r="11" spans="1:40" ht="21" customHeight="1" x14ac:dyDescent="0.15">
      <c r="U11" s="122" t="s">
        <v>330</v>
      </c>
    </row>
  </sheetData>
  <sheetProtection selectLockedCells="1" selectUnlockedCells="1"/>
  <autoFilter ref="B1:AH2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M4" sqref="M4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/>
    <col min="4" max="4" width="13" style="13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54</v>
      </c>
      <c r="L1" s="34" t="s">
        <v>55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24" t="s">
        <v>50</v>
      </c>
      <c r="V1" s="24" t="s">
        <v>52</v>
      </c>
      <c r="W1" s="26" t="s">
        <v>127</v>
      </c>
      <c r="X1" s="27" t="s">
        <v>126</v>
      </c>
      <c r="Y1" s="26" t="s">
        <v>8</v>
      </c>
    </row>
    <row r="2" spans="1:25" ht="21" customHeight="1" x14ac:dyDescent="0.15">
      <c r="A2" s="15" t="str">
        <f>B2&amp;"_"&amp;C2&amp;"-"&amp;G2&amp;"/"&amp;M2&amp;"&lt;lv"&amp;S2&amp;"&gt;sq"&amp;K2&amp;"st"&amp;L2</f>
        <v>60026_1-3/886&lt;lv80&gt;sq1st2</v>
      </c>
      <c r="B2" s="20">
        <v>60026</v>
      </c>
      <c r="C2" s="19">
        <v>1</v>
      </c>
      <c r="D2" s="2" t="str">
        <f>B2&amp;"_"&amp;C2</f>
        <v>60026_1</v>
      </c>
      <c r="E2" s="4" t="str">
        <f ca="1">VLOOKUP($B2,OFFSET([2]quests!$A$1,0,0,COUNTA([2]quests!$A:$A),MATCH(E$1,[2]quests!$1:$1,0)-MATCH($B$1,[2]quests!$1:$1,0)+1),MATCH(E$1,[2]quests!$1:$1,0)-MATCH($B$1,[2]quests!$1:$1,0)+1,FALSE)</f>
        <v>ハップルチャレンジ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ハップルチャレンジ</v>
      </c>
      <c r="G2" s="119">
        <v>3</v>
      </c>
      <c r="H2" s="14" t="str">
        <f>B2&amp;"_"&amp;C2&amp;"-"&amp;G2</f>
        <v>60026_1-3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6">
        <v>1</v>
      </c>
      <c r="L2" s="36">
        <v>2</v>
      </c>
      <c r="M2" s="121">
        <v>886</v>
      </c>
      <c r="N2" s="16" t="str">
        <f ca="1">VLOOKUP($M2,OFFSET([3]enemies!$A$1,0,0,COUNTA([3]enemies!$A:$A),MATCH(N$1,[3]enemies!$1:$1,0)-MATCH($M$1,[3]enemies!$1:$1,0)+1),MATCH(N$1,[3]enemies!$1:$1,0)-MATCH($M$1,[3]enemies!$1:$1,0)+1,FALSE)</f>
        <v>星義司る天聖神 アストライアー</v>
      </c>
      <c r="O2" s="16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6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6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3">
        <v>4</v>
      </c>
      <c r="U2" s="23">
        <v>0.7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5">
        <v>60026005</v>
      </c>
      <c r="Y2" s="68">
        <v>1</v>
      </c>
    </row>
    <row r="3" spans="1:25" ht="21" customHeight="1" x14ac:dyDescent="0.15">
      <c r="A3" s="15" t="str">
        <f t="shared" ref="A3:A4" si="0">B3&amp;"_"&amp;C3&amp;"-"&amp;G3&amp;"/"&amp;M3&amp;"&lt;lv"&amp;S3&amp;"&gt;sq"&amp;K3&amp;"st"&amp;L3</f>
        <v>60026_1-5/803&lt;lv80&gt;sq2st2</v>
      </c>
      <c r="B3" s="20">
        <v>60026</v>
      </c>
      <c r="C3" s="19">
        <v>1</v>
      </c>
      <c r="D3" s="2" t="str">
        <f t="shared" ref="D3:D4" si="1">B3&amp;"_"&amp;C3</f>
        <v>60026_1</v>
      </c>
      <c r="E3" s="4" t="str">
        <f ca="1">VLOOKUP($B3,OFFSET([2]quests!$A$1,0,0,COUNTA([2]quests!$A:$A),MATCH(E$1,[2]quests!$1:$1,0)-MATCH($B$1,[2]quests!$1:$1,0)+1),MATCH(E$1,[2]quests!$1:$1,0)-MATCH($B$1,[2]quests!$1:$1,0)+1,FALSE)</f>
        <v>ハップルチャレンジ</v>
      </c>
      <c r="F3" s="4" t="str">
        <f ca="1">VLOOKUP($D3,OFFSET([2]stages!$A$1,0,0,COUNTA([2]stages!$A:$A),MATCH(F$1,[2]stages!$2:$2,0)-MATCH($D$1,[2]stages!$2:$2,0)+1),MATCH(F$1,[2]stages!$2:$2,0)-MATCH($D$1,[2]stages!$2:$2,0)+1,FALSE)</f>
        <v>ハップルチャレンジ</v>
      </c>
      <c r="G3" s="119">
        <v>5</v>
      </c>
      <c r="H3" s="14" t="str">
        <f t="shared" ref="H3:H4" si="2">B3&amp;"_"&amp;C3&amp;"-"&amp;G3</f>
        <v>60026_1-5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>
        <v>2</v>
      </c>
      <c r="L3" s="36">
        <v>2</v>
      </c>
      <c r="M3" s="121">
        <v>803</v>
      </c>
      <c r="N3" s="16" t="str">
        <f ca="1">VLOOKUP($M3,OFFSET([3]enemies!$A$1,0,0,COUNTA([3]enemies!$A:$A),MATCH(N$1,[3]enemies!$1:$1,0)-MATCH($M$1,[3]enemies!$1:$1,0)+1),MATCH(N$1,[3]enemies!$1:$1,0)-MATCH($M$1,[3]enemies!$1:$1,0)+1,FALSE)</f>
        <v>大宇宙の膨超 ハップル</v>
      </c>
      <c r="O3" s="16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PremiumSSS</v>
      </c>
      <c r="Q3" s="16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6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3">
        <v>6</v>
      </c>
      <c r="U3" s="23">
        <v>0.8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5">
        <v>60026009</v>
      </c>
      <c r="Y3" s="68">
        <v>2</v>
      </c>
    </row>
    <row r="4" spans="1:25" ht="21" customHeight="1" x14ac:dyDescent="0.15">
      <c r="A4" s="15" t="str">
        <f t="shared" si="0"/>
        <v>60026_1-5/803&lt;lv80&gt;sq2st3</v>
      </c>
      <c r="B4" s="20">
        <v>60026</v>
      </c>
      <c r="C4" s="19">
        <v>1</v>
      </c>
      <c r="D4" s="2" t="str">
        <f t="shared" si="1"/>
        <v>60026_1</v>
      </c>
      <c r="E4" s="4" t="str">
        <f ca="1">VLOOKUP($B4,OFFSET([2]quests!$A$1,0,0,COUNTA([2]quests!$A:$A),MATCH(E$1,[2]quests!$1:$1,0)-MATCH($B$1,[2]quests!$1:$1,0)+1),MATCH(E$1,[2]quests!$1:$1,0)-MATCH($B$1,[2]quests!$1:$1,0)+1,FALSE)</f>
        <v>ハップルチャレンジ</v>
      </c>
      <c r="F4" s="4" t="str">
        <f ca="1">VLOOKUP($D4,OFFSET([2]stages!$A$1,0,0,COUNTA([2]stages!$A:$A),MATCH(F$1,[2]stages!$2:$2,0)-MATCH($D$1,[2]stages!$2:$2,0)+1),MATCH(F$1,[2]stages!$2:$2,0)-MATCH($D$1,[2]stages!$2:$2,0)+1,FALSE)</f>
        <v>ハップルチャレンジ</v>
      </c>
      <c r="G4" s="119">
        <v>5</v>
      </c>
      <c r="H4" s="14" t="str">
        <f t="shared" si="2"/>
        <v>60026_1-5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>
        <v>2</v>
      </c>
      <c r="L4" s="36">
        <v>3</v>
      </c>
      <c r="M4" s="121">
        <v>803</v>
      </c>
      <c r="N4" s="16" t="str">
        <f ca="1">VLOOKUP($M4,OFFSET([3]enemies!$A$1,0,0,COUNTA([3]enemies!$A:$A),MATCH(N$1,[3]enemies!$1:$1,0)-MATCH($M$1,[3]enemies!$1:$1,0)+1),MATCH(N$1,[3]enemies!$1:$1,0)-MATCH($M$1,[3]enemies!$1:$1,0)+1,FALSE)</f>
        <v>大宇宙の膨超 ハップル</v>
      </c>
      <c r="O4" s="16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6" t="str">
        <f ca="1">VLOOKUP($M4,OFFSET([4]characters!$A$1,0,0,COUNTA([4]characters!$A:$A),MATCH(P$1,[4]characters!$1:$1,0)-MATCH($M$1,[4]characters!$1:$1,0)+1),MATCH(P$1,[4]characters!$1:$1,0)-MATCH($M$1,[4]characters!$1:$1,0)+1,FALSE)</f>
        <v>PremiumSSS</v>
      </c>
      <c r="Q4" s="16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6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3">
        <v>8</v>
      </c>
      <c r="U4" s="23">
        <v>0.8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5">
        <v>60026010</v>
      </c>
      <c r="Y4" s="68">
        <v>1</v>
      </c>
    </row>
  </sheetData>
  <sheetProtection selectLockedCells="1" selectUnlockedCells="1"/>
  <autoFilter ref="B1:Y2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41"/>
  <sheetViews>
    <sheetView showGridLines="0" workbookViewId="0">
      <pane xSplit="5" ySplit="1" topLeftCell="F30" activePane="bottomRight" state="frozen"/>
      <selection pane="topRight"/>
      <selection pane="bottomLeft"/>
      <selection pane="bottomRight" activeCell="E43" sqref="E43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44.1640625" style="47" bestFit="1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60</v>
      </c>
      <c r="B1" s="38" t="s">
        <v>61</v>
      </c>
      <c r="C1" s="38" t="s">
        <v>62</v>
      </c>
      <c r="D1" s="39" t="s">
        <v>63</v>
      </c>
      <c r="E1" s="39" t="s">
        <v>64</v>
      </c>
      <c r="F1" s="40" t="s">
        <v>65</v>
      </c>
      <c r="G1" s="41" t="s">
        <v>66</v>
      </c>
      <c r="H1" s="41" t="s">
        <v>68</v>
      </c>
      <c r="I1" s="41" t="s">
        <v>69</v>
      </c>
      <c r="J1" s="41" t="s">
        <v>70</v>
      </c>
      <c r="K1" s="42" t="s">
        <v>71</v>
      </c>
      <c r="L1" s="42" t="s">
        <v>72</v>
      </c>
      <c r="M1" s="41" t="s">
        <v>73</v>
      </c>
      <c r="N1" s="41" t="s">
        <v>74</v>
      </c>
      <c r="O1" s="41" t="s">
        <v>75</v>
      </c>
      <c r="P1" s="39" t="s">
        <v>76</v>
      </c>
      <c r="Q1" s="39" t="s">
        <v>77</v>
      </c>
      <c r="R1" s="39" t="s">
        <v>78</v>
      </c>
    </row>
    <row r="2" spans="1:18" ht="21" customHeight="1" x14ac:dyDescent="0.15">
      <c r="A2" s="37" t="str">
        <f t="shared" ref="A2" si="0">B2&amp;"_"&amp;C2</f>
        <v>60026000_60026000</v>
      </c>
      <c r="B2" s="45">
        <v>60026000</v>
      </c>
      <c r="C2" s="45">
        <v>60026000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ライトニング・ステップ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" s="45">
        <v>60026000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6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6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" s="45"/>
      <c r="Q2" s="45"/>
      <c r="R2" s="45"/>
    </row>
    <row r="3" spans="1:18" ht="21" customHeight="1" x14ac:dyDescent="0.15">
      <c r="A3" s="37" t="str">
        <f t="shared" ref="A3:A40" si="1">B3&amp;"_"&amp;C3</f>
        <v>60026001_60026005</v>
      </c>
      <c r="B3" s="45">
        <v>60026001</v>
      </c>
      <c r="C3" s="45">
        <v>60026005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グリッター・ダンス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" s="45">
        <v>60026005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6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6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" s="45"/>
      <c r="Q3" s="45"/>
      <c r="R3" s="45"/>
    </row>
    <row r="4" spans="1:18" ht="21" customHeight="1" x14ac:dyDescent="0.15">
      <c r="A4" s="37" t="str">
        <f t="shared" si="1"/>
        <v>60026002_60026010</v>
      </c>
      <c r="B4" s="45">
        <v>60026002</v>
      </c>
      <c r="C4" s="45">
        <v>60026010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ヴィーナスハート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ランダムでハートパネルに変換(最大10個)</v>
      </c>
      <c r="F4" s="45">
        <v>60026010</v>
      </c>
      <c r="G4" s="4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6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6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5"/>
      <c r="Q4" s="45"/>
      <c r="R4" s="45"/>
    </row>
    <row r="5" spans="1:18" ht="21" customHeight="1" x14ac:dyDescent="0.15">
      <c r="A5" s="37" t="str">
        <f t="shared" si="1"/>
        <v>60026003_60026015</v>
      </c>
      <c r="B5" s="45">
        <v>60026003</v>
      </c>
      <c r="C5" s="45">
        <v>60026015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愛のスイング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ハートパネルを吸収して攻撃(最大5個)</v>
      </c>
      <c r="F5" s="45">
        <v>60026015</v>
      </c>
      <c r="G5" s="4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6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6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5"/>
      <c r="Q5" s="45"/>
      <c r="R5" s="45"/>
    </row>
    <row r="6" spans="1:18" ht="21" customHeight="1" x14ac:dyDescent="0.15">
      <c r="A6" s="37" t="str">
        <f t="shared" si="1"/>
        <v>60026004_60026020</v>
      </c>
      <c r="B6" s="45">
        <v>60026004</v>
      </c>
      <c r="C6" s="45">
        <v>60026020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星々よ…私に加護を！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" s="45">
        <v>60026020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6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6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5"/>
      <c r="Q6" s="45"/>
      <c r="R6" s="45"/>
    </row>
    <row r="7" spans="1:18" ht="21" customHeight="1" x14ac:dyDescent="0.15">
      <c r="A7" s="37" t="str">
        <f t="shared" si="1"/>
        <v>60026004_60026021</v>
      </c>
      <c r="B7" s="45">
        <v>60026004</v>
      </c>
      <c r="C7" s="45">
        <v>60026021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降り注げ、星の雨！！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7" s="45">
        <v>60026021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7" s="4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6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7" s="45"/>
      <c r="Q7" s="45"/>
      <c r="R7" s="45"/>
    </row>
    <row r="8" spans="1:18" ht="21" customHeight="1" x14ac:dyDescent="0.15">
      <c r="A8" s="37" t="str">
        <f t="shared" si="1"/>
        <v>60026004_60026022</v>
      </c>
      <c r="B8" s="45">
        <v>60026004</v>
      </c>
      <c r="C8" s="45">
        <v>60026022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満天の贈り物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ランダムでハートパネルに変換(最大10個)</v>
      </c>
      <c r="F8" s="45">
        <v>60026022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6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5"/>
      <c r="Q8" s="45"/>
      <c r="R8" s="45"/>
    </row>
    <row r="9" spans="1:18" ht="21" customHeight="1" x14ac:dyDescent="0.15">
      <c r="A9" s="37" t="str">
        <f t="shared" si="1"/>
        <v>60026004_60026023</v>
      </c>
      <c r="B9" s="45">
        <v>60026004</v>
      </c>
      <c r="C9" s="45">
        <v>60026023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これならどうです！？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</v>
      </c>
      <c r="F9" s="45">
        <v>60026023</v>
      </c>
      <c r="G9" s="4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6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6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" s="4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5"/>
      <c r="Q9" s="45"/>
      <c r="R9" s="45"/>
    </row>
    <row r="10" spans="1:18" ht="21" customHeight="1" x14ac:dyDescent="0.15">
      <c r="A10" s="37" t="str">
        <f t="shared" si="1"/>
        <v>60026005_60026025</v>
      </c>
      <c r="B10" s="45">
        <v>60026005</v>
      </c>
      <c r="C10" s="45">
        <v>60026025</v>
      </c>
      <c r="D10" s="4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全ては星の導きのままに…！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0" s="45">
        <v>60026025</v>
      </c>
      <c r="G10" s="4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6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6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6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6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5"/>
      <c r="Q10" s="45"/>
      <c r="R10" s="45"/>
    </row>
    <row r="11" spans="1:18" ht="21" customHeight="1" x14ac:dyDescent="0.15">
      <c r="A11" s="37" t="str">
        <f t="shared" si="1"/>
        <v>60026005_60026026</v>
      </c>
      <c r="B11" s="45">
        <v>60026005</v>
      </c>
      <c r="C11" s="45">
        <v>60026026</v>
      </c>
      <c r="D11" s="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降り注げ、星の雨！！</v>
      </c>
      <c r="E11" s="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11" s="45">
        <v>60026026</v>
      </c>
      <c r="G11" s="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6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1" s="4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6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6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1" s="45"/>
      <c r="Q11" s="45"/>
      <c r="R11" s="45"/>
    </row>
    <row r="12" spans="1:18" ht="21" customHeight="1" x14ac:dyDescent="0.15">
      <c r="A12" s="37" t="str">
        <f t="shared" si="1"/>
        <v>60026005_60026027</v>
      </c>
      <c r="B12" s="45">
        <v>60026005</v>
      </c>
      <c r="C12" s="45">
        <v>60026027</v>
      </c>
      <c r="D12" s="4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満天の贈り物</v>
      </c>
      <c r="E12" s="4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ランダムでハートパネルに変換(最大10個)</v>
      </c>
      <c r="F12" s="45">
        <v>60026027</v>
      </c>
      <c r="G12" s="4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6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12" s="4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2" s="4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6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6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2" s="45"/>
      <c r="Q12" s="45"/>
      <c r="R12" s="45"/>
    </row>
    <row r="13" spans="1:18" ht="21" customHeight="1" x14ac:dyDescent="0.15">
      <c r="A13" s="37" t="str">
        <f t="shared" si="1"/>
        <v>60026005_60026028</v>
      </c>
      <c r="B13" s="45">
        <v>60026005</v>
      </c>
      <c r="C13" s="45">
        <v>60026028</v>
      </c>
      <c r="D13" s="4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夜天の落星</v>
      </c>
      <c r="E13" s="4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ランダムで黄のダメージパネルに4個変換</v>
      </c>
      <c r="F13" s="45">
        <v>60026028</v>
      </c>
      <c r="G13" s="4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6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3" s="4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3" s="46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6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6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6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3" s="45"/>
      <c r="Q13" s="45"/>
      <c r="R13" s="45"/>
    </row>
    <row r="14" spans="1:18" ht="21" customHeight="1" x14ac:dyDescent="0.15">
      <c r="A14" s="37" t="str">
        <f t="shared" si="1"/>
        <v>60026005_60026029</v>
      </c>
      <c r="B14" s="45">
        <v>60026005</v>
      </c>
      <c r="C14" s="45">
        <v>60026029</v>
      </c>
      <c r="D14" s="4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墜ちなさい！！</v>
      </c>
      <c r="E14" s="4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ハートパネルとダメージパネルを吸収して全体攻撃</v>
      </c>
      <c r="F14" s="45">
        <v>60026029</v>
      </c>
      <c r="G14" s="4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6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6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6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6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4" s="46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5"/>
      <c r="Q14" s="45"/>
      <c r="R14" s="45"/>
    </row>
    <row r="15" spans="1:18" ht="21" customHeight="1" x14ac:dyDescent="0.15">
      <c r="A15" s="37" t="str">
        <f t="shared" si="1"/>
        <v>60026006_60026030</v>
      </c>
      <c r="B15" s="45">
        <v>60026006</v>
      </c>
      <c r="C15" s="45">
        <v>60026030</v>
      </c>
      <c r="D15" s="4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さあいくよっ！</v>
      </c>
      <c r="E15" s="4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5ターン緑パネル出現率DOWN</v>
      </c>
      <c r="F15" s="45">
        <v>60026030</v>
      </c>
      <c r="G15" s="4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6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6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6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6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5"/>
      <c r="Q15" s="45"/>
      <c r="R15" s="45"/>
    </row>
    <row r="16" spans="1:18" ht="21" customHeight="1" x14ac:dyDescent="0.15">
      <c r="A16" s="37" t="str">
        <f t="shared" si="1"/>
        <v>60026006_60026031</v>
      </c>
      <c r="B16" s="45">
        <v>60026006</v>
      </c>
      <c r="C16" s="45">
        <v>60026031</v>
      </c>
      <c r="D16" s="4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アビア・モルトクオーレ</v>
      </c>
      <c r="E16" s="4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ランダムでハートパネルに変換(最大10個)</v>
      </c>
      <c r="F16" s="45">
        <v>60026031</v>
      </c>
      <c r="G16" s="4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6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6" s="46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6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6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6" s="45"/>
      <c r="Q16" s="45"/>
      <c r="R16" s="45"/>
    </row>
    <row r="17" spans="1:18" ht="21" customHeight="1" x14ac:dyDescent="0.15">
      <c r="A17" s="37" t="str">
        <f t="shared" si="1"/>
        <v>60026006_60026032</v>
      </c>
      <c r="B17" s="45">
        <v>60026006</v>
      </c>
      <c r="C17" s="45">
        <v>60026032</v>
      </c>
      <c r="D17" s="4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妖精の導き</v>
      </c>
      <c r="E17" s="4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青属性の敵の攻撃頻度UP</v>
      </c>
      <c r="F17" s="45">
        <v>60026032</v>
      </c>
      <c r="G17" s="4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6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6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6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6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7" s="4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5"/>
      <c r="Q17" s="45"/>
      <c r="R17" s="45"/>
    </row>
    <row r="18" spans="1:18" ht="21" customHeight="1" x14ac:dyDescent="0.15">
      <c r="A18" s="37" t="str">
        <f t="shared" si="1"/>
        <v>60026006_60026033</v>
      </c>
      <c r="B18" s="45">
        <v>60026006</v>
      </c>
      <c r="C18" s="45">
        <v>60026033</v>
      </c>
      <c r="D18" s="4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えいえいっ☆</v>
      </c>
      <c r="E18" s="4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18" s="45">
        <v>60026033</v>
      </c>
      <c r="G18" s="4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6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8" s="46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6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6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6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8" s="45"/>
      <c r="Q18" s="45"/>
      <c r="R18" s="45"/>
    </row>
    <row r="19" spans="1:18" ht="21" customHeight="1" x14ac:dyDescent="0.15">
      <c r="A19" s="37" t="str">
        <f t="shared" si="1"/>
        <v>60026007_60026035</v>
      </c>
      <c r="B19" s="45">
        <v>60026007</v>
      </c>
      <c r="C19" s="45">
        <v>60026035</v>
      </c>
      <c r="D19" s="4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ちょっと強いのいくわよ！</v>
      </c>
      <c r="E19" s="4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ハートパネルを吸収して攻撃</v>
      </c>
      <c r="F19" s="45">
        <v>60026035</v>
      </c>
      <c r="G19" s="4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6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6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6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6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9" s="4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5"/>
      <c r="Q19" s="45"/>
      <c r="R19" s="45"/>
    </row>
    <row r="20" spans="1:18" ht="21" customHeight="1" x14ac:dyDescent="0.15">
      <c r="A20" s="37" t="str">
        <f t="shared" si="1"/>
        <v>60026007_60026036</v>
      </c>
      <c r="B20" s="45">
        <v>60026007</v>
      </c>
      <c r="C20" s="45">
        <v>60026036</v>
      </c>
      <c r="D20" s="44" t="str">
        <f ca="1">VLOOKUP($C20,OFFSET(enemy_skills!$A$1,0,0,COUNTA(enemy_skills!$A:$A),MATCH(D$1,enemy_skills!$1:$1,0)-MATCH("enemy_skill_id",enemy_skills!$1:$1,0)+1),MATCH(D$1,enemy_skills!$1:$1,0)-MATCH("enemy_skill_id",enemy_skills!$1:$1,0)+1,FALSE)</f>
        <v>怪しいお薬</v>
      </c>
      <c r="E20" s="44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緑属性の敵の攻撃力UP</v>
      </c>
      <c r="F20" s="45">
        <v>60026036</v>
      </c>
      <c r="G20" s="46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6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6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6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6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6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6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0" s="46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6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5"/>
      <c r="Q20" s="45"/>
      <c r="R20" s="45"/>
    </row>
    <row r="21" spans="1:18" ht="21" customHeight="1" x14ac:dyDescent="0.15">
      <c r="A21" s="37" t="str">
        <f t="shared" si="1"/>
        <v>60026008_60026040</v>
      </c>
      <c r="B21" s="45">
        <v>60026008</v>
      </c>
      <c r="C21" s="45">
        <v>60026040</v>
      </c>
      <c r="D21" s="4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アナタは[player_ranking_grade]の挑戦者ね</v>
      </c>
      <c r="E21" s="4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状態異常耐性+_x000D_全てのドロップパネル変換を解除+_x000D_緑パネルをお邪魔パネルに変換してドロップ</v>
      </c>
      <c r="F21" s="45">
        <v>60026040</v>
      </c>
      <c r="G21" s="4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6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6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6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6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6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6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5"/>
      <c r="Q21" s="45"/>
      <c r="R21" s="45"/>
    </row>
    <row r="22" spans="1:18" ht="21" customHeight="1" x14ac:dyDescent="0.15">
      <c r="A22" s="37" t="str">
        <f t="shared" si="1"/>
        <v>60026008_60026041</v>
      </c>
      <c r="B22" s="45">
        <v>60026008</v>
      </c>
      <c r="C22" s="45">
        <v>60026041</v>
      </c>
      <c r="D22" s="44" t="str">
        <f ca="1">VLOOKUP($C22,OFFSET(enemy_skills!$A$1,0,0,COUNTA(enemy_skills!$A:$A),MATCH(D$1,enemy_skills!$1:$1,0)-MATCH("enemy_skill_id",enemy_skills!$1:$1,0)+1),MATCH(D$1,enemy_skills!$1:$1,0)-MATCH("enemy_skill_id",enemy_skills!$1:$1,0)+1,FALSE)</f>
        <v>輝く星を感じなさい！</v>
      </c>
      <c r="E22" s="44" t="str">
        <f ca="1">VLOOKUP($C22,OFFSET(enemy_skills!$A$1,0,0,COUNTA(enemy_skills!$A:$A),MATCH(E$1,enemy_skills!$1:$1,0)-MATCH("enemy_skill_id",enemy_skills!$1:$1,0)+1),MATCH(E$1,enemy_skills!$1:$1,0)-MATCH("enemy_skill_id",enemy_skills!$1:$1,0)+1,FALSE)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黄属性のユニットに大ダメージの攻撃</v>
      </c>
      <c r="F22" s="45">
        <v>60026041</v>
      </c>
      <c r="G22" s="46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6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22" s="4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2" s="46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6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6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6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6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6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2" s="45"/>
      <c r="Q22" s="45"/>
      <c r="R22" s="45"/>
    </row>
    <row r="23" spans="1:18" ht="21" customHeight="1" x14ac:dyDescent="0.15">
      <c r="A23" s="37" t="str">
        <f t="shared" si="1"/>
        <v>60026008_60026042</v>
      </c>
      <c r="B23" s="45">
        <v>60026008</v>
      </c>
      <c r="C23" s="45">
        <v>60026042</v>
      </c>
      <c r="D23" s="44" t="str">
        <f ca="1">VLOOKUP($C23,OFFSET(enemy_skills!$A$1,0,0,COUNTA(enemy_skills!$A:$A),MATCH(D$1,enemy_skills!$1:$1,0)-MATCH("enemy_skill_id",enemy_skills!$1:$1,0)+1),MATCH(D$1,enemy_skills!$1:$1,0)-MATCH("enemy_skill_id",enemy_skills!$1:$1,0)+1,FALSE)</f>
        <v>静かにしてなさい…</v>
      </c>
      <c r="E23" s="44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種族サムライのユニットに大ダメージの4回連続攻撃</v>
      </c>
      <c r="F23" s="45">
        <v>60026042</v>
      </c>
      <c r="G23" s="46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6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23" s="46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3" s="46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6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6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6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6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6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3" s="45"/>
      <c r="Q23" s="45"/>
      <c r="R23" s="45"/>
    </row>
    <row r="24" spans="1:18" ht="21" customHeight="1" x14ac:dyDescent="0.15">
      <c r="A24" s="37" t="str">
        <f t="shared" si="1"/>
        <v>60026008_60026043</v>
      </c>
      <c r="B24" s="45">
        <v>60026008</v>
      </c>
      <c r="C24" s="45">
        <v>60026043</v>
      </c>
      <c r="D24" s="44" t="str">
        <f ca="1">VLOOKUP($C24,OFFSET(enemy_skills!$A$1,0,0,COUNTA(enemy_skills!$A:$A),MATCH(D$1,enemy_skills!$1:$1,0)-MATCH("enemy_skill_id",enemy_skills!$1:$1,0)+1),MATCH(D$1,enemy_skills!$1:$1,0)-MATCH("enemy_skill_id",enemy_skills!$1:$1,0)+1,FALSE)</f>
        <v>薄紅の綺羅星</v>
      </c>
      <c r="E24" s="44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ランダムでハートパネルに変換(最大10個)</v>
      </c>
      <c r="F24" s="45">
        <v>60026043</v>
      </c>
      <c r="G24" s="46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6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24" s="46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4" s="46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6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6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6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6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6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4" s="45"/>
      <c r="Q24" s="45"/>
      <c r="R24" s="45"/>
    </row>
    <row r="25" spans="1:18" ht="21" customHeight="1" x14ac:dyDescent="0.15">
      <c r="A25" s="37" t="str">
        <f t="shared" si="1"/>
        <v>60026008_60026044</v>
      </c>
      <c r="B25" s="45">
        <v>60026008</v>
      </c>
      <c r="C25" s="45">
        <v>60026044</v>
      </c>
      <c r="D25" s="44" t="str">
        <f ca="1">VLOOKUP($C25,OFFSET(enemy_skills!$A$1,0,0,COUNTA(enemy_skills!$A:$A),MATCH(D$1,enemy_skills!$1:$1,0)-MATCH("enemy_skill_id",enemy_skills!$1:$1,0)+1),MATCH(D$1,enemy_skills!$1:$1,0)-MATCH("enemy_skill_id",enemy_skills!$1:$1,0)+1,FALSE)</f>
        <v>荒ぶりの超銀河</v>
      </c>
      <c r="E25" s="44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ハートパネルとダメージパネルとお邪魔パネルを_x000D_吸収して全体攻撃(最大15個)</v>
      </c>
      <c r="F25" s="45">
        <v>60026044</v>
      </c>
      <c r="G25" s="46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6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6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6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6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6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6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5" s="46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6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5"/>
      <c r="Q25" s="45"/>
      <c r="R25" s="45"/>
    </row>
    <row r="26" spans="1:18" ht="21" customHeight="1" x14ac:dyDescent="0.15">
      <c r="A26" s="37" t="str">
        <f t="shared" ref="A26" si="2">B26&amp;"_"&amp;C26</f>
        <v>60026008_60026045</v>
      </c>
      <c r="B26" s="45">
        <v>60026008</v>
      </c>
      <c r="C26" s="45">
        <v>60026045</v>
      </c>
      <c r="D26" s="44" t="str">
        <f ca="1">VLOOKUP($C26,OFFSET(enemy_skills!$A$1,0,0,COUNTA(enemy_skills!$A:$A),MATCH(D$1,enemy_skills!$1:$1,0)-MATCH("enemy_skill_id",enemy_skills!$1:$1,0)+1),MATCH(D$1,enemy_skills!$1:$1,0)-MATCH("enemy_skill_id",enemy_skills!$1:$1,0)+1,FALSE)</f>
        <v>煌めく凶星</v>
      </c>
      <c r="E26" s="44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ランダムで黄のダメージパネルに4個変換</v>
      </c>
      <c r="F26" s="45">
        <v>60026045</v>
      </c>
      <c r="G26" s="46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6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6" s="46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6" s="46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6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6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6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6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6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6" s="45"/>
      <c r="Q26" s="45"/>
      <c r="R26" s="45"/>
    </row>
    <row r="27" spans="1:18" ht="21" customHeight="1" x14ac:dyDescent="0.15">
      <c r="A27" s="37" t="str">
        <f t="shared" si="1"/>
        <v>60026009_60026050</v>
      </c>
      <c r="B27" s="45">
        <v>60026009</v>
      </c>
      <c r="C27" s="45">
        <v>60026050</v>
      </c>
      <c r="D27" s="44" t="str">
        <f ca="1">VLOOKUP($C27,OFFSET(enemy_skills!$A$1,0,0,COUNTA(enemy_skills!$A:$A),MATCH(D$1,enemy_skills!$1:$1,0)-MATCH("enemy_skill_id",enemy_skills!$1:$1,0)+1),MATCH(D$1,enemy_skills!$1:$1,0)-MATCH("enemy_skill_id",enemy_skills!$1:$1,0)+1,FALSE)</f>
        <v>見上げてごらんなさい…！</v>
      </c>
      <c r="E27" s="44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状態異常耐性+_x000D_全てのドロップパネル変換を解除+_x000D_緑パネルをハートパネルに変換してドロップ</v>
      </c>
      <c r="F27" s="45">
        <v>60026050</v>
      </c>
      <c r="G27" s="46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6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6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6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6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6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6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6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6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5"/>
      <c r="Q27" s="45"/>
      <c r="R27" s="45"/>
    </row>
    <row r="28" spans="1:18" ht="21" customHeight="1" x14ac:dyDescent="0.15">
      <c r="A28" s="37" t="str">
        <f t="shared" si="1"/>
        <v>60026009_60026051</v>
      </c>
      <c r="B28" s="45">
        <v>60026009</v>
      </c>
      <c r="C28" s="45">
        <v>60026051</v>
      </c>
      <c r="D28" s="44" t="str">
        <f ca="1">VLOOKUP($C28,OFFSET(enemy_skills!$A$1,0,0,COUNTA(enemy_skills!$A:$A),MATCH(D$1,enemy_skills!$1:$1,0)-MATCH("enemy_skill_id",enemy_skills!$1:$1,0)+1),MATCH(D$1,enemy_skills!$1:$1,0)-MATCH("enemy_skill_id",enemy_skills!$1:$1,0)+1,FALSE)</f>
        <v>輝く星を感じなさい！</v>
      </c>
      <c r="E28" s="44" t="str">
        <f ca="1">VLOOKUP($C28,OFFSET(enemy_skills!$A$1,0,0,COUNTA(enemy_skills!$A:$A),MATCH(E$1,enemy_skills!$1:$1,0)-MATCH("enemy_skill_id",enemy_skills!$1:$1,0)+1),MATCH(E$1,enemy_skills!$1:$1,0)-MATCH("enemy_skill_id",enemy_skills!$1:$1,0)+1,FALSE)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黄属性のユニットに大ダメージの攻撃</v>
      </c>
      <c r="F28" s="45">
        <v>60026051</v>
      </c>
      <c r="G28" s="46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6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28" s="46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8" s="46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6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6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6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6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6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8" s="45"/>
      <c r="Q28" s="45"/>
      <c r="R28" s="45"/>
    </row>
    <row r="29" spans="1:18" ht="21" customHeight="1" x14ac:dyDescent="0.15">
      <c r="A29" s="37" t="str">
        <f t="shared" si="1"/>
        <v>60026009_60026052</v>
      </c>
      <c r="B29" s="45">
        <v>60026009</v>
      </c>
      <c r="C29" s="45">
        <v>60026052</v>
      </c>
      <c r="D29" s="44" t="str">
        <f ca="1">VLOOKUP($C29,OFFSET(enemy_skills!$A$1,0,0,COUNTA(enemy_skills!$A:$A),MATCH(D$1,enemy_skills!$1:$1,0)-MATCH("enemy_skill_id",enemy_skills!$1:$1,0)+1),MATCH(D$1,enemy_skills!$1:$1,0)-MATCH("enemy_skill_id",enemy_skills!$1:$1,0)+1,FALSE)</f>
        <v>静かにしてなさい…</v>
      </c>
      <c r="E29" s="44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種族サムライのユニットに大ダメージの4回連続攻撃</v>
      </c>
      <c r="F29" s="45">
        <v>60026052</v>
      </c>
      <c r="G29" s="46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6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9" s="46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9" s="46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6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6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6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6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6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9" s="45"/>
      <c r="Q29" s="45"/>
      <c r="R29" s="45"/>
    </row>
    <row r="30" spans="1:18" ht="21" customHeight="1" x14ac:dyDescent="0.15">
      <c r="A30" s="37" t="str">
        <f t="shared" si="1"/>
        <v>60026009_60026053</v>
      </c>
      <c r="B30" s="45">
        <v>60026009</v>
      </c>
      <c r="C30" s="45">
        <v>60026053</v>
      </c>
      <c r="D30" s="44" t="str">
        <f ca="1">VLOOKUP($C30,OFFSET(enemy_skills!$A$1,0,0,COUNTA(enemy_skills!$A:$A),MATCH(D$1,enemy_skills!$1:$1,0)-MATCH("enemy_skill_id",enemy_skills!$1:$1,0)+1),MATCH(D$1,enemy_skills!$1:$1,0)-MATCH("enemy_skill_id",enemy_skills!$1:$1,0)+1,FALSE)</f>
        <v>薄紅の綺羅星</v>
      </c>
      <c r="E30" s="44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ランダムでハートパネルに変換(最大15個)</v>
      </c>
      <c r="F30" s="45">
        <v>60026053</v>
      </c>
      <c r="G30" s="46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6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30" s="46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0" s="46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6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6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6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6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6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0" s="45"/>
      <c r="Q30" s="45"/>
      <c r="R30" s="45"/>
    </row>
    <row r="31" spans="1:18" ht="21" customHeight="1" x14ac:dyDescent="0.15">
      <c r="A31" s="37" t="str">
        <f t="shared" si="1"/>
        <v>60026009_60026054</v>
      </c>
      <c r="B31" s="45">
        <v>60026009</v>
      </c>
      <c r="C31" s="45">
        <v>60026054</v>
      </c>
      <c r="D31" s="44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ネビュラ・インテグレート</v>
      </c>
      <c r="E31" s="44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</v>
      </c>
      <c r="F31" s="45">
        <v>60026054</v>
      </c>
      <c r="G31" s="46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6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6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6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6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6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6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1" s="46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6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5"/>
      <c r="Q31" s="45"/>
      <c r="R31" s="45"/>
    </row>
    <row r="32" spans="1:18" ht="21" customHeight="1" x14ac:dyDescent="0.15">
      <c r="A32" s="37" t="str">
        <f t="shared" si="1"/>
        <v>60026009_60026055</v>
      </c>
      <c r="B32" s="45">
        <v>60026009</v>
      </c>
      <c r="C32" s="45">
        <v>60026055</v>
      </c>
      <c r="D32" s="44" t="str">
        <f ca="1">VLOOKUP($C32,OFFSET(enemy_skills!$A$1,0,0,COUNTA(enemy_skills!$A:$A),MATCH(D$1,enemy_skills!$1:$1,0)-MATCH("enemy_skill_id",enemy_skills!$1:$1,0)+1),MATCH(D$1,enemy_skills!$1:$1,0)-MATCH("enemy_skill_id",enemy_skills!$1:$1,0)+1,FALSE)</f>
        <v>私の愛は宇宙をも包み込む！</v>
      </c>
      <c r="E32" s="44" t="str">
        <f ca="1">VLOOKUP($C32,OFFSET(enemy_skills!$A$1,0,0,COUNTA(enemy_skills!$A:$A),MATCH(E$1,enemy_skills!$1:$1,0)-MATCH("enemy_skill_id",enemy_skills!$1:$1,0)+1),MATCH(E$1,enemy_skills!$1:$1,0)-MATCH("enemy_skill_id",enemy_skills!$1:$1,0)+1,FALSE)</f>
        <v>全てのパネルをハートパネルに変換</v>
      </c>
      <c r="F32" s="45">
        <v>60026055</v>
      </c>
      <c r="G32" s="46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6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2" s="46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6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" s="46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6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6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6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6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5"/>
      <c r="Q32" s="45"/>
      <c r="R32" s="45"/>
    </row>
    <row r="33" spans="1:18" ht="21" customHeight="1" x14ac:dyDescent="0.15">
      <c r="A33" s="37" t="str">
        <f t="shared" si="1"/>
        <v>60026009_60026056</v>
      </c>
      <c r="B33" s="45">
        <v>60026009</v>
      </c>
      <c r="C33" s="45">
        <v>60026056</v>
      </c>
      <c r="D33" s="44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ネビュラ・インテグレート</v>
      </c>
      <c r="E33" s="44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</v>
      </c>
      <c r="F33" s="45">
        <v>60026056</v>
      </c>
      <c r="G33" s="46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6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3" s="46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6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3" s="46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6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6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6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6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5"/>
      <c r="Q33" s="45"/>
      <c r="R33" s="45"/>
    </row>
    <row r="34" spans="1:18" ht="21" customHeight="1" x14ac:dyDescent="0.15">
      <c r="A34" s="37" t="str">
        <f t="shared" si="1"/>
        <v>60026010_60026060</v>
      </c>
      <c r="B34" s="45">
        <v>60026010</v>
      </c>
      <c r="C34" s="45">
        <v>60026060</v>
      </c>
      <c r="D34" s="44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宇宙は全て私の手の中よ</v>
      </c>
      <c r="E34" s="44" t="str">
        <f ca="1">VLOOKUP($C34,OFFSET(enemy_skills!$A$1,0,0,COUNTA(enemy_skills!$A:$A),MATCH(E$1,enemy_skills!$1:$1,0)-MATCH("enemy_skill_id",enemy_skills!$1:$1,0)+1),MATCH(E$1,enemy_skills!$1:$1,0)-MATCH("enemy_skill_id",enemy_skills!$1:$1,0)+1,FALSE)</f>
        <v>状態異常耐性+_x000D_全てのドロップパネル変換を解除+_x000D_緑パネルをハートパネルに変換してドロップ</v>
      </c>
      <c r="F34" s="45">
        <v>60026060</v>
      </c>
      <c r="G34" s="46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6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6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6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6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6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6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6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6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5"/>
      <c r="Q34" s="45"/>
      <c r="R34" s="45"/>
    </row>
    <row r="35" spans="1:18" ht="21" customHeight="1" x14ac:dyDescent="0.15">
      <c r="A35" s="37" t="str">
        <f t="shared" si="1"/>
        <v>60026010_60026061</v>
      </c>
      <c r="B35" s="45">
        <v>60026010</v>
      </c>
      <c r="C35" s="45">
        <v>60026061</v>
      </c>
      <c r="D35" s="44" t="str">
        <f ca="1">VLOOKUP($C35,OFFSET(enemy_skills!$A$1,0,0,COUNTA(enemy_skills!$A:$A),MATCH(D$1,enemy_skills!$1:$1,0)-MATCH("enemy_skill_id",enemy_skills!$1:$1,0)+1),MATCH(D$1,enemy_skills!$1:$1,0)-MATCH("enemy_skill_id",enemy_skills!$1:$1,0)+1,FALSE)</f>
        <v>輝く星を感じなさい！</v>
      </c>
      <c r="E35" s="44" t="str">
        <f ca="1">VLOOKUP($C35,OFFSET(enemy_skills!$A$1,0,0,COUNTA(enemy_skills!$A:$A),MATCH(E$1,enemy_skills!$1:$1,0)-MATCH("enemy_skill_id",enemy_skills!$1:$1,0)+1),MATCH(E$1,enemy_skills!$1:$1,0)-MATCH("enemy_skill_id",enemy_skills!$1:$1,0)+1,FALSE)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黄属性のユニットに大ダメージの攻撃</v>
      </c>
      <c r="F35" s="45">
        <v>60026061</v>
      </c>
      <c r="G35" s="46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6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35" s="46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5" s="46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6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6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6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6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6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5" s="45"/>
      <c r="Q35" s="45"/>
      <c r="R35" s="45"/>
    </row>
    <row r="36" spans="1:18" ht="21" customHeight="1" x14ac:dyDescent="0.15">
      <c r="A36" s="37" t="str">
        <f t="shared" si="1"/>
        <v>60026010_60026062</v>
      </c>
      <c r="B36" s="45">
        <v>60026010</v>
      </c>
      <c r="C36" s="45">
        <v>60026062</v>
      </c>
      <c r="D36" s="44" t="str">
        <f ca="1">VLOOKUP($C36,OFFSET(enemy_skills!$A$1,0,0,COUNTA(enemy_skills!$A:$A),MATCH(D$1,enemy_skills!$1:$1,0)-MATCH("enemy_skill_id",enemy_skills!$1:$1,0)+1),MATCH(D$1,enemy_skills!$1:$1,0)-MATCH("enemy_skill_id",enemy_skills!$1:$1,0)+1,FALSE)</f>
        <v>静かにしてなさい…</v>
      </c>
      <c r="E36" s="44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種族サムライのユニットに大ダメージの4回連続攻撃</v>
      </c>
      <c r="F36" s="45">
        <v>60026062</v>
      </c>
      <c r="G36" s="46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6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36" s="46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6" s="46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6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6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6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6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6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6" s="45"/>
      <c r="Q36" s="45"/>
      <c r="R36" s="45"/>
    </row>
    <row r="37" spans="1:18" ht="21" customHeight="1" x14ac:dyDescent="0.15">
      <c r="A37" s="37" t="str">
        <f t="shared" si="1"/>
        <v>60026010_60026063</v>
      </c>
      <c r="B37" s="45">
        <v>60026010</v>
      </c>
      <c r="C37" s="45">
        <v>60026063</v>
      </c>
      <c r="D37" s="44" t="str">
        <f ca="1">VLOOKUP($C37,OFFSET(enemy_skills!$A$1,0,0,COUNTA(enemy_skills!$A:$A),MATCH(D$1,enemy_skills!$1:$1,0)-MATCH("enemy_skill_id",enemy_skills!$1:$1,0)+1),MATCH(D$1,enemy_skills!$1:$1,0)-MATCH("enemy_skill_id",enemy_skills!$1:$1,0)+1,FALSE)</f>
        <v>薄紅の綺羅星</v>
      </c>
      <c r="E37" s="44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ランダムでハートパネルに変換(最大15個)</v>
      </c>
      <c r="F37" s="45">
        <v>60026063</v>
      </c>
      <c r="G37" s="46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6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7" s="46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7" s="46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6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6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6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6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6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7" s="45"/>
      <c r="Q37" s="45"/>
      <c r="R37" s="45"/>
    </row>
    <row r="38" spans="1:18" ht="21" customHeight="1" x14ac:dyDescent="0.15">
      <c r="A38" s="37" t="str">
        <f t="shared" si="1"/>
        <v>60026010_60026064</v>
      </c>
      <c r="B38" s="45">
        <v>60026010</v>
      </c>
      <c r="C38" s="45">
        <v>60026064</v>
      </c>
      <c r="D38" s="44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ネビュラ・インテグレート</v>
      </c>
      <c r="E38" s="44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</v>
      </c>
      <c r="F38" s="45">
        <v>60026064</v>
      </c>
      <c r="G38" s="46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6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46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6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6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6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6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8" s="46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6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5"/>
      <c r="Q38" s="45"/>
      <c r="R38" s="45"/>
    </row>
    <row r="39" spans="1:18" ht="21" customHeight="1" x14ac:dyDescent="0.15">
      <c r="A39" s="37" t="str">
        <f t="shared" si="1"/>
        <v>60026010_60026065</v>
      </c>
      <c r="B39" s="45">
        <v>60026010</v>
      </c>
      <c r="C39" s="45">
        <v>60026065</v>
      </c>
      <c r="D39" s="44" t="str">
        <f ca="1">VLOOKUP($C39,OFFSET(enemy_skills!$A$1,0,0,COUNTA(enemy_skills!$A:$A),MATCH(D$1,enemy_skills!$1:$1,0)-MATCH("enemy_skill_id",enemy_skills!$1:$1,0)+1),MATCH(D$1,enemy_skills!$1:$1,0)-MATCH("enemy_skill_id",enemy_skills!$1:$1,0)+1,FALSE)</f>
        <v>私の愛は宇宙をも包み込む！</v>
      </c>
      <c r="E39" s="44" t="str">
        <f ca="1">VLOOKUP($C39,OFFSET(enemy_skills!$A$1,0,0,COUNTA(enemy_skills!$A:$A),MATCH(E$1,enemy_skills!$1:$1,0)-MATCH("enemy_skill_id",enemy_skills!$1:$1,0)+1),MATCH(E$1,enemy_skills!$1:$1,0)-MATCH("enemy_skill_id",enemy_skills!$1:$1,0)+1,FALSE)</f>
        <v>全てのパネルをハートパネルに変換</v>
      </c>
      <c r="F39" s="45">
        <v>60026065</v>
      </c>
      <c r="G39" s="46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6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9" s="46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6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9" s="46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6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6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6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6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5"/>
      <c r="Q39" s="45"/>
      <c r="R39" s="45"/>
    </row>
    <row r="40" spans="1:18" ht="21" customHeight="1" x14ac:dyDescent="0.15">
      <c r="A40" s="37" t="str">
        <f t="shared" si="1"/>
        <v>60026010_60026066</v>
      </c>
      <c r="B40" s="45">
        <v>60026010</v>
      </c>
      <c r="C40" s="45">
        <v>60026066</v>
      </c>
      <c r="D40" s="44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ネビュラ・インテグレート</v>
      </c>
      <c r="E40" s="44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</v>
      </c>
      <c r="F40" s="45">
        <v>60026066</v>
      </c>
      <c r="G40" s="46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6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0" s="46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6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0" s="46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6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6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6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6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5"/>
      <c r="Q40" s="45"/>
      <c r="R40" s="45"/>
    </row>
    <row r="41" spans="1:18" ht="21" customHeight="1" x14ac:dyDescent="0.15">
      <c r="A41" s="37" t="str">
        <f t="shared" ref="A41" si="3">B41&amp;"_"&amp;C41</f>
        <v>60026010_60026067</v>
      </c>
      <c r="B41" s="45">
        <v>60026010</v>
      </c>
      <c r="C41" s="45">
        <v>60026067</v>
      </c>
      <c r="D41" s="44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このエネルギー、まるで宇宙みたい…</v>
      </c>
      <c r="E41" s="44" t="str">
        <f ca="1">VLOOKUP($C41,OFFSET(enemy_skills!$A$1,0,0,COUNTA(enemy_skills!$A:$A),MATCH(E$1,enemy_skills!$1:$1,0)-MATCH("enemy_skill_id",enemy_skills!$1:$1,0)+1),MATCH(E$1,enemy_skills!$1:$1,0)-MATCH("enemy_skill_id",enemy_skills!$1:$1,0)+1,FALSE)</f>
        <v>輝く銀河のようね…</v>
      </c>
      <c r="F41" s="45">
        <v>60026067</v>
      </c>
      <c r="G41" s="46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6" t="str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1" s="46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6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6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6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1" s="46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6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1" s="46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5"/>
      <c r="Q41" s="45"/>
      <c r="R41" s="45"/>
    </row>
  </sheetData>
  <autoFilter ref="A1:R1"/>
  <phoneticPr fontId="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D41"/>
  <sheetViews>
    <sheetView showGridLines="0" zoomScale="90" zoomScaleNormal="90" zoomScalePageLayoutView="90" workbookViewId="0">
      <pane ySplit="1" topLeftCell="A15" activePane="bottomLeft" state="frozenSplit"/>
      <selection pane="bottomLeft" activeCell="B35" sqref="B35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67.1640625" style="47" customWidth="1"/>
    <col min="3" max="4" width="12.83203125" style="47"/>
    <col min="5" max="5" width="23.6640625" style="47" bestFit="1" customWidth="1"/>
    <col min="6" max="6" width="44.16406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23.6640625" style="47" customWidth="1" collapsed="1"/>
    <col min="13" max="18" width="23.6640625" style="47" hidden="1" customWidth="1" outlineLevel="1"/>
    <col min="19" max="19" width="23.6640625" style="47" customWidth="1" collapsed="1"/>
    <col min="20" max="24" width="23.6640625" style="47" hidden="1" customWidth="1" outlineLevel="1"/>
    <col min="25" max="25" width="23.6640625" style="47" customWidth="1" collapsed="1"/>
    <col min="26" max="26" width="3.33203125" style="47" customWidth="1"/>
    <col min="27" max="27" width="3.6640625" style="47" customWidth="1"/>
    <col min="28" max="28" width="5.83203125" style="47" customWidth="1"/>
    <col min="29" max="16384" width="12.83203125" style="47"/>
  </cols>
  <sheetData>
    <row r="1" spans="1:30" ht="21" customHeight="1" x14ac:dyDescent="0.15">
      <c r="A1" s="38" t="s">
        <v>79</v>
      </c>
      <c r="B1" s="38" t="s">
        <v>80</v>
      </c>
      <c r="C1" s="38" t="s">
        <v>81</v>
      </c>
      <c r="D1" s="38" t="s">
        <v>125</v>
      </c>
      <c r="E1" s="38" t="s">
        <v>82</v>
      </c>
      <c r="F1" s="38" t="s">
        <v>83</v>
      </c>
      <c r="G1" s="39" t="s">
        <v>130</v>
      </c>
      <c r="H1" s="39" t="s">
        <v>136</v>
      </c>
      <c r="I1" s="39" t="s">
        <v>138</v>
      </c>
      <c r="J1" s="39" t="s">
        <v>137</v>
      </c>
      <c r="K1" s="39" t="s">
        <v>139</v>
      </c>
      <c r="L1" s="39" t="s">
        <v>131</v>
      </c>
      <c r="M1" s="39" t="s">
        <v>129</v>
      </c>
      <c r="N1" s="39" t="s">
        <v>132</v>
      </c>
      <c r="O1" s="39" t="s">
        <v>140</v>
      </c>
      <c r="P1" s="39" t="s">
        <v>141</v>
      </c>
      <c r="Q1" s="39" t="s">
        <v>142</v>
      </c>
      <c r="R1" s="39" t="s">
        <v>143</v>
      </c>
      <c r="S1" s="39" t="s">
        <v>133</v>
      </c>
      <c r="T1" s="39" t="s">
        <v>134</v>
      </c>
      <c r="U1" s="39" t="s">
        <v>144</v>
      </c>
      <c r="V1" s="39" t="s">
        <v>145</v>
      </c>
      <c r="W1" s="39" t="s">
        <v>146</v>
      </c>
      <c r="X1" s="39" t="s">
        <v>147</v>
      </c>
      <c r="Y1" s="39" t="s">
        <v>135</v>
      </c>
      <c r="Z1" s="39" t="s">
        <v>76</v>
      </c>
      <c r="AA1" s="39" t="s">
        <v>77</v>
      </c>
      <c r="AB1" s="39" t="s">
        <v>78</v>
      </c>
      <c r="AC1" s="47" t="s">
        <v>398</v>
      </c>
      <c r="AD1" s="47" t="s">
        <v>398</v>
      </c>
    </row>
    <row r="2" spans="1:30" ht="21" customHeight="1" x14ac:dyDescent="0.15">
      <c r="A2" s="45">
        <v>60026000</v>
      </c>
      <c r="B2" s="45" t="s">
        <v>442</v>
      </c>
      <c r="C2" s="48">
        <v>3</v>
      </c>
      <c r="D2" s="48" t="s">
        <v>331</v>
      </c>
      <c r="E2" s="49" t="s">
        <v>369</v>
      </c>
      <c r="F2" s="49" t="s">
        <v>332</v>
      </c>
      <c r="G2" s="61" t="str">
        <f>IFERROR(LEFT(B2,FIND("],",B2)),B2)</f>
        <v>[effect:enemy_message, val1:1.2, val2:1.2]</v>
      </c>
      <c r="H2" s="61">
        <f>FIND("effect:",G2)+7</f>
        <v>9</v>
      </c>
      <c r="I2" s="61">
        <f>IFERROR(FIND(",",G2),LEN(G2))</f>
        <v>22</v>
      </c>
      <c r="J2" s="61" t="e">
        <f>FIND("target:",G2)+7</f>
        <v>#VALUE!</v>
      </c>
      <c r="K2" s="61">
        <f>FIND(",",G2,I2+1)</f>
        <v>32</v>
      </c>
      <c r="L2" s="61" t="str">
        <f>IFERROR(VLOOKUP(MID(G2,J2,K2-J2),[6]skilldef!$C:$D,2,FALSE),"-") &amp; " / " &amp; IFERROR(VLOOKUP(MID(G2,H2,I2-H2),[6]skilldef!$A:$B,2,FALSE),"-")</f>
        <v>- / -</v>
      </c>
      <c r="M2" s="61" t="str">
        <f>IFERROR(RIGHT(B2,LEN(B2)-FIND("],",B2)-1),"none")</f>
        <v>[effect:spread, val:0.4]</v>
      </c>
      <c r="N2" s="46" t="str">
        <f>IFERROR(LEFT(M2,FIND("],",M2)+S4),M2)</f>
        <v>[effect:spread, val:0.4]</v>
      </c>
      <c r="O2" s="61">
        <f>FIND("effect:",N2)+7</f>
        <v>9</v>
      </c>
      <c r="P2" s="61">
        <f>IFERROR(FIND(",",N2),LEN(N2))</f>
        <v>15</v>
      </c>
      <c r="Q2" s="61" t="e">
        <f>FIND("target:",N2)+7</f>
        <v>#VALUE!</v>
      </c>
      <c r="R2" s="61" t="e">
        <f>FIND(",",N2,P2+1)</f>
        <v>#VALUE!</v>
      </c>
      <c r="S2" s="61" t="str">
        <f>IFERROR(VLOOKUP(MID(N2,Q2,R2-Q2),[6]skilldef!$C:$D,2,FALSE),"-") &amp; " / " &amp; IFERROR(VLOOKUP(MID(N2,O2,P2-O2),[6]skilldef!$A:$B,2,FALSE),"-")</f>
        <v>- / 全体攻撃</v>
      </c>
      <c r="T2" s="46" t="str">
        <f>IFERROR(RIGHT(M2,LEN(M2)-FIND("],",M2)-1),"none")</f>
        <v>none</v>
      </c>
      <c r="U2" s="61" t="e">
        <f>FIND("effect:",T2)+7</f>
        <v>#VALUE!</v>
      </c>
      <c r="V2" s="61">
        <f>IFERROR(FIND(",",T2),LEN(T2))</f>
        <v>4</v>
      </c>
      <c r="W2" s="61" t="e">
        <f>FIND("target:",T2)+7</f>
        <v>#VALUE!</v>
      </c>
      <c r="X2" s="61" t="e">
        <f>FIND(",",T2,V2+1)</f>
        <v>#VALUE!</v>
      </c>
      <c r="Y2" s="61" t="str">
        <f>IFERROR(VLOOKUP(MID(T2,W2,X2-W2),[6]skilldef!$C:$D,2,FALSE),"-") &amp; " / " &amp; IFERROR(VLOOKUP(MID(T2,U2,V2-U2),[6]skilldef!$A:$B,2,FALSE),"-")</f>
        <v>- / -</v>
      </c>
      <c r="Z2" s="48"/>
      <c r="AA2" s="50"/>
      <c r="AB2" s="48"/>
      <c r="AC2" s="47">
        <f>LEN(E2)</f>
        <v>11</v>
      </c>
      <c r="AD2" s="47">
        <f>LEN(F2)</f>
        <v>4</v>
      </c>
    </row>
    <row r="3" spans="1:30" ht="21" customHeight="1" x14ac:dyDescent="0.15">
      <c r="A3" s="45">
        <v>60026005</v>
      </c>
      <c r="B3" s="45" t="s">
        <v>443</v>
      </c>
      <c r="C3" s="48">
        <v>3</v>
      </c>
      <c r="D3" s="48" t="s">
        <v>333</v>
      </c>
      <c r="E3" s="49" t="s">
        <v>393</v>
      </c>
      <c r="F3" s="49" t="s">
        <v>366</v>
      </c>
      <c r="G3" s="61" t="str">
        <f t="shared" ref="G3:G38" si="0">IFERROR(LEFT(B3,FIND("],",B3)),B3)</f>
        <v>[effect:enemy_message, val1:1.2, val2:1.2]</v>
      </c>
      <c r="H3" s="61">
        <f t="shared" ref="H3:H38" si="1">FIND("effect:",G3)+7</f>
        <v>9</v>
      </c>
      <c r="I3" s="61">
        <f t="shared" ref="I3:I38" si="2">IFERROR(FIND(",",G3),LEN(G3))</f>
        <v>22</v>
      </c>
      <c r="J3" s="61" t="e">
        <f t="shared" ref="J3:J38" si="3">FIND("target:",G3)+7</f>
        <v>#VALUE!</v>
      </c>
      <c r="K3" s="61">
        <f t="shared" ref="K3:K38" si="4">FIND(",",G3,I3+1)</f>
        <v>32</v>
      </c>
      <c r="L3" s="61" t="str">
        <f>IFERROR(VLOOKUP(MID(G3,J3,K3-J3),[6]skilldef!$C:$D,2,FALSE),"-") &amp; " / " &amp; IFERROR(VLOOKUP(MID(G3,H3,I3-H3),[6]skilldef!$A:$B,2,FALSE),"-")</f>
        <v>- / -</v>
      </c>
      <c r="M3" s="61" t="str">
        <f t="shared" ref="M3:M38" si="5">IFERROR(RIGHT(B3,LEN(B3)-FIND("],",B3)-1),"none")</f>
        <v>[effect:critical, val:1.2, animation:enemy_critical]</v>
      </c>
      <c r="N3" s="46" t="str">
        <f>IFERROR(LEFT(M3,FIND("],",M3)+S5),M3)</f>
        <v>[effect:critical, val:1.2, animation:enemy_critical]</v>
      </c>
      <c r="O3" s="61">
        <f t="shared" ref="O3:O38" si="6">FIND("effect:",N3)+7</f>
        <v>9</v>
      </c>
      <c r="P3" s="61">
        <f t="shared" ref="P3:P38" si="7">IFERROR(FIND(",",N3),LEN(N3))</f>
        <v>17</v>
      </c>
      <c r="Q3" s="61" t="e">
        <f t="shared" ref="Q3:Q38" si="8">FIND("target:",N3)+7</f>
        <v>#VALUE!</v>
      </c>
      <c r="R3" s="61">
        <f t="shared" ref="R3:R38" si="9">FIND(",",N3,P3+1)</f>
        <v>26</v>
      </c>
      <c r="S3" s="61" t="str">
        <f>IFERROR(VLOOKUP(MID(N3,Q3,R3-Q3),[6]skilldef!$C:$D,2,FALSE),"-") &amp; " / " &amp; IFERROR(VLOOKUP(MID(N3,O3,P3-O3),[6]skilldef!$A:$B,2,FALSE),"-")</f>
        <v>- / 大攻撃</v>
      </c>
      <c r="T3" s="46" t="str">
        <f t="shared" ref="T3:T38" si="10">IFERROR(RIGHT(M3,LEN(M3)-FIND("],",M3)-1),"none")</f>
        <v>none</v>
      </c>
      <c r="U3" s="61" t="e">
        <f t="shared" ref="U3:U38" si="11">FIND("effect:",T3)+7</f>
        <v>#VALUE!</v>
      </c>
      <c r="V3" s="61">
        <f t="shared" ref="V3:V38" si="12">IFERROR(FIND(",",T3),LEN(T3))</f>
        <v>4</v>
      </c>
      <c r="W3" s="61" t="e">
        <f t="shared" ref="W3:W38" si="13">FIND("target:",T3)+7</f>
        <v>#VALUE!</v>
      </c>
      <c r="X3" s="61" t="e">
        <f t="shared" ref="X3:X38" si="14">FIND(",",T3,V3+1)</f>
        <v>#VALUE!</v>
      </c>
      <c r="Y3" s="61" t="str">
        <f>IFERROR(VLOOKUP(MID(T3,W3,X3-W3),[6]skilldef!$C:$D,2,FALSE),"-") &amp; " / " &amp; IFERROR(VLOOKUP(MID(T3,U3,V3-U3),[6]skilldef!$A:$B,2,FALSE),"-")</f>
        <v>- / -</v>
      </c>
      <c r="Z3" s="48"/>
      <c r="AA3" s="50"/>
      <c r="AB3" s="48"/>
      <c r="AC3" s="47">
        <f t="shared" ref="AC3:AC38" si="15">LEN(E3)</f>
        <v>9</v>
      </c>
      <c r="AD3" s="47">
        <f t="shared" ref="AD3:AD38" si="16">LEN(F3)</f>
        <v>7</v>
      </c>
    </row>
    <row r="4" spans="1:30" ht="21" customHeight="1" x14ac:dyDescent="0.15">
      <c r="A4" s="45">
        <v>60026010</v>
      </c>
      <c r="B4" s="45" t="s">
        <v>486</v>
      </c>
      <c r="C4" s="48">
        <v>3</v>
      </c>
      <c r="D4" s="48" t="s">
        <v>333</v>
      </c>
      <c r="E4" s="49" t="s">
        <v>370</v>
      </c>
      <c r="F4" s="157" t="s">
        <v>485</v>
      </c>
      <c r="G4" s="61" t="str">
        <f t="shared" si="0"/>
        <v>[effect:enemy_message, val1:1.2, val2:1.7]</v>
      </c>
      <c r="H4" s="61">
        <f t="shared" si="1"/>
        <v>9</v>
      </c>
      <c r="I4" s="61">
        <f t="shared" si="2"/>
        <v>22</v>
      </c>
      <c r="J4" s="61" t="e">
        <f t="shared" si="3"/>
        <v>#VALUE!</v>
      </c>
      <c r="K4" s="61">
        <f t="shared" si="4"/>
        <v>32</v>
      </c>
      <c r="L4" s="61" t="str">
        <f>IFERROR(VLOOKUP(MID(G4,J4,K4-J4),[6]skilldef!$C:$D,2,FALSE),"-") &amp; " / " &amp; IFERROR(VLOOKUP(MID(G4,H4,I4-H4),[6]skilldef!$A:$B,2,FALSE),"-")</f>
        <v>- / -</v>
      </c>
      <c r="M4" s="61" t="str">
        <f t="shared" si="5"/>
        <v>[effect:force_change_block, new_block:block_heart, target:block_all, ignore01:crash, ignore02:crack_bomb, ignore03:damage, ignore04:time_bomb, ignore05:color_break, ignore06:jammer, count:10, val:0, animation:change_block]</v>
      </c>
      <c r="N4" s="46" t="str">
        <f>IFERROR(LEFT(M4,FIND("],",M4)+S6),M4)</f>
        <v>[effect:force_change_block, new_block:block_heart, target:block_all, ignore01:crash, ignore02:crack_bomb, ignore03:damage, ignore04:time_bomb, ignore05:color_break, ignore06:jammer, count:10, val:0, animation:change_block]</v>
      </c>
      <c r="O4" s="61">
        <f t="shared" si="6"/>
        <v>9</v>
      </c>
      <c r="P4" s="61">
        <f t="shared" si="7"/>
        <v>27</v>
      </c>
      <c r="Q4" s="61">
        <f t="shared" si="8"/>
        <v>59</v>
      </c>
      <c r="R4" s="61">
        <f t="shared" si="9"/>
        <v>50</v>
      </c>
      <c r="S4" s="61" t="str">
        <f>IFERROR(VLOOKUP(MID(N4,Q4,R4-Q4),[6]skilldef!$C:$D,2,FALSE),"-") &amp; " / " &amp; IFERROR(VLOOKUP(MID(N4,O4,P4-O4),[6]skilldef!$A:$B,2,FALSE),"-")</f>
        <v>- / -</v>
      </c>
      <c r="T4" s="46" t="str">
        <f t="shared" si="10"/>
        <v>none</v>
      </c>
      <c r="U4" s="61" t="e">
        <f t="shared" si="11"/>
        <v>#VALUE!</v>
      </c>
      <c r="V4" s="61">
        <f t="shared" si="12"/>
        <v>4</v>
      </c>
      <c r="W4" s="61" t="e">
        <f t="shared" si="13"/>
        <v>#VALUE!</v>
      </c>
      <c r="X4" s="61" t="e">
        <f t="shared" si="14"/>
        <v>#VALUE!</v>
      </c>
      <c r="Y4" s="61" t="str">
        <f>IFERROR(VLOOKUP(MID(T4,W4,X4-W4),[6]skilldef!$C:$D,2,FALSE),"-") &amp; " / " &amp; IFERROR(VLOOKUP(MID(T4,U4,V4-U4),[6]skilldef!$A:$B,2,FALSE),"-")</f>
        <v>- / -</v>
      </c>
      <c r="Z4" s="48"/>
      <c r="AA4" s="50"/>
      <c r="AB4" s="48"/>
      <c r="AC4" s="47">
        <f t="shared" si="15"/>
        <v>8</v>
      </c>
      <c r="AD4" s="145">
        <f t="shared" si="16"/>
        <v>21</v>
      </c>
    </row>
    <row r="5" spans="1:30" ht="21" customHeight="1" x14ac:dyDescent="0.15">
      <c r="A5" s="45">
        <v>60026015</v>
      </c>
      <c r="B5" s="45" t="s">
        <v>454</v>
      </c>
      <c r="C5" s="48">
        <v>3</v>
      </c>
      <c r="D5" s="48" t="s">
        <v>333</v>
      </c>
      <c r="E5" s="49" t="s">
        <v>371</v>
      </c>
      <c r="F5" s="49" t="s">
        <v>459</v>
      </c>
      <c r="G5" s="61" t="str">
        <f t="shared" si="0"/>
        <v>[effect:enemy_message, val1:1.2, val2:1.9]</v>
      </c>
      <c r="H5" s="61">
        <f t="shared" si="1"/>
        <v>9</v>
      </c>
      <c r="I5" s="61">
        <f t="shared" si="2"/>
        <v>22</v>
      </c>
      <c r="J5" s="61" t="e">
        <f t="shared" si="3"/>
        <v>#VALUE!</v>
      </c>
      <c r="K5" s="61">
        <f t="shared" si="4"/>
        <v>32</v>
      </c>
      <c r="L5" s="61" t="str">
        <f>IFERROR(VLOOKUP(MID(G5,J5,K5-J5),[6]skilldef!$C:$D,2,FALSE),"-") &amp; " / " &amp; IFERROR(VLOOKUP(MID(G5,H5,I5-H5),[6]skilldef!$A:$B,2,FALSE),"-")</f>
        <v>- / -</v>
      </c>
      <c r="M5" s="61" t="str">
        <f t="shared" si="5"/>
        <v>[effect:break_attack, target:unit_one, val:0.3, lowest_val:1500, count:5, color:yellow, block_color:block_heart, block01:block_heart, ignore01:crack_bomb, ignore02:color_break, ignore03:damage, ignore04:jammer, ignore05:crash]</v>
      </c>
      <c r="N5" s="46" t="str">
        <f>IFERROR(LEFT(M5,FIND("],",M5)+S10),M5)</f>
        <v>[effect:break_attack, target:unit_one, val:0.3, lowest_val:1500, count:5, color:yellow, block_color:block_heart, block01:block_heart, ignore01:crack_bomb, ignore02:color_break, ignore03:damage, ignore04:jammer, ignore05:crash]</v>
      </c>
      <c r="O5" s="61">
        <f t="shared" si="6"/>
        <v>9</v>
      </c>
      <c r="P5" s="61">
        <f t="shared" si="7"/>
        <v>21</v>
      </c>
      <c r="Q5" s="61">
        <f t="shared" si="8"/>
        <v>30</v>
      </c>
      <c r="R5" s="61">
        <f t="shared" si="9"/>
        <v>38</v>
      </c>
      <c r="S5" s="61" t="str">
        <f>IFERROR(VLOOKUP(MID(N5,Q5,R5-Q5),[6]skilldef!$C:$D,2,FALSE),"-") &amp; " / " &amp; IFERROR(VLOOKUP(MID(N5,O5,P5-O5),[6]skilldef!$A:$B,2,FALSE),"-")</f>
        <v>味方単体に / -</v>
      </c>
      <c r="T5" s="46" t="str">
        <f t="shared" si="10"/>
        <v>none</v>
      </c>
      <c r="U5" s="61" t="e">
        <f t="shared" si="11"/>
        <v>#VALUE!</v>
      </c>
      <c r="V5" s="61">
        <f t="shared" si="12"/>
        <v>4</v>
      </c>
      <c r="W5" s="61" t="e">
        <f t="shared" si="13"/>
        <v>#VALUE!</v>
      </c>
      <c r="X5" s="61" t="e">
        <f t="shared" si="14"/>
        <v>#VALUE!</v>
      </c>
      <c r="Y5" s="61" t="str">
        <f>IFERROR(VLOOKUP(MID(T5,W5,X5-W5),[6]skilldef!$C:$D,2,FALSE),"-") &amp; " / " &amp; IFERROR(VLOOKUP(MID(T5,U5,V5-U5),[6]skilldef!$A:$B,2,FALSE),"-")</f>
        <v>- / -</v>
      </c>
      <c r="Z5" s="48"/>
      <c r="AA5" s="50"/>
      <c r="AB5" s="48"/>
      <c r="AC5" s="47">
        <f t="shared" si="15"/>
        <v>6</v>
      </c>
      <c r="AD5" s="145">
        <f t="shared" si="16"/>
        <v>19</v>
      </c>
    </row>
    <row r="6" spans="1:30" ht="21" customHeight="1" x14ac:dyDescent="0.15">
      <c r="A6" s="45">
        <v>60026020</v>
      </c>
      <c r="B6" s="45" t="s">
        <v>444</v>
      </c>
      <c r="C6" s="48">
        <v>3</v>
      </c>
      <c r="D6" s="48" t="s">
        <v>333</v>
      </c>
      <c r="E6" s="49" t="s">
        <v>451</v>
      </c>
      <c r="F6" s="49" t="s">
        <v>440</v>
      </c>
      <c r="G6" s="61" t="str">
        <f t="shared" si="0"/>
        <v>[effect:enemy_message, val1:1.2, val2:1.2]</v>
      </c>
      <c r="H6" s="61">
        <f t="shared" si="1"/>
        <v>9</v>
      </c>
      <c r="I6" s="61">
        <f t="shared" si="2"/>
        <v>22</v>
      </c>
      <c r="J6" s="61" t="e">
        <f t="shared" si="3"/>
        <v>#VALUE!</v>
      </c>
      <c r="K6" s="61">
        <f t="shared" si="4"/>
        <v>32</v>
      </c>
      <c r="L6" s="61" t="str">
        <f>IFERROR(VLOOKUP(MID(G6,J6,K6-J6),[6]skilldef!$C:$D,2,FALSE),"-") &amp; " / " &amp; IFERROR(VLOOKUP(MID(G6,H6,I6-H6),[6]skilldef!$A:$B,2,FALSE),"-")</f>
        <v>- / -</v>
      </c>
      <c r="M6" s="61" t="str">
        <f t="shared" si="5"/>
        <v>[effect:fix_speed, target:myself, turn:2],[effect:tolerance, target:myself, turn:-1, count:-1, tolerance_effect:all, animation:enemy_tolerance]</v>
      </c>
      <c r="N6" s="46" t="str">
        <f t="shared" ref="N6:N11" si="17">IFERROR(LEFT(M6,FIND("],",M6)+S15),M6)</f>
        <v>[effect:fix_speed, target:myself, turn:2],[effect:tolerance, target:myself, turn:-1, count:-1, tolerance_effect:all, animation:enemy_tolerance]</v>
      </c>
      <c r="O6" s="61">
        <f t="shared" si="6"/>
        <v>9</v>
      </c>
      <c r="P6" s="61">
        <f t="shared" si="7"/>
        <v>18</v>
      </c>
      <c r="Q6" s="61">
        <f t="shared" si="8"/>
        <v>27</v>
      </c>
      <c r="R6" s="61">
        <f t="shared" si="9"/>
        <v>33</v>
      </c>
      <c r="S6" s="61" t="str">
        <f>IFERROR(VLOOKUP(MID(N6,Q6,R6-Q6),[6]skilldef!$C:$D,2,FALSE),"-") &amp; " / " &amp; IFERROR(VLOOKUP(MID(N6,O6,P6-O6),[6]skilldef!$A:$B,2,FALSE),"-")</f>
        <v>自分自身に / 行動値設定</v>
      </c>
      <c r="T6" s="46" t="str">
        <f t="shared" si="10"/>
        <v>[effect:tolerance, target:myself, turn:-1, count:-1, tolerance_effect:all, animation:enemy_tolerance]</v>
      </c>
      <c r="U6" s="61">
        <f t="shared" si="11"/>
        <v>9</v>
      </c>
      <c r="V6" s="61">
        <f t="shared" si="12"/>
        <v>18</v>
      </c>
      <c r="W6" s="61">
        <f t="shared" si="13"/>
        <v>27</v>
      </c>
      <c r="X6" s="61">
        <f t="shared" si="14"/>
        <v>33</v>
      </c>
      <c r="Y6" s="61" t="str">
        <f>IFERROR(VLOOKUP(MID(T6,W6,X6-W6),[6]skilldef!$C:$D,2,FALSE),"-") &amp; " / " &amp; IFERROR(VLOOKUP(MID(T6,U6,V6-U6),[6]skilldef!$A:$B,2,FALSE),"-")</f>
        <v>自分自身に / 状態異常耐性</v>
      </c>
      <c r="Z6" s="48"/>
      <c r="AA6" s="50"/>
      <c r="AB6" s="48"/>
      <c r="AC6" s="47">
        <f t="shared" si="15"/>
        <v>10</v>
      </c>
      <c r="AD6" s="47">
        <f t="shared" si="16"/>
        <v>6</v>
      </c>
    </row>
    <row r="7" spans="1:30" ht="21" customHeight="1" x14ac:dyDescent="0.15">
      <c r="A7" s="45">
        <v>60026021</v>
      </c>
      <c r="B7" s="45" t="s">
        <v>445</v>
      </c>
      <c r="C7" s="48">
        <v>3</v>
      </c>
      <c r="D7" s="48" t="s">
        <v>334</v>
      </c>
      <c r="E7" s="49" t="s">
        <v>374</v>
      </c>
      <c r="F7" s="49" t="s">
        <v>367</v>
      </c>
      <c r="G7" s="61" t="str">
        <f t="shared" si="0"/>
        <v>[effect:enemy_message, val1:1.2, val2:1.2]</v>
      </c>
      <c r="H7" s="61">
        <f t="shared" si="1"/>
        <v>9</v>
      </c>
      <c r="I7" s="61">
        <f t="shared" si="2"/>
        <v>22</v>
      </c>
      <c r="J7" s="61" t="e">
        <f t="shared" si="3"/>
        <v>#VALUE!</v>
      </c>
      <c r="K7" s="61">
        <f t="shared" si="4"/>
        <v>32</v>
      </c>
      <c r="L7" s="61" t="str">
        <f>IFERROR(VLOOKUP(MID(G7,J7,K7-J7),[6]skilldef!$C:$D,2,FALSE),"-") &amp; " / " &amp; IFERROR(VLOOKUP(MID(G7,H7,I7-H7),[6]skilldef!$A:$B,2,FALSE),"-")</f>
        <v>- / -</v>
      </c>
      <c r="M7" s="61" t="str">
        <f t="shared" si="5"/>
        <v>[effect:rush, count:5, val:0.3]</v>
      </c>
      <c r="N7" s="46" t="str">
        <f t="shared" si="17"/>
        <v>[effect:rush, count:5, val:0.3]</v>
      </c>
      <c r="O7" s="61">
        <f t="shared" si="6"/>
        <v>9</v>
      </c>
      <c r="P7" s="61">
        <f t="shared" si="7"/>
        <v>13</v>
      </c>
      <c r="Q7" s="61" t="e">
        <f t="shared" si="8"/>
        <v>#VALUE!</v>
      </c>
      <c r="R7" s="61">
        <f t="shared" si="9"/>
        <v>22</v>
      </c>
      <c r="S7" s="61" t="str">
        <f>IFERROR(VLOOKUP(MID(N7,Q7,R7-Q7),[6]skilldef!$C:$D,2,FALSE),"-") &amp; " / " &amp; IFERROR(VLOOKUP(MID(N7,O7,P7-O7),[6]skilldef!$A:$B,2,FALSE),"-")</f>
        <v>- / 連続攻撃</v>
      </c>
      <c r="T7" s="46" t="str">
        <f t="shared" si="10"/>
        <v>none</v>
      </c>
      <c r="U7" s="61" t="e">
        <f t="shared" si="11"/>
        <v>#VALUE!</v>
      </c>
      <c r="V7" s="61">
        <f t="shared" si="12"/>
        <v>4</v>
      </c>
      <c r="W7" s="61" t="e">
        <f t="shared" si="13"/>
        <v>#VALUE!</v>
      </c>
      <c r="X7" s="61" t="e">
        <f t="shared" si="14"/>
        <v>#VALUE!</v>
      </c>
      <c r="Y7" s="61" t="str">
        <f>IFERROR(VLOOKUP(MID(T7,W7,X7-W7),[6]skilldef!$C:$D,2,FALSE),"-") &amp; " / " &amp; IFERROR(VLOOKUP(MID(T7,U7,V7-U7),[6]skilldef!$A:$B,2,FALSE),"-")</f>
        <v>- / -</v>
      </c>
      <c r="Z7" s="48"/>
      <c r="AA7" s="50"/>
      <c r="AB7" s="48"/>
      <c r="AC7" s="47">
        <f t="shared" si="15"/>
        <v>10</v>
      </c>
      <c r="AD7" s="47">
        <f t="shared" si="16"/>
        <v>6</v>
      </c>
    </row>
    <row r="8" spans="1:30" ht="21" customHeight="1" x14ac:dyDescent="0.15">
      <c r="A8" s="45">
        <v>60026022</v>
      </c>
      <c r="B8" s="45" t="s">
        <v>441</v>
      </c>
      <c r="C8" s="48">
        <v>3</v>
      </c>
      <c r="D8" s="48" t="s">
        <v>334</v>
      </c>
      <c r="E8" s="49" t="s">
        <v>372</v>
      </c>
      <c r="F8" s="157" t="s">
        <v>485</v>
      </c>
      <c r="G8" s="61" t="str">
        <f t="shared" si="0"/>
        <v>[effect:enemy_message, val1:1.2, val2:1.7]</v>
      </c>
      <c r="H8" s="61">
        <f t="shared" si="1"/>
        <v>9</v>
      </c>
      <c r="I8" s="61">
        <f t="shared" si="2"/>
        <v>22</v>
      </c>
      <c r="J8" s="61" t="e">
        <f t="shared" si="3"/>
        <v>#VALUE!</v>
      </c>
      <c r="K8" s="61">
        <f t="shared" si="4"/>
        <v>32</v>
      </c>
      <c r="L8" s="61" t="str">
        <f>IFERROR(VLOOKUP(MID(G8,J8,K8-J8),[6]skilldef!$C:$D,2,FALSE),"-") &amp; " / " &amp; IFERROR(VLOOKUP(MID(G8,H8,I8-H8),[6]skilldef!$A:$B,2,FALSE),"-")</f>
        <v>- / -</v>
      </c>
      <c r="M8" s="61" t="str">
        <f t="shared" si="5"/>
        <v>[effect:force_change_block, new_block:block_heart, target:block_all, ignore01:crash, ignore02:crack_bomb, ignore03:damage, ignore04:time_bomb, ignore05:color_break, ignore06:jammer, count:10, val:0, animation:change_block]</v>
      </c>
      <c r="N8" s="46" t="str">
        <f t="shared" si="17"/>
        <v>[effect:force_change_block, new_block:block_heart, target:block_all, ignore01:crash, ignore02:crack_bomb, ignore03:damage, ignore04:time_bomb, ignore05:color_break, ignore06:jammer, count:10, val:0, animation:change_block]</v>
      </c>
      <c r="O8" s="61">
        <f t="shared" si="6"/>
        <v>9</v>
      </c>
      <c r="P8" s="61">
        <f t="shared" si="7"/>
        <v>27</v>
      </c>
      <c r="Q8" s="61">
        <f t="shared" si="8"/>
        <v>59</v>
      </c>
      <c r="R8" s="61">
        <f t="shared" si="9"/>
        <v>50</v>
      </c>
      <c r="S8" s="61" t="str">
        <f>IFERROR(VLOOKUP(MID(N8,Q8,R8-Q8),[6]skilldef!$C:$D,2,FALSE),"-") &amp; " / " &amp; IFERROR(VLOOKUP(MID(N8,O8,P8-O8),[6]skilldef!$A:$B,2,FALSE),"-")</f>
        <v>- / -</v>
      </c>
      <c r="T8" s="46" t="str">
        <f t="shared" si="10"/>
        <v>none</v>
      </c>
      <c r="U8" s="61" t="e">
        <f t="shared" si="11"/>
        <v>#VALUE!</v>
      </c>
      <c r="V8" s="61">
        <f t="shared" si="12"/>
        <v>4</v>
      </c>
      <c r="W8" s="61" t="e">
        <f t="shared" si="13"/>
        <v>#VALUE!</v>
      </c>
      <c r="X8" s="61" t="e">
        <f t="shared" si="14"/>
        <v>#VALUE!</v>
      </c>
      <c r="Y8" s="61" t="str">
        <f>IFERROR(VLOOKUP(MID(T8,W8,X8-W8),[6]skilldef!$C:$D,2,FALSE),"-") &amp; " / " &amp; IFERROR(VLOOKUP(MID(T8,U8,V8-U8),[6]skilldef!$A:$B,2,FALSE),"-")</f>
        <v>- / -</v>
      </c>
      <c r="Z8" s="48"/>
      <c r="AA8" s="50"/>
      <c r="AB8" s="48"/>
      <c r="AC8" s="47">
        <f t="shared" si="15"/>
        <v>6</v>
      </c>
      <c r="AD8" s="145">
        <f t="shared" si="16"/>
        <v>21</v>
      </c>
    </row>
    <row r="9" spans="1:30" ht="21" customHeight="1" x14ac:dyDescent="0.15">
      <c r="A9" s="45">
        <v>60026023</v>
      </c>
      <c r="B9" s="45" t="s">
        <v>455</v>
      </c>
      <c r="C9" s="48">
        <v>3</v>
      </c>
      <c r="D9" s="48" t="s">
        <v>334</v>
      </c>
      <c r="E9" s="49" t="s">
        <v>375</v>
      </c>
      <c r="F9" s="49" t="s">
        <v>450</v>
      </c>
      <c r="G9" s="61" t="str">
        <f t="shared" si="0"/>
        <v>[effect:enemy_message, val1:1.2, val2:1.5]</v>
      </c>
      <c r="H9" s="61">
        <f t="shared" si="1"/>
        <v>9</v>
      </c>
      <c r="I9" s="61">
        <f t="shared" si="2"/>
        <v>22</v>
      </c>
      <c r="J9" s="61" t="e">
        <f t="shared" si="3"/>
        <v>#VALUE!</v>
      </c>
      <c r="K9" s="61">
        <f t="shared" si="4"/>
        <v>32</v>
      </c>
      <c r="L9" s="61" t="str">
        <f>IFERROR(VLOOKUP(MID(G9,J9,K9-J9),[6]skilldef!$C:$D,2,FALSE),"-") &amp; " / " &amp; IFERROR(VLOOKUP(MID(G9,H9,I9-H9),[6]skilldef!$A:$B,2,FALSE),"-")</f>
        <v>- / -</v>
      </c>
      <c r="M9" s="61" t="str">
        <f t="shared" si="5"/>
        <v>[effect:break_attack, target:unit_all, val:0.05, lowest_val:0, count:-1, color:yellow, block_color:block_heart, block01:block_heart, ignore01:crack_bomb, ignore02:color_break, ignore03:damage, ignore04:jammer, ignore05:crash]</v>
      </c>
      <c r="N9" s="46" t="str">
        <f t="shared" si="17"/>
        <v>[effect:break_attack, target:unit_all, val:0.05, lowest_val:0, count:-1, color:yellow, block_color:block_heart, block01:block_heart, ignore01:crack_bomb, ignore02:color_break, ignore03:damage, ignore04:jammer, ignore05:crash]</v>
      </c>
      <c r="O9" s="61">
        <f t="shared" si="6"/>
        <v>9</v>
      </c>
      <c r="P9" s="61">
        <f t="shared" si="7"/>
        <v>21</v>
      </c>
      <c r="Q9" s="61">
        <f t="shared" si="8"/>
        <v>30</v>
      </c>
      <c r="R9" s="61">
        <f t="shared" si="9"/>
        <v>38</v>
      </c>
      <c r="S9" s="61" t="str">
        <f>IFERROR(VLOOKUP(MID(N9,Q9,R9-Q9),[6]skilldef!$C:$D,2,FALSE),"-") &amp; " / " &amp; IFERROR(VLOOKUP(MID(N9,O9,P9-O9),[6]skilldef!$A:$B,2,FALSE),"-")</f>
        <v>味方全体に / -</v>
      </c>
      <c r="T9" s="46" t="str">
        <f t="shared" si="10"/>
        <v>none</v>
      </c>
      <c r="U9" s="61" t="e">
        <f t="shared" si="11"/>
        <v>#VALUE!</v>
      </c>
      <c r="V9" s="61">
        <f t="shared" si="12"/>
        <v>4</v>
      </c>
      <c r="W9" s="61" t="e">
        <f t="shared" si="13"/>
        <v>#VALUE!</v>
      </c>
      <c r="X9" s="61" t="e">
        <f t="shared" si="14"/>
        <v>#VALUE!</v>
      </c>
      <c r="Y9" s="61" t="str">
        <f>IFERROR(VLOOKUP(MID(T9,W9,X9-W9),[6]skilldef!$C:$D,2,FALSE),"-") &amp; " / " &amp; IFERROR(VLOOKUP(MID(T9,U9,V9-U9),[6]skilldef!$A:$B,2,FALSE),"-")</f>
        <v>- / -</v>
      </c>
      <c r="Z9" s="48"/>
      <c r="AA9" s="50"/>
      <c r="AB9" s="48"/>
      <c r="AC9" s="47">
        <f t="shared" si="15"/>
        <v>10</v>
      </c>
      <c r="AD9" s="145">
        <f t="shared" si="16"/>
        <v>15</v>
      </c>
    </row>
    <row r="10" spans="1:30" ht="21" customHeight="1" x14ac:dyDescent="0.15">
      <c r="A10" s="45">
        <v>60026025</v>
      </c>
      <c r="B10" s="45" t="s">
        <v>446</v>
      </c>
      <c r="C10" s="48">
        <v>3</v>
      </c>
      <c r="D10" s="48" t="s">
        <v>333</v>
      </c>
      <c r="E10" s="49" t="s">
        <v>376</v>
      </c>
      <c r="F10" s="49" t="s">
        <v>440</v>
      </c>
      <c r="G10" s="61" t="str">
        <f t="shared" si="0"/>
        <v>[effect:enemy_message, val1:1.3, val2:1.2]</v>
      </c>
      <c r="H10" s="61">
        <f t="shared" si="1"/>
        <v>9</v>
      </c>
      <c r="I10" s="61">
        <f t="shared" si="2"/>
        <v>22</v>
      </c>
      <c r="J10" s="61" t="e">
        <f t="shared" si="3"/>
        <v>#VALUE!</v>
      </c>
      <c r="K10" s="61">
        <f t="shared" si="4"/>
        <v>32</v>
      </c>
      <c r="L10" s="61" t="str">
        <f>IFERROR(VLOOKUP(MID(G10,J10,K10-J10),[6]skilldef!$C:$D,2,FALSE),"-") &amp; " / " &amp; IFERROR(VLOOKUP(MID(G10,H10,I10-H10),[6]skilldef!$A:$B,2,FALSE),"-")</f>
        <v>- / -</v>
      </c>
      <c r="M10" s="61" t="str">
        <f t="shared" si="5"/>
        <v>[effect:fix_speed, target:myself, turn:1],[effect:tolerance, target:myself, turn:-1, count:-1, tolerance_effect:all, animation:enemy_tolerance]</v>
      </c>
      <c r="N10" s="46" t="str">
        <f t="shared" si="17"/>
        <v>[effect:fix_speed, target:myself, turn:1],[effect:tolerance, target:myself, turn:-1, count:-1, tolerance_effect:all, animation:enemy_tolerance]</v>
      </c>
      <c r="O10" s="61">
        <f t="shared" si="6"/>
        <v>9</v>
      </c>
      <c r="P10" s="61">
        <f t="shared" si="7"/>
        <v>18</v>
      </c>
      <c r="Q10" s="61">
        <f t="shared" si="8"/>
        <v>27</v>
      </c>
      <c r="R10" s="61">
        <f t="shared" si="9"/>
        <v>33</v>
      </c>
      <c r="S10" s="61" t="str">
        <f>IFERROR(VLOOKUP(MID(N10,Q10,R10-Q10),[6]skilldef!$C:$D,2,FALSE),"-") &amp; " / " &amp; IFERROR(VLOOKUP(MID(N10,O10,P10-O10),[6]skilldef!$A:$B,2,FALSE),"-")</f>
        <v>自分自身に / 行動値設定</v>
      </c>
      <c r="T10" s="46" t="str">
        <f t="shared" si="10"/>
        <v>[effect:tolerance, target:myself, turn:-1, count:-1, tolerance_effect:all, animation:enemy_tolerance]</v>
      </c>
      <c r="U10" s="61">
        <f t="shared" si="11"/>
        <v>9</v>
      </c>
      <c r="V10" s="61">
        <f t="shared" si="12"/>
        <v>18</v>
      </c>
      <c r="W10" s="61">
        <f t="shared" si="13"/>
        <v>27</v>
      </c>
      <c r="X10" s="61">
        <f t="shared" si="14"/>
        <v>33</v>
      </c>
      <c r="Y10" s="61" t="str">
        <f>IFERROR(VLOOKUP(MID(T10,W10,X10-W10),[6]skilldef!$C:$D,2,FALSE),"-") &amp; " / " &amp; IFERROR(VLOOKUP(MID(T10,U10,V10-U10),[6]skilldef!$A:$B,2,FALSE),"-")</f>
        <v>自分自身に / 状態異常耐性</v>
      </c>
      <c r="Z10" s="48"/>
      <c r="AA10" s="50"/>
      <c r="AB10" s="48"/>
      <c r="AC10" s="145">
        <f t="shared" si="15"/>
        <v>13</v>
      </c>
      <c r="AD10" s="47">
        <f t="shared" si="16"/>
        <v>6</v>
      </c>
    </row>
    <row r="11" spans="1:30" ht="21" customHeight="1" x14ac:dyDescent="0.15">
      <c r="A11" s="45">
        <v>60026026</v>
      </c>
      <c r="B11" s="45" t="s">
        <v>447</v>
      </c>
      <c r="C11" s="48">
        <v>3</v>
      </c>
      <c r="D11" s="48" t="s">
        <v>334</v>
      </c>
      <c r="E11" s="49" t="s">
        <v>374</v>
      </c>
      <c r="F11" s="49" t="s">
        <v>367</v>
      </c>
      <c r="G11" s="61" t="str">
        <f t="shared" si="0"/>
        <v>[effect:enemy_message, val1:1.2, val2:1.2]</v>
      </c>
      <c r="H11" s="61">
        <f t="shared" si="1"/>
        <v>9</v>
      </c>
      <c r="I11" s="61">
        <f t="shared" si="2"/>
        <v>22</v>
      </c>
      <c r="J11" s="61" t="e">
        <f t="shared" si="3"/>
        <v>#VALUE!</v>
      </c>
      <c r="K11" s="61">
        <f t="shared" si="4"/>
        <v>32</v>
      </c>
      <c r="L11" s="61" t="str">
        <f>IFERROR(VLOOKUP(MID(G11,J11,K11-J11),[6]skilldef!$C:$D,2,FALSE),"-") &amp; " / " &amp; IFERROR(VLOOKUP(MID(G11,H11,I11-H11),[6]skilldef!$A:$B,2,FALSE),"-")</f>
        <v>- / -</v>
      </c>
      <c r="M11" s="61" t="str">
        <f t="shared" si="5"/>
        <v>[effect:rush, count:5, val:0.3]</v>
      </c>
      <c r="N11" s="46" t="str">
        <f t="shared" si="17"/>
        <v>[effect:rush, count:5, val:0.3]</v>
      </c>
      <c r="O11" s="61">
        <f t="shared" si="6"/>
        <v>9</v>
      </c>
      <c r="P11" s="61">
        <f t="shared" si="7"/>
        <v>13</v>
      </c>
      <c r="Q11" s="61" t="e">
        <f t="shared" si="8"/>
        <v>#VALUE!</v>
      </c>
      <c r="R11" s="61">
        <f t="shared" si="9"/>
        <v>22</v>
      </c>
      <c r="S11" s="61" t="str">
        <f>IFERROR(VLOOKUP(MID(N11,Q11,R11-Q11),[6]skilldef!$C:$D,2,FALSE),"-") &amp; " / " &amp; IFERROR(VLOOKUP(MID(N11,O11,P11-O11),[6]skilldef!$A:$B,2,FALSE),"-")</f>
        <v>- / 連続攻撃</v>
      </c>
      <c r="T11" s="46" t="str">
        <f t="shared" si="10"/>
        <v>none</v>
      </c>
      <c r="U11" s="61" t="e">
        <f t="shared" si="11"/>
        <v>#VALUE!</v>
      </c>
      <c r="V11" s="61">
        <f t="shared" si="12"/>
        <v>4</v>
      </c>
      <c r="W11" s="61" t="e">
        <f t="shared" si="13"/>
        <v>#VALUE!</v>
      </c>
      <c r="X11" s="61" t="e">
        <f t="shared" si="14"/>
        <v>#VALUE!</v>
      </c>
      <c r="Y11" s="61" t="str">
        <f>IFERROR(VLOOKUP(MID(T11,W11,X11-W11),[6]skilldef!$C:$D,2,FALSE),"-") &amp; " / " &amp; IFERROR(VLOOKUP(MID(T11,U11,V11-U11),[6]skilldef!$A:$B,2,FALSE),"-")</f>
        <v>- / -</v>
      </c>
      <c r="Z11" s="48"/>
      <c r="AA11" s="50"/>
      <c r="AB11" s="48"/>
      <c r="AC11" s="47">
        <f t="shared" si="15"/>
        <v>10</v>
      </c>
      <c r="AD11" s="47">
        <f t="shared" si="16"/>
        <v>6</v>
      </c>
    </row>
    <row r="12" spans="1:30" ht="21" customHeight="1" x14ac:dyDescent="0.15">
      <c r="A12" s="45">
        <v>60026027</v>
      </c>
      <c r="B12" s="45" t="s">
        <v>490</v>
      </c>
      <c r="C12" s="48">
        <v>3</v>
      </c>
      <c r="D12" s="48" t="s">
        <v>334</v>
      </c>
      <c r="E12" s="49" t="s">
        <v>373</v>
      </c>
      <c r="F12" s="157" t="s">
        <v>485</v>
      </c>
      <c r="G12" s="61" t="str">
        <f t="shared" si="0"/>
        <v>[effect:enemy_message, val1:1.2, val2:1.7]</v>
      </c>
      <c r="H12" s="61">
        <f t="shared" si="1"/>
        <v>9</v>
      </c>
      <c r="I12" s="61">
        <f t="shared" si="2"/>
        <v>22</v>
      </c>
      <c r="J12" s="61" t="e">
        <f t="shared" si="3"/>
        <v>#VALUE!</v>
      </c>
      <c r="K12" s="61">
        <f t="shared" si="4"/>
        <v>32</v>
      </c>
      <c r="L12" s="61" t="str">
        <f>IFERROR(VLOOKUP(MID(G12,J12,K12-J12),[6]skilldef!$C:$D,2,FALSE),"-") &amp; " / " &amp; IFERROR(VLOOKUP(MID(G12,H12,I12-H12),[6]skilldef!$A:$B,2,FALSE),"-")</f>
        <v>- / -</v>
      </c>
      <c r="M12" s="61" t="str">
        <f t="shared" si="5"/>
        <v>[effect:force_change_block, new_block:block_heart, target:block_all, ignore01:crash, ignore02:crack_bomb, ignore03:damage, ignore04:time_bomb, ignore05:color_break, ignore06:jammer, count:10, val:0, animation:change_block]</v>
      </c>
      <c r="N12" s="46" t="str">
        <f>IFERROR(LEFT(M12,FIND("],",M12)+#REF!),M12)</f>
        <v>[effect:force_change_block, new_block:block_heart, target:block_all, ignore01:crash, ignore02:crack_bomb, ignore03:damage, ignore04:time_bomb, ignore05:color_break, ignore06:jammer, count:10, val:0, animation:change_block]</v>
      </c>
      <c r="O12" s="61">
        <f t="shared" si="6"/>
        <v>9</v>
      </c>
      <c r="P12" s="61">
        <f t="shared" si="7"/>
        <v>27</v>
      </c>
      <c r="Q12" s="61">
        <f t="shared" si="8"/>
        <v>59</v>
      </c>
      <c r="R12" s="61">
        <f t="shared" si="9"/>
        <v>50</v>
      </c>
      <c r="S12" s="61" t="str">
        <f>IFERROR(VLOOKUP(MID(N12,Q12,R12-Q12),[6]skilldef!$C:$D,2,FALSE),"-") &amp; " / " &amp; IFERROR(VLOOKUP(MID(N12,O12,P12-O12),[6]skilldef!$A:$B,2,FALSE),"-")</f>
        <v>- / -</v>
      </c>
      <c r="T12" s="46" t="str">
        <f t="shared" si="10"/>
        <v>none</v>
      </c>
      <c r="U12" s="61" t="e">
        <f t="shared" si="11"/>
        <v>#VALUE!</v>
      </c>
      <c r="V12" s="61">
        <f t="shared" si="12"/>
        <v>4</v>
      </c>
      <c r="W12" s="61" t="e">
        <f t="shared" si="13"/>
        <v>#VALUE!</v>
      </c>
      <c r="X12" s="61" t="e">
        <f t="shared" si="14"/>
        <v>#VALUE!</v>
      </c>
      <c r="Y12" s="61" t="str">
        <f>IFERROR(VLOOKUP(MID(T12,W12,X12-W12),[6]skilldef!$C:$D,2,FALSE),"-") &amp; " / " &amp; IFERROR(VLOOKUP(MID(T12,U12,V12-U12),[6]skilldef!$A:$B,2,FALSE),"-")</f>
        <v>- / -</v>
      </c>
      <c r="Z12" s="48"/>
      <c r="AA12" s="50"/>
      <c r="AB12" s="48"/>
      <c r="AC12" s="47">
        <f t="shared" si="15"/>
        <v>6</v>
      </c>
      <c r="AD12" s="145">
        <f t="shared" si="16"/>
        <v>21</v>
      </c>
    </row>
    <row r="13" spans="1:30" ht="21" customHeight="1" x14ac:dyDescent="0.15">
      <c r="A13" s="45">
        <v>60026028</v>
      </c>
      <c r="B13" s="143" t="s">
        <v>438</v>
      </c>
      <c r="C13" s="48">
        <v>3</v>
      </c>
      <c r="D13" s="48" t="s">
        <v>334</v>
      </c>
      <c r="E13" s="49" t="s">
        <v>378</v>
      </c>
      <c r="F13" s="144" t="s">
        <v>397</v>
      </c>
      <c r="G13" s="61" t="str">
        <f t="shared" si="0"/>
        <v>[effect:enemy_message, val1:1.2, val2:1.9]</v>
      </c>
      <c r="H13" s="61">
        <f t="shared" si="1"/>
        <v>9</v>
      </c>
      <c r="I13" s="61">
        <f t="shared" si="2"/>
        <v>22</v>
      </c>
      <c r="J13" s="61" t="e">
        <f t="shared" si="3"/>
        <v>#VALUE!</v>
      </c>
      <c r="K13" s="61">
        <f t="shared" si="4"/>
        <v>32</v>
      </c>
      <c r="L13" s="61" t="str">
        <f>IFERROR(VLOOKUP(MID(G13,J13,K13-J13),[6]skilldef!$C:$D,2,FALSE),"-") &amp; " / " &amp; IFERROR(VLOOKUP(MID(G13,H13,I13-H13),[6]skilldef!$A:$B,2,FALSE),"-")</f>
        <v>- / -</v>
      </c>
      <c r="M13" s="61" t="str">
        <f t="shared" si="5"/>
        <v xml:space="preserve">[effect:force_change_block, new_block:damage, target:block_all, ignore01:crash, ignore02:crack_bomb, ignore03:color_break, ignore04:time_bomb, ignore05:jammer, count:4, val:0.1, animation:change_block]    </v>
      </c>
      <c r="N13" s="46" t="str">
        <f>IFERROR(LEFT(M13,FIND("],",M13)+#REF!),M13)</f>
        <v xml:space="preserve">[effect:force_change_block, new_block:damage, target:block_all, ignore01:crash, ignore02:crack_bomb, ignore03:color_break, ignore04:time_bomb, ignore05:jammer, count:4, val:0.1, animation:change_block]    </v>
      </c>
      <c r="O13" s="61">
        <f t="shared" si="6"/>
        <v>9</v>
      </c>
      <c r="P13" s="61">
        <f t="shared" si="7"/>
        <v>27</v>
      </c>
      <c r="Q13" s="61">
        <f t="shared" si="8"/>
        <v>54</v>
      </c>
      <c r="R13" s="61">
        <f t="shared" si="9"/>
        <v>45</v>
      </c>
      <c r="S13" s="61" t="str">
        <f>IFERROR(VLOOKUP(MID(N13,Q13,R13-Q13),[6]skilldef!$C:$D,2,FALSE),"-") &amp; " / " &amp; IFERROR(VLOOKUP(MID(N13,O13,P13-O13),[6]skilldef!$A:$B,2,FALSE),"-")</f>
        <v>- / -</v>
      </c>
      <c r="T13" s="46" t="str">
        <f t="shared" si="10"/>
        <v>none</v>
      </c>
      <c r="U13" s="61" t="e">
        <f t="shared" si="11"/>
        <v>#VALUE!</v>
      </c>
      <c r="V13" s="61">
        <f t="shared" si="12"/>
        <v>4</v>
      </c>
      <c r="W13" s="61" t="e">
        <f t="shared" si="13"/>
        <v>#VALUE!</v>
      </c>
      <c r="X13" s="61" t="e">
        <f t="shared" si="14"/>
        <v>#VALUE!</v>
      </c>
      <c r="Y13" s="61" t="str">
        <f>IFERROR(VLOOKUP(MID(T13,W13,X13-W13),[6]skilldef!$C:$D,2,FALSE),"-") &amp; " / " &amp; IFERROR(VLOOKUP(MID(T13,U13,V13-U13),[6]skilldef!$A:$B,2,FALSE),"-")</f>
        <v>- / -</v>
      </c>
      <c r="Z13" s="48"/>
      <c r="AA13" s="50"/>
      <c r="AB13" s="48"/>
      <c r="AC13" s="47">
        <f t="shared" si="15"/>
        <v>5</v>
      </c>
      <c r="AD13" s="145">
        <f t="shared" si="16"/>
        <v>19</v>
      </c>
    </row>
    <row r="14" spans="1:30" ht="21" customHeight="1" x14ac:dyDescent="0.15">
      <c r="A14" s="45">
        <v>60026029</v>
      </c>
      <c r="B14" s="143" t="s">
        <v>456</v>
      </c>
      <c r="C14" s="48">
        <v>3</v>
      </c>
      <c r="D14" s="48" t="s">
        <v>334</v>
      </c>
      <c r="E14" s="49" t="s">
        <v>377</v>
      </c>
      <c r="F14" s="144" t="s">
        <v>453</v>
      </c>
      <c r="G14" s="61" t="str">
        <f t="shared" si="0"/>
        <v>[effect:enemy_message, val1:1.2, val2:2.3]</v>
      </c>
      <c r="H14" s="61">
        <f t="shared" si="1"/>
        <v>9</v>
      </c>
      <c r="I14" s="61">
        <f t="shared" si="2"/>
        <v>22</v>
      </c>
      <c r="J14" s="61" t="e">
        <f t="shared" si="3"/>
        <v>#VALUE!</v>
      </c>
      <c r="K14" s="61">
        <f t="shared" si="4"/>
        <v>32</v>
      </c>
      <c r="L14" s="61" t="str">
        <f>IFERROR(VLOOKUP(MID(G14,J14,K14-J14),[6]skilldef!$C:$D,2,FALSE),"-") &amp; " / " &amp; IFERROR(VLOOKUP(MID(G14,H14,I14-H14),[6]skilldef!$A:$B,2,FALSE),"-")</f>
        <v>- / -</v>
      </c>
      <c r="M14" s="61" t="str">
        <f t="shared" si="5"/>
        <v>[effect:break_attack, target:unit_all, val:0.05, lowest_val:0, count:-1, color:yellow, block01:block_heart, block02:damage, ignore01:crack_bomb, ignore02:color_break, ignore03:jammer, ignore04:crash]</v>
      </c>
      <c r="N14" s="46" t="str">
        <f>IFERROR(LEFT(M14,FIND("],",M14)+#REF!),M14)</f>
        <v>[effect:break_attack, target:unit_all, val:0.05, lowest_val:0, count:-1, color:yellow, block01:block_heart, block02:damage, ignore01:crack_bomb, ignore02:color_break, ignore03:jammer, ignore04:crash]</v>
      </c>
      <c r="O14" s="61">
        <f t="shared" si="6"/>
        <v>9</v>
      </c>
      <c r="P14" s="61">
        <f t="shared" si="7"/>
        <v>21</v>
      </c>
      <c r="Q14" s="61">
        <f t="shared" si="8"/>
        <v>30</v>
      </c>
      <c r="R14" s="61">
        <f t="shared" si="9"/>
        <v>38</v>
      </c>
      <c r="S14" s="61" t="str">
        <f>IFERROR(VLOOKUP(MID(N14,Q14,R14-Q14),[6]skilldef!$C:$D,2,FALSE),"-") &amp; " / " &amp; IFERROR(VLOOKUP(MID(N14,O14,P14-O14),[6]skilldef!$A:$B,2,FALSE),"-")</f>
        <v>味方全体に / -</v>
      </c>
      <c r="T14" s="46" t="str">
        <f t="shared" si="10"/>
        <v>none</v>
      </c>
      <c r="U14" s="61" t="e">
        <f t="shared" si="11"/>
        <v>#VALUE!</v>
      </c>
      <c r="V14" s="61">
        <f t="shared" si="12"/>
        <v>4</v>
      </c>
      <c r="W14" s="61" t="e">
        <f t="shared" si="13"/>
        <v>#VALUE!</v>
      </c>
      <c r="X14" s="61" t="e">
        <f t="shared" si="14"/>
        <v>#VALUE!</v>
      </c>
      <c r="Y14" s="61" t="str">
        <f>IFERROR(VLOOKUP(MID(T14,W14,X14-W14),[6]skilldef!$C:$D,2,FALSE),"-") &amp; " / " &amp; IFERROR(VLOOKUP(MID(T14,U14,V14-U14),[6]skilldef!$A:$B,2,FALSE),"-")</f>
        <v>- / -</v>
      </c>
      <c r="Z14" s="48"/>
      <c r="AA14" s="50"/>
      <c r="AB14" s="48"/>
      <c r="AC14" s="47">
        <f t="shared" si="15"/>
        <v>7</v>
      </c>
      <c r="AD14" s="145">
        <f t="shared" si="16"/>
        <v>23</v>
      </c>
    </row>
    <row r="15" spans="1:30" ht="21" customHeight="1" x14ac:dyDescent="0.15">
      <c r="A15" s="45">
        <v>60026030</v>
      </c>
      <c r="B15" s="45" t="s">
        <v>439</v>
      </c>
      <c r="C15" s="48">
        <v>3</v>
      </c>
      <c r="D15" s="48" t="s">
        <v>334</v>
      </c>
      <c r="E15" s="49" t="s">
        <v>382</v>
      </c>
      <c r="F15" s="49" t="s">
        <v>368</v>
      </c>
      <c r="G15" s="61" t="str">
        <f t="shared" si="0"/>
        <v>[effect:enemy_message, val1:1.2, val2:1.5]</v>
      </c>
      <c r="H15" s="61">
        <f t="shared" si="1"/>
        <v>9</v>
      </c>
      <c r="I15" s="61">
        <f t="shared" si="2"/>
        <v>22</v>
      </c>
      <c r="J15" s="61" t="e">
        <f t="shared" si="3"/>
        <v>#VALUE!</v>
      </c>
      <c r="K15" s="61">
        <f t="shared" si="4"/>
        <v>32</v>
      </c>
      <c r="L15" s="61" t="str">
        <f>IFERROR(VLOOKUP(MID(G15,J15,K15-J15),[6]skilldef!$C:$D,2,FALSE),"-") &amp; " / " &amp; IFERROR(VLOOKUP(MID(G15,H15,I15-H15),[6]skilldef!$A:$B,2,FALSE),"-")</f>
        <v>- / -</v>
      </c>
      <c r="M15" s="61" t="str">
        <f t="shared" si="5"/>
        <v>[effect:change_panel_ratio, turn:5, block_type:green, val:0.05, animation:block_incidence04]</v>
      </c>
      <c r="N15" s="46" t="str">
        <f>IFERROR(LEFT(M15,FIND("],",M15)+S21),M15)</f>
        <v>[effect:change_panel_ratio, turn:5, block_type:green, val:0.05, animation:block_incidence04]</v>
      </c>
      <c r="O15" s="61">
        <f t="shared" si="6"/>
        <v>9</v>
      </c>
      <c r="P15" s="61">
        <f t="shared" si="7"/>
        <v>27</v>
      </c>
      <c r="Q15" s="61" t="e">
        <f t="shared" si="8"/>
        <v>#VALUE!</v>
      </c>
      <c r="R15" s="61">
        <f t="shared" si="9"/>
        <v>35</v>
      </c>
      <c r="S15" s="61" t="str">
        <f>IFERROR(VLOOKUP(MID(N15,Q15,R15-Q15),[6]skilldef!$C:$D,2,FALSE),"-") &amp; " / " &amp; IFERROR(VLOOKUP(MID(N15,O15,P15-O15),[6]skilldef!$A:$B,2,FALSE),"-")</f>
        <v>- / -</v>
      </c>
      <c r="T15" s="46" t="str">
        <f t="shared" si="10"/>
        <v>none</v>
      </c>
      <c r="U15" s="61" t="e">
        <f t="shared" si="11"/>
        <v>#VALUE!</v>
      </c>
      <c r="V15" s="61">
        <f t="shared" si="12"/>
        <v>4</v>
      </c>
      <c r="W15" s="61" t="e">
        <f t="shared" si="13"/>
        <v>#VALUE!</v>
      </c>
      <c r="X15" s="61" t="e">
        <f t="shared" si="14"/>
        <v>#VALUE!</v>
      </c>
      <c r="Y15" s="61" t="str">
        <f>IFERROR(VLOOKUP(MID(T15,W15,X15-W15),[6]skilldef!$C:$D,2,FALSE),"-") &amp; " / " &amp; IFERROR(VLOOKUP(MID(T15,U15,V15-U15),[6]skilldef!$A:$B,2,FALSE),"-")</f>
        <v>- / -</v>
      </c>
      <c r="Z15" s="48"/>
      <c r="AA15" s="50"/>
      <c r="AB15" s="48"/>
      <c r="AC15" s="47">
        <f t="shared" si="15"/>
        <v>7</v>
      </c>
      <c r="AD15" s="145">
        <f t="shared" si="16"/>
        <v>15</v>
      </c>
    </row>
    <row r="16" spans="1:30" ht="21" customHeight="1" x14ac:dyDescent="0.15">
      <c r="A16" s="45">
        <v>60026031</v>
      </c>
      <c r="B16" s="45" t="s">
        <v>441</v>
      </c>
      <c r="C16" s="48">
        <v>3</v>
      </c>
      <c r="D16" s="48" t="s">
        <v>334</v>
      </c>
      <c r="E16" s="49" t="s">
        <v>379</v>
      </c>
      <c r="F16" s="157" t="s">
        <v>485</v>
      </c>
      <c r="G16" s="61" t="str">
        <f t="shared" si="0"/>
        <v>[effect:enemy_message, val1:1.2, val2:1.7]</v>
      </c>
      <c r="H16" s="61">
        <f t="shared" si="1"/>
        <v>9</v>
      </c>
      <c r="I16" s="61">
        <f t="shared" si="2"/>
        <v>22</v>
      </c>
      <c r="J16" s="61" t="e">
        <f t="shared" si="3"/>
        <v>#VALUE!</v>
      </c>
      <c r="K16" s="61">
        <f t="shared" si="4"/>
        <v>32</v>
      </c>
      <c r="L16" s="61" t="str">
        <f>IFERROR(VLOOKUP(MID(G16,J16,K16-J16),[6]skilldef!$C:$D,2,FALSE),"-") &amp; " / " &amp; IFERROR(VLOOKUP(MID(G16,H16,I16-H16),[6]skilldef!$A:$B,2,FALSE),"-")</f>
        <v>- / -</v>
      </c>
      <c r="M16" s="61" t="str">
        <f t="shared" si="5"/>
        <v>[effect:force_change_block, new_block:block_heart, target:block_all, ignore01:crash, ignore02:crack_bomb, ignore03:damage, ignore04:time_bomb, ignore05:color_break, ignore06:jammer, count:10, val:0, animation:change_block]</v>
      </c>
      <c r="N16" s="46" t="str">
        <f>IFERROR(LEFT(M16,FIND("],",M16)+S22),M16)</f>
        <v>[effect:force_change_block, new_block:block_heart, target:block_all, ignore01:crash, ignore02:crack_bomb, ignore03:damage, ignore04:time_bomb, ignore05:color_break, ignore06:jammer, count:10, val:0, animation:change_block]</v>
      </c>
      <c r="O16" s="61">
        <f t="shared" si="6"/>
        <v>9</v>
      </c>
      <c r="P16" s="61">
        <f t="shared" si="7"/>
        <v>27</v>
      </c>
      <c r="Q16" s="61">
        <f t="shared" si="8"/>
        <v>59</v>
      </c>
      <c r="R16" s="61">
        <f t="shared" si="9"/>
        <v>50</v>
      </c>
      <c r="S16" s="61" t="str">
        <f>IFERROR(VLOOKUP(MID(N16,Q16,R16-Q16),[6]skilldef!$C:$D,2,FALSE),"-") &amp; " / " &amp; IFERROR(VLOOKUP(MID(N16,O16,P16-O16),[6]skilldef!$A:$B,2,FALSE),"-")</f>
        <v>- / -</v>
      </c>
      <c r="T16" s="46" t="str">
        <f t="shared" si="10"/>
        <v>none</v>
      </c>
      <c r="U16" s="61" t="e">
        <f t="shared" si="11"/>
        <v>#VALUE!</v>
      </c>
      <c r="V16" s="61">
        <f t="shared" si="12"/>
        <v>4</v>
      </c>
      <c r="W16" s="61" t="e">
        <f t="shared" si="13"/>
        <v>#VALUE!</v>
      </c>
      <c r="X16" s="61" t="e">
        <f t="shared" si="14"/>
        <v>#VALUE!</v>
      </c>
      <c r="Y16" s="61" t="str">
        <f>IFERROR(VLOOKUP(MID(T16,W16,X16-W16),[6]skilldef!$C:$D,2,FALSE),"-") &amp; " / " &amp; IFERROR(VLOOKUP(MID(T16,U16,V16-U16),[6]skilldef!$A:$B,2,FALSE),"-")</f>
        <v>- / -</v>
      </c>
      <c r="Z16" s="48"/>
      <c r="AA16" s="50"/>
      <c r="AB16" s="48"/>
      <c r="AC16" s="47">
        <f t="shared" si="15"/>
        <v>11</v>
      </c>
      <c r="AD16" s="145">
        <f t="shared" si="16"/>
        <v>21</v>
      </c>
    </row>
    <row r="17" spans="1:30" ht="21" customHeight="1" x14ac:dyDescent="0.15">
      <c r="A17" s="45">
        <v>60026032</v>
      </c>
      <c r="B17" s="45" t="s">
        <v>457</v>
      </c>
      <c r="C17" s="48">
        <v>3</v>
      </c>
      <c r="D17" s="48" t="s">
        <v>334</v>
      </c>
      <c r="E17" s="49" t="s">
        <v>381</v>
      </c>
      <c r="F17" s="49" t="s">
        <v>484</v>
      </c>
      <c r="G17" s="61" t="str">
        <f t="shared" si="0"/>
        <v>[effect:enemy_message, val1:1.2, val2:1.2]</v>
      </c>
      <c r="H17" s="61">
        <f t="shared" si="1"/>
        <v>9</v>
      </c>
      <c r="I17" s="61">
        <f t="shared" si="2"/>
        <v>22</v>
      </c>
      <c r="J17" s="61" t="e">
        <f t="shared" si="3"/>
        <v>#VALUE!</v>
      </c>
      <c r="K17" s="61">
        <f t="shared" si="4"/>
        <v>32</v>
      </c>
      <c r="L17" s="61" t="str">
        <f>IFERROR(VLOOKUP(MID(G17,J17,K17-J17),[6]skilldef!$C:$D,2,FALSE),"-") &amp; " / " &amp; IFERROR(VLOOKUP(MID(G17,H17,I17-H17),[6]skilldef!$A:$B,2,FALSE),"-")</f>
        <v>- / -</v>
      </c>
      <c r="M17" s="61" t="str">
        <f t="shared" si="5"/>
        <v>[effect:freq_turn, target:enemy_blue, turn:-1, val:1, animation:enemy_freq_turn]</v>
      </c>
      <c r="N17" s="46" t="str">
        <f>IFERROR(LEFT(M17,FIND("],",M17)+S23),M17)</f>
        <v>[effect:freq_turn, target:enemy_blue, turn:-1, val:1, animation:enemy_freq_turn]</v>
      </c>
      <c r="O17" s="61">
        <f t="shared" si="6"/>
        <v>9</v>
      </c>
      <c r="P17" s="61">
        <f t="shared" si="7"/>
        <v>18</v>
      </c>
      <c r="Q17" s="61">
        <f t="shared" si="8"/>
        <v>27</v>
      </c>
      <c r="R17" s="61">
        <f t="shared" si="9"/>
        <v>37</v>
      </c>
      <c r="S17" s="61" t="str">
        <f>IFERROR(VLOOKUP(MID(N17,Q17,R17-Q17),[6]skilldef!$C:$D,2,FALSE),"-") &amp; " / " &amp; IFERROR(VLOOKUP(MID(N17,O17,P17-O17),[6]skilldef!$A:$B,2,FALSE),"-")</f>
        <v>青の敵に / 攻撃頻度がUP</v>
      </c>
      <c r="T17" s="46" t="str">
        <f t="shared" si="10"/>
        <v>none</v>
      </c>
      <c r="U17" s="61" t="e">
        <f t="shared" si="11"/>
        <v>#VALUE!</v>
      </c>
      <c r="V17" s="61">
        <f t="shared" si="12"/>
        <v>4</v>
      </c>
      <c r="W17" s="61" t="e">
        <f t="shared" si="13"/>
        <v>#VALUE!</v>
      </c>
      <c r="X17" s="61" t="e">
        <f t="shared" si="14"/>
        <v>#VALUE!</v>
      </c>
      <c r="Y17" s="61" t="str">
        <f>IFERROR(VLOOKUP(MID(T17,W17,X17-W17),[6]skilldef!$C:$D,2,FALSE),"-") &amp; " / " &amp; IFERROR(VLOOKUP(MID(T17,U17,V17-U17),[6]skilldef!$A:$B,2,FALSE),"-")</f>
        <v>- / -</v>
      </c>
      <c r="Z17" s="48"/>
      <c r="AA17" s="50"/>
      <c r="AB17" s="48"/>
      <c r="AC17" s="47">
        <f t="shared" si="15"/>
        <v>5</v>
      </c>
      <c r="AD17" s="145">
        <f t="shared" si="16"/>
        <v>12</v>
      </c>
    </row>
    <row r="18" spans="1:30" ht="21" customHeight="1" x14ac:dyDescent="0.15">
      <c r="A18" s="45">
        <v>60026033</v>
      </c>
      <c r="B18" s="45" t="s">
        <v>445</v>
      </c>
      <c r="C18" s="48">
        <v>3</v>
      </c>
      <c r="D18" s="48" t="s">
        <v>334</v>
      </c>
      <c r="E18" s="49" t="s">
        <v>380</v>
      </c>
      <c r="F18" s="49" t="s">
        <v>367</v>
      </c>
      <c r="G18" s="61" t="str">
        <f t="shared" si="0"/>
        <v>[effect:enemy_message, val1:1.2, val2:1.2]</v>
      </c>
      <c r="H18" s="61">
        <f t="shared" si="1"/>
        <v>9</v>
      </c>
      <c r="I18" s="61">
        <f t="shared" si="2"/>
        <v>22</v>
      </c>
      <c r="J18" s="61" t="e">
        <f t="shared" si="3"/>
        <v>#VALUE!</v>
      </c>
      <c r="K18" s="61">
        <f t="shared" si="4"/>
        <v>32</v>
      </c>
      <c r="L18" s="61" t="str">
        <f>IFERROR(VLOOKUP(MID(G18,J18,K18-J18),[6]skilldef!$C:$D,2,FALSE),"-") &amp; " / " &amp; IFERROR(VLOOKUP(MID(G18,H18,I18-H18),[6]skilldef!$A:$B,2,FALSE),"-")</f>
        <v>- / -</v>
      </c>
      <c r="M18" s="61" t="str">
        <f t="shared" si="5"/>
        <v>[effect:rush, count:5, val:0.3]</v>
      </c>
      <c r="N18" s="46" t="str">
        <f>IFERROR(LEFT(M18,FIND("],",M18)+S24),M18)</f>
        <v>[effect:rush, count:5, val:0.3]</v>
      </c>
      <c r="O18" s="61">
        <f t="shared" si="6"/>
        <v>9</v>
      </c>
      <c r="P18" s="61">
        <f t="shared" si="7"/>
        <v>13</v>
      </c>
      <c r="Q18" s="61" t="e">
        <f t="shared" si="8"/>
        <v>#VALUE!</v>
      </c>
      <c r="R18" s="61">
        <f t="shared" si="9"/>
        <v>22</v>
      </c>
      <c r="S18" s="61" t="str">
        <f>IFERROR(VLOOKUP(MID(N18,Q18,R18-Q18),[6]skilldef!$C:$D,2,FALSE),"-") &amp; " / " &amp; IFERROR(VLOOKUP(MID(N18,O18,P18-O18),[6]skilldef!$A:$B,2,FALSE),"-")</f>
        <v>- / 連続攻撃</v>
      </c>
      <c r="T18" s="46" t="str">
        <f t="shared" si="10"/>
        <v>none</v>
      </c>
      <c r="U18" s="61" t="e">
        <f t="shared" si="11"/>
        <v>#VALUE!</v>
      </c>
      <c r="V18" s="61">
        <f t="shared" si="12"/>
        <v>4</v>
      </c>
      <c r="W18" s="61" t="e">
        <f t="shared" si="13"/>
        <v>#VALUE!</v>
      </c>
      <c r="X18" s="61" t="e">
        <f t="shared" si="14"/>
        <v>#VALUE!</v>
      </c>
      <c r="Y18" s="61" t="str">
        <f>IFERROR(VLOOKUP(MID(T18,W18,X18-W18),[6]skilldef!$C:$D,2,FALSE),"-") &amp; " / " &amp; IFERROR(VLOOKUP(MID(T18,U18,V18-U18),[6]skilldef!$A:$B,2,FALSE),"-")</f>
        <v>- / -</v>
      </c>
      <c r="Z18" s="48"/>
      <c r="AA18" s="50"/>
      <c r="AB18" s="48"/>
      <c r="AC18" s="47">
        <f t="shared" si="15"/>
        <v>6</v>
      </c>
      <c r="AD18" s="47">
        <f t="shared" si="16"/>
        <v>6</v>
      </c>
    </row>
    <row r="19" spans="1:30" ht="21" customHeight="1" x14ac:dyDescent="0.15">
      <c r="A19" s="45">
        <v>60026035</v>
      </c>
      <c r="B19" s="45" t="s">
        <v>469</v>
      </c>
      <c r="C19" s="48">
        <v>3</v>
      </c>
      <c r="D19" s="48" t="s">
        <v>333</v>
      </c>
      <c r="E19" s="49" t="s">
        <v>386</v>
      </c>
      <c r="F19" s="49" t="s">
        <v>452</v>
      </c>
      <c r="G19" s="61" t="str">
        <f t="shared" si="0"/>
        <v>[effect:enemy_message, val1:1.2,val2:1.3]</v>
      </c>
      <c r="H19" s="61">
        <f t="shared" si="1"/>
        <v>9</v>
      </c>
      <c r="I19" s="61">
        <f t="shared" si="2"/>
        <v>22</v>
      </c>
      <c r="J19" s="61" t="e">
        <f t="shared" si="3"/>
        <v>#VALUE!</v>
      </c>
      <c r="K19" s="61">
        <f t="shared" si="4"/>
        <v>32</v>
      </c>
      <c r="L19" s="61" t="str">
        <f>IFERROR(VLOOKUP(MID(G19,J19,K19-J19),[6]skilldef!$C:$D,2,FALSE),"-") &amp; " / " &amp; IFERROR(VLOOKUP(MID(G19,H19,I19-H19),[6]skilldef!$A:$B,2,FALSE),"-")</f>
        <v>- / -</v>
      </c>
      <c r="M19" s="61" t="str">
        <f t="shared" si="5"/>
        <v>[effect:break_attack, target:unit_one, val:0.2, lowest_val:0, count:-1, color:blue, block01:block_heart]</v>
      </c>
      <c r="N19" s="46" t="str">
        <f>IFERROR(LEFT(M19,FIND("],",M19)+S26),M19)</f>
        <v>[effect:break_attack, target:unit_one, val:0.2, lowest_val:0, count:-1, color:blue, block01:block_heart]</v>
      </c>
      <c r="O19" s="61">
        <f t="shared" si="6"/>
        <v>9</v>
      </c>
      <c r="P19" s="61">
        <f t="shared" si="7"/>
        <v>21</v>
      </c>
      <c r="Q19" s="61">
        <f t="shared" si="8"/>
        <v>30</v>
      </c>
      <c r="R19" s="61">
        <f t="shared" si="9"/>
        <v>38</v>
      </c>
      <c r="S19" s="61" t="str">
        <f>IFERROR(VLOOKUP(MID(N19,Q19,R19-Q19),[6]skilldef!$C:$D,2,FALSE),"-") &amp; " / " &amp; IFERROR(VLOOKUP(MID(N19,O19,P19-O19),[6]skilldef!$A:$B,2,FALSE),"-")</f>
        <v>味方単体に / -</v>
      </c>
      <c r="T19" s="46" t="str">
        <f t="shared" si="10"/>
        <v>none</v>
      </c>
      <c r="U19" s="61" t="e">
        <f t="shared" si="11"/>
        <v>#VALUE!</v>
      </c>
      <c r="V19" s="61">
        <f t="shared" si="12"/>
        <v>4</v>
      </c>
      <c r="W19" s="61" t="e">
        <f t="shared" si="13"/>
        <v>#VALUE!</v>
      </c>
      <c r="X19" s="61" t="e">
        <f t="shared" si="14"/>
        <v>#VALUE!</v>
      </c>
      <c r="Y19" s="61" t="str">
        <f>IFERROR(VLOOKUP(MID(T19,W19,X19-W19),[6]skilldef!$C:$D,2,FALSE),"-") &amp; " / " &amp; IFERROR(VLOOKUP(MID(T19,U19,V19-U19),[6]skilldef!$A:$B,2,FALSE),"-")</f>
        <v>- / -</v>
      </c>
      <c r="Z19" s="48"/>
      <c r="AA19" s="50"/>
      <c r="AB19" s="48"/>
      <c r="AC19" s="47">
        <f t="shared" si="15"/>
        <v>12</v>
      </c>
      <c r="AD19" s="145">
        <f t="shared" si="16"/>
        <v>13</v>
      </c>
    </row>
    <row r="20" spans="1:30" ht="21" customHeight="1" x14ac:dyDescent="0.15">
      <c r="A20" s="45">
        <v>60026036</v>
      </c>
      <c r="B20" s="45" t="s">
        <v>458</v>
      </c>
      <c r="C20" s="48">
        <v>3</v>
      </c>
      <c r="D20" s="48" t="s">
        <v>333</v>
      </c>
      <c r="E20" s="49" t="s">
        <v>383</v>
      </c>
      <c r="F20" s="49" t="s">
        <v>483</v>
      </c>
      <c r="G20" s="61" t="str">
        <f t="shared" si="0"/>
        <v>[effect:enemy_message, val1:1.2,val2:1.2]</v>
      </c>
      <c r="H20" s="61">
        <f t="shared" si="1"/>
        <v>9</v>
      </c>
      <c r="I20" s="61">
        <f t="shared" si="2"/>
        <v>22</v>
      </c>
      <c r="J20" s="61" t="e">
        <f t="shared" si="3"/>
        <v>#VALUE!</v>
      </c>
      <c r="K20" s="61">
        <f t="shared" si="4"/>
        <v>32</v>
      </c>
      <c r="L20" s="61" t="str">
        <f>IFERROR(VLOOKUP(MID(G20,J20,K20-J20),[6]skilldef!$C:$D,2,FALSE),"-") &amp; " / " &amp; IFERROR(VLOOKUP(MID(G20,H20,I20-H20),[6]skilldef!$A:$B,2,FALSE),"-")</f>
        <v>- / -</v>
      </c>
      <c r="M20" s="61" t="str">
        <f t="shared" si="5"/>
        <v>[effect:enhance_enemy, target:enemy_green, turn:-1, status:attack, val:0.5, calc:mul, animation:enemy_enhance_attack]</v>
      </c>
      <c r="N20" s="46" t="str">
        <f>IFERROR(LEFT(M20,FIND("],",M20)+#REF!),M20)</f>
        <v>[effect:enhance_enemy, target:enemy_green, turn:-1, status:attack, val:0.5, calc:mul, animation:enemy_enhance_attack]</v>
      </c>
      <c r="O20" s="61">
        <f t="shared" si="6"/>
        <v>9</v>
      </c>
      <c r="P20" s="61">
        <f t="shared" si="7"/>
        <v>22</v>
      </c>
      <c r="Q20" s="61">
        <f t="shared" si="8"/>
        <v>31</v>
      </c>
      <c r="R20" s="61">
        <f t="shared" si="9"/>
        <v>42</v>
      </c>
      <c r="S20" s="61" t="str">
        <f>IFERROR(VLOOKUP(MID(N20,Q20,R20-Q20),[6]skilldef!$C:$D,2,FALSE),"-") &amp; " / " &amp; IFERROR(VLOOKUP(MID(N20,O20,P20-O20),[6]skilldef!$A:$B,2,FALSE),"-")</f>
        <v>緑の敵に / ステータス強化</v>
      </c>
      <c r="T20" s="46" t="str">
        <f t="shared" si="10"/>
        <v>none</v>
      </c>
      <c r="U20" s="61" t="e">
        <f t="shared" si="11"/>
        <v>#VALUE!</v>
      </c>
      <c r="V20" s="61">
        <f t="shared" si="12"/>
        <v>4</v>
      </c>
      <c r="W20" s="61" t="e">
        <f t="shared" si="13"/>
        <v>#VALUE!</v>
      </c>
      <c r="X20" s="61" t="e">
        <f t="shared" si="14"/>
        <v>#VALUE!</v>
      </c>
      <c r="Y20" s="61" t="str">
        <f>IFERROR(VLOOKUP(MID(T20,W20,X20-W20),[6]skilldef!$C:$D,2,FALSE),"-") &amp; " / " &amp; IFERROR(VLOOKUP(MID(T20,U20,V20-U20),[6]skilldef!$A:$B,2,FALSE),"-")</f>
        <v>- / -</v>
      </c>
      <c r="Z20" s="48"/>
      <c r="AA20" s="50"/>
      <c r="AB20" s="48"/>
      <c r="AC20" s="47">
        <f t="shared" si="15"/>
        <v>5</v>
      </c>
      <c r="AD20" s="145">
        <f t="shared" si="16"/>
        <v>11</v>
      </c>
    </row>
    <row r="21" spans="1:30" ht="21" customHeight="1" x14ac:dyDescent="0.15">
      <c r="A21" s="45">
        <v>60026040</v>
      </c>
      <c r="B21" s="45" t="s">
        <v>499</v>
      </c>
      <c r="C21" s="48">
        <v>3</v>
      </c>
      <c r="D21" s="48" t="s">
        <v>333</v>
      </c>
      <c r="E21" s="49" t="s">
        <v>384</v>
      </c>
      <c r="F21" s="159" t="s">
        <v>497</v>
      </c>
      <c r="G21" s="61" t="str">
        <f t="shared" si="0"/>
        <v>[effect:enemy_message, val1:1.2, val2:3.2]</v>
      </c>
      <c r="H21" s="61">
        <f t="shared" si="1"/>
        <v>9</v>
      </c>
      <c r="I21" s="61">
        <f t="shared" si="2"/>
        <v>22</v>
      </c>
      <c r="J21" s="61" t="e">
        <f t="shared" si="3"/>
        <v>#VALUE!</v>
      </c>
      <c r="K21" s="61">
        <f t="shared" si="4"/>
        <v>32</v>
      </c>
      <c r="L21" s="61" t="str">
        <f>IFERROR(VLOOKUP(MID(G21,J21,K21-J21),[6]skilldef!$C:$D,2,FALSE),"-") &amp; " / " &amp; IFERROR(VLOOKUP(MID(G21,H21,I21-H21),[6]skilldef!$A:$B,2,FALSE),"-")</f>
        <v>- / -</v>
      </c>
      <c r="M21" s="61" t="str">
        <f t="shared" si="5"/>
        <v>[effect:fix_speed, target:myself, turn:2],[effect:remove_enhancement, target:unit_all, target_effect:drop_block, target_type:all],[effect:tolerance, target:myself, turn:-1, count:-1, tolerance_effect:all, animation:enemy_tolerance],[effect:drop_block, block_type:jammer, color:block_green, val:0, rate:1, turn:-1, animation:jammer_influence04]</v>
      </c>
      <c r="N21" s="46" t="str">
        <f t="shared" ref="N21:N26" si="18">IFERROR(LEFT(M21,FIND("],",M21)+S27),M21)</f>
        <v>[effect:fix_speed, target:myself, turn:2],[effect:remove_enhancement, target:unit_all, target_effect:drop_block, target_type:all],[effect:tolerance, target:myself, turn:-1, count:-1, tolerance_effect:all, animation:enemy_tolerance],[effect:drop_block, block_type:jammer, color:block_green, val:0, rate:1, turn:-1, animation:jammer_influence04]</v>
      </c>
      <c r="O21" s="61">
        <f t="shared" si="6"/>
        <v>9</v>
      </c>
      <c r="P21" s="61">
        <f t="shared" si="7"/>
        <v>18</v>
      </c>
      <c r="Q21" s="61">
        <f t="shared" si="8"/>
        <v>27</v>
      </c>
      <c r="R21" s="61">
        <f t="shared" si="9"/>
        <v>33</v>
      </c>
      <c r="S21" s="61" t="str">
        <f>IFERROR(VLOOKUP(MID(N21,Q21,R21-Q21),[6]skilldef!$C:$D,2,FALSE),"-") &amp; " / " &amp; IFERROR(VLOOKUP(MID(N21,O21,P21-O21),[6]skilldef!$A:$B,2,FALSE),"-")</f>
        <v>自分自身に / 行動値設定</v>
      </c>
      <c r="T21" s="46" t="str">
        <f t="shared" si="10"/>
        <v>[effect:remove_enhancement, target:unit_all, target_effect:drop_block, target_type:all],[effect:tolerance, target:myself, turn:-1, count:-1, tolerance_effect:all, animation:enemy_tolerance],[effect:drop_block, block_type:jammer, color:block_green, val:0, rate:1, turn:-1, animation:jammer_influence04]</v>
      </c>
      <c r="U21" s="61">
        <f t="shared" si="11"/>
        <v>9</v>
      </c>
      <c r="V21" s="61">
        <f t="shared" si="12"/>
        <v>27</v>
      </c>
      <c r="W21" s="61">
        <f t="shared" si="13"/>
        <v>36</v>
      </c>
      <c r="X21" s="61">
        <f t="shared" si="14"/>
        <v>44</v>
      </c>
      <c r="Y21" s="61" t="str">
        <f>IFERROR(VLOOKUP(MID(T21,W21,X21-W21),[6]skilldef!$C:$D,2,FALSE),"-") &amp; " / " &amp; IFERROR(VLOOKUP(MID(T21,U21,V21-U21),[6]skilldef!$A:$B,2,FALSE),"-")</f>
        <v>味方全体に / -</v>
      </c>
      <c r="Z21" s="48"/>
      <c r="AA21" s="50"/>
      <c r="AB21" s="48"/>
      <c r="AC21" s="145">
        <f t="shared" si="15"/>
        <v>31</v>
      </c>
      <c r="AD21" s="145">
        <f t="shared" si="16"/>
        <v>45</v>
      </c>
    </row>
    <row r="22" spans="1:30" ht="21" customHeight="1" x14ac:dyDescent="0.15">
      <c r="A22" s="45">
        <v>60026041</v>
      </c>
      <c r="B22" s="143" t="s">
        <v>477</v>
      </c>
      <c r="C22" s="48">
        <v>3</v>
      </c>
      <c r="D22" s="48" t="s">
        <v>333</v>
      </c>
      <c r="E22" s="49" t="s">
        <v>385</v>
      </c>
      <c r="F22" s="144" t="s">
        <v>470</v>
      </c>
      <c r="G22" s="61" t="str">
        <f t="shared" si="0"/>
        <v>[effect:enemy_message, val1:1.2, val2:1.7]</v>
      </c>
      <c r="H22" s="61">
        <f t="shared" si="1"/>
        <v>9</v>
      </c>
      <c r="I22" s="61">
        <f t="shared" si="2"/>
        <v>22</v>
      </c>
      <c r="J22" s="61" t="e">
        <f t="shared" si="3"/>
        <v>#VALUE!</v>
      </c>
      <c r="K22" s="61">
        <f t="shared" si="4"/>
        <v>32</v>
      </c>
      <c r="L22" s="61" t="str">
        <f>IFERROR(VLOOKUP(MID(G22,J22,K22-J22),[6]skilldef!$C:$D,2,FALSE),"-") &amp; " / " &amp; IFERROR(VLOOKUP(MID(G22,H22,I22-H22),[6]skilldef!$A:$B,2,FALSE),"-")</f>
        <v>- / -</v>
      </c>
      <c r="M22" s="61" t="str">
        <f t="shared" si="5"/>
        <v>[effect:damage_anti_color, target:unit_one, color:yellow, val1:1.2, val2:1]</v>
      </c>
      <c r="N22" s="46" t="str">
        <f t="shared" si="18"/>
        <v>[effect:damage_anti_color, target:unit_one, color:yellow, val1:1.2, val2:1]</v>
      </c>
      <c r="O22" s="61">
        <f t="shared" si="6"/>
        <v>9</v>
      </c>
      <c r="P22" s="61">
        <f t="shared" si="7"/>
        <v>26</v>
      </c>
      <c r="Q22" s="61">
        <f t="shared" si="8"/>
        <v>35</v>
      </c>
      <c r="R22" s="61">
        <f t="shared" si="9"/>
        <v>43</v>
      </c>
      <c r="S22" s="61" t="str">
        <f>IFERROR(VLOOKUP(MID(N22,Q22,R22-Q22),[6]skilldef!$C:$D,2,FALSE),"-") &amp; " / " &amp; IFERROR(VLOOKUP(MID(N22,O22,P22-O22),[6]skilldef!$A:$B,2,FALSE),"-")</f>
        <v>味方単体に / 属性キラー</v>
      </c>
      <c r="T22" s="46" t="str">
        <f t="shared" si="10"/>
        <v>none</v>
      </c>
      <c r="U22" s="61" t="e">
        <f t="shared" si="11"/>
        <v>#VALUE!</v>
      </c>
      <c r="V22" s="61">
        <f t="shared" si="12"/>
        <v>4</v>
      </c>
      <c r="W22" s="61" t="e">
        <f t="shared" si="13"/>
        <v>#VALUE!</v>
      </c>
      <c r="X22" s="61" t="e">
        <f t="shared" si="14"/>
        <v>#VALUE!</v>
      </c>
      <c r="Y22" s="61" t="str">
        <f>IFERROR(VLOOKUP(MID(T22,W22,X22-W22),[6]skilldef!$C:$D,2,FALSE),"-") &amp; " / " &amp; IFERROR(VLOOKUP(MID(T22,U22,V22-U22),[6]skilldef!$A:$B,2,FALSE),"-")</f>
        <v>- / -</v>
      </c>
      <c r="Z22" s="48"/>
      <c r="AA22" s="50"/>
      <c r="AB22" s="48"/>
      <c r="AC22" s="47">
        <f t="shared" si="15"/>
        <v>10</v>
      </c>
      <c r="AD22" s="47">
        <f t="shared" si="16"/>
        <v>17</v>
      </c>
    </row>
    <row r="23" spans="1:30" ht="21" customHeight="1" x14ac:dyDescent="0.15">
      <c r="A23" s="45">
        <v>60026042</v>
      </c>
      <c r="B23" s="45" t="s">
        <v>476</v>
      </c>
      <c r="C23" s="48">
        <v>3</v>
      </c>
      <c r="D23" s="48" t="s">
        <v>333</v>
      </c>
      <c r="E23" s="49" t="s">
        <v>387</v>
      </c>
      <c r="F23" s="49" t="s">
        <v>471</v>
      </c>
      <c r="G23" s="61" t="str">
        <f t="shared" si="0"/>
        <v>[effect:enemy_message, val1:1.2, val2:2.4]</v>
      </c>
      <c r="H23" s="61">
        <f t="shared" si="1"/>
        <v>9</v>
      </c>
      <c r="I23" s="61">
        <f t="shared" si="2"/>
        <v>22</v>
      </c>
      <c r="J23" s="61" t="e">
        <f t="shared" si="3"/>
        <v>#VALUE!</v>
      </c>
      <c r="K23" s="61">
        <f t="shared" si="4"/>
        <v>32</v>
      </c>
      <c r="L23" s="61" t="str">
        <f>IFERROR(VLOOKUP(MID(G23,J23,K23-J23),[6]skilldef!$C:$D,2,FALSE),"-") &amp; " / " &amp; IFERROR(VLOOKUP(MID(G23,H23,I23-H23),[6]skilldef!$A:$B,2,FALSE),"-")</f>
        <v>- / -</v>
      </c>
      <c r="M23" s="61" t="str">
        <f t="shared" si="5"/>
        <v>[effect:damage_anti_tribe, target:unit_one, tribe:samurai, val1:0.5, val2:0.3],[effect:damage_anti_tribe, target:unit_one, tribe:samurai, val1:0.5, val2:0.3],[effect:damage_anti_tribe, target:unit_one, tribe:samurai, val1:0.5, val2:0.3],[effect:damage_anti_tribe, target:unit_one, tribe:samurai, val1:0.5, val2:0.3]</v>
      </c>
      <c r="N23" s="46" t="str">
        <f t="shared" si="18"/>
        <v>[effect:damage_anti_tribe, target:unit_one, tribe:samurai, val1:0.5, val2:0.3],[effect:damage_anti_tribe, target:unit_one, tribe:samurai, val1:0.5, val2:0.3],[effect:damage_anti_tribe, target:unit_one, tribe:samurai, val1:0.5, val2:0.3],[effect:damage_anti_tribe, target:unit_one, tribe:samurai, val1:0.5, val2:0.3]</v>
      </c>
      <c r="O23" s="61">
        <f t="shared" si="6"/>
        <v>9</v>
      </c>
      <c r="P23" s="61">
        <f t="shared" si="7"/>
        <v>26</v>
      </c>
      <c r="Q23" s="61">
        <f t="shared" si="8"/>
        <v>35</v>
      </c>
      <c r="R23" s="61">
        <f t="shared" si="9"/>
        <v>43</v>
      </c>
      <c r="S23" s="61" t="str">
        <f>IFERROR(VLOOKUP(MID(N23,Q23,R23-Q23),[6]skilldef!$C:$D,2,FALSE),"-") &amp; " / " &amp; IFERROR(VLOOKUP(MID(N23,O23,P23-O23),[6]skilldef!$A:$B,2,FALSE),"-")</f>
        <v>味方単体に / 種族キラー</v>
      </c>
      <c r="T23" s="46" t="str">
        <f t="shared" si="10"/>
        <v>[effect:damage_anti_tribe, target:unit_one, tribe:samurai, val1:0.5, val2:0.3],[effect:damage_anti_tribe, target:unit_one, tribe:samurai, val1:0.5, val2:0.3],[effect:damage_anti_tribe, target:unit_one, tribe:samurai, val1:0.5, val2:0.3]</v>
      </c>
      <c r="U23" s="61">
        <f t="shared" si="11"/>
        <v>9</v>
      </c>
      <c r="V23" s="61">
        <f t="shared" si="12"/>
        <v>26</v>
      </c>
      <c r="W23" s="61">
        <f t="shared" si="13"/>
        <v>35</v>
      </c>
      <c r="X23" s="61">
        <f t="shared" si="14"/>
        <v>43</v>
      </c>
      <c r="Y23" s="61" t="str">
        <f>IFERROR(VLOOKUP(MID(T23,W23,X23-W23),[6]skilldef!$C:$D,2,FALSE),"-") &amp; " / " &amp; IFERROR(VLOOKUP(MID(T23,U23,V23-U23),[6]skilldef!$A:$B,2,FALSE),"-")</f>
        <v>味方単体に / 種族キラー</v>
      </c>
      <c r="Z23" s="48"/>
      <c r="AA23" s="50"/>
      <c r="AB23" s="48"/>
      <c r="AC23" s="47">
        <f t="shared" si="15"/>
        <v>9</v>
      </c>
      <c r="AD23" s="145">
        <f t="shared" si="16"/>
        <v>24</v>
      </c>
    </row>
    <row r="24" spans="1:30" ht="21" customHeight="1" x14ac:dyDescent="0.15">
      <c r="A24" s="45">
        <v>60026043</v>
      </c>
      <c r="B24" s="45" t="s">
        <v>486</v>
      </c>
      <c r="C24" s="48">
        <v>3</v>
      </c>
      <c r="D24" s="48" t="s">
        <v>333</v>
      </c>
      <c r="E24" s="49" t="s">
        <v>478</v>
      </c>
      <c r="F24" s="157" t="s">
        <v>485</v>
      </c>
      <c r="G24" s="61" t="str">
        <f t="shared" si="0"/>
        <v>[effect:enemy_message, val1:1.2, val2:1.7]</v>
      </c>
      <c r="H24" s="61">
        <f t="shared" si="1"/>
        <v>9</v>
      </c>
      <c r="I24" s="61">
        <f t="shared" si="2"/>
        <v>22</v>
      </c>
      <c r="J24" s="61" t="e">
        <f t="shared" si="3"/>
        <v>#VALUE!</v>
      </c>
      <c r="K24" s="61">
        <f t="shared" si="4"/>
        <v>32</v>
      </c>
      <c r="L24" s="61" t="str">
        <f>IFERROR(VLOOKUP(MID(G24,J24,K24-J24),[6]skilldef!$C:$D,2,FALSE),"-") &amp; " / " &amp; IFERROR(VLOOKUP(MID(G24,H24,I24-H24),[6]skilldef!$A:$B,2,FALSE),"-")</f>
        <v>- / -</v>
      </c>
      <c r="M24" s="61" t="str">
        <f t="shared" si="5"/>
        <v>[effect:force_change_block, new_block:block_heart, target:block_all, ignore01:crash, ignore02:crack_bomb, ignore03:damage, ignore04:time_bomb, ignore05:color_break, ignore06:jammer, count:10, val:0, animation:change_block]</v>
      </c>
      <c r="N24" s="46" t="str">
        <f t="shared" si="18"/>
        <v>[effect:force_change_block, new_block:block_heart, target:block_all, ignore01:crash, ignore02:crack_bomb, ignore03:damage, ignore04:time_bomb, ignore05:color_break, ignore06:jammer, count:10, val:0, animation:change_block]</v>
      </c>
      <c r="O24" s="61">
        <f t="shared" si="6"/>
        <v>9</v>
      </c>
      <c r="P24" s="61">
        <f t="shared" si="7"/>
        <v>27</v>
      </c>
      <c r="Q24" s="61">
        <f t="shared" si="8"/>
        <v>59</v>
      </c>
      <c r="R24" s="61">
        <f t="shared" si="9"/>
        <v>50</v>
      </c>
      <c r="S24" s="61" t="str">
        <f>IFERROR(VLOOKUP(MID(N24,Q24,R24-Q24),[6]skilldef!$C:$D,2,FALSE),"-") &amp; " / " &amp; IFERROR(VLOOKUP(MID(N24,O24,P24-O24),[6]skilldef!$A:$B,2,FALSE),"-")</f>
        <v>- / -</v>
      </c>
      <c r="T24" s="46" t="str">
        <f t="shared" si="10"/>
        <v>none</v>
      </c>
      <c r="U24" s="61" t="e">
        <f t="shared" si="11"/>
        <v>#VALUE!</v>
      </c>
      <c r="V24" s="61">
        <f t="shared" si="12"/>
        <v>4</v>
      </c>
      <c r="W24" s="61" t="e">
        <f t="shared" si="13"/>
        <v>#VALUE!</v>
      </c>
      <c r="X24" s="61" t="e">
        <f t="shared" si="14"/>
        <v>#VALUE!</v>
      </c>
      <c r="Y24" s="61" t="str">
        <f>IFERROR(VLOOKUP(MID(T24,W24,X24-W24),[6]skilldef!$C:$D,2,FALSE),"-") &amp; " / " &amp; IFERROR(VLOOKUP(MID(T24,U24,V24-U24),[6]skilldef!$A:$B,2,FALSE),"-")</f>
        <v>- / -</v>
      </c>
      <c r="Z24" s="48"/>
      <c r="AA24" s="50"/>
      <c r="AB24" s="48"/>
      <c r="AC24" s="47">
        <f t="shared" si="15"/>
        <v>6</v>
      </c>
      <c r="AD24" s="145">
        <f t="shared" si="16"/>
        <v>21</v>
      </c>
    </row>
    <row r="25" spans="1:30" ht="21" customHeight="1" x14ac:dyDescent="0.15">
      <c r="A25" s="45">
        <v>60026044</v>
      </c>
      <c r="B25" s="143" t="s">
        <v>491</v>
      </c>
      <c r="C25" s="48">
        <v>3</v>
      </c>
      <c r="D25" s="48" t="s">
        <v>333</v>
      </c>
      <c r="E25" s="49" t="s">
        <v>389</v>
      </c>
      <c r="F25" s="158" t="s">
        <v>492</v>
      </c>
      <c r="G25" s="61" t="str">
        <f t="shared" si="0"/>
        <v>[effect:enemy_message, val1:1.2, val2:3.6]</v>
      </c>
      <c r="H25" s="61">
        <f t="shared" si="1"/>
        <v>9</v>
      </c>
      <c r="I25" s="61">
        <f t="shared" si="2"/>
        <v>22</v>
      </c>
      <c r="J25" s="61" t="e">
        <f t="shared" si="3"/>
        <v>#VALUE!</v>
      </c>
      <c r="K25" s="61">
        <f t="shared" si="4"/>
        <v>32</v>
      </c>
      <c r="L25" s="61" t="str">
        <f>IFERROR(VLOOKUP(MID(G25,J25,K25-J25),[6]skilldef!$C:$D,2,FALSE),"-") &amp; " / " &amp; IFERROR(VLOOKUP(MID(G25,H25,I25-H25),[6]skilldef!$A:$B,2,FALSE),"-")</f>
        <v>- / -</v>
      </c>
      <c r="M25" s="61" t="str">
        <f t="shared" si="5"/>
        <v>[effect:break_attack, target:unit_all, val:0.03, lowest_val:0, count:15, color:yellow, block01:block_heart, block02:damage, block03:jammer, ignore01:crack_bomb, ignore02:color_break, ignore03:crash]</v>
      </c>
      <c r="N25" s="46" t="str">
        <f t="shared" si="18"/>
        <v>[effect:break_attack, target:unit_all, val:0.03, lowest_val:0, count:15, color:yellow, block01:block_heart, block02:damage, block03:jammer, ignore01:crack_bomb, ignore02:color_break, ignore03:crash]</v>
      </c>
      <c r="O25" s="61">
        <f t="shared" si="6"/>
        <v>9</v>
      </c>
      <c r="P25" s="61">
        <f t="shared" si="7"/>
        <v>21</v>
      </c>
      <c r="Q25" s="61">
        <f t="shared" si="8"/>
        <v>30</v>
      </c>
      <c r="R25" s="61">
        <f t="shared" si="9"/>
        <v>38</v>
      </c>
      <c r="S25" s="61" t="str">
        <f>IFERROR(VLOOKUP(MID(N25,Q25,R25-Q25),[6]skilldef!$C:$D,2,FALSE),"-") &amp; " / " &amp; IFERROR(VLOOKUP(MID(N25,O25,P25-O25),[6]skilldef!$A:$B,2,FALSE),"-")</f>
        <v>味方全体に / -</v>
      </c>
      <c r="T25" s="46" t="str">
        <f t="shared" si="10"/>
        <v>none</v>
      </c>
      <c r="U25" s="61" t="e">
        <f t="shared" si="11"/>
        <v>#VALUE!</v>
      </c>
      <c r="V25" s="61">
        <f t="shared" si="12"/>
        <v>4</v>
      </c>
      <c r="W25" s="61" t="e">
        <f t="shared" si="13"/>
        <v>#VALUE!</v>
      </c>
      <c r="X25" s="61" t="e">
        <f t="shared" si="14"/>
        <v>#VALUE!</v>
      </c>
      <c r="Y25" s="61" t="str">
        <f>IFERROR(VLOOKUP(MID(T25,W25,X25-W25),[6]skilldef!$C:$D,2,FALSE),"-") &amp; " / " &amp; IFERROR(VLOOKUP(MID(T25,U25,V25-U25),[6]skilldef!$A:$B,2,FALSE),"-")</f>
        <v>- / -</v>
      </c>
      <c r="Z25" s="48"/>
      <c r="AA25" s="50"/>
      <c r="AB25" s="48"/>
      <c r="AC25" s="47">
        <f t="shared" si="15"/>
        <v>7</v>
      </c>
      <c r="AD25" s="145">
        <f t="shared" si="16"/>
        <v>38</v>
      </c>
    </row>
    <row r="26" spans="1:30" ht="21" customHeight="1" x14ac:dyDescent="0.15">
      <c r="A26" s="45">
        <v>60026045</v>
      </c>
      <c r="B26" s="143" t="s">
        <v>448</v>
      </c>
      <c r="C26" s="48">
        <v>3</v>
      </c>
      <c r="D26" s="48" t="s">
        <v>333</v>
      </c>
      <c r="E26" s="49" t="s">
        <v>388</v>
      </c>
      <c r="F26" s="144" t="s">
        <v>396</v>
      </c>
      <c r="G26" s="61" t="str">
        <f t="shared" si="0"/>
        <v>[effect:enemy_message, val1:1.2, val2:1.9]</v>
      </c>
      <c r="H26" s="61">
        <f t="shared" si="1"/>
        <v>9</v>
      </c>
      <c r="I26" s="61">
        <f t="shared" si="2"/>
        <v>22</v>
      </c>
      <c r="J26" s="61" t="e">
        <f t="shared" si="3"/>
        <v>#VALUE!</v>
      </c>
      <c r="K26" s="61">
        <f t="shared" si="4"/>
        <v>32</v>
      </c>
      <c r="L26" s="61" t="str">
        <f>IFERROR(VLOOKUP(MID(G26,J26,K26-J26),[6]skilldef!$C:$D,2,FALSE),"-") &amp; " / " &amp; IFERROR(VLOOKUP(MID(G26,H26,I26-H26),[6]skilldef!$A:$B,2,FALSE),"-")</f>
        <v>- / -</v>
      </c>
      <c r="M26" s="61" t="str">
        <f t="shared" si="5"/>
        <v xml:space="preserve">[effect:force_change_block, new_block:damage, target:block_all, ignore01:crash, ignore02:crack_bomb, ignore03:damage, ignore04:time_bomb, ignore05:color_break, ignore06:jammer, count:4, val:0.1, animation:change_block]    </v>
      </c>
      <c r="N26" s="46" t="str">
        <f t="shared" si="18"/>
        <v xml:space="preserve">[effect:force_change_block, new_block:damage, target:block_all, ignore01:crash, ignore02:crack_bomb, ignore03:damage, ignore04:time_bomb, ignore05:color_break, ignore06:jammer, count:4, val:0.1, animation:change_block]    </v>
      </c>
      <c r="O26" s="61">
        <f t="shared" si="6"/>
        <v>9</v>
      </c>
      <c r="P26" s="61">
        <f t="shared" si="7"/>
        <v>27</v>
      </c>
      <c r="Q26" s="61">
        <f t="shared" si="8"/>
        <v>54</v>
      </c>
      <c r="R26" s="61">
        <f t="shared" si="9"/>
        <v>45</v>
      </c>
      <c r="S26" s="61" t="str">
        <f>IFERROR(VLOOKUP(MID(N26,Q26,R26-Q26),[6]skilldef!$C:$D,2,FALSE),"-") &amp; " / " &amp; IFERROR(VLOOKUP(MID(N26,O26,P26-O26),[6]skilldef!$A:$B,2,FALSE),"-")</f>
        <v>- / -</v>
      </c>
      <c r="T26" s="46" t="str">
        <f t="shared" si="10"/>
        <v>none</v>
      </c>
      <c r="U26" s="61" t="e">
        <f t="shared" si="11"/>
        <v>#VALUE!</v>
      </c>
      <c r="V26" s="61">
        <f t="shared" si="12"/>
        <v>4</v>
      </c>
      <c r="W26" s="61" t="e">
        <f t="shared" si="13"/>
        <v>#VALUE!</v>
      </c>
      <c r="X26" s="61" t="e">
        <f t="shared" si="14"/>
        <v>#VALUE!</v>
      </c>
      <c r="Y26" s="61" t="str">
        <f>IFERROR(VLOOKUP(MID(T26,W26,X26-W26),[6]skilldef!$C:$D,2,FALSE),"-") &amp; " / " &amp; IFERROR(VLOOKUP(MID(T26,U26,V26-U26),[6]skilldef!$A:$B,2,FALSE),"-")</f>
        <v>- / -</v>
      </c>
      <c r="Z26" s="48"/>
      <c r="AA26" s="50"/>
      <c r="AB26" s="48"/>
      <c r="AC26" s="47">
        <f t="shared" si="15"/>
        <v>5</v>
      </c>
      <c r="AD26" s="145">
        <f t="shared" si="16"/>
        <v>19</v>
      </c>
    </row>
    <row r="27" spans="1:30" ht="21" customHeight="1" x14ac:dyDescent="0.15">
      <c r="A27" s="45">
        <v>60026050</v>
      </c>
      <c r="B27" s="45" t="s">
        <v>500</v>
      </c>
      <c r="C27" s="48">
        <v>3</v>
      </c>
      <c r="D27" s="48" t="s">
        <v>333</v>
      </c>
      <c r="E27" s="49" t="s">
        <v>390</v>
      </c>
      <c r="F27" s="159" t="s">
        <v>498</v>
      </c>
      <c r="G27" s="61" t="str">
        <f t="shared" si="0"/>
        <v>[effect:enemy_message, val1:1.2, val2:3.2]</v>
      </c>
      <c r="H27" s="61">
        <f t="shared" si="1"/>
        <v>9</v>
      </c>
      <c r="I27" s="61">
        <f t="shared" si="2"/>
        <v>22</v>
      </c>
      <c r="J27" s="61" t="e">
        <f t="shared" si="3"/>
        <v>#VALUE!</v>
      </c>
      <c r="K27" s="61">
        <f t="shared" si="4"/>
        <v>32</v>
      </c>
      <c r="L27" s="61" t="str">
        <f>IFERROR(VLOOKUP(MID(G27,J27,K27-J27),[6]skilldef!$C:$D,2,FALSE),"-") &amp; " / " &amp; IFERROR(VLOOKUP(MID(G27,H27,I27-H27),[6]skilldef!$A:$B,2,FALSE),"-")</f>
        <v>- / -</v>
      </c>
      <c r="M27" s="61" t="str">
        <f t="shared" si="5"/>
        <v>[effect:fix_speed, target:myself, turn:1],[effect:remove_enhancement, target:unit_all, target_effect:drop_block, target_type:all],[effect:tolerance, target:myself, turn:-1, count:-1, tolerance_effect:all, animation:enemy_tolerance],[effect:drop_block, block_type:normal, block_color:block_heart, color:block_green, val:0, rate:1, turn:-1, animation:block_incidence04]</v>
      </c>
      <c r="N27" s="46" t="str">
        <f t="shared" ref="N27:N33" si="19">IFERROR(LEFT(M27,FIND("],",M27)+S34),M27)</f>
        <v>[effect:fix_speed, target:myself, turn:1],[effect:remove_enhancement, target:unit_all, target_effect:drop_block, target_type:all],[effect:tolerance, target:myself, turn:-1, count:-1, tolerance_effect:all, animation:enemy_tolerance],[effect:drop_block, block_type:normal, block_color:block_heart, color:block_green, val:0, rate:1, turn:-1, animation:block_incidence04]</v>
      </c>
      <c r="O27" s="61">
        <f t="shared" si="6"/>
        <v>9</v>
      </c>
      <c r="P27" s="61">
        <f t="shared" si="7"/>
        <v>18</v>
      </c>
      <c r="Q27" s="61">
        <f t="shared" si="8"/>
        <v>27</v>
      </c>
      <c r="R27" s="61">
        <f t="shared" si="9"/>
        <v>33</v>
      </c>
      <c r="S27" s="61" t="str">
        <f>IFERROR(VLOOKUP(MID(N27,Q27,R27-Q27),[6]skilldef!$C:$D,2,FALSE),"-") &amp; " / " &amp; IFERROR(VLOOKUP(MID(N27,O27,P27-O27),[6]skilldef!$A:$B,2,FALSE),"-")</f>
        <v>自分自身に / 行動値設定</v>
      </c>
      <c r="T27" s="46" t="str">
        <f t="shared" si="10"/>
        <v>[effect:remove_enhancement, target:unit_all, target_effect:drop_block, target_type:all],[effect:tolerance, target:myself, turn:-1, count:-1, tolerance_effect:all, animation:enemy_tolerance],[effect:drop_block, block_type:normal, block_color:block_heart, color:block_green, val:0, rate:1, turn:-1, animation:block_incidence04]</v>
      </c>
      <c r="U27" s="61">
        <f t="shared" si="11"/>
        <v>9</v>
      </c>
      <c r="V27" s="61">
        <f t="shared" si="12"/>
        <v>27</v>
      </c>
      <c r="W27" s="61">
        <f t="shared" si="13"/>
        <v>36</v>
      </c>
      <c r="X27" s="61">
        <f t="shared" si="14"/>
        <v>44</v>
      </c>
      <c r="Y27" s="61" t="str">
        <f>IFERROR(VLOOKUP(MID(T27,W27,X27-W27),[6]skilldef!$C:$D,2,FALSE),"-") &amp; " / " &amp; IFERROR(VLOOKUP(MID(T27,U27,V27-U27),[6]skilldef!$A:$B,2,FALSE),"-")</f>
        <v>味方全体に / -</v>
      </c>
      <c r="Z27" s="48"/>
      <c r="AA27" s="50"/>
      <c r="AB27" s="48"/>
      <c r="AC27" s="47">
        <f t="shared" si="15"/>
        <v>12</v>
      </c>
      <c r="AD27" s="145">
        <f t="shared" si="16"/>
        <v>45</v>
      </c>
    </row>
    <row r="28" spans="1:30" ht="21" customHeight="1" x14ac:dyDescent="0.15">
      <c r="A28" s="45">
        <v>60026051</v>
      </c>
      <c r="B28" s="143" t="s">
        <v>475</v>
      </c>
      <c r="C28" s="48">
        <v>3</v>
      </c>
      <c r="D28" s="48" t="s">
        <v>333</v>
      </c>
      <c r="E28" s="49" t="s">
        <v>385</v>
      </c>
      <c r="F28" s="144" t="s">
        <v>470</v>
      </c>
      <c r="G28" s="61" t="str">
        <f t="shared" si="0"/>
        <v>[effect:enemy_message, val1:1.2, val2:1.7]</v>
      </c>
      <c r="H28" s="61">
        <f t="shared" si="1"/>
        <v>9</v>
      </c>
      <c r="I28" s="61">
        <f t="shared" si="2"/>
        <v>22</v>
      </c>
      <c r="J28" s="61" t="e">
        <f t="shared" si="3"/>
        <v>#VALUE!</v>
      </c>
      <c r="K28" s="61">
        <f t="shared" si="4"/>
        <v>32</v>
      </c>
      <c r="L28" s="61" t="str">
        <f>IFERROR(VLOOKUP(MID(G28,J28,K28-J28),[6]skilldef!$C:$D,2,FALSE),"-") &amp; " / " &amp; IFERROR(VLOOKUP(MID(G28,H28,I28-H28),[6]skilldef!$A:$B,2,FALSE),"-")</f>
        <v>- / -</v>
      </c>
      <c r="M28" s="61" t="str">
        <f t="shared" si="5"/>
        <v>[effect:damage_anti_color, target:unit_one, color:yellow, val1:1.2, val2:1]</v>
      </c>
      <c r="N28" s="46" t="str">
        <f t="shared" si="19"/>
        <v>[effect:damage_anti_color, target:unit_one, color:yellow, val1:1.2, val2:1]</v>
      </c>
      <c r="O28" s="61">
        <f t="shared" si="6"/>
        <v>9</v>
      </c>
      <c r="P28" s="61">
        <f t="shared" si="7"/>
        <v>26</v>
      </c>
      <c r="Q28" s="61">
        <f t="shared" si="8"/>
        <v>35</v>
      </c>
      <c r="R28" s="61">
        <f t="shared" si="9"/>
        <v>43</v>
      </c>
      <c r="S28" s="61" t="str">
        <f>IFERROR(VLOOKUP(MID(N28,Q28,R28-Q28),[6]skilldef!$C:$D,2,FALSE),"-") &amp; " / " &amp; IFERROR(VLOOKUP(MID(N28,O28,P28-O28),[6]skilldef!$A:$B,2,FALSE),"-")</f>
        <v>味方単体に / 属性キラー</v>
      </c>
      <c r="T28" s="46" t="str">
        <f t="shared" si="10"/>
        <v>none</v>
      </c>
      <c r="U28" s="61" t="e">
        <f t="shared" si="11"/>
        <v>#VALUE!</v>
      </c>
      <c r="V28" s="61">
        <f t="shared" si="12"/>
        <v>4</v>
      </c>
      <c r="W28" s="61" t="e">
        <f t="shared" si="13"/>
        <v>#VALUE!</v>
      </c>
      <c r="X28" s="61" t="e">
        <f t="shared" si="14"/>
        <v>#VALUE!</v>
      </c>
      <c r="Y28" s="61" t="str">
        <f>IFERROR(VLOOKUP(MID(T28,W28,X28-W28),[6]skilldef!$C:$D,2,FALSE),"-") &amp; " / " &amp; IFERROR(VLOOKUP(MID(T28,U28,V28-U28),[6]skilldef!$A:$B,2,FALSE),"-")</f>
        <v>- / -</v>
      </c>
      <c r="Z28" s="48"/>
      <c r="AA28" s="50"/>
      <c r="AB28" s="48"/>
      <c r="AC28" s="47">
        <f t="shared" si="15"/>
        <v>10</v>
      </c>
      <c r="AD28" s="47">
        <f t="shared" si="16"/>
        <v>17</v>
      </c>
    </row>
    <row r="29" spans="1:30" ht="21" customHeight="1" x14ac:dyDescent="0.15">
      <c r="A29" s="45">
        <v>60026052</v>
      </c>
      <c r="B29" s="45" t="s">
        <v>474</v>
      </c>
      <c r="C29" s="48">
        <v>3</v>
      </c>
      <c r="D29" s="48" t="s">
        <v>333</v>
      </c>
      <c r="E29" s="49" t="s">
        <v>387</v>
      </c>
      <c r="F29" s="49" t="s">
        <v>471</v>
      </c>
      <c r="G29" s="61" t="str">
        <f t="shared" si="0"/>
        <v>[effect:enemy_message, val1:1.2, val2:2.4]</v>
      </c>
      <c r="H29" s="61">
        <f t="shared" si="1"/>
        <v>9</v>
      </c>
      <c r="I29" s="61">
        <f t="shared" si="2"/>
        <v>22</v>
      </c>
      <c r="J29" s="61" t="e">
        <f t="shared" si="3"/>
        <v>#VALUE!</v>
      </c>
      <c r="K29" s="61">
        <f t="shared" si="4"/>
        <v>32</v>
      </c>
      <c r="L29" s="61" t="str">
        <f>IFERROR(VLOOKUP(MID(G29,J29,K29-J29),[6]skilldef!$C:$D,2,FALSE),"-") &amp; " / " &amp; IFERROR(VLOOKUP(MID(G29,H29,I29-H29),[6]skilldef!$A:$B,2,FALSE),"-")</f>
        <v>- / -</v>
      </c>
      <c r="M29" s="61" t="str">
        <f t="shared" si="5"/>
        <v>[effect:damage_anti_tribe, target:unit_one, tribe:samurai, val1:0.5, val2:0.3],[effect:damage_anti_tribe, target:unit_one, tribe:samurai, val1:0.5, val2:0.3],[effect:damage_anti_tribe, target:unit_one, tribe:samurai, val1:0.5, val2:0.3],[effect:damage_anti_tribe, target:unit_one, tribe:samurai, val1:0.5, val2:0.3]</v>
      </c>
      <c r="N29" s="46" t="str">
        <f t="shared" si="19"/>
        <v>[effect:damage_anti_tribe, target:unit_one, tribe:samurai, val1:0.5, val2:0.3],[effect:damage_anti_tribe, target:unit_one, tribe:samurai, val1:0.5, val2:0.3],[effect:damage_anti_tribe, target:unit_one, tribe:samurai, val1:0.5, val2:0.3],[effect:damage_anti_tribe, target:unit_one, tribe:samurai, val1:0.5, val2:0.3]</v>
      </c>
      <c r="O29" s="61">
        <f t="shared" si="6"/>
        <v>9</v>
      </c>
      <c r="P29" s="61">
        <f t="shared" si="7"/>
        <v>26</v>
      </c>
      <c r="Q29" s="61">
        <f t="shared" si="8"/>
        <v>35</v>
      </c>
      <c r="R29" s="61">
        <f t="shared" si="9"/>
        <v>43</v>
      </c>
      <c r="S29" s="61" t="str">
        <f>IFERROR(VLOOKUP(MID(N29,Q29,R29-Q29),[6]skilldef!$C:$D,2,FALSE),"-") &amp; " / " &amp; IFERROR(VLOOKUP(MID(N29,O29,P29-O29),[6]skilldef!$A:$B,2,FALSE),"-")</f>
        <v>味方単体に / 種族キラー</v>
      </c>
      <c r="T29" s="46" t="str">
        <f t="shared" si="10"/>
        <v>[effect:damage_anti_tribe, target:unit_one, tribe:samurai, val1:0.5, val2:0.3],[effect:damage_anti_tribe, target:unit_one, tribe:samurai, val1:0.5, val2:0.3],[effect:damage_anti_tribe, target:unit_one, tribe:samurai, val1:0.5, val2:0.3]</v>
      </c>
      <c r="U29" s="61">
        <f t="shared" si="11"/>
        <v>9</v>
      </c>
      <c r="V29" s="61">
        <f t="shared" si="12"/>
        <v>26</v>
      </c>
      <c r="W29" s="61">
        <f t="shared" si="13"/>
        <v>35</v>
      </c>
      <c r="X29" s="61">
        <f t="shared" si="14"/>
        <v>43</v>
      </c>
      <c r="Y29" s="61" t="str">
        <f>IFERROR(VLOOKUP(MID(T29,W29,X29-W29),[6]skilldef!$C:$D,2,FALSE),"-") &amp; " / " &amp; IFERROR(VLOOKUP(MID(T29,U29,V29-U29),[6]skilldef!$A:$B,2,FALSE),"-")</f>
        <v>味方単体に / 種族キラー</v>
      </c>
      <c r="Z29" s="48"/>
      <c r="AA29" s="50"/>
      <c r="AB29" s="48"/>
      <c r="AC29" s="47">
        <f t="shared" si="15"/>
        <v>9</v>
      </c>
      <c r="AD29" s="145">
        <f t="shared" si="16"/>
        <v>24</v>
      </c>
    </row>
    <row r="30" spans="1:30" ht="21" customHeight="1" x14ac:dyDescent="0.15">
      <c r="A30" s="45">
        <v>60026053</v>
      </c>
      <c r="B30" s="45" t="s">
        <v>487</v>
      </c>
      <c r="C30" s="48">
        <v>3</v>
      </c>
      <c r="D30" s="48" t="s">
        <v>333</v>
      </c>
      <c r="E30" s="49" t="s">
        <v>478</v>
      </c>
      <c r="F30" s="157" t="s">
        <v>488</v>
      </c>
      <c r="G30" s="61" t="str">
        <f t="shared" si="0"/>
        <v>[effect:enemy_message, val1:1.2, val2:1.7]</v>
      </c>
      <c r="H30" s="61">
        <f t="shared" si="1"/>
        <v>9</v>
      </c>
      <c r="I30" s="61">
        <f t="shared" si="2"/>
        <v>22</v>
      </c>
      <c r="J30" s="61" t="e">
        <f t="shared" si="3"/>
        <v>#VALUE!</v>
      </c>
      <c r="K30" s="61">
        <f t="shared" si="4"/>
        <v>32</v>
      </c>
      <c r="L30" s="61" t="str">
        <f>IFERROR(VLOOKUP(MID(G30,J30,K30-J30),[6]skilldef!$C:$D,2,FALSE),"-") &amp; " / " &amp; IFERROR(VLOOKUP(MID(G30,H30,I30-H30),[6]skilldef!$A:$B,2,FALSE),"-")</f>
        <v>- / -</v>
      </c>
      <c r="M30" s="61" t="str">
        <f t="shared" si="5"/>
        <v>[effect:force_change_block, new_block:block_heart, target:block_all, ignore01:crash, ignore02:crack_bomb, ignore03:damage, ignore04:time_bomb, ignore05:color_break, ignore06:jammer, count:15, val:0, animation:change_block]</v>
      </c>
      <c r="N30" s="46" t="str">
        <f t="shared" si="19"/>
        <v>[effect:force_change_block, new_block:block_heart, target:block_all, ignore01:crash, ignore02:crack_bomb, ignore03:damage, ignore04:time_bomb, ignore05:color_break, ignore06:jammer, count:15, val:0, animation:change_block]</v>
      </c>
      <c r="O30" s="61">
        <f t="shared" si="6"/>
        <v>9</v>
      </c>
      <c r="P30" s="61">
        <f t="shared" si="7"/>
        <v>27</v>
      </c>
      <c r="Q30" s="61">
        <f t="shared" si="8"/>
        <v>59</v>
      </c>
      <c r="R30" s="61">
        <f t="shared" si="9"/>
        <v>50</v>
      </c>
      <c r="S30" s="61" t="str">
        <f>IFERROR(VLOOKUP(MID(N30,Q30,R30-Q30),[6]skilldef!$C:$D,2,FALSE),"-") &amp; " / " &amp; IFERROR(VLOOKUP(MID(N30,O30,P30-O30),[6]skilldef!$A:$B,2,FALSE),"-")</f>
        <v>- / -</v>
      </c>
      <c r="T30" s="46" t="str">
        <f t="shared" si="10"/>
        <v>none</v>
      </c>
      <c r="U30" s="61" t="e">
        <f t="shared" si="11"/>
        <v>#VALUE!</v>
      </c>
      <c r="V30" s="61">
        <f t="shared" si="12"/>
        <v>4</v>
      </c>
      <c r="W30" s="61" t="e">
        <f t="shared" si="13"/>
        <v>#VALUE!</v>
      </c>
      <c r="X30" s="61" t="e">
        <f t="shared" si="14"/>
        <v>#VALUE!</v>
      </c>
      <c r="Y30" s="61" t="str">
        <f>IFERROR(VLOOKUP(MID(T30,W30,X30-W30),[6]skilldef!$C:$D,2,FALSE),"-") &amp; " / " &amp; IFERROR(VLOOKUP(MID(T30,U30,V30-U30),[6]skilldef!$A:$B,2,FALSE),"-")</f>
        <v>- / -</v>
      </c>
      <c r="Z30" s="48"/>
      <c r="AA30" s="50"/>
      <c r="AB30" s="48"/>
      <c r="AC30" s="47">
        <f t="shared" si="15"/>
        <v>6</v>
      </c>
      <c r="AD30" s="145">
        <f t="shared" si="16"/>
        <v>21</v>
      </c>
    </row>
    <row r="31" spans="1:30" ht="21" customHeight="1" x14ac:dyDescent="0.15">
      <c r="A31" s="45">
        <v>60026054</v>
      </c>
      <c r="B31" s="45" t="s">
        <v>493</v>
      </c>
      <c r="C31" s="48">
        <v>3</v>
      </c>
      <c r="D31" s="48" t="s">
        <v>333</v>
      </c>
      <c r="E31" s="49" t="s">
        <v>391</v>
      </c>
      <c r="F31" s="49" t="s">
        <v>450</v>
      </c>
      <c r="G31" s="61" t="str">
        <f t="shared" si="0"/>
        <v>[effect:enemy_message, val1:1.2, val2:1.5]</v>
      </c>
      <c r="H31" s="61">
        <f t="shared" si="1"/>
        <v>9</v>
      </c>
      <c r="I31" s="61">
        <f t="shared" si="2"/>
        <v>22</v>
      </c>
      <c r="J31" s="61" t="e">
        <f t="shared" si="3"/>
        <v>#VALUE!</v>
      </c>
      <c r="K31" s="61">
        <f t="shared" si="4"/>
        <v>32</v>
      </c>
      <c r="L31" s="61" t="str">
        <f>IFERROR(VLOOKUP(MID(G31,J31,K31-J31),[6]skilldef!$C:$D,2,FALSE),"-") &amp; " / " &amp; IFERROR(VLOOKUP(MID(G31,H31,I31-H31),[6]skilldef!$A:$B,2,FALSE),"-")</f>
        <v>- / -</v>
      </c>
      <c r="M31" s="61" t="str">
        <f t="shared" si="5"/>
        <v>[effect:break_attack, target:unit_all, val:0.04, lowest_val:0, count:-1, color:yellow, block01:block_heart]</v>
      </c>
      <c r="N31" s="46" t="str">
        <f t="shared" si="19"/>
        <v>[effect:break_attack, target:unit_all, val:0.04, lowest_val:0, count:-1, color:yellow, block01:block_heart]</v>
      </c>
      <c r="O31" s="61">
        <f t="shared" si="6"/>
        <v>9</v>
      </c>
      <c r="P31" s="61">
        <f t="shared" si="7"/>
        <v>21</v>
      </c>
      <c r="Q31" s="61">
        <f t="shared" si="8"/>
        <v>30</v>
      </c>
      <c r="R31" s="61">
        <f t="shared" si="9"/>
        <v>38</v>
      </c>
      <c r="S31" s="61" t="str">
        <f>IFERROR(VLOOKUP(MID(N31,Q31,R31-Q31),[6]skilldef!$C:$D,2,FALSE),"-") &amp; " / " &amp; IFERROR(VLOOKUP(MID(N31,O31,P31-O31),[6]skilldef!$A:$B,2,FALSE),"-")</f>
        <v>味方全体に / -</v>
      </c>
      <c r="T31" s="46" t="str">
        <f t="shared" si="10"/>
        <v>none</v>
      </c>
      <c r="U31" s="61" t="e">
        <f t="shared" si="11"/>
        <v>#VALUE!</v>
      </c>
      <c r="V31" s="61">
        <f t="shared" si="12"/>
        <v>4</v>
      </c>
      <c r="W31" s="61" t="e">
        <f t="shared" si="13"/>
        <v>#VALUE!</v>
      </c>
      <c r="X31" s="61" t="e">
        <f t="shared" si="14"/>
        <v>#VALUE!</v>
      </c>
      <c r="Y31" s="61" t="str">
        <f>IFERROR(VLOOKUP(MID(T31,W31,X31-W31),[6]skilldef!$C:$D,2,FALSE),"-") &amp; " / " &amp; IFERROR(VLOOKUP(MID(T31,U31,V31-U31),[6]skilldef!$A:$B,2,FALSE),"-")</f>
        <v>- / -</v>
      </c>
      <c r="Z31" s="48"/>
      <c r="AA31" s="50"/>
      <c r="AB31" s="48"/>
      <c r="AC31" s="47">
        <f t="shared" si="15"/>
        <v>12</v>
      </c>
      <c r="AD31" s="145">
        <f t="shared" si="16"/>
        <v>15</v>
      </c>
    </row>
    <row r="32" spans="1:30" ht="21" customHeight="1" x14ac:dyDescent="0.15">
      <c r="A32" s="45">
        <v>60026055</v>
      </c>
      <c r="B32" s="45" t="s">
        <v>481</v>
      </c>
      <c r="C32" s="48">
        <v>3</v>
      </c>
      <c r="D32" s="48" t="s">
        <v>333</v>
      </c>
      <c r="E32" s="49" t="s">
        <v>480</v>
      </c>
      <c r="F32" s="49" t="s">
        <v>482</v>
      </c>
      <c r="G32" s="61" t="str">
        <f t="shared" si="0"/>
        <v>[effect:enemy_message, val1:1.3, val2:1.5]</v>
      </c>
      <c r="H32" s="61">
        <f t="shared" si="1"/>
        <v>9</v>
      </c>
      <c r="I32" s="61">
        <f t="shared" si="2"/>
        <v>22</v>
      </c>
      <c r="J32" s="61" t="e">
        <f t="shared" si="3"/>
        <v>#VALUE!</v>
      </c>
      <c r="K32" s="61">
        <f t="shared" si="4"/>
        <v>32</v>
      </c>
      <c r="L32" s="61" t="str">
        <f>IFERROR(VLOOKUP(MID(G32,J32,K32-J32),[6]skilldef!$C:$D,2,FALSE),"-") &amp; " / " &amp; IFERROR(VLOOKUP(MID(G32,H32,I32-H32),[6]skilldef!$A:$B,2,FALSE),"-")</f>
        <v>- / -</v>
      </c>
      <c r="M32" s="61" t="str">
        <f t="shared" si="5"/>
        <v>[effect:force_change_block, new_block:block_heart, target:block_all, count:-1, val:0, animation:change_block]</v>
      </c>
      <c r="N32" s="46" t="str">
        <f t="shared" si="19"/>
        <v>[effect:force_change_block, new_block:block_heart, target:block_all, count:-1, val:0, animation:change_block]</v>
      </c>
      <c r="O32" s="61">
        <f t="shared" si="6"/>
        <v>9</v>
      </c>
      <c r="P32" s="61">
        <f t="shared" si="7"/>
        <v>27</v>
      </c>
      <c r="Q32" s="61">
        <f t="shared" si="8"/>
        <v>59</v>
      </c>
      <c r="R32" s="61">
        <f t="shared" si="9"/>
        <v>50</v>
      </c>
      <c r="S32" s="61" t="str">
        <f>IFERROR(VLOOKUP(MID(N32,Q32,R32-Q32),[6]skilldef!$C:$D,2,FALSE),"-") &amp; " / " &amp; IFERROR(VLOOKUP(MID(N32,O32,P32-O32),[6]skilldef!$A:$B,2,FALSE),"-")</f>
        <v>- / -</v>
      </c>
      <c r="T32" s="46" t="str">
        <f t="shared" si="10"/>
        <v>none</v>
      </c>
      <c r="U32" s="61" t="e">
        <f t="shared" si="11"/>
        <v>#VALUE!</v>
      </c>
      <c r="V32" s="61">
        <f t="shared" si="12"/>
        <v>4</v>
      </c>
      <c r="W32" s="61" t="e">
        <f t="shared" si="13"/>
        <v>#VALUE!</v>
      </c>
      <c r="X32" s="61" t="e">
        <f t="shared" si="14"/>
        <v>#VALUE!</v>
      </c>
      <c r="Y32" s="61" t="str">
        <f>IFERROR(VLOOKUP(MID(T32,W32,X32-W32),[6]skilldef!$C:$D,2,FALSE),"-") &amp; " / " &amp; IFERROR(VLOOKUP(MID(T32,U32,V32-U32),[6]skilldef!$A:$B,2,FALSE),"-")</f>
        <v>- / -</v>
      </c>
      <c r="Z32" s="48"/>
      <c r="AA32" s="50"/>
      <c r="AB32" s="48"/>
      <c r="AC32" s="145">
        <f t="shared" si="15"/>
        <v>13</v>
      </c>
      <c r="AD32" s="145">
        <f t="shared" si="16"/>
        <v>16</v>
      </c>
    </row>
    <row r="33" spans="1:30" ht="21" customHeight="1" x14ac:dyDescent="0.15">
      <c r="A33" s="45">
        <v>60026056</v>
      </c>
      <c r="B33" s="45" t="s">
        <v>494</v>
      </c>
      <c r="C33" s="48">
        <v>3</v>
      </c>
      <c r="D33" s="48" t="s">
        <v>333</v>
      </c>
      <c r="E33" s="49" t="s">
        <v>391</v>
      </c>
      <c r="F33" s="49" t="s">
        <v>450</v>
      </c>
      <c r="G33" s="61" t="str">
        <f t="shared" si="0"/>
        <v>[effect:enemy_message, val1:1.2, val2:1.5]</v>
      </c>
      <c r="H33" s="61">
        <f t="shared" si="1"/>
        <v>9</v>
      </c>
      <c r="I33" s="61">
        <f t="shared" si="2"/>
        <v>22</v>
      </c>
      <c r="J33" s="61" t="e">
        <f t="shared" si="3"/>
        <v>#VALUE!</v>
      </c>
      <c r="K33" s="61">
        <f t="shared" si="4"/>
        <v>32</v>
      </c>
      <c r="L33" s="61" t="str">
        <f>IFERROR(VLOOKUP(MID(G33,J33,K33-J33),[6]skilldef!$C:$D,2,FALSE),"-") &amp; " / " &amp; IFERROR(VLOOKUP(MID(G33,H33,I33-H33),[6]skilldef!$A:$B,2,FALSE),"-")</f>
        <v>- / -</v>
      </c>
      <c r="M33" s="61" t="str">
        <f t="shared" si="5"/>
        <v>[effect:break_attack, target:unit_all, val:0.04, lowest_val:0, count:-1, color:yellow, block01:block_heart]</v>
      </c>
      <c r="N33" s="46" t="str">
        <f t="shared" si="19"/>
        <v>[effect:break_attack, target:unit_all, val:0.04, lowest_val:0, count:-1, color:yellow, block01:block_heart]</v>
      </c>
      <c r="O33" s="61">
        <f t="shared" si="6"/>
        <v>9</v>
      </c>
      <c r="P33" s="61">
        <f t="shared" si="7"/>
        <v>21</v>
      </c>
      <c r="Q33" s="61">
        <f t="shared" si="8"/>
        <v>30</v>
      </c>
      <c r="R33" s="61">
        <f t="shared" si="9"/>
        <v>38</v>
      </c>
      <c r="S33" s="61" t="str">
        <f>IFERROR(VLOOKUP(MID(N33,Q33,R33-Q33),[6]skilldef!$C:$D,2,FALSE),"-") &amp; " / " &amp; IFERROR(VLOOKUP(MID(N33,O33,P33-O33),[6]skilldef!$A:$B,2,FALSE),"-")</f>
        <v>味方全体に / -</v>
      </c>
      <c r="T33" s="46" t="str">
        <f t="shared" si="10"/>
        <v>none</v>
      </c>
      <c r="U33" s="61" t="e">
        <f t="shared" si="11"/>
        <v>#VALUE!</v>
      </c>
      <c r="V33" s="61">
        <f t="shared" si="12"/>
        <v>4</v>
      </c>
      <c r="W33" s="61" t="e">
        <f t="shared" si="13"/>
        <v>#VALUE!</v>
      </c>
      <c r="X33" s="61" t="e">
        <f t="shared" si="14"/>
        <v>#VALUE!</v>
      </c>
      <c r="Y33" s="61" t="str">
        <f>IFERROR(VLOOKUP(MID(T33,W33,X33-W33),[6]skilldef!$C:$D,2,FALSE),"-") &amp; " / " &amp; IFERROR(VLOOKUP(MID(T33,U33,V33-U33),[6]skilldef!$A:$B,2,FALSE),"-")</f>
        <v>- / -</v>
      </c>
      <c r="Z33" s="48"/>
      <c r="AA33" s="50"/>
      <c r="AB33" s="48"/>
      <c r="AC33" s="47">
        <f t="shared" si="15"/>
        <v>12</v>
      </c>
      <c r="AD33" s="145">
        <f t="shared" si="16"/>
        <v>15</v>
      </c>
    </row>
    <row r="34" spans="1:30" ht="21" customHeight="1" x14ac:dyDescent="0.15">
      <c r="A34" s="45">
        <v>60026060</v>
      </c>
      <c r="B34" s="45" t="s">
        <v>501</v>
      </c>
      <c r="C34" s="48">
        <v>3</v>
      </c>
      <c r="D34" s="48" t="s">
        <v>333</v>
      </c>
      <c r="E34" s="49" t="s">
        <v>392</v>
      </c>
      <c r="F34" s="159" t="s">
        <v>498</v>
      </c>
      <c r="G34" s="61" t="str">
        <f t="shared" si="0"/>
        <v>[effect:enemy_message, val1:1.2, val2:3.2]</v>
      </c>
      <c r="H34" s="61">
        <f t="shared" si="1"/>
        <v>9</v>
      </c>
      <c r="I34" s="61">
        <f t="shared" si="2"/>
        <v>22</v>
      </c>
      <c r="J34" s="61" t="e">
        <f t="shared" si="3"/>
        <v>#VALUE!</v>
      </c>
      <c r="K34" s="61">
        <f t="shared" si="4"/>
        <v>32</v>
      </c>
      <c r="L34" s="61" t="str">
        <f>IFERROR(VLOOKUP(MID(G34,J34,K34-J34),[6]skilldef!$C:$D,2,FALSE),"-") &amp; " / " &amp; IFERROR(VLOOKUP(MID(G34,H34,I34-H34),[6]skilldef!$A:$B,2,FALSE),"-")</f>
        <v>- / -</v>
      </c>
      <c r="M34" s="61" t="str">
        <f t="shared" si="5"/>
        <v>[effect:fix_speed, target:myself, turn:1],[effect:remove_enhancement, target:unit_all, target_effect:drop_block, target_type:all],[effect:tolerance, target:myself, turn:-1, count:-1, tolerance_effect:all, animation:enemy_tolerance],[effect:drop_block, block_type:normal, block_color:block_heart, color:block_green, val:0, rate:1, turn:-1, animation:block_incidence04]</v>
      </c>
      <c r="N34" s="46" t="str">
        <f t="shared" ref="N34:N41" si="20">IFERROR(LEFT(M34,FIND("],",M34)+S42),M34)</f>
        <v>[effect:fix_speed, target:myself, turn:1]</v>
      </c>
      <c r="O34" s="61">
        <f t="shared" si="6"/>
        <v>9</v>
      </c>
      <c r="P34" s="61">
        <f t="shared" si="7"/>
        <v>18</v>
      </c>
      <c r="Q34" s="61">
        <f t="shared" si="8"/>
        <v>27</v>
      </c>
      <c r="R34" s="61">
        <f t="shared" si="9"/>
        <v>33</v>
      </c>
      <c r="S34" s="61" t="str">
        <f>IFERROR(VLOOKUP(MID(N34,Q34,R34-Q34),[6]skilldef!$C:$D,2,FALSE),"-") &amp; " / " &amp; IFERROR(VLOOKUP(MID(N34,O34,P34-O34),[6]skilldef!$A:$B,2,FALSE),"-")</f>
        <v>自分自身に / 行動値設定</v>
      </c>
      <c r="T34" s="46" t="str">
        <f t="shared" si="10"/>
        <v>[effect:remove_enhancement, target:unit_all, target_effect:drop_block, target_type:all],[effect:tolerance, target:myself, turn:-1, count:-1, tolerance_effect:all, animation:enemy_tolerance],[effect:drop_block, block_type:normal, block_color:block_heart, color:block_green, val:0, rate:1, turn:-1, animation:block_incidence04]</v>
      </c>
      <c r="U34" s="61">
        <f t="shared" si="11"/>
        <v>9</v>
      </c>
      <c r="V34" s="61">
        <f t="shared" si="12"/>
        <v>27</v>
      </c>
      <c r="W34" s="61">
        <f t="shared" si="13"/>
        <v>36</v>
      </c>
      <c r="X34" s="61">
        <f t="shared" si="14"/>
        <v>44</v>
      </c>
      <c r="Y34" s="61" t="str">
        <f>IFERROR(VLOOKUP(MID(T34,W34,X34-W34),[6]skilldef!$C:$D,2,FALSE),"-") &amp; " / " &amp; IFERROR(VLOOKUP(MID(T34,U34,V34-U34),[6]skilldef!$A:$B,2,FALSE),"-")</f>
        <v>味方全体に / -</v>
      </c>
      <c r="Z34" s="48"/>
      <c r="AA34" s="50"/>
      <c r="AB34" s="48"/>
      <c r="AC34" s="145">
        <f t="shared" si="15"/>
        <v>11</v>
      </c>
      <c r="AD34" s="145">
        <f t="shared" si="16"/>
        <v>45</v>
      </c>
    </row>
    <row r="35" spans="1:30" ht="21" customHeight="1" x14ac:dyDescent="0.15">
      <c r="A35" s="45">
        <v>60026061</v>
      </c>
      <c r="B35" s="143" t="s">
        <v>473</v>
      </c>
      <c r="C35" s="48">
        <v>3</v>
      </c>
      <c r="D35" s="48" t="s">
        <v>333</v>
      </c>
      <c r="E35" s="49" t="s">
        <v>385</v>
      </c>
      <c r="F35" s="144" t="s">
        <v>470</v>
      </c>
      <c r="G35" s="61" t="str">
        <f t="shared" si="0"/>
        <v>[effect:enemy_message, val1:1.2, val2:1.7]</v>
      </c>
      <c r="H35" s="61">
        <f t="shared" si="1"/>
        <v>9</v>
      </c>
      <c r="I35" s="61">
        <f t="shared" si="2"/>
        <v>22</v>
      </c>
      <c r="J35" s="61" t="e">
        <f t="shared" si="3"/>
        <v>#VALUE!</v>
      </c>
      <c r="K35" s="61">
        <f t="shared" si="4"/>
        <v>32</v>
      </c>
      <c r="L35" s="61" t="str">
        <f>IFERROR(VLOOKUP(MID(G35,J35,K35-J35),[6]skilldef!$C:$D,2,FALSE),"-") &amp; " / " &amp; IFERROR(VLOOKUP(MID(G35,H35,I35-H35),[6]skilldef!$A:$B,2,FALSE),"-")</f>
        <v>- / -</v>
      </c>
      <c r="M35" s="61" t="str">
        <f t="shared" si="5"/>
        <v>[effect:damage_anti_color, target:unit_one, color:yellow, val1:1.2, val2:1]</v>
      </c>
      <c r="N35" s="46" t="str">
        <f t="shared" si="20"/>
        <v>[effect:damage_anti_color, target:unit_one, color:yellow, val1:1.2, val2:1]</v>
      </c>
      <c r="O35" s="61">
        <f t="shared" si="6"/>
        <v>9</v>
      </c>
      <c r="P35" s="61">
        <f t="shared" si="7"/>
        <v>26</v>
      </c>
      <c r="Q35" s="61">
        <f t="shared" si="8"/>
        <v>35</v>
      </c>
      <c r="R35" s="61">
        <f t="shared" si="9"/>
        <v>43</v>
      </c>
      <c r="S35" s="61" t="str">
        <f>IFERROR(VLOOKUP(MID(N35,Q35,R35-Q35),[6]skilldef!$C:$D,2,FALSE),"-") &amp; " / " &amp; IFERROR(VLOOKUP(MID(N35,O35,P35-O35),[6]skilldef!$A:$B,2,FALSE),"-")</f>
        <v>味方単体に / 属性キラー</v>
      </c>
      <c r="T35" s="46" t="str">
        <f t="shared" si="10"/>
        <v>none</v>
      </c>
      <c r="U35" s="61" t="e">
        <f t="shared" si="11"/>
        <v>#VALUE!</v>
      </c>
      <c r="V35" s="61">
        <f t="shared" si="12"/>
        <v>4</v>
      </c>
      <c r="W35" s="61" t="e">
        <f t="shared" si="13"/>
        <v>#VALUE!</v>
      </c>
      <c r="X35" s="61" t="e">
        <f t="shared" si="14"/>
        <v>#VALUE!</v>
      </c>
      <c r="Y35" s="61" t="str">
        <f>IFERROR(VLOOKUP(MID(T35,W35,X35-W35),[6]skilldef!$C:$D,2,FALSE),"-") &amp; " / " &amp; IFERROR(VLOOKUP(MID(T35,U35,V35-U35),[6]skilldef!$A:$B,2,FALSE),"-")</f>
        <v>- / -</v>
      </c>
      <c r="Z35" s="48"/>
      <c r="AA35" s="50"/>
      <c r="AB35" s="48"/>
      <c r="AC35" s="47">
        <f t="shared" si="15"/>
        <v>10</v>
      </c>
      <c r="AD35" s="47">
        <f t="shared" si="16"/>
        <v>17</v>
      </c>
    </row>
    <row r="36" spans="1:30" ht="21" customHeight="1" x14ac:dyDescent="0.15">
      <c r="A36" s="45">
        <v>60026062</v>
      </c>
      <c r="B36" s="45" t="s">
        <v>472</v>
      </c>
      <c r="C36" s="48">
        <v>3</v>
      </c>
      <c r="D36" s="48" t="s">
        <v>333</v>
      </c>
      <c r="E36" s="49" t="s">
        <v>387</v>
      </c>
      <c r="F36" s="49" t="s">
        <v>471</v>
      </c>
      <c r="G36" s="61" t="str">
        <f t="shared" si="0"/>
        <v>[effect:enemy_message, val1:1.2, val2:2.4]</v>
      </c>
      <c r="H36" s="61">
        <f t="shared" si="1"/>
        <v>9</v>
      </c>
      <c r="I36" s="61">
        <f t="shared" si="2"/>
        <v>22</v>
      </c>
      <c r="J36" s="61" t="e">
        <f t="shared" si="3"/>
        <v>#VALUE!</v>
      </c>
      <c r="K36" s="61">
        <f t="shared" si="4"/>
        <v>32</v>
      </c>
      <c r="L36" s="61" t="str">
        <f>IFERROR(VLOOKUP(MID(G36,J36,K36-J36),[6]skilldef!$C:$D,2,FALSE),"-") &amp; " / " &amp; IFERROR(VLOOKUP(MID(G36,H36,I36-H36),[6]skilldef!$A:$B,2,FALSE),"-")</f>
        <v>- / -</v>
      </c>
      <c r="M36" s="61" t="str">
        <f t="shared" si="5"/>
        <v>[effect:enemy_message, val2:1.9],[effect:damage_anti_tribe, target:unit_one, tribe:samurai, val1:0.5, val2:0.3],[effect:damage_anti_tribe, target:unit_one, tribe:samurai, val1:0.5, val2:0.3],[effect:damage_anti_tribe, target:unit_one, tribe:samurai, val1:0.5, val2:0.3],[effect:damage_anti_tribe, target:unit_one, tribe:samurai, val1:0.5, val2:0.3]</v>
      </c>
      <c r="N36" s="46" t="str">
        <f t="shared" si="20"/>
        <v>[effect:enemy_message, val2:1.9]</v>
      </c>
      <c r="O36" s="61">
        <f t="shared" si="6"/>
        <v>9</v>
      </c>
      <c r="P36" s="61">
        <f t="shared" si="7"/>
        <v>22</v>
      </c>
      <c r="Q36" s="61" t="e">
        <f t="shared" si="8"/>
        <v>#VALUE!</v>
      </c>
      <c r="R36" s="61" t="e">
        <f t="shared" si="9"/>
        <v>#VALUE!</v>
      </c>
      <c r="S36" s="61" t="str">
        <f>IFERROR(VLOOKUP(MID(N36,Q36,R36-Q36),[6]skilldef!$C:$D,2,FALSE),"-") &amp; " / " &amp; IFERROR(VLOOKUP(MID(N36,O36,P36-O36),[6]skilldef!$A:$B,2,FALSE),"-")</f>
        <v>- / -</v>
      </c>
      <c r="T36" s="46" t="str">
        <f t="shared" si="10"/>
        <v>[effect:damage_anti_tribe, target:unit_one, tribe:samurai, val1:0.5, val2:0.3],[effect:damage_anti_tribe, target:unit_one, tribe:samurai, val1:0.5, val2:0.3],[effect:damage_anti_tribe, target:unit_one, tribe:samurai, val1:0.5, val2:0.3],[effect:damage_anti_tribe, target:unit_one, tribe:samurai, val1:0.5, val2:0.3]</v>
      </c>
      <c r="U36" s="61">
        <f t="shared" si="11"/>
        <v>9</v>
      </c>
      <c r="V36" s="61">
        <f t="shared" si="12"/>
        <v>26</v>
      </c>
      <c r="W36" s="61">
        <f t="shared" si="13"/>
        <v>35</v>
      </c>
      <c r="X36" s="61">
        <f t="shared" si="14"/>
        <v>43</v>
      </c>
      <c r="Y36" s="61" t="str">
        <f>IFERROR(VLOOKUP(MID(T36,W36,X36-W36),[6]skilldef!$C:$D,2,FALSE),"-") &amp; " / " &amp; IFERROR(VLOOKUP(MID(T36,U36,V36-U36),[6]skilldef!$A:$B,2,FALSE),"-")</f>
        <v>味方単体に / 種族キラー</v>
      </c>
      <c r="Z36" s="48"/>
      <c r="AA36" s="50"/>
      <c r="AB36" s="48"/>
      <c r="AC36" s="47">
        <f t="shared" si="15"/>
        <v>9</v>
      </c>
      <c r="AD36" s="145">
        <f t="shared" si="16"/>
        <v>24</v>
      </c>
    </row>
    <row r="37" spans="1:30" ht="21" customHeight="1" x14ac:dyDescent="0.15">
      <c r="A37" s="45">
        <v>60026063</v>
      </c>
      <c r="B37" s="45" t="s">
        <v>489</v>
      </c>
      <c r="C37" s="48">
        <v>3</v>
      </c>
      <c r="D37" s="48" t="s">
        <v>333</v>
      </c>
      <c r="E37" s="49" t="s">
        <v>478</v>
      </c>
      <c r="F37" s="157" t="s">
        <v>488</v>
      </c>
      <c r="G37" s="61" t="str">
        <f t="shared" si="0"/>
        <v>[effect:enemy_message, val1:1.2, val2:1.7]</v>
      </c>
      <c r="H37" s="61">
        <f t="shared" si="1"/>
        <v>9</v>
      </c>
      <c r="I37" s="61">
        <f t="shared" si="2"/>
        <v>22</v>
      </c>
      <c r="J37" s="61" t="e">
        <f t="shared" si="3"/>
        <v>#VALUE!</v>
      </c>
      <c r="K37" s="61">
        <f t="shared" si="4"/>
        <v>32</v>
      </c>
      <c r="L37" s="61" t="str">
        <f>IFERROR(VLOOKUP(MID(G37,J37,K37-J37),[6]skilldef!$C:$D,2,FALSE),"-") &amp; " / " &amp; IFERROR(VLOOKUP(MID(G37,H37,I37-H37),[6]skilldef!$A:$B,2,FALSE),"-")</f>
        <v>- / -</v>
      </c>
      <c r="M37" s="61" t="str">
        <f t="shared" si="5"/>
        <v>[effect:force_change_block, new_block:block_heart, target:block_all, ignore01:crash, ignore02:crack_bomb, ignore03:damage, ignore04:time_bomb, ignore05:color_break, ignore06:jammer, count:15, val:0, animation:change_block]</v>
      </c>
      <c r="N37" s="46" t="str">
        <f t="shared" si="20"/>
        <v>[effect:force_change_block, new_block:block_heart, target:block_all, ignore01:crash, ignore02:crack_bomb, ignore03:damage, ignore04:time_bomb, ignore05:color_break, ignore06:jammer, count:15, val:0, animation:change_block]</v>
      </c>
      <c r="O37" s="61">
        <f t="shared" si="6"/>
        <v>9</v>
      </c>
      <c r="P37" s="61">
        <f t="shared" si="7"/>
        <v>27</v>
      </c>
      <c r="Q37" s="61">
        <f t="shared" si="8"/>
        <v>59</v>
      </c>
      <c r="R37" s="61">
        <f t="shared" si="9"/>
        <v>50</v>
      </c>
      <c r="S37" s="61" t="str">
        <f>IFERROR(VLOOKUP(MID(N37,Q37,R37-Q37),[6]skilldef!$C:$D,2,FALSE),"-") &amp; " / " &amp; IFERROR(VLOOKUP(MID(N37,O37,P37-O37),[6]skilldef!$A:$B,2,FALSE),"-")</f>
        <v>- / -</v>
      </c>
      <c r="T37" s="46" t="str">
        <f t="shared" si="10"/>
        <v>none</v>
      </c>
      <c r="U37" s="61" t="e">
        <f t="shared" si="11"/>
        <v>#VALUE!</v>
      </c>
      <c r="V37" s="61">
        <f t="shared" si="12"/>
        <v>4</v>
      </c>
      <c r="W37" s="61" t="e">
        <f t="shared" si="13"/>
        <v>#VALUE!</v>
      </c>
      <c r="X37" s="61" t="e">
        <f t="shared" si="14"/>
        <v>#VALUE!</v>
      </c>
      <c r="Y37" s="61" t="str">
        <f>IFERROR(VLOOKUP(MID(T37,W37,X37-W37),[6]skilldef!$C:$D,2,FALSE),"-") &amp; " / " &amp; IFERROR(VLOOKUP(MID(T37,U37,V37-U37),[6]skilldef!$A:$B,2,FALSE),"-")</f>
        <v>- / -</v>
      </c>
      <c r="Z37" s="48"/>
      <c r="AA37" s="50"/>
      <c r="AB37" s="48"/>
      <c r="AC37" s="47">
        <f t="shared" si="15"/>
        <v>6</v>
      </c>
      <c r="AD37" s="145">
        <f t="shared" si="16"/>
        <v>21</v>
      </c>
    </row>
    <row r="38" spans="1:30" ht="21" customHeight="1" x14ac:dyDescent="0.15">
      <c r="A38" s="45">
        <v>60026064</v>
      </c>
      <c r="B38" s="45" t="s">
        <v>495</v>
      </c>
      <c r="C38" s="48">
        <v>3</v>
      </c>
      <c r="D38" s="48" t="s">
        <v>333</v>
      </c>
      <c r="E38" s="49" t="s">
        <v>391</v>
      </c>
      <c r="F38" s="49" t="s">
        <v>450</v>
      </c>
      <c r="G38" s="61" t="str">
        <f t="shared" si="0"/>
        <v>[effect:enemy_message, val1:1.7 val2:1.5]</v>
      </c>
      <c r="H38" s="61">
        <f t="shared" si="1"/>
        <v>9</v>
      </c>
      <c r="I38" s="61">
        <f t="shared" si="2"/>
        <v>22</v>
      </c>
      <c r="J38" s="61" t="e">
        <f t="shared" si="3"/>
        <v>#VALUE!</v>
      </c>
      <c r="K38" s="61" t="e">
        <f t="shared" si="4"/>
        <v>#VALUE!</v>
      </c>
      <c r="L38" s="61" t="str">
        <f>IFERROR(VLOOKUP(MID(G38,J38,K38-J38),[6]skilldef!$C:$D,2,FALSE),"-") &amp; " / " &amp; IFERROR(VLOOKUP(MID(G38,H38,I38-H38),[6]skilldef!$A:$B,2,FALSE),"-")</f>
        <v>- / -</v>
      </c>
      <c r="M38" s="61" t="str">
        <f t="shared" si="5"/>
        <v>[effect:break_attack, target:unit_all, val:0.04, lowest_val:0, count:-1, color:yellow, block01:block_heart]</v>
      </c>
      <c r="N38" s="46" t="str">
        <f t="shared" si="20"/>
        <v>[effect:break_attack, target:unit_all, val:0.04, lowest_val:0, count:-1, color:yellow, block01:block_heart]</v>
      </c>
      <c r="O38" s="61">
        <f t="shared" si="6"/>
        <v>9</v>
      </c>
      <c r="P38" s="61">
        <f t="shared" si="7"/>
        <v>21</v>
      </c>
      <c r="Q38" s="61">
        <f t="shared" si="8"/>
        <v>30</v>
      </c>
      <c r="R38" s="61">
        <f t="shared" si="9"/>
        <v>38</v>
      </c>
      <c r="S38" s="61" t="str">
        <f>IFERROR(VLOOKUP(MID(N38,Q38,R38-Q38),[6]skilldef!$C:$D,2,FALSE),"-") &amp; " / " &amp; IFERROR(VLOOKUP(MID(N38,O38,P38-O38),[6]skilldef!$A:$B,2,FALSE),"-")</f>
        <v>味方全体に / -</v>
      </c>
      <c r="T38" s="46" t="str">
        <f t="shared" si="10"/>
        <v>none</v>
      </c>
      <c r="U38" s="61" t="e">
        <f t="shared" si="11"/>
        <v>#VALUE!</v>
      </c>
      <c r="V38" s="61">
        <f t="shared" si="12"/>
        <v>4</v>
      </c>
      <c r="W38" s="61" t="e">
        <f t="shared" si="13"/>
        <v>#VALUE!</v>
      </c>
      <c r="X38" s="61" t="e">
        <f t="shared" si="14"/>
        <v>#VALUE!</v>
      </c>
      <c r="Y38" s="61" t="str">
        <f>IFERROR(VLOOKUP(MID(T38,W38,X38-W38),[6]skilldef!$C:$D,2,FALSE),"-") &amp; " / " &amp; IFERROR(VLOOKUP(MID(T38,U38,V38-U38),[6]skilldef!$A:$B,2,FALSE),"-")</f>
        <v>- / -</v>
      </c>
      <c r="Z38" s="48"/>
      <c r="AA38" s="50"/>
      <c r="AB38" s="48"/>
      <c r="AC38" s="47">
        <f t="shared" si="15"/>
        <v>12</v>
      </c>
      <c r="AD38" s="145">
        <f t="shared" si="16"/>
        <v>15</v>
      </c>
    </row>
    <row r="39" spans="1:30" ht="21" customHeight="1" x14ac:dyDescent="0.15">
      <c r="A39" s="45">
        <v>60026065</v>
      </c>
      <c r="B39" s="45" t="s">
        <v>481</v>
      </c>
      <c r="C39" s="48">
        <v>3</v>
      </c>
      <c r="D39" s="48" t="s">
        <v>333</v>
      </c>
      <c r="E39" s="49" t="s">
        <v>479</v>
      </c>
      <c r="F39" s="49" t="s">
        <v>482</v>
      </c>
      <c r="G39" s="61" t="str">
        <f t="shared" ref="G39:G41" si="21">IFERROR(LEFT(B39,FIND("],",B39)),B39)</f>
        <v>[effect:enemy_message, val1:1.3, val2:1.5]</v>
      </c>
      <c r="H39" s="61">
        <f t="shared" ref="H39:H41" si="22">FIND("effect:",G39)+7</f>
        <v>9</v>
      </c>
      <c r="I39" s="61">
        <f t="shared" ref="I39:I41" si="23">IFERROR(FIND(",",G39),LEN(G39))</f>
        <v>22</v>
      </c>
      <c r="J39" s="61" t="e">
        <f t="shared" ref="J39:J41" si="24">FIND("target:",G39)+7</f>
        <v>#VALUE!</v>
      </c>
      <c r="K39" s="61">
        <f t="shared" ref="K39:K41" si="25">FIND(",",G39,I39+1)</f>
        <v>32</v>
      </c>
      <c r="L39" s="61" t="str">
        <f>IFERROR(VLOOKUP(MID(G39,J39,K39-J39),[6]skilldef!$C:$D,2,FALSE),"-") &amp; " / " &amp; IFERROR(VLOOKUP(MID(G39,H39,I39-H39),[6]skilldef!$A:$B,2,FALSE),"-")</f>
        <v>- / -</v>
      </c>
      <c r="M39" s="61" t="str">
        <f t="shared" ref="M39:M41" si="26">IFERROR(RIGHT(B39,LEN(B39)-FIND("],",B39)-1),"none")</f>
        <v>[effect:force_change_block, new_block:block_heart, target:block_all, count:-1, val:0, animation:change_block]</v>
      </c>
      <c r="N39" s="46" t="str">
        <f t="shared" si="20"/>
        <v>[effect:force_change_block, new_block:block_heart, target:block_all, count:-1, val:0, animation:change_block]</v>
      </c>
      <c r="O39" s="61">
        <f t="shared" ref="O39:O41" si="27">FIND("effect:",N39)+7</f>
        <v>9</v>
      </c>
      <c r="P39" s="61">
        <f t="shared" ref="P39:P41" si="28">IFERROR(FIND(",",N39),LEN(N39))</f>
        <v>27</v>
      </c>
      <c r="Q39" s="61">
        <f t="shared" ref="Q39:Q41" si="29">FIND("target:",N39)+7</f>
        <v>59</v>
      </c>
      <c r="R39" s="61">
        <f t="shared" ref="R39:R41" si="30">FIND(",",N39,P39+1)</f>
        <v>50</v>
      </c>
      <c r="S39" s="61" t="str">
        <f>IFERROR(VLOOKUP(MID(N39,Q39,R39-Q39),[6]skilldef!$C:$D,2,FALSE),"-") &amp; " / " &amp; IFERROR(VLOOKUP(MID(N39,O39,P39-O39),[6]skilldef!$A:$B,2,FALSE),"-")</f>
        <v>- / -</v>
      </c>
      <c r="T39" s="46" t="str">
        <f t="shared" ref="T39:T41" si="31">IFERROR(RIGHT(M39,LEN(M39)-FIND("],",M39)-1),"none")</f>
        <v>none</v>
      </c>
      <c r="U39" s="61" t="e">
        <f t="shared" ref="U39:U41" si="32">FIND("effect:",T39)+7</f>
        <v>#VALUE!</v>
      </c>
      <c r="V39" s="61">
        <f t="shared" ref="V39:V41" si="33">IFERROR(FIND(",",T39),LEN(T39))</f>
        <v>4</v>
      </c>
      <c r="W39" s="61" t="e">
        <f t="shared" ref="W39:W41" si="34">FIND("target:",T39)+7</f>
        <v>#VALUE!</v>
      </c>
      <c r="X39" s="61" t="e">
        <f t="shared" ref="X39:X41" si="35">FIND(",",T39,V39+1)</f>
        <v>#VALUE!</v>
      </c>
      <c r="Y39" s="61" t="str">
        <f>IFERROR(VLOOKUP(MID(T39,W39,X39-W39),[6]skilldef!$C:$D,2,FALSE),"-") &amp; " / " &amp; IFERROR(VLOOKUP(MID(T39,U39,V39-U39),[6]skilldef!$A:$B,2,FALSE),"-")</f>
        <v>- / -</v>
      </c>
      <c r="Z39" s="48"/>
      <c r="AA39" s="50"/>
      <c r="AB39" s="48"/>
      <c r="AC39" s="145">
        <f t="shared" ref="AC39:AC41" si="36">LEN(E39)</f>
        <v>13</v>
      </c>
      <c r="AD39" s="145">
        <f t="shared" ref="AD39:AD41" si="37">LEN(F39)</f>
        <v>16</v>
      </c>
    </row>
    <row r="40" spans="1:30" ht="21" customHeight="1" x14ac:dyDescent="0.15">
      <c r="A40" s="45">
        <v>60026066</v>
      </c>
      <c r="B40" s="45" t="s">
        <v>496</v>
      </c>
      <c r="C40" s="48">
        <v>3</v>
      </c>
      <c r="D40" s="48" t="s">
        <v>333</v>
      </c>
      <c r="E40" s="49" t="s">
        <v>391</v>
      </c>
      <c r="F40" s="49" t="s">
        <v>450</v>
      </c>
      <c r="G40" s="61" t="str">
        <f t="shared" si="21"/>
        <v>[effect:enemy_message, val1:1.7 val2:1.5]</v>
      </c>
      <c r="H40" s="61">
        <f t="shared" si="22"/>
        <v>9</v>
      </c>
      <c r="I40" s="61">
        <f t="shared" si="23"/>
        <v>22</v>
      </c>
      <c r="J40" s="61" t="e">
        <f t="shared" si="24"/>
        <v>#VALUE!</v>
      </c>
      <c r="K40" s="61" t="e">
        <f t="shared" si="25"/>
        <v>#VALUE!</v>
      </c>
      <c r="L40" s="61" t="str">
        <f>IFERROR(VLOOKUP(MID(G40,J40,K40-J40),[6]skilldef!$C:$D,2,FALSE),"-") &amp; " / " &amp; IFERROR(VLOOKUP(MID(G40,H40,I40-H40),[6]skilldef!$A:$B,2,FALSE),"-")</f>
        <v>- / -</v>
      </c>
      <c r="M40" s="61" t="str">
        <f t="shared" si="26"/>
        <v>[effect:break_attack, target:unit_all, val:0.04, lowest_val:0, count:-1, color:yellow, block01:block_heart]</v>
      </c>
      <c r="N40" s="46" t="str">
        <f t="shared" si="20"/>
        <v>[effect:break_attack, target:unit_all, val:0.04, lowest_val:0, count:-1, color:yellow, block01:block_heart]</v>
      </c>
      <c r="O40" s="61">
        <f t="shared" si="27"/>
        <v>9</v>
      </c>
      <c r="P40" s="61">
        <f t="shared" si="28"/>
        <v>21</v>
      </c>
      <c r="Q40" s="61">
        <f t="shared" si="29"/>
        <v>30</v>
      </c>
      <c r="R40" s="61">
        <f t="shared" si="30"/>
        <v>38</v>
      </c>
      <c r="S40" s="61" t="str">
        <f>IFERROR(VLOOKUP(MID(N40,Q40,R40-Q40),[6]skilldef!$C:$D,2,FALSE),"-") &amp; " / " &amp; IFERROR(VLOOKUP(MID(N40,O40,P40-O40),[6]skilldef!$A:$B,2,FALSE),"-")</f>
        <v>味方全体に / -</v>
      </c>
      <c r="T40" s="46" t="str">
        <f t="shared" si="31"/>
        <v>none</v>
      </c>
      <c r="U40" s="61" t="e">
        <f t="shared" si="32"/>
        <v>#VALUE!</v>
      </c>
      <c r="V40" s="61">
        <f t="shared" si="33"/>
        <v>4</v>
      </c>
      <c r="W40" s="61" t="e">
        <f t="shared" si="34"/>
        <v>#VALUE!</v>
      </c>
      <c r="X40" s="61" t="e">
        <f t="shared" si="35"/>
        <v>#VALUE!</v>
      </c>
      <c r="Y40" s="61" t="str">
        <f>IFERROR(VLOOKUP(MID(T40,W40,X40-W40),[6]skilldef!$C:$D,2,FALSE),"-") &amp; " / " &amp; IFERROR(VLOOKUP(MID(T40,U40,V40-U40),[6]skilldef!$A:$B,2,FALSE),"-")</f>
        <v>- / -</v>
      </c>
      <c r="Z40" s="48"/>
      <c r="AA40" s="50"/>
      <c r="AB40" s="48"/>
      <c r="AC40" s="47">
        <f t="shared" si="36"/>
        <v>12</v>
      </c>
      <c r="AD40" s="145">
        <f t="shared" si="37"/>
        <v>15</v>
      </c>
    </row>
    <row r="41" spans="1:30" ht="21" customHeight="1" x14ac:dyDescent="0.15">
      <c r="A41" s="45">
        <v>60026067</v>
      </c>
      <c r="B41" s="45" t="s">
        <v>437</v>
      </c>
      <c r="C41" s="48">
        <v>3</v>
      </c>
      <c r="D41" s="48" t="s">
        <v>333</v>
      </c>
      <c r="E41" s="49" t="s">
        <v>394</v>
      </c>
      <c r="F41" s="49" t="s">
        <v>395</v>
      </c>
      <c r="G41" s="61" t="str">
        <f t="shared" si="21"/>
        <v>[effect:enemy_message, dead_type:suicide, val1:1.7, val2:2]</v>
      </c>
      <c r="H41" s="61">
        <f t="shared" si="22"/>
        <v>9</v>
      </c>
      <c r="I41" s="61">
        <f t="shared" si="23"/>
        <v>22</v>
      </c>
      <c r="J41" s="61" t="e">
        <f t="shared" si="24"/>
        <v>#VALUE!</v>
      </c>
      <c r="K41" s="61">
        <f t="shared" si="25"/>
        <v>41</v>
      </c>
      <c r="L41" s="61" t="str">
        <f>IFERROR(VLOOKUP(MID(G41,J41,K41-J41),[6]skilldef!$C:$D,2,FALSE),"-") &amp; " / " &amp; IFERROR(VLOOKUP(MID(G41,H41,I41-H41),[6]skilldef!$A:$B,2,FALSE),"-")</f>
        <v>- / -</v>
      </c>
      <c r="M41" s="61" t="str">
        <f t="shared" si="26"/>
        <v>none</v>
      </c>
      <c r="N41" s="46" t="str">
        <f t="shared" si="20"/>
        <v>none</v>
      </c>
      <c r="O41" s="61" t="e">
        <f t="shared" si="27"/>
        <v>#VALUE!</v>
      </c>
      <c r="P41" s="61">
        <f t="shared" si="28"/>
        <v>4</v>
      </c>
      <c r="Q41" s="61" t="e">
        <f t="shared" si="29"/>
        <v>#VALUE!</v>
      </c>
      <c r="R41" s="61" t="e">
        <f t="shared" si="30"/>
        <v>#VALUE!</v>
      </c>
      <c r="S41" s="61" t="str">
        <f>IFERROR(VLOOKUP(MID(N41,Q41,R41-Q41),[6]skilldef!$C:$D,2,FALSE),"-") &amp; " / " &amp; IFERROR(VLOOKUP(MID(N41,O41,P41-O41),[6]skilldef!$A:$B,2,FALSE),"-")</f>
        <v>- / -</v>
      </c>
      <c r="T41" s="46" t="str">
        <f t="shared" si="31"/>
        <v>none</v>
      </c>
      <c r="U41" s="61" t="e">
        <f t="shared" si="32"/>
        <v>#VALUE!</v>
      </c>
      <c r="V41" s="61">
        <f t="shared" si="33"/>
        <v>4</v>
      </c>
      <c r="W41" s="61" t="e">
        <f t="shared" si="34"/>
        <v>#VALUE!</v>
      </c>
      <c r="X41" s="61" t="e">
        <f t="shared" si="35"/>
        <v>#VALUE!</v>
      </c>
      <c r="Y41" s="61" t="str">
        <f>IFERROR(VLOOKUP(MID(T41,W41,X41-W41),[6]skilldef!$C:$D,2,FALSE),"-") &amp; " / " &amp; IFERROR(VLOOKUP(MID(T41,U41,V41-U41),[6]skilldef!$A:$B,2,FALSE),"-")</f>
        <v>- / -</v>
      </c>
      <c r="Z41" s="48"/>
      <c r="AA41" s="50"/>
      <c r="AB41" s="48"/>
      <c r="AC41" s="145">
        <f t="shared" si="36"/>
        <v>17</v>
      </c>
      <c r="AD41" s="47">
        <f t="shared" si="37"/>
        <v>9</v>
      </c>
    </row>
  </sheetData>
  <autoFilter ref="A1:AB1"/>
  <phoneticPr fontId="8"/>
  <pageMargins left="0.75" right="0.75" top="1" bottom="1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71"/>
  <sheetViews>
    <sheetView showGridLines="0" zoomScale="75" zoomScaleNormal="75" zoomScalePageLayoutView="75" workbookViewId="0">
      <pane ySplit="1" topLeftCell="A47" activePane="bottomLeft" state="frozenSplit"/>
      <selection pane="bottomLeft" activeCell="B69" sqref="B69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7" bestFit="1" customWidth="1"/>
    <col min="12" max="16384" width="12.83203125" style="43"/>
  </cols>
  <sheetData>
    <row r="1" spans="1:11" ht="21" customHeight="1" x14ac:dyDescent="0.15">
      <c r="A1" s="40" t="s">
        <v>84</v>
      </c>
      <c r="B1" s="40" t="s">
        <v>85</v>
      </c>
      <c r="C1" s="40" t="s">
        <v>86</v>
      </c>
      <c r="D1" s="40" t="s">
        <v>87</v>
      </c>
      <c r="E1" s="40" t="s">
        <v>70</v>
      </c>
      <c r="F1" s="51" t="s">
        <v>71</v>
      </c>
      <c r="G1" s="51" t="s">
        <v>72</v>
      </c>
      <c r="H1" s="40" t="s">
        <v>73</v>
      </c>
      <c r="I1" s="40" t="s">
        <v>74</v>
      </c>
      <c r="J1" s="40" t="s">
        <v>75</v>
      </c>
      <c r="K1" s="52" t="s">
        <v>88</v>
      </c>
    </row>
    <row r="2" spans="1:11" ht="21" customHeight="1" x14ac:dyDescent="0.15">
      <c r="A2" s="45">
        <v>60026000</v>
      </c>
      <c r="B2" s="45">
        <v>0</v>
      </c>
      <c r="C2" s="45" t="s">
        <v>324</v>
      </c>
      <c r="D2" s="45">
        <v>40</v>
      </c>
      <c r="E2" s="45" t="s">
        <v>324</v>
      </c>
      <c r="F2" s="45" t="s">
        <v>324</v>
      </c>
      <c r="G2" s="45" t="s">
        <v>324</v>
      </c>
      <c r="H2" s="45" t="s">
        <v>324</v>
      </c>
      <c r="I2" s="45" t="s">
        <v>324</v>
      </c>
      <c r="J2" s="46">
        <f t="shared" ref="J2:J65" si="0">D2</f>
        <v>40</v>
      </c>
    </row>
    <row r="3" spans="1:11" ht="21" customHeight="1" x14ac:dyDescent="0.15">
      <c r="A3" s="45">
        <v>60026001</v>
      </c>
      <c r="B3" s="45">
        <v>0</v>
      </c>
      <c r="C3" s="45" t="s">
        <v>324</v>
      </c>
      <c r="D3" s="45">
        <v>100</v>
      </c>
      <c r="E3" s="45" t="s">
        <v>324</v>
      </c>
      <c r="F3" s="45" t="s">
        <v>324</v>
      </c>
      <c r="G3" s="45" t="s">
        <v>324</v>
      </c>
      <c r="H3" s="45" t="s">
        <v>324</v>
      </c>
      <c r="I3" s="45" t="s">
        <v>324</v>
      </c>
      <c r="J3" s="46">
        <f t="shared" si="0"/>
        <v>100</v>
      </c>
    </row>
    <row r="4" spans="1:11" ht="21" customHeight="1" x14ac:dyDescent="0.15">
      <c r="A4" s="45">
        <v>60026002</v>
      </c>
      <c r="B4" s="45">
        <v>0</v>
      </c>
      <c r="C4" s="45" t="s">
        <v>324</v>
      </c>
      <c r="D4" s="45">
        <v>100</v>
      </c>
      <c r="E4" s="45" t="s">
        <v>324</v>
      </c>
      <c r="F4" s="45" t="s">
        <v>324</v>
      </c>
      <c r="G4" s="45" t="s">
        <v>324</v>
      </c>
      <c r="H4" s="45" t="s">
        <v>324</v>
      </c>
      <c r="I4" s="45" t="s">
        <v>324</v>
      </c>
      <c r="J4" s="46">
        <f t="shared" si="0"/>
        <v>100</v>
      </c>
    </row>
    <row r="5" spans="1:11" ht="21" customHeight="1" x14ac:dyDescent="0.15">
      <c r="A5" s="45">
        <v>60026003</v>
      </c>
      <c r="B5" s="45">
        <v>0</v>
      </c>
      <c r="C5" s="45" t="s">
        <v>324</v>
      </c>
      <c r="D5" s="45">
        <v>100</v>
      </c>
      <c r="E5" s="45" t="s">
        <v>324</v>
      </c>
      <c r="F5" s="45" t="s">
        <v>324</v>
      </c>
      <c r="G5" s="45" t="s">
        <v>324</v>
      </c>
      <c r="H5" s="45" t="s">
        <v>324</v>
      </c>
      <c r="I5" s="45" t="s">
        <v>324</v>
      </c>
      <c r="J5" s="46">
        <f t="shared" si="0"/>
        <v>100</v>
      </c>
    </row>
    <row r="6" spans="1:11" ht="21" customHeight="1" x14ac:dyDescent="0.15">
      <c r="A6" s="45">
        <v>60026004</v>
      </c>
      <c r="B6" s="45">
        <v>0</v>
      </c>
      <c r="C6" s="45" t="s">
        <v>324</v>
      </c>
      <c r="D6" s="45">
        <v>100</v>
      </c>
      <c r="E6" s="45" t="s">
        <v>324</v>
      </c>
      <c r="F6" s="45" t="s">
        <v>324</v>
      </c>
      <c r="G6" s="45" t="s">
        <v>324</v>
      </c>
      <c r="H6" s="45" t="s">
        <v>324</v>
      </c>
      <c r="I6" s="45" t="s">
        <v>324</v>
      </c>
      <c r="J6" s="46">
        <f t="shared" si="0"/>
        <v>100</v>
      </c>
    </row>
    <row r="7" spans="1:11" ht="21" customHeight="1" x14ac:dyDescent="0.15">
      <c r="A7" s="45">
        <v>60026005</v>
      </c>
      <c r="B7" s="45">
        <v>0</v>
      </c>
      <c r="C7" s="45" t="s">
        <v>324</v>
      </c>
      <c r="D7" s="45">
        <v>40</v>
      </c>
      <c r="E7" s="45" t="s">
        <v>324</v>
      </c>
      <c r="F7" s="45" t="s">
        <v>324</v>
      </c>
      <c r="G7" s="45" t="s">
        <v>324</v>
      </c>
      <c r="H7" s="45" t="s">
        <v>324</v>
      </c>
      <c r="I7" s="45" t="s">
        <v>324</v>
      </c>
      <c r="J7" s="46">
        <f t="shared" si="0"/>
        <v>40</v>
      </c>
    </row>
    <row r="8" spans="1:11" ht="21" customHeight="1" x14ac:dyDescent="0.15">
      <c r="A8" s="45">
        <v>60026006</v>
      </c>
      <c r="B8" s="45">
        <v>0</v>
      </c>
      <c r="C8" s="45" t="s">
        <v>324</v>
      </c>
      <c r="D8" s="45">
        <v>100</v>
      </c>
      <c r="E8" s="45" t="s">
        <v>324</v>
      </c>
      <c r="F8" s="45" t="s">
        <v>324</v>
      </c>
      <c r="G8" s="45" t="s">
        <v>324</v>
      </c>
      <c r="H8" s="45" t="s">
        <v>324</v>
      </c>
      <c r="I8" s="45" t="s">
        <v>324</v>
      </c>
      <c r="J8" s="46">
        <f t="shared" si="0"/>
        <v>100</v>
      </c>
    </row>
    <row r="9" spans="1:11" ht="21" customHeight="1" x14ac:dyDescent="0.15">
      <c r="A9" s="45">
        <v>60026007</v>
      </c>
      <c r="B9" s="45">
        <v>0</v>
      </c>
      <c r="C9" s="45" t="s">
        <v>324</v>
      </c>
      <c r="D9" s="45">
        <v>100</v>
      </c>
      <c r="E9" s="45" t="s">
        <v>324</v>
      </c>
      <c r="F9" s="45" t="s">
        <v>324</v>
      </c>
      <c r="G9" s="45" t="s">
        <v>324</v>
      </c>
      <c r="H9" s="45" t="s">
        <v>324</v>
      </c>
      <c r="I9" s="45" t="s">
        <v>324</v>
      </c>
      <c r="J9" s="46">
        <f t="shared" si="0"/>
        <v>100</v>
      </c>
    </row>
    <row r="10" spans="1:11" ht="21" customHeight="1" x14ac:dyDescent="0.15">
      <c r="A10" s="45">
        <v>60026008</v>
      </c>
      <c r="B10" s="45">
        <v>0</v>
      </c>
      <c r="C10" s="45" t="s">
        <v>324</v>
      </c>
      <c r="D10" s="45">
        <v>100</v>
      </c>
      <c r="E10" s="45" t="s">
        <v>324</v>
      </c>
      <c r="F10" s="45" t="s">
        <v>324</v>
      </c>
      <c r="G10" s="45" t="s">
        <v>324</v>
      </c>
      <c r="H10" s="45" t="s">
        <v>324</v>
      </c>
      <c r="I10" s="45" t="s">
        <v>324</v>
      </c>
      <c r="J10" s="46">
        <f t="shared" si="0"/>
        <v>100</v>
      </c>
    </row>
    <row r="11" spans="1:11" ht="21" customHeight="1" x14ac:dyDescent="0.15">
      <c r="A11" s="45">
        <v>60026009</v>
      </c>
      <c r="B11" s="45">
        <v>0</v>
      </c>
      <c r="C11" s="45" t="s">
        <v>324</v>
      </c>
      <c r="D11" s="45">
        <v>100</v>
      </c>
      <c r="E11" s="45" t="s">
        <v>324</v>
      </c>
      <c r="F11" s="45" t="s">
        <v>324</v>
      </c>
      <c r="G11" s="45" t="s">
        <v>324</v>
      </c>
      <c r="H11" s="45" t="s">
        <v>324</v>
      </c>
      <c r="I11" s="45" t="s">
        <v>324</v>
      </c>
      <c r="J11" s="46">
        <f t="shared" si="0"/>
        <v>100</v>
      </c>
    </row>
    <row r="12" spans="1:11" ht="21" customHeight="1" x14ac:dyDescent="0.15">
      <c r="A12" s="45">
        <v>60026010</v>
      </c>
      <c r="B12" s="45">
        <v>0</v>
      </c>
      <c r="C12" s="45" t="s">
        <v>324</v>
      </c>
      <c r="D12" s="45">
        <v>50</v>
      </c>
      <c r="E12" s="45" t="s">
        <v>324</v>
      </c>
      <c r="F12" s="45" t="s">
        <v>324</v>
      </c>
      <c r="G12" s="45" t="s">
        <v>324</v>
      </c>
      <c r="H12" s="45" t="s">
        <v>324</v>
      </c>
      <c r="I12" s="45" t="s">
        <v>324</v>
      </c>
      <c r="J12" s="46">
        <f t="shared" si="0"/>
        <v>50</v>
      </c>
    </row>
    <row r="13" spans="1:11" ht="21" customHeight="1" x14ac:dyDescent="0.15">
      <c r="A13" s="45">
        <v>60026011</v>
      </c>
      <c r="B13" s="45">
        <v>0</v>
      </c>
      <c r="C13" s="45" t="s">
        <v>324</v>
      </c>
      <c r="D13" s="45">
        <v>100</v>
      </c>
      <c r="E13" s="45" t="s">
        <v>324</v>
      </c>
      <c r="F13" s="45" t="s">
        <v>324</v>
      </c>
      <c r="G13" s="45" t="s">
        <v>324</v>
      </c>
      <c r="H13" s="45" t="s">
        <v>324</v>
      </c>
      <c r="I13" s="45" t="s">
        <v>324</v>
      </c>
      <c r="J13" s="46">
        <f t="shared" si="0"/>
        <v>100</v>
      </c>
    </row>
    <row r="14" spans="1:11" ht="21" customHeight="1" x14ac:dyDescent="0.15">
      <c r="A14" s="45">
        <v>60026012</v>
      </c>
      <c r="B14" s="45">
        <v>0</v>
      </c>
      <c r="C14" s="45" t="s">
        <v>324</v>
      </c>
      <c r="D14" s="45">
        <v>100</v>
      </c>
      <c r="E14" s="45" t="s">
        <v>324</v>
      </c>
      <c r="F14" s="45" t="s">
        <v>324</v>
      </c>
      <c r="G14" s="45" t="s">
        <v>324</v>
      </c>
      <c r="H14" s="45" t="s">
        <v>324</v>
      </c>
      <c r="I14" s="45" t="s">
        <v>324</v>
      </c>
      <c r="J14" s="46">
        <f t="shared" si="0"/>
        <v>100</v>
      </c>
    </row>
    <row r="15" spans="1:11" ht="21" customHeight="1" x14ac:dyDescent="0.15">
      <c r="A15" s="45">
        <v>60026013</v>
      </c>
      <c r="B15" s="45">
        <v>0</v>
      </c>
      <c r="C15" s="45" t="s">
        <v>324</v>
      </c>
      <c r="D15" s="45">
        <v>100</v>
      </c>
      <c r="E15" s="45" t="s">
        <v>324</v>
      </c>
      <c r="F15" s="45" t="s">
        <v>324</v>
      </c>
      <c r="G15" s="45" t="s">
        <v>324</v>
      </c>
      <c r="H15" s="45" t="s">
        <v>324</v>
      </c>
      <c r="I15" s="45" t="s">
        <v>324</v>
      </c>
      <c r="J15" s="46">
        <f t="shared" si="0"/>
        <v>100</v>
      </c>
    </row>
    <row r="16" spans="1:11" ht="21" customHeight="1" x14ac:dyDescent="0.15">
      <c r="A16" s="45">
        <v>60026014</v>
      </c>
      <c r="B16" s="45">
        <v>0</v>
      </c>
      <c r="C16" s="45" t="s">
        <v>324</v>
      </c>
      <c r="D16" s="45">
        <v>100</v>
      </c>
      <c r="E16" s="45" t="s">
        <v>324</v>
      </c>
      <c r="F16" s="45" t="s">
        <v>324</v>
      </c>
      <c r="G16" s="45" t="s">
        <v>324</v>
      </c>
      <c r="H16" s="45" t="s">
        <v>324</v>
      </c>
      <c r="I16" s="45" t="s">
        <v>324</v>
      </c>
      <c r="J16" s="46">
        <f t="shared" si="0"/>
        <v>100</v>
      </c>
    </row>
    <row r="17" spans="1:10" ht="21" customHeight="1" x14ac:dyDescent="0.15">
      <c r="A17" s="45">
        <v>60026015</v>
      </c>
      <c r="B17" s="45">
        <v>0</v>
      </c>
      <c r="C17" s="45" t="s">
        <v>324</v>
      </c>
      <c r="D17" s="45">
        <v>100</v>
      </c>
      <c r="E17" s="45" t="s">
        <v>324</v>
      </c>
      <c r="F17" s="45" t="s">
        <v>324</v>
      </c>
      <c r="G17" s="45" t="s">
        <v>324</v>
      </c>
      <c r="H17" s="45">
        <v>1</v>
      </c>
      <c r="I17" s="45" t="s">
        <v>324</v>
      </c>
      <c r="J17" s="46">
        <f t="shared" si="0"/>
        <v>100</v>
      </c>
    </row>
    <row r="18" spans="1:10" ht="21" customHeight="1" x14ac:dyDescent="0.15">
      <c r="A18" s="45">
        <v>60026016</v>
      </c>
      <c r="B18" s="45">
        <v>0</v>
      </c>
      <c r="C18" s="45" t="s">
        <v>324</v>
      </c>
      <c r="D18" s="45">
        <v>100</v>
      </c>
      <c r="E18" s="45" t="s">
        <v>324</v>
      </c>
      <c r="F18" s="45" t="s">
        <v>324</v>
      </c>
      <c r="G18" s="45" t="s">
        <v>324</v>
      </c>
      <c r="H18" s="45" t="s">
        <v>324</v>
      </c>
      <c r="I18" s="45" t="s">
        <v>324</v>
      </c>
      <c r="J18" s="46">
        <f t="shared" si="0"/>
        <v>100</v>
      </c>
    </row>
    <row r="19" spans="1:10" ht="21" customHeight="1" x14ac:dyDescent="0.15">
      <c r="A19" s="45">
        <v>60026017</v>
      </c>
      <c r="B19" s="45">
        <v>0</v>
      </c>
      <c r="C19" s="45" t="s">
        <v>324</v>
      </c>
      <c r="D19" s="45">
        <v>100</v>
      </c>
      <c r="E19" s="45" t="s">
        <v>335</v>
      </c>
      <c r="F19" s="45" t="s">
        <v>335</v>
      </c>
      <c r="G19" s="45" t="s">
        <v>335</v>
      </c>
      <c r="H19" s="45" t="s">
        <v>335</v>
      </c>
      <c r="I19" s="45" t="s">
        <v>335</v>
      </c>
      <c r="J19" s="46">
        <f t="shared" si="0"/>
        <v>100</v>
      </c>
    </row>
    <row r="20" spans="1:10" ht="21" customHeight="1" x14ac:dyDescent="0.15">
      <c r="A20" s="45">
        <v>60026018</v>
      </c>
      <c r="B20" s="45">
        <v>0</v>
      </c>
      <c r="C20" s="45" t="s">
        <v>335</v>
      </c>
      <c r="D20" s="45">
        <v>100</v>
      </c>
      <c r="E20" s="45" t="s">
        <v>335</v>
      </c>
      <c r="F20" s="45" t="s">
        <v>335</v>
      </c>
      <c r="G20" s="45" t="s">
        <v>335</v>
      </c>
      <c r="H20" s="45" t="s">
        <v>335</v>
      </c>
      <c r="I20" s="45" t="s">
        <v>335</v>
      </c>
      <c r="J20" s="46">
        <f t="shared" si="0"/>
        <v>100</v>
      </c>
    </row>
    <row r="21" spans="1:10" ht="21" customHeight="1" x14ac:dyDescent="0.15">
      <c r="A21" s="45">
        <v>60026019</v>
      </c>
      <c r="B21" s="45">
        <v>0</v>
      </c>
      <c r="C21" s="45" t="s">
        <v>335</v>
      </c>
      <c r="D21" s="45">
        <v>100</v>
      </c>
      <c r="E21" s="45" t="s">
        <v>335</v>
      </c>
      <c r="F21" s="45" t="s">
        <v>335</v>
      </c>
      <c r="G21" s="45" t="s">
        <v>335</v>
      </c>
      <c r="H21" s="45" t="s">
        <v>335</v>
      </c>
      <c r="I21" s="45" t="s">
        <v>335</v>
      </c>
      <c r="J21" s="46">
        <f t="shared" si="0"/>
        <v>100</v>
      </c>
    </row>
    <row r="22" spans="1:10" ht="21" customHeight="1" x14ac:dyDescent="0.15">
      <c r="A22" s="45">
        <v>60026020</v>
      </c>
      <c r="B22" s="45">
        <v>1</v>
      </c>
      <c r="C22" s="45" t="s">
        <v>336</v>
      </c>
      <c r="D22" s="45">
        <v>100</v>
      </c>
      <c r="E22" s="45" t="s">
        <v>336</v>
      </c>
      <c r="F22" s="45" t="s">
        <v>336</v>
      </c>
      <c r="G22" s="45">
        <v>1</v>
      </c>
      <c r="H22" s="45" t="s">
        <v>336</v>
      </c>
      <c r="I22" s="45" t="s">
        <v>336</v>
      </c>
      <c r="J22" s="46">
        <f t="shared" si="0"/>
        <v>100</v>
      </c>
    </row>
    <row r="23" spans="1:10" ht="21" customHeight="1" x14ac:dyDescent="0.15">
      <c r="A23" s="45">
        <v>60026021</v>
      </c>
      <c r="B23" s="45">
        <v>0</v>
      </c>
      <c r="C23" s="45">
        <v>10</v>
      </c>
      <c r="D23" s="45">
        <v>40</v>
      </c>
      <c r="E23" s="45" t="s">
        <v>336</v>
      </c>
      <c r="F23" s="45" t="s">
        <v>336</v>
      </c>
      <c r="G23" s="45" t="s">
        <v>336</v>
      </c>
      <c r="H23" s="45" t="s">
        <v>336</v>
      </c>
      <c r="I23" s="45" t="s">
        <v>336</v>
      </c>
      <c r="J23" s="46">
        <f t="shared" si="0"/>
        <v>40</v>
      </c>
    </row>
    <row r="24" spans="1:10" ht="21" customHeight="1" x14ac:dyDescent="0.15">
      <c r="A24" s="45">
        <v>60026022</v>
      </c>
      <c r="B24" s="45">
        <v>0</v>
      </c>
      <c r="C24" s="45">
        <v>9</v>
      </c>
      <c r="D24" s="45">
        <v>100</v>
      </c>
      <c r="E24" s="45" t="s">
        <v>336</v>
      </c>
      <c r="F24" s="45" t="s">
        <v>336</v>
      </c>
      <c r="G24" s="45" t="s">
        <v>336</v>
      </c>
      <c r="H24" s="45" t="s">
        <v>336</v>
      </c>
      <c r="I24" s="45" t="s">
        <v>336</v>
      </c>
      <c r="J24" s="46">
        <f t="shared" si="0"/>
        <v>100</v>
      </c>
    </row>
    <row r="25" spans="1:10" ht="21" customHeight="1" x14ac:dyDescent="0.15">
      <c r="A25" s="45">
        <v>60026023</v>
      </c>
      <c r="B25" s="45">
        <v>0</v>
      </c>
      <c r="C25" s="45" t="s">
        <v>336</v>
      </c>
      <c r="D25" s="45">
        <v>100</v>
      </c>
      <c r="E25" s="45" t="s">
        <v>336</v>
      </c>
      <c r="F25" s="45" t="s">
        <v>336</v>
      </c>
      <c r="G25" s="45" t="s">
        <v>336</v>
      </c>
      <c r="H25" s="45">
        <v>2</v>
      </c>
      <c r="I25" s="45" t="s">
        <v>336</v>
      </c>
      <c r="J25" s="46">
        <f t="shared" si="0"/>
        <v>100</v>
      </c>
    </row>
    <row r="26" spans="1:10" ht="21" customHeight="1" x14ac:dyDescent="0.15">
      <c r="A26" s="45">
        <v>60026024</v>
      </c>
      <c r="B26" s="45">
        <v>0</v>
      </c>
      <c r="C26" s="45" t="s">
        <v>336</v>
      </c>
      <c r="D26" s="45">
        <v>100</v>
      </c>
      <c r="E26" s="45" t="s">
        <v>336</v>
      </c>
      <c r="F26" s="45" t="s">
        <v>336</v>
      </c>
      <c r="G26" s="45" t="s">
        <v>336</v>
      </c>
      <c r="H26" s="45" t="s">
        <v>336</v>
      </c>
      <c r="I26" s="45" t="s">
        <v>336</v>
      </c>
      <c r="J26" s="46">
        <f t="shared" si="0"/>
        <v>100</v>
      </c>
    </row>
    <row r="27" spans="1:10" ht="21" customHeight="1" x14ac:dyDescent="0.15">
      <c r="A27" s="45">
        <v>60026025</v>
      </c>
      <c r="B27" s="45">
        <v>1</v>
      </c>
      <c r="C27" s="45" t="s">
        <v>336</v>
      </c>
      <c r="D27" s="45">
        <v>100</v>
      </c>
      <c r="E27" s="45" t="s">
        <v>336</v>
      </c>
      <c r="F27" s="45" t="s">
        <v>336</v>
      </c>
      <c r="G27" s="45">
        <v>1</v>
      </c>
      <c r="H27" s="45" t="s">
        <v>336</v>
      </c>
      <c r="I27" s="45" t="s">
        <v>336</v>
      </c>
      <c r="J27" s="46">
        <f t="shared" si="0"/>
        <v>100</v>
      </c>
    </row>
    <row r="28" spans="1:10" ht="21" customHeight="1" x14ac:dyDescent="0.15">
      <c r="A28" s="45">
        <v>60026026</v>
      </c>
      <c r="B28" s="45">
        <v>0</v>
      </c>
      <c r="C28" s="45">
        <v>8</v>
      </c>
      <c r="D28" s="45">
        <v>40</v>
      </c>
      <c r="E28" s="45" t="s">
        <v>336</v>
      </c>
      <c r="F28" s="45" t="s">
        <v>336</v>
      </c>
      <c r="G28" s="45" t="s">
        <v>336</v>
      </c>
      <c r="H28" s="45" t="s">
        <v>336</v>
      </c>
      <c r="I28" s="45" t="s">
        <v>336</v>
      </c>
      <c r="J28" s="46">
        <f t="shared" si="0"/>
        <v>40</v>
      </c>
    </row>
    <row r="29" spans="1:10" ht="21" customHeight="1" x14ac:dyDescent="0.15">
      <c r="A29" s="45">
        <v>60026027</v>
      </c>
      <c r="B29" s="45">
        <v>0</v>
      </c>
      <c r="C29" s="45">
        <v>9</v>
      </c>
      <c r="D29" s="45">
        <v>40</v>
      </c>
      <c r="E29" s="45" t="s">
        <v>336</v>
      </c>
      <c r="F29" s="45" t="s">
        <v>336</v>
      </c>
      <c r="G29" s="45" t="s">
        <v>336</v>
      </c>
      <c r="H29" s="45" t="s">
        <v>336</v>
      </c>
      <c r="I29" s="45" t="s">
        <v>336</v>
      </c>
      <c r="J29" s="46">
        <f t="shared" si="0"/>
        <v>40</v>
      </c>
    </row>
    <row r="30" spans="1:10" ht="21" customHeight="1" x14ac:dyDescent="0.15">
      <c r="A30" s="45">
        <v>60026028</v>
      </c>
      <c r="B30" s="45">
        <v>0</v>
      </c>
      <c r="C30" s="45">
        <v>10</v>
      </c>
      <c r="D30" s="45">
        <v>50</v>
      </c>
      <c r="E30" s="45" t="s">
        <v>336</v>
      </c>
      <c r="F30" s="45" t="s">
        <v>336</v>
      </c>
      <c r="G30" s="45" t="s">
        <v>336</v>
      </c>
      <c r="H30" s="45" t="s">
        <v>336</v>
      </c>
      <c r="I30" s="45" t="s">
        <v>336</v>
      </c>
      <c r="J30" s="46">
        <f t="shared" si="0"/>
        <v>50</v>
      </c>
    </row>
    <row r="31" spans="1:10" ht="21" customHeight="1" x14ac:dyDescent="0.15">
      <c r="A31" s="45">
        <v>60026029</v>
      </c>
      <c r="B31" s="45">
        <v>0</v>
      </c>
      <c r="C31" s="45" t="s">
        <v>336</v>
      </c>
      <c r="D31" s="45">
        <v>100</v>
      </c>
      <c r="E31" s="45" t="s">
        <v>336</v>
      </c>
      <c r="F31" s="45" t="s">
        <v>336</v>
      </c>
      <c r="G31" s="45" t="s">
        <v>336</v>
      </c>
      <c r="H31" s="45">
        <v>2</v>
      </c>
      <c r="I31" s="45" t="s">
        <v>336</v>
      </c>
      <c r="J31" s="46">
        <f t="shared" si="0"/>
        <v>100</v>
      </c>
    </row>
    <row r="32" spans="1:10" ht="21" customHeight="1" x14ac:dyDescent="0.15">
      <c r="A32" s="45">
        <v>60026030</v>
      </c>
      <c r="B32" s="45">
        <v>1</v>
      </c>
      <c r="C32" s="45" t="s">
        <v>324</v>
      </c>
      <c r="D32" s="45">
        <v>100</v>
      </c>
      <c r="E32" s="45" t="s">
        <v>324</v>
      </c>
      <c r="F32" s="45" t="s">
        <v>324</v>
      </c>
      <c r="G32" s="45">
        <v>1</v>
      </c>
      <c r="H32" s="45" t="s">
        <v>324</v>
      </c>
      <c r="I32" s="45" t="s">
        <v>324</v>
      </c>
      <c r="J32" s="46">
        <f t="shared" si="0"/>
        <v>100</v>
      </c>
    </row>
    <row r="33" spans="1:10" ht="21" customHeight="1" x14ac:dyDescent="0.15">
      <c r="A33" s="45">
        <v>60026031</v>
      </c>
      <c r="B33" s="45">
        <v>0</v>
      </c>
      <c r="C33" s="45" t="s">
        <v>324</v>
      </c>
      <c r="D33" s="45">
        <v>40</v>
      </c>
      <c r="E33" s="45" t="s">
        <v>324</v>
      </c>
      <c r="F33" s="45" t="s">
        <v>324</v>
      </c>
      <c r="G33" s="45" t="s">
        <v>324</v>
      </c>
      <c r="H33" s="45" t="s">
        <v>324</v>
      </c>
      <c r="I33" s="45" t="s">
        <v>324</v>
      </c>
      <c r="J33" s="46">
        <f t="shared" si="0"/>
        <v>40</v>
      </c>
    </row>
    <row r="34" spans="1:10" ht="21" customHeight="1" x14ac:dyDescent="0.15">
      <c r="A34" s="45">
        <v>60026032</v>
      </c>
      <c r="B34" s="45">
        <v>0</v>
      </c>
      <c r="C34" s="45" t="s">
        <v>324</v>
      </c>
      <c r="D34" s="45">
        <v>100</v>
      </c>
      <c r="E34" s="45" t="s">
        <v>324</v>
      </c>
      <c r="F34" s="45" t="s">
        <v>324</v>
      </c>
      <c r="G34" s="45">
        <v>1</v>
      </c>
      <c r="H34" s="45">
        <v>3</v>
      </c>
      <c r="I34" s="45" t="s">
        <v>324</v>
      </c>
      <c r="J34" s="46">
        <f t="shared" si="0"/>
        <v>100</v>
      </c>
    </row>
    <row r="35" spans="1:10" ht="21" customHeight="1" x14ac:dyDescent="0.15">
      <c r="A35" s="45">
        <v>60026033</v>
      </c>
      <c r="B35" s="45">
        <v>0</v>
      </c>
      <c r="C35" s="45" t="s">
        <v>324</v>
      </c>
      <c r="D35" s="45">
        <v>40</v>
      </c>
      <c r="E35" s="45" t="s">
        <v>324</v>
      </c>
      <c r="F35" s="45" t="s">
        <v>324</v>
      </c>
      <c r="G35" s="45" t="s">
        <v>324</v>
      </c>
      <c r="H35" s="45" t="s">
        <v>324</v>
      </c>
      <c r="I35" s="45" t="s">
        <v>324</v>
      </c>
      <c r="J35" s="46">
        <f t="shared" si="0"/>
        <v>40</v>
      </c>
    </row>
    <row r="36" spans="1:10" ht="21" customHeight="1" x14ac:dyDescent="0.15">
      <c r="A36" s="45">
        <v>60026034</v>
      </c>
      <c r="B36" s="45">
        <v>0</v>
      </c>
      <c r="C36" s="45" t="s">
        <v>324</v>
      </c>
      <c r="D36" s="45">
        <v>100</v>
      </c>
      <c r="E36" s="45" t="s">
        <v>324</v>
      </c>
      <c r="F36" s="45" t="s">
        <v>324</v>
      </c>
      <c r="G36" s="45" t="s">
        <v>324</v>
      </c>
      <c r="H36" s="45" t="s">
        <v>324</v>
      </c>
      <c r="I36" s="45" t="s">
        <v>324</v>
      </c>
      <c r="J36" s="46">
        <f t="shared" si="0"/>
        <v>100</v>
      </c>
    </row>
    <row r="37" spans="1:10" ht="21" customHeight="1" x14ac:dyDescent="0.15">
      <c r="A37" s="45">
        <v>60026035</v>
      </c>
      <c r="B37" s="45">
        <v>0</v>
      </c>
      <c r="C37" s="45" t="s">
        <v>324</v>
      </c>
      <c r="D37" s="45">
        <v>100</v>
      </c>
      <c r="E37" s="45" t="s">
        <v>324</v>
      </c>
      <c r="F37" s="45" t="s">
        <v>324</v>
      </c>
      <c r="G37" s="45" t="s">
        <v>324</v>
      </c>
      <c r="H37" s="45">
        <v>2</v>
      </c>
      <c r="I37" s="45" t="s">
        <v>324</v>
      </c>
      <c r="J37" s="46">
        <f t="shared" si="0"/>
        <v>100</v>
      </c>
    </row>
    <row r="38" spans="1:10" ht="21" customHeight="1" x14ac:dyDescent="0.15">
      <c r="A38" s="45">
        <v>60026036</v>
      </c>
      <c r="B38" s="45">
        <v>0</v>
      </c>
      <c r="C38" s="45" t="s">
        <v>324</v>
      </c>
      <c r="D38" s="45">
        <v>100</v>
      </c>
      <c r="E38" s="45" t="s">
        <v>324</v>
      </c>
      <c r="F38" s="45" t="s">
        <v>324</v>
      </c>
      <c r="G38" s="45">
        <v>1</v>
      </c>
      <c r="H38" s="45">
        <v>3</v>
      </c>
      <c r="I38" s="45" t="s">
        <v>324</v>
      </c>
      <c r="J38" s="46">
        <f t="shared" si="0"/>
        <v>100</v>
      </c>
    </row>
    <row r="39" spans="1:10" ht="21" customHeight="1" x14ac:dyDescent="0.15">
      <c r="A39" s="45">
        <v>60026037</v>
      </c>
      <c r="B39" s="45">
        <v>0</v>
      </c>
      <c r="C39" s="45" t="s">
        <v>324</v>
      </c>
      <c r="D39" s="45">
        <v>100</v>
      </c>
      <c r="E39" s="45" t="s">
        <v>324</v>
      </c>
      <c r="F39" s="45" t="s">
        <v>324</v>
      </c>
      <c r="G39" s="45" t="s">
        <v>324</v>
      </c>
      <c r="H39" s="45" t="s">
        <v>324</v>
      </c>
      <c r="I39" s="45" t="s">
        <v>324</v>
      </c>
      <c r="J39" s="46">
        <f t="shared" si="0"/>
        <v>100</v>
      </c>
    </row>
    <row r="40" spans="1:10" ht="21" customHeight="1" x14ac:dyDescent="0.15">
      <c r="A40" s="45">
        <v>60026038</v>
      </c>
      <c r="B40" s="45">
        <v>0</v>
      </c>
      <c r="C40" s="45" t="s">
        <v>324</v>
      </c>
      <c r="D40" s="45">
        <v>100</v>
      </c>
      <c r="E40" s="45" t="s">
        <v>324</v>
      </c>
      <c r="F40" s="45" t="s">
        <v>324</v>
      </c>
      <c r="G40" s="45" t="s">
        <v>324</v>
      </c>
      <c r="H40" s="45" t="s">
        <v>324</v>
      </c>
      <c r="I40" s="45" t="s">
        <v>324</v>
      </c>
      <c r="J40" s="46">
        <f t="shared" si="0"/>
        <v>100</v>
      </c>
    </row>
    <row r="41" spans="1:10" ht="21" customHeight="1" x14ac:dyDescent="0.15">
      <c r="A41" s="45">
        <v>60026039</v>
      </c>
      <c r="B41" s="45">
        <v>0</v>
      </c>
      <c r="C41" s="45" t="s">
        <v>324</v>
      </c>
      <c r="D41" s="45">
        <v>100</v>
      </c>
      <c r="E41" s="45" t="s">
        <v>324</v>
      </c>
      <c r="F41" s="45" t="s">
        <v>324</v>
      </c>
      <c r="G41" s="45" t="s">
        <v>324</v>
      </c>
      <c r="H41" s="45" t="s">
        <v>324</v>
      </c>
      <c r="I41" s="45" t="s">
        <v>324</v>
      </c>
      <c r="J41" s="46">
        <f t="shared" si="0"/>
        <v>100</v>
      </c>
    </row>
    <row r="42" spans="1:10" ht="21" customHeight="1" x14ac:dyDescent="0.15">
      <c r="A42" s="45">
        <v>60026040</v>
      </c>
      <c r="B42" s="45">
        <v>1</v>
      </c>
      <c r="C42" s="45" t="s">
        <v>324</v>
      </c>
      <c r="D42" s="45">
        <v>100</v>
      </c>
      <c r="E42" s="45" t="s">
        <v>324</v>
      </c>
      <c r="F42" s="45" t="s">
        <v>324</v>
      </c>
      <c r="G42" s="45">
        <v>1</v>
      </c>
      <c r="H42" s="45" t="s">
        <v>324</v>
      </c>
      <c r="I42" s="45" t="s">
        <v>324</v>
      </c>
      <c r="J42" s="46">
        <f t="shared" si="0"/>
        <v>100</v>
      </c>
    </row>
    <row r="43" spans="1:10" ht="21" customHeight="1" x14ac:dyDescent="0.15">
      <c r="A43" s="45">
        <v>60026041</v>
      </c>
      <c r="B43" s="45">
        <v>0</v>
      </c>
      <c r="C43" s="45">
        <v>8</v>
      </c>
      <c r="D43" s="45">
        <v>40</v>
      </c>
      <c r="E43" s="45" t="s">
        <v>324</v>
      </c>
      <c r="F43" s="45" t="s">
        <v>324</v>
      </c>
      <c r="G43" s="45" t="s">
        <v>324</v>
      </c>
      <c r="H43" s="45" t="s">
        <v>324</v>
      </c>
      <c r="I43" s="45" t="s">
        <v>324</v>
      </c>
      <c r="J43" s="46">
        <f t="shared" si="0"/>
        <v>40</v>
      </c>
    </row>
    <row r="44" spans="1:10" ht="21" customHeight="1" x14ac:dyDescent="0.15">
      <c r="A44" s="45">
        <v>60026042</v>
      </c>
      <c r="B44" s="45">
        <v>0</v>
      </c>
      <c r="C44" s="45">
        <v>9</v>
      </c>
      <c r="D44" s="45">
        <v>40</v>
      </c>
      <c r="E44" s="45" t="s">
        <v>324</v>
      </c>
      <c r="F44" s="45" t="s">
        <v>324</v>
      </c>
      <c r="G44" s="45" t="s">
        <v>324</v>
      </c>
      <c r="H44" s="45" t="s">
        <v>324</v>
      </c>
      <c r="I44" s="45" t="s">
        <v>324</v>
      </c>
      <c r="J44" s="46">
        <f t="shared" si="0"/>
        <v>40</v>
      </c>
    </row>
    <row r="45" spans="1:10" ht="21" customHeight="1" x14ac:dyDescent="0.15">
      <c r="A45" s="45">
        <v>60026043</v>
      </c>
      <c r="B45" s="45">
        <v>0</v>
      </c>
      <c r="C45" s="45">
        <v>7</v>
      </c>
      <c r="D45" s="45">
        <v>40</v>
      </c>
      <c r="E45" s="45" t="s">
        <v>324</v>
      </c>
      <c r="F45" s="45" t="s">
        <v>324</v>
      </c>
      <c r="G45" s="45" t="s">
        <v>324</v>
      </c>
      <c r="H45" s="45" t="s">
        <v>324</v>
      </c>
      <c r="I45" s="45" t="s">
        <v>324</v>
      </c>
      <c r="J45" s="46">
        <f t="shared" si="0"/>
        <v>40</v>
      </c>
    </row>
    <row r="46" spans="1:10" ht="21" customHeight="1" x14ac:dyDescent="0.15">
      <c r="A46" s="45">
        <v>60026044</v>
      </c>
      <c r="B46" s="45">
        <v>0</v>
      </c>
      <c r="C46" s="45" t="s">
        <v>324</v>
      </c>
      <c r="D46" s="45">
        <v>100</v>
      </c>
      <c r="E46" s="45" t="s">
        <v>324</v>
      </c>
      <c r="F46" s="45" t="s">
        <v>324</v>
      </c>
      <c r="G46" s="45" t="s">
        <v>324</v>
      </c>
      <c r="H46" s="45">
        <v>2</v>
      </c>
      <c r="I46" s="45" t="s">
        <v>324</v>
      </c>
      <c r="J46" s="46">
        <f t="shared" si="0"/>
        <v>100</v>
      </c>
    </row>
    <row r="47" spans="1:10" ht="21" customHeight="1" x14ac:dyDescent="0.15">
      <c r="A47" s="45">
        <v>60026045</v>
      </c>
      <c r="B47" s="45">
        <v>0</v>
      </c>
      <c r="C47" s="45">
        <v>10</v>
      </c>
      <c r="D47" s="45">
        <v>50</v>
      </c>
      <c r="E47" s="45" t="s">
        <v>324</v>
      </c>
      <c r="F47" s="45" t="s">
        <v>324</v>
      </c>
      <c r="G47" s="45" t="s">
        <v>324</v>
      </c>
      <c r="H47" s="45" t="s">
        <v>324</v>
      </c>
      <c r="I47" s="45" t="s">
        <v>324</v>
      </c>
      <c r="J47" s="46">
        <f t="shared" si="0"/>
        <v>50</v>
      </c>
    </row>
    <row r="48" spans="1:10" ht="21" customHeight="1" x14ac:dyDescent="0.15">
      <c r="A48" s="45">
        <v>60026046</v>
      </c>
      <c r="B48" s="45">
        <v>0</v>
      </c>
      <c r="C48" s="45" t="s">
        <v>324</v>
      </c>
      <c r="D48" s="45">
        <v>100</v>
      </c>
      <c r="E48" s="45" t="s">
        <v>324</v>
      </c>
      <c r="F48" s="45" t="s">
        <v>324</v>
      </c>
      <c r="G48" s="45" t="s">
        <v>324</v>
      </c>
      <c r="H48" s="45" t="s">
        <v>324</v>
      </c>
      <c r="I48" s="45" t="s">
        <v>324</v>
      </c>
      <c r="J48" s="46">
        <f t="shared" si="0"/>
        <v>100</v>
      </c>
    </row>
    <row r="49" spans="1:10" ht="21" customHeight="1" x14ac:dyDescent="0.15">
      <c r="A49" s="45">
        <v>60026047</v>
      </c>
      <c r="B49" s="45">
        <v>0</v>
      </c>
      <c r="C49" s="45" t="s">
        <v>324</v>
      </c>
      <c r="D49" s="45">
        <v>100</v>
      </c>
      <c r="E49" s="45" t="s">
        <v>324</v>
      </c>
      <c r="F49" s="45" t="s">
        <v>324</v>
      </c>
      <c r="G49" s="45" t="s">
        <v>324</v>
      </c>
      <c r="H49" s="45" t="s">
        <v>324</v>
      </c>
      <c r="I49" s="45" t="s">
        <v>324</v>
      </c>
      <c r="J49" s="46">
        <f t="shared" si="0"/>
        <v>100</v>
      </c>
    </row>
    <row r="50" spans="1:10" ht="21" customHeight="1" x14ac:dyDescent="0.15">
      <c r="A50" s="45">
        <v>60026048</v>
      </c>
      <c r="B50" s="45">
        <v>0</v>
      </c>
      <c r="C50" s="45" t="s">
        <v>324</v>
      </c>
      <c r="D50" s="45">
        <v>100</v>
      </c>
      <c r="E50" s="45" t="s">
        <v>324</v>
      </c>
      <c r="F50" s="45" t="s">
        <v>324</v>
      </c>
      <c r="G50" s="45" t="s">
        <v>324</v>
      </c>
      <c r="H50" s="45" t="s">
        <v>324</v>
      </c>
      <c r="I50" s="45" t="s">
        <v>324</v>
      </c>
      <c r="J50" s="46">
        <f t="shared" si="0"/>
        <v>100</v>
      </c>
    </row>
    <row r="51" spans="1:10" ht="21" customHeight="1" x14ac:dyDescent="0.15">
      <c r="A51" s="45">
        <v>60026049</v>
      </c>
      <c r="B51" s="45">
        <v>0</v>
      </c>
      <c r="C51" s="45" t="s">
        <v>324</v>
      </c>
      <c r="D51" s="45">
        <v>100</v>
      </c>
      <c r="E51" s="45" t="s">
        <v>324</v>
      </c>
      <c r="F51" s="45" t="s">
        <v>324</v>
      </c>
      <c r="G51" s="45" t="s">
        <v>324</v>
      </c>
      <c r="H51" s="45" t="s">
        <v>324</v>
      </c>
      <c r="I51" s="45" t="s">
        <v>324</v>
      </c>
      <c r="J51" s="46">
        <f t="shared" si="0"/>
        <v>100</v>
      </c>
    </row>
    <row r="52" spans="1:10" ht="21" customHeight="1" x14ac:dyDescent="0.15">
      <c r="A52" s="45">
        <v>60026050</v>
      </c>
      <c r="B52" s="45">
        <v>1</v>
      </c>
      <c r="C52" s="45" t="s">
        <v>324</v>
      </c>
      <c r="D52" s="45">
        <v>100</v>
      </c>
      <c r="E52" s="45" t="s">
        <v>324</v>
      </c>
      <c r="F52" s="45" t="s">
        <v>324</v>
      </c>
      <c r="G52" s="45">
        <v>1</v>
      </c>
      <c r="H52" s="45" t="s">
        <v>324</v>
      </c>
      <c r="I52" s="45" t="s">
        <v>324</v>
      </c>
      <c r="J52" s="46">
        <f t="shared" si="0"/>
        <v>100</v>
      </c>
    </row>
    <row r="53" spans="1:10" ht="21" customHeight="1" x14ac:dyDescent="0.15">
      <c r="A53" s="45">
        <v>60026051</v>
      </c>
      <c r="B53" s="45">
        <v>0</v>
      </c>
      <c r="C53" s="45">
        <v>9</v>
      </c>
      <c r="D53" s="45">
        <v>40</v>
      </c>
      <c r="E53" s="45" t="s">
        <v>324</v>
      </c>
      <c r="F53" s="45" t="s">
        <v>324</v>
      </c>
      <c r="G53" s="45" t="s">
        <v>324</v>
      </c>
      <c r="H53" s="45" t="s">
        <v>324</v>
      </c>
      <c r="I53" s="45" t="s">
        <v>324</v>
      </c>
      <c r="J53" s="46">
        <f t="shared" si="0"/>
        <v>40</v>
      </c>
    </row>
    <row r="54" spans="1:10" ht="21" customHeight="1" x14ac:dyDescent="0.15">
      <c r="A54" s="45">
        <v>60026052</v>
      </c>
      <c r="B54" s="45">
        <v>0</v>
      </c>
      <c r="C54" s="45">
        <v>10</v>
      </c>
      <c r="D54" s="45">
        <v>40</v>
      </c>
      <c r="E54" s="45" t="s">
        <v>324</v>
      </c>
      <c r="F54" s="45" t="s">
        <v>324</v>
      </c>
      <c r="G54" s="45" t="s">
        <v>324</v>
      </c>
      <c r="H54" s="45" t="s">
        <v>324</v>
      </c>
      <c r="I54" s="45" t="s">
        <v>324</v>
      </c>
      <c r="J54" s="46">
        <f t="shared" si="0"/>
        <v>40</v>
      </c>
    </row>
    <row r="55" spans="1:10" ht="21" customHeight="1" x14ac:dyDescent="0.15">
      <c r="A55" s="45">
        <v>60026053</v>
      </c>
      <c r="B55" s="45">
        <v>0</v>
      </c>
      <c r="C55" s="45">
        <v>8</v>
      </c>
      <c r="D55" s="45">
        <v>40</v>
      </c>
      <c r="E55" s="45" t="s">
        <v>324</v>
      </c>
      <c r="F55" s="45" t="s">
        <v>324</v>
      </c>
      <c r="G55" s="45" t="s">
        <v>324</v>
      </c>
      <c r="H55" s="45" t="s">
        <v>324</v>
      </c>
      <c r="I55" s="45" t="s">
        <v>324</v>
      </c>
      <c r="J55" s="46">
        <f t="shared" si="0"/>
        <v>40</v>
      </c>
    </row>
    <row r="56" spans="1:10" ht="21" customHeight="1" x14ac:dyDescent="0.15">
      <c r="A56" s="45">
        <v>60026054</v>
      </c>
      <c r="B56" s="45">
        <v>0</v>
      </c>
      <c r="C56" s="45" t="s">
        <v>324</v>
      </c>
      <c r="D56" s="45">
        <v>100</v>
      </c>
      <c r="E56" s="45" t="s">
        <v>324</v>
      </c>
      <c r="F56" s="45" t="s">
        <v>324</v>
      </c>
      <c r="G56" s="45" t="s">
        <v>324</v>
      </c>
      <c r="H56" s="45">
        <v>2</v>
      </c>
      <c r="I56" s="45" t="s">
        <v>324</v>
      </c>
      <c r="J56" s="46">
        <f t="shared" si="0"/>
        <v>100</v>
      </c>
    </row>
    <row r="57" spans="1:10" ht="21" customHeight="1" x14ac:dyDescent="0.15">
      <c r="A57" s="45">
        <v>60026055</v>
      </c>
      <c r="B57" s="45">
        <v>0</v>
      </c>
      <c r="C57" s="45">
        <v>100</v>
      </c>
      <c r="D57" s="45">
        <v>100</v>
      </c>
      <c r="E57" s="45">
        <v>50</v>
      </c>
      <c r="F57" s="45" t="s">
        <v>324</v>
      </c>
      <c r="G57" s="45">
        <v>1</v>
      </c>
      <c r="H57" s="45" t="s">
        <v>324</v>
      </c>
      <c r="I57" s="45" t="s">
        <v>324</v>
      </c>
      <c r="J57" s="46">
        <f t="shared" si="0"/>
        <v>100</v>
      </c>
    </row>
    <row r="58" spans="1:10" ht="21" customHeight="1" x14ac:dyDescent="0.15">
      <c r="A58" s="45">
        <v>60026056</v>
      </c>
      <c r="B58" s="45">
        <v>0</v>
      </c>
      <c r="C58" s="45">
        <v>90</v>
      </c>
      <c r="D58" s="45">
        <v>100</v>
      </c>
      <c r="E58" s="45">
        <v>50</v>
      </c>
      <c r="F58" s="45" t="s">
        <v>324</v>
      </c>
      <c r="G58" s="45">
        <v>1</v>
      </c>
      <c r="H58" s="45" t="s">
        <v>324</v>
      </c>
      <c r="I58" s="45" t="s">
        <v>324</v>
      </c>
      <c r="J58" s="46">
        <f t="shared" si="0"/>
        <v>100</v>
      </c>
    </row>
    <row r="59" spans="1:10" ht="21" customHeight="1" x14ac:dyDescent="0.15">
      <c r="A59" s="45">
        <v>60026057</v>
      </c>
      <c r="B59" s="45">
        <v>0</v>
      </c>
      <c r="C59" s="45" t="s">
        <v>324</v>
      </c>
      <c r="D59" s="45">
        <v>100</v>
      </c>
      <c r="E59" s="45" t="s">
        <v>324</v>
      </c>
      <c r="F59" s="45" t="s">
        <v>324</v>
      </c>
      <c r="G59" s="45" t="s">
        <v>324</v>
      </c>
      <c r="H59" s="45" t="s">
        <v>324</v>
      </c>
      <c r="I59" s="45" t="s">
        <v>324</v>
      </c>
      <c r="J59" s="46">
        <f t="shared" si="0"/>
        <v>100</v>
      </c>
    </row>
    <row r="60" spans="1:10" ht="21" customHeight="1" x14ac:dyDescent="0.15">
      <c r="A60" s="45">
        <v>60026058</v>
      </c>
      <c r="B60" s="45">
        <v>0</v>
      </c>
      <c r="C60" s="45" t="s">
        <v>324</v>
      </c>
      <c r="D60" s="45">
        <v>100</v>
      </c>
      <c r="E60" s="45" t="s">
        <v>324</v>
      </c>
      <c r="F60" s="45" t="s">
        <v>324</v>
      </c>
      <c r="G60" s="45" t="s">
        <v>324</v>
      </c>
      <c r="H60" s="45" t="s">
        <v>324</v>
      </c>
      <c r="I60" s="45" t="s">
        <v>324</v>
      </c>
      <c r="J60" s="46">
        <f t="shared" si="0"/>
        <v>100</v>
      </c>
    </row>
    <row r="61" spans="1:10" ht="21" customHeight="1" x14ac:dyDescent="0.15">
      <c r="A61" s="45">
        <v>60026059</v>
      </c>
      <c r="B61" s="45">
        <v>0</v>
      </c>
      <c r="C61" s="45" t="s">
        <v>324</v>
      </c>
      <c r="D61" s="45">
        <v>100</v>
      </c>
      <c r="E61" s="45" t="s">
        <v>324</v>
      </c>
      <c r="F61" s="45" t="s">
        <v>324</v>
      </c>
      <c r="G61" s="45" t="s">
        <v>324</v>
      </c>
      <c r="H61" s="45" t="s">
        <v>324</v>
      </c>
      <c r="I61" s="45" t="s">
        <v>324</v>
      </c>
      <c r="J61" s="46">
        <f t="shared" si="0"/>
        <v>100</v>
      </c>
    </row>
    <row r="62" spans="1:10" ht="21" customHeight="1" x14ac:dyDescent="0.15">
      <c r="A62" s="45">
        <v>60026060</v>
      </c>
      <c r="B62" s="45">
        <v>1</v>
      </c>
      <c r="C62" s="45" t="s">
        <v>324</v>
      </c>
      <c r="D62" s="45">
        <v>100</v>
      </c>
      <c r="E62" s="45" t="s">
        <v>324</v>
      </c>
      <c r="F62" s="45" t="s">
        <v>324</v>
      </c>
      <c r="G62" s="45">
        <v>1</v>
      </c>
      <c r="H62" s="45" t="s">
        <v>324</v>
      </c>
      <c r="I62" s="45" t="s">
        <v>324</v>
      </c>
      <c r="J62" s="46">
        <f t="shared" si="0"/>
        <v>100</v>
      </c>
    </row>
    <row r="63" spans="1:10" ht="21" customHeight="1" x14ac:dyDescent="0.15">
      <c r="A63" s="45">
        <v>60026061</v>
      </c>
      <c r="B63" s="45">
        <v>0</v>
      </c>
      <c r="C63" s="45">
        <v>8</v>
      </c>
      <c r="D63" s="45">
        <v>40</v>
      </c>
      <c r="E63" s="45" t="s">
        <v>324</v>
      </c>
      <c r="F63" s="45" t="s">
        <v>324</v>
      </c>
      <c r="G63" s="45" t="s">
        <v>324</v>
      </c>
      <c r="H63" s="45" t="s">
        <v>324</v>
      </c>
      <c r="I63" s="45" t="s">
        <v>324</v>
      </c>
      <c r="J63" s="46">
        <f t="shared" si="0"/>
        <v>40</v>
      </c>
    </row>
    <row r="64" spans="1:10" ht="21" customHeight="1" x14ac:dyDescent="0.15">
      <c r="A64" s="45">
        <v>60026062</v>
      </c>
      <c r="B64" s="45">
        <v>0</v>
      </c>
      <c r="C64" s="45">
        <v>9</v>
      </c>
      <c r="D64" s="45">
        <v>40</v>
      </c>
      <c r="E64" s="45" t="s">
        <v>324</v>
      </c>
      <c r="F64" s="45" t="s">
        <v>324</v>
      </c>
      <c r="G64" s="45" t="s">
        <v>324</v>
      </c>
      <c r="H64" s="45" t="s">
        <v>324</v>
      </c>
      <c r="I64" s="45" t="s">
        <v>324</v>
      </c>
      <c r="J64" s="46">
        <f t="shared" si="0"/>
        <v>40</v>
      </c>
    </row>
    <row r="65" spans="1:10" ht="21" customHeight="1" x14ac:dyDescent="0.15">
      <c r="A65" s="45">
        <v>60026063</v>
      </c>
      <c r="B65" s="45">
        <v>0</v>
      </c>
      <c r="C65" s="45">
        <v>10</v>
      </c>
      <c r="D65" s="45">
        <v>40</v>
      </c>
      <c r="E65" s="45" t="s">
        <v>324</v>
      </c>
      <c r="F65" s="45" t="s">
        <v>324</v>
      </c>
      <c r="G65" s="45" t="s">
        <v>324</v>
      </c>
      <c r="H65" s="45" t="s">
        <v>324</v>
      </c>
      <c r="I65" s="45" t="s">
        <v>324</v>
      </c>
      <c r="J65" s="46">
        <f t="shared" si="0"/>
        <v>40</v>
      </c>
    </row>
    <row r="66" spans="1:10" ht="21" customHeight="1" x14ac:dyDescent="0.15">
      <c r="A66" s="45">
        <v>60026064</v>
      </c>
      <c r="B66" s="45">
        <v>0</v>
      </c>
      <c r="C66" s="45" t="s">
        <v>324</v>
      </c>
      <c r="D66" s="45">
        <v>100</v>
      </c>
      <c r="E66" s="45" t="s">
        <v>324</v>
      </c>
      <c r="F66" s="45" t="s">
        <v>324</v>
      </c>
      <c r="G66" s="45" t="s">
        <v>324</v>
      </c>
      <c r="H66" s="45">
        <v>2</v>
      </c>
      <c r="I66" s="45" t="s">
        <v>324</v>
      </c>
      <c r="J66" s="46">
        <f t="shared" ref="J66:J71" si="1">D66</f>
        <v>100</v>
      </c>
    </row>
    <row r="67" spans="1:10" ht="21" customHeight="1" x14ac:dyDescent="0.15">
      <c r="A67" s="45">
        <v>60026065</v>
      </c>
      <c r="B67" s="45">
        <v>0</v>
      </c>
      <c r="C67" s="45">
        <v>100</v>
      </c>
      <c r="D67" s="45">
        <v>100</v>
      </c>
      <c r="E67" s="45">
        <v>50</v>
      </c>
      <c r="F67" s="45" t="s">
        <v>337</v>
      </c>
      <c r="G67" s="45">
        <v>1</v>
      </c>
      <c r="H67" s="45" t="s">
        <v>337</v>
      </c>
      <c r="I67" s="45" t="s">
        <v>337</v>
      </c>
      <c r="J67" s="46">
        <f t="shared" si="1"/>
        <v>100</v>
      </c>
    </row>
    <row r="68" spans="1:10" ht="21" customHeight="1" x14ac:dyDescent="0.15">
      <c r="A68" s="45">
        <v>60026066</v>
      </c>
      <c r="B68" s="45">
        <v>0</v>
      </c>
      <c r="C68" s="45">
        <v>90</v>
      </c>
      <c r="D68" s="45">
        <v>100</v>
      </c>
      <c r="E68" s="45">
        <v>50</v>
      </c>
      <c r="F68" s="45" t="s">
        <v>337</v>
      </c>
      <c r="G68" s="45">
        <v>1</v>
      </c>
      <c r="H68" s="45" t="s">
        <v>337</v>
      </c>
      <c r="I68" s="45" t="s">
        <v>337</v>
      </c>
      <c r="J68" s="46">
        <f t="shared" si="1"/>
        <v>100</v>
      </c>
    </row>
    <row r="69" spans="1:10" ht="21" customHeight="1" x14ac:dyDescent="0.15">
      <c r="A69" s="45">
        <v>60026067</v>
      </c>
      <c r="B69" s="45">
        <v>0</v>
      </c>
      <c r="C69" s="45" t="s">
        <v>337</v>
      </c>
      <c r="D69" s="45">
        <v>100</v>
      </c>
      <c r="E69" s="45" t="s">
        <v>337</v>
      </c>
      <c r="F69" s="45" t="s">
        <v>337</v>
      </c>
      <c r="G69" s="45">
        <v>0</v>
      </c>
      <c r="H69" s="45" t="s">
        <v>53</v>
      </c>
      <c r="I69" s="45">
        <v>0</v>
      </c>
      <c r="J69" s="46">
        <f t="shared" si="1"/>
        <v>100</v>
      </c>
    </row>
    <row r="70" spans="1:10" ht="21" customHeight="1" x14ac:dyDescent="0.15">
      <c r="A70" s="45">
        <v>60026068</v>
      </c>
      <c r="B70" s="45">
        <v>0</v>
      </c>
      <c r="C70" s="45" t="s">
        <v>337</v>
      </c>
      <c r="D70" s="45">
        <v>100</v>
      </c>
      <c r="E70" s="45" t="s">
        <v>337</v>
      </c>
      <c r="F70" s="45" t="s">
        <v>337</v>
      </c>
      <c r="G70" s="45" t="s">
        <v>337</v>
      </c>
      <c r="H70" s="45" t="s">
        <v>337</v>
      </c>
      <c r="I70" s="45" t="s">
        <v>337</v>
      </c>
      <c r="J70" s="46">
        <f t="shared" si="1"/>
        <v>100</v>
      </c>
    </row>
    <row r="71" spans="1:10" ht="21" customHeight="1" x14ac:dyDescent="0.15">
      <c r="A71" s="45">
        <v>60026069</v>
      </c>
      <c r="B71" s="45">
        <v>0</v>
      </c>
      <c r="C71" s="45" t="s">
        <v>337</v>
      </c>
      <c r="D71" s="45">
        <v>100</v>
      </c>
      <c r="E71" s="45" t="s">
        <v>337</v>
      </c>
      <c r="F71" s="45" t="s">
        <v>337</v>
      </c>
      <c r="G71" s="45" t="s">
        <v>337</v>
      </c>
      <c r="H71" s="45" t="s">
        <v>337</v>
      </c>
      <c r="I71" s="45" t="s">
        <v>337</v>
      </c>
      <c r="J71" s="46">
        <f t="shared" si="1"/>
        <v>100</v>
      </c>
    </row>
  </sheetData>
  <autoFilter ref="A1:G1"/>
  <phoneticPr fontId="8"/>
  <conditionalFormatting sqref="K1 K72:K1048576">
    <cfRule type="duplicateValues" dxfId="3" priority="4"/>
  </conditionalFormatting>
  <conditionalFormatting sqref="K2">
    <cfRule type="duplicateValues" dxfId="2" priority="2"/>
  </conditionalFormatting>
  <conditionalFormatting sqref="K3">
    <cfRule type="duplicateValues" dxfId="1" priority="1"/>
  </conditionalFormatting>
  <conditionalFormatting sqref="K4:K71">
    <cfRule type="duplicateValues" dxfId="0" priority="3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C2" sqref="C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148</v>
      </c>
      <c r="B1" s="62" t="s">
        <v>149</v>
      </c>
      <c r="C1" s="63" t="s">
        <v>150</v>
      </c>
      <c r="D1" s="70" t="s">
        <v>151</v>
      </c>
      <c r="E1" s="64" t="s">
        <v>152</v>
      </c>
      <c r="F1" s="62" t="s">
        <v>153</v>
      </c>
      <c r="G1" s="62" t="s">
        <v>154</v>
      </c>
      <c r="H1" s="62" t="s">
        <v>155</v>
      </c>
      <c r="I1" s="62" t="s">
        <v>156</v>
      </c>
      <c r="J1" s="62" t="s">
        <v>157</v>
      </c>
      <c r="K1" s="62" t="s">
        <v>158</v>
      </c>
      <c r="L1" s="62" t="s">
        <v>159</v>
      </c>
      <c r="M1" s="62" t="s">
        <v>160</v>
      </c>
      <c r="N1" s="62" t="s">
        <v>161</v>
      </c>
      <c r="O1" s="62" t="s">
        <v>162</v>
      </c>
      <c r="P1" s="62" t="s">
        <v>163</v>
      </c>
      <c r="Q1" s="62" t="s">
        <v>164</v>
      </c>
      <c r="R1" s="62" t="s">
        <v>165</v>
      </c>
    </row>
    <row r="2" spans="1:18" x14ac:dyDescent="0.15">
      <c r="A2" s="55">
        <f>floors!C2</f>
        <v>60026</v>
      </c>
      <c r="B2" s="55">
        <v>1</v>
      </c>
      <c r="C2" s="69" t="str">
        <f>A2&amp; "_"&amp;B2</f>
        <v>60026_1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5">
        <v>1</v>
      </c>
      <c r="F2" s="55" t="s">
        <v>166</v>
      </c>
      <c r="G2" s="55">
        <v>1000</v>
      </c>
      <c r="H2" s="55" t="s">
        <v>167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100</v>
      </c>
      <c r="Q2" s="55" t="s">
        <v>168</v>
      </c>
      <c r="R2" s="55" t="s">
        <v>169</v>
      </c>
    </row>
    <row r="3" spans="1:18" x14ac:dyDescent="0.15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</row>
    <row r="4" spans="1:18" x14ac:dyDescent="0.15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</row>
    <row r="5" spans="1:18" x14ac:dyDescent="0.15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</row>
  </sheetData>
  <phoneticPr fontId="8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H102" sqref="H102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187</v>
      </c>
      <c r="B1" s="71" t="s">
        <v>188</v>
      </c>
      <c r="C1" s="76" t="s">
        <v>189</v>
      </c>
      <c r="D1" s="76" t="s">
        <v>33</v>
      </c>
      <c r="E1" s="71" t="s">
        <v>190</v>
      </c>
      <c r="F1" s="76" t="s">
        <v>191</v>
      </c>
      <c r="G1" s="76" t="s">
        <v>33</v>
      </c>
      <c r="H1" s="71" t="s">
        <v>192</v>
      </c>
      <c r="I1" s="91" t="s">
        <v>194</v>
      </c>
      <c r="J1" s="78" t="s">
        <v>125</v>
      </c>
      <c r="K1" s="77" t="s">
        <v>185</v>
      </c>
      <c r="L1" s="92" t="s">
        <v>184</v>
      </c>
      <c r="M1" s="79" t="s">
        <v>195</v>
      </c>
    </row>
    <row r="2" spans="1:13" x14ac:dyDescent="0.15">
      <c r="A2" s="80" t="s">
        <v>200</v>
      </c>
      <c r="B2" s="81">
        <f>floors!$C$2</f>
        <v>60026</v>
      </c>
      <c r="C2" s="82" t="str">
        <f ca="1">VLOOKUP($B2,OFFSET([2]quests!$A$1,0,0,COUNTA([2]quests!$A:$A),MATCH(C$1,[2]quests!$1:$1,0)-MATCH($B$1,[2]quests!$1:$1,0)+1),MATCH(C$1,[2]quests!$1:$1,0)-MATCH($B$1,[2]quests!$1:$1,0)+1,FALSE)</f>
        <v>ハップルチャレンジ</v>
      </c>
      <c r="D2" s="82" t="str">
        <f ca="1">VLOOKUP($B2,OFFSET([2]quests!$A$1,0,0,COUNTA([2]quests!$A:$A),MATCH(D$1,[2]quests!$1:$1,0)-MATCH($B$1,[2]quests!$1:$1,0)+1),MATCH(D$1,[2]quests!$1:$1,0)-MATCH($B$1,[2]quests!$1:$1,0)+1,FALSE)</f>
        <v>ランキング9</v>
      </c>
      <c r="E2" s="86" t="s">
        <v>215</v>
      </c>
      <c r="F2" s="82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2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4">
        <v>0</v>
      </c>
      <c r="I2">
        <v>1</v>
      </c>
      <c r="J2" s="83" t="s">
        <v>197</v>
      </c>
      <c r="K2" s="93" t="str">
        <f>VLOOKUP(I2,[7]stage_hints!$A:$C,3,FALSE)</f>
        <v>長くつなげて大ダメージ</v>
      </c>
      <c r="L2" s="94" t="str">
        <f>VLOOKUP(I2,[7]stage_hints!$A:$D,4,FALSE)</f>
        <v>パネルを長くつなげるほど_x000D_大ダメージを与えることができます</v>
      </c>
      <c r="M2" s="55" t="s">
        <v>212</v>
      </c>
    </row>
    <row r="3" spans="1:13" x14ac:dyDescent="0.15">
      <c r="A3" s="80" t="s">
        <v>200</v>
      </c>
      <c r="B3" s="81">
        <f>floors!$C$2</f>
        <v>60026</v>
      </c>
      <c r="C3" s="82" t="str">
        <f ca="1">VLOOKUP($B3,OFFSET([2]quests!$A$1,0,0,COUNTA([2]quests!$A:$A),MATCH(C$1,[2]quests!$1:$1,0)-MATCH($B$1,[2]quests!$1:$1,0)+1),MATCH(C$1,[2]quests!$1:$1,0)-MATCH($B$1,[2]quests!$1:$1,0)+1,FALSE)</f>
        <v>ハップルチャレンジ</v>
      </c>
      <c r="D3" s="82" t="str">
        <f ca="1">VLOOKUP($B3,OFFSET([2]quests!$A$1,0,0,COUNTA([2]quests!$A:$A),MATCH(D$1,[2]quests!$1:$1,0)-MATCH($B$1,[2]quests!$1:$1,0)+1),MATCH(D$1,[2]quests!$1:$1,0)-MATCH($B$1,[2]quests!$1:$1,0)+1,FALSE)</f>
        <v>ランキング9</v>
      </c>
      <c r="E3" s="86" t="s">
        <v>215</v>
      </c>
      <c r="F3" s="82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2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4">
        <v>0</v>
      </c>
      <c r="I3">
        <v>2</v>
      </c>
      <c r="J3" s="83" t="s">
        <v>197</v>
      </c>
      <c r="K3" s="93" t="str">
        <f>VLOOKUP(I3,[7]stage_hints!$A:$C,3,FALSE)</f>
        <v>属性の相性</v>
      </c>
      <c r="L3" s="94" t="str">
        <f>VLOOKUP(I3,[7]stage_hints!$A:$D,4,FALSE)</f>
        <v>赤＞青　青＞黄　黄＞緑　緑＞赤_x000D_敵属性に最適なパーティがオススメです</v>
      </c>
      <c r="M3" s="55" t="s">
        <v>212</v>
      </c>
    </row>
    <row r="4" spans="1:13" x14ac:dyDescent="0.15">
      <c r="A4" s="80" t="s">
        <v>200</v>
      </c>
      <c r="B4" s="81">
        <f>floors!$C$2</f>
        <v>60026</v>
      </c>
      <c r="C4" s="82" t="str">
        <f ca="1">VLOOKUP($B4,OFFSET([2]quests!$A$1,0,0,COUNTA([2]quests!$A:$A),MATCH(C$1,[2]quests!$1:$1,0)-MATCH($B$1,[2]quests!$1:$1,0)+1),MATCH(C$1,[2]quests!$1:$1,0)-MATCH($B$1,[2]quests!$1:$1,0)+1,FALSE)</f>
        <v>ハップルチャレンジ</v>
      </c>
      <c r="D4" s="82" t="str">
        <f ca="1">VLOOKUP($B4,OFFSET([2]quests!$A$1,0,0,COUNTA([2]quests!$A:$A),MATCH(D$1,[2]quests!$1:$1,0)-MATCH($B$1,[2]quests!$1:$1,0)+1),MATCH(D$1,[2]quests!$1:$1,0)-MATCH($B$1,[2]quests!$1:$1,0)+1,FALSE)</f>
        <v>ランキング9</v>
      </c>
      <c r="E4" s="86" t="s">
        <v>215</v>
      </c>
      <c r="F4" s="82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2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4">
        <v>0</v>
      </c>
      <c r="I4">
        <v>3</v>
      </c>
      <c r="J4" s="83" t="s">
        <v>197</v>
      </c>
      <c r="K4" s="93" t="str">
        <f>VLOOKUP(I4,[7]stage_hints!$A:$C,3,FALSE)</f>
        <v>ターゲット</v>
      </c>
      <c r="L4" s="94" t="str">
        <f>VLOOKUP(I4,[7]stage_hints!$A:$D,4,FALSE)</f>
        <v>敵ユニットをタップすると_x000D_その敵を狙い撃ちできます</v>
      </c>
      <c r="M4" s="55" t="s">
        <v>212</v>
      </c>
    </row>
    <row r="5" spans="1:13" x14ac:dyDescent="0.15">
      <c r="A5" s="80" t="s">
        <v>200</v>
      </c>
      <c r="B5" s="81">
        <f>floors!$C$2</f>
        <v>60026</v>
      </c>
      <c r="C5" s="82" t="str">
        <f ca="1">VLOOKUP($B5,OFFSET([2]quests!$A$1,0,0,COUNTA([2]quests!$A:$A),MATCH(C$1,[2]quests!$1:$1,0)-MATCH($B$1,[2]quests!$1:$1,0)+1),MATCH(C$1,[2]quests!$1:$1,0)-MATCH($B$1,[2]quests!$1:$1,0)+1,FALSE)</f>
        <v>ハップルチャレンジ</v>
      </c>
      <c r="D5" s="82" t="str">
        <f ca="1">VLOOKUP($B5,OFFSET([2]quests!$A$1,0,0,COUNTA([2]quests!$A:$A),MATCH(D$1,[2]quests!$1:$1,0)-MATCH($B$1,[2]quests!$1:$1,0)+1),MATCH(D$1,[2]quests!$1:$1,0)-MATCH($B$1,[2]quests!$1:$1,0)+1,FALSE)</f>
        <v>ランキング9</v>
      </c>
      <c r="E5" s="86" t="s">
        <v>215</v>
      </c>
      <c r="F5" s="82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2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4">
        <v>0</v>
      </c>
      <c r="I5">
        <v>5</v>
      </c>
      <c r="J5" s="83" t="s">
        <v>197</v>
      </c>
      <c r="K5" s="93" t="str">
        <f>VLOOKUP(I5,[7]stage_hints!$A:$C,3,FALSE)</f>
        <v>ユニット強化でレベルアップ</v>
      </c>
      <c r="L5" s="94" t="str">
        <f>VLOOKUP(I5,[7]stage_hints!$A:$D,4,FALSE)</f>
        <v>「ユニット強化」でレベルアップすると_x000D_勝てない敵にも勝てるようになります</v>
      </c>
      <c r="M5" s="55" t="s">
        <v>212</v>
      </c>
    </row>
    <row r="6" spans="1:13" x14ac:dyDescent="0.15">
      <c r="A6" s="80" t="s">
        <v>200</v>
      </c>
      <c r="B6" s="81">
        <f>floors!$C$2</f>
        <v>60026</v>
      </c>
      <c r="C6" s="82" t="str">
        <f ca="1">VLOOKUP($B6,OFFSET([2]quests!$A$1,0,0,COUNTA([2]quests!$A:$A),MATCH(C$1,[2]quests!$1:$1,0)-MATCH($B$1,[2]quests!$1:$1,0)+1),MATCH(C$1,[2]quests!$1:$1,0)-MATCH($B$1,[2]quests!$1:$1,0)+1,FALSE)</f>
        <v>ハップルチャレンジ</v>
      </c>
      <c r="D6" s="82" t="str">
        <f ca="1">VLOOKUP($B6,OFFSET([2]quests!$A$1,0,0,COUNTA([2]quests!$A:$A),MATCH(D$1,[2]quests!$1:$1,0)-MATCH($B$1,[2]quests!$1:$1,0)+1),MATCH(D$1,[2]quests!$1:$1,0)-MATCH($B$1,[2]quests!$1:$1,0)+1,FALSE)</f>
        <v>ランキング9</v>
      </c>
      <c r="E6" s="86" t="s">
        <v>215</v>
      </c>
      <c r="F6" s="82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2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4">
        <v>0</v>
      </c>
      <c r="I6">
        <v>6</v>
      </c>
      <c r="J6" s="83" t="s">
        <v>197</v>
      </c>
      <c r="K6" s="93" t="str">
        <f>VLOOKUP(I6,[7]stage_hints!$A:$C,3,FALSE)</f>
        <v>ユニット強化の属性ボーナス</v>
      </c>
      <c r="L6" s="94" t="str">
        <f>VLOOKUP(I6,[7]stage_hints!$A:$D,4,FALSE)</f>
        <v>同属性ユニットを強化素材にすると_x000D_経験値が多くもらえます</v>
      </c>
      <c r="M6" s="55" t="s">
        <v>212</v>
      </c>
    </row>
    <row r="7" spans="1:13" x14ac:dyDescent="0.15">
      <c r="A7" s="80" t="s">
        <v>200</v>
      </c>
      <c r="B7" s="81">
        <f>floors!$C$2</f>
        <v>60026</v>
      </c>
      <c r="C7" s="82" t="str">
        <f ca="1">VLOOKUP($B7,OFFSET([2]quests!$A$1,0,0,COUNTA([2]quests!$A:$A),MATCH(C$1,[2]quests!$1:$1,0)-MATCH($B$1,[2]quests!$1:$1,0)+1),MATCH(C$1,[2]quests!$1:$1,0)-MATCH($B$1,[2]quests!$1:$1,0)+1,FALSE)</f>
        <v>ハップルチャレンジ</v>
      </c>
      <c r="D7" s="82" t="str">
        <f ca="1">VLOOKUP($B7,OFFSET([2]quests!$A$1,0,0,COUNTA([2]quests!$A:$A),MATCH(D$1,[2]quests!$1:$1,0)-MATCH($B$1,[2]quests!$1:$1,0)+1),MATCH(D$1,[2]quests!$1:$1,0)-MATCH($B$1,[2]quests!$1:$1,0)+1,FALSE)</f>
        <v>ランキング9</v>
      </c>
      <c r="E7" s="86" t="s">
        <v>215</v>
      </c>
      <c r="F7" s="82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2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4">
        <v>0</v>
      </c>
      <c r="I7">
        <v>7</v>
      </c>
      <c r="J7" s="83" t="s">
        <v>197</v>
      </c>
      <c r="K7" s="93" t="str">
        <f>VLOOKUP(I7,[7]stage_hints!$A:$C,3,FALSE)</f>
        <v>メタルダックで経験値を獲得</v>
      </c>
      <c r="L7" s="94" t="str">
        <f>VLOOKUP(I7,[7]stage_hints!$A:$D,4,FALSE)</f>
        <v>「メタルなアヒル」を強化素材にすると_x000D_大量の経験値がもらえます</v>
      </c>
      <c r="M7" s="55" t="s">
        <v>212</v>
      </c>
    </row>
    <row r="8" spans="1:13" x14ac:dyDescent="0.15">
      <c r="A8" s="80" t="s">
        <v>200</v>
      </c>
      <c r="B8" s="81">
        <f>floors!$C$2</f>
        <v>60026</v>
      </c>
      <c r="C8" s="82" t="str">
        <f ca="1">VLOOKUP($B8,OFFSET([2]quests!$A$1,0,0,COUNTA([2]quests!$A:$A),MATCH(C$1,[2]quests!$1:$1,0)-MATCH($B$1,[2]quests!$1:$1,0)+1),MATCH(C$1,[2]quests!$1:$1,0)-MATCH($B$1,[2]quests!$1:$1,0)+1,FALSE)</f>
        <v>ハップルチャレンジ</v>
      </c>
      <c r="D8" s="82" t="str">
        <f ca="1">VLOOKUP($B8,OFFSET([2]quests!$A$1,0,0,COUNTA([2]quests!$A:$A),MATCH(D$1,[2]quests!$1:$1,0)-MATCH($B$1,[2]quests!$1:$1,0)+1),MATCH(D$1,[2]quests!$1:$1,0)-MATCH($B$1,[2]quests!$1:$1,0)+1,FALSE)</f>
        <v>ランキング9</v>
      </c>
      <c r="E8" s="86" t="s">
        <v>215</v>
      </c>
      <c r="F8" s="82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2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4">
        <v>0</v>
      </c>
      <c r="I8">
        <v>8</v>
      </c>
      <c r="J8" s="83" t="s">
        <v>197</v>
      </c>
      <c r="K8" s="93" t="str">
        <f>VLOOKUP(I8,[7]stage_hints!$A:$C,3,FALSE)</f>
        <v>ゲリラクエストは要チェック</v>
      </c>
      <c r="L8" s="94" t="str">
        <f>VLOOKUP(I8,[7]stage_hints!$A:$D,4,FALSE)</f>
        <v>時間限定の「アヒル捕獲作戦」では_x000D_経験値素材ユニットが多く手に入ります</v>
      </c>
      <c r="M8" s="55" t="s">
        <v>212</v>
      </c>
    </row>
    <row r="9" spans="1:13" x14ac:dyDescent="0.15">
      <c r="A9" s="80" t="s">
        <v>200</v>
      </c>
      <c r="B9" s="81">
        <f>floors!$C$2</f>
        <v>60026</v>
      </c>
      <c r="C9" s="82" t="str">
        <f ca="1">VLOOKUP($B9,OFFSET([2]quests!$A$1,0,0,COUNTA([2]quests!$A:$A),MATCH(C$1,[2]quests!$1:$1,0)-MATCH($B$1,[2]quests!$1:$1,0)+1),MATCH(C$1,[2]quests!$1:$1,0)-MATCH($B$1,[2]quests!$1:$1,0)+1,FALSE)</f>
        <v>ハップルチャレンジ</v>
      </c>
      <c r="D9" s="82" t="str">
        <f ca="1">VLOOKUP($B9,OFFSET([2]quests!$A$1,0,0,COUNTA([2]quests!$A:$A),MATCH(D$1,[2]quests!$1:$1,0)-MATCH($B$1,[2]quests!$1:$1,0)+1),MATCH(D$1,[2]quests!$1:$1,0)-MATCH($B$1,[2]quests!$1:$1,0)+1,FALSE)</f>
        <v>ランキング9</v>
      </c>
      <c r="E9" s="86" t="s">
        <v>215</v>
      </c>
      <c r="F9" s="82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2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4">
        <v>0</v>
      </c>
      <c r="I9">
        <v>9</v>
      </c>
      <c r="J9" s="83" t="s">
        <v>197</v>
      </c>
      <c r="K9" s="93" t="str">
        <f>VLOOKUP(I9,[7]stage_hints!$A:$C,3,FALSE)</f>
        <v>ゴールドダックでビットを獲得</v>
      </c>
      <c r="L9" s="94" t="str">
        <f>VLOOKUP(I9,[7]stage_hints!$A:$D,4,FALSE)</f>
        <v>「ゴールドなアヒル」を売却すると_x000D_大量のビットがもらえます</v>
      </c>
      <c r="M9" s="55" t="s">
        <v>212</v>
      </c>
    </row>
    <row r="10" spans="1:13" x14ac:dyDescent="0.15">
      <c r="A10" s="80" t="s">
        <v>200</v>
      </c>
      <c r="B10" s="81">
        <f>floors!$C$2</f>
        <v>60026</v>
      </c>
      <c r="C10" s="82" t="str">
        <f ca="1">VLOOKUP($B10,OFFSET([2]quests!$A$1,0,0,COUNTA([2]quests!$A:$A),MATCH(C$1,[2]quests!$1:$1,0)-MATCH($B$1,[2]quests!$1:$1,0)+1),MATCH(C$1,[2]quests!$1:$1,0)-MATCH($B$1,[2]quests!$1:$1,0)+1,FALSE)</f>
        <v>ハップルチャレンジ</v>
      </c>
      <c r="D10" s="82" t="str">
        <f ca="1">VLOOKUP($B10,OFFSET([2]quests!$A$1,0,0,COUNTA([2]quests!$A:$A),MATCH(D$1,[2]quests!$1:$1,0)-MATCH($B$1,[2]quests!$1:$1,0)+1),MATCH(D$1,[2]quests!$1:$1,0)-MATCH($B$1,[2]quests!$1:$1,0)+1,FALSE)</f>
        <v>ランキング9</v>
      </c>
      <c r="E10" s="86" t="s">
        <v>215</v>
      </c>
      <c r="F10" s="82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2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4">
        <v>0</v>
      </c>
      <c r="I10">
        <v>10</v>
      </c>
      <c r="J10" s="83" t="s">
        <v>197</v>
      </c>
      <c r="K10" s="93" t="str">
        <f>VLOOKUP(I10,[7]stage_hints!$A:$C,3,FALSE)</f>
        <v>土日に大量のビットを獲得</v>
      </c>
      <c r="L10" s="94" t="str">
        <f>VLOOKUP(I10,[7]stage_hints!$A:$D,4,FALSE)</f>
        <v>土日限定の「ゴールドカジノ」では_x000D_売却素材ユニットが多く手に入ります</v>
      </c>
      <c r="M10" s="55" t="s">
        <v>212</v>
      </c>
    </row>
    <row r="11" spans="1:13" x14ac:dyDescent="0.15">
      <c r="A11" s="80" t="s">
        <v>200</v>
      </c>
      <c r="B11" s="81">
        <f>floors!$C$2</f>
        <v>60026</v>
      </c>
      <c r="C11" s="82" t="str">
        <f ca="1">VLOOKUP($B11,OFFSET([2]quests!$A$1,0,0,COUNTA([2]quests!$A:$A),MATCH(C$1,[2]quests!$1:$1,0)-MATCH($B$1,[2]quests!$1:$1,0)+1),MATCH(C$1,[2]quests!$1:$1,0)-MATCH($B$1,[2]quests!$1:$1,0)+1,FALSE)</f>
        <v>ハップルチャレンジ</v>
      </c>
      <c r="D11" s="82" t="str">
        <f ca="1">VLOOKUP($B11,OFFSET([2]quests!$A$1,0,0,COUNTA([2]quests!$A:$A),MATCH(D$1,[2]quests!$1:$1,0)-MATCH($B$1,[2]quests!$1:$1,0)+1),MATCH(D$1,[2]quests!$1:$1,0)-MATCH($B$1,[2]quests!$1:$1,0)+1,FALSE)</f>
        <v>ランキング9</v>
      </c>
      <c r="E11" s="86" t="s">
        <v>215</v>
      </c>
      <c r="F11" s="82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2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4">
        <v>0</v>
      </c>
      <c r="I11">
        <v>11</v>
      </c>
      <c r="J11" s="83" t="s">
        <v>197</v>
      </c>
      <c r="K11" s="93" t="str">
        <f>VLOOKUP(I11,[7]stage_hints!$A:$C,3,FALSE)</f>
        <v>ランク解放クエスト</v>
      </c>
      <c r="L11" s="94" t="str">
        <f>VLOOKUP(I11,[7]stage_hints!$A:$D,4,FALSE)</f>
        <v>一定ランクに到達すると_x000D_報酬付きのランク開放クエストが現れます</v>
      </c>
      <c r="M11" s="55" t="s">
        <v>212</v>
      </c>
    </row>
    <row r="12" spans="1:13" x14ac:dyDescent="0.15">
      <c r="A12" s="80" t="s">
        <v>200</v>
      </c>
      <c r="B12" s="81">
        <f>floors!$C$2</f>
        <v>60026</v>
      </c>
      <c r="C12" s="82" t="str">
        <f ca="1">VLOOKUP($B12,OFFSET([2]quests!$A$1,0,0,COUNTA([2]quests!$A:$A),MATCH(C$1,[2]quests!$1:$1,0)-MATCH($B$1,[2]quests!$1:$1,0)+1),MATCH(C$1,[2]quests!$1:$1,0)-MATCH($B$1,[2]quests!$1:$1,0)+1,FALSE)</f>
        <v>ハップルチャレンジ</v>
      </c>
      <c r="D12" s="82" t="str">
        <f ca="1">VLOOKUP($B12,OFFSET([2]quests!$A$1,0,0,COUNTA([2]quests!$A:$A),MATCH(D$1,[2]quests!$1:$1,0)-MATCH($B$1,[2]quests!$1:$1,0)+1),MATCH(D$1,[2]quests!$1:$1,0)-MATCH($B$1,[2]quests!$1:$1,0)+1,FALSE)</f>
        <v>ランキング9</v>
      </c>
      <c r="E12" s="86" t="s">
        <v>215</v>
      </c>
      <c r="F12" s="82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2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4">
        <v>0</v>
      </c>
      <c r="I12">
        <v>12</v>
      </c>
      <c r="J12" s="83" t="s">
        <v>197</v>
      </c>
      <c r="K12" s="93" t="str">
        <f>VLOOKUP(I12,[7]stage_hints!$A:$C,3,FALSE)</f>
        <v>ユニットのお気に入り登録</v>
      </c>
      <c r="L12" s="94" t="str">
        <f>VLOOKUP(I12,[7]stage_hints!$A:$D,4,FALSE)</f>
        <v>大事なユニットを誤って消さないように_x000D_フォルダから「お気に入り登録」しましょう</v>
      </c>
      <c r="M12" s="55" t="s">
        <v>212</v>
      </c>
    </row>
    <row r="13" spans="1:13" x14ac:dyDescent="0.15">
      <c r="A13" s="80" t="s">
        <v>200</v>
      </c>
      <c r="B13" s="81">
        <f>floors!$C$2</f>
        <v>60026</v>
      </c>
      <c r="C13" s="82" t="str">
        <f ca="1">VLOOKUP($B13,OFFSET([2]quests!$A$1,0,0,COUNTA([2]quests!$A:$A),MATCH(C$1,[2]quests!$1:$1,0)-MATCH($B$1,[2]quests!$1:$1,0)+1),MATCH(C$1,[2]quests!$1:$1,0)-MATCH($B$1,[2]quests!$1:$1,0)+1,FALSE)</f>
        <v>ハップルチャレンジ</v>
      </c>
      <c r="D13" s="82" t="str">
        <f ca="1">VLOOKUP($B13,OFFSET([2]quests!$A$1,0,0,COUNTA([2]quests!$A:$A),MATCH(D$1,[2]quests!$1:$1,0)-MATCH($B$1,[2]quests!$1:$1,0)+1),MATCH(D$1,[2]quests!$1:$1,0)-MATCH($B$1,[2]quests!$1:$1,0)+1,FALSE)</f>
        <v>ランキング9</v>
      </c>
      <c r="E13" s="86" t="s">
        <v>215</v>
      </c>
      <c r="F13" s="82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2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4">
        <v>0</v>
      </c>
      <c r="I13">
        <v>13</v>
      </c>
      <c r="J13" s="83" t="s">
        <v>197</v>
      </c>
      <c r="K13" s="93" t="str">
        <f>VLOOKUP(I13,[7]stage_hints!$A:$C,3,FALSE)</f>
        <v>ユニットの覚醒</v>
      </c>
      <c r="L13" s="94" t="str">
        <f>VLOOKUP(I13,[7]stage_hints!$A:$D,4,FALSE)</f>
        <v>ユニットを覚醒させると_x000D_比べものにならない強さが手に入ります</v>
      </c>
      <c r="M13" s="55" t="s">
        <v>212</v>
      </c>
    </row>
    <row r="14" spans="1:13" x14ac:dyDescent="0.15">
      <c r="A14" s="80" t="s">
        <v>200</v>
      </c>
      <c r="B14" s="81">
        <f>floors!$C$2</f>
        <v>60026</v>
      </c>
      <c r="C14" s="82" t="str">
        <f ca="1">VLOOKUP($B14,OFFSET([2]quests!$A$1,0,0,COUNTA([2]quests!$A:$A),MATCH(C$1,[2]quests!$1:$1,0)-MATCH($B$1,[2]quests!$1:$1,0)+1),MATCH(C$1,[2]quests!$1:$1,0)-MATCH($B$1,[2]quests!$1:$1,0)+1,FALSE)</f>
        <v>ハップルチャレンジ</v>
      </c>
      <c r="D14" s="82" t="str">
        <f ca="1">VLOOKUP($B14,OFFSET([2]quests!$A$1,0,0,COUNTA([2]quests!$A:$A),MATCH(D$1,[2]quests!$1:$1,0)-MATCH($B$1,[2]quests!$1:$1,0)+1),MATCH(D$1,[2]quests!$1:$1,0)-MATCH($B$1,[2]quests!$1:$1,0)+1,FALSE)</f>
        <v>ランキング9</v>
      </c>
      <c r="E14" s="86" t="s">
        <v>215</v>
      </c>
      <c r="F14" s="82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2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4">
        <v>0</v>
      </c>
      <c r="I14">
        <v>14</v>
      </c>
      <c r="J14" s="83" t="s">
        <v>197</v>
      </c>
      <c r="K14" s="93" t="str">
        <f>VLOOKUP(I14,[7]stage_hints!$A:$C,3,FALSE)</f>
        <v>覚醒するにはレベルを最大に</v>
      </c>
      <c r="L14" s="94" t="str">
        <f>VLOOKUP(I14,[7]stage_hints!$A:$D,4,FALSE)</f>
        <v>覚醒するにはユニットのレベルを_x000D_最大まで上げる必要があります</v>
      </c>
      <c r="M14" s="55" t="s">
        <v>212</v>
      </c>
    </row>
    <row r="15" spans="1:13" x14ac:dyDescent="0.15">
      <c r="A15" s="80" t="s">
        <v>200</v>
      </c>
      <c r="B15" s="81">
        <f>floors!$C$2</f>
        <v>60026</v>
      </c>
      <c r="C15" s="82" t="str">
        <f ca="1">VLOOKUP($B15,OFFSET([2]quests!$A$1,0,0,COUNTA([2]quests!$A:$A),MATCH(C$1,[2]quests!$1:$1,0)-MATCH($B$1,[2]quests!$1:$1,0)+1),MATCH(C$1,[2]quests!$1:$1,0)-MATCH($B$1,[2]quests!$1:$1,0)+1,FALSE)</f>
        <v>ハップルチャレンジ</v>
      </c>
      <c r="D15" s="82" t="str">
        <f ca="1">VLOOKUP($B15,OFFSET([2]quests!$A$1,0,0,COUNTA([2]quests!$A:$A),MATCH(D$1,[2]quests!$1:$1,0)-MATCH($B$1,[2]quests!$1:$1,0)+1),MATCH(D$1,[2]quests!$1:$1,0)-MATCH($B$1,[2]quests!$1:$1,0)+1,FALSE)</f>
        <v>ランキング9</v>
      </c>
      <c r="E15" s="86" t="s">
        <v>215</v>
      </c>
      <c r="F15" s="82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2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4">
        <v>0</v>
      </c>
      <c r="I15">
        <v>15</v>
      </c>
      <c r="J15" s="83" t="s">
        <v>197</v>
      </c>
      <c r="K15" s="93" t="str">
        <f>VLOOKUP(I15,[7]stage_hints!$A:$C,3,FALSE)</f>
        <v>覚醒素材を獲得</v>
      </c>
      <c r="L15" s="94" t="str">
        <f>VLOOKUP(I15,[7]stage_hints!$A:$D,4,FALSE)</f>
        <v>「曜日クエスト」では_x000D_ユニットの覚醒に必要な素材が手に入ります</v>
      </c>
      <c r="M15" s="55" t="s">
        <v>212</v>
      </c>
    </row>
    <row r="16" spans="1:13" x14ac:dyDescent="0.15">
      <c r="A16" s="80" t="s">
        <v>200</v>
      </c>
      <c r="B16" s="81">
        <f>floors!$C$2</f>
        <v>60026</v>
      </c>
      <c r="C16" s="82" t="str">
        <f ca="1">VLOOKUP($B16,OFFSET([2]quests!$A$1,0,0,COUNTA([2]quests!$A:$A),MATCH(C$1,[2]quests!$1:$1,0)-MATCH($B$1,[2]quests!$1:$1,0)+1),MATCH(C$1,[2]quests!$1:$1,0)-MATCH($B$1,[2]quests!$1:$1,0)+1,FALSE)</f>
        <v>ハップルチャレンジ</v>
      </c>
      <c r="D16" s="82" t="str">
        <f ca="1">VLOOKUP($B16,OFFSET([2]quests!$A$1,0,0,COUNTA([2]quests!$A:$A),MATCH(D$1,[2]quests!$1:$1,0)-MATCH($B$1,[2]quests!$1:$1,0)+1),MATCH(D$1,[2]quests!$1:$1,0)-MATCH($B$1,[2]quests!$1:$1,0)+1,FALSE)</f>
        <v>ランキング9</v>
      </c>
      <c r="E16" s="86" t="s">
        <v>215</v>
      </c>
      <c r="F16" s="82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2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4">
        <v>0</v>
      </c>
      <c r="I16">
        <v>16</v>
      </c>
      <c r="J16" s="83" t="s">
        <v>197</v>
      </c>
      <c r="K16" s="93" t="str">
        <f>VLOOKUP(I16,[7]stage_hints!$A:$C,3,FALSE)</f>
        <v>マルチプレイのメリット（その1）</v>
      </c>
      <c r="L16" s="94" t="str">
        <f>VLOOKUP(I16,[7]stage_hints!$A:$D,4,FALSE)</f>
        <v>他のプレイヤーとマルチプレイで遊ぶと_x000D_ポリゴンがもらえます（100人まで）</v>
      </c>
      <c r="M16" s="55" t="s">
        <v>212</v>
      </c>
    </row>
    <row r="17" spans="1:13" x14ac:dyDescent="0.15">
      <c r="A17" s="80" t="s">
        <v>200</v>
      </c>
      <c r="B17" s="81">
        <f>floors!$C$2</f>
        <v>60026</v>
      </c>
      <c r="C17" s="82" t="str">
        <f ca="1">VLOOKUP($B17,OFFSET([2]quests!$A$1,0,0,COUNTA([2]quests!$A:$A),MATCH(C$1,[2]quests!$1:$1,0)-MATCH($B$1,[2]quests!$1:$1,0)+1),MATCH(C$1,[2]quests!$1:$1,0)-MATCH($B$1,[2]quests!$1:$1,0)+1,FALSE)</f>
        <v>ハップルチャレンジ</v>
      </c>
      <c r="D17" s="82" t="str">
        <f ca="1">VLOOKUP($B17,OFFSET([2]quests!$A$1,0,0,COUNTA([2]quests!$A:$A),MATCH(D$1,[2]quests!$1:$1,0)-MATCH($B$1,[2]quests!$1:$1,0)+1),MATCH(D$1,[2]quests!$1:$1,0)-MATCH($B$1,[2]quests!$1:$1,0)+1,FALSE)</f>
        <v>ランキング9</v>
      </c>
      <c r="E17" s="86" t="s">
        <v>215</v>
      </c>
      <c r="F17" s="82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2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4">
        <v>0</v>
      </c>
      <c r="I17">
        <v>17</v>
      </c>
      <c r="J17" s="83" t="s">
        <v>197</v>
      </c>
      <c r="K17" s="93" t="str">
        <f>VLOOKUP(I17,[7]stage_hints!$A:$C,3,FALSE)</f>
        <v>リンクガチャ</v>
      </c>
      <c r="L17" s="94" t="str">
        <f>VLOOKUP(I17,[7]stage_hints!$A:$D,4,FALSE)</f>
        <v>無料のリンクガチャを回して_x000D_経験値素材や売却素材を獲得しましょう</v>
      </c>
      <c r="M17" s="55" t="s">
        <v>212</v>
      </c>
    </row>
    <row r="18" spans="1:13" x14ac:dyDescent="0.15">
      <c r="A18" s="80" t="s">
        <v>200</v>
      </c>
      <c r="B18" s="81">
        <f>floors!$C$2</f>
        <v>60026</v>
      </c>
      <c r="C18" s="82" t="str">
        <f ca="1">VLOOKUP($B18,OFFSET([2]quests!$A$1,0,0,COUNTA([2]quests!$A:$A),MATCH(C$1,[2]quests!$1:$1,0)-MATCH($B$1,[2]quests!$1:$1,0)+1),MATCH(C$1,[2]quests!$1:$1,0)-MATCH($B$1,[2]quests!$1:$1,0)+1,FALSE)</f>
        <v>ハップルチャレンジ</v>
      </c>
      <c r="D18" s="82" t="str">
        <f ca="1">VLOOKUP($B18,OFFSET([2]quests!$A$1,0,0,COUNTA([2]quests!$A:$A),MATCH(D$1,[2]quests!$1:$1,0)-MATCH($B$1,[2]quests!$1:$1,0)+1),MATCH(D$1,[2]quests!$1:$1,0)-MATCH($B$1,[2]quests!$1:$1,0)+1,FALSE)</f>
        <v>ランキング9</v>
      </c>
      <c r="E18" s="86" t="s">
        <v>215</v>
      </c>
      <c r="F18" s="82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2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4">
        <v>0</v>
      </c>
      <c r="I18">
        <v>18</v>
      </c>
      <c r="J18" s="83" t="s">
        <v>197</v>
      </c>
      <c r="K18" s="93" t="str">
        <f>VLOOKUP(I18,[7]stage_hints!$A:$C,3,FALSE)</f>
        <v>マルチプレイのメリット（その2）</v>
      </c>
      <c r="L18" s="94" t="str">
        <f>VLOOKUP(I18,[7]stage_hints!$A:$D,4,FALSE)</f>
        <v>マルチプレイならリンクが2倍もらえます_x000D_リンクガチャをたくさん回しましょう</v>
      </c>
      <c r="M18" s="55" t="s">
        <v>212</v>
      </c>
    </row>
    <row r="19" spans="1:13" x14ac:dyDescent="0.15">
      <c r="A19" s="80" t="s">
        <v>200</v>
      </c>
      <c r="B19" s="81">
        <f>floors!$C$2</f>
        <v>60026</v>
      </c>
      <c r="C19" s="82" t="str">
        <f ca="1">VLOOKUP($B19,OFFSET([2]quests!$A$1,0,0,COUNTA([2]quests!$A:$A),MATCH(C$1,[2]quests!$1:$1,0)-MATCH($B$1,[2]quests!$1:$1,0)+1),MATCH(C$1,[2]quests!$1:$1,0)-MATCH($B$1,[2]quests!$1:$1,0)+1,FALSE)</f>
        <v>ハップルチャレンジ</v>
      </c>
      <c r="D19" s="82" t="str">
        <f ca="1">VLOOKUP($B19,OFFSET([2]quests!$A$1,0,0,COUNTA([2]quests!$A:$A),MATCH(D$1,[2]quests!$1:$1,0)-MATCH($B$1,[2]quests!$1:$1,0)+1),MATCH(D$1,[2]quests!$1:$1,0)-MATCH($B$1,[2]quests!$1:$1,0)+1,FALSE)</f>
        <v>ランキング9</v>
      </c>
      <c r="E19" s="86" t="s">
        <v>215</v>
      </c>
      <c r="F19" s="82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2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4">
        <v>0</v>
      </c>
      <c r="I19">
        <v>19</v>
      </c>
      <c r="J19" s="83" t="s">
        <v>197</v>
      </c>
      <c r="K19" s="93" t="str">
        <f>VLOOKUP(I19,[7]stage_hints!$A:$C,3,FALSE)</f>
        <v>ソロ専用タワーオブザクイーン</v>
      </c>
      <c r="L19" s="94" t="str">
        <f>VLOOKUP(I19,[7]stage_hints!$A:$D,4,FALSE)</f>
        <v>ソロ専用の「タワーオブザクイーン」は_x000D_期間限定で定期的に開催されます_x000D_ここでしか獲得できない報酬もあるようです</v>
      </c>
      <c r="M19" s="55" t="s">
        <v>212</v>
      </c>
    </row>
    <row r="20" spans="1:13" x14ac:dyDescent="0.15">
      <c r="A20" s="80" t="s">
        <v>200</v>
      </c>
      <c r="B20" s="81">
        <f>floors!$C$2</f>
        <v>60026</v>
      </c>
      <c r="C20" s="82" t="str">
        <f ca="1">VLOOKUP($B20,OFFSET([2]quests!$A$1,0,0,COUNTA([2]quests!$A:$A),MATCH(C$1,[2]quests!$1:$1,0)-MATCH($B$1,[2]quests!$1:$1,0)+1),MATCH(C$1,[2]quests!$1:$1,0)-MATCH($B$1,[2]quests!$1:$1,0)+1,FALSE)</f>
        <v>ハップルチャレンジ</v>
      </c>
      <c r="D20" s="82" t="str">
        <f ca="1">VLOOKUP($B20,OFFSET([2]quests!$A$1,0,0,COUNTA([2]quests!$A:$A),MATCH(D$1,[2]quests!$1:$1,0)-MATCH($B$1,[2]quests!$1:$1,0)+1),MATCH(D$1,[2]quests!$1:$1,0)-MATCH($B$1,[2]quests!$1:$1,0)+1,FALSE)</f>
        <v>ランキング9</v>
      </c>
      <c r="E20" s="86" t="s">
        <v>215</v>
      </c>
      <c r="F20" s="82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2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4">
        <v>0</v>
      </c>
      <c r="I20">
        <v>20</v>
      </c>
      <c r="J20" s="83" t="s">
        <v>197</v>
      </c>
      <c r="K20" s="93" t="str">
        <f>VLOOKUP(I20,[7]stage_hints!$A:$C,3,FALSE)</f>
        <v>マルチプレイのメリット（その3）</v>
      </c>
      <c r="L20" s="94" t="str">
        <f>VLOOKUP(I20,[7]stage_hints!$A:$D,4,FALSE)</f>
        <v>マルチプレイへの参加はエナジー消費ゼロ_x000D_いつでも好きなだけ遊ぶことができます</v>
      </c>
      <c r="M20" s="55" t="s">
        <v>212</v>
      </c>
    </row>
    <row r="21" spans="1:13" x14ac:dyDescent="0.15">
      <c r="A21" s="80" t="s">
        <v>200</v>
      </c>
      <c r="B21" s="81">
        <f>floors!$C$2</f>
        <v>60026</v>
      </c>
      <c r="C21" s="82" t="str">
        <f ca="1">VLOOKUP($B21,OFFSET([2]quests!$A$1,0,0,COUNTA([2]quests!$A:$A),MATCH(C$1,[2]quests!$1:$1,0)-MATCH($B$1,[2]quests!$1:$1,0)+1),MATCH(C$1,[2]quests!$1:$1,0)-MATCH($B$1,[2]quests!$1:$1,0)+1,FALSE)</f>
        <v>ハップルチャレンジ</v>
      </c>
      <c r="D21" s="82" t="str">
        <f ca="1">VLOOKUP($B21,OFFSET([2]quests!$A$1,0,0,COUNTA([2]quests!$A:$A),MATCH(D$1,[2]quests!$1:$1,0)-MATCH($B$1,[2]quests!$1:$1,0)+1),MATCH(D$1,[2]quests!$1:$1,0)-MATCH($B$1,[2]quests!$1:$1,0)+1,FALSE)</f>
        <v>ランキング9</v>
      </c>
      <c r="E21" s="86" t="s">
        <v>215</v>
      </c>
      <c r="F21" s="82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2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4">
        <v>0</v>
      </c>
      <c r="I21">
        <v>21</v>
      </c>
      <c r="J21" s="83" t="s">
        <v>197</v>
      </c>
      <c r="K21" s="93" t="str">
        <f>VLOOKUP(I21,[7]stage_hints!$A:$C,3,FALSE)</f>
        <v>スキルを有効に</v>
      </c>
      <c r="L21" s="94" t="str">
        <f>VLOOKUP(I21,[7]stage_hints!$A:$D,4,FALSE)</f>
        <v>ターン経過でユニットのスキルが使えます_x000D_強力スキルでバトルを有利に進めましょう</v>
      </c>
      <c r="M21" s="55" t="s">
        <v>212</v>
      </c>
    </row>
    <row r="22" spans="1:13" x14ac:dyDescent="0.15">
      <c r="A22" s="80" t="s">
        <v>200</v>
      </c>
      <c r="B22" s="81">
        <f>floors!$C$2</f>
        <v>60026</v>
      </c>
      <c r="C22" s="82" t="str">
        <f ca="1">VLOOKUP($B22,OFFSET([2]quests!$A$1,0,0,COUNTA([2]quests!$A:$A),MATCH(C$1,[2]quests!$1:$1,0)-MATCH($B$1,[2]quests!$1:$1,0)+1),MATCH(C$1,[2]quests!$1:$1,0)-MATCH($B$1,[2]quests!$1:$1,0)+1,FALSE)</f>
        <v>ハップルチャレンジ</v>
      </c>
      <c r="D22" s="82" t="str">
        <f ca="1">VLOOKUP($B22,OFFSET([2]quests!$A$1,0,0,COUNTA([2]quests!$A:$A),MATCH(D$1,[2]quests!$1:$1,0)-MATCH($B$1,[2]quests!$1:$1,0)+1),MATCH(D$1,[2]quests!$1:$1,0)-MATCH($B$1,[2]quests!$1:$1,0)+1,FALSE)</f>
        <v>ランキング9</v>
      </c>
      <c r="E22" s="86" t="s">
        <v>215</v>
      </c>
      <c r="F22" s="82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2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4">
        <v>0</v>
      </c>
      <c r="I22">
        <v>22</v>
      </c>
      <c r="J22" s="83" t="s">
        <v>197</v>
      </c>
      <c r="K22" s="93" t="str">
        <f>VLOOKUP(I22,[7]stage_hints!$A:$C,3,FALSE)</f>
        <v>フィーバーで一発逆転（その1）</v>
      </c>
      <c r="L22" s="94" t="str">
        <f>VLOOKUP(I22,[7]stage_hints!$A:$D,4,FALSE)</f>
        <v>フィーバーは攻撃と回復を兼ね備えます_x000D_ピンチからの一発逆転を狙いましょう</v>
      </c>
      <c r="M22" s="55" t="s">
        <v>212</v>
      </c>
    </row>
    <row r="23" spans="1:13" x14ac:dyDescent="0.15">
      <c r="A23" s="80" t="s">
        <v>200</v>
      </c>
      <c r="B23" s="81">
        <f>floors!$C$2</f>
        <v>60026</v>
      </c>
      <c r="C23" s="82" t="str">
        <f ca="1">VLOOKUP($B23,OFFSET([2]quests!$A$1,0,0,COUNTA([2]quests!$A:$A),MATCH(C$1,[2]quests!$1:$1,0)-MATCH($B$1,[2]quests!$1:$1,0)+1),MATCH(C$1,[2]quests!$1:$1,0)-MATCH($B$1,[2]quests!$1:$1,0)+1,FALSE)</f>
        <v>ハップルチャレンジ</v>
      </c>
      <c r="D23" s="82" t="str">
        <f ca="1">VLOOKUP($B23,OFFSET([2]quests!$A$1,0,0,COUNTA([2]quests!$A:$A),MATCH(D$1,[2]quests!$1:$1,0)-MATCH($B$1,[2]quests!$1:$1,0)+1),MATCH(D$1,[2]quests!$1:$1,0)-MATCH($B$1,[2]quests!$1:$1,0)+1,FALSE)</f>
        <v>ランキング9</v>
      </c>
      <c r="E23" s="86" t="s">
        <v>215</v>
      </c>
      <c r="F23" s="82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2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4">
        <v>0</v>
      </c>
      <c r="I23">
        <v>23</v>
      </c>
      <c r="J23" s="83" t="s">
        <v>197</v>
      </c>
      <c r="K23" s="93" t="str">
        <f>VLOOKUP(I23,[7]stage_hints!$A:$C,3,FALSE)</f>
        <v>フィーバーで一発逆転（その2）</v>
      </c>
      <c r="L23" s="94" t="str">
        <f>VLOOKUP(I23,[7]stage_hints!$A:$D,4,FALSE)</f>
        <v>フィーバー中は虹色のボムパネルを狙って_x000D_画面上のパネルを一気に破壊しましょう</v>
      </c>
      <c r="M23" s="55" t="s">
        <v>212</v>
      </c>
    </row>
    <row r="24" spans="1:13" x14ac:dyDescent="0.15">
      <c r="A24" s="80" t="s">
        <v>200</v>
      </c>
      <c r="B24" s="81">
        <f>floors!$C$2</f>
        <v>60026</v>
      </c>
      <c r="C24" s="82" t="str">
        <f ca="1">VLOOKUP($B24,OFFSET([2]quests!$A$1,0,0,COUNTA([2]quests!$A:$A),MATCH(C$1,[2]quests!$1:$1,0)-MATCH($B$1,[2]quests!$1:$1,0)+1),MATCH(C$1,[2]quests!$1:$1,0)-MATCH($B$1,[2]quests!$1:$1,0)+1,FALSE)</f>
        <v>ハップルチャレンジ</v>
      </c>
      <c r="D24" s="82" t="str">
        <f ca="1">VLOOKUP($B24,OFFSET([2]quests!$A$1,0,0,COUNTA([2]quests!$A:$A),MATCH(D$1,[2]quests!$1:$1,0)-MATCH($B$1,[2]quests!$1:$1,0)+1),MATCH(D$1,[2]quests!$1:$1,0)-MATCH($B$1,[2]quests!$1:$1,0)+1,FALSE)</f>
        <v>ランキング9</v>
      </c>
      <c r="E24" s="86" t="s">
        <v>215</v>
      </c>
      <c r="F24" s="82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2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4">
        <v>0</v>
      </c>
      <c r="I24">
        <v>24</v>
      </c>
      <c r="J24" s="83" t="s">
        <v>197</v>
      </c>
      <c r="K24" s="93" t="str">
        <f>VLOOKUP(I24,[7]stage_hints!$A:$C,3,FALSE)</f>
        <v>果実を使って限界突破</v>
      </c>
      <c r="L24" s="94" t="str">
        <f>VLOOKUP(I24,[7]stage_hints!$A:$D,4,FALSE)</f>
        <v>攻めの果実 癒しの果実_x000D_生命の果実をユニット強化に使うと_x000D_ステータスが限界突破します（計99個迄）</v>
      </c>
      <c r="M24" s="55" t="s">
        <v>212</v>
      </c>
    </row>
    <row r="25" spans="1:13" x14ac:dyDescent="0.15">
      <c r="A25" s="80" t="s">
        <v>200</v>
      </c>
      <c r="B25" s="81">
        <f>floors!$C$2</f>
        <v>60026</v>
      </c>
      <c r="C25" s="82" t="str">
        <f ca="1">VLOOKUP($B25,OFFSET([2]quests!$A$1,0,0,COUNTA([2]quests!$A:$A),MATCH(C$1,[2]quests!$1:$1,0)-MATCH($B$1,[2]quests!$1:$1,0)+1),MATCH(C$1,[2]quests!$1:$1,0)-MATCH($B$1,[2]quests!$1:$1,0)+1,FALSE)</f>
        <v>ハップルチャレンジ</v>
      </c>
      <c r="D25" s="82" t="str">
        <f ca="1">VLOOKUP($B25,OFFSET([2]quests!$A$1,0,0,COUNTA([2]quests!$A:$A),MATCH(D$1,[2]quests!$1:$1,0)-MATCH($B$1,[2]quests!$1:$1,0)+1),MATCH(D$1,[2]quests!$1:$1,0)-MATCH($B$1,[2]quests!$1:$1,0)+1,FALSE)</f>
        <v>ランキング9</v>
      </c>
      <c r="E25" s="86" t="s">
        <v>215</v>
      </c>
      <c r="F25" s="82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2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4">
        <v>0</v>
      </c>
      <c r="I25">
        <v>25</v>
      </c>
      <c r="J25" s="83" t="s">
        <v>197</v>
      </c>
      <c r="K25" s="93" t="str">
        <f>VLOOKUP(I25,[7]stage_hints!$A:$C,3,FALSE)</f>
        <v>スキルレベルアップ</v>
      </c>
      <c r="L25" s="94" t="str">
        <f>VLOOKUP(I25,[7]stage_hints!$A:$D,4,FALSE)</f>
        <v>「秘術の果実」を強化に使うと_x000D_スキルレベルを上げることができます</v>
      </c>
      <c r="M25" s="55" t="s">
        <v>212</v>
      </c>
    </row>
    <row r="26" spans="1:13" x14ac:dyDescent="0.15">
      <c r="A26" s="80" t="s">
        <v>200</v>
      </c>
      <c r="B26" s="81">
        <f>floors!$C$2</f>
        <v>60026</v>
      </c>
      <c r="C26" s="82" t="str">
        <f ca="1">VLOOKUP($B26,OFFSET([2]quests!$A$1,0,0,COUNTA([2]quests!$A:$A),MATCH(C$1,[2]quests!$1:$1,0)-MATCH($B$1,[2]quests!$1:$1,0)+1),MATCH(C$1,[2]quests!$1:$1,0)-MATCH($B$1,[2]quests!$1:$1,0)+1,FALSE)</f>
        <v>ハップルチャレンジ</v>
      </c>
      <c r="D26" s="82" t="str">
        <f ca="1">VLOOKUP($B26,OFFSET([2]quests!$A$1,0,0,COUNTA([2]quests!$A:$A),MATCH(D$1,[2]quests!$1:$1,0)-MATCH($B$1,[2]quests!$1:$1,0)+1),MATCH(D$1,[2]quests!$1:$1,0)-MATCH($B$1,[2]quests!$1:$1,0)+1,FALSE)</f>
        <v>ランキング9</v>
      </c>
      <c r="E26" s="86" t="s">
        <v>215</v>
      </c>
      <c r="F26" s="82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2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4">
        <v>0</v>
      </c>
      <c r="I26">
        <v>26</v>
      </c>
      <c r="J26" s="83" t="s">
        <v>197</v>
      </c>
      <c r="K26" s="93" t="str">
        <f>VLOOKUP(I26,[7]stage_hints!$A:$C,3,FALSE)</f>
        <v>スキルレベルの効果</v>
      </c>
      <c r="L26" s="94" t="str">
        <f>VLOOKUP(I26,[7]stage_hints!$A:$D,4,FALSE)</f>
        <v>スキルレベルが上がると_x000D_短いターンでスキルを使うことができます</v>
      </c>
      <c r="M26" s="55" t="s">
        <v>212</v>
      </c>
    </row>
    <row r="27" spans="1:13" x14ac:dyDescent="0.15">
      <c r="A27" s="80" t="s">
        <v>200</v>
      </c>
      <c r="B27" s="81">
        <f>floors!$C$2</f>
        <v>60026</v>
      </c>
      <c r="C27" s="82" t="str">
        <f ca="1">VLOOKUP($B27,OFFSET([2]quests!$A$1,0,0,COUNTA([2]quests!$A:$A),MATCH(C$1,[2]quests!$1:$1,0)-MATCH($B$1,[2]quests!$1:$1,0)+1),MATCH(C$1,[2]quests!$1:$1,0)-MATCH($B$1,[2]quests!$1:$1,0)+1,FALSE)</f>
        <v>ハップルチャレンジ</v>
      </c>
      <c r="D27" s="82" t="str">
        <f ca="1">VLOOKUP($B27,OFFSET([2]quests!$A$1,0,0,COUNTA([2]quests!$A:$A),MATCH(D$1,[2]quests!$1:$1,0)-MATCH($B$1,[2]quests!$1:$1,0)+1),MATCH(D$1,[2]quests!$1:$1,0)-MATCH($B$1,[2]quests!$1:$1,0)+1,FALSE)</f>
        <v>ランキング9</v>
      </c>
      <c r="E27" s="86" t="s">
        <v>215</v>
      </c>
      <c r="F27" s="82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2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4">
        <v>0</v>
      </c>
      <c r="I27">
        <v>39</v>
      </c>
      <c r="J27" s="83" t="s">
        <v>197</v>
      </c>
      <c r="K27" s="93" t="str">
        <f>VLOOKUP(I27,[7]stage_hints!$A:$C,3,FALSE)</f>
        <v>システム適合者を確認</v>
      </c>
      <c r="L27" s="94" t="str">
        <f>VLOOKUP(I27,[7]stage_hints!$A:$D,4,FALSE)</f>
        <v>ALICEが 「アナタ」を呼んでいます</v>
      </c>
      <c r="M27" s="55" t="s">
        <v>212</v>
      </c>
    </row>
    <row r="28" spans="1:13" x14ac:dyDescent="0.15">
      <c r="A28" s="80" t="s">
        <v>200</v>
      </c>
      <c r="B28" s="81">
        <f>floors!$C$2</f>
        <v>60026</v>
      </c>
      <c r="C28" s="82" t="str">
        <f ca="1">VLOOKUP($B28,OFFSET([2]quests!$A$1,0,0,COUNTA([2]quests!$A:$A),MATCH(C$1,[2]quests!$1:$1,0)-MATCH($B$1,[2]quests!$1:$1,0)+1),MATCH(C$1,[2]quests!$1:$1,0)-MATCH($B$1,[2]quests!$1:$1,0)+1,FALSE)</f>
        <v>ハップルチャレンジ</v>
      </c>
      <c r="D28" s="82" t="str">
        <f ca="1">VLOOKUP($B28,OFFSET([2]quests!$A$1,0,0,COUNTA([2]quests!$A:$A),MATCH(D$1,[2]quests!$1:$1,0)-MATCH($B$1,[2]quests!$1:$1,0)+1),MATCH(D$1,[2]quests!$1:$1,0)-MATCH($B$1,[2]quests!$1:$1,0)+1,FALSE)</f>
        <v>ランキング9</v>
      </c>
      <c r="E28" s="86" t="s">
        <v>216</v>
      </c>
      <c r="F28" s="82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2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4">
        <v>0</v>
      </c>
      <c r="I28">
        <v>3</v>
      </c>
      <c r="J28" s="83" t="s">
        <v>197</v>
      </c>
      <c r="K28" s="93" t="str">
        <f>VLOOKUP(I28,[7]stage_hints!$A:$C,3,FALSE)</f>
        <v>ターゲット</v>
      </c>
      <c r="L28" s="94" t="str">
        <f>VLOOKUP(I28,[7]stage_hints!$A:$D,4,FALSE)</f>
        <v>敵ユニットをタップすると_x000D_その敵を狙い撃ちできます</v>
      </c>
      <c r="M28" s="55" t="s">
        <v>212</v>
      </c>
    </row>
    <row r="29" spans="1:13" x14ac:dyDescent="0.15">
      <c r="A29" s="80" t="s">
        <v>200</v>
      </c>
      <c r="B29" s="81">
        <f>floors!$C$2</f>
        <v>60026</v>
      </c>
      <c r="C29" s="82" t="str">
        <f ca="1">VLOOKUP($B29,OFFSET([2]quests!$A$1,0,0,COUNTA([2]quests!$A:$A),MATCH(C$1,[2]quests!$1:$1,0)-MATCH($B$1,[2]quests!$1:$1,0)+1),MATCH(C$1,[2]quests!$1:$1,0)-MATCH($B$1,[2]quests!$1:$1,0)+1,FALSE)</f>
        <v>ハップルチャレンジ</v>
      </c>
      <c r="D29" s="82" t="str">
        <f ca="1">VLOOKUP($B29,OFFSET([2]quests!$A$1,0,0,COUNTA([2]quests!$A:$A),MATCH(D$1,[2]quests!$1:$1,0)-MATCH($B$1,[2]quests!$1:$1,0)+1),MATCH(D$1,[2]quests!$1:$1,0)-MATCH($B$1,[2]quests!$1:$1,0)+1,FALSE)</f>
        <v>ランキング9</v>
      </c>
      <c r="E29" s="86" t="s">
        <v>216</v>
      </c>
      <c r="F29" s="82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2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4">
        <v>0</v>
      </c>
      <c r="I29">
        <v>6</v>
      </c>
      <c r="J29" s="83" t="s">
        <v>197</v>
      </c>
      <c r="K29" s="93" t="str">
        <f>VLOOKUP(I29,[7]stage_hints!$A:$C,3,FALSE)</f>
        <v>ユニット強化の属性ボーナス</v>
      </c>
      <c r="L29" s="94" t="str">
        <f>VLOOKUP(I29,[7]stage_hints!$A:$D,4,FALSE)</f>
        <v>同属性ユニットを強化素材にすると_x000D_経験値が多くもらえます</v>
      </c>
      <c r="M29" s="55" t="s">
        <v>212</v>
      </c>
    </row>
    <row r="30" spans="1:13" x14ac:dyDescent="0.15">
      <c r="A30" s="80" t="s">
        <v>200</v>
      </c>
      <c r="B30" s="81">
        <f>floors!$C$2</f>
        <v>60026</v>
      </c>
      <c r="C30" s="82" t="str">
        <f ca="1">VLOOKUP($B30,OFFSET([2]quests!$A$1,0,0,COUNTA([2]quests!$A:$A),MATCH(C$1,[2]quests!$1:$1,0)-MATCH($B$1,[2]quests!$1:$1,0)+1),MATCH(C$1,[2]quests!$1:$1,0)-MATCH($B$1,[2]quests!$1:$1,0)+1,FALSE)</f>
        <v>ハップルチャレンジ</v>
      </c>
      <c r="D30" s="82" t="str">
        <f ca="1">VLOOKUP($B30,OFFSET([2]quests!$A$1,0,0,COUNTA([2]quests!$A:$A),MATCH(D$1,[2]quests!$1:$1,0)-MATCH($B$1,[2]quests!$1:$1,0)+1),MATCH(D$1,[2]quests!$1:$1,0)-MATCH($B$1,[2]quests!$1:$1,0)+1,FALSE)</f>
        <v>ランキング9</v>
      </c>
      <c r="E30" s="86" t="s">
        <v>216</v>
      </c>
      <c r="F30" s="82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2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4">
        <v>0</v>
      </c>
      <c r="I30">
        <v>7</v>
      </c>
      <c r="J30" s="83" t="s">
        <v>197</v>
      </c>
      <c r="K30" s="93" t="str">
        <f>VLOOKUP(I30,[7]stage_hints!$A:$C,3,FALSE)</f>
        <v>メタルダックで経験値を獲得</v>
      </c>
      <c r="L30" s="94" t="str">
        <f>VLOOKUP(I30,[7]stage_hints!$A:$D,4,FALSE)</f>
        <v>「メタルなアヒル」を強化素材にすると_x000D_大量の経験値がもらえます</v>
      </c>
      <c r="M30" s="55" t="s">
        <v>212</v>
      </c>
    </row>
    <row r="31" spans="1:13" x14ac:dyDescent="0.15">
      <c r="A31" s="80" t="s">
        <v>200</v>
      </c>
      <c r="B31" s="81">
        <f>floors!$C$2</f>
        <v>60026</v>
      </c>
      <c r="C31" s="82" t="str">
        <f ca="1">VLOOKUP($B31,OFFSET([2]quests!$A$1,0,0,COUNTA([2]quests!$A:$A),MATCH(C$1,[2]quests!$1:$1,0)-MATCH($B$1,[2]quests!$1:$1,0)+1),MATCH(C$1,[2]quests!$1:$1,0)-MATCH($B$1,[2]quests!$1:$1,0)+1,FALSE)</f>
        <v>ハップルチャレンジ</v>
      </c>
      <c r="D31" s="82" t="str">
        <f ca="1">VLOOKUP($B31,OFFSET([2]quests!$A$1,0,0,COUNTA([2]quests!$A:$A),MATCH(D$1,[2]quests!$1:$1,0)-MATCH($B$1,[2]quests!$1:$1,0)+1),MATCH(D$1,[2]quests!$1:$1,0)-MATCH($B$1,[2]quests!$1:$1,0)+1,FALSE)</f>
        <v>ランキング9</v>
      </c>
      <c r="E31" s="86" t="s">
        <v>216</v>
      </c>
      <c r="F31" s="82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2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4">
        <v>0</v>
      </c>
      <c r="I31">
        <v>8</v>
      </c>
      <c r="J31" s="83" t="s">
        <v>197</v>
      </c>
      <c r="K31" s="93" t="str">
        <f>VLOOKUP(I31,[7]stage_hints!$A:$C,3,FALSE)</f>
        <v>ゲリラクエストは要チェック</v>
      </c>
      <c r="L31" s="94" t="str">
        <f>VLOOKUP(I31,[7]stage_hints!$A:$D,4,FALSE)</f>
        <v>時間限定の「アヒル捕獲作戦」では_x000D_経験値素材ユニットが多く手に入ります</v>
      </c>
      <c r="M31" s="55" t="s">
        <v>212</v>
      </c>
    </row>
    <row r="32" spans="1:13" x14ac:dyDescent="0.15">
      <c r="A32" s="80" t="s">
        <v>200</v>
      </c>
      <c r="B32" s="81">
        <f>floors!$C$2</f>
        <v>60026</v>
      </c>
      <c r="C32" s="82" t="str">
        <f ca="1">VLOOKUP($B32,OFFSET([2]quests!$A$1,0,0,COUNTA([2]quests!$A:$A),MATCH(C$1,[2]quests!$1:$1,0)-MATCH($B$1,[2]quests!$1:$1,0)+1),MATCH(C$1,[2]quests!$1:$1,0)-MATCH($B$1,[2]quests!$1:$1,0)+1,FALSE)</f>
        <v>ハップルチャレンジ</v>
      </c>
      <c r="D32" s="82" t="str">
        <f ca="1">VLOOKUP($B32,OFFSET([2]quests!$A$1,0,0,COUNTA([2]quests!$A:$A),MATCH(D$1,[2]quests!$1:$1,0)-MATCH($B$1,[2]quests!$1:$1,0)+1),MATCH(D$1,[2]quests!$1:$1,0)-MATCH($B$1,[2]quests!$1:$1,0)+1,FALSE)</f>
        <v>ランキング9</v>
      </c>
      <c r="E32" s="86" t="s">
        <v>216</v>
      </c>
      <c r="F32" s="82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2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4">
        <v>0</v>
      </c>
      <c r="I32">
        <v>9</v>
      </c>
      <c r="J32" s="83" t="s">
        <v>197</v>
      </c>
      <c r="K32" s="93" t="str">
        <f>VLOOKUP(I32,[7]stage_hints!$A:$C,3,FALSE)</f>
        <v>ゴールドダックでビットを獲得</v>
      </c>
      <c r="L32" s="94" t="str">
        <f>VLOOKUP(I32,[7]stage_hints!$A:$D,4,FALSE)</f>
        <v>「ゴールドなアヒル」を売却すると_x000D_大量のビットがもらえます</v>
      </c>
      <c r="M32" s="55" t="s">
        <v>212</v>
      </c>
    </row>
    <row r="33" spans="1:13" x14ac:dyDescent="0.15">
      <c r="A33" s="80" t="s">
        <v>200</v>
      </c>
      <c r="B33" s="81">
        <f>floors!$C$2</f>
        <v>60026</v>
      </c>
      <c r="C33" s="82" t="str">
        <f ca="1">VLOOKUP($B33,OFFSET([2]quests!$A$1,0,0,COUNTA([2]quests!$A:$A),MATCH(C$1,[2]quests!$1:$1,0)-MATCH($B$1,[2]quests!$1:$1,0)+1),MATCH(C$1,[2]quests!$1:$1,0)-MATCH($B$1,[2]quests!$1:$1,0)+1,FALSE)</f>
        <v>ハップルチャレンジ</v>
      </c>
      <c r="D33" s="82" t="str">
        <f ca="1">VLOOKUP($B33,OFFSET([2]quests!$A$1,0,0,COUNTA([2]quests!$A:$A),MATCH(D$1,[2]quests!$1:$1,0)-MATCH($B$1,[2]quests!$1:$1,0)+1),MATCH(D$1,[2]quests!$1:$1,0)-MATCH($B$1,[2]quests!$1:$1,0)+1,FALSE)</f>
        <v>ランキング9</v>
      </c>
      <c r="E33" s="86" t="s">
        <v>216</v>
      </c>
      <c r="F33" s="82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2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4">
        <v>0</v>
      </c>
      <c r="I33">
        <v>10</v>
      </c>
      <c r="J33" s="83" t="s">
        <v>197</v>
      </c>
      <c r="K33" s="93" t="str">
        <f>VLOOKUP(I33,[7]stage_hints!$A:$C,3,FALSE)</f>
        <v>土日に大量のビットを獲得</v>
      </c>
      <c r="L33" s="94" t="str">
        <f>VLOOKUP(I33,[7]stage_hints!$A:$D,4,FALSE)</f>
        <v>土日限定の「ゴールドカジノ」では_x000D_売却素材ユニットが多く手に入ります</v>
      </c>
      <c r="M33" s="55" t="s">
        <v>212</v>
      </c>
    </row>
    <row r="34" spans="1:13" x14ac:dyDescent="0.15">
      <c r="A34" s="80" t="s">
        <v>200</v>
      </c>
      <c r="B34" s="81">
        <f>floors!$C$2</f>
        <v>60026</v>
      </c>
      <c r="C34" s="82" t="str">
        <f ca="1">VLOOKUP($B34,OFFSET([2]quests!$A$1,0,0,COUNTA([2]quests!$A:$A),MATCH(C$1,[2]quests!$1:$1,0)-MATCH($B$1,[2]quests!$1:$1,0)+1),MATCH(C$1,[2]quests!$1:$1,0)-MATCH($B$1,[2]quests!$1:$1,0)+1,FALSE)</f>
        <v>ハップルチャレンジ</v>
      </c>
      <c r="D34" s="82" t="str">
        <f ca="1">VLOOKUP($B34,OFFSET([2]quests!$A$1,0,0,COUNTA([2]quests!$A:$A),MATCH(D$1,[2]quests!$1:$1,0)-MATCH($B$1,[2]quests!$1:$1,0)+1),MATCH(D$1,[2]quests!$1:$1,0)-MATCH($B$1,[2]quests!$1:$1,0)+1,FALSE)</f>
        <v>ランキング9</v>
      </c>
      <c r="E34" s="86" t="s">
        <v>216</v>
      </c>
      <c r="F34" s="82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2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4">
        <v>0</v>
      </c>
      <c r="I34">
        <v>11</v>
      </c>
      <c r="J34" s="83" t="s">
        <v>197</v>
      </c>
      <c r="K34" s="93" t="str">
        <f>VLOOKUP(I34,[7]stage_hints!$A:$C,3,FALSE)</f>
        <v>ランク解放クエスト</v>
      </c>
      <c r="L34" s="94" t="str">
        <f>VLOOKUP(I34,[7]stage_hints!$A:$D,4,FALSE)</f>
        <v>一定ランクに到達すると_x000D_報酬付きのランク開放クエストが現れます</v>
      </c>
      <c r="M34" s="55" t="s">
        <v>212</v>
      </c>
    </row>
    <row r="35" spans="1:13" x14ac:dyDescent="0.15">
      <c r="A35" s="80" t="s">
        <v>200</v>
      </c>
      <c r="B35" s="81">
        <f>floors!$C$2</f>
        <v>60026</v>
      </c>
      <c r="C35" s="82" t="str">
        <f ca="1">VLOOKUP($B35,OFFSET([2]quests!$A$1,0,0,COUNTA([2]quests!$A:$A),MATCH(C$1,[2]quests!$1:$1,0)-MATCH($B$1,[2]quests!$1:$1,0)+1),MATCH(C$1,[2]quests!$1:$1,0)-MATCH($B$1,[2]quests!$1:$1,0)+1,FALSE)</f>
        <v>ハップルチャレンジ</v>
      </c>
      <c r="D35" s="82" t="str">
        <f ca="1">VLOOKUP($B35,OFFSET([2]quests!$A$1,0,0,COUNTA([2]quests!$A:$A),MATCH(D$1,[2]quests!$1:$1,0)-MATCH($B$1,[2]quests!$1:$1,0)+1),MATCH(D$1,[2]quests!$1:$1,0)-MATCH($B$1,[2]quests!$1:$1,0)+1,FALSE)</f>
        <v>ランキング9</v>
      </c>
      <c r="E35" s="86" t="s">
        <v>216</v>
      </c>
      <c r="F35" s="82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2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4">
        <v>0</v>
      </c>
      <c r="I35">
        <v>12</v>
      </c>
      <c r="J35" s="83" t="s">
        <v>197</v>
      </c>
      <c r="K35" s="93" t="str">
        <f>VLOOKUP(I35,[7]stage_hints!$A:$C,3,FALSE)</f>
        <v>ユニットのお気に入り登録</v>
      </c>
      <c r="L35" s="94" t="str">
        <f>VLOOKUP(I35,[7]stage_hints!$A:$D,4,FALSE)</f>
        <v>大事なユニットを誤って消さないように_x000D_フォルダから「お気に入り登録」しましょう</v>
      </c>
      <c r="M35" s="55" t="s">
        <v>212</v>
      </c>
    </row>
    <row r="36" spans="1:13" x14ac:dyDescent="0.15">
      <c r="A36" s="80" t="s">
        <v>200</v>
      </c>
      <c r="B36" s="81">
        <f>floors!$C$2</f>
        <v>60026</v>
      </c>
      <c r="C36" s="82" t="str">
        <f ca="1">VLOOKUP($B36,OFFSET([2]quests!$A$1,0,0,COUNTA([2]quests!$A:$A),MATCH(C$1,[2]quests!$1:$1,0)-MATCH($B$1,[2]quests!$1:$1,0)+1),MATCH(C$1,[2]quests!$1:$1,0)-MATCH($B$1,[2]quests!$1:$1,0)+1,FALSE)</f>
        <v>ハップルチャレンジ</v>
      </c>
      <c r="D36" s="82" t="str">
        <f ca="1">VLOOKUP($B36,OFFSET([2]quests!$A$1,0,0,COUNTA([2]quests!$A:$A),MATCH(D$1,[2]quests!$1:$1,0)-MATCH($B$1,[2]quests!$1:$1,0)+1),MATCH(D$1,[2]quests!$1:$1,0)-MATCH($B$1,[2]quests!$1:$1,0)+1,FALSE)</f>
        <v>ランキング9</v>
      </c>
      <c r="E36" s="86" t="s">
        <v>216</v>
      </c>
      <c r="F36" s="82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2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4">
        <v>0</v>
      </c>
      <c r="I36">
        <v>13</v>
      </c>
      <c r="J36" s="83" t="s">
        <v>197</v>
      </c>
      <c r="K36" s="93" t="str">
        <f>VLOOKUP(I36,[7]stage_hints!$A:$C,3,FALSE)</f>
        <v>ユニットの覚醒</v>
      </c>
      <c r="L36" s="94" t="str">
        <f>VLOOKUP(I36,[7]stage_hints!$A:$D,4,FALSE)</f>
        <v>ユニットを覚醒させると_x000D_比べものにならない強さが手に入ります</v>
      </c>
      <c r="M36" s="55" t="s">
        <v>212</v>
      </c>
    </row>
    <row r="37" spans="1:13" x14ac:dyDescent="0.15">
      <c r="A37" s="80" t="s">
        <v>200</v>
      </c>
      <c r="B37" s="81">
        <f>floors!$C$2</f>
        <v>60026</v>
      </c>
      <c r="C37" s="82" t="str">
        <f ca="1">VLOOKUP($B37,OFFSET([2]quests!$A$1,0,0,COUNTA([2]quests!$A:$A),MATCH(C$1,[2]quests!$1:$1,0)-MATCH($B$1,[2]quests!$1:$1,0)+1),MATCH(C$1,[2]quests!$1:$1,0)-MATCH($B$1,[2]quests!$1:$1,0)+1,FALSE)</f>
        <v>ハップルチャレンジ</v>
      </c>
      <c r="D37" s="82" t="str">
        <f ca="1">VLOOKUP($B37,OFFSET([2]quests!$A$1,0,0,COUNTA([2]quests!$A:$A),MATCH(D$1,[2]quests!$1:$1,0)-MATCH($B$1,[2]quests!$1:$1,0)+1),MATCH(D$1,[2]quests!$1:$1,0)-MATCH($B$1,[2]quests!$1:$1,0)+1,FALSE)</f>
        <v>ランキング9</v>
      </c>
      <c r="E37" s="86" t="s">
        <v>216</v>
      </c>
      <c r="F37" s="82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2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4">
        <v>0</v>
      </c>
      <c r="I37">
        <v>14</v>
      </c>
      <c r="J37" s="83" t="s">
        <v>197</v>
      </c>
      <c r="K37" s="93" t="str">
        <f>VLOOKUP(I37,[7]stage_hints!$A:$C,3,FALSE)</f>
        <v>覚醒するにはレベルを最大に</v>
      </c>
      <c r="L37" s="94" t="str">
        <f>VLOOKUP(I37,[7]stage_hints!$A:$D,4,FALSE)</f>
        <v>覚醒するにはユニットのレベルを_x000D_最大まで上げる必要があります</v>
      </c>
      <c r="M37" s="55" t="s">
        <v>212</v>
      </c>
    </row>
    <row r="38" spans="1:13" x14ac:dyDescent="0.15">
      <c r="A38" s="80" t="s">
        <v>200</v>
      </c>
      <c r="B38" s="81">
        <f>floors!$C$2</f>
        <v>60026</v>
      </c>
      <c r="C38" s="82" t="str">
        <f ca="1">VLOOKUP($B38,OFFSET([2]quests!$A$1,0,0,COUNTA([2]quests!$A:$A),MATCH(C$1,[2]quests!$1:$1,0)-MATCH($B$1,[2]quests!$1:$1,0)+1),MATCH(C$1,[2]quests!$1:$1,0)-MATCH($B$1,[2]quests!$1:$1,0)+1,FALSE)</f>
        <v>ハップルチャレンジ</v>
      </c>
      <c r="D38" s="82" t="str">
        <f ca="1">VLOOKUP($B38,OFFSET([2]quests!$A$1,0,0,COUNTA([2]quests!$A:$A),MATCH(D$1,[2]quests!$1:$1,0)-MATCH($B$1,[2]quests!$1:$1,0)+1),MATCH(D$1,[2]quests!$1:$1,0)-MATCH($B$1,[2]quests!$1:$1,0)+1,FALSE)</f>
        <v>ランキング9</v>
      </c>
      <c r="E38" s="86" t="s">
        <v>216</v>
      </c>
      <c r="F38" s="82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2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4">
        <v>0</v>
      </c>
      <c r="I38">
        <v>15</v>
      </c>
      <c r="J38" s="83" t="s">
        <v>197</v>
      </c>
      <c r="K38" s="93" t="str">
        <f>VLOOKUP(I38,[7]stage_hints!$A:$C,3,FALSE)</f>
        <v>覚醒素材を獲得</v>
      </c>
      <c r="L38" s="94" t="str">
        <f>VLOOKUP(I38,[7]stage_hints!$A:$D,4,FALSE)</f>
        <v>「曜日クエスト」では_x000D_ユニットの覚醒に必要な素材が手に入ります</v>
      </c>
      <c r="M38" s="55" t="s">
        <v>212</v>
      </c>
    </row>
    <row r="39" spans="1:13" x14ac:dyDescent="0.15">
      <c r="A39" s="80" t="s">
        <v>200</v>
      </c>
      <c r="B39" s="81">
        <f>floors!$C$2</f>
        <v>60026</v>
      </c>
      <c r="C39" s="82" t="str">
        <f ca="1">VLOOKUP($B39,OFFSET([2]quests!$A$1,0,0,COUNTA([2]quests!$A:$A),MATCH(C$1,[2]quests!$1:$1,0)-MATCH($B$1,[2]quests!$1:$1,0)+1),MATCH(C$1,[2]quests!$1:$1,0)-MATCH($B$1,[2]quests!$1:$1,0)+1,FALSE)</f>
        <v>ハップルチャレンジ</v>
      </c>
      <c r="D39" s="82" t="str">
        <f ca="1">VLOOKUP($B39,OFFSET([2]quests!$A$1,0,0,COUNTA([2]quests!$A:$A),MATCH(D$1,[2]quests!$1:$1,0)-MATCH($B$1,[2]quests!$1:$1,0)+1),MATCH(D$1,[2]quests!$1:$1,0)-MATCH($B$1,[2]quests!$1:$1,0)+1,FALSE)</f>
        <v>ランキング9</v>
      </c>
      <c r="E39" s="86" t="s">
        <v>216</v>
      </c>
      <c r="F39" s="82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2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4">
        <v>0</v>
      </c>
      <c r="I39">
        <v>16</v>
      </c>
      <c r="J39" s="83" t="s">
        <v>197</v>
      </c>
      <c r="K39" s="93" t="str">
        <f>VLOOKUP(I39,[7]stage_hints!$A:$C,3,FALSE)</f>
        <v>マルチプレイのメリット（その1）</v>
      </c>
      <c r="L39" s="94" t="str">
        <f>VLOOKUP(I39,[7]stage_hints!$A:$D,4,FALSE)</f>
        <v>他のプレイヤーとマルチプレイで遊ぶと_x000D_ポリゴンがもらえます（100人まで）</v>
      </c>
      <c r="M39" s="55" t="s">
        <v>212</v>
      </c>
    </row>
    <row r="40" spans="1:13" x14ac:dyDescent="0.15">
      <c r="A40" s="80" t="s">
        <v>200</v>
      </c>
      <c r="B40" s="81">
        <f>floors!$C$2</f>
        <v>60026</v>
      </c>
      <c r="C40" s="82" t="str">
        <f ca="1">VLOOKUP($B40,OFFSET([2]quests!$A$1,0,0,COUNTA([2]quests!$A:$A),MATCH(C$1,[2]quests!$1:$1,0)-MATCH($B$1,[2]quests!$1:$1,0)+1),MATCH(C$1,[2]quests!$1:$1,0)-MATCH($B$1,[2]quests!$1:$1,0)+1,FALSE)</f>
        <v>ハップルチャレンジ</v>
      </c>
      <c r="D40" s="82" t="str">
        <f ca="1">VLOOKUP($B40,OFFSET([2]quests!$A$1,0,0,COUNTA([2]quests!$A:$A),MATCH(D$1,[2]quests!$1:$1,0)-MATCH($B$1,[2]quests!$1:$1,0)+1),MATCH(D$1,[2]quests!$1:$1,0)-MATCH($B$1,[2]quests!$1:$1,0)+1,FALSE)</f>
        <v>ランキング9</v>
      </c>
      <c r="E40" s="86" t="s">
        <v>216</v>
      </c>
      <c r="F40" s="82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2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4">
        <v>0</v>
      </c>
      <c r="I40">
        <v>17</v>
      </c>
      <c r="J40" s="83" t="s">
        <v>197</v>
      </c>
      <c r="K40" s="93" t="str">
        <f>VLOOKUP(I40,[7]stage_hints!$A:$C,3,FALSE)</f>
        <v>リンクガチャ</v>
      </c>
      <c r="L40" s="94" t="str">
        <f>VLOOKUP(I40,[7]stage_hints!$A:$D,4,FALSE)</f>
        <v>無料のリンクガチャを回して_x000D_経験値素材や売却素材を獲得しましょう</v>
      </c>
      <c r="M40" s="55" t="s">
        <v>212</v>
      </c>
    </row>
    <row r="41" spans="1:13" x14ac:dyDescent="0.15">
      <c r="A41" s="80" t="s">
        <v>200</v>
      </c>
      <c r="B41" s="81">
        <f>floors!$C$2</f>
        <v>60026</v>
      </c>
      <c r="C41" s="82" t="str">
        <f ca="1">VLOOKUP($B41,OFFSET([2]quests!$A$1,0,0,COUNTA([2]quests!$A:$A),MATCH(C$1,[2]quests!$1:$1,0)-MATCH($B$1,[2]quests!$1:$1,0)+1),MATCH(C$1,[2]quests!$1:$1,0)-MATCH($B$1,[2]quests!$1:$1,0)+1,FALSE)</f>
        <v>ハップルチャレンジ</v>
      </c>
      <c r="D41" s="82" t="str">
        <f ca="1">VLOOKUP($B41,OFFSET([2]quests!$A$1,0,0,COUNTA([2]quests!$A:$A),MATCH(D$1,[2]quests!$1:$1,0)-MATCH($B$1,[2]quests!$1:$1,0)+1),MATCH(D$1,[2]quests!$1:$1,0)-MATCH($B$1,[2]quests!$1:$1,0)+1,FALSE)</f>
        <v>ランキング9</v>
      </c>
      <c r="E41" s="86" t="s">
        <v>216</v>
      </c>
      <c r="F41" s="82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2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4">
        <v>0</v>
      </c>
      <c r="I41">
        <v>18</v>
      </c>
      <c r="J41" s="83" t="s">
        <v>197</v>
      </c>
      <c r="K41" s="93" t="str">
        <f>VLOOKUP(I41,[7]stage_hints!$A:$C,3,FALSE)</f>
        <v>マルチプレイのメリット（その2）</v>
      </c>
      <c r="L41" s="94" t="str">
        <f>VLOOKUP(I41,[7]stage_hints!$A:$D,4,FALSE)</f>
        <v>マルチプレイならリンクが2倍もらえます_x000D_リンクガチャをたくさん回しましょう</v>
      </c>
      <c r="M41" s="55" t="s">
        <v>212</v>
      </c>
    </row>
    <row r="42" spans="1:13" x14ac:dyDescent="0.15">
      <c r="A42" s="80" t="s">
        <v>200</v>
      </c>
      <c r="B42" s="81">
        <f>floors!$C$2</f>
        <v>60026</v>
      </c>
      <c r="C42" s="82" t="str">
        <f ca="1">VLOOKUP($B42,OFFSET([2]quests!$A$1,0,0,COUNTA([2]quests!$A:$A),MATCH(C$1,[2]quests!$1:$1,0)-MATCH($B$1,[2]quests!$1:$1,0)+1),MATCH(C$1,[2]quests!$1:$1,0)-MATCH($B$1,[2]quests!$1:$1,0)+1,FALSE)</f>
        <v>ハップルチャレンジ</v>
      </c>
      <c r="D42" s="82" t="str">
        <f ca="1">VLOOKUP($B42,OFFSET([2]quests!$A$1,0,0,COUNTA([2]quests!$A:$A),MATCH(D$1,[2]quests!$1:$1,0)-MATCH($B$1,[2]quests!$1:$1,0)+1),MATCH(D$1,[2]quests!$1:$1,0)-MATCH($B$1,[2]quests!$1:$1,0)+1,FALSE)</f>
        <v>ランキング9</v>
      </c>
      <c r="E42" s="86" t="s">
        <v>216</v>
      </c>
      <c r="F42" s="82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2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4">
        <v>0</v>
      </c>
      <c r="I42">
        <v>19</v>
      </c>
      <c r="J42" s="83" t="s">
        <v>197</v>
      </c>
      <c r="K42" s="93" t="str">
        <f>VLOOKUP(I42,[7]stage_hints!$A:$C,3,FALSE)</f>
        <v>ソロ専用タワーオブザクイーン</v>
      </c>
      <c r="L42" s="94" t="str">
        <f>VLOOKUP(I42,[7]stage_hints!$A:$D,4,FALSE)</f>
        <v>ソロ専用の「タワーオブザクイーン」は_x000D_期間限定で定期的に開催されます_x000D_ここでしか獲得できない報酬もあるようです</v>
      </c>
      <c r="M42" s="55" t="s">
        <v>212</v>
      </c>
    </row>
    <row r="43" spans="1:13" x14ac:dyDescent="0.15">
      <c r="A43" s="80" t="s">
        <v>200</v>
      </c>
      <c r="B43" s="81">
        <f>floors!$C$2</f>
        <v>60026</v>
      </c>
      <c r="C43" s="82" t="str">
        <f ca="1">VLOOKUP($B43,OFFSET([2]quests!$A$1,0,0,COUNTA([2]quests!$A:$A),MATCH(C$1,[2]quests!$1:$1,0)-MATCH($B$1,[2]quests!$1:$1,0)+1),MATCH(C$1,[2]quests!$1:$1,0)-MATCH($B$1,[2]quests!$1:$1,0)+1,FALSE)</f>
        <v>ハップルチャレンジ</v>
      </c>
      <c r="D43" s="82" t="str">
        <f ca="1">VLOOKUP($B43,OFFSET([2]quests!$A$1,0,0,COUNTA([2]quests!$A:$A),MATCH(D$1,[2]quests!$1:$1,0)-MATCH($B$1,[2]quests!$1:$1,0)+1),MATCH(D$1,[2]quests!$1:$1,0)-MATCH($B$1,[2]quests!$1:$1,0)+1,FALSE)</f>
        <v>ランキング9</v>
      </c>
      <c r="E43" s="86" t="s">
        <v>216</v>
      </c>
      <c r="F43" s="82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2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4">
        <v>0</v>
      </c>
      <c r="I43">
        <v>20</v>
      </c>
      <c r="J43" s="83" t="s">
        <v>197</v>
      </c>
      <c r="K43" s="93" t="str">
        <f>VLOOKUP(I43,[7]stage_hints!$A:$C,3,FALSE)</f>
        <v>マルチプレイのメリット（その3）</v>
      </c>
      <c r="L43" s="94" t="str">
        <f>VLOOKUP(I43,[7]stage_hints!$A:$D,4,FALSE)</f>
        <v>マルチプレイへの参加はエナジー消費ゼロ_x000D_いつでも好きなだけ遊ぶことができます</v>
      </c>
      <c r="M43" s="55" t="s">
        <v>212</v>
      </c>
    </row>
    <row r="44" spans="1:13" x14ac:dyDescent="0.15">
      <c r="A44" s="80" t="s">
        <v>200</v>
      </c>
      <c r="B44" s="81">
        <f>floors!$C$2</f>
        <v>60026</v>
      </c>
      <c r="C44" s="82" t="str">
        <f ca="1">VLOOKUP($B44,OFFSET([2]quests!$A$1,0,0,COUNTA([2]quests!$A:$A),MATCH(C$1,[2]quests!$1:$1,0)-MATCH($B$1,[2]quests!$1:$1,0)+1),MATCH(C$1,[2]quests!$1:$1,0)-MATCH($B$1,[2]quests!$1:$1,0)+1,FALSE)</f>
        <v>ハップルチャレンジ</v>
      </c>
      <c r="D44" s="82" t="str">
        <f ca="1">VLOOKUP($B44,OFFSET([2]quests!$A$1,0,0,COUNTA([2]quests!$A:$A),MATCH(D$1,[2]quests!$1:$1,0)-MATCH($B$1,[2]quests!$1:$1,0)+1),MATCH(D$1,[2]quests!$1:$1,0)-MATCH($B$1,[2]quests!$1:$1,0)+1,FALSE)</f>
        <v>ランキング9</v>
      </c>
      <c r="E44" s="86" t="s">
        <v>216</v>
      </c>
      <c r="F44" s="82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2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4">
        <v>0</v>
      </c>
      <c r="I44">
        <v>21</v>
      </c>
      <c r="J44" s="83" t="s">
        <v>197</v>
      </c>
      <c r="K44" s="93" t="str">
        <f>VLOOKUP(I44,[7]stage_hints!$A:$C,3,FALSE)</f>
        <v>スキルを有効に</v>
      </c>
      <c r="L44" s="94" t="str">
        <f>VLOOKUP(I44,[7]stage_hints!$A:$D,4,FALSE)</f>
        <v>ターン経過でユニットのスキルが使えます_x000D_強力スキルでバトルを有利に進めましょう</v>
      </c>
      <c r="M44" s="55" t="s">
        <v>212</v>
      </c>
    </row>
    <row r="45" spans="1:13" x14ac:dyDescent="0.15">
      <c r="A45" s="80" t="s">
        <v>200</v>
      </c>
      <c r="B45" s="81">
        <f>floors!$C$2</f>
        <v>60026</v>
      </c>
      <c r="C45" s="82" t="str">
        <f ca="1">VLOOKUP($B45,OFFSET([2]quests!$A$1,0,0,COUNTA([2]quests!$A:$A),MATCH(C$1,[2]quests!$1:$1,0)-MATCH($B$1,[2]quests!$1:$1,0)+1),MATCH(C$1,[2]quests!$1:$1,0)-MATCH($B$1,[2]quests!$1:$1,0)+1,FALSE)</f>
        <v>ハップルチャレンジ</v>
      </c>
      <c r="D45" s="82" t="str">
        <f ca="1">VLOOKUP($B45,OFFSET([2]quests!$A$1,0,0,COUNTA([2]quests!$A:$A),MATCH(D$1,[2]quests!$1:$1,0)-MATCH($B$1,[2]quests!$1:$1,0)+1),MATCH(D$1,[2]quests!$1:$1,0)-MATCH($B$1,[2]quests!$1:$1,0)+1,FALSE)</f>
        <v>ランキング9</v>
      </c>
      <c r="E45" s="86" t="s">
        <v>216</v>
      </c>
      <c r="F45" s="82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2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4">
        <v>0</v>
      </c>
      <c r="I45">
        <v>22</v>
      </c>
      <c r="J45" s="83" t="s">
        <v>197</v>
      </c>
      <c r="K45" s="93" t="str">
        <f>VLOOKUP(I45,[7]stage_hints!$A:$C,3,FALSE)</f>
        <v>フィーバーで一発逆転（その1）</v>
      </c>
      <c r="L45" s="94" t="str">
        <f>VLOOKUP(I45,[7]stage_hints!$A:$D,4,FALSE)</f>
        <v>フィーバーは攻撃と回復を兼ね備えます_x000D_ピンチからの一発逆転を狙いましょう</v>
      </c>
      <c r="M45" s="55" t="s">
        <v>212</v>
      </c>
    </row>
    <row r="46" spans="1:13" x14ac:dyDescent="0.15">
      <c r="A46" s="80" t="s">
        <v>200</v>
      </c>
      <c r="B46" s="81">
        <f>floors!$C$2</f>
        <v>60026</v>
      </c>
      <c r="C46" s="82" t="str">
        <f ca="1">VLOOKUP($B46,OFFSET([2]quests!$A$1,0,0,COUNTA([2]quests!$A:$A),MATCH(C$1,[2]quests!$1:$1,0)-MATCH($B$1,[2]quests!$1:$1,0)+1),MATCH(C$1,[2]quests!$1:$1,0)-MATCH($B$1,[2]quests!$1:$1,0)+1,FALSE)</f>
        <v>ハップルチャレンジ</v>
      </c>
      <c r="D46" s="82" t="str">
        <f ca="1">VLOOKUP($B46,OFFSET([2]quests!$A$1,0,0,COUNTA([2]quests!$A:$A),MATCH(D$1,[2]quests!$1:$1,0)-MATCH($B$1,[2]quests!$1:$1,0)+1),MATCH(D$1,[2]quests!$1:$1,0)-MATCH($B$1,[2]quests!$1:$1,0)+1,FALSE)</f>
        <v>ランキング9</v>
      </c>
      <c r="E46" s="86" t="s">
        <v>216</v>
      </c>
      <c r="F46" s="82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2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4">
        <v>0</v>
      </c>
      <c r="I46">
        <v>23</v>
      </c>
      <c r="J46" s="83" t="s">
        <v>197</v>
      </c>
      <c r="K46" s="93" t="str">
        <f>VLOOKUP(I46,[7]stage_hints!$A:$C,3,FALSE)</f>
        <v>フィーバーで一発逆転（その2）</v>
      </c>
      <c r="L46" s="94" t="str">
        <f>VLOOKUP(I46,[7]stage_hints!$A:$D,4,FALSE)</f>
        <v>フィーバー中は虹色のボムパネルを狙って_x000D_画面上のパネルを一気に破壊しましょう</v>
      </c>
      <c r="M46" s="55" t="s">
        <v>212</v>
      </c>
    </row>
    <row r="47" spans="1:13" x14ac:dyDescent="0.15">
      <c r="A47" s="80" t="s">
        <v>200</v>
      </c>
      <c r="B47" s="81">
        <f>floors!$C$2</f>
        <v>60026</v>
      </c>
      <c r="C47" s="82" t="str">
        <f ca="1">VLOOKUP($B47,OFFSET([2]quests!$A$1,0,0,COUNTA([2]quests!$A:$A),MATCH(C$1,[2]quests!$1:$1,0)-MATCH($B$1,[2]quests!$1:$1,0)+1),MATCH(C$1,[2]quests!$1:$1,0)-MATCH($B$1,[2]quests!$1:$1,0)+1,FALSE)</f>
        <v>ハップルチャレンジ</v>
      </c>
      <c r="D47" s="82" t="str">
        <f ca="1">VLOOKUP($B47,OFFSET([2]quests!$A$1,0,0,COUNTA([2]quests!$A:$A),MATCH(D$1,[2]quests!$1:$1,0)-MATCH($B$1,[2]quests!$1:$1,0)+1),MATCH(D$1,[2]quests!$1:$1,0)-MATCH($B$1,[2]quests!$1:$1,0)+1,FALSE)</f>
        <v>ランキング9</v>
      </c>
      <c r="E47" s="86" t="s">
        <v>216</v>
      </c>
      <c r="F47" s="82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2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4">
        <v>0</v>
      </c>
      <c r="I47">
        <v>24</v>
      </c>
      <c r="J47" s="83" t="s">
        <v>197</v>
      </c>
      <c r="K47" s="93" t="str">
        <f>VLOOKUP(I47,[7]stage_hints!$A:$C,3,FALSE)</f>
        <v>果実を使って限界突破</v>
      </c>
      <c r="L47" s="94" t="str">
        <f>VLOOKUP(I47,[7]stage_hints!$A:$D,4,FALSE)</f>
        <v>攻めの果実 癒しの果実_x000D_生命の果実をユニット強化に使うと_x000D_ステータスが限界突破します（計99個迄）</v>
      </c>
      <c r="M47" s="55" t="s">
        <v>212</v>
      </c>
    </row>
    <row r="48" spans="1:13" x14ac:dyDescent="0.15">
      <c r="A48" s="80" t="s">
        <v>200</v>
      </c>
      <c r="B48" s="81">
        <f>floors!$C$2</f>
        <v>60026</v>
      </c>
      <c r="C48" s="82" t="str">
        <f ca="1">VLOOKUP($B48,OFFSET([2]quests!$A$1,0,0,COUNTA([2]quests!$A:$A),MATCH(C$1,[2]quests!$1:$1,0)-MATCH($B$1,[2]quests!$1:$1,0)+1),MATCH(C$1,[2]quests!$1:$1,0)-MATCH($B$1,[2]quests!$1:$1,0)+1,FALSE)</f>
        <v>ハップルチャレンジ</v>
      </c>
      <c r="D48" s="82" t="str">
        <f ca="1">VLOOKUP($B48,OFFSET([2]quests!$A$1,0,0,COUNTA([2]quests!$A:$A),MATCH(D$1,[2]quests!$1:$1,0)-MATCH($B$1,[2]quests!$1:$1,0)+1),MATCH(D$1,[2]quests!$1:$1,0)-MATCH($B$1,[2]quests!$1:$1,0)+1,FALSE)</f>
        <v>ランキング9</v>
      </c>
      <c r="E48" s="86" t="s">
        <v>216</v>
      </c>
      <c r="F48" s="82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2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4">
        <v>0</v>
      </c>
      <c r="I48">
        <v>25</v>
      </c>
      <c r="J48" s="83" t="s">
        <v>197</v>
      </c>
      <c r="K48" s="93" t="str">
        <f>VLOOKUP(I48,[7]stage_hints!$A:$C,3,FALSE)</f>
        <v>スキルレベルアップ</v>
      </c>
      <c r="L48" s="94" t="str">
        <f>VLOOKUP(I48,[7]stage_hints!$A:$D,4,FALSE)</f>
        <v>「秘術の果実」を強化に使うと_x000D_スキルレベルを上げることができます</v>
      </c>
      <c r="M48" s="55" t="s">
        <v>212</v>
      </c>
    </row>
    <row r="49" spans="1:13" x14ac:dyDescent="0.15">
      <c r="A49" s="80" t="s">
        <v>200</v>
      </c>
      <c r="B49" s="81">
        <f>floors!$C$2</f>
        <v>60026</v>
      </c>
      <c r="C49" s="82" t="str">
        <f ca="1">VLOOKUP($B49,OFFSET([2]quests!$A$1,0,0,COUNTA([2]quests!$A:$A),MATCH(C$1,[2]quests!$1:$1,0)-MATCH($B$1,[2]quests!$1:$1,0)+1),MATCH(C$1,[2]quests!$1:$1,0)-MATCH($B$1,[2]quests!$1:$1,0)+1,FALSE)</f>
        <v>ハップルチャレンジ</v>
      </c>
      <c r="D49" s="82" t="str">
        <f ca="1">VLOOKUP($B49,OFFSET([2]quests!$A$1,0,0,COUNTA([2]quests!$A:$A),MATCH(D$1,[2]quests!$1:$1,0)-MATCH($B$1,[2]quests!$1:$1,0)+1),MATCH(D$1,[2]quests!$1:$1,0)-MATCH($B$1,[2]quests!$1:$1,0)+1,FALSE)</f>
        <v>ランキング9</v>
      </c>
      <c r="E49" s="86" t="s">
        <v>216</v>
      </c>
      <c r="F49" s="82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2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4">
        <v>0</v>
      </c>
      <c r="I49">
        <v>26</v>
      </c>
      <c r="J49" s="83" t="s">
        <v>197</v>
      </c>
      <c r="K49" s="93" t="str">
        <f>VLOOKUP(I49,[7]stage_hints!$A:$C,3,FALSE)</f>
        <v>スキルレベルの効果</v>
      </c>
      <c r="L49" s="94" t="str">
        <f>VLOOKUP(I49,[7]stage_hints!$A:$D,4,FALSE)</f>
        <v>スキルレベルが上がると_x000D_短いターンでスキルを使うことができます</v>
      </c>
      <c r="M49" s="55" t="s">
        <v>212</v>
      </c>
    </row>
    <row r="50" spans="1:13" x14ac:dyDescent="0.15">
      <c r="A50" s="80" t="s">
        <v>200</v>
      </c>
      <c r="B50" s="81">
        <f>floors!$C$2</f>
        <v>60026</v>
      </c>
      <c r="C50" s="82" t="str">
        <f ca="1">VLOOKUP($B50,OFFSET([2]quests!$A$1,0,0,COUNTA([2]quests!$A:$A),MATCH(C$1,[2]quests!$1:$1,0)-MATCH($B$1,[2]quests!$1:$1,0)+1),MATCH(C$1,[2]quests!$1:$1,0)-MATCH($B$1,[2]quests!$1:$1,0)+1,FALSE)</f>
        <v>ハップルチャレンジ</v>
      </c>
      <c r="D50" s="82" t="str">
        <f ca="1">VLOOKUP($B50,OFFSET([2]quests!$A$1,0,0,COUNTA([2]quests!$A:$A),MATCH(D$1,[2]quests!$1:$1,0)-MATCH($B$1,[2]quests!$1:$1,0)+1),MATCH(D$1,[2]quests!$1:$1,0)-MATCH($B$1,[2]quests!$1:$1,0)+1,FALSE)</f>
        <v>ランキング9</v>
      </c>
      <c r="E50" s="86" t="s">
        <v>216</v>
      </c>
      <c r="F50" s="82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2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4">
        <v>0</v>
      </c>
      <c r="I50">
        <v>27</v>
      </c>
      <c r="J50" s="83" t="s">
        <v>197</v>
      </c>
      <c r="K50" s="93" t="str">
        <f>VLOOKUP(I50,[7]stage_hints!$A:$C,3,FALSE)</f>
        <v>ホーム画面からデッキを編成</v>
      </c>
      <c r="L50" s="94" t="str">
        <f>VLOOKUP(I50,[7]stage_hints!$A:$D,4,FALSE)</f>
        <v>ホーム画面でユニットを長押しすると_x000D_すぐにパーティ編成に移動できます</v>
      </c>
      <c r="M50" s="55" t="s">
        <v>212</v>
      </c>
    </row>
    <row r="51" spans="1:13" x14ac:dyDescent="0.15">
      <c r="A51" s="80" t="s">
        <v>200</v>
      </c>
      <c r="B51" s="81">
        <f>floors!$C$2</f>
        <v>60026</v>
      </c>
      <c r="C51" s="82" t="str">
        <f ca="1">VLOOKUP($B51,OFFSET([2]quests!$A$1,0,0,COUNTA([2]quests!$A:$A),MATCH(C$1,[2]quests!$1:$1,0)-MATCH($B$1,[2]quests!$1:$1,0)+1),MATCH(C$1,[2]quests!$1:$1,0)-MATCH($B$1,[2]quests!$1:$1,0)+1,FALSE)</f>
        <v>ハップルチャレンジ</v>
      </c>
      <c r="D51" s="82" t="str">
        <f ca="1">VLOOKUP($B51,OFFSET([2]quests!$A$1,0,0,COUNTA([2]quests!$A:$A),MATCH(D$1,[2]quests!$1:$1,0)-MATCH($B$1,[2]quests!$1:$1,0)+1),MATCH(D$1,[2]quests!$1:$1,0)-MATCH($B$1,[2]quests!$1:$1,0)+1,FALSE)</f>
        <v>ランキング9</v>
      </c>
      <c r="E51" s="86" t="s">
        <v>216</v>
      </c>
      <c r="F51" s="82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2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4">
        <v>0</v>
      </c>
      <c r="I51">
        <v>28</v>
      </c>
      <c r="J51" s="83" t="s">
        <v>197</v>
      </c>
      <c r="K51" s="93" t="str">
        <f>VLOOKUP(I51,[7]stage_hints!$A:$C,3,FALSE)</f>
        <v>ステータス情報は長押しで</v>
      </c>
      <c r="L51" s="94" t="str">
        <f>VLOOKUP(I51,[7]stage_hints!$A:$D,4,FALSE)</f>
        <v>ユニットのアイコンを長押しすると_x000D_ステータス情報を確認することができます</v>
      </c>
      <c r="M51" s="55" t="s">
        <v>212</v>
      </c>
    </row>
    <row r="52" spans="1:13" x14ac:dyDescent="0.15">
      <c r="A52" s="80" t="s">
        <v>200</v>
      </c>
      <c r="B52" s="81">
        <f>floors!$C$2</f>
        <v>60026</v>
      </c>
      <c r="C52" s="82" t="str">
        <f ca="1">VLOOKUP($B52,OFFSET([2]quests!$A$1,0,0,COUNTA([2]quests!$A:$A),MATCH(C$1,[2]quests!$1:$1,0)-MATCH($B$1,[2]quests!$1:$1,0)+1),MATCH(C$1,[2]quests!$1:$1,0)-MATCH($B$1,[2]quests!$1:$1,0)+1,FALSE)</f>
        <v>ハップルチャレンジ</v>
      </c>
      <c r="D52" s="82" t="str">
        <f ca="1">VLOOKUP($B52,OFFSET([2]quests!$A$1,0,0,COUNTA([2]quests!$A:$A),MATCH(D$1,[2]quests!$1:$1,0)-MATCH($B$1,[2]quests!$1:$1,0)+1),MATCH(D$1,[2]quests!$1:$1,0)-MATCH($B$1,[2]quests!$1:$1,0)+1,FALSE)</f>
        <v>ランキング9</v>
      </c>
      <c r="E52" s="86" t="s">
        <v>216</v>
      </c>
      <c r="F52" s="82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2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4">
        <v>0</v>
      </c>
      <c r="I52">
        <v>29</v>
      </c>
      <c r="J52" s="83" t="s">
        <v>197</v>
      </c>
      <c r="K52" s="93" t="str">
        <f>VLOOKUP(I52,[7]stage_hints!$A:$C,3,FALSE)</f>
        <v>「バグ」のメリット</v>
      </c>
      <c r="L52" s="94" t="str">
        <f>VLOOKUP(I52,[7]stage_hints!$A:$D,4,FALSE)</f>
        <v>ユニットの「バグ」を増やすと_x000D_報酬をもらえる確率がアップします</v>
      </c>
      <c r="M52" s="55" t="s">
        <v>212</v>
      </c>
    </row>
    <row r="53" spans="1:13" x14ac:dyDescent="0.15">
      <c r="A53" s="80" t="s">
        <v>200</v>
      </c>
      <c r="B53" s="81">
        <f>floors!$C$2</f>
        <v>60026</v>
      </c>
      <c r="C53" s="82" t="str">
        <f ca="1">VLOOKUP($B53,OFFSET([2]quests!$A$1,0,0,COUNTA([2]quests!$A:$A),MATCH(C$1,[2]quests!$1:$1,0)-MATCH($B$1,[2]quests!$1:$1,0)+1),MATCH(C$1,[2]quests!$1:$1,0)-MATCH($B$1,[2]quests!$1:$1,0)+1,FALSE)</f>
        <v>ハップルチャレンジ</v>
      </c>
      <c r="D53" s="82" t="str">
        <f ca="1">VLOOKUP($B53,OFFSET([2]quests!$A$1,0,0,COUNTA([2]quests!$A:$A),MATCH(D$1,[2]quests!$1:$1,0)-MATCH($B$1,[2]quests!$1:$1,0)+1),MATCH(D$1,[2]quests!$1:$1,0)-MATCH($B$1,[2]quests!$1:$1,0)+1,FALSE)</f>
        <v>ランキング9</v>
      </c>
      <c r="E53" s="86" t="s">
        <v>216</v>
      </c>
      <c r="F53" s="82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2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4">
        <v>0</v>
      </c>
      <c r="I53">
        <v>30</v>
      </c>
      <c r="J53" s="83" t="s">
        <v>197</v>
      </c>
      <c r="K53" s="93" t="str">
        <f>VLOOKUP(I53,[7]stage_hints!$A:$C,3,FALSE)</f>
        <v>「バグ」の増やし方</v>
      </c>
      <c r="L53" s="94" t="str">
        <f>VLOOKUP(I53,[7]stage_hints!$A:$D,4,FALSE)</f>
        <v>同じユニット同士を強化で合成すると_x000D_「バグ」を増やすことができます</v>
      </c>
      <c r="M53" s="55" t="s">
        <v>212</v>
      </c>
    </row>
    <row r="54" spans="1:13" x14ac:dyDescent="0.15">
      <c r="A54" s="80" t="s">
        <v>200</v>
      </c>
      <c r="B54" s="81">
        <f>floors!$C$2</f>
        <v>60026</v>
      </c>
      <c r="C54" s="82" t="str">
        <f ca="1">VLOOKUP($B54,OFFSET([2]quests!$A$1,0,0,COUNTA([2]quests!$A:$A),MATCH(C$1,[2]quests!$1:$1,0)-MATCH($B$1,[2]quests!$1:$1,0)+1),MATCH(C$1,[2]quests!$1:$1,0)-MATCH($B$1,[2]quests!$1:$1,0)+1,FALSE)</f>
        <v>ハップルチャレンジ</v>
      </c>
      <c r="D54" s="82" t="str">
        <f ca="1">VLOOKUP($B54,OFFSET([2]quests!$A$1,0,0,COUNTA([2]quests!$A:$A),MATCH(D$1,[2]quests!$1:$1,0)-MATCH($B$1,[2]quests!$1:$1,0)+1),MATCH(D$1,[2]quests!$1:$1,0)-MATCH($B$1,[2]quests!$1:$1,0)+1,FALSE)</f>
        <v>ランキング9</v>
      </c>
      <c r="E54" s="86" t="s">
        <v>216</v>
      </c>
      <c r="F54" s="82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2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4">
        <v>0</v>
      </c>
      <c r="I54">
        <v>31</v>
      </c>
      <c r="J54" s="83" t="s">
        <v>197</v>
      </c>
      <c r="K54" s="93" t="str">
        <f>VLOOKUP(I54,[7]stage_hints!$A:$C,3,FALSE)</f>
        <v>イベントはお知らせでチェック</v>
      </c>
      <c r="L54" s="94" t="str">
        <f>VLOOKUP(I54,[7]stage_hints!$A:$D,4,FALSE)</f>
        <v>イベント限定ユニットを取り忘れないように_x000D_お知らせをこまめにチェックしましょう</v>
      </c>
      <c r="M54" s="55" t="s">
        <v>212</v>
      </c>
    </row>
    <row r="55" spans="1:13" x14ac:dyDescent="0.15">
      <c r="A55" s="80" t="s">
        <v>200</v>
      </c>
      <c r="B55" s="81">
        <f>floors!$C$2</f>
        <v>60026</v>
      </c>
      <c r="C55" s="82" t="str">
        <f ca="1">VLOOKUP($B55,OFFSET([2]quests!$A$1,0,0,COUNTA([2]quests!$A:$A),MATCH(C$1,[2]quests!$1:$1,0)-MATCH($B$1,[2]quests!$1:$1,0)+1),MATCH(C$1,[2]quests!$1:$1,0)-MATCH($B$1,[2]quests!$1:$1,0)+1,FALSE)</f>
        <v>ハップルチャレンジ</v>
      </c>
      <c r="D55" s="82" t="str">
        <f ca="1">VLOOKUP($B55,OFFSET([2]quests!$A$1,0,0,COUNTA([2]quests!$A:$A),MATCH(D$1,[2]quests!$1:$1,0)-MATCH($B$1,[2]quests!$1:$1,0)+1),MATCH(D$1,[2]quests!$1:$1,0)-MATCH($B$1,[2]quests!$1:$1,0)+1,FALSE)</f>
        <v>ランキング9</v>
      </c>
      <c r="E55" s="86" t="s">
        <v>216</v>
      </c>
      <c r="F55" s="82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2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4">
        <v>0</v>
      </c>
      <c r="I55">
        <v>32</v>
      </c>
      <c r="J55" s="83" t="s">
        <v>197</v>
      </c>
      <c r="K55" s="93" t="str">
        <f>VLOOKUP(I55,[7]stage_hints!$A:$C,3,FALSE)</f>
        <v>敵の連続攻撃には</v>
      </c>
      <c r="L55" s="94" t="str">
        <f>VLOOKUP(I55,[7]stage_hints!$A:$D,4,FALSE)</f>
        <v>カウンタースキルを持つユニットがいれば_x000D_ダメージ回数分の反撃ができます</v>
      </c>
      <c r="M55" s="55" t="s">
        <v>212</v>
      </c>
    </row>
    <row r="56" spans="1:13" x14ac:dyDescent="0.15">
      <c r="A56" s="80" t="s">
        <v>200</v>
      </c>
      <c r="B56" s="81">
        <f>floors!$C$2</f>
        <v>60026</v>
      </c>
      <c r="C56" s="82" t="str">
        <f ca="1">VLOOKUP($B56,OFFSET([2]quests!$A$1,0,0,COUNTA([2]quests!$A:$A),MATCH(C$1,[2]quests!$1:$1,0)-MATCH($B$1,[2]quests!$1:$1,0)+1),MATCH(C$1,[2]quests!$1:$1,0)-MATCH($B$1,[2]quests!$1:$1,0)+1,FALSE)</f>
        <v>ハップルチャレンジ</v>
      </c>
      <c r="D56" s="82" t="str">
        <f ca="1">VLOOKUP($B56,OFFSET([2]quests!$A$1,0,0,COUNTA([2]quests!$A:$A),MATCH(D$1,[2]quests!$1:$1,0)-MATCH($B$1,[2]quests!$1:$1,0)+1),MATCH(D$1,[2]quests!$1:$1,0)-MATCH($B$1,[2]quests!$1:$1,0)+1,FALSE)</f>
        <v>ランキング9</v>
      </c>
      <c r="E56" s="86" t="s">
        <v>216</v>
      </c>
      <c r="F56" s="82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2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4">
        <v>0</v>
      </c>
      <c r="I56">
        <v>33</v>
      </c>
      <c r="J56" s="83" t="s">
        <v>197</v>
      </c>
      <c r="K56" s="93" t="str">
        <f>VLOOKUP(I56,[7]stage_hints!$A:$C,3,FALSE)</f>
        <v>敵のカウンター攻撃には</v>
      </c>
      <c r="L56" s="94" t="str">
        <f>VLOOKUP(I56,[7]stage_hints!$A:$D,4,FALSE)</f>
        <v>カウンターブレイクスキルを持っていれば_x000D_敵のカウンターを解除して攻撃ができます</v>
      </c>
      <c r="M56" s="55" t="s">
        <v>212</v>
      </c>
    </row>
    <row r="57" spans="1:13" x14ac:dyDescent="0.15">
      <c r="A57" s="80" t="s">
        <v>200</v>
      </c>
      <c r="B57" s="81">
        <f>floors!$C$2</f>
        <v>60026</v>
      </c>
      <c r="C57" s="82" t="str">
        <f ca="1">VLOOKUP($B57,OFFSET([2]quests!$A$1,0,0,COUNTA([2]quests!$A:$A),MATCH(C$1,[2]quests!$1:$1,0)-MATCH($B$1,[2]quests!$1:$1,0)+1),MATCH(C$1,[2]quests!$1:$1,0)-MATCH($B$1,[2]quests!$1:$1,0)+1,FALSE)</f>
        <v>ハップルチャレンジ</v>
      </c>
      <c r="D57" s="82" t="str">
        <f ca="1">VLOOKUP($B57,OFFSET([2]quests!$A$1,0,0,COUNTA([2]quests!$A:$A),MATCH(D$1,[2]quests!$1:$1,0)-MATCH($B$1,[2]quests!$1:$1,0)+1),MATCH(D$1,[2]quests!$1:$1,0)-MATCH($B$1,[2]quests!$1:$1,0)+1,FALSE)</f>
        <v>ランキング9</v>
      </c>
      <c r="E57" s="86" t="s">
        <v>216</v>
      </c>
      <c r="F57" s="82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2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4">
        <v>0</v>
      </c>
      <c r="I57">
        <v>34</v>
      </c>
      <c r="J57" s="83" t="s">
        <v>197</v>
      </c>
      <c r="K57" s="93" t="str">
        <f>VLOOKUP(I57,[7]stage_hints!$A:$C,3,FALSE)</f>
        <v>ステータスをスキルで下げられたら</v>
      </c>
      <c r="L57" s="94" t="str">
        <f>VLOOKUP(I57,[7]stage_hints!$A:$D,4,FALSE)</f>
        <v>ステータスダウンのスキルを受けたら_x000D_ステータスアップスキルで上書きしましょう</v>
      </c>
      <c r="M57" s="55" t="s">
        <v>212</v>
      </c>
    </row>
    <row r="58" spans="1:13" x14ac:dyDescent="0.15">
      <c r="A58" s="80" t="s">
        <v>200</v>
      </c>
      <c r="B58" s="81">
        <f>floors!$C$2</f>
        <v>60026</v>
      </c>
      <c r="C58" s="82" t="str">
        <f ca="1">VLOOKUP($B58,OFFSET([2]quests!$A$1,0,0,COUNTA([2]quests!$A:$A),MATCH(C$1,[2]quests!$1:$1,0)-MATCH($B$1,[2]quests!$1:$1,0)+1),MATCH(C$1,[2]quests!$1:$1,0)-MATCH($B$1,[2]quests!$1:$1,0)+1,FALSE)</f>
        <v>ハップルチャレンジ</v>
      </c>
      <c r="D58" s="82" t="str">
        <f ca="1">VLOOKUP($B58,OFFSET([2]quests!$A$1,0,0,COUNTA([2]quests!$A:$A),MATCH(D$1,[2]quests!$1:$1,0)-MATCH($B$1,[2]quests!$1:$1,0)+1),MATCH(D$1,[2]quests!$1:$1,0)-MATCH($B$1,[2]quests!$1:$1,0)+1,FALSE)</f>
        <v>ランキング9</v>
      </c>
      <c r="E58" s="86" t="s">
        <v>216</v>
      </c>
      <c r="F58" s="82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2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4">
        <v>0</v>
      </c>
      <c r="I58">
        <v>35</v>
      </c>
      <c r="J58" s="83" t="s">
        <v>197</v>
      </c>
      <c r="K58" s="93" t="str">
        <f>VLOOKUP(I58,[7]stage_hints!$A:$C,3,FALSE)</f>
        <v>敵のステータスがスキルで上がったら</v>
      </c>
      <c r="L58" s="94" t="str">
        <f>VLOOKUP(I58,[7]stage_hints!$A:$D,4,FALSE)</f>
        <v>敵のステータスがスキルでアップしたときは_x000D_ステータスダウンスキルで上書きしましょう</v>
      </c>
      <c r="M58" s="55" t="s">
        <v>212</v>
      </c>
    </row>
    <row r="59" spans="1:13" x14ac:dyDescent="0.15">
      <c r="A59" s="80" t="s">
        <v>200</v>
      </c>
      <c r="B59" s="81">
        <f>floors!$C$2</f>
        <v>60026</v>
      </c>
      <c r="C59" s="82" t="str">
        <f ca="1">VLOOKUP($B59,OFFSET([2]quests!$A$1,0,0,COUNTA([2]quests!$A:$A),MATCH(C$1,[2]quests!$1:$1,0)-MATCH($B$1,[2]quests!$1:$1,0)+1),MATCH(C$1,[2]quests!$1:$1,0)-MATCH($B$1,[2]quests!$1:$1,0)+1,FALSE)</f>
        <v>ハップルチャレンジ</v>
      </c>
      <c r="D59" s="82" t="str">
        <f ca="1">VLOOKUP($B59,OFFSET([2]quests!$A$1,0,0,COUNTA([2]quests!$A:$A),MATCH(D$1,[2]quests!$1:$1,0)-MATCH($B$1,[2]quests!$1:$1,0)+1),MATCH(D$1,[2]quests!$1:$1,0)-MATCH($B$1,[2]quests!$1:$1,0)+1,FALSE)</f>
        <v>ランキング9</v>
      </c>
      <c r="E59" s="86" t="s">
        <v>216</v>
      </c>
      <c r="F59" s="82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2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4">
        <v>0</v>
      </c>
      <c r="I59">
        <v>39</v>
      </c>
      <c r="J59" s="83" t="s">
        <v>197</v>
      </c>
      <c r="K59" s="93" t="str">
        <f>VLOOKUP(I59,[7]stage_hints!$A:$C,3,FALSE)</f>
        <v>システム適合者を確認</v>
      </c>
      <c r="L59" s="94" t="str">
        <f>VLOOKUP(I59,[7]stage_hints!$A:$D,4,FALSE)</f>
        <v>ALICEが 「アナタ」を呼んでいます</v>
      </c>
      <c r="M59" s="55" t="s">
        <v>212</v>
      </c>
    </row>
    <row r="60" spans="1:13" x14ac:dyDescent="0.15">
      <c r="A60" s="80" t="s">
        <v>200</v>
      </c>
      <c r="B60" s="81">
        <f>floors!$C$2</f>
        <v>60026</v>
      </c>
      <c r="C60" s="82" t="str">
        <f ca="1">VLOOKUP($B60,OFFSET([2]quests!$A$1,0,0,COUNTA([2]quests!$A:$A),MATCH(C$1,[2]quests!$1:$1,0)-MATCH($B$1,[2]quests!$1:$1,0)+1),MATCH(C$1,[2]quests!$1:$1,0)-MATCH($B$1,[2]quests!$1:$1,0)+1,FALSE)</f>
        <v>ハップルチャレンジ</v>
      </c>
      <c r="D60" s="82" t="str">
        <f ca="1">VLOOKUP($B60,OFFSET([2]quests!$A$1,0,0,COUNTA([2]quests!$A:$A),MATCH(D$1,[2]quests!$1:$1,0)-MATCH($B$1,[2]quests!$1:$1,0)+1),MATCH(D$1,[2]quests!$1:$1,0)-MATCH($B$1,[2]quests!$1:$1,0)+1,FALSE)</f>
        <v>ランキング9</v>
      </c>
      <c r="E60" s="86" t="s">
        <v>217</v>
      </c>
      <c r="F60" s="82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2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4">
        <v>0</v>
      </c>
      <c r="I60" s="97">
        <v>3</v>
      </c>
      <c r="J60" s="83" t="s">
        <v>197</v>
      </c>
      <c r="K60" s="93" t="str">
        <f>VLOOKUP(I60,[7]stage_hints!$A:$C,3,FALSE)</f>
        <v>ターゲット</v>
      </c>
      <c r="L60" s="94" t="str">
        <f>VLOOKUP(I60,[7]stage_hints!$A:$D,4,FALSE)</f>
        <v>敵ユニットをタップすると_x000D_その敵を狙い撃ちできます</v>
      </c>
      <c r="M60" s="55" t="s">
        <v>212</v>
      </c>
    </row>
    <row r="61" spans="1:13" x14ac:dyDescent="0.15">
      <c r="A61" s="80" t="s">
        <v>200</v>
      </c>
      <c r="B61" s="81">
        <f>floors!$C$2</f>
        <v>60026</v>
      </c>
      <c r="C61" s="82" t="str">
        <f ca="1">VLOOKUP($B61,OFFSET([2]quests!$A$1,0,0,COUNTA([2]quests!$A:$A),MATCH(C$1,[2]quests!$1:$1,0)-MATCH($B$1,[2]quests!$1:$1,0)+1),MATCH(C$1,[2]quests!$1:$1,0)-MATCH($B$1,[2]quests!$1:$1,0)+1,FALSE)</f>
        <v>ハップルチャレンジ</v>
      </c>
      <c r="D61" s="82" t="str">
        <f ca="1">VLOOKUP($B61,OFFSET([2]quests!$A$1,0,0,COUNTA([2]quests!$A:$A),MATCH(D$1,[2]quests!$1:$1,0)-MATCH($B$1,[2]quests!$1:$1,0)+1),MATCH(D$1,[2]quests!$1:$1,0)-MATCH($B$1,[2]quests!$1:$1,0)+1,FALSE)</f>
        <v>ランキング9</v>
      </c>
      <c r="E61" s="86" t="s">
        <v>217</v>
      </c>
      <c r="F61" s="82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2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4">
        <v>0</v>
      </c>
      <c r="I61" s="97">
        <v>6</v>
      </c>
      <c r="J61" s="83" t="s">
        <v>197</v>
      </c>
      <c r="K61" s="93" t="str">
        <f>VLOOKUP(I61,[7]stage_hints!$A:$C,3,FALSE)</f>
        <v>ユニット強化の属性ボーナス</v>
      </c>
      <c r="L61" s="94" t="str">
        <f>VLOOKUP(I61,[7]stage_hints!$A:$D,4,FALSE)</f>
        <v>同属性ユニットを強化素材にすると_x000D_経験値が多くもらえます</v>
      </c>
      <c r="M61" s="55" t="s">
        <v>212</v>
      </c>
    </row>
    <row r="62" spans="1:13" x14ac:dyDescent="0.15">
      <c r="A62" s="80" t="s">
        <v>200</v>
      </c>
      <c r="B62" s="81">
        <f>floors!$C$2</f>
        <v>60026</v>
      </c>
      <c r="C62" s="82" t="str">
        <f ca="1">VLOOKUP($B62,OFFSET([2]quests!$A$1,0,0,COUNTA([2]quests!$A:$A),MATCH(C$1,[2]quests!$1:$1,0)-MATCH($B$1,[2]quests!$1:$1,0)+1),MATCH(C$1,[2]quests!$1:$1,0)-MATCH($B$1,[2]quests!$1:$1,0)+1,FALSE)</f>
        <v>ハップルチャレンジ</v>
      </c>
      <c r="D62" s="82" t="str">
        <f ca="1">VLOOKUP($B62,OFFSET([2]quests!$A$1,0,0,COUNTA([2]quests!$A:$A),MATCH(D$1,[2]quests!$1:$1,0)-MATCH($B$1,[2]quests!$1:$1,0)+1),MATCH(D$1,[2]quests!$1:$1,0)-MATCH($B$1,[2]quests!$1:$1,0)+1,FALSE)</f>
        <v>ランキング9</v>
      </c>
      <c r="E62" s="86" t="s">
        <v>217</v>
      </c>
      <c r="F62" s="82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2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4">
        <v>0</v>
      </c>
      <c r="I62" s="97">
        <v>7</v>
      </c>
      <c r="J62" s="83" t="s">
        <v>197</v>
      </c>
      <c r="K62" s="93" t="str">
        <f>VLOOKUP(I62,[7]stage_hints!$A:$C,3,FALSE)</f>
        <v>メタルダックで経験値を獲得</v>
      </c>
      <c r="L62" s="94" t="str">
        <f>VLOOKUP(I62,[7]stage_hints!$A:$D,4,FALSE)</f>
        <v>「メタルなアヒル」を強化素材にすると_x000D_大量の経験値がもらえます</v>
      </c>
      <c r="M62" s="55" t="s">
        <v>212</v>
      </c>
    </row>
    <row r="63" spans="1:13" x14ac:dyDescent="0.15">
      <c r="A63" s="80" t="s">
        <v>200</v>
      </c>
      <c r="B63" s="81">
        <f>floors!$C$2</f>
        <v>60026</v>
      </c>
      <c r="C63" s="82" t="str">
        <f ca="1">VLOOKUP($B63,OFFSET([2]quests!$A$1,0,0,COUNTA([2]quests!$A:$A),MATCH(C$1,[2]quests!$1:$1,0)-MATCH($B$1,[2]quests!$1:$1,0)+1),MATCH(C$1,[2]quests!$1:$1,0)-MATCH($B$1,[2]quests!$1:$1,0)+1,FALSE)</f>
        <v>ハップルチャレンジ</v>
      </c>
      <c r="D63" s="82" t="str">
        <f ca="1">VLOOKUP($B63,OFFSET([2]quests!$A$1,0,0,COUNTA([2]quests!$A:$A),MATCH(D$1,[2]quests!$1:$1,0)-MATCH($B$1,[2]quests!$1:$1,0)+1),MATCH(D$1,[2]quests!$1:$1,0)-MATCH($B$1,[2]quests!$1:$1,0)+1,FALSE)</f>
        <v>ランキング9</v>
      </c>
      <c r="E63" s="86" t="s">
        <v>217</v>
      </c>
      <c r="F63" s="82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2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4">
        <v>0</v>
      </c>
      <c r="I63" s="97">
        <v>8</v>
      </c>
      <c r="J63" s="83" t="s">
        <v>197</v>
      </c>
      <c r="K63" s="93" t="str">
        <f>VLOOKUP(I63,[7]stage_hints!$A:$C,3,FALSE)</f>
        <v>ゲリラクエストは要チェック</v>
      </c>
      <c r="L63" s="94" t="str">
        <f>VLOOKUP(I63,[7]stage_hints!$A:$D,4,FALSE)</f>
        <v>時間限定の「アヒル捕獲作戦」では_x000D_経験値素材ユニットが多く手に入ります</v>
      </c>
      <c r="M63" s="55" t="s">
        <v>212</v>
      </c>
    </row>
    <row r="64" spans="1:13" x14ac:dyDescent="0.15">
      <c r="A64" s="80" t="s">
        <v>200</v>
      </c>
      <c r="B64" s="81">
        <f>floors!$C$2</f>
        <v>60026</v>
      </c>
      <c r="C64" s="82" t="str">
        <f ca="1">VLOOKUP($B64,OFFSET([2]quests!$A$1,0,0,COUNTA([2]quests!$A:$A),MATCH(C$1,[2]quests!$1:$1,0)-MATCH($B$1,[2]quests!$1:$1,0)+1),MATCH(C$1,[2]quests!$1:$1,0)-MATCH($B$1,[2]quests!$1:$1,0)+1,FALSE)</f>
        <v>ハップルチャレンジ</v>
      </c>
      <c r="D64" s="82" t="str">
        <f ca="1">VLOOKUP($B64,OFFSET([2]quests!$A$1,0,0,COUNTA([2]quests!$A:$A),MATCH(D$1,[2]quests!$1:$1,0)-MATCH($B$1,[2]quests!$1:$1,0)+1),MATCH(D$1,[2]quests!$1:$1,0)-MATCH($B$1,[2]quests!$1:$1,0)+1,FALSE)</f>
        <v>ランキング9</v>
      </c>
      <c r="E64" s="86" t="s">
        <v>217</v>
      </c>
      <c r="F64" s="82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2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4">
        <v>0</v>
      </c>
      <c r="I64" s="97">
        <v>9</v>
      </c>
      <c r="J64" s="83" t="s">
        <v>197</v>
      </c>
      <c r="K64" s="93" t="str">
        <f>VLOOKUP(I64,[7]stage_hints!$A:$C,3,FALSE)</f>
        <v>ゴールドダックでビットを獲得</v>
      </c>
      <c r="L64" s="94" t="str">
        <f>VLOOKUP(I64,[7]stage_hints!$A:$D,4,FALSE)</f>
        <v>「ゴールドなアヒル」を売却すると_x000D_大量のビットがもらえます</v>
      </c>
      <c r="M64" s="55" t="s">
        <v>212</v>
      </c>
    </row>
    <row r="65" spans="1:13" x14ac:dyDescent="0.15">
      <c r="A65" s="80" t="s">
        <v>200</v>
      </c>
      <c r="B65" s="81">
        <f>floors!$C$2</f>
        <v>60026</v>
      </c>
      <c r="C65" s="82" t="str">
        <f ca="1">VLOOKUP($B65,OFFSET([2]quests!$A$1,0,0,COUNTA([2]quests!$A:$A),MATCH(C$1,[2]quests!$1:$1,0)-MATCH($B$1,[2]quests!$1:$1,0)+1),MATCH(C$1,[2]quests!$1:$1,0)-MATCH($B$1,[2]quests!$1:$1,0)+1,FALSE)</f>
        <v>ハップルチャレンジ</v>
      </c>
      <c r="D65" s="82" t="str">
        <f ca="1">VLOOKUP($B65,OFFSET([2]quests!$A$1,0,0,COUNTA([2]quests!$A:$A),MATCH(D$1,[2]quests!$1:$1,0)-MATCH($B$1,[2]quests!$1:$1,0)+1),MATCH(D$1,[2]quests!$1:$1,0)-MATCH($B$1,[2]quests!$1:$1,0)+1,FALSE)</f>
        <v>ランキング9</v>
      </c>
      <c r="E65" s="86" t="s">
        <v>217</v>
      </c>
      <c r="F65" s="82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2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4">
        <v>0</v>
      </c>
      <c r="I65" s="97">
        <v>10</v>
      </c>
      <c r="J65" s="83" t="s">
        <v>197</v>
      </c>
      <c r="K65" s="93" t="str">
        <f>VLOOKUP(I65,[7]stage_hints!$A:$C,3,FALSE)</f>
        <v>土日に大量のビットを獲得</v>
      </c>
      <c r="L65" s="94" t="str">
        <f>VLOOKUP(I65,[7]stage_hints!$A:$D,4,FALSE)</f>
        <v>土日限定の「ゴールドカジノ」では_x000D_売却素材ユニットが多く手に入ります</v>
      </c>
      <c r="M65" s="55" t="s">
        <v>212</v>
      </c>
    </row>
    <row r="66" spans="1:13" x14ac:dyDescent="0.15">
      <c r="A66" s="80" t="s">
        <v>200</v>
      </c>
      <c r="B66" s="81">
        <f>floors!$C$2</f>
        <v>60026</v>
      </c>
      <c r="C66" s="82" t="str">
        <f ca="1">VLOOKUP($B66,OFFSET([2]quests!$A$1,0,0,COUNTA([2]quests!$A:$A),MATCH(C$1,[2]quests!$1:$1,0)-MATCH($B$1,[2]quests!$1:$1,0)+1),MATCH(C$1,[2]quests!$1:$1,0)-MATCH($B$1,[2]quests!$1:$1,0)+1,FALSE)</f>
        <v>ハップルチャレンジ</v>
      </c>
      <c r="D66" s="82" t="str">
        <f ca="1">VLOOKUP($B66,OFFSET([2]quests!$A$1,0,0,COUNTA([2]quests!$A:$A),MATCH(D$1,[2]quests!$1:$1,0)-MATCH($B$1,[2]quests!$1:$1,0)+1),MATCH(D$1,[2]quests!$1:$1,0)-MATCH($B$1,[2]quests!$1:$1,0)+1,FALSE)</f>
        <v>ランキング9</v>
      </c>
      <c r="E66" s="86" t="s">
        <v>217</v>
      </c>
      <c r="F66" s="82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2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4">
        <v>0</v>
      </c>
      <c r="I66" s="97">
        <v>11</v>
      </c>
      <c r="J66" s="83" t="s">
        <v>197</v>
      </c>
      <c r="K66" s="93" t="str">
        <f>VLOOKUP(I66,[7]stage_hints!$A:$C,3,FALSE)</f>
        <v>ランク解放クエスト</v>
      </c>
      <c r="L66" s="94" t="str">
        <f>VLOOKUP(I66,[7]stage_hints!$A:$D,4,FALSE)</f>
        <v>一定ランクに到達すると_x000D_報酬付きのランク開放クエストが現れます</v>
      </c>
      <c r="M66" s="55" t="s">
        <v>212</v>
      </c>
    </row>
    <row r="67" spans="1:13" x14ac:dyDescent="0.15">
      <c r="A67" s="80" t="s">
        <v>200</v>
      </c>
      <c r="B67" s="81">
        <f>floors!$C$2</f>
        <v>60026</v>
      </c>
      <c r="C67" s="82" t="str">
        <f ca="1">VLOOKUP($B67,OFFSET([2]quests!$A$1,0,0,COUNTA([2]quests!$A:$A),MATCH(C$1,[2]quests!$1:$1,0)-MATCH($B$1,[2]quests!$1:$1,0)+1),MATCH(C$1,[2]quests!$1:$1,0)-MATCH($B$1,[2]quests!$1:$1,0)+1,FALSE)</f>
        <v>ハップルチャレンジ</v>
      </c>
      <c r="D67" s="82" t="str">
        <f ca="1">VLOOKUP($B67,OFFSET([2]quests!$A$1,0,0,COUNTA([2]quests!$A:$A),MATCH(D$1,[2]quests!$1:$1,0)-MATCH($B$1,[2]quests!$1:$1,0)+1),MATCH(D$1,[2]quests!$1:$1,0)-MATCH($B$1,[2]quests!$1:$1,0)+1,FALSE)</f>
        <v>ランキング9</v>
      </c>
      <c r="E67" s="86" t="s">
        <v>217</v>
      </c>
      <c r="F67" s="82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2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4">
        <v>0</v>
      </c>
      <c r="I67" s="97">
        <v>12</v>
      </c>
      <c r="J67" s="83" t="s">
        <v>197</v>
      </c>
      <c r="K67" s="93" t="str">
        <f>VLOOKUP(I67,[7]stage_hints!$A:$C,3,FALSE)</f>
        <v>ユニットのお気に入り登録</v>
      </c>
      <c r="L67" s="94" t="str">
        <f>VLOOKUP(I67,[7]stage_hints!$A:$D,4,FALSE)</f>
        <v>大事なユニットを誤って消さないように_x000D_フォルダから「お気に入り登録」しましょう</v>
      </c>
      <c r="M67" s="55" t="s">
        <v>212</v>
      </c>
    </row>
    <row r="68" spans="1:13" x14ac:dyDescent="0.15">
      <c r="A68" s="80" t="s">
        <v>200</v>
      </c>
      <c r="B68" s="81">
        <f>floors!$C$2</f>
        <v>60026</v>
      </c>
      <c r="C68" s="82" t="str">
        <f ca="1">VLOOKUP($B68,OFFSET([2]quests!$A$1,0,0,COUNTA([2]quests!$A:$A),MATCH(C$1,[2]quests!$1:$1,0)-MATCH($B$1,[2]quests!$1:$1,0)+1),MATCH(C$1,[2]quests!$1:$1,0)-MATCH($B$1,[2]quests!$1:$1,0)+1,FALSE)</f>
        <v>ハップルチャレンジ</v>
      </c>
      <c r="D68" s="82" t="str">
        <f ca="1">VLOOKUP($B68,OFFSET([2]quests!$A$1,0,0,COUNTA([2]quests!$A:$A),MATCH(D$1,[2]quests!$1:$1,0)-MATCH($B$1,[2]quests!$1:$1,0)+1),MATCH(D$1,[2]quests!$1:$1,0)-MATCH($B$1,[2]quests!$1:$1,0)+1,FALSE)</f>
        <v>ランキング9</v>
      </c>
      <c r="E68" s="86" t="s">
        <v>217</v>
      </c>
      <c r="F68" s="82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2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4">
        <v>0</v>
      </c>
      <c r="I68" s="97">
        <v>13</v>
      </c>
      <c r="J68" s="83" t="s">
        <v>197</v>
      </c>
      <c r="K68" s="93" t="str">
        <f>VLOOKUP(I68,[7]stage_hints!$A:$C,3,FALSE)</f>
        <v>ユニットの覚醒</v>
      </c>
      <c r="L68" s="94" t="str">
        <f>VLOOKUP(I68,[7]stage_hints!$A:$D,4,FALSE)</f>
        <v>ユニットを覚醒させると_x000D_比べものにならない強さが手に入ります</v>
      </c>
      <c r="M68" s="55" t="s">
        <v>212</v>
      </c>
    </row>
    <row r="69" spans="1:13" x14ac:dyDescent="0.15">
      <c r="A69" s="80" t="s">
        <v>200</v>
      </c>
      <c r="B69" s="81">
        <f>floors!$C$2</f>
        <v>60026</v>
      </c>
      <c r="C69" s="82" t="str">
        <f ca="1">VLOOKUP($B69,OFFSET([2]quests!$A$1,0,0,COUNTA([2]quests!$A:$A),MATCH(C$1,[2]quests!$1:$1,0)-MATCH($B$1,[2]quests!$1:$1,0)+1),MATCH(C$1,[2]quests!$1:$1,0)-MATCH($B$1,[2]quests!$1:$1,0)+1,FALSE)</f>
        <v>ハップルチャレンジ</v>
      </c>
      <c r="D69" s="82" t="str">
        <f ca="1">VLOOKUP($B69,OFFSET([2]quests!$A$1,0,0,COUNTA([2]quests!$A:$A),MATCH(D$1,[2]quests!$1:$1,0)-MATCH($B$1,[2]quests!$1:$1,0)+1),MATCH(D$1,[2]quests!$1:$1,0)-MATCH($B$1,[2]quests!$1:$1,0)+1,FALSE)</f>
        <v>ランキング9</v>
      </c>
      <c r="E69" s="86" t="s">
        <v>217</v>
      </c>
      <c r="F69" s="82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2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4">
        <v>0</v>
      </c>
      <c r="I69" s="97">
        <v>14</v>
      </c>
      <c r="J69" s="83" t="s">
        <v>197</v>
      </c>
      <c r="K69" s="93" t="str">
        <f>VLOOKUP(I69,[7]stage_hints!$A:$C,3,FALSE)</f>
        <v>覚醒するにはレベルを最大に</v>
      </c>
      <c r="L69" s="94" t="str">
        <f>VLOOKUP(I69,[7]stage_hints!$A:$D,4,FALSE)</f>
        <v>覚醒するにはユニットのレベルを_x000D_最大まで上げる必要があります</v>
      </c>
      <c r="M69" s="55" t="s">
        <v>212</v>
      </c>
    </row>
    <row r="70" spans="1:13" x14ac:dyDescent="0.15">
      <c r="A70" s="80" t="s">
        <v>200</v>
      </c>
      <c r="B70" s="81">
        <f>floors!$C$2</f>
        <v>60026</v>
      </c>
      <c r="C70" s="82" t="str">
        <f ca="1">VLOOKUP($B70,OFFSET([2]quests!$A$1,0,0,COUNTA([2]quests!$A:$A),MATCH(C$1,[2]quests!$1:$1,0)-MATCH($B$1,[2]quests!$1:$1,0)+1),MATCH(C$1,[2]quests!$1:$1,0)-MATCH($B$1,[2]quests!$1:$1,0)+1,FALSE)</f>
        <v>ハップルチャレンジ</v>
      </c>
      <c r="D70" s="82" t="str">
        <f ca="1">VLOOKUP($B70,OFFSET([2]quests!$A$1,0,0,COUNTA([2]quests!$A:$A),MATCH(D$1,[2]quests!$1:$1,0)-MATCH($B$1,[2]quests!$1:$1,0)+1),MATCH(D$1,[2]quests!$1:$1,0)-MATCH($B$1,[2]quests!$1:$1,0)+1,FALSE)</f>
        <v>ランキング9</v>
      </c>
      <c r="E70" s="86" t="s">
        <v>217</v>
      </c>
      <c r="F70" s="82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2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4">
        <v>0</v>
      </c>
      <c r="I70" s="97">
        <v>15</v>
      </c>
      <c r="J70" s="83" t="s">
        <v>197</v>
      </c>
      <c r="K70" s="93" t="str">
        <f>VLOOKUP(I70,[7]stage_hints!$A:$C,3,FALSE)</f>
        <v>覚醒素材を獲得</v>
      </c>
      <c r="L70" s="94" t="str">
        <f>VLOOKUP(I70,[7]stage_hints!$A:$D,4,FALSE)</f>
        <v>「曜日クエスト」では_x000D_ユニットの覚醒に必要な素材が手に入ります</v>
      </c>
      <c r="M70" s="55" t="s">
        <v>212</v>
      </c>
    </row>
    <row r="71" spans="1:13" x14ac:dyDescent="0.15">
      <c r="A71" s="80" t="s">
        <v>200</v>
      </c>
      <c r="B71" s="81">
        <f>floors!$C$2</f>
        <v>60026</v>
      </c>
      <c r="C71" s="82" t="str">
        <f ca="1">VLOOKUP($B71,OFFSET([2]quests!$A$1,0,0,COUNTA([2]quests!$A:$A),MATCH(C$1,[2]quests!$1:$1,0)-MATCH($B$1,[2]quests!$1:$1,0)+1),MATCH(C$1,[2]quests!$1:$1,0)-MATCH($B$1,[2]quests!$1:$1,0)+1,FALSE)</f>
        <v>ハップルチャレンジ</v>
      </c>
      <c r="D71" s="82" t="str">
        <f ca="1">VLOOKUP($B71,OFFSET([2]quests!$A$1,0,0,COUNTA([2]quests!$A:$A),MATCH(D$1,[2]quests!$1:$1,0)-MATCH($B$1,[2]quests!$1:$1,0)+1),MATCH(D$1,[2]quests!$1:$1,0)-MATCH($B$1,[2]quests!$1:$1,0)+1,FALSE)</f>
        <v>ランキング9</v>
      </c>
      <c r="E71" s="86" t="s">
        <v>217</v>
      </c>
      <c r="F71" s="82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2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4">
        <v>0</v>
      </c>
      <c r="I71" s="97">
        <v>16</v>
      </c>
      <c r="J71" s="83" t="s">
        <v>197</v>
      </c>
      <c r="K71" s="93" t="str">
        <f>VLOOKUP(I71,[7]stage_hints!$A:$C,3,FALSE)</f>
        <v>マルチプレイのメリット（その1）</v>
      </c>
      <c r="L71" s="94" t="str">
        <f>VLOOKUP(I71,[7]stage_hints!$A:$D,4,FALSE)</f>
        <v>他のプレイヤーとマルチプレイで遊ぶと_x000D_ポリゴンがもらえます（100人まで）</v>
      </c>
      <c r="M71" s="55" t="s">
        <v>212</v>
      </c>
    </row>
    <row r="72" spans="1:13" x14ac:dyDescent="0.15">
      <c r="A72" s="80" t="s">
        <v>200</v>
      </c>
      <c r="B72" s="81">
        <f>floors!$C$2</f>
        <v>60026</v>
      </c>
      <c r="C72" s="82" t="str">
        <f ca="1">VLOOKUP($B72,OFFSET([2]quests!$A$1,0,0,COUNTA([2]quests!$A:$A),MATCH(C$1,[2]quests!$1:$1,0)-MATCH($B$1,[2]quests!$1:$1,0)+1),MATCH(C$1,[2]quests!$1:$1,0)-MATCH($B$1,[2]quests!$1:$1,0)+1,FALSE)</f>
        <v>ハップルチャレンジ</v>
      </c>
      <c r="D72" s="82" t="str">
        <f ca="1">VLOOKUP($B72,OFFSET([2]quests!$A$1,0,0,COUNTA([2]quests!$A:$A),MATCH(D$1,[2]quests!$1:$1,0)-MATCH($B$1,[2]quests!$1:$1,0)+1),MATCH(D$1,[2]quests!$1:$1,0)-MATCH($B$1,[2]quests!$1:$1,0)+1,FALSE)</f>
        <v>ランキング9</v>
      </c>
      <c r="E72" s="86" t="s">
        <v>217</v>
      </c>
      <c r="F72" s="82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2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4">
        <v>0</v>
      </c>
      <c r="I72" s="97">
        <v>17</v>
      </c>
      <c r="J72" s="83" t="s">
        <v>197</v>
      </c>
      <c r="K72" s="93" t="str">
        <f>VLOOKUP(I72,[7]stage_hints!$A:$C,3,FALSE)</f>
        <v>リンクガチャ</v>
      </c>
      <c r="L72" s="94" t="str">
        <f>VLOOKUP(I72,[7]stage_hints!$A:$D,4,FALSE)</f>
        <v>無料のリンクガチャを回して_x000D_経験値素材や売却素材を獲得しましょう</v>
      </c>
      <c r="M72" s="55" t="s">
        <v>212</v>
      </c>
    </row>
    <row r="73" spans="1:13" x14ac:dyDescent="0.15">
      <c r="A73" s="80" t="s">
        <v>200</v>
      </c>
      <c r="B73" s="81">
        <f>floors!$C$2</f>
        <v>60026</v>
      </c>
      <c r="C73" s="82" t="str">
        <f ca="1">VLOOKUP($B73,OFFSET([2]quests!$A$1,0,0,COUNTA([2]quests!$A:$A),MATCH(C$1,[2]quests!$1:$1,0)-MATCH($B$1,[2]quests!$1:$1,0)+1),MATCH(C$1,[2]quests!$1:$1,0)-MATCH($B$1,[2]quests!$1:$1,0)+1,FALSE)</f>
        <v>ハップルチャレンジ</v>
      </c>
      <c r="D73" s="82" t="str">
        <f ca="1">VLOOKUP($B73,OFFSET([2]quests!$A$1,0,0,COUNTA([2]quests!$A:$A),MATCH(D$1,[2]quests!$1:$1,0)-MATCH($B$1,[2]quests!$1:$1,0)+1),MATCH(D$1,[2]quests!$1:$1,0)-MATCH($B$1,[2]quests!$1:$1,0)+1,FALSE)</f>
        <v>ランキング9</v>
      </c>
      <c r="E73" s="86" t="s">
        <v>217</v>
      </c>
      <c r="F73" s="82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2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4">
        <v>0</v>
      </c>
      <c r="I73" s="97">
        <v>18</v>
      </c>
      <c r="J73" s="83" t="s">
        <v>197</v>
      </c>
      <c r="K73" s="93" t="str">
        <f>VLOOKUP(I73,[7]stage_hints!$A:$C,3,FALSE)</f>
        <v>マルチプレイのメリット（その2）</v>
      </c>
      <c r="L73" s="94" t="str">
        <f>VLOOKUP(I73,[7]stage_hints!$A:$D,4,FALSE)</f>
        <v>マルチプレイならリンクが2倍もらえます_x000D_リンクガチャをたくさん回しましょう</v>
      </c>
      <c r="M73" s="55" t="s">
        <v>212</v>
      </c>
    </row>
    <row r="74" spans="1:13" x14ac:dyDescent="0.15">
      <c r="A74" s="80" t="s">
        <v>200</v>
      </c>
      <c r="B74" s="81">
        <f>floors!$C$2</f>
        <v>60026</v>
      </c>
      <c r="C74" s="82" t="str">
        <f ca="1">VLOOKUP($B74,OFFSET([2]quests!$A$1,0,0,COUNTA([2]quests!$A:$A),MATCH(C$1,[2]quests!$1:$1,0)-MATCH($B$1,[2]quests!$1:$1,0)+1),MATCH(C$1,[2]quests!$1:$1,0)-MATCH($B$1,[2]quests!$1:$1,0)+1,FALSE)</f>
        <v>ハップルチャレンジ</v>
      </c>
      <c r="D74" s="82" t="str">
        <f ca="1">VLOOKUP($B74,OFFSET([2]quests!$A$1,0,0,COUNTA([2]quests!$A:$A),MATCH(D$1,[2]quests!$1:$1,0)-MATCH($B$1,[2]quests!$1:$1,0)+1),MATCH(D$1,[2]quests!$1:$1,0)-MATCH($B$1,[2]quests!$1:$1,0)+1,FALSE)</f>
        <v>ランキング9</v>
      </c>
      <c r="E74" s="86" t="s">
        <v>217</v>
      </c>
      <c r="F74" s="82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2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4">
        <v>0</v>
      </c>
      <c r="I74" s="97">
        <v>19</v>
      </c>
      <c r="J74" s="83" t="s">
        <v>197</v>
      </c>
      <c r="K74" s="93" t="str">
        <f>VLOOKUP(I74,[7]stage_hints!$A:$C,3,FALSE)</f>
        <v>ソロ専用タワーオブザクイーン</v>
      </c>
      <c r="L74" s="94" t="str">
        <f>VLOOKUP(I74,[7]stage_hints!$A:$D,4,FALSE)</f>
        <v>ソロ専用の「タワーオブザクイーン」は_x000D_期間限定で定期的に開催されます_x000D_ここでしか獲得できない報酬もあるようです</v>
      </c>
      <c r="M74" s="55" t="s">
        <v>212</v>
      </c>
    </row>
    <row r="75" spans="1:13" x14ac:dyDescent="0.15">
      <c r="A75" s="80" t="s">
        <v>200</v>
      </c>
      <c r="B75" s="81">
        <f>floors!$C$2</f>
        <v>60026</v>
      </c>
      <c r="C75" s="82" t="str">
        <f ca="1">VLOOKUP($B75,OFFSET([2]quests!$A$1,0,0,COUNTA([2]quests!$A:$A),MATCH(C$1,[2]quests!$1:$1,0)-MATCH($B$1,[2]quests!$1:$1,0)+1),MATCH(C$1,[2]quests!$1:$1,0)-MATCH($B$1,[2]quests!$1:$1,0)+1,FALSE)</f>
        <v>ハップルチャレンジ</v>
      </c>
      <c r="D75" s="82" t="str">
        <f ca="1">VLOOKUP($B75,OFFSET([2]quests!$A$1,0,0,COUNTA([2]quests!$A:$A),MATCH(D$1,[2]quests!$1:$1,0)-MATCH($B$1,[2]quests!$1:$1,0)+1),MATCH(D$1,[2]quests!$1:$1,0)-MATCH($B$1,[2]quests!$1:$1,0)+1,FALSE)</f>
        <v>ランキング9</v>
      </c>
      <c r="E75" s="86" t="s">
        <v>217</v>
      </c>
      <c r="F75" s="82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2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4">
        <v>0</v>
      </c>
      <c r="I75" s="97">
        <v>20</v>
      </c>
      <c r="J75" s="83" t="s">
        <v>197</v>
      </c>
      <c r="K75" s="93" t="str">
        <f>VLOOKUP(I75,[7]stage_hints!$A:$C,3,FALSE)</f>
        <v>マルチプレイのメリット（その3）</v>
      </c>
      <c r="L75" s="94" t="str">
        <f>VLOOKUP(I75,[7]stage_hints!$A:$D,4,FALSE)</f>
        <v>マルチプレイへの参加はエナジー消費ゼロ_x000D_いつでも好きなだけ遊ぶことができます</v>
      </c>
      <c r="M75" s="55" t="s">
        <v>212</v>
      </c>
    </row>
    <row r="76" spans="1:13" x14ac:dyDescent="0.15">
      <c r="A76" s="80" t="s">
        <v>200</v>
      </c>
      <c r="B76" s="81">
        <f>floors!$C$2</f>
        <v>60026</v>
      </c>
      <c r="C76" s="82" t="str">
        <f ca="1">VLOOKUP($B76,OFFSET([2]quests!$A$1,0,0,COUNTA([2]quests!$A:$A),MATCH(C$1,[2]quests!$1:$1,0)-MATCH($B$1,[2]quests!$1:$1,0)+1),MATCH(C$1,[2]quests!$1:$1,0)-MATCH($B$1,[2]quests!$1:$1,0)+1,FALSE)</f>
        <v>ハップルチャレンジ</v>
      </c>
      <c r="D76" s="82" t="str">
        <f ca="1">VLOOKUP($B76,OFFSET([2]quests!$A$1,0,0,COUNTA([2]quests!$A:$A),MATCH(D$1,[2]quests!$1:$1,0)-MATCH($B$1,[2]quests!$1:$1,0)+1),MATCH(D$1,[2]quests!$1:$1,0)-MATCH($B$1,[2]quests!$1:$1,0)+1,FALSE)</f>
        <v>ランキング9</v>
      </c>
      <c r="E76" s="86" t="s">
        <v>217</v>
      </c>
      <c r="F76" s="82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2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4">
        <v>0</v>
      </c>
      <c r="I76" s="97">
        <v>21</v>
      </c>
      <c r="J76" s="83" t="s">
        <v>197</v>
      </c>
      <c r="K76" s="93" t="str">
        <f>VLOOKUP(I76,[7]stage_hints!$A:$C,3,FALSE)</f>
        <v>スキルを有効に</v>
      </c>
      <c r="L76" s="94" t="str">
        <f>VLOOKUP(I76,[7]stage_hints!$A:$D,4,FALSE)</f>
        <v>ターン経過でユニットのスキルが使えます_x000D_強力スキルでバトルを有利に進めましょう</v>
      </c>
      <c r="M76" s="55" t="s">
        <v>212</v>
      </c>
    </row>
    <row r="77" spans="1:13" x14ac:dyDescent="0.15">
      <c r="A77" s="80" t="s">
        <v>200</v>
      </c>
      <c r="B77" s="81">
        <f>floors!$C$2</f>
        <v>60026</v>
      </c>
      <c r="C77" s="82" t="str">
        <f ca="1">VLOOKUP($B77,OFFSET([2]quests!$A$1,0,0,COUNTA([2]quests!$A:$A),MATCH(C$1,[2]quests!$1:$1,0)-MATCH($B$1,[2]quests!$1:$1,0)+1),MATCH(C$1,[2]quests!$1:$1,0)-MATCH($B$1,[2]quests!$1:$1,0)+1,FALSE)</f>
        <v>ハップルチャレンジ</v>
      </c>
      <c r="D77" s="82" t="str">
        <f ca="1">VLOOKUP($B77,OFFSET([2]quests!$A$1,0,0,COUNTA([2]quests!$A:$A),MATCH(D$1,[2]quests!$1:$1,0)-MATCH($B$1,[2]quests!$1:$1,0)+1),MATCH(D$1,[2]quests!$1:$1,0)-MATCH($B$1,[2]quests!$1:$1,0)+1,FALSE)</f>
        <v>ランキング9</v>
      </c>
      <c r="E77" s="86" t="s">
        <v>217</v>
      </c>
      <c r="F77" s="82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2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4">
        <v>0</v>
      </c>
      <c r="I77" s="97">
        <v>22</v>
      </c>
      <c r="J77" s="83" t="s">
        <v>197</v>
      </c>
      <c r="K77" s="93" t="str">
        <f>VLOOKUP(I77,[7]stage_hints!$A:$C,3,FALSE)</f>
        <v>フィーバーで一発逆転（その1）</v>
      </c>
      <c r="L77" s="94" t="str">
        <f>VLOOKUP(I77,[7]stage_hints!$A:$D,4,FALSE)</f>
        <v>フィーバーは攻撃と回復を兼ね備えます_x000D_ピンチからの一発逆転を狙いましょう</v>
      </c>
      <c r="M77" s="55" t="s">
        <v>212</v>
      </c>
    </row>
    <row r="78" spans="1:13" x14ac:dyDescent="0.15">
      <c r="A78" s="80" t="s">
        <v>200</v>
      </c>
      <c r="B78" s="81">
        <f>floors!$C$2</f>
        <v>60026</v>
      </c>
      <c r="C78" s="82" t="str">
        <f ca="1">VLOOKUP($B78,OFFSET([2]quests!$A$1,0,0,COUNTA([2]quests!$A:$A),MATCH(C$1,[2]quests!$1:$1,0)-MATCH($B$1,[2]quests!$1:$1,0)+1),MATCH(C$1,[2]quests!$1:$1,0)-MATCH($B$1,[2]quests!$1:$1,0)+1,FALSE)</f>
        <v>ハップルチャレンジ</v>
      </c>
      <c r="D78" s="82" t="str">
        <f ca="1">VLOOKUP($B78,OFFSET([2]quests!$A$1,0,0,COUNTA([2]quests!$A:$A),MATCH(D$1,[2]quests!$1:$1,0)-MATCH($B$1,[2]quests!$1:$1,0)+1),MATCH(D$1,[2]quests!$1:$1,0)-MATCH($B$1,[2]quests!$1:$1,0)+1,FALSE)</f>
        <v>ランキング9</v>
      </c>
      <c r="E78" s="86" t="s">
        <v>217</v>
      </c>
      <c r="F78" s="82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2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4">
        <v>0</v>
      </c>
      <c r="I78" s="97">
        <v>23</v>
      </c>
      <c r="J78" s="83" t="s">
        <v>197</v>
      </c>
      <c r="K78" s="93" t="str">
        <f>VLOOKUP(I78,[7]stage_hints!$A:$C,3,FALSE)</f>
        <v>フィーバーで一発逆転（その2）</v>
      </c>
      <c r="L78" s="94" t="str">
        <f>VLOOKUP(I78,[7]stage_hints!$A:$D,4,FALSE)</f>
        <v>フィーバー中は虹色のボムパネルを狙って_x000D_画面上のパネルを一気に破壊しましょう</v>
      </c>
      <c r="M78" s="55" t="s">
        <v>212</v>
      </c>
    </row>
    <row r="79" spans="1:13" x14ac:dyDescent="0.15">
      <c r="A79" s="80" t="s">
        <v>200</v>
      </c>
      <c r="B79" s="81">
        <f>floors!$C$2</f>
        <v>60026</v>
      </c>
      <c r="C79" s="82" t="str">
        <f ca="1">VLOOKUP($B79,OFFSET([2]quests!$A$1,0,0,COUNTA([2]quests!$A:$A),MATCH(C$1,[2]quests!$1:$1,0)-MATCH($B$1,[2]quests!$1:$1,0)+1),MATCH(C$1,[2]quests!$1:$1,0)-MATCH($B$1,[2]quests!$1:$1,0)+1,FALSE)</f>
        <v>ハップルチャレンジ</v>
      </c>
      <c r="D79" s="82" t="str">
        <f ca="1">VLOOKUP($B79,OFFSET([2]quests!$A$1,0,0,COUNTA([2]quests!$A:$A),MATCH(D$1,[2]quests!$1:$1,0)-MATCH($B$1,[2]quests!$1:$1,0)+1),MATCH(D$1,[2]quests!$1:$1,0)-MATCH($B$1,[2]quests!$1:$1,0)+1,FALSE)</f>
        <v>ランキング9</v>
      </c>
      <c r="E79" s="86" t="s">
        <v>217</v>
      </c>
      <c r="F79" s="82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2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4">
        <v>0</v>
      </c>
      <c r="I79" s="97">
        <v>24</v>
      </c>
      <c r="J79" s="83" t="s">
        <v>197</v>
      </c>
      <c r="K79" s="93" t="str">
        <f>VLOOKUP(I79,[7]stage_hints!$A:$C,3,FALSE)</f>
        <v>果実を使って限界突破</v>
      </c>
      <c r="L79" s="94" t="str">
        <f>VLOOKUP(I79,[7]stage_hints!$A:$D,4,FALSE)</f>
        <v>攻めの果実 癒しの果実_x000D_生命の果実をユニット強化に使うと_x000D_ステータスが限界突破します（計99個迄）</v>
      </c>
      <c r="M79" s="55" t="s">
        <v>212</v>
      </c>
    </row>
    <row r="80" spans="1:13" x14ac:dyDescent="0.15">
      <c r="A80" s="80" t="s">
        <v>200</v>
      </c>
      <c r="B80" s="81">
        <f>floors!$C$2</f>
        <v>60026</v>
      </c>
      <c r="C80" s="82" t="str">
        <f ca="1">VLOOKUP($B80,OFFSET([2]quests!$A$1,0,0,COUNTA([2]quests!$A:$A),MATCH(C$1,[2]quests!$1:$1,0)-MATCH($B$1,[2]quests!$1:$1,0)+1),MATCH(C$1,[2]quests!$1:$1,0)-MATCH($B$1,[2]quests!$1:$1,0)+1,FALSE)</f>
        <v>ハップルチャレンジ</v>
      </c>
      <c r="D80" s="82" t="str">
        <f ca="1">VLOOKUP($B80,OFFSET([2]quests!$A$1,0,0,COUNTA([2]quests!$A:$A),MATCH(D$1,[2]quests!$1:$1,0)-MATCH($B$1,[2]quests!$1:$1,0)+1),MATCH(D$1,[2]quests!$1:$1,0)-MATCH($B$1,[2]quests!$1:$1,0)+1,FALSE)</f>
        <v>ランキング9</v>
      </c>
      <c r="E80" s="86" t="s">
        <v>217</v>
      </c>
      <c r="F80" s="82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2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4">
        <v>0</v>
      </c>
      <c r="I80" s="97">
        <v>25</v>
      </c>
      <c r="J80" s="83" t="s">
        <v>197</v>
      </c>
      <c r="K80" s="93" t="str">
        <f>VLOOKUP(I80,[7]stage_hints!$A:$C,3,FALSE)</f>
        <v>スキルレベルアップ</v>
      </c>
      <c r="L80" s="94" t="str">
        <f>VLOOKUP(I80,[7]stage_hints!$A:$D,4,FALSE)</f>
        <v>「秘術の果実」を強化に使うと_x000D_スキルレベルを上げることができます</v>
      </c>
      <c r="M80" s="55" t="s">
        <v>212</v>
      </c>
    </row>
    <row r="81" spans="1:13" x14ac:dyDescent="0.15">
      <c r="A81" s="80" t="s">
        <v>200</v>
      </c>
      <c r="B81" s="81">
        <f>floors!$C$2</f>
        <v>60026</v>
      </c>
      <c r="C81" s="82" t="str">
        <f ca="1">VLOOKUP($B81,OFFSET([2]quests!$A$1,0,0,COUNTA([2]quests!$A:$A),MATCH(C$1,[2]quests!$1:$1,0)-MATCH($B$1,[2]quests!$1:$1,0)+1),MATCH(C$1,[2]quests!$1:$1,0)-MATCH($B$1,[2]quests!$1:$1,0)+1,FALSE)</f>
        <v>ハップルチャレンジ</v>
      </c>
      <c r="D81" s="82" t="str">
        <f ca="1">VLOOKUP($B81,OFFSET([2]quests!$A$1,0,0,COUNTA([2]quests!$A:$A),MATCH(D$1,[2]quests!$1:$1,0)-MATCH($B$1,[2]quests!$1:$1,0)+1),MATCH(D$1,[2]quests!$1:$1,0)-MATCH($B$1,[2]quests!$1:$1,0)+1,FALSE)</f>
        <v>ランキング9</v>
      </c>
      <c r="E81" s="86" t="s">
        <v>217</v>
      </c>
      <c r="F81" s="82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2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4">
        <v>0</v>
      </c>
      <c r="I81" s="97">
        <v>26</v>
      </c>
      <c r="J81" s="83" t="s">
        <v>197</v>
      </c>
      <c r="K81" s="93" t="str">
        <f>VLOOKUP(I81,[7]stage_hints!$A:$C,3,FALSE)</f>
        <v>スキルレベルの効果</v>
      </c>
      <c r="L81" s="94" t="str">
        <f>VLOOKUP(I81,[7]stage_hints!$A:$D,4,FALSE)</f>
        <v>スキルレベルが上がると_x000D_短いターンでスキルを使うことができます</v>
      </c>
      <c r="M81" s="55" t="s">
        <v>212</v>
      </c>
    </row>
    <row r="82" spans="1:13" x14ac:dyDescent="0.15">
      <c r="A82" s="80" t="s">
        <v>200</v>
      </c>
      <c r="B82" s="81">
        <f>floors!$C$2</f>
        <v>60026</v>
      </c>
      <c r="C82" s="82" t="str">
        <f ca="1">VLOOKUP($B82,OFFSET([2]quests!$A$1,0,0,COUNTA([2]quests!$A:$A),MATCH(C$1,[2]quests!$1:$1,0)-MATCH($B$1,[2]quests!$1:$1,0)+1),MATCH(C$1,[2]quests!$1:$1,0)-MATCH($B$1,[2]quests!$1:$1,0)+1,FALSE)</f>
        <v>ハップルチャレンジ</v>
      </c>
      <c r="D82" s="82" t="str">
        <f ca="1">VLOOKUP($B82,OFFSET([2]quests!$A$1,0,0,COUNTA([2]quests!$A:$A),MATCH(D$1,[2]quests!$1:$1,0)-MATCH($B$1,[2]quests!$1:$1,0)+1),MATCH(D$1,[2]quests!$1:$1,0)-MATCH($B$1,[2]quests!$1:$1,0)+1,FALSE)</f>
        <v>ランキング9</v>
      </c>
      <c r="E82" s="86" t="s">
        <v>217</v>
      </c>
      <c r="F82" s="82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2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4">
        <v>0</v>
      </c>
      <c r="I82" s="97">
        <v>27</v>
      </c>
      <c r="J82" s="83" t="s">
        <v>197</v>
      </c>
      <c r="K82" s="93" t="str">
        <f>VLOOKUP(I82,[7]stage_hints!$A:$C,3,FALSE)</f>
        <v>ホーム画面からデッキを編成</v>
      </c>
      <c r="L82" s="94" t="str">
        <f>VLOOKUP(I82,[7]stage_hints!$A:$D,4,FALSE)</f>
        <v>ホーム画面でユニットを長押しすると_x000D_すぐにパーティ編成に移動できます</v>
      </c>
      <c r="M82" s="55" t="s">
        <v>212</v>
      </c>
    </row>
    <row r="83" spans="1:13" x14ac:dyDescent="0.15">
      <c r="A83" s="80" t="s">
        <v>200</v>
      </c>
      <c r="B83" s="81">
        <f>floors!$C$2</f>
        <v>60026</v>
      </c>
      <c r="C83" s="82" t="str">
        <f ca="1">VLOOKUP($B83,OFFSET([2]quests!$A$1,0,0,COUNTA([2]quests!$A:$A),MATCH(C$1,[2]quests!$1:$1,0)-MATCH($B$1,[2]quests!$1:$1,0)+1),MATCH(C$1,[2]quests!$1:$1,0)-MATCH($B$1,[2]quests!$1:$1,0)+1,FALSE)</f>
        <v>ハップルチャレンジ</v>
      </c>
      <c r="D83" s="82" t="str">
        <f ca="1">VLOOKUP($B83,OFFSET([2]quests!$A$1,0,0,COUNTA([2]quests!$A:$A),MATCH(D$1,[2]quests!$1:$1,0)-MATCH($B$1,[2]quests!$1:$1,0)+1),MATCH(D$1,[2]quests!$1:$1,0)-MATCH($B$1,[2]quests!$1:$1,0)+1,FALSE)</f>
        <v>ランキング9</v>
      </c>
      <c r="E83" s="86" t="s">
        <v>217</v>
      </c>
      <c r="F83" s="82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2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4">
        <v>0</v>
      </c>
      <c r="I83" s="97">
        <v>28</v>
      </c>
      <c r="J83" s="83" t="s">
        <v>197</v>
      </c>
      <c r="K83" s="93" t="str">
        <f>VLOOKUP(I83,[7]stage_hints!$A:$C,3,FALSE)</f>
        <v>ステータス情報は長押しで</v>
      </c>
      <c r="L83" s="94" t="str">
        <f>VLOOKUP(I83,[7]stage_hints!$A:$D,4,FALSE)</f>
        <v>ユニットのアイコンを長押しすると_x000D_ステータス情報を確認することができます</v>
      </c>
      <c r="M83" s="55" t="s">
        <v>212</v>
      </c>
    </row>
    <row r="84" spans="1:13" x14ac:dyDescent="0.15">
      <c r="A84" s="80" t="s">
        <v>200</v>
      </c>
      <c r="B84" s="81">
        <f>floors!$C$2</f>
        <v>60026</v>
      </c>
      <c r="C84" s="82" t="str">
        <f ca="1">VLOOKUP($B84,OFFSET([2]quests!$A$1,0,0,COUNTA([2]quests!$A:$A),MATCH(C$1,[2]quests!$1:$1,0)-MATCH($B$1,[2]quests!$1:$1,0)+1),MATCH(C$1,[2]quests!$1:$1,0)-MATCH($B$1,[2]quests!$1:$1,0)+1,FALSE)</f>
        <v>ハップルチャレンジ</v>
      </c>
      <c r="D84" s="82" t="str">
        <f ca="1">VLOOKUP($B84,OFFSET([2]quests!$A$1,0,0,COUNTA([2]quests!$A:$A),MATCH(D$1,[2]quests!$1:$1,0)-MATCH($B$1,[2]quests!$1:$1,0)+1),MATCH(D$1,[2]quests!$1:$1,0)-MATCH($B$1,[2]quests!$1:$1,0)+1,FALSE)</f>
        <v>ランキング9</v>
      </c>
      <c r="E84" s="86" t="s">
        <v>217</v>
      </c>
      <c r="F84" s="82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2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4">
        <v>0</v>
      </c>
      <c r="I84" s="97">
        <v>29</v>
      </c>
      <c r="J84" s="83" t="s">
        <v>197</v>
      </c>
      <c r="K84" s="93" t="str">
        <f>VLOOKUP(I84,[7]stage_hints!$A:$C,3,FALSE)</f>
        <v>「バグ」のメリット</v>
      </c>
      <c r="L84" s="94" t="str">
        <f>VLOOKUP(I84,[7]stage_hints!$A:$D,4,FALSE)</f>
        <v>ユニットの「バグ」を増やすと_x000D_報酬をもらえる確率がアップします</v>
      </c>
      <c r="M84" s="55" t="s">
        <v>212</v>
      </c>
    </row>
    <row r="85" spans="1:13" x14ac:dyDescent="0.15">
      <c r="A85" s="80" t="s">
        <v>200</v>
      </c>
      <c r="B85" s="81">
        <f>floors!$C$2</f>
        <v>60026</v>
      </c>
      <c r="C85" s="82" t="str">
        <f ca="1">VLOOKUP($B85,OFFSET([2]quests!$A$1,0,0,COUNTA([2]quests!$A:$A),MATCH(C$1,[2]quests!$1:$1,0)-MATCH($B$1,[2]quests!$1:$1,0)+1),MATCH(C$1,[2]quests!$1:$1,0)-MATCH($B$1,[2]quests!$1:$1,0)+1,FALSE)</f>
        <v>ハップルチャレンジ</v>
      </c>
      <c r="D85" s="82" t="str">
        <f ca="1">VLOOKUP($B85,OFFSET([2]quests!$A$1,0,0,COUNTA([2]quests!$A:$A),MATCH(D$1,[2]quests!$1:$1,0)-MATCH($B$1,[2]quests!$1:$1,0)+1),MATCH(D$1,[2]quests!$1:$1,0)-MATCH($B$1,[2]quests!$1:$1,0)+1,FALSE)</f>
        <v>ランキング9</v>
      </c>
      <c r="E85" s="86" t="s">
        <v>217</v>
      </c>
      <c r="F85" s="82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2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4">
        <v>0</v>
      </c>
      <c r="I85" s="97">
        <v>30</v>
      </c>
      <c r="J85" s="83" t="s">
        <v>197</v>
      </c>
      <c r="K85" s="93" t="str">
        <f>VLOOKUP(I85,[7]stage_hints!$A:$C,3,FALSE)</f>
        <v>「バグ」の増やし方</v>
      </c>
      <c r="L85" s="94" t="str">
        <f>VLOOKUP(I85,[7]stage_hints!$A:$D,4,FALSE)</f>
        <v>同じユニット同士を強化で合成すると_x000D_「バグ」を増やすことができます</v>
      </c>
      <c r="M85" s="55" t="s">
        <v>212</v>
      </c>
    </row>
    <row r="86" spans="1:13" x14ac:dyDescent="0.15">
      <c r="A86" s="80" t="s">
        <v>200</v>
      </c>
      <c r="B86" s="81">
        <f>floors!$C$2</f>
        <v>60026</v>
      </c>
      <c r="C86" s="82" t="str">
        <f ca="1">VLOOKUP($B86,OFFSET([2]quests!$A$1,0,0,COUNTA([2]quests!$A:$A),MATCH(C$1,[2]quests!$1:$1,0)-MATCH($B$1,[2]quests!$1:$1,0)+1),MATCH(C$1,[2]quests!$1:$1,0)-MATCH($B$1,[2]quests!$1:$1,0)+1,FALSE)</f>
        <v>ハップルチャレンジ</v>
      </c>
      <c r="D86" s="82" t="str">
        <f ca="1">VLOOKUP($B86,OFFSET([2]quests!$A$1,0,0,COUNTA([2]quests!$A:$A),MATCH(D$1,[2]quests!$1:$1,0)-MATCH($B$1,[2]quests!$1:$1,0)+1),MATCH(D$1,[2]quests!$1:$1,0)-MATCH($B$1,[2]quests!$1:$1,0)+1,FALSE)</f>
        <v>ランキング9</v>
      </c>
      <c r="E86" s="86" t="s">
        <v>217</v>
      </c>
      <c r="F86" s="82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2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4">
        <v>0</v>
      </c>
      <c r="I86" s="97">
        <v>31</v>
      </c>
      <c r="J86" s="83" t="s">
        <v>197</v>
      </c>
      <c r="K86" s="93" t="str">
        <f>VLOOKUP(I86,[7]stage_hints!$A:$C,3,FALSE)</f>
        <v>イベントはお知らせでチェック</v>
      </c>
      <c r="L86" s="94" t="str">
        <f>VLOOKUP(I86,[7]stage_hints!$A:$D,4,FALSE)</f>
        <v>イベント限定ユニットを取り忘れないように_x000D_お知らせをこまめにチェックしましょう</v>
      </c>
      <c r="M86" s="55" t="s">
        <v>212</v>
      </c>
    </row>
    <row r="87" spans="1:13" x14ac:dyDescent="0.15">
      <c r="A87" s="80" t="s">
        <v>200</v>
      </c>
      <c r="B87" s="81">
        <f>floors!$C$2</f>
        <v>60026</v>
      </c>
      <c r="C87" s="82" t="str">
        <f ca="1">VLOOKUP($B87,OFFSET([2]quests!$A$1,0,0,COUNTA([2]quests!$A:$A),MATCH(C$1,[2]quests!$1:$1,0)-MATCH($B$1,[2]quests!$1:$1,0)+1),MATCH(C$1,[2]quests!$1:$1,0)-MATCH($B$1,[2]quests!$1:$1,0)+1,FALSE)</f>
        <v>ハップルチャレンジ</v>
      </c>
      <c r="D87" s="82" t="str">
        <f ca="1">VLOOKUP($B87,OFFSET([2]quests!$A$1,0,0,COUNTA([2]quests!$A:$A),MATCH(D$1,[2]quests!$1:$1,0)-MATCH($B$1,[2]quests!$1:$1,0)+1),MATCH(D$1,[2]quests!$1:$1,0)-MATCH($B$1,[2]quests!$1:$1,0)+1,FALSE)</f>
        <v>ランキング9</v>
      </c>
      <c r="E87" s="86" t="s">
        <v>217</v>
      </c>
      <c r="F87" s="82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2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4">
        <v>0</v>
      </c>
      <c r="I87" s="97">
        <v>32</v>
      </c>
      <c r="J87" s="83" t="s">
        <v>197</v>
      </c>
      <c r="K87" s="93" t="str">
        <f>VLOOKUP(I87,[7]stage_hints!$A:$C,3,FALSE)</f>
        <v>敵の連続攻撃には</v>
      </c>
      <c r="L87" s="94" t="str">
        <f>VLOOKUP(I87,[7]stage_hints!$A:$D,4,FALSE)</f>
        <v>カウンタースキルを持つユニットがいれば_x000D_ダメージ回数分の反撃ができます</v>
      </c>
      <c r="M87" s="55" t="s">
        <v>212</v>
      </c>
    </row>
    <row r="88" spans="1:13" x14ac:dyDescent="0.15">
      <c r="A88" s="80" t="s">
        <v>200</v>
      </c>
      <c r="B88" s="81">
        <f>floors!$C$2</f>
        <v>60026</v>
      </c>
      <c r="C88" s="82" t="str">
        <f ca="1">VLOOKUP($B88,OFFSET([2]quests!$A$1,0,0,COUNTA([2]quests!$A:$A),MATCH(C$1,[2]quests!$1:$1,0)-MATCH($B$1,[2]quests!$1:$1,0)+1),MATCH(C$1,[2]quests!$1:$1,0)-MATCH($B$1,[2]quests!$1:$1,0)+1,FALSE)</f>
        <v>ハップルチャレンジ</v>
      </c>
      <c r="D88" s="82" t="str">
        <f ca="1">VLOOKUP($B88,OFFSET([2]quests!$A$1,0,0,COUNTA([2]quests!$A:$A),MATCH(D$1,[2]quests!$1:$1,0)-MATCH($B$1,[2]quests!$1:$1,0)+1),MATCH(D$1,[2]quests!$1:$1,0)-MATCH($B$1,[2]quests!$1:$1,0)+1,FALSE)</f>
        <v>ランキング9</v>
      </c>
      <c r="E88" s="86" t="s">
        <v>217</v>
      </c>
      <c r="F88" s="82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2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4">
        <v>0</v>
      </c>
      <c r="I88" s="97">
        <v>33</v>
      </c>
      <c r="J88" s="83" t="s">
        <v>197</v>
      </c>
      <c r="K88" s="93" t="str">
        <f>VLOOKUP(I88,[7]stage_hints!$A:$C,3,FALSE)</f>
        <v>敵のカウンター攻撃には</v>
      </c>
      <c r="L88" s="94" t="str">
        <f>VLOOKUP(I88,[7]stage_hints!$A:$D,4,FALSE)</f>
        <v>カウンターブレイクスキルを持っていれば_x000D_敵のカウンターを解除して攻撃ができます</v>
      </c>
      <c r="M88" s="55" t="s">
        <v>212</v>
      </c>
    </row>
    <row r="89" spans="1:13" x14ac:dyDescent="0.15">
      <c r="A89" s="80" t="s">
        <v>200</v>
      </c>
      <c r="B89" s="81">
        <f>floors!$C$2</f>
        <v>60026</v>
      </c>
      <c r="C89" s="82" t="str">
        <f ca="1">VLOOKUP($B89,OFFSET([2]quests!$A$1,0,0,COUNTA([2]quests!$A:$A),MATCH(C$1,[2]quests!$1:$1,0)-MATCH($B$1,[2]quests!$1:$1,0)+1),MATCH(C$1,[2]quests!$1:$1,0)-MATCH($B$1,[2]quests!$1:$1,0)+1,FALSE)</f>
        <v>ハップルチャレンジ</v>
      </c>
      <c r="D89" s="82" t="str">
        <f ca="1">VLOOKUP($B89,OFFSET([2]quests!$A$1,0,0,COUNTA([2]quests!$A:$A),MATCH(D$1,[2]quests!$1:$1,0)-MATCH($B$1,[2]quests!$1:$1,0)+1),MATCH(D$1,[2]quests!$1:$1,0)-MATCH($B$1,[2]quests!$1:$1,0)+1,FALSE)</f>
        <v>ランキング9</v>
      </c>
      <c r="E89" s="86" t="s">
        <v>217</v>
      </c>
      <c r="F89" s="82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2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4">
        <v>0</v>
      </c>
      <c r="I89" s="97">
        <v>34</v>
      </c>
      <c r="J89" s="83" t="s">
        <v>197</v>
      </c>
      <c r="K89" s="93" t="str">
        <f>VLOOKUP(I89,[7]stage_hints!$A:$C,3,FALSE)</f>
        <v>ステータスをスキルで下げられたら</v>
      </c>
      <c r="L89" s="94" t="str">
        <f>VLOOKUP(I89,[7]stage_hints!$A:$D,4,FALSE)</f>
        <v>ステータスダウンのスキルを受けたら_x000D_ステータスアップスキルで上書きしましょう</v>
      </c>
      <c r="M89" s="55" t="s">
        <v>212</v>
      </c>
    </row>
    <row r="90" spans="1:13" x14ac:dyDescent="0.15">
      <c r="A90" s="80" t="s">
        <v>200</v>
      </c>
      <c r="B90" s="81">
        <f>floors!$C$2</f>
        <v>60026</v>
      </c>
      <c r="C90" s="82" t="str">
        <f ca="1">VLOOKUP($B90,OFFSET([2]quests!$A$1,0,0,COUNTA([2]quests!$A:$A),MATCH(C$1,[2]quests!$1:$1,0)-MATCH($B$1,[2]quests!$1:$1,0)+1),MATCH(C$1,[2]quests!$1:$1,0)-MATCH($B$1,[2]quests!$1:$1,0)+1,FALSE)</f>
        <v>ハップルチャレンジ</v>
      </c>
      <c r="D90" s="82" t="str">
        <f ca="1">VLOOKUP($B90,OFFSET([2]quests!$A$1,0,0,COUNTA([2]quests!$A:$A),MATCH(D$1,[2]quests!$1:$1,0)-MATCH($B$1,[2]quests!$1:$1,0)+1),MATCH(D$1,[2]quests!$1:$1,0)-MATCH($B$1,[2]quests!$1:$1,0)+1,FALSE)</f>
        <v>ランキング9</v>
      </c>
      <c r="E90" s="86" t="s">
        <v>217</v>
      </c>
      <c r="F90" s="82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2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4">
        <v>0</v>
      </c>
      <c r="I90" s="97">
        <v>35</v>
      </c>
      <c r="J90" s="83" t="s">
        <v>197</v>
      </c>
      <c r="K90" s="93" t="str">
        <f>VLOOKUP(I90,[7]stage_hints!$A:$C,3,FALSE)</f>
        <v>敵のステータスがスキルで上がったら</v>
      </c>
      <c r="L90" s="94" t="str">
        <f>VLOOKUP(I90,[7]stage_hints!$A:$D,4,FALSE)</f>
        <v>敵のステータスがスキルでアップしたときは_x000D_ステータスダウンスキルで上書きしましょう</v>
      </c>
      <c r="M90" s="55" t="s">
        <v>212</v>
      </c>
    </row>
    <row r="91" spans="1:13" x14ac:dyDescent="0.15">
      <c r="A91" s="80" t="s">
        <v>200</v>
      </c>
      <c r="B91" s="81">
        <f>floors!$C$2</f>
        <v>60026</v>
      </c>
      <c r="C91" s="82" t="str">
        <f ca="1">VLOOKUP($B91,OFFSET([2]quests!$A$1,0,0,COUNTA([2]quests!$A:$A),MATCH(C$1,[2]quests!$1:$1,0)-MATCH($B$1,[2]quests!$1:$1,0)+1),MATCH(C$1,[2]quests!$1:$1,0)-MATCH($B$1,[2]quests!$1:$1,0)+1,FALSE)</f>
        <v>ハップルチャレンジ</v>
      </c>
      <c r="D91" s="82" t="str">
        <f ca="1">VLOOKUP($B91,OFFSET([2]quests!$A$1,0,0,COUNTA([2]quests!$A:$A),MATCH(D$1,[2]quests!$1:$1,0)-MATCH($B$1,[2]quests!$1:$1,0)+1),MATCH(D$1,[2]quests!$1:$1,0)-MATCH($B$1,[2]quests!$1:$1,0)+1,FALSE)</f>
        <v>ランキング9</v>
      </c>
      <c r="E91" s="86" t="s">
        <v>217</v>
      </c>
      <c r="F91" s="82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2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4">
        <v>0</v>
      </c>
      <c r="I91" s="97">
        <v>36</v>
      </c>
      <c r="J91" s="83" t="s">
        <v>197</v>
      </c>
      <c r="K91" s="93" t="str">
        <f>VLOOKUP(I91,[7]stage_hints!$A:$C,3,FALSE)</f>
        <v>タワーオブザクイーンのボス</v>
      </c>
      <c r="L91" s="94" t="str">
        <f>VLOOKUP(I91,[7]stage_hints!$A:$D,4,FALSE)</f>
        <v>「タワーオブザクイーン」最上階のボスは_x000D_15階の初回クリア報酬で獲得できるほか_x000D_その階にて低確率でドロップもします</v>
      </c>
      <c r="M91" s="55" t="s">
        <v>212</v>
      </c>
    </row>
    <row r="92" spans="1:13" x14ac:dyDescent="0.15">
      <c r="A92" s="80" t="s">
        <v>200</v>
      </c>
      <c r="B92" s="81">
        <f>floors!$C$2</f>
        <v>60026</v>
      </c>
      <c r="C92" s="82" t="str">
        <f ca="1">VLOOKUP($B92,OFFSET([2]quests!$A$1,0,0,COUNTA([2]quests!$A:$A),MATCH(C$1,[2]quests!$1:$1,0)-MATCH($B$1,[2]quests!$1:$1,0)+1),MATCH(C$1,[2]quests!$1:$1,0)-MATCH($B$1,[2]quests!$1:$1,0)+1,FALSE)</f>
        <v>ハップルチャレンジ</v>
      </c>
      <c r="D92" s="82" t="str">
        <f ca="1">VLOOKUP($B92,OFFSET([2]quests!$A$1,0,0,COUNTA([2]quests!$A:$A),MATCH(D$1,[2]quests!$1:$1,0)-MATCH($B$1,[2]quests!$1:$1,0)+1),MATCH(D$1,[2]quests!$1:$1,0)-MATCH($B$1,[2]quests!$1:$1,0)+1,FALSE)</f>
        <v>ランキング9</v>
      </c>
      <c r="E92" s="86" t="s">
        <v>217</v>
      </c>
      <c r="F92" s="82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2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4">
        <v>0</v>
      </c>
      <c r="I92" s="97">
        <v>37</v>
      </c>
      <c r="J92" s="83" t="s">
        <v>197</v>
      </c>
      <c r="K92" s="93" t="str">
        <f>VLOOKUP(I92,[7]stage_hints!$A:$C,3,FALSE)</f>
        <v>限界突破値の引き継ぎ</v>
      </c>
      <c r="L92" s="94" t="str">
        <f>VLOOKUP(I92,[7]stage_hints!$A:$D,4,FALSE)</f>
        <v>同じユニットを強化で合成すると_x000D_限界突破値を引き継げます（覚醒前後も可）</v>
      </c>
      <c r="M92" s="55" t="s">
        <v>212</v>
      </c>
    </row>
    <row r="93" spans="1:13" x14ac:dyDescent="0.15">
      <c r="A93" s="80" t="s">
        <v>200</v>
      </c>
      <c r="B93" s="81">
        <f>floors!$C$2</f>
        <v>60026</v>
      </c>
      <c r="C93" s="82" t="str">
        <f ca="1">VLOOKUP($B93,OFFSET([2]quests!$A$1,0,0,COUNTA([2]quests!$A:$A),MATCH(C$1,[2]quests!$1:$1,0)-MATCH($B$1,[2]quests!$1:$1,0)+1),MATCH(C$1,[2]quests!$1:$1,0)-MATCH($B$1,[2]quests!$1:$1,0)+1,FALSE)</f>
        <v>ハップルチャレンジ</v>
      </c>
      <c r="D93" s="82" t="str">
        <f ca="1">VLOOKUP($B93,OFFSET([2]quests!$A$1,0,0,COUNTA([2]quests!$A:$A),MATCH(D$1,[2]quests!$1:$1,0)-MATCH($B$1,[2]quests!$1:$1,0)+1),MATCH(D$1,[2]quests!$1:$1,0)-MATCH($B$1,[2]quests!$1:$1,0)+1,FALSE)</f>
        <v>ランキング9</v>
      </c>
      <c r="E93" s="86" t="s">
        <v>217</v>
      </c>
      <c r="F93" s="82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2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4">
        <v>0</v>
      </c>
      <c r="I93" s="97">
        <v>39</v>
      </c>
      <c r="J93" s="83" t="s">
        <v>197</v>
      </c>
      <c r="K93" s="93" t="str">
        <f>VLOOKUP(I93,[7]stage_hints!$A:$C,3,FALSE)</f>
        <v>システム適合者を確認</v>
      </c>
      <c r="L93" s="94" t="str">
        <f>VLOOKUP(I93,[7]stage_hints!$A:$D,4,FALSE)</f>
        <v>ALICEが 「アナタ」を呼んでいます</v>
      </c>
      <c r="M93" s="55" t="s">
        <v>212</v>
      </c>
    </row>
    <row r="94" spans="1:13" x14ac:dyDescent="0.15">
      <c r="A94" s="80" t="s">
        <v>200</v>
      </c>
      <c r="B94" s="81">
        <f>floors!$C$2</f>
        <v>60026</v>
      </c>
      <c r="C94" s="82" t="str">
        <f ca="1">VLOOKUP($B94,OFFSET([2]quests!$A$1,0,0,COUNTA([2]quests!$A:$A),MATCH(C$1,[2]quests!$1:$1,0)-MATCH($B$1,[2]quests!$1:$1,0)+1),MATCH(C$1,[2]quests!$1:$1,0)-MATCH($B$1,[2]quests!$1:$1,0)+1,FALSE)</f>
        <v>ハップルチャレンジ</v>
      </c>
      <c r="D94" s="82" t="str">
        <f ca="1">VLOOKUP($B94,OFFSET([2]quests!$A$1,0,0,COUNTA([2]quests!$A:$A),MATCH(D$1,[2]quests!$1:$1,0)-MATCH($B$1,[2]quests!$1:$1,0)+1),MATCH(D$1,[2]quests!$1:$1,0)-MATCH($B$1,[2]quests!$1:$1,0)+1,FALSE)</f>
        <v>ランキング9</v>
      </c>
      <c r="E94" s="86" t="s">
        <v>218</v>
      </c>
      <c r="F94" s="82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2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4">
        <v>0</v>
      </c>
      <c r="I94">
        <v>12</v>
      </c>
      <c r="J94" s="83" t="s">
        <v>197</v>
      </c>
      <c r="K94" s="93" t="str">
        <f>VLOOKUP(I94,[7]stage_hints!$A:$C,3,FALSE)</f>
        <v>ユニットのお気に入り登録</v>
      </c>
      <c r="L94" s="94" t="str">
        <f>VLOOKUP(I94,[7]stage_hints!$A:$D,4,FALSE)</f>
        <v>大事なユニットを誤って消さないように_x000D_フォルダから「お気に入り登録」しましょう</v>
      </c>
      <c r="M94" s="55" t="s">
        <v>212</v>
      </c>
    </row>
    <row r="95" spans="1:13" x14ac:dyDescent="0.15">
      <c r="A95" s="80" t="s">
        <v>200</v>
      </c>
      <c r="B95" s="81">
        <f>floors!$C$2</f>
        <v>60026</v>
      </c>
      <c r="C95" s="82" t="str">
        <f ca="1">VLOOKUP($B95,OFFSET([2]quests!$A$1,0,0,COUNTA([2]quests!$A:$A),MATCH(C$1,[2]quests!$1:$1,0)-MATCH($B$1,[2]quests!$1:$1,0)+1),MATCH(C$1,[2]quests!$1:$1,0)-MATCH($B$1,[2]quests!$1:$1,0)+1,FALSE)</f>
        <v>ハップルチャレンジ</v>
      </c>
      <c r="D95" s="82" t="str">
        <f ca="1">VLOOKUP($B95,OFFSET([2]quests!$A$1,0,0,COUNTA([2]quests!$A:$A),MATCH(D$1,[2]quests!$1:$1,0)-MATCH($B$1,[2]quests!$1:$1,0)+1),MATCH(D$1,[2]quests!$1:$1,0)-MATCH($B$1,[2]quests!$1:$1,0)+1,FALSE)</f>
        <v>ランキング9</v>
      </c>
      <c r="E95" s="86" t="s">
        <v>218</v>
      </c>
      <c r="F95" s="82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2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4">
        <v>0</v>
      </c>
      <c r="I95">
        <v>17</v>
      </c>
      <c r="J95" s="83" t="s">
        <v>197</v>
      </c>
      <c r="K95" s="93" t="str">
        <f>VLOOKUP(I95,[7]stage_hints!$A:$C,3,FALSE)</f>
        <v>リンクガチャ</v>
      </c>
      <c r="L95" s="94" t="str">
        <f>VLOOKUP(I95,[7]stage_hints!$A:$D,4,FALSE)</f>
        <v>無料のリンクガチャを回して_x000D_経験値素材や売却素材を獲得しましょう</v>
      </c>
      <c r="M95" s="55" t="s">
        <v>212</v>
      </c>
    </row>
    <row r="96" spans="1:13" x14ac:dyDescent="0.15">
      <c r="A96" s="80" t="s">
        <v>200</v>
      </c>
      <c r="B96" s="81">
        <f>floors!$C$2</f>
        <v>60026</v>
      </c>
      <c r="C96" s="82" t="str">
        <f ca="1">VLOOKUP($B96,OFFSET([2]quests!$A$1,0,0,COUNTA([2]quests!$A:$A),MATCH(C$1,[2]quests!$1:$1,0)-MATCH($B$1,[2]quests!$1:$1,0)+1),MATCH(C$1,[2]quests!$1:$1,0)-MATCH($B$1,[2]quests!$1:$1,0)+1,FALSE)</f>
        <v>ハップルチャレンジ</v>
      </c>
      <c r="D96" s="82" t="str">
        <f ca="1">VLOOKUP($B96,OFFSET([2]quests!$A$1,0,0,COUNTA([2]quests!$A:$A),MATCH(D$1,[2]quests!$1:$1,0)-MATCH($B$1,[2]quests!$1:$1,0)+1),MATCH(D$1,[2]quests!$1:$1,0)-MATCH($B$1,[2]quests!$1:$1,0)+1,FALSE)</f>
        <v>ランキング9</v>
      </c>
      <c r="E96" s="86" t="s">
        <v>218</v>
      </c>
      <c r="F96" s="82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2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4">
        <v>0</v>
      </c>
      <c r="I96">
        <v>19</v>
      </c>
      <c r="J96" s="83" t="s">
        <v>197</v>
      </c>
      <c r="K96" s="93" t="str">
        <f>VLOOKUP(I96,[7]stage_hints!$A:$C,3,FALSE)</f>
        <v>ソロ専用タワーオブザクイーン</v>
      </c>
      <c r="L96" s="94" t="str">
        <f>VLOOKUP(I96,[7]stage_hints!$A:$D,4,FALSE)</f>
        <v>ソロ専用の「タワーオブザクイーン」は_x000D_期間限定で定期的に開催されます_x000D_ここでしか獲得できない報酬もあるようです</v>
      </c>
      <c r="M96" s="55" t="s">
        <v>212</v>
      </c>
    </row>
    <row r="97" spans="1:13" x14ac:dyDescent="0.15">
      <c r="A97" s="80" t="s">
        <v>200</v>
      </c>
      <c r="B97" s="81">
        <f>floors!$C$2</f>
        <v>60026</v>
      </c>
      <c r="C97" s="82" t="str">
        <f ca="1">VLOOKUP($B97,OFFSET([2]quests!$A$1,0,0,COUNTA([2]quests!$A:$A),MATCH(C$1,[2]quests!$1:$1,0)-MATCH($B$1,[2]quests!$1:$1,0)+1),MATCH(C$1,[2]quests!$1:$1,0)-MATCH($B$1,[2]quests!$1:$1,0)+1,FALSE)</f>
        <v>ハップルチャレンジ</v>
      </c>
      <c r="D97" s="82" t="str">
        <f ca="1">VLOOKUP($B97,OFFSET([2]quests!$A$1,0,0,COUNTA([2]quests!$A:$A),MATCH(D$1,[2]quests!$1:$1,0)-MATCH($B$1,[2]quests!$1:$1,0)+1),MATCH(D$1,[2]quests!$1:$1,0)-MATCH($B$1,[2]quests!$1:$1,0)+1,FALSE)</f>
        <v>ランキング9</v>
      </c>
      <c r="E97" s="86" t="s">
        <v>218</v>
      </c>
      <c r="F97" s="82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2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4">
        <v>0</v>
      </c>
      <c r="I97">
        <v>21</v>
      </c>
      <c r="J97" s="83" t="s">
        <v>197</v>
      </c>
      <c r="K97" s="93" t="str">
        <f>VLOOKUP(I97,[7]stage_hints!$A:$C,3,FALSE)</f>
        <v>スキルを有効に</v>
      </c>
      <c r="L97" s="94" t="str">
        <f>VLOOKUP(I97,[7]stage_hints!$A:$D,4,FALSE)</f>
        <v>ターン経過でユニットのスキルが使えます_x000D_強力スキルでバトルを有利に進めましょう</v>
      </c>
      <c r="M97" s="55" t="s">
        <v>212</v>
      </c>
    </row>
    <row r="98" spans="1:13" x14ac:dyDescent="0.15">
      <c r="A98" s="80" t="s">
        <v>200</v>
      </c>
      <c r="B98" s="81">
        <f>floors!$C$2</f>
        <v>60026</v>
      </c>
      <c r="C98" s="82" t="str">
        <f ca="1">VLOOKUP($B98,OFFSET([2]quests!$A$1,0,0,COUNTA([2]quests!$A:$A),MATCH(C$1,[2]quests!$1:$1,0)-MATCH($B$1,[2]quests!$1:$1,0)+1),MATCH(C$1,[2]quests!$1:$1,0)-MATCH($B$1,[2]quests!$1:$1,0)+1,FALSE)</f>
        <v>ハップルチャレンジ</v>
      </c>
      <c r="D98" s="82" t="str">
        <f ca="1">VLOOKUP($B98,OFFSET([2]quests!$A$1,0,0,COUNTA([2]quests!$A:$A),MATCH(D$1,[2]quests!$1:$1,0)-MATCH($B$1,[2]quests!$1:$1,0)+1),MATCH(D$1,[2]quests!$1:$1,0)-MATCH($B$1,[2]quests!$1:$1,0)+1,FALSE)</f>
        <v>ランキング9</v>
      </c>
      <c r="E98" s="86" t="s">
        <v>218</v>
      </c>
      <c r="F98" s="82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2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4">
        <v>0</v>
      </c>
      <c r="I98">
        <v>27</v>
      </c>
      <c r="J98" s="83" t="s">
        <v>197</v>
      </c>
      <c r="K98" s="93" t="str">
        <f>VLOOKUP(I98,[7]stage_hints!$A:$C,3,FALSE)</f>
        <v>ホーム画面からデッキを編成</v>
      </c>
      <c r="L98" s="94" t="str">
        <f>VLOOKUP(I98,[7]stage_hints!$A:$D,4,FALSE)</f>
        <v>ホーム画面でユニットを長押しすると_x000D_すぐにパーティ編成に移動できます</v>
      </c>
      <c r="M98" s="55" t="s">
        <v>212</v>
      </c>
    </row>
    <row r="99" spans="1:13" x14ac:dyDescent="0.15">
      <c r="A99" s="80" t="s">
        <v>200</v>
      </c>
      <c r="B99" s="81">
        <f>floors!$C$2</f>
        <v>60026</v>
      </c>
      <c r="C99" s="82" t="str">
        <f ca="1">VLOOKUP($B99,OFFSET([2]quests!$A$1,0,0,COUNTA([2]quests!$A:$A),MATCH(C$1,[2]quests!$1:$1,0)-MATCH($B$1,[2]quests!$1:$1,0)+1),MATCH(C$1,[2]quests!$1:$1,0)-MATCH($B$1,[2]quests!$1:$1,0)+1,FALSE)</f>
        <v>ハップルチャレンジ</v>
      </c>
      <c r="D99" s="82" t="str">
        <f ca="1">VLOOKUP($B99,OFFSET([2]quests!$A$1,0,0,COUNTA([2]quests!$A:$A),MATCH(D$1,[2]quests!$1:$1,0)-MATCH($B$1,[2]quests!$1:$1,0)+1),MATCH(D$1,[2]quests!$1:$1,0)-MATCH($B$1,[2]quests!$1:$1,0)+1,FALSE)</f>
        <v>ランキング9</v>
      </c>
      <c r="E99" s="86" t="s">
        <v>218</v>
      </c>
      <c r="F99" s="82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2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4">
        <v>0</v>
      </c>
      <c r="I99">
        <v>28</v>
      </c>
      <c r="J99" s="83" t="s">
        <v>197</v>
      </c>
      <c r="K99" s="93" t="str">
        <f>VLOOKUP(I99,[7]stage_hints!$A:$C,3,FALSE)</f>
        <v>ステータス情報は長押しで</v>
      </c>
      <c r="L99" s="94" t="str">
        <f>VLOOKUP(I99,[7]stage_hints!$A:$D,4,FALSE)</f>
        <v>ユニットのアイコンを長押しすると_x000D_ステータス情報を確認することができます</v>
      </c>
      <c r="M99" s="55" t="s">
        <v>212</v>
      </c>
    </row>
    <row r="100" spans="1:13" x14ac:dyDescent="0.15">
      <c r="A100" s="80" t="s">
        <v>200</v>
      </c>
      <c r="B100" s="81">
        <f>floors!$C$2</f>
        <v>60026</v>
      </c>
      <c r="C100" s="82" t="str">
        <f ca="1">VLOOKUP($B100,OFFSET([2]quests!$A$1,0,0,COUNTA([2]quests!$A:$A),MATCH(C$1,[2]quests!$1:$1,0)-MATCH($B$1,[2]quests!$1:$1,0)+1),MATCH(C$1,[2]quests!$1:$1,0)-MATCH($B$1,[2]quests!$1:$1,0)+1,FALSE)</f>
        <v>ハップルチャレンジ</v>
      </c>
      <c r="D100" s="82" t="str">
        <f ca="1">VLOOKUP($B100,OFFSET([2]quests!$A$1,0,0,COUNTA([2]quests!$A:$A),MATCH(D$1,[2]quests!$1:$1,0)-MATCH($B$1,[2]quests!$1:$1,0)+1),MATCH(D$1,[2]quests!$1:$1,0)-MATCH($B$1,[2]quests!$1:$1,0)+1,FALSE)</f>
        <v>ランキング9</v>
      </c>
      <c r="E100" s="86" t="s">
        <v>218</v>
      </c>
      <c r="F100" s="82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2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4">
        <v>0</v>
      </c>
      <c r="I100">
        <v>29</v>
      </c>
      <c r="J100" s="83" t="s">
        <v>197</v>
      </c>
      <c r="K100" s="93" t="str">
        <f>VLOOKUP(I100,[7]stage_hints!$A:$C,3,FALSE)</f>
        <v>「バグ」のメリット</v>
      </c>
      <c r="L100" s="94" t="str">
        <f>VLOOKUP(I100,[7]stage_hints!$A:$D,4,FALSE)</f>
        <v>ユニットの「バグ」を増やすと_x000D_報酬をもらえる確率がアップします</v>
      </c>
      <c r="M100" s="55" t="s">
        <v>212</v>
      </c>
    </row>
    <row r="101" spans="1:13" x14ac:dyDescent="0.15">
      <c r="A101" s="80" t="s">
        <v>200</v>
      </c>
      <c r="B101" s="81">
        <f>floors!$C$2</f>
        <v>60026</v>
      </c>
      <c r="C101" s="82" t="str">
        <f ca="1">VLOOKUP($B101,OFFSET([2]quests!$A$1,0,0,COUNTA([2]quests!$A:$A),MATCH(C$1,[2]quests!$1:$1,0)-MATCH($B$1,[2]quests!$1:$1,0)+1),MATCH(C$1,[2]quests!$1:$1,0)-MATCH($B$1,[2]quests!$1:$1,0)+1,FALSE)</f>
        <v>ハップルチャレンジ</v>
      </c>
      <c r="D101" s="82" t="str">
        <f ca="1">VLOOKUP($B101,OFFSET([2]quests!$A$1,0,0,COUNTA([2]quests!$A:$A),MATCH(D$1,[2]quests!$1:$1,0)-MATCH($B$1,[2]quests!$1:$1,0)+1),MATCH(D$1,[2]quests!$1:$1,0)-MATCH($B$1,[2]quests!$1:$1,0)+1,FALSE)</f>
        <v>ランキング9</v>
      </c>
      <c r="E101" s="86" t="s">
        <v>218</v>
      </c>
      <c r="F101" s="82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2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4">
        <v>0</v>
      </c>
      <c r="I101">
        <v>30</v>
      </c>
      <c r="J101" s="83" t="s">
        <v>197</v>
      </c>
      <c r="K101" s="93" t="str">
        <f>VLOOKUP(I101,[7]stage_hints!$A:$C,3,FALSE)</f>
        <v>「バグ」の増やし方</v>
      </c>
      <c r="L101" s="94" t="str">
        <f>VLOOKUP(I101,[7]stage_hints!$A:$D,4,FALSE)</f>
        <v>同じユニット同士を強化で合成すると_x000D_「バグ」を増やすことができます</v>
      </c>
      <c r="M101" s="55" t="s">
        <v>212</v>
      </c>
    </row>
    <row r="102" spans="1:13" x14ac:dyDescent="0.15">
      <c r="A102" s="80" t="s">
        <v>200</v>
      </c>
      <c r="B102" s="81">
        <f>floors!$C$2</f>
        <v>60026</v>
      </c>
      <c r="C102" s="82" t="str">
        <f ca="1">VLOOKUP($B102,OFFSET([2]quests!$A$1,0,0,COUNTA([2]quests!$A:$A),MATCH(C$1,[2]quests!$1:$1,0)-MATCH($B$1,[2]quests!$1:$1,0)+1),MATCH(C$1,[2]quests!$1:$1,0)-MATCH($B$1,[2]quests!$1:$1,0)+1,FALSE)</f>
        <v>ハップルチャレンジ</v>
      </c>
      <c r="D102" s="82" t="str">
        <f ca="1">VLOOKUP($B102,OFFSET([2]quests!$A$1,0,0,COUNTA([2]quests!$A:$A),MATCH(D$1,[2]quests!$1:$1,0)-MATCH($B$1,[2]quests!$1:$1,0)+1),MATCH(D$1,[2]quests!$1:$1,0)-MATCH($B$1,[2]quests!$1:$1,0)+1,FALSE)</f>
        <v>ランキング9</v>
      </c>
      <c r="E102" s="86" t="s">
        <v>218</v>
      </c>
      <c r="F102" s="82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2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4">
        <v>0</v>
      </c>
      <c r="I102">
        <v>32</v>
      </c>
      <c r="J102" s="83" t="s">
        <v>197</v>
      </c>
      <c r="K102" s="93" t="str">
        <f>VLOOKUP(I102,[7]stage_hints!$A:$C,3,FALSE)</f>
        <v>敵の連続攻撃には</v>
      </c>
      <c r="L102" s="94" t="str">
        <f>VLOOKUP(I102,[7]stage_hints!$A:$D,4,FALSE)</f>
        <v>カウンタースキルを持つユニットがいれば_x000D_ダメージ回数分の反撃ができます</v>
      </c>
      <c r="M102" s="55" t="s">
        <v>212</v>
      </c>
    </row>
    <row r="103" spans="1:13" x14ac:dyDescent="0.15">
      <c r="A103" s="80" t="s">
        <v>200</v>
      </c>
      <c r="B103" s="81">
        <f>floors!$C$2</f>
        <v>60026</v>
      </c>
      <c r="C103" s="82" t="str">
        <f ca="1">VLOOKUP($B103,OFFSET([2]quests!$A$1,0,0,COUNTA([2]quests!$A:$A),MATCH(C$1,[2]quests!$1:$1,0)-MATCH($B$1,[2]quests!$1:$1,0)+1),MATCH(C$1,[2]quests!$1:$1,0)-MATCH($B$1,[2]quests!$1:$1,0)+1,FALSE)</f>
        <v>ハップルチャレンジ</v>
      </c>
      <c r="D103" s="82" t="str">
        <f ca="1">VLOOKUP($B103,OFFSET([2]quests!$A$1,0,0,COUNTA([2]quests!$A:$A),MATCH(D$1,[2]quests!$1:$1,0)-MATCH($B$1,[2]quests!$1:$1,0)+1),MATCH(D$1,[2]quests!$1:$1,0)-MATCH($B$1,[2]quests!$1:$1,0)+1,FALSE)</f>
        <v>ランキング9</v>
      </c>
      <c r="E103" s="86" t="s">
        <v>218</v>
      </c>
      <c r="F103" s="82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2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4">
        <v>0</v>
      </c>
      <c r="I103">
        <v>33</v>
      </c>
      <c r="J103" s="83" t="s">
        <v>197</v>
      </c>
      <c r="K103" s="93" t="str">
        <f>VLOOKUP(I103,[7]stage_hints!$A:$C,3,FALSE)</f>
        <v>敵のカウンター攻撃には</v>
      </c>
      <c r="L103" s="94" t="str">
        <f>VLOOKUP(I103,[7]stage_hints!$A:$D,4,FALSE)</f>
        <v>カウンターブレイクスキルを持っていれば_x000D_敵のカウンターを解除して攻撃ができます</v>
      </c>
      <c r="M103" s="55" t="s">
        <v>212</v>
      </c>
    </row>
    <row r="104" spans="1:13" x14ac:dyDescent="0.15">
      <c r="A104" s="80" t="s">
        <v>200</v>
      </c>
      <c r="B104" s="81">
        <f>floors!$C$2</f>
        <v>60026</v>
      </c>
      <c r="C104" s="82" t="str">
        <f ca="1">VLOOKUP($B104,OFFSET([2]quests!$A$1,0,0,COUNTA([2]quests!$A:$A),MATCH(C$1,[2]quests!$1:$1,0)-MATCH($B$1,[2]quests!$1:$1,0)+1),MATCH(C$1,[2]quests!$1:$1,0)-MATCH($B$1,[2]quests!$1:$1,0)+1,FALSE)</f>
        <v>ハップルチャレンジ</v>
      </c>
      <c r="D104" s="82" t="str">
        <f ca="1">VLOOKUP($B104,OFFSET([2]quests!$A$1,0,0,COUNTA([2]quests!$A:$A),MATCH(D$1,[2]quests!$1:$1,0)-MATCH($B$1,[2]quests!$1:$1,0)+1),MATCH(D$1,[2]quests!$1:$1,0)-MATCH($B$1,[2]quests!$1:$1,0)+1,FALSE)</f>
        <v>ランキング9</v>
      </c>
      <c r="E104" s="86" t="s">
        <v>218</v>
      </c>
      <c r="F104" s="82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2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4">
        <v>0</v>
      </c>
      <c r="I104">
        <v>34</v>
      </c>
      <c r="J104" s="83" t="s">
        <v>197</v>
      </c>
      <c r="K104" s="93" t="str">
        <f>VLOOKUP(I104,[7]stage_hints!$A:$C,3,FALSE)</f>
        <v>ステータスをスキルで下げられたら</v>
      </c>
      <c r="L104" s="94" t="str">
        <f>VLOOKUP(I104,[7]stage_hints!$A:$D,4,FALSE)</f>
        <v>ステータスダウンのスキルを受けたら_x000D_ステータスアップスキルで上書きしましょう</v>
      </c>
      <c r="M104" s="55" t="s">
        <v>212</v>
      </c>
    </row>
    <row r="105" spans="1:13" x14ac:dyDescent="0.15">
      <c r="A105" s="80" t="s">
        <v>200</v>
      </c>
      <c r="B105" s="81">
        <f>floors!$C$2</f>
        <v>60026</v>
      </c>
      <c r="C105" s="82" t="str">
        <f ca="1">VLOOKUP($B105,OFFSET([2]quests!$A$1,0,0,COUNTA([2]quests!$A:$A),MATCH(C$1,[2]quests!$1:$1,0)-MATCH($B$1,[2]quests!$1:$1,0)+1),MATCH(C$1,[2]quests!$1:$1,0)-MATCH($B$1,[2]quests!$1:$1,0)+1,FALSE)</f>
        <v>ハップルチャレンジ</v>
      </c>
      <c r="D105" s="82" t="str">
        <f ca="1">VLOOKUP($B105,OFFSET([2]quests!$A$1,0,0,COUNTA([2]quests!$A:$A),MATCH(D$1,[2]quests!$1:$1,0)-MATCH($B$1,[2]quests!$1:$1,0)+1),MATCH(D$1,[2]quests!$1:$1,0)-MATCH($B$1,[2]quests!$1:$1,0)+1,FALSE)</f>
        <v>ランキング9</v>
      </c>
      <c r="E105" s="86" t="s">
        <v>218</v>
      </c>
      <c r="F105" s="82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2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4">
        <v>0</v>
      </c>
      <c r="I105">
        <v>35</v>
      </c>
      <c r="J105" s="83" t="s">
        <v>197</v>
      </c>
      <c r="K105" s="93" t="str">
        <f>VLOOKUP(I105,[7]stage_hints!$A:$C,3,FALSE)</f>
        <v>敵のステータスがスキルで上がったら</v>
      </c>
      <c r="L105" s="94" t="str">
        <f>VLOOKUP(I105,[7]stage_hints!$A:$D,4,FALSE)</f>
        <v>敵のステータスがスキルでアップしたときは_x000D_ステータスダウンスキルで上書きしましょう</v>
      </c>
      <c r="M105" s="55" t="s">
        <v>212</v>
      </c>
    </row>
    <row r="106" spans="1:13" x14ac:dyDescent="0.15">
      <c r="A106" s="80" t="s">
        <v>200</v>
      </c>
      <c r="B106" s="81">
        <f>floors!$C$2</f>
        <v>60026</v>
      </c>
      <c r="C106" s="82" t="str">
        <f ca="1">VLOOKUP($B106,OFFSET([2]quests!$A$1,0,0,COUNTA([2]quests!$A:$A),MATCH(C$1,[2]quests!$1:$1,0)-MATCH($B$1,[2]quests!$1:$1,0)+1),MATCH(C$1,[2]quests!$1:$1,0)-MATCH($B$1,[2]quests!$1:$1,0)+1,FALSE)</f>
        <v>ハップルチャレンジ</v>
      </c>
      <c r="D106" s="82" t="str">
        <f ca="1">VLOOKUP($B106,OFFSET([2]quests!$A$1,0,0,COUNTA([2]quests!$A:$A),MATCH(D$1,[2]quests!$1:$1,0)-MATCH($B$1,[2]quests!$1:$1,0)+1),MATCH(D$1,[2]quests!$1:$1,0)-MATCH($B$1,[2]quests!$1:$1,0)+1,FALSE)</f>
        <v>ランキング9</v>
      </c>
      <c r="E106" s="86" t="s">
        <v>218</v>
      </c>
      <c r="F106" s="82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2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4">
        <v>0</v>
      </c>
      <c r="I106">
        <v>36</v>
      </c>
      <c r="J106" s="83" t="s">
        <v>197</v>
      </c>
      <c r="K106" s="93" t="str">
        <f>VLOOKUP(I106,[7]stage_hints!$A:$C,3,FALSE)</f>
        <v>タワーオブザクイーンのボス</v>
      </c>
      <c r="L106" s="94" t="str">
        <f>VLOOKUP(I106,[7]stage_hints!$A:$D,4,FALSE)</f>
        <v>「タワーオブザクイーン」最上階のボスは_x000D_15階の初回クリア報酬で獲得できるほか_x000D_その階にて低確率でドロップもします</v>
      </c>
      <c r="M106" s="55" t="s">
        <v>212</v>
      </c>
    </row>
    <row r="107" spans="1:13" x14ac:dyDescent="0.15">
      <c r="A107" s="80" t="s">
        <v>200</v>
      </c>
      <c r="B107" s="81">
        <f>floors!$C$2</f>
        <v>60026</v>
      </c>
      <c r="C107" s="82" t="str">
        <f ca="1">VLOOKUP($B107,OFFSET([2]quests!$A$1,0,0,COUNTA([2]quests!$A:$A),MATCH(C$1,[2]quests!$1:$1,0)-MATCH($B$1,[2]quests!$1:$1,0)+1),MATCH(C$1,[2]quests!$1:$1,0)-MATCH($B$1,[2]quests!$1:$1,0)+1,FALSE)</f>
        <v>ハップルチャレンジ</v>
      </c>
      <c r="D107" s="82" t="str">
        <f ca="1">VLOOKUP($B107,OFFSET([2]quests!$A$1,0,0,COUNTA([2]quests!$A:$A),MATCH(D$1,[2]quests!$1:$1,0)-MATCH($B$1,[2]quests!$1:$1,0)+1),MATCH(D$1,[2]quests!$1:$1,0)-MATCH($B$1,[2]quests!$1:$1,0)+1,FALSE)</f>
        <v>ランキング9</v>
      </c>
      <c r="E107" s="86" t="s">
        <v>218</v>
      </c>
      <c r="F107" s="82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2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4">
        <v>0</v>
      </c>
      <c r="I107">
        <v>37</v>
      </c>
      <c r="J107" s="83" t="s">
        <v>197</v>
      </c>
      <c r="K107" s="93" t="str">
        <f>VLOOKUP(I107,[7]stage_hints!$A:$C,3,FALSE)</f>
        <v>限界突破値の引き継ぎ</v>
      </c>
      <c r="L107" s="94" t="str">
        <f>VLOOKUP(I107,[7]stage_hints!$A:$D,4,FALSE)</f>
        <v>同じユニットを強化で合成すると_x000D_限界突破値を引き継げます（覚醒前後も可）</v>
      </c>
      <c r="M107" s="55" t="s">
        <v>212</v>
      </c>
    </row>
    <row r="108" spans="1:13" x14ac:dyDescent="0.15">
      <c r="A108" s="80" t="s">
        <v>200</v>
      </c>
      <c r="B108" s="81">
        <f>floors!$C$2</f>
        <v>60026</v>
      </c>
      <c r="C108" s="82" t="str">
        <f ca="1">VLOOKUP($B108,OFFSET([2]quests!$A$1,0,0,COUNTA([2]quests!$A:$A),MATCH(C$1,[2]quests!$1:$1,0)-MATCH($B$1,[2]quests!$1:$1,0)+1),MATCH(C$1,[2]quests!$1:$1,0)-MATCH($B$1,[2]quests!$1:$1,0)+1,FALSE)</f>
        <v>ハップルチャレンジ</v>
      </c>
      <c r="D108" s="82" t="str">
        <f ca="1">VLOOKUP($B108,OFFSET([2]quests!$A$1,0,0,COUNTA([2]quests!$A:$A),MATCH(D$1,[2]quests!$1:$1,0)-MATCH($B$1,[2]quests!$1:$1,0)+1),MATCH(D$1,[2]quests!$1:$1,0)-MATCH($B$1,[2]quests!$1:$1,0)+1,FALSE)</f>
        <v>ランキング9</v>
      </c>
      <c r="E108" s="86" t="s">
        <v>218</v>
      </c>
      <c r="F108" s="82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2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4">
        <v>0</v>
      </c>
      <c r="I108">
        <v>39</v>
      </c>
      <c r="J108" s="83" t="s">
        <v>197</v>
      </c>
      <c r="K108" s="93" t="str">
        <f>VLOOKUP(I108,[7]stage_hints!$A:$C,3,FALSE)</f>
        <v>システム適合者を確認</v>
      </c>
      <c r="L108" s="94" t="str">
        <f>VLOOKUP(I108,[7]stage_hints!$A:$D,4,FALSE)</f>
        <v>ALICEが 「アナタ」を呼んでいます</v>
      </c>
      <c r="M108" s="55" t="s">
        <v>212</v>
      </c>
    </row>
    <row r="109" spans="1:13" x14ac:dyDescent="0.15">
      <c r="A109" s="80" t="s">
        <v>200</v>
      </c>
      <c r="B109" s="81">
        <f>floors!$C$2</f>
        <v>60026</v>
      </c>
      <c r="C109" s="82" t="str">
        <f ca="1">VLOOKUP($B109,OFFSET([2]quests!$A$1,0,0,COUNTA([2]quests!$A:$A),MATCH(C$1,[2]quests!$1:$1,0)-MATCH($B$1,[2]quests!$1:$1,0)+1),MATCH(C$1,[2]quests!$1:$1,0)-MATCH($B$1,[2]quests!$1:$1,0)+1,FALSE)</f>
        <v>ハップルチャレンジ</v>
      </c>
      <c r="D109" s="82" t="str">
        <f ca="1">VLOOKUP($B109,OFFSET([2]quests!$A$1,0,0,COUNTA([2]quests!$A:$A),MATCH(D$1,[2]quests!$1:$1,0)-MATCH($B$1,[2]quests!$1:$1,0)+1),MATCH(D$1,[2]quests!$1:$1,0)-MATCH($B$1,[2]quests!$1:$1,0)+1,FALSE)</f>
        <v>ランキング9</v>
      </c>
      <c r="E109" s="86" t="s">
        <v>219</v>
      </c>
      <c r="F109" s="82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2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4">
        <v>0</v>
      </c>
      <c r="I109">
        <v>12</v>
      </c>
      <c r="J109" s="83" t="s">
        <v>197</v>
      </c>
      <c r="K109" s="93" t="str">
        <f>VLOOKUP(I109,[7]stage_hints!$A:$C,3,FALSE)</f>
        <v>ユニットのお気に入り登録</v>
      </c>
      <c r="L109" s="94" t="str">
        <f>VLOOKUP(I109,[7]stage_hints!$A:$D,4,FALSE)</f>
        <v>大事なユニットを誤って消さないように_x000D_フォルダから「お気に入り登録」しましょう</v>
      </c>
      <c r="M109" s="55" t="s">
        <v>212</v>
      </c>
    </row>
    <row r="110" spans="1:13" x14ac:dyDescent="0.15">
      <c r="A110" s="80" t="s">
        <v>200</v>
      </c>
      <c r="B110" s="81">
        <f>floors!$C$2</f>
        <v>60026</v>
      </c>
      <c r="C110" s="82" t="str">
        <f ca="1">VLOOKUP($B110,OFFSET([2]quests!$A$1,0,0,COUNTA([2]quests!$A:$A),MATCH(C$1,[2]quests!$1:$1,0)-MATCH($B$1,[2]quests!$1:$1,0)+1),MATCH(C$1,[2]quests!$1:$1,0)-MATCH($B$1,[2]quests!$1:$1,0)+1,FALSE)</f>
        <v>ハップルチャレンジ</v>
      </c>
      <c r="D110" s="82" t="str">
        <f ca="1">VLOOKUP($B110,OFFSET([2]quests!$A$1,0,0,COUNTA([2]quests!$A:$A),MATCH(D$1,[2]quests!$1:$1,0)-MATCH($B$1,[2]quests!$1:$1,0)+1),MATCH(D$1,[2]quests!$1:$1,0)-MATCH($B$1,[2]quests!$1:$1,0)+1,FALSE)</f>
        <v>ランキング9</v>
      </c>
      <c r="E110" s="86" t="s">
        <v>219</v>
      </c>
      <c r="F110" s="82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2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4">
        <v>0</v>
      </c>
      <c r="I110">
        <v>17</v>
      </c>
      <c r="J110" s="83" t="s">
        <v>197</v>
      </c>
      <c r="K110" s="93" t="str">
        <f>VLOOKUP(I110,[7]stage_hints!$A:$C,3,FALSE)</f>
        <v>リンクガチャ</v>
      </c>
      <c r="L110" s="94" t="str">
        <f>VLOOKUP(I110,[7]stage_hints!$A:$D,4,FALSE)</f>
        <v>無料のリンクガチャを回して_x000D_経験値素材や売却素材を獲得しましょう</v>
      </c>
      <c r="M110" s="55" t="s">
        <v>212</v>
      </c>
    </row>
    <row r="111" spans="1:13" x14ac:dyDescent="0.15">
      <c r="A111" s="80" t="s">
        <v>200</v>
      </c>
      <c r="B111" s="81">
        <f>floors!$C$2</f>
        <v>60026</v>
      </c>
      <c r="C111" s="82" t="str">
        <f ca="1">VLOOKUP($B111,OFFSET([2]quests!$A$1,0,0,COUNTA([2]quests!$A:$A),MATCH(C$1,[2]quests!$1:$1,0)-MATCH($B$1,[2]quests!$1:$1,0)+1),MATCH(C$1,[2]quests!$1:$1,0)-MATCH($B$1,[2]quests!$1:$1,0)+1,FALSE)</f>
        <v>ハップルチャレンジ</v>
      </c>
      <c r="D111" s="82" t="str">
        <f ca="1">VLOOKUP($B111,OFFSET([2]quests!$A$1,0,0,COUNTA([2]quests!$A:$A),MATCH(D$1,[2]quests!$1:$1,0)-MATCH($B$1,[2]quests!$1:$1,0)+1),MATCH(D$1,[2]quests!$1:$1,0)-MATCH($B$1,[2]quests!$1:$1,0)+1,FALSE)</f>
        <v>ランキング9</v>
      </c>
      <c r="E111" s="86" t="s">
        <v>219</v>
      </c>
      <c r="F111" s="82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2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4">
        <v>0</v>
      </c>
      <c r="I111">
        <v>19</v>
      </c>
      <c r="J111" s="83" t="s">
        <v>197</v>
      </c>
      <c r="K111" s="93" t="str">
        <f>VLOOKUP(I111,[7]stage_hints!$A:$C,3,FALSE)</f>
        <v>ソロ専用タワーオブザクイーン</v>
      </c>
      <c r="L111" s="94" t="str">
        <f>VLOOKUP(I111,[7]stage_hints!$A:$D,4,FALSE)</f>
        <v>ソロ専用の「タワーオブザクイーン」は_x000D_期間限定で定期的に開催されます_x000D_ここでしか獲得できない報酬もあるようです</v>
      </c>
      <c r="M111" s="55" t="s">
        <v>212</v>
      </c>
    </row>
    <row r="112" spans="1:13" x14ac:dyDescent="0.15">
      <c r="A112" s="80" t="s">
        <v>200</v>
      </c>
      <c r="B112" s="81">
        <f>floors!$C$2</f>
        <v>60026</v>
      </c>
      <c r="C112" s="82" t="str">
        <f ca="1">VLOOKUP($B112,OFFSET([2]quests!$A$1,0,0,COUNTA([2]quests!$A:$A),MATCH(C$1,[2]quests!$1:$1,0)-MATCH($B$1,[2]quests!$1:$1,0)+1),MATCH(C$1,[2]quests!$1:$1,0)-MATCH($B$1,[2]quests!$1:$1,0)+1,FALSE)</f>
        <v>ハップルチャレンジ</v>
      </c>
      <c r="D112" s="82" t="str">
        <f ca="1">VLOOKUP($B112,OFFSET([2]quests!$A$1,0,0,COUNTA([2]quests!$A:$A),MATCH(D$1,[2]quests!$1:$1,0)-MATCH($B$1,[2]quests!$1:$1,0)+1),MATCH(D$1,[2]quests!$1:$1,0)-MATCH($B$1,[2]quests!$1:$1,0)+1,FALSE)</f>
        <v>ランキング9</v>
      </c>
      <c r="E112" s="86" t="s">
        <v>219</v>
      </c>
      <c r="F112" s="82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2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4">
        <v>0</v>
      </c>
      <c r="I112">
        <v>21</v>
      </c>
      <c r="J112" s="83" t="s">
        <v>197</v>
      </c>
      <c r="K112" s="93" t="str">
        <f>VLOOKUP(I112,[7]stage_hints!$A:$C,3,FALSE)</f>
        <v>スキルを有効に</v>
      </c>
      <c r="L112" s="94" t="str">
        <f>VLOOKUP(I112,[7]stage_hints!$A:$D,4,FALSE)</f>
        <v>ターン経過でユニットのスキルが使えます_x000D_強力スキルでバトルを有利に進めましょう</v>
      </c>
      <c r="M112" s="55" t="s">
        <v>212</v>
      </c>
    </row>
    <row r="113" spans="1:13" x14ac:dyDescent="0.15">
      <c r="A113" s="80" t="s">
        <v>200</v>
      </c>
      <c r="B113" s="81">
        <f>floors!$C$2</f>
        <v>60026</v>
      </c>
      <c r="C113" s="82" t="str">
        <f ca="1">VLOOKUP($B113,OFFSET([2]quests!$A$1,0,0,COUNTA([2]quests!$A:$A),MATCH(C$1,[2]quests!$1:$1,0)-MATCH($B$1,[2]quests!$1:$1,0)+1),MATCH(C$1,[2]quests!$1:$1,0)-MATCH($B$1,[2]quests!$1:$1,0)+1,FALSE)</f>
        <v>ハップルチャレンジ</v>
      </c>
      <c r="D113" s="82" t="str">
        <f ca="1">VLOOKUP($B113,OFFSET([2]quests!$A$1,0,0,COUNTA([2]quests!$A:$A),MATCH(D$1,[2]quests!$1:$1,0)-MATCH($B$1,[2]quests!$1:$1,0)+1),MATCH(D$1,[2]quests!$1:$1,0)-MATCH($B$1,[2]quests!$1:$1,0)+1,FALSE)</f>
        <v>ランキング9</v>
      </c>
      <c r="E113" s="86" t="s">
        <v>219</v>
      </c>
      <c r="F113" s="82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2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4">
        <v>0</v>
      </c>
      <c r="I113">
        <v>29</v>
      </c>
      <c r="J113" s="83" t="s">
        <v>197</v>
      </c>
      <c r="K113" s="93" t="str">
        <f>VLOOKUP(I113,[7]stage_hints!$A:$C,3,FALSE)</f>
        <v>「バグ」のメリット</v>
      </c>
      <c r="L113" s="94" t="str">
        <f>VLOOKUP(I113,[7]stage_hints!$A:$D,4,FALSE)</f>
        <v>ユニットの「バグ」を増やすと_x000D_報酬をもらえる確率がアップします</v>
      </c>
      <c r="M113" s="55" t="s">
        <v>212</v>
      </c>
    </row>
    <row r="114" spans="1:13" x14ac:dyDescent="0.15">
      <c r="A114" s="80" t="s">
        <v>200</v>
      </c>
      <c r="B114" s="81">
        <f>floors!$C$2</f>
        <v>60026</v>
      </c>
      <c r="C114" s="82" t="str">
        <f ca="1">VLOOKUP($B114,OFFSET([2]quests!$A$1,0,0,COUNTA([2]quests!$A:$A),MATCH(C$1,[2]quests!$1:$1,0)-MATCH($B$1,[2]quests!$1:$1,0)+1),MATCH(C$1,[2]quests!$1:$1,0)-MATCH($B$1,[2]quests!$1:$1,0)+1,FALSE)</f>
        <v>ハップルチャレンジ</v>
      </c>
      <c r="D114" s="82" t="str">
        <f ca="1">VLOOKUP($B114,OFFSET([2]quests!$A$1,0,0,COUNTA([2]quests!$A:$A),MATCH(D$1,[2]quests!$1:$1,0)-MATCH($B$1,[2]quests!$1:$1,0)+1),MATCH(D$1,[2]quests!$1:$1,0)-MATCH($B$1,[2]quests!$1:$1,0)+1,FALSE)</f>
        <v>ランキング9</v>
      </c>
      <c r="E114" s="86" t="s">
        <v>219</v>
      </c>
      <c r="F114" s="82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2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4">
        <v>0</v>
      </c>
      <c r="I114">
        <v>30</v>
      </c>
      <c r="J114" s="83" t="s">
        <v>197</v>
      </c>
      <c r="K114" s="93" t="str">
        <f>VLOOKUP(I114,[7]stage_hints!$A:$C,3,FALSE)</f>
        <v>「バグ」の増やし方</v>
      </c>
      <c r="L114" s="94" t="str">
        <f>VLOOKUP(I114,[7]stage_hints!$A:$D,4,FALSE)</f>
        <v>同じユニット同士を強化で合成すると_x000D_「バグ」を増やすことができます</v>
      </c>
      <c r="M114" s="55" t="s">
        <v>212</v>
      </c>
    </row>
    <row r="115" spans="1:13" x14ac:dyDescent="0.15">
      <c r="A115" s="80" t="s">
        <v>200</v>
      </c>
      <c r="B115" s="81">
        <f>floors!$C$2</f>
        <v>60026</v>
      </c>
      <c r="C115" s="82" t="str">
        <f ca="1">VLOOKUP($B115,OFFSET([2]quests!$A$1,0,0,COUNTA([2]quests!$A:$A),MATCH(C$1,[2]quests!$1:$1,0)-MATCH($B$1,[2]quests!$1:$1,0)+1),MATCH(C$1,[2]quests!$1:$1,0)-MATCH($B$1,[2]quests!$1:$1,0)+1,FALSE)</f>
        <v>ハップルチャレンジ</v>
      </c>
      <c r="D115" s="82" t="str">
        <f ca="1">VLOOKUP($B115,OFFSET([2]quests!$A$1,0,0,COUNTA([2]quests!$A:$A),MATCH(D$1,[2]quests!$1:$1,0)-MATCH($B$1,[2]quests!$1:$1,0)+1),MATCH(D$1,[2]quests!$1:$1,0)-MATCH($B$1,[2]quests!$1:$1,0)+1,FALSE)</f>
        <v>ランキング9</v>
      </c>
      <c r="E115" s="86" t="s">
        <v>219</v>
      </c>
      <c r="F115" s="82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2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4">
        <v>0</v>
      </c>
      <c r="I115">
        <v>32</v>
      </c>
      <c r="J115" s="83" t="s">
        <v>197</v>
      </c>
      <c r="K115" s="93" t="str">
        <f>VLOOKUP(I115,[7]stage_hints!$A:$C,3,FALSE)</f>
        <v>敵の連続攻撃には</v>
      </c>
      <c r="L115" s="94" t="str">
        <f>VLOOKUP(I115,[7]stage_hints!$A:$D,4,FALSE)</f>
        <v>カウンタースキルを持つユニットがいれば_x000D_ダメージ回数分の反撃ができます</v>
      </c>
      <c r="M115" s="55" t="s">
        <v>212</v>
      </c>
    </row>
    <row r="116" spans="1:13" x14ac:dyDescent="0.15">
      <c r="A116" s="80" t="s">
        <v>200</v>
      </c>
      <c r="B116" s="81">
        <f>floors!$C$2</f>
        <v>60026</v>
      </c>
      <c r="C116" s="82" t="str">
        <f ca="1">VLOOKUP($B116,OFFSET([2]quests!$A$1,0,0,COUNTA([2]quests!$A:$A),MATCH(C$1,[2]quests!$1:$1,0)-MATCH($B$1,[2]quests!$1:$1,0)+1),MATCH(C$1,[2]quests!$1:$1,0)-MATCH($B$1,[2]quests!$1:$1,0)+1,FALSE)</f>
        <v>ハップルチャレンジ</v>
      </c>
      <c r="D116" s="82" t="str">
        <f ca="1">VLOOKUP($B116,OFFSET([2]quests!$A$1,0,0,COUNTA([2]quests!$A:$A),MATCH(D$1,[2]quests!$1:$1,0)-MATCH($B$1,[2]quests!$1:$1,0)+1),MATCH(D$1,[2]quests!$1:$1,0)-MATCH($B$1,[2]quests!$1:$1,0)+1,FALSE)</f>
        <v>ランキング9</v>
      </c>
      <c r="E116" s="86" t="s">
        <v>219</v>
      </c>
      <c r="F116" s="82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2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4">
        <v>0</v>
      </c>
      <c r="I116">
        <v>33</v>
      </c>
      <c r="J116" s="83" t="s">
        <v>197</v>
      </c>
      <c r="K116" s="93" t="str">
        <f>VLOOKUP(I116,[7]stage_hints!$A:$C,3,FALSE)</f>
        <v>敵のカウンター攻撃には</v>
      </c>
      <c r="L116" s="94" t="str">
        <f>VLOOKUP(I116,[7]stage_hints!$A:$D,4,FALSE)</f>
        <v>カウンターブレイクスキルを持っていれば_x000D_敵のカウンターを解除して攻撃ができます</v>
      </c>
      <c r="M116" s="55" t="s">
        <v>212</v>
      </c>
    </row>
    <row r="117" spans="1:13" x14ac:dyDescent="0.15">
      <c r="A117" s="80" t="s">
        <v>200</v>
      </c>
      <c r="B117" s="81">
        <f>floors!$C$2</f>
        <v>60026</v>
      </c>
      <c r="C117" s="82" t="str">
        <f ca="1">VLOOKUP($B117,OFFSET([2]quests!$A$1,0,0,COUNTA([2]quests!$A:$A),MATCH(C$1,[2]quests!$1:$1,0)-MATCH($B$1,[2]quests!$1:$1,0)+1),MATCH(C$1,[2]quests!$1:$1,0)-MATCH($B$1,[2]quests!$1:$1,0)+1,FALSE)</f>
        <v>ハップルチャレンジ</v>
      </c>
      <c r="D117" s="82" t="str">
        <f ca="1">VLOOKUP($B117,OFFSET([2]quests!$A$1,0,0,COUNTA([2]quests!$A:$A),MATCH(D$1,[2]quests!$1:$1,0)-MATCH($B$1,[2]quests!$1:$1,0)+1),MATCH(D$1,[2]quests!$1:$1,0)-MATCH($B$1,[2]quests!$1:$1,0)+1,FALSE)</f>
        <v>ランキング9</v>
      </c>
      <c r="E117" s="86" t="s">
        <v>219</v>
      </c>
      <c r="F117" s="82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2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4">
        <v>0</v>
      </c>
      <c r="I117">
        <v>34</v>
      </c>
      <c r="J117" s="83" t="s">
        <v>197</v>
      </c>
      <c r="K117" s="93" t="str">
        <f>VLOOKUP(I117,[7]stage_hints!$A:$C,3,FALSE)</f>
        <v>ステータスをスキルで下げられたら</v>
      </c>
      <c r="L117" s="94" t="str">
        <f>VLOOKUP(I117,[7]stage_hints!$A:$D,4,FALSE)</f>
        <v>ステータスダウンのスキルを受けたら_x000D_ステータスアップスキルで上書きしましょう</v>
      </c>
      <c r="M117" s="55" t="s">
        <v>212</v>
      </c>
    </row>
    <row r="118" spans="1:13" x14ac:dyDescent="0.15">
      <c r="A118" s="80" t="s">
        <v>200</v>
      </c>
      <c r="B118" s="81">
        <f>floors!$C$2</f>
        <v>60026</v>
      </c>
      <c r="C118" s="82" t="str">
        <f ca="1">VLOOKUP($B118,OFFSET([2]quests!$A$1,0,0,COUNTA([2]quests!$A:$A),MATCH(C$1,[2]quests!$1:$1,0)-MATCH($B$1,[2]quests!$1:$1,0)+1),MATCH(C$1,[2]quests!$1:$1,0)-MATCH($B$1,[2]quests!$1:$1,0)+1,FALSE)</f>
        <v>ハップルチャレンジ</v>
      </c>
      <c r="D118" s="82" t="str">
        <f ca="1">VLOOKUP($B118,OFFSET([2]quests!$A$1,0,0,COUNTA([2]quests!$A:$A),MATCH(D$1,[2]quests!$1:$1,0)-MATCH($B$1,[2]quests!$1:$1,0)+1),MATCH(D$1,[2]quests!$1:$1,0)-MATCH($B$1,[2]quests!$1:$1,0)+1,FALSE)</f>
        <v>ランキング9</v>
      </c>
      <c r="E118" s="86" t="s">
        <v>219</v>
      </c>
      <c r="F118" s="82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2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4">
        <v>0</v>
      </c>
      <c r="I118">
        <v>35</v>
      </c>
      <c r="J118" s="83" t="s">
        <v>197</v>
      </c>
      <c r="K118" s="93" t="str">
        <f>VLOOKUP(I118,[7]stage_hints!$A:$C,3,FALSE)</f>
        <v>敵のステータスがスキルで上がったら</v>
      </c>
      <c r="L118" s="94" t="str">
        <f>VLOOKUP(I118,[7]stage_hints!$A:$D,4,FALSE)</f>
        <v>敵のステータスがスキルでアップしたときは_x000D_ステータスダウンスキルで上書きしましょう</v>
      </c>
      <c r="M118" s="55" t="s">
        <v>212</v>
      </c>
    </row>
    <row r="119" spans="1:13" x14ac:dyDescent="0.15">
      <c r="A119" s="80" t="s">
        <v>200</v>
      </c>
      <c r="B119" s="81">
        <f>floors!$C$2</f>
        <v>60026</v>
      </c>
      <c r="C119" s="82" t="str">
        <f ca="1">VLOOKUP($B119,OFFSET([2]quests!$A$1,0,0,COUNTA([2]quests!$A:$A),MATCH(C$1,[2]quests!$1:$1,0)-MATCH($B$1,[2]quests!$1:$1,0)+1),MATCH(C$1,[2]quests!$1:$1,0)-MATCH($B$1,[2]quests!$1:$1,0)+1,FALSE)</f>
        <v>ハップルチャレンジ</v>
      </c>
      <c r="D119" s="82" t="str">
        <f ca="1">VLOOKUP($B119,OFFSET([2]quests!$A$1,0,0,COUNTA([2]quests!$A:$A),MATCH(D$1,[2]quests!$1:$1,0)-MATCH($B$1,[2]quests!$1:$1,0)+1),MATCH(D$1,[2]quests!$1:$1,0)-MATCH($B$1,[2]quests!$1:$1,0)+1,FALSE)</f>
        <v>ランキング9</v>
      </c>
      <c r="E119" s="86" t="s">
        <v>219</v>
      </c>
      <c r="F119" s="82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2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4">
        <v>0</v>
      </c>
      <c r="I119">
        <v>36</v>
      </c>
      <c r="J119" s="83" t="s">
        <v>197</v>
      </c>
      <c r="K119" s="93" t="str">
        <f>VLOOKUP(I119,[7]stage_hints!$A:$C,3,FALSE)</f>
        <v>タワーオブザクイーンのボス</v>
      </c>
      <c r="L119" s="94" t="str">
        <f>VLOOKUP(I119,[7]stage_hints!$A:$D,4,FALSE)</f>
        <v>「タワーオブザクイーン」最上階のボスは_x000D_15階の初回クリア報酬で獲得できるほか_x000D_その階にて低確率でドロップもします</v>
      </c>
      <c r="M119" s="55" t="s">
        <v>212</v>
      </c>
    </row>
    <row r="120" spans="1:13" x14ac:dyDescent="0.15">
      <c r="A120" s="80" t="s">
        <v>200</v>
      </c>
      <c r="B120" s="81">
        <f>floors!$C$2</f>
        <v>60026</v>
      </c>
      <c r="C120" s="82" t="str">
        <f ca="1">VLOOKUP($B120,OFFSET([2]quests!$A$1,0,0,COUNTA([2]quests!$A:$A),MATCH(C$1,[2]quests!$1:$1,0)-MATCH($B$1,[2]quests!$1:$1,0)+1),MATCH(C$1,[2]quests!$1:$1,0)-MATCH($B$1,[2]quests!$1:$1,0)+1,FALSE)</f>
        <v>ハップルチャレンジ</v>
      </c>
      <c r="D120" s="82" t="str">
        <f ca="1">VLOOKUP($B120,OFFSET([2]quests!$A$1,0,0,COUNTA([2]quests!$A:$A),MATCH(D$1,[2]quests!$1:$1,0)-MATCH($B$1,[2]quests!$1:$1,0)+1),MATCH(D$1,[2]quests!$1:$1,0)-MATCH($B$1,[2]quests!$1:$1,0)+1,FALSE)</f>
        <v>ランキング9</v>
      </c>
      <c r="E120" s="86" t="s">
        <v>219</v>
      </c>
      <c r="F120" s="82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2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4">
        <v>0</v>
      </c>
      <c r="I120">
        <v>37</v>
      </c>
      <c r="J120" s="83" t="s">
        <v>197</v>
      </c>
      <c r="K120" s="93" t="str">
        <f>VLOOKUP(I120,[7]stage_hints!$A:$C,3,FALSE)</f>
        <v>限界突破値の引き継ぎ</v>
      </c>
      <c r="L120" s="94" t="str">
        <f>VLOOKUP(I120,[7]stage_hints!$A:$D,4,FALSE)</f>
        <v>同じユニットを強化で合成すると_x000D_限界突破値を引き継げます（覚醒前後も可）</v>
      </c>
      <c r="M120" s="55" t="s">
        <v>212</v>
      </c>
    </row>
    <row r="121" spans="1:13" x14ac:dyDescent="0.15">
      <c r="A121" s="80" t="s">
        <v>200</v>
      </c>
      <c r="B121" s="81">
        <f>floors!$C$2</f>
        <v>60026</v>
      </c>
      <c r="C121" s="82" t="str">
        <f ca="1">VLOOKUP($B121,OFFSET([2]quests!$A$1,0,0,COUNTA([2]quests!$A:$A),MATCH(C$1,[2]quests!$1:$1,0)-MATCH($B$1,[2]quests!$1:$1,0)+1),MATCH(C$1,[2]quests!$1:$1,0)-MATCH($B$1,[2]quests!$1:$1,0)+1,FALSE)</f>
        <v>ハップルチャレンジ</v>
      </c>
      <c r="D121" s="82" t="str">
        <f ca="1">VLOOKUP($B121,OFFSET([2]quests!$A$1,0,0,COUNTA([2]quests!$A:$A),MATCH(D$1,[2]quests!$1:$1,0)-MATCH($B$1,[2]quests!$1:$1,0)+1),MATCH(D$1,[2]quests!$1:$1,0)-MATCH($B$1,[2]quests!$1:$1,0)+1,FALSE)</f>
        <v>ランキング9</v>
      </c>
      <c r="E121" s="86" t="s">
        <v>219</v>
      </c>
      <c r="F121" s="82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2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4">
        <v>0</v>
      </c>
      <c r="I121">
        <v>39</v>
      </c>
      <c r="J121" s="83" t="s">
        <v>197</v>
      </c>
      <c r="K121" s="93" t="str">
        <f>VLOOKUP(I121,[7]stage_hints!$A:$C,3,FALSE)</f>
        <v>システム適合者を確認</v>
      </c>
      <c r="L121" s="94" t="str">
        <f>VLOOKUP(I121,[7]stage_hints!$A:$D,4,FALSE)</f>
        <v>ALICEが 「アナタ」を呼んでいます</v>
      </c>
      <c r="M121" s="55" t="s">
        <v>212</v>
      </c>
    </row>
    <row r="122" spans="1:13" x14ac:dyDescent="0.15">
      <c r="A122" s="80" t="s">
        <v>200</v>
      </c>
      <c r="B122" s="81">
        <f>floors!$C$2</f>
        <v>60026</v>
      </c>
      <c r="C122" s="82" t="str">
        <f ca="1">VLOOKUP($B122,OFFSET([2]quests!$A$1,0,0,COUNTA([2]quests!$A:$A),MATCH(C$1,[2]quests!$1:$1,0)-MATCH($B$1,[2]quests!$1:$1,0)+1),MATCH(C$1,[2]quests!$1:$1,0)-MATCH($B$1,[2]quests!$1:$1,0)+1,FALSE)</f>
        <v>ハップルチャレンジ</v>
      </c>
      <c r="D122" s="82" t="str">
        <f ca="1">VLOOKUP($B122,OFFSET([2]quests!$A$1,0,0,COUNTA([2]quests!$A:$A),MATCH(D$1,[2]quests!$1:$1,0)-MATCH($B$1,[2]quests!$1:$1,0)+1),MATCH(D$1,[2]quests!$1:$1,0)-MATCH($B$1,[2]quests!$1:$1,0)+1,FALSE)</f>
        <v>ランキング9</v>
      </c>
      <c r="E122" s="86" t="s">
        <v>220</v>
      </c>
      <c r="F122" s="82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2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4">
        <v>0</v>
      </c>
      <c r="I122">
        <v>12</v>
      </c>
      <c r="J122" s="83" t="s">
        <v>197</v>
      </c>
      <c r="K122" s="93" t="str">
        <f>VLOOKUP(I122,[7]stage_hints!$A:$C,3,FALSE)</f>
        <v>ユニットのお気に入り登録</v>
      </c>
      <c r="L122" s="94" t="str">
        <f>VLOOKUP(I122,[7]stage_hints!$A:$D,4,FALSE)</f>
        <v>大事なユニットを誤って消さないように_x000D_フォルダから「お気に入り登録」しましょう</v>
      </c>
      <c r="M122" s="55" t="s">
        <v>212</v>
      </c>
    </row>
    <row r="123" spans="1:13" x14ac:dyDescent="0.15">
      <c r="A123" s="80" t="s">
        <v>200</v>
      </c>
      <c r="B123" s="81">
        <f>floors!$C$2</f>
        <v>60026</v>
      </c>
      <c r="C123" s="82" t="str">
        <f ca="1">VLOOKUP($B123,OFFSET([2]quests!$A$1,0,0,COUNTA([2]quests!$A:$A),MATCH(C$1,[2]quests!$1:$1,0)-MATCH($B$1,[2]quests!$1:$1,0)+1),MATCH(C$1,[2]quests!$1:$1,0)-MATCH($B$1,[2]quests!$1:$1,0)+1,FALSE)</f>
        <v>ハップルチャレンジ</v>
      </c>
      <c r="D123" s="82" t="str">
        <f ca="1">VLOOKUP($B123,OFFSET([2]quests!$A$1,0,0,COUNTA([2]quests!$A:$A),MATCH(D$1,[2]quests!$1:$1,0)-MATCH($B$1,[2]quests!$1:$1,0)+1),MATCH(D$1,[2]quests!$1:$1,0)-MATCH($B$1,[2]quests!$1:$1,0)+1,FALSE)</f>
        <v>ランキング9</v>
      </c>
      <c r="E123" s="86" t="s">
        <v>220</v>
      </c>
      <c r="F123" s="82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2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4">
        <v>0</v>
      </c>
      <c r="I123">
        <v>17</v>
      </c>
      <c r="J123" s="83" t="s">
        <v>197</v>
      </c>
      <c r="K123" s="93" t="str">
        <f>VLOOKUP(I123,[7]stage_hints!$A:$C,3,FALSE)</f>
        <v>リンクガチャ</v>
      </c>
      <c r="L123" s="94" t="str">
        <f>VLOOKUP(I123,[7]stage_hints!$A:$D,4,FALSE)</f>
        <v>無料のリンクガチャを回して_x000D_経験値素材や売却素材を獲得しましょう</v>
      </c>
      <c r="M123" s="55" t="s">
        <v>212</v>
      </c>
    </row>
    <row r="124" spans="1:13" x14ac:dyDescent="0.15">
      <c r="A124" s="80" t="s">
        <v>200</v>
      </c>
      <c r="B124" s="81">
        <f>floors!$C$2</f>
        <v>60026</v>
      </c>
      <c r="C124" s="82" t="str">
        <f ca="1">VLOOKUP($B124,OFFSET([2]quests!$A$1,0,0,COUNTA([2]quests!$A:$A),MATCH(C$1,[2]quests!$1:$1,0)-MATCH($B$1,[2]quests!$1:$1,0)+1),MATCH(C$1,[2]quests!$1:$1,0)-MATCH($B$1,[2]quests!$1:$1,0)+1,FALSE)</f>
        <v>ハップルチャレンジ</v>
      </c>
      <c r="D124" s="82" t="str">
        <f ca="1">VLOOKUP($B124,OFFSET([2]quests!$A$1,0,0,COUNTA([2]quests!$A:$A),MATCH(D$1,[2]quests!$1:$1,0)-MATCH($B$1,[2]quests!$1:$1,0)+1),MATCH(D$1,[2]quests!$1:$1,0)-MATCH($B$1,[2]quests!$1:$1,0)+1,FALSE)</f>
        <v>ランキング9</v>
      </c>
      <c r="E124" s="86" t="s">
        <v>220</v>
      </c>
      <c r="F124" s="82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2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4">
        <v>0</v>
      </c>
      <c r="I124">
        <v>19</v>
      </c>
      <c r="J124" s="83" t="s">
        <v>197</v>
      </c>
      <c r="K124" s="93" t="str">
        <f>VLOOKUP(I124,[7]stage_hints!$A:$C,3,FALSE)</f>
        <v>ソロ専用タワーオブザクイーン</v>
      </c>
      <c r="L124" s="94" t="str">
        <f>VLOOKUP(I124,[7]stage_hints!$A:$D,4,FALSE)</f>
        <v>ソロ専用の「タワーオブザクイーン」は_x000D_期間限定で定期的に開催されます_x000D_ここでしか獲得できない報酬もあるようです</v>
      </c>
      <c r="M124" s="55" t="s">
        <v>212</v>
      </c>
    </row>
    <row r="125" spans="1:13" x14ac:dyDescent="0.15">
      <c r="A125" s="80" t="s">
        <v>200</v>
      </c>
      <c r="B125" s="81">
        <f>floors!$C$2</f>
        <v>60026</v>
      </c>
      <c r="C125" s="82" t="str">
        <f ca="1">VLOOKUP($B125,OFFSET([2]quests!$A$1,0,0,COUNTA([2]quests!$A:$A),MATCH(C$1,[2]quests!$1:$1,0)-MATCH($B$1,[2]quests!$1:$1,0)+1),MATCH(C$1,[2]quests!$1:$1,0)-MATCH($B$1,[2]quests!$1:$1,0)+1,FALSE)</f>
        <v>ハップルチャレンジ</v>
      </c>
      <c r="D125" s="82" t="str">
        <f ca="1">VLOOKUP($B125,OFFSET([2]quests!$A$1,0,0,COUNTA([2]quests!$A:$A),MATCH(D$1,[2]quests!$1:$1,0)-MATCH($B$1,[2]quests!$1:$1,0)+1),MATCH(D$1,[2]quests!$1:$1,0)-MATCH($B$1,[2]quests!$1:$1,0)+1,FALSE)</f>
        <v>ランキング9</v>
      </c>
      <c r="E125" s="86" t="s">
        <v>220</v>
      </c>
      <c r="F125" s="82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2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4">
        <v>0</v>
      </c>
      <c r="I125">
        <v>21</v>
      </c>
      <c r="J125" s="83" t="s">
        <v>197</v>
      </c>
      <c r="K125" s="93" t="str">
        <f>VLOOKUP(I125,[7]stage_hints!$A:$C,3,FALSE)</f>
        <v>スキルを有効に</v>
      </c>
      <c r="L125" s="94" t="str">
        <f>VLOOKUP(I125,[7]stage_hints!$A:$D,4,FALSE)</f>
        <v>ターン経過でユニットのスキルが使えます_x000D_強力スキルでバトルを有利に進めましょう</v>
      </c>
      <c r="M125" s="55" t="s">
        <v>212</v>
      </c>
    </row>
    <row r="126" spans="1:13" x14ac:dyDescent="0.15">
      <c r="A126" s="80" t="s">
        <v>200</v>
      </c>
      <c r="B126" s="81">
        <f>floors!$C$2</f>
        <v>60026</v>
      </c>
      <c r="C126" s="82" t="str">
        <f ca="1">VLOOKUP($B126,OFFSET([2]quests!$A$1,0,0,COUNTA([2]quests!$A:$A),MATCH(C$1,[2]quests!$1:$1,0)-MATCH($B$1,[2]quests!$1:$1,0)+1),MATCH(C$1,[2]quests!$1:$1,0)-MATCH($B$1,[2]quests!$1:$1,0)+1,FALSE)</f>
        <v>ハップルチャレンジ</v>
      </c>
      <c r="D126" s="82" t="str">
        <f ca="1">VLOOKUP($B126,OFFSET([2]quests!$A$1,0,0,COUNTA([2]quests!$A:$A),MATCH(D$1,[2]quests!$1:$1,0)-MATCH($B$1,[2]quests!$1:$1,0)+1),MATCH(D$1,[2]quests!$1:$1,0)-MATCH($B$1,[2]quests!$1:$1,0)+1,FALSE)</f>
        <v>ランキング9</v>
      </c>
      <c r="E126" s="86" t="s">
        <v>220</v>
      </c>
      <c r="F126" s="82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2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4">
        <v>0</v>
      </c>
      <c r="I126">
        <v>29</v>
      </c>
      <c r="J126" s="83" t="s">
        <v>197</v>
      </c>
      <c r="K126" s="93" t="str">
        <f>VLOOKUP(I126,[7]stage_hints!$A:$C,3,FALSE)</f>
        <v>「バグ」のメリット</v>
      </c>
      <c r="L126" s="94" t="str">
        <f>VLOOKUP(I126,[7]stage_hints!$A:$D,4,FALSE)</f>
        <v>ユニットの「バグ」を増やすと_x000D_報酬をもらえる確率がアップします</v>
      </c>
      <c r="M126" s="55" t="s">
        <v>212</v>
      </c>
    </row>
    <row r="127" spans="1:13" x14ac:dyDescent="0.15">
      <c r="A127" s="80" t="s">
        <v>200</v>
      </c>
      <c r="B127" s="81">
        <f>floors!$C$2</f>
        <v>60026</v>
      </c>
      <c r="C127" s="82" t="str">
        <f ca="1">VLOOKUP($B127,OFFSET([2]quests!$A$1,0,0,COUNTA([2]quests!$A:$A),MATCH(C$1,[2]quests!$1:$1,0)-MATCH($B$1,[2]quests!$1:$1,0)+1),MATCH(C$1,[2]quests!$1:$1,0)-MATCH($B$1,[2]quests!$1:$1,0)+1,FALSE)</f>
        <v>ハップルチャレンジ</v>
      </c>
      <c r="D127" s="82" t="str">
        <f ca="1">VLOOKUP($B127,OFFSET([2]quests!$A$1,0,0,COUNTA([2]quests!$A:$A),MATCH(D$1,[2]quests!$1:$1,0)-MATCH($B$1,[2]quests!$1:$1,0)+1),MATCH(D$1,[2]quests!$1:$1,0)-MATCH($B$1,[2]quests!$1:$1,0)+1,FALSE)</f>
        <v>ランキング9</v>
      </c>
      <c r="E127" s="86" t="s">
        <v>220</v>
      </c>
      <c r="F127" s="82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2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4">
        <v>0</v>
      </c>
      <c r="I127">
        <v>30</v>
      </c>
      <c r="J127" s="83" t="s">
        <v>197</v>
      </c>
      <c r="K127" s="93" t="str">
        <f>VLOOKUP(I127,[7]stage_hints!$A:$C,3,FALSE)</f>
        <v>「バグ」の増やし方</v>
      </c>
      <c r="L127" s="94" t="str">
        <f>VLOOKUP(I127,[7]stage_hints!$A:$D,4,FALSE)</f>
        <v>同じユニット同士を強化で合成すると_x000D_「バグ」を増やすことができます</v>
      </c>
      <c r="M127" s="55" t="s">
        <v>212</v>
      </c>
    </row>
    <row r="128" spans="1:13" x14ac:dyDescent="0.15">
      <c r="A128" s="80" t="s">
        <v>200</v>
      </c>
      <c r="B128" s="81">
        <f>floors!$C$2</f>
        <v>60026</v>
      </c>
      <c r="C128" s="82" t="str">
        <f ca="1">VLOOKUP($B128,OFFSET([2]quests!$A$1,0,0,COUNTA([2]quests!$A:$A),MATCH(C$1,[2]quests!$1:$1,0)-MATCH($B$1,[2]quests!$1:$1,0)+1),MATCH(C$1,[2]quests!$1:$1,0)-MATCH($B$1,[2]quests!$1:$1,0)+1,FALSE)</f>
        <v>ハップルチャレンジ</v>
      </c>
      <c r="D128" s="82" t="str">
        <f ca="1">VLOOKUP($B128,OFFSET([2]quests!$A$1,0,0,COUNTA([2]quests!$A:$A),MATCH(D$1,[2]quests!$1:$1,0)-MATCH($B$1,[2]quests!$1:$1,0)+1),MATCH(D$1,[2]quests!$1:$1,0)-MATCH($B$1,[2]quests!$1:$1,0)+1,FALSE)</f>
        <v>ランキング9</v>
      </c>
      <c r="E128" s="86" t="s">
        <v>220</v>
      </c>
      <c r="F128" s="82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2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4">
        <v>0</v>
      </c>
      <c r="I128">
        <v>32</v>
      </c>
      <c r="J128" s="83" t="s">
        <v>197</v>
      </c>
      <c r="K128" s="93" t="str">
        <f>VLOOKUP(I128,[7]stage_hints!$A:$C,3,FALSE)</f>
        <v>敵の連続攻撃には</v>
      </c>
      <c r="L128" s="94" t="str">
        <f>VLOOKUP(I128,[7]stage_hints!$A:$D,4,FALSE)</f>
        <v>カウンタースキルを持つユニットがいれば_x000D_ダメージ回数分の反撃ができます</v>
      </c>
      <c r="M128" s="55" t="s">
        <v>212</v>
      </c>
    </row>
    <row r="129" spans="1:13" x14ac:dyDescent="0.15">
      <c r="A129" s="80" t="s">
        <v>200</v>
      </c>
      <c r="B129" s="81">
        <f>floors!$C$2</f>
        <v>60026</v>
      </c>
      <c r="C129" s="82" t="str">
        <f ca="1">VLOOKUP($B129,OFFSET([2]quests!$A$1,0,0,COUNTA([2]quests!$A:$A),MATCH(C$1,[2]quests!$1:$1,0)-MATCH($B$1,[2]quests!$1:$1,0)+1),MATCH(C$1,[2]quests!$1:$1,0)-MATCH($B$1,[2]quests!$1:$1,0)+1,FALSE)</f>
        <v>ハップルチャレンジ</v>
      </c>
      <c r="D129" s="82" t="str">
        <f ca="1">VLOOKUP($B129,OFFSET([2]quests!$A$1,0,0,COUNTA([2]quests!$A:$A),MATCH(D$1,[2]quests!$1:$1,0)-MATCH($B$1,[2]quests!$1:$1,0)+1),MATCH(D$1,[2]quests!$1:$1,0)-MATCH($B$1,[2]quests!$1:$1,0)+1,FALSE)</f>
        <v>ランキング9</v>
      </c>
      <c r="E129" s="86" t="s">
        <v>220</v>
      </c>
      <c r="F129" s="82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2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4">
        <v>0</v>
      </c>
      <c r="I129">
        <v>33</v>
      </c>
      <c r="J129" s="83" t="s">
        <v>197</v>
      </c>
      <c r="K129" s="93" t="str">
        <f>VLOOKUP(I129,[7]stage_hints!$A:$C,3,FALSE)</f>
        <v>敵のカウンター攻撃には</v>
      </c>
      <c r="L129" s="94" t="str">
        <f>VLOOKUP(I129,[7]stage_hints!$A:$D,4,FALSE)</f>
        <v>カウンターブレイクスキルを持っていれば_x000D_敵のカウンターを解除して攻撃ができます</v>
      </c>
      <c r="M129" s="55" t="s">
        <v>212</v>
      </c>
    </row>
    <row r="130" spans="1:13" x14ac:dyDescent="0.15">
      <c r="A130" s="80" t="s">
        <v>200</v>
      </c>
      <c r="B130" s="81">
        <f>floors!$C$2</f>
        <v>60026</v>
      </c>
      <c r="C130" s="82" t="str">
        <f ca="1">VLOOKUP($B130,OFFSET([2]quests!$A$1,0,0,COUNTA([2]quests!$A:$A),MATCH(C$1,[2]quests!$1:$1,0)-MATCH($B$1,[2]quests!$1:$1,0)+1),MATCH(C$1,[2]quests!$1:$1,0)-MATCH($B$1,[2]quests!$1:$1,0)+1,FALSE)</f>
        <v>ハップルチャレンジ</v>
      </c>
      <c r="D130" s="82" t="str">
        <f ca="1">VLOOKUP($B130,OFFSET([2]quests!$A$1,0,0,COUNTA([2]quests!$A:$A),MATCH(D$1,[2]quests!$1:$1,0)-MATCH($B$1,[2]quests!$1:$1,0)+1),MATCH(D$1,[2]quests!$1:$1,0)-MATCH($B$1,[2]quests!$1:$1,0)+1,FALSE)</f>
        <v>ランキング9</v>
      </c>
      <c r="E130" s="86" t="s">
        <v>220</v>
      </c>
      <c r="F130" s="82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2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4">
        <v>0</v>
      </c>
      <c r="I130">
        <v>34</v>
      </c>
      <c r="J130" s="83" t="s">
        <v>197</v>
      </c>
      <c r="K130" s="93" t="str">
        <f>VLOOKUP(I130,[7]stage_hints!$A:$C,3,FALSE)</f>
        <v>ステータスをスキルで下げられたら</v>
      </c>
      <c r="L130" s="94" t="str">
        <f>VLOOKUP(I130,[7]stage_hints!$A:$D,4,FALSE)</f>
        <v>ステータスダウンのスキルを受けたら_x000D_ステータスアップスキルで上書きしましょう</v>
      </c>
      <c r="M130" s="55" t="s">
        <v>212</v>
      </c>
    </row>
    <row r="131" spans="1:13" x14ac:dyDescent="0.15">
      <c r="A131" s="80" t="s">
        <v>200</v>
      </c>
      <c r="B131" s="81">
        <f>floors!$C$2</f>
        <v>60026</v>
      </c>
      <c r="C131" s="82" t="str">
        <f ca="1">VLOOKUP($B131,OFFSET([2]quests!$A$1,0,0,COUNTA([2]quests!$A:$A),MATCH(C$1,[2]quests!$1:$1,0)-MATCH($B$1,[2]quests!$1:$1,0)+1),MATCH(C$1,[2]quests!$1:$1,0)-MATCH($B$1,[2]quests!$1:$1,0)+1,FALSE)</f>
        <v>ハップルチャレンジ</v>
      </c>
      <c r="D131" s="82" t="str">
        <f ca="1">VLOOKUP($B131,OFFSET([2]quests!$A$1,0,0,COUNTA([2]quests!$A:$A),MATCH(D$1,[2]quests!$1:$1,0)-MATCH($B$1,[2]quests!$1:$1,0)+1),MATCH(D$1,[2]quests!$1:$1,0)-MATCH($B$1,[2]quests!$1:$1,0)+1,FALSE)</f>
        <v>ランキング9</v>
      </c>
      <c r="E131" s="86" t="s">
        <v>220</v>
      </c>
      <c r="F131" s="82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2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4">
        <v>0</v>
      </c>
      <c r="I131">
        <v>35</v>
      </c>
      <c r="J131" s="83" t="s">
        <v>197</v>
      </c>
      <c r="K131" s="93" t="str">
        <f>VLOOKUP(I131,[7]stage_hints!$A:$C,3,FALSE)</f>
        <v>敵のステータスがスキルで上がったら</v>
      </c>
      <c r="L131" s="94" t="str">
        <f>VLOOKUP(I131,[7]stage_hints!$A:$D,4,FALSE)</f>
        <v>敵のステータスがスキルでアップしたときは_x000D_ステータスダウンスキルで上書きしましょう</v>
      </c>
      <c r="M131" s="55" t="s">
        <v>212</v>
      </c>
    </row>
    <row r="132" spans="1:13" x14ac:dyDescent="0.15">
      <c r="A132" s="80" t="s">
        <v>200</v>
      </c>
      <c r="B132" s="81">
        <f>floors!$C$2</f>
        <v>60026</v>
      </c>
      <c r="C132" s="82" t="str">
        <f ca="1">VLOOKUP($B132,OFFSET([2]quests!$A$1,0,0,COUNTA([2]quests!$A:$A),MATCH(C$1,[2]quests!$1:$1,0)-MATCH($B$1,[2]quests!$1:$1,0)+1),MATCH(C$1,[2]quests!$1:$1,0)-MATCH($B$1,[2]quests!$1:$1,0)+1,FALSE)</f>
        <v>ハップルチャレンジ</v>
      </c>
      <c r="D132" s="82" t="str">
        <f ca="1">VLOOKUP($B132,OFFSET([2]quests!$A$1,0,0,COUNTA([2]quests!$A:$A),MATCH(D$1,[2]quests!$1:$1,0)-MATCH($B$1,[2]quests!$1:$1,0)+1),MATCH(D$1,[2]quests!$1:$1,0)-MATCH($B$1,[2]quests!$1:$1,0)+1,FALSE)</f>
        <v>ランキング9</v>
      </c>
      <c r="E132" s="86" t="s">
        <v>220</v>
      </c>
      <c r="F132" s="82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2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4">
        <v>0</v>
      </c>
      <c r="I132">
        <v>36</v>
      </c>
      <c r="J132" s="83" t="s">
        <v>197</v>
      </c>
      <c r="K132" s="93" t="str">
        <f>VLOOKUP(I132,[7]stage_hints!$A:$C,3,FALSE)</f>
        <v>タワーオブザクイーンのボス</v>
      </c>
      <c r="L132" s="94" t="str">
        <f>VLOOKUP(I132,[7]stage_hints!$A:$D,4,FALSE)</f>
        <v>「タワーオブザクイーン」最上階のボスは_x000D_15階の初回クリア報酬で獲得できるほか_x000D_その階にて低確率でドロップもします</v>
      </c>
      <c r="M132" s="55" t="s">
        <v>212</v>
      </c>
    </row>
    <row r="133" spans="1:13" x14ac:dyDescent="0.15">
      <c r="A133" s="80" t="s">
        <v>200</v>
      </c>
      <c r="B133" s="81">
        <f>floors!$C$2</f>
        <v>60026</v>
      </c>
      <c r="C133" s="82" t="str">
        <f ca="1">VLOOKUP($B133,OFFSET([2]quests!$A$1,0,0,COUNTA([2]quests!$A:$A),MATCH(C$1,[2]quests!$1:$1,0)-MATCH($B$1,[2]quests!$1:$1,0)+1),MATCH(C$1,[2]quests!$1:$1,0)-MATCH($B$1,[2]quests!$1:$1,0)+1,FALSE)</f>
        <v>ハップルチャレンジ</v>
      </c>
      <c r="D133" s="82" t="str">
        <f ca="1">VLOOKUP($B133,OFFSET([2]quests!$A$1,0,0,COUNTA([2]quests!$A:$A),MATCH(D$1,[2]quests!$1:$1,0)-MATCH($B$1,[2]quests!$1:$1,0)+1),MATCH(D$1,[2]quests!$1:$1,0)-MATCH($B$1,[2]quests!$1:$1,0)+1,FALSE)</f>
        <v>ランキング9</v>
      </c>
      <c r="E133" s="86" t="s">
        <v>220</v>
      </c>
      <c r="F133" s="82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2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4">
        <v>0</v>
      </c>
      <c r="I133">
        <v>37</v>
      </c>
      <c r="J133" s="83" t="s">
        <v>197</v>
      </c>
      <c r="K133" s="93" t="str">
        <f>VLOOKUP(I133,[7]stage_hints!$A:$C,3,FALSE)</f>
        <v>限界突破値の引き継ぎ</v>
      </c>
      <c r="L133" s="94" t="str">
        <f>VLOOKUP(I133,[7]stage_hints!$A:$D,4,FALSE)</f>
        <v>同じユニットを強化で合成すると_x000D_限界突破値を引き継げます（覚醒前後も可）</v>
      </c>
      <c r="M133" s="55" t="s">
        <v>212</v>
      </c>
    </row>
    <row r="134" spans="1:13" x14ac:dyDescent="0.15">
      <c r="A134" s="80" t="s">
        <v>200</v>
      </c>
      <c r="B134" s="81">
        <f>floors!$C$2</f>
        <v>60026</v>
      </c>
      <c r="C134" s="82" t="str">
        <f ca="1">VLOOKUP($B134,OFFSET([2]quests!$A$1,0,0,COUNTA([2]quests!$A:$A),MATCH(C$1,[2]quests!$1:$1,0)-MATCH($B$1,[2]quests!$1:$1,0)+1),MATCH(C$1,[2]quests!$1:$1,0)-MATCH($B$1,[2]quests!$1:$1,0)+1,FALSE)</f>
        <v>ハップルチャレンジ</v>
      </c>
      <c r="D134" s="82" t="str">
        <f ca="1">VLOOKUP($B134,OFFSET([2]quests!$A$1,0,0,COUNTA([2]quests!$A:$A),MATCH(D$1,[2]quests!$1:$1,0)-MATCH($B$1,[2]quests!$1:$1,0)+1),MATCH(D$1,[2]quests!$1:$1,0)-MATCH($B$1,[2]quests!$1:$1,0)+1,FALSE)</f>
        <v>ランキング9</v>
      </c>
      <c r="E134" s="86" t="s">
        <v>220</v>
      </c>
      <c r="F134" s="82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2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4">
        <v>0</v>
      </c>
      <c r="I134">
        <v>39</v>
      </c>
      <c r="J134" s="83" t="s">
        <v>197</v>
      </c>
      <c r="K134" s="93" t="str">
        <f>VLOOKUP(I134,[7]stage_hints!$A:$C,3,FALSE)</f>
        <v>システム適合者を確認</v>
      </c>
      <c r="L134" s="94" t="str">
        <f>VLOOKUP(I134,[7]stage_hints!$A:$D,4,FALSE)</f>
        <v>ALICEが 「アナタ」を呼んでいます</v>
      </c>
      <c r="M134" s="55" t="s">
        <v>212</v>
      </c>
    </row>
  </sheetData>
  <phoneticPr fontId="8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N2" sqref="A1:N2"/>
    </sheetView>
  </sheetViews>
  <sheetFormatPr baseColWidth="12" defaultColWidth="13" defaultRowHeight="15" outlineLevelCol="1" x14ac:dyDescent="0.15"/>
  <cols>
    <col min="1" max="1" width="13" style="88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187</v>
      </c>
      <c r="B1" s="71" t="s">
        <v>148</v>
      </c>
      <c r="C1" s="76" t="s">
        <v>189</v>
      </c>
      <c r="D1" s="76" t="s">
        <v>33</v>
      </c>
      <c r="E1" s="71" t="s">
        <v>190</v>
      </c>
      <c r="F1" s="76" t="s">
        <v>18</v>
      </c>
      <c r="G1" s="76" t="s">
        <v>33</v>
      </c>
      <c r="H1" s="71" t="s">
        <v>192</v>
      </c>
      <c r="I1" s="89" t="s">
        <v>193</v>
      </c>
      <c r="J1" s="91" t="s">
        <v>194</v>
      </c>
      <c r="K1" s="78" t="s">
        <v>125</v>
      </c>
      <c r="L1" s="77" t="s">
        <v>185</v>
      </c>
      <c r="M1" s="92" t="s">
        <v>184</v>
      </c>
      <c r="N1" s="79" t="s">
        <v>195</v>
      </c>
    </row>
    <row r="2" spans="1:14" x14ac:dyDescent="0.15">
      <c r="A2" s="80" t="s">
        <v>196</v>
      </c>
      <c r="B2" s="81">
        <f>floors!$C$2</f>
        <v>60026</v>
      </c>
      <c r="C2" s="82" t="str">
        <f ca="1">VLOOKUP($B2,OFFSET([2]quests!$A$1,0,0,COUNTA([2]quests!$A:$A),MATCH(C$1,[2]quests!$1:$1,0)-MATCH($B$1,[2]quests!$1:$1,0)+1),MATCH(C$1,[2]quests!$1:$1,0)-MATCH($B$1,[2]quests!$1:$1,0)+1,FALSE)</f>
        <v>ハップルチャレンジ</v>
      </c>
      <c r="D2" s="82" t="str">
        <f ca="1">VLOOKUP($B2,OFFSET([2]quests!$A$1,0,0,COUNTA([2]quests!$A:$A),MATCH(D$1,[2]quests!$1:$1,0)-MATCH($B$1,[2]quests!$1:$1,0)+1),MATCH(D$1,[2]quests!$1:$1,0)-MATCH($B$1,[2]quests!$1:$1,0)+1,FALSE)</f>
        <v>ランキング9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ハップルチャレンジ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ランキング9</v>
      </c>
      <c r="H2" s="84">
        <v>0</v>
      </c>
      <c r="I2" s="90">
        <f>ROW()-1</f>
        <v>1</v>
      </c>
      <c r="J2" s="85" t="str">
        <f>B2&amp;TEXT(I2,"00")</f>
        <v>6002601</v>
      </c>
      <c r="K2" s="83" t="s">
        <v>197</v>
      </c>
      <c r="L2" s="86" t="s">
        <v>198</v>
      </c>
      <c r="M2" s="87" t="s">
        <v>201</v>
      </c>
      <c r="N2" s="55" t="s">
        <v>199</v>
      </c>
    </row>
  </sheetData>
  <phoneticPr fontId="8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floors</vt:lpstr>
      <vt:lpstr>ranking_stages</vt:lpstr>
      <vt:lpstr>clear_turn</vt:lpstr>
      <vt:lpstr>damege_give</vt:lpstr>
      <vt:lpstr>damage_receive</vt:lpstr>
      <vt:lpstr>ranking_eval</vt:lpstr>
      <vt:lpstr>ranking_eval_gift</vt:lpstr>
      <vt:lpstr>ranking_ACH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2017-03-01T05:44:55Z</dcterms:modified>
</cp:coreProperties>
</file>