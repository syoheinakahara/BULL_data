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o_takigawa/BULL_data/master_excel/"/>
    </mc:Choice>
  </mc:AlternateContent>
  <bookViews>
    <workbookView xWindow="3640" yWindow="460" windowWidth="21960" windowHeight="14640" tabRatio="963" activeTab="1"/>
  </bookViews>
  <sheets>
    <sheet name="output" sheetId="49" r:id="rId1"/>
    <sheet name="unit_serifs" sheetId="50" r:id="rId2"/>
    <sheet name="unit_serifs_i18n" sheetId="51" r:id="rId3"/>
    <sheet name="tmp" sheetId="52" r:id="rId4"/>
  </sheets>
  <externalReferences>
    <externalReference r:id="rId5"/>
  </externalReferences>
  <definedNames>
    <definedName name="_xlnm._FilterDatabase" localSheetId="1" hidden="1">unit_serifs!$A$1:$T$1</definedName>
    <definedName name="base_character_id">#REF!</definedName>
    <definedName name="character_id">#REF!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9" i="50" l="1"/>
  <c r="D712" i="50"/>
  <c r="F712" i="50"/>
  <c r="E712" i="50"/>
  <c r="B712" i="50"/>
  <c r="D711" i="50"/>
  <c r="F711" i="50"/>
  <c r="E711" i="50"/>
  <c r="B711" i="50"/>
  <c r="D710" i="50"/>
  <c r="F710" i="50"/>
  <c r="E710" i="50"/>
  <c r="B710" i="50"/>
  <c r="F709" i="50"/>
  <c r="E709" i="50"/>
  <c r="B709" i="50"/>
  <c r="D708" i="50"/>
  <c r="F708" i="50"/>
  <c r="E708" i="50"/>
  <c r="B708" i="50"/>
  <c r="D28" i="50"/>
  <c r="D31" i="50"/>
  <c r="F31" i="50"/>
  <c r="E31" i="50"/>
  <c r="B31" i="50"/>
  <c r="D30" i="50"/>
  <c r="F30" i="50"/>
  <c r="E30" i="50"/>
  <c r="B30" i="50"/>
  <c r="D29" i="50"/>
  <c r="F29" i="50"/>
  <c r="E29" i="50"/>
  <c r="B29" i="50"/>
  <c r="F28" i="50"/>
  <c r="E28" i="50"/>
  <c r="B28" i="50"/>
  <c r="D27" i="50"/>
  <c r="F27" i="50"/>
  <c r="E27" i="50"/>
  <c r="B27" i="50"/>
  <c r="D22" i="50"/>
  <c r="E22" i="50"/>
  <c r="D23" i="50"/>
  <c r="D26" i="50"/>
  <c r="F26" i="50"/>
  <c r="E26" i="50"/>
  <c r="B26" i="50"/>
  <c r="D25" i="50"/>
  <c r="F25" i="50"/>
  <c r="E25" i="50"/>
  <c r="B25" i="50"/>
  <c r="D24" i="50"/>
  <c r="F24" i="50"/>
  <c r="E24" i="50"/>
  <c r="B24" i="50"/>
  <c r="F23" i="50"/>
  <c r="E23" i="50"/>
  <c r="B23" i="50"/>
  <c r="F22" i="50"/>
  <c r="B22" i="50"/>
  <c r="C247" i="51"/>
  <c r="B247" i="51"/>
  <c r="C248" i="51"/>
  <c r="B248" i="51"/>
  <c r="C15" i="51"/>
  <c r="B15" i="51"/>
  <c r="C14" i="51"/>
  <c r="B14" i="51"/>
  <c r="C11" i="51"/>
  <c r="B11" i="51"/>
  <c r="C10" i="51"/>
  <c r="B10" i="51"/>
  <c r="C246" i="51"/>
  <c r="B246" i="51"/>
  <c r="C245" i="51"/>
  <c r="B245" i="51"/>
  <c r="C13" i="51"/>
  <c r="B13" i="51"/>
  <c r="C12" i="51"/>
  <c r="B12" i="51"/>
  <c r="C17" i="51"/>
  <c r="B17" i="51"/>
  <c r="C16" i="51"/>
  <c r="B16" i="51"/>
  <c r="D1354" i="50"/>
  <c r="D1359" i="50"/>
  <c r="C3" i="51"/>
  <c r="C4" i="51"/>
  <c r="C5" i="51"/>
  <c r="C6" i="51"/>
  <c r="C7" i="51"/>
  <c r="C8" i="51"/>
  <c r="C9" i="51"/>
  <c r="C18" i="51"/>
  <c r="C19" i="51"/>
  <c r="C20" i="51"/>
  <c r="C21" i="51"/>
  <c r="C22" i="51"/>
  <c r="C23" i="51"/>
  <c r="C24" i="51"/>
  <c r="C25" i="51"/>
  <c r="C26" i="51"/>
  <c r="C27" i="51"/>
  <c r="C28" i="51"/>
  <c r="C29" i="51"/>
  <c r="C30" i="51"/>
  <c r="C31" i="51"/>
  <c r="C32" i="51"/>
  <c r="C33" i="51"/>
  <c r="C34" i="51"/>
  <c r="C35" i="51"/>
  <c r="C36" i="51"/>
  <c r="C37" i="51"/>
  <c r="C38" i="51"/>
  <c r="C39" i="51"/>
  <c r="C40" i="51"/>
  <c r="C41" i="51"/>
  <c r="C42" i="51"/>
  <c r="C43" i="51"/>
  <c r="C44" i="51"/>
  <c r="C45" i="51"/>
  <c r="C46" i="51"/>
  <c r="C47" i="51"/>
  <c r="C48" i="51"/>
  <c r="C49" i="51"/>
  <c r="C50" i="51"/>
  <c r="C51" i="51"/>
  <c r="C52" i="51"/>
  <c r="C53" i="51"/>
  <c r="C54" i="51"/>
  <c r="C55" i="51"/>
  <c r="C56" i="51"/>
  <c r="C57" i="51"/>
  <c r="C58" i="51"/>
  <c r="C59" i="51"/>
  <c r="C60" i="51"/>
  <c r="C61" i="51"/>
  <c r="C62" i="51"/>
  <c r="C63" i="51"/>
  <c r="C64" i="51"/>
  <c r="C65" i="51"/>
  <c r="C66" i="51"/>
  <c r="C67" i="51"/>
  <c r="C68" i="51"/>
  <c r="C69" i="51"/>
  <c r="C70" i="51"/>
  <c r="C71" i="51"/>
  <c r="C72" i="51"/>
  <c r="C73" i="51"/>
  <c r="C74" i="51"/>
  <c r="C75" i="51"/>
  <c r="C76" i="51"/>
  <c r="C77" i="51"/>
  <c r="C78" i="51"/>
  <c r="C79" i="51"/>
  <c r="C80" i="51"/>
  <c r="C81" i="51"/>
  <c r="C82" i="51"/>
  <c r="C83" i="51"/>
  <c r="C84" i="51"/>
  <c r="C85" i="51"/>
  <c r="C86" i="51"/>
  <c r="C87" i="51"/>
  <c r="C88" i="51"/>
  <c r="C89" i="51"/>
  <c r="C90" i="51"/>
  <c r="C91" i="51"/>
  <c r="C92" i="51"/>
  <c r="C93" i="51"/>
  <c r="C94" i="51"/>
  <c r="C95" i="51"/>
  <c r="C96" i="51"/>
  <c r="C97" i="51"/>
  <c r="C98" i="51"/>
  <c r="C99" i="51"/>
  <c r="C100" i="51"/>
  <c r="C101" i="51"/>
  <c r="C102" i="51"/>
  <c r="C103" i="51"/>
  <c r="C104" i="51"/>
  <c r="C105" i="51"/>
  <c r="C106" i="51"/>
  <c r="C107" i="51"/>
  <c r="C108" i="51"/>
  <c r="C109" i="51"/>
  <c r="C110" i="51"/>
  <c r="C111" i="51"/>
  <c r="C112" i="51"/>
  <c r="C113" i="51"/>
  <c r="C114" i="51"/>
  <c r="C115" i="51"/>
  <c r="C116" i="51"/>
  <c r="C117" i="51"/>
  <c r="C118" i="51"/>
  <c r="C119" i="51"/>
  <c r="C120" i="51"/>
  <c r="C121" i="51"/>
  <c r="C122" i="51"/>
  <c r="C123" i="51"/>
  <c r="C124" i="51"/>
  <c r="C125" i="51"/>
  <c r="C126" i="51"/>
  <c r="C127" i="51"/>
  <c r="C128" i="51"/>
  <c r="C129" i="51"/>
  <c r="C130" i="51"/>
  <c r="C131" i="51"/>
  <c r="C132" i="51"/>
  <c r="C133" i="51"/>
  <c r="C134" i="51"/>
  <c r="C135" i="51"/>
  <c r="C136" i="51"/>
  <c r="C137" i="51"/>
  <c r="C138" i="51"/>
  <c r="C139" i="51"/>
  <c r="C140" i="51"/>
  <c r="C141" i="51"/>
  <c r="C142" i="51"/>
  <c r="C143" i="51"/>
  <c r="C144" i="51"/>
  <c r="C145" i="51"/>
  <c r="C146" i="51"/>
  <c r="C147" i="51"/>
  <c r="C148" i="51"/>
  <c r="C149" i="51"/>
  <c r="C150" i="51"/>
  <c r="C151" i="51"/>
  <c r="C152" i="51"/>
  <c r="C153" i="51"/>
  <c r="C154" i="51"/>
  <c r="C155" i="51"/>
  <c r="C156" i="51"/>
  <c r="C157" i="51"/>
  <c r="C158" i="51"/>
  <c r="C159" i="51"/>
  <c r="C160" i="51"/>
  <c r="C161" i="51"/>
  <c r="C162" i="51"/>
  <c r="C163" i="51"/>
  <c r="C164" i="51"/>
  <c r="C165" i="51"/>
  <c r="C166" i="51"/>
  <c r="C167" i="51"/>
  <c r="C168" i="51"/>
  <c r="C169" i="51"/>
  <c r="C170" i="51"/>
  <c r="C171" i="51"/>
  <c r="C172" i="51"/>
  <c r="C173" i="51"/>
  <c r="C174" i="51"/>
  <c r="C175" i="51"/>
  <c r="C176" i="51"/>
  <c r="C177" i="51"/>
  <c r="C178" i="51"/>
  <c r="C179" i="51"/>
  <c r="C180" i="51"/>
  <c r="C181" i="51"/>
  <c r="C182" i="51"/>
  <c r="C183" i="51"/>
  <c r="C184" i="51"/>
  <c r="C185" i="51"/>
  <c r="C186" i="51"/>
  <c r="C187" i="51"/>
  <c r="C188" i="51"/>
  <c r="C189" i="51"/>
  <c r="C190" i="51"/>
  <c r="C191" i="51"/>
  <c r="C192" i="51"/>
  <c r="C193" i="51"/>
  <c r="C194" i="51"/>
  <c r="C195" i="51"/>
  <c r="C196" i="51"/>
  <c r="C197" i="51"/>
  <c r="C198" i="51"/>
  <c r="C199" i="51"/>
  <c r="C200" i="51"/>
  <c r="C201" i="51"/>
  <c r="C202" i="51"/>
  <c r="C203" i="51"/>
  <c r="C204" i="51"/>
  <c r="C205" i="51"/>
  <c r="C206" i="51"/>
  <c r="C207" i="51"/>
  <c r="C208" i="51"/>
  <c r="C209" i="51"/>
  <c r="C210" i="51"/>
  <c r="C211" i="51"/>
  <c r="C212" i="51"/>
  <c r="C213" i="51"/>
  <c r="C214" i="51"/>
  <c r="C215" i="51"/>
  <c r="C216" i="51"/>
  <c r="C217" i="51"/>
  <c r="C218" i="51"/>
  <c r="C219" i="51"/>
  <c r="C220" i="51"/>
  <c r="C221" i="51"/>
  <c r="C222" i="51"/>
  <c r="C223" i="51"/>
  <c r="C224" i="51"/>
  <c r="C225" i="51"/>
  <c r="C226" i="51"/>
  <c r="C227" i="51"/>
  <c r="C228" i="51"/>
  <c r="C229" i="51"/>
  <c r="C230" i="51"/>
  <c r="C231" i="51"/>
  <c r="C232" i="51"/>
  <c r="C233" i="51"/>
  <c r="C234" i="51"/>
  <c r="C235" i="51"/>
  <c r="C236" i="51"/>
  <c r="C237" i="51"/>
  <c r="C238" i="51"/>
  <c r="C239" i="51"/>
  <c r="C240" i="51"/>
  <c r="C241" i="51"/>
  <c r="C242" i="51"/>
  <c r="C243" i="51"/>
  <c r="C244" i="51"/>
  <c r="C249" i="51"/>
  <c r="C250" i="51"/>
  <c r="C251" i="51"/>
  <c r="C252" i="51"/>
  <c r="C253" i="51"/>
  <c r="C254" i="51"/>
  <c r="C255" i="51"/>
  <c r="C256" i="51"/>
  <c r="C257" i="51"/>
  <c r="C258" i="51"/>
  <c r="C259" i="51"/>
  <c r="C260" i="51"/>
  <c r="C261" i="51"/>
  <c r="C262" i="51"/>
  <c r="C263" i="51"/>
  <c r="C264" i="51"/>
  <c r="C265" i="51"/>
  <c r="C266" i="51"/>
  <c r="C267" i="51"/>
  <c r="C268" i="51"/>
  <c r="C269" i="51"/>
  <c r="C270" i="51"/>
  <c r="C271" i="51"/>
  <c r="C272" i="51"/>
  <c r="C273" i="51"/>
  <c r="C274" i="51"/>
  <c r="C275" i="51"/>
  <c r="C276" i="51"/>
  <c r="C277" i="51"/>
  <c r="C278" i="51"/>
  <c r="C279" i="51"/>
  <c r="C280" i="51"/>
  <c r="C281" i="51"/>
  <c r="C282" i="51"/>
  <c r="C283" i="51"/>
  <c r="C284" i="51"/>
  <c r="C285" i="51"/>
  <c r="C286" i="51"/>
  <c r="C287" i="51"/>
  <c r="C288" i="51"/>
  <c r="C289" i="51"/>
  <c r="C290" i="51"/>
  <c r="C291" i="51"/>
  <c r="C292" i="51"/>
  <c r="C293" i="51"/>
  <c r="C294" i="51"/>
  <c r="C295" i="51"/>
  <c r="C296" i="51"/>
  <c r="C297" i="51"/>
  <c r="C298" i="51"/>
  <c r="C299" i="51"/>
  <c r="C300" i="51"/>
  <c r="C301" i="51"/>
  <c r="C302" i="51"/>
  <c r="C303" i="51"/>
  <c r="C304" i="51"/>
  <c r="C305" i="51"/>
  <c r="C306" i="51"/>
  <c r="C307" i="51"/>
  <c r="C308" i="51"/>
  <c r="C309" i="51"/>
  <c r="C310" i="51"/>
  <c r="C311" i="51"/>
  <c r="C312" i="51"/>
  <c r="C313" i="51"/>
  <c r="C314" i="51"/>
  <c r="C315" i="51"/>
  <c r="C316" i="51"/>
  <c r="C317" i="51"/>
  <c r="C318" i="51"/>
  <c r="C319" i="51"/>
  <c r="C320" i="51"/>
  <c r="C321" i="51"/>
  <c r="C322" i="51"/>
  <c r="C323" i="51"/>
  <c r="C324" i="51"/>
  <c r="C325" i="51"/>
  <c r="C326" i="51"/>
  <c r="C327" i="51"/>
  <c r="C328" i="51"/>
  <c r="C329" i="51"/>
  <c r="C330" i="51"/>
  <c r="C331" i="51"/>
  <c r="C332" i="51"/>
  <c r="C333" i="51"/>
  <c r="C334" i="51"/>
  <c r="C335" i="51"/>
  <c r="C336" i="51"/>
  <c r="C337" i="51"/>
  <c r="C338" i="51"/>
  <c r="C339" i="51"/>
  <c r="C340" i="51"/>
  <c r="C341" i="51"/>
  <c r="C342" i="51"/>
  <c r="C343" i="51"/>
  <c r="C344" i="51"/>
  <c r="C345" i="51"/>
  <c r="C346" i="51"/>
  <c r="C347" i="51"/>
  <c r="C348" i="51"/>
  <c r="C349" i="51"/>
  <c r="C350" i="51"/>
  <c r="C351" i="51"/>
  <c r="C352" i="51"/>
  <c r="C353" i="51"/>
  <c r="C354" i="51"/>
  <c r="C355" i="51"/>
  <c r="C356" i="51"/>
  <c r="C357" i="51"/>
  <c r="C358" i="51"/>
  <c r="C359" i="51"/>
  <c r="C360" i="51"/>
  <c r="C361" i="51"/>
  <c r="C362" i="51"/>
  <c r="C363" i="51"/>
  <c r="C364" i="51"/>
  <c r="C365" i="51"/>
  <c r="C366" i="51"/>
  <c r="C367" i="51"/>
  <c r="C368" i="51"/>
  <c r="C369" i="51"/>
  <c r="C370" i="51"/>
  <c r="C371" i="51"/>
  <c r="C372" i="51"/>
  <c r="C373" i="51"/>
  <c r="C374" i="51"/>
  <c r="C375" i="51"/>
  <c r="C376" i="51"/>
  <c r="C377" i="51"/>
  <c r="C378" i="51"/>
  <c r="C379" i="51"/>
  <c r="C380" i="51"/>
  <c r="C381" i="51"/>
  <c r="C382" i="51"/>
  <c r="C383" i="51"/>
  <c r="C384" i="51"/>
  <c r="C385" i="51"/>
  <c r="C386" i="51"/>
  <c r="C387" i="51"/>
  <c r="C388" i="51"/>
  <c r="C389" i="51"/>
  <c r="C390" i="51"/>
  <c r="C391" i="51"/>
  <c r="C392" i="51"/>
  <c r="C393" i="51"/>
  <c r="C394" i="51"/>
  <c r="C395" i="51"/>
  <c r="C396" i="51"/>
  <c r="C397" i="51"/>
  <c r="C398" i="51"/>
  <c r="C399" i="51"/>
  <c r="C400" i="51"/>
  <c r="C401" i="51"/>
  <c r="C402" i="51"/>
  <c r="C403" i="51"/>
  <c r="C404" i="51"/>
  <c r="C405" i="51"/>
  <c r="C406" i="51"/>
  <c r="C407" i="51"/>
  <c r="C408" i="51"/>
  <c r="C409" i="51"/>
  <c r="C410" i="51"/>
  <c r="C411" i="51"/>
  <c r="C412" i="51"/>
  <c r="C413" i="51"/>
  <c r="C414" i="51"/>
  <c r="C415" i="51"/>
  <c r="C416" i="51"/>
  <c r="C417" i="51"/>
  <c r="C418" i="51"/>
  <c r="C419" i="51"/>
  <c r="C420" i="51"/>
  <c r="C421" i="51"/>
  <c r="C422" i="51"/>
  <c r="C423" i="51"/>
  <c r="C424" i="51"/>
  <c r="C425" i="51"/>
  <c r="C426" i="51"/>
  <c r="C427" i="51"/>
  <c r="C428" i="51"/>
  <c r="C429" i="51"/>
  <c r="C430" i="51"/>
  <c r="C431" i="51"/>
  <c r="C432" i="51"/>
  <c r="C433" i="51"/>
  <c r="C434" i="51"/>
  <c r="C435" i="51"/>
  <c r="C436" i="51"/>
  <c r="C437" i="51"/>
  <c r="C438" i="51"/>
  <c r="C439" i="51"/>
  <c r="C440" i="51"/>
  <c r="C441" i="51"/>
  <c r="C442" i="51"/>
  <c r="C443" i="51"/>
  <c r="C444" i="51"/>
  <c r="C445" i="51"/>
  <c r="C446" i="51"/>
  <c r="C447" i="51"/>
  <c r="C448" i="51"/>
  <c r="C449" i="51"/>
  <c r="C450" i="51"/>
  <c r="C451" i="51"/>
  <c r="C452" i="51"/>
  <c r="C453" i="51"/>
  <c r="C454" i="51"/>
  <c r="C455" i="51"/>
  <c r="C456" i="51"/>
  <c r="C457" i="51"/>
  <c r="C458" i="51"/>
  <c r="C459" i="51"/>
  <c r="C460" i="51"/>
  <c r="C461" i="51"/>
  <c r="C462" i="51"/>
  <c r="C463" i="51"/>
  <c r="C464" i="51"/>
  <c r="C465" i="51"/>
  <c r="C466" i="51"/>
  <c r="C467" i="51"/>
  <c r="C468" i="51"/>
  <c r="C469" i="51"/>
  <c r="C470" i="51"/>
  <c r="C471" i="51"/>
  <c r="C472" i="51"/>
  <c r="C473" i="51"/>
  <c r="C474" i="51"/>
  <c r="C475" i="51"/>
  <c r="C476" i="51"/>
  <c r="C477" i="51"/>
  <c r="C478" i="51"/>
  <c r="C479" i="51"/>
  <c r="C480" i="51"/>
  <c r="C481" i="51"/>
  <c r="C482" i="51"/>
  <c r="C483" i="51"/>
  <c r="C484" i="51"/>
  <c r="C485" i="51"/>
  <c r="C486" i="51"/>
  <c r="C487" i="51"/>
  <c r="C488" i="51"/>
  <c r="C489" i="51"/>
  <c r="C490" i="51"/>
  <c r="C491" i="51"/>
  <c r="C492" i="51"/>
  <c r="C493" i="51"/>
  <c r="C494" i="51"/>
  <c r="C495" i="51"/>
  <c r="C496" i="51"/>
  <c r="C497" i="51"/>
  <c r="C498" i="51"/>
  <c r="C499" i="51"/>
  <c r="C500" i="51"/>
  <c r="C501" i="51"/>
  <c r="C502" i="51"/>
  <c r="C503" i="51"/>
  <c r="C504" i="51"/>
  <c r="C505" i="51"/>
  <c r="C506" i="51"/>
  <c r="C507" i="51"/>
  <c r="C508" i="51"/>
  <c r="C509" i="51"/>
  <c r="C510" i="51"/>
  <c r="C511" i="51"/>
  <c r="C512" i="51"/>
  <c r="C513" i="51"/>
  <c r="C514" i="51"/>
  <c r="C515" i="51"/>
  <c r="C516" i="51"/>
  <c r="C517" i="51"/>
  <c r="C518" i="51"/>
  <c r="C519" i="51"/>
  <c r="C520" i="51"/>
  <c r="C521" i="51"/>
  <c r="C522" i="51"/>
  <c r="C523" i="51"/>
  <c r="C524" i="51"/>
  <c r="C525" i="51"/>
  <c r="C526" i="51"/>
  <c r="C527" i="51"/>
  <c r="C528" i="51"/>
  <c r="C529" i="51"/>
  <c r="C530" i="51"/>
  <c r="C531" i="51"/>
  <c r="C532" i="51"/>
  <c r="C533" i="51"/>
  <c r="C534" i="51"/>
  <c r="C535" i="51"/>
  <c r="C536" i="51"/>
  <c r="C537" i="51"/>
  <c r="C538" i="51"/>
  <c r="C539" i="51"/>
  <c r="C540" i="51"/>
  <c r="C541" i="51"/>
  <c r="C542" i="51"/>
  <c r="C543" i="51"/>
  <c r="C544" i="51"/>
  <c r="C545" i="51"/>
  <c r="C546" i="51"/>
  <c r="C547" i="51"/>
  <c r="C548" i="51"/>
  <c r="C549" i="51"/>
  <c r="C550" i="51"/>
  <c r="C551" i="51"/>
  <c r="C552" i="51"/>
  <c r="C553" i="51"/>
  <c r="C554" i="51"/>
  <c r="C555" i="51"/>
  <c r="C556" i="51"/>
  <c r="C557" i="51"/>
  <c r="C558" i="51"/>
  <c r="C559" i="51"/>
  <c r="C560" i="51"/>
  <c r="C561" i="51"/>
  <c r="C562" i="51"/>
  <c r="C563" i="51"/>
  <c r="C564" i="51"/>
  <c r="C565" i="51"/>
  <c r="C566" i="51"/>
  <c r="C567" i="51"/>
  <c r="C568" i="51"/>
  <c r="C569" i="51"/>
  <c r="C570" i="51"/>
  <c r="C571" i="51"/>
  <c r="C572" i="51"/>
  <c r="C573" i="51"/>
  <c r="C574" i="51"/>
  <c r="C575" i="51"/>
  <c r="C576" i="51"/>
  <c r="C577" i="51"/>
  <c r="C578" i="51"/>
  <c r="C579" i="51"/>
  <c r="C580" i="51"/>
  <c r="C581" i="51"/>
  <c r="C582" i="51"/>
  <c r="C583" i="51"/>
  <c r="C584" i="51"/>
  <c r="C585" i="51"/>
  <c r="C586" i="51"/>
  <c r="C587" i="51"/>
  <c r="C588" i="51"/>
  <c r="C589" i="51"/>
  <c r="C590" i="51"/>
  <c r="C591" i="51"/>
  <c r="C592" i="51"/>
  <c r="C593" i="51"/>
  <c r="C594" i="51"/>
  <c r="C595" i="51"/>
  <c r="C596" i="51"/>
  <c r="C597" i="51"/>
  <c r="C598" i="51"/>
  <c r="C599" i="51"/>
  <c r="C600" i="51"/>
  <c r="C601" i="51"/>
  <c r="C602" i="51"/>
  <c r="C603" i="51"/>
  <c r="C604" i="51"/>
  <c r="C605" i="51"/>
  <c r="C606" i="51"/>
  <c r="C607" i="51"/>
  <c r="C608" i="51"/>
  <c r="C609" i="51"/>
  <c r="C610" i="51"/>
  <c r="C611" i="51"/>
  <c r="C612" i="51"/>
  <c r="C613" i="51"/>
  <c r="C614" i="51"/>
  <c r="C615" i="51"/>
  <c r="C616" i="51"/>
  <c r="C617" i="51"/>
  <c r="C618" i="51"/>
  <c r="C619" i="51"/>
  <c r="C620" i="51"/>
  <c r="C621" i="51"/>
  <c r="C622" i="51"/>
  <c r="C623" i="51"/>
  <c r="C624" i="51"/>
  <c r="C625" i="51"/>
  <c r="C626" i="51"/>
  <c r="C627" i="51"/>
  <c r="C628" i="51"/>
  <c r="C629" i="51"/>
  <c r="C630" i="51"/>
  <c r="C631" i="51"/>
  <c r="C632" i="51"/>
  <c r="C633" i="51"/>
  <c r="C634" i="51"/>
  <c r="C635" i="51"/>
  <c r="C636" i="51"/>
  <c r="C637" i="51"/>
  <c r="C638" i="51"/>
  <c r="C639" i="51"/>
  <c r="C640" i="51"/>
  <c r="C641" i="51"/>
  <c r="C642" i="51"/>
  <c r="C643" i="51"/>
  <c r="C644" i="51"/>
  <c r="C645" i="51"/>
  <c r="C646" i="51"/>
  <c r="C647" i="51"/>
  <c r="C648" i="51"/>
  <c r="C649" i="51"/>
  <c r="C650" i="51"/>
  <c r="C651" i="51"/>
  <c r="C652" i="51"/>
  <c r="C653" i="51"/>
  <c r="C654" i="51"/>
  <c r="C655" i="51"/>
  <c r="C656" i="51"/>
  <c r="C657" i="51"/>
  <c r="C658" i="51"/>
  <c r="C659" i="51"/>
  <c r="C660" i="51"/>
  <c r="C661" i="51"/>
  <c r="C662" i="51"/>
  <c r="C663" i="51"/>
  <c r="C664" i="51"/>
  <c r="C665" i="51"/>
  <c r="C666" i="51"/>
  <c r="C667" i="51"/>
  <c r="C668" i="51"/>
  <c r="C669" i="51"/>
  <c r="C670" i="51"/>
  <c r="C671" i="51"/>
  <c r="C672" i="51"/>
  <c r="C673" i="51"/>
  <c r="C674" i="51"/>
  <c r="C675" i="51"/>
  <c r="C676" i="51"/>
  <c r="C677" i="51"/>
  <c r="C678" i="51"/>
  <c r="C679" i="51"/>
  <c r="C680" i="51"/>
  <c r="C681" i="51"/>
  <c r="C682" i="51"/>
  <c r="C683" i="51"/>
  <c r="C684" i="51"/>
  <c r="C685" i="51"/>
  <c r="C686" i="51"/>
  <c r="C687" i="51"/>
  <c r="C688" i="51"/>
  <c r="C689" i="51"/>
  <c r="C690" i="51"/>
  <c r="C691" i="51"/>
  <c r="C692" i="51"/>
  <c r="C693" i="51"/>
  <c r="C694" i="51"/>
  <c r="C695" i="51"/>
  <c r="C696" i="51"/>
  <c r="C697" i="51"/>
  <c r="C698" i="51"/>
  <c r="C699" i="51"/>
  <c r="C700" i="51"/>
  <c r="C701" i="51"/>
  <c r="C702" i="51"/>
  <c r="C703" i="51"/>
  <c r="C704" i="51"/>
  <c r="C705" i="51"/>
  <c r="C706" i="51"/>
  <c r="C707" i="51"/>
  <c r="C708" i="51"/>
  <c r="C709" i="51"/>
  <c r="C710" i="51"/>
  <c r="C711" i="51"/>
  <c r="C712" i="51"/>
  <c r="C713" i="51"/>
  <c r="C714" i="51"/>
  <c r="C715" i="51"/>
  <c r="C716" i="51"/>
  <c r="C717" i="51"/>
  <c r="C718" i="51"/>
  <c r="C719" i="51"/>
  <c r="C720" i="51"/>
  <c r="C721" i="51"/>
  <c r="C722" i="51"/>
  <c r="C723" i="51"/>
  <c r="C724" i="51"/>
  <c r="C725" i="51"/>
  <c r="C726" i="51"/>
  <c r="C727" i="51"/>
  <c r="C728" i="51"/>
  <c r="C729" i="51"/>
  <c r="C730" i="51"/>
  <c r="C731" i="51"/>
  <c r="C732" i="51"/>
  <c r="C733" i="51"/>
  <c r="C734" i="51"/>
  <c r="C735" i="51"/>
  <c r="C736" i="51"/>
  <c r="C737" i="51"/>
  <c r="C738" i="51"/>
  <c r="C739" i="51"/>
  <c r="C740" i="51"/>
  <c r="C741" i="51"/>
  <c r="C742" i="51"/>
  <c r="C743" i="51"/>
  <c r="C744" i="51"/>
  <c r="C745" i="51"/>
  <c r="C746" i="51"/>
  <c r="C747" i="51"/>
  <c r="C748" i="51"/>
  <c r="C749" i="51"/>
  <c r="C750" i="51"/>
  <c r="C751" i="51"/>
  <c r="C752" i="51"/>
  <c r="C753" i="51"/>
  <c r="C754" i="51"/>
  <c r="C755" i="51"/>
  <c r="C756" i="51"/>
  <c r="C757" i="51"/>
  <c r="C758" i="51"/>
  <c r="C759" i="51"/>
  <c r="C760" i="51"/>
  <c r="C761" i="51"/>
  <c r="C762" i="51"/>
  <c r="C763" i="51"/>
  <c r="C764" i="51"/>
  <c r="C765" i="51"/>
  <c r="C766" i="51"/>
  <c r="C767" i="51"/>
  <c r="C768" i="51"/>
  <c r="C769" i="51"/>
  <c r="C770" i="51"/>
  <c r="C771" i="51"/>
  <c r="C772" i="51"/>
  <c r="C773" i="51"/>
  <c r="C774" i="51"/>
  <c r="C775" i="51"/>
  <c r="C776" i="51"/>
  <c r="C777" i="51"/>
  <c r="C778" i="51"/>
  <c r="C779" i="51"/>
  <c r="C780" i="51"/>
  <c r="C781" i="51"/>
  <c r="C782" i="51"/>
  <c r="C783" i="51"/>
  <c r="C784" i="51"/>
  <c r="C785" i="51"/>
  <c r="C786" i="51"/>
  <c r="C787" i="51"/>
  <c r="C788" i="51"/>
  <c r="C789" i="51"/>
  <c r="C790" i="51"/>
  <c r="C791" i="51"/>
  <c r="C792" i="51"/>
  <c r="C793" i="51"/>
  <c r="C794" i="51"/>
  <c r="C795" i="51"/>
  <c r="C796" i="51"/>
  <c r="C797" i="51"/>
  <c r="C798" i="51"/>
  <c r="C799" i="51"/>
  <c r="C800" i="51"/>
  <c r="C801" i="51"/>
  <c r="C802" i="51"/>
  <c r="C803" i="51"/>
  <c r="C804" i="51"/>
  <c r="C805" i="51"/>
  <c r="C806" i="51"/>
  <c r="C807" i="51"/>
  <c r="C808" i="51"/>
  <c r="C809" i="51"/>
  <c r="C810" i="51"/>
  <c r="C811" i="51"/>
  <c r="C812" i="51"/>
  <c r="C813" i="51"/>
  <c r="C814" i="51"/>
  <c r="C815" i="51"/>
  <c r="C816" i="51"/>
  <c r="C817" i="51"/>
  <c r="C818" i="51"/>
  <c r="C819" i="51"/>
  <c r="C820" i="51"/>
  <c r="C821" i="51"/>
  <c r="C822" i="51"/>
  <c r="C823" i="51"/>
  <c r="C824" i="51"/>
  <c r="C825" i="51"/>
  <c r="C826" i="51"/>
  <c r="C827" i="51"/>
  <c r="C828" i="51"/>
  <c r="C829" i="51"/>
  <c r="C830" i="51"/>
  <c r="C831" i="51"/>
  <c r="C832" i="51"/>
  <c r="C833" i="51"/>
  <c r="C834" i="51"/>
  <c r="C835" i="51"/>
  <c r="C836" i="51"/>
  <c r="C837" i="51"/>
  <c r="C838" i="51"/>
  <c r="C839" i="51"/>
  <c r="C840" i="51"/>
  <c r="C841" i="51"/>
  <c r="C842" i="51"/>
  <c r="C843" i="51"/>
  <c r="C844" i="51"/>
  <c r="C845" i="51"/>
  <c r="C846" i="51"/>
  <c r="C847" i="51"/>
  <c r="C848" i="51"/>
  <c r="C849" i="51"/>
  <c r="C850" i="51"/>
  <c r="C851" i="51"/>
  <c r="C852" i="51"/>
  <c r="C853" i="51"/>
  <c r="C854" i="51"/>
  <c r="C855" i="51"/>
  <c r="C856" i="51"/>
  <c r="C857" i="51"/>
  <c r="C858" i="51"/>
  <c r="C859" i="51"/>
  <c r="C860" i="51"/>
  <c r="C861" i="51"/>
  <c r="C862" i="51"/>
  <c r="C863" i="51"/>
  <c r="C864" i="51"/>
  <c r="C865" i="51"/>
  <c r="C866" i="51"/>
  <c r="C867" i="51"/>
  <c r="C868" i="51"/>
  <c r="C869" i="51"/>
  <c r="C870" i="51"/>
  <c r="C871" i="51"/>
  <c r="C872" i="51"/>
  <c r="C873" i="51"/>
  <c r="C874" i="51"/>
  <c r="C875" i="51"/>
  <c r="C876" i="51"/>
  <c r="C877" i="51"/>
  <c r="C878" i="51"/>
  <c r="C879" i="51"/>
  <c r="C880" i="51"/>
  <c r="C881" i="51"/>
  <c r="C882" i="51"/>
  <c r="C883" i="51"/>
  <c r="C884" i="51"/>
  <c r="C885" i="51"/>
  <c r="C886" i="51"/>
  <c r="C887" i="51"/>
  <c r="C888" i="51"/>
  <c r="C889" i="51"/>
  <c r="C890" i="51"/>
  <c r="C891" i="51"/>
  <c r="C892" i="51"/>
  <c r="C893" i="51"/>
  <c r="C894" i="51"/>
  <c r="C895" i="51"/>
  <c r="C896" i="51"/>
  <c r="C897" i="51"/>
  <c r="C898" i="51"/>
  <c r="C899" i="51"/>
  <c r="C900" i="51"/>
  <c r="C901" i="51"/>
  <c r="C902" i="51"/>
  <c r="C903" i="51"/>
  <c r="C904" i="51"/>
  <c r="C905" i="51"/>
  <c r="C906" i="51"/>
  <c r="C907" i="51"/>
  <c r="C908" i="51"/>
  <c r="C909" i="51"/>
  <c r="C910" i="51"/>
  <c r="C911" i="51"/>
  <c r="C912" i="51"/>
  <c r="C913" i="51"/>
  <c r="C914" i="51"/>
  <c r="C915" i="51"/>
  <c r="C916" i="51"/>
  <c r="C917" i="51"/>
  <c r="C918" i="51"/>
  <c r="C919" i="51"/>
  <c r="C920" i="51"/>
  <c r="C921" i="51"/>
  <c r="C922" i="51"/>
  <c r="C923" i="51"/>
  <c r="C924" i="51"/>
  <c r="C925" i="51"/>
  <c r="C926" i="51"/>
  <c r="C927" i="51"/>
  <c r="C928" i="51"/>
  <c r="C929" i="51"/>
  <c r="C930" i="51"/>
  <c r="C931" i="51"/>
  <c r="C932" i="51"/>
  <c r="C933" i="51"/>
  <c r="C934" i="51"/>
  <c r="C935" i="51"/>
  <c r="C936" i="51"/>
  <c r="C937" i="51"/>
  <c r="C938" i="51"/>
  <c r="C939" i="51"/>
  <c r="C940" i="51"/>
  <c r="C941" i="51"/>
  <c r="C942" i="51"/>
  <c r="C943" i="51"/>
  <c r="C944" i="51"/>
  <c r="C945" i="51"/>
  <c r="C946" i="51"/>
  <c r="C947" i="51"/>
  <c r="F1359" i="50"/>
  <c r="D1352" i="50"/>
  <c r="D1357" i="50"/>
  <c r="D1353" i="50"/>
  <c r="D1351" i="50"/>
  <c r="D1344" i="50"/>
  <c r="D1349" i="50"/>
  <c r="E1359" i="50"/>
  <c r="B1359" i="50"/>
  <c r="D1343" i="50"/>
  <c r="D1348" i="50"/>
  <c r="D1358" i="50"/>
  <c r="F1358" i="50"/>
  <c r="E1358" i="50"/>
  <c r="B1358" i="50"/>
  <c r="F1357" i="50"/>
  <c r="E1357" i="50"/>
  <c r="B1357" i="50"/>
  <c r="D1356" i="50"/>
  <c r="F1356" i="50"/>
  <c r="E1356" i="50"/>
  <c r="B1356" i="50"/>
  <c r="D1355" i="50"/>
  <c r="F1355" i="50"/>
  <c r="E1355" i="50"/>
  <c r="B1355" i="50"/>
  <c r="F1354" i="50"/>
  <c r="E1354" i="50"/>
  <c r="B1354" i="50"/>
  <c r="F1353" i="50"/>
  <c r="E1353" i="50"/>
  <c r="B1353" i="50"/>
  <c r="F1352" i="50"/>
  <c r="E1352" i="50"/>
  <c r="B1352" i="50"/>
  <c r="F1351" i="50"/>
  <c r="E1351" i="50"/>
  <c r="B1351" i="50"/>
  <c r="B947" i="51"/>
  <c r="B946" i="51"/>
  <c r="B945" i="51"/>
  <c r="B944" i="51"/>
  <c r="B370" i="51"/>
  <c r="B369" i="51"/>
  <c r="D1345" i="50"/>
  <c r="D1350" i="50"/>
  <c r="D1347" i="50"/>
  <c r="D1346" i="50"/>
  <c r="D1342" i="50"/>
  <c r="E1342" i="50"/>
  <c r="F1342" i="50"/>
  <c r="E1343" i="50"/>
  <c r="F1343" i="50"/>
  <c r="E1344" i="50"/>
  <c r="F1344" i="50"/>
  <c r="E1345" i="50"/>
  <c r="F1345" i="50"/>
  <c r="D1336" i="50"/>
  <c r="D1341" i="50"/>
  <c r="E1346" i="50"/>
  <c r="F1346" i="50"/>
  <c r="E1347" i="50"/>
  <c r="F1347" i="50"/>
  <c r="E1348" i="50"/>
  <c r="F1348" i="50"/>
  <c r="E1349" i="50"/>
  <c r="F1349" i="50"/>
  <c r="E1350" i="50"/>
  <c r="F1350" i="50"/>
  <c r="B940" i="51"/>
  <c r="B941" i="51"/>
  <c r="B942" i="51"/>
  <c r="B943" i="51"/>
  <c r="B367" i="51"/>
  <c r="B368" i="51"/>
  <c r="B1350" i="50"/>
  <c r="B1349" i="50"/>
  <c r="B1348" i="50"/>
  <c r="B1347" i="50"/>
  <c r="B1346" i="50"/>
  <c r="B1345" i="50"/>
  <c r="B1344" i="50"/>
  <c r="B1343" i="50"/>
  <c r="B1342" i="50"/>
  <c r="D1249" i="50"/>
  <c r="F1249" i="50"/>
  <c r="E1249" i="50"/>
  <c r="B1249" i="50"/>
  <c r="D1250" i="50"/>
  <c r="F1250" i="50"/>
  <c r="E1250" i="50"/>
  <c r="B1250" i="50"/>
  <c r="D1248" i="50"/>
  <c r="F1248" i="50"/>
  <c r="E1248" i="50"/>
  <c r="B1248" i="50"/>
  <c r="D1247" i="50"/>
  <c r="F1247" i="50"/>
  <c r="E1247" i="50"/>
  <c r="B1247" i="50"/>
  <c r="D1246" i="50"/>
  <c r="F1246" i="50"/>
  <c r="E1246" i="50"/>
  <c r="B1246" i="50"/>
  <c r="B891" i="51"/>
  <c r="B890" i="51"/>
  <c r="B889" i="51"/>
  <c r="B888" i="51"/>
  <c r="B887" i="51"/>
  <c r="D1270" i="50"/>
  <c r="E1270" i="50"/>
  <c r="F1270" i="50"/>
  <c r="D1269" i="50"/>
  <c r="E1269" i="50"/>
  <c r="F1269" i="50"/>
  <c r="D1118" i="50"/>
  <c r="D1125" i="50"/>
  <c r="F1125" i="50"/>
  <c r="D1121" i="50"/>
  <c r="E1125" i="50"/>
  <c r="B1125" i="50"/>
  <c r="D1116" i="50"/>
  <c r="D1120" i="50"/>
  <c r="D1124" i="50"/>
  <c r="F1124" i="50"/>
  <c r="E1124" i="50"/>
  <c r="B1124" i="50"/>
  <c r="D1115" i="50"/>
  <c r="D1119" i="50"/>
  <c r="D1123" i="50"/>
  <c r="F1123" i="50"/>
  <c r="E1123" i="50"/>
  <c r="B1123" i="50"/>
  <c r="D1122" i="50"/>
  <c r="F1122" i="50"/>
  <c r="E1122" i="50"/>
  <c r="B1122" i="50"/>
  <c r="F1121" i="50"/>
  <c r="E1121" i="50"/>
  <c r="B1121" i="50"/>
  <c r="B815" i="51"/>
  <c r="B814" i="51"/>
  <c r="D1300" i="50"/>
  <c r="D1305" i="50"/>
  <c r="F1305" i="50"/>
  <c r="E1305" i="50"/>
  <c r="B1305" i="50"/>
  <c r="D1299" i="50"/>
  <c r="D1304" i="50"/>
  <c r="F1304" i="50"/>
  <c r="E1304" i="50"/>
  <c r="B1304" i="50"/>
  <c r="D1298" i="50"/>
  <c r="D1303" i="50"/>
  <c r="F1303" i="50"/>
  <c r="E1303" i="50"/>
  <c r="B1303" i="50"/>
  <c r="D1302" i="50"/>
  <c r="F1302" i="50"/>
  <c r="E1302" i="50"/>
  <c r="B1302" i="50"/>
  <c r="D1301" i="50"/>
  <c r="F1301" i="50"/>
  <c r="E1301" i="50"/>
  <c r="B1301" i="50"/>
  <c r="F1300" i="50"/>
  <c r="E1300" i="50"/>
  <c r="B1300" i="50"/>
  <c r="F1299" i="50"/>
  <c r="E1299" i="50"/>
  <c r="B1299" i="50"/>
  <c r="F1298" i="50"/>
  <c r="E1298" i="50"/>
  <c r="B1298" i="50"/>
  <c r="D1297" i="50"/>
  <c r="F1297" i="50"/>
  <c r="E1297" i="50"/>
  <c r="B1297" i="50"/>
  <c r="B923" i="51"/>
  <c r="B922" i="51"/>
  <c r="B921" i="51"/>
  <c r="B920" i="51"/>
  <c r="B358" i="51"/>
  <c r="B357" i="51"/>
  <c r="D1159" i="50"/>
  <c r="F1159" i="50"/>
  <c r="F1158" i="50"/>
  <c r="E1158" i="50"/>
  <c r="D1318" i="50"/>
  <c r="E1318" i="50"/>
  <c r="F1318" i="50"/>
  <c r="D1323" i="50"/>
  <c r="F1323" i="50"/>
  <c r="E1323" i="50"/>
  <c r="B1323" i="50"/>
  <c r="D1317" i="50"/>
  <c r="D1322" i="50"/>
  <c r="F1322" i="50"/>
  <c r="E1322" i="50"/>
  <c r="B1322" i="50"/>
  <c r="D1316" i="50"/>
  <c r="D1321" i="50"/>
  <c r="F1321" i="50"/>
  <c r="E1321" i="50"/>
  <c r="B1321" i="50"/>
  <c r="D1320" i="50"/>
  <c r="F1320" i="50"/>
  <c r="E1320" i="50"/>
  <c r="B1320" i="50"/>
  <c r="D1319" i="50"/>
  <c r="F1319" i="50"/>
  <c r="E1319" i="50"/>
  <c r="B1319" i="50"/>
  <c r="B1318" i="50"/>
  <c r="F1317" i="50"/>
  <c r="E1317" i="50"/>
  <c r="B1317" i="50"/>
  <c r="F1316" i="50"/>
  <c r="E1316" i="50"/>
  <c r="B1316" i="50"/>
  <c r="D1315" i="50"/>
  <c r="F1315" i="50"/>
  <c r="E1315" i="50"/>
  <c r="B1315" i="50"/>
  <c r="B928" i="51"/>
  <c r="B929" i="51"/>
  <c r="B931" i="51"/>
  <c r="B930" i="51"/>
  <c r="B362" i="51"/>
  <c r="B361" i="51"/>
  <c r="D1063" i="50"/>
  <c r="D1068" i="50"/>
  <c r="F1068" i="50"/>
  <c r="D1062" i="50"/>
  <c r="D1067" i="50"/>
  <c r="F1067" i="50"/>
  <c r="D1061" i="50"/>
  <c r="D1066" i="50"/>
  <c r="F1066" i="50"/>
  <c r="D1064" i="50"/>
  <c r="F1064" i="50"/>
  <c r="E1068" i="50"/>
  <c r="B1068" i="50"/>
  <c r="E1067" i="50"/>
  <c r="B1067" i="50"/>
  <c r="E1066" i="50"/>
  <c r="B1066" i="50"/>
  <c r="D1065" i="50"/>
  <c r="F1065" i="50"/>
  <c r="E1065" i="50"/>
  <c r="B1065" i="50"/>
  <c r="E1064" i="50"/>
  <c r="B1064" i="50"/>
  <c r="B843" i="51"/>
  <c r="B842" i="51"/>
  <c r="D1154" i="50"/>
  <c r="B1158" i="50"/>
  <c r="D1149" i="50"/>
  <c r="D1153" i="50"/>
  <c r="D1157" i="50"/>
  <c r="F1157" i="50"/>
  <c r="E1157" i="50"/>
  <c r="B1157" i="50"/>
  <c r="D1148" i="50"/>
  <c r="D1152" i="50"/>
  <c r="D1156" i="50"/>
  <c r="F1156" i="50"/>
  <c r="E1156" i="50"/>
  <c r="B1156" i="50"/>
  <c r="D1155" i="50"/>
  <c r="F1155" i="50"/>
  <c r="E1155" i="50"/>
  <c r="B1155" i="50"/>
  <c r="F1154" i="50"/>
  <c r="E1154" i="50"/>
  <c r="B1154" i="50"/>
  <c r="D1073" i="50"/>
  <c r="D1080" i="50"/>
  <c r="D1076" i="50"/>
  <c r="F1080" i="50"/>
  <c r="E1080" i="50"/>
  <c r="B1080" i="50"/>
  <c r="D1071" i="50"/>
  <c r="D1075" i="50"/>
  <c r="D1079" i="50"/>
  <c r="F1079" i="50"/>
  <c r="E1079" i="50"/>
  <c r="B1079" i="50"/>
  <c r="D1070" i="50"/>
  <c r="D1074" i="50"/>
  <c r="D1078" i="50"/>
  <c r="F1078" i="50"/>
  <c r="E1078" i="50"/>
  <c r="B1078" i="50"/>
  <c r="D1077" i="50"/>
  <c r="F1077" i="50"/>
  <c r="E1077" i="50"/>
  <c r="B1077" i="50"/>
  <c r="F1076" i="50"/>
  <c r="E1076" i="50"/>
  <c r="B1076" i="50"/>
  <c r="B837" i="51"/>
  <c r="B836" i="51"/>
  <c r="B788" i="51"/>
  <c r="B787" i="51"/>
  <c r="D1293" i="50"/>
  <c r="F1293" i="50"/>
  <c r="D1291" i="50"/>
  <c r="D1296" i="50"/>
  <c r="F1296" i="50"/>
  <c r="E1296" i="50"/>
  <c r="B1296" i="50"/>
  <c r="D1290" i="50"/>
  <c r="D1295" i="50"/>
  <c r="F1295" i="50"/>
  <c r="E1295" i="50"/>
  <c r="B1295" i="50"/>
  <c r="D1289" i="50"/>
  <c r="D1294" i="50"/>
  <c r="F1294" i="50"/>
  <c r="E1294" i="50"/>
  <c r="B1294" i="50"/>
  <c r="E1293" i="50"/>
  <c r="B1293" i="50"/>
  <c r="D1292" i="50"/>
  <c r="F1292" i="50"/>
  <c r="E1292" i="50"/>
  <c r="B1292" i="50"/>
  <c r="F1291" i="50"/>
  <c r="E1291" i="50"/>
  <c r="B1291" i="50"/>
  <c r="F1290" i="50"/>
  <c r="E1290" i="50"/>
  <c r="B1290" i="50"/>
  <c r="F1289" i="50"/>
  <c r="E1289" i="50"/>
  <c r="B1289" i="50"/>
  <c r="D1288" i="50"/>
  <c r="F1288" i="50"/>
  <c r="E1288" i="50"/>
  <c r="B1288" i="50"/>
  <c r="B919" i="51"/>
  <c r="B918" i="51"/>
  <c r="B917" i="51"/>
  <c r="B916" i="51"/>
  <c r="B939" i="51"/>
  <c r="B356" i="51"/>
  <c r="B355" i="51"/>
  <c r="B1338" i="50"/>
  <c r="B1339" i="50"/>
  <c r="D1337" i="50"/>
  <c r="E1337" i="50"/>
  <c r="F1341" i="50"/>
  <c r="E1341" i="50"/>
  <c r="B1341" i="50"/>
  <c r="D1335" i="50"/>
  <c r="D1340" i="50"/>
  <c r="F1340" i="50"/>
  <c r="E1340" i="50"/>
  <c r="B1340" i="50"/>
  <c r="D1334" i="50"/>
  <c r="D1339" i="50"/>
  <c r="F1339" i="50"/>
  <c r="E1339" i="50"/>
  <c r="D1338" i="50"/>
  <c r="F1338" i="50"/>
  <c r="E1338" i="50"/>
  <c r="F1337" i="50"/>
  <c r="B1337" i="50"/>
  <c r="F1336" i="50"/>
  <c r="E1336" i="50"/>
  <c r="B1336" i="50"/>
  <c r="F1335" i="50"/>
  <c r="E1335" i="50"/>
  <c r="B1335" i="50"/>
  <c r="F1334" i="50"/>
  <c r="E1334" i="50"/>
  <c r="B1334" i="50"/>
  <c r="D1333" i="50"/>
  <c r="F1333" i="50"/>
  <c r="E1333" i="50"/>
  <c r="B1333" i="50"/>
  <c r="B938" i="51"/>
  <c r="B937" i="51"/>
  <c r="B936" i="51"/>
  <c r="B366" i="51"/>
  <c r="B365" i="51"/>
  <c r="D1236" i="50"/>
  <c r="D1241" i="50"/>
  <c r="D1235" i="50"/>
  <c r="D1240" i="50"/>
  <c r="D1234" i="50"/>
  <c r="D1239" i="50"/>
  <c r="B1241" i="50"/>
  <c r="B1240" i="50"/>
  <c r="B1239" i="50"/>
  <c r="B1238" i="50"/>
  <c r="B1237" i="50"/>
  <c r="F1241" i="50"/>
  <c r="E1241" i="50"/>
  <c r="F1240" i="50"/>
  <c r="E1240" i="50"/>
  <c r="F1239" i="50"/>
  <c r="E1239" i="50"/>
  <c r="D1238" i="50"/>
  <c r="F1238" i="50"/>
  <c r="E1238" i="50"/>
  <c r="D1237" i="50"/>
  <c r="F1237" i="50"/>
  <c r="E1237" i="50"/>
  <c r="B882" i="51"/>
  <c r="B881" i="51"/>
  <c r="D813" i="50"/>
  <c r="D820" i="50"/>
  <c r="F820" i="50"/>
  <c r="D816" i="50"/>
  <c r="F816" i="50"/>
  <c r="B818" i="50"/>
  <c r="B817" i="50"/>
  <c r="B816" i="50"/>
  <c r="E820" i="50"/>
  <c r="B820" i="50"/>
  <c r="D811" i="50"/>
  <c r="D815" i="50"/>
  <c r="D819" i="50"/>
  <c r="F819" i="50"/>
  <c r="E819" i="50"/>
  <c r="B819" i="50"/>
  <c r="D810" i="50"/>
  <c r="D814" i="50"/>
  <c r="D818" i="50"/>
  <c r="F818" i="50"/>
  <c r="E818" i="50"/>
  <c r="D817" i="50"/>
  <c r="F817" i="50"/>
  <c r="E817" i="50"/>
  <c r="E816" i="50"/>
  <c r="B671" i="51"/>
  <c r="B670" i="51"/>
  <c r="D704" i="50"/>
  <c r="F704" i="50"/>
  <c r="D700" i="50"/>
  <c r="D707" i="50"/>
  <c r="F707" i="50"/>
  <c r="D698" i="50"/>
  <c r="D702" i="50"/>
  <c r="D706" i="50"/>
  <c r="F706" i="50"/>
  <c r="D697" i="50"/>
  <c r="D701" i="50"/>
  <c r="D705" i="50"/>
  <c r="F705" i="50"/>
  <c r="D703" i="50"/>
  <c r="F703" i="50"/>
  <c r="B703" i="50"/>
  <c r="E707" i="50"/>
  <c r="B707" i="50"/>
  <c r="E706" i="50"/>
  <c r="B706" i="50"/>
  <c r="E705" i="50"/>
  <c r="B705" i="50"/>
  <c r="E704" i="50"/>
  <c r="B704" i="50"/>
  <c r="E703" i="50"/>
  <c r="B628" i="51"/>
  <c r="B244" i="51"/>
  <c r="D1045" i="50"/>
  <c r="D1050" i="50"/>
  <c r="E1050" i="50"/>
  <c r="D1044" i="50"/>
  <c r="D1049" i="50"/>
  <c r="E1049" i="50"/>
  <c r="D1043" i="50"/>
  <c r="D1048" i="50"/>
  <c r="E1048" i="50"/>
  <c r="F1050" i="50"/>
  <c r="F1049" i="50"/>
  <c r="F1048" i="50"/>
  <c r="B1050" i="50"/>
  <c r="B1049" i="50"/>
  <c r="B1048" i="50"/>
  <c r="D1047" i="50"/>
  <c r="F1047" i="50"/>
  <c r="E1047" i="50"/>
  <c r="B1047" i="50"/>
  <c r="D1046" i="50"/>
  <c r="F1046" i="50"/>
  <c r="E1046" i="50"/>
  <c r="B1046" i="50"/>
  <c r="B872" i="51"/>
  <c r="B871" i="51"/>
  <c r="D1327" i="50"/>
  <c r="D1332" i="50"/>
  <c r="F1332" i="50"/>
  <c r="E1332" i="50"/>
  <c r="B1332" i="50"/>
  <c r="D1326" i="50"/>
  <c r="D1331" i="50"/>
  <c r="F1331" i="50"/>
  <c r="E1331" i="50"/>
  <c r="B1331" i="50"/>
  <c r="D1325" i="50"/>
  <c r="D1330" i="50"/>
  <c r="F1330" i="50"/>
  <c r="E1330" i="50"/>
  <c r="B1330" i="50"/>
  <c r="D1329" i="50"/>
  <c r="F1329" i="50"/>
  <c r="E1329" i="50"/>
  <c r="B1329" i="50"/>
  <c r="D1328" i="50"/>
  <c r="F1328" i="50"/>
  <c r="E1328" i="50"/>
  <c r="B1328" i="50"/>
  <c r="F1327" i="50"/>
  <c r="E1327" i="50"/>
  <c r="B1327" i="50"/>
  <c r="F1326" i="50"/>
  <c r="E1326" i="50"/>
  <c r="B1326" i="50"/>
  <c r="F1325" i="50"/>
  <c r="E1325" i="50"/>
  <c r="B1325" i="50"/>
  <c r="D1324" i="50"/>
  <c r="F1324" i="50"/>
  <c r="E1324" i="50"/>
  <c r="B1324" i="50"/>
  <c r="D1309" i="50"/>
  <c r="D1314" i="50"/>
  <c r="F1314" i="50"/>
  <c r="E1314" i="50"/>
  <c r="B1314" i="50"/>
  <c r="D1308" i="50"/>
  <c r="D1313" i="50"/>
  <c r="F1313" i="50"/>
  <c r="E1313" i="50"/>
  <c r="B1313" i="50"/>
  <c r="D1307" i="50"/>
  <c r="D1312" i="50"/>
  <c r="F1312" i="50"/>
  <c r="E1312" i="50"/>
  <c r="B1312" i="50"/>
  <c r="D1311" i="50"/>
  <c r="F1311" i="50"/>
  <c r="E1311" i="50"/>
  <c r="B1311" i="50"/>
  <c r="D1310" i="50"/>
  <c r="F1310" i="50"/>
  <c r="E1310" i="50"/>
  <c r="B1310" i="50"/>
  <c r="F1309" i="50"/>
  <c r="E1309" i="50"/>
  <c r="B1309" i="50"/>
  <c r="F1308" i="50"/>
  <c r="E1308" i="50"/>
  <c r="B1308" i="50"/>
  <c r="F1307" i="50"/>
  <c r="E1307" i="50"/>
  <c r="B1307" i="50"/>
  <c r="D1306" i="50"/>
  <c r="F1306" i="50"/>
  <c r="E1306" i="50"/>
  <c r="B1306" i="50"/>
  <c r="B935" i="51"/>
  <c r="B934" i="51"/>
  <c r="B933" i="51"/>
  <c r="B932" i="51"/>
  <c r="B927" i="51"/>
  <c r="B926" i="51"/>
  <c r="B925" i="51"/>
  <c r="B924" i="51"/>
  <c r="B364" i="51"/>
  <c r="B363" i="51"/>
  <c r="B360" i="51"/>
  <c r="B359" i="51"/>
  <c r="D986" i="50"/>
  <c r="D993" i="50"/>
  <c r="D989" i="50"/>
  <c r="F993" i="50"/>
  <c r="E993" i="50"/>
  <c r="B993" i="50"/>
  <c r="D984" i="50"/>
  <c r="D988" i="50"/>
  <c r="D992" i="50"/>
  <c r="F992" i="50"/>
  <c r="E992" i="50"/>
  <c r="B992" i="50"/>
  <c r="D983" i="50"/>
  <c r="D987" i="50"/>
  <c r="D991" i="50"/>
  <c r="F991" i="50"/>
  <c r="E991" i="50"/>
  <c r="B991" i="50"/>
  <c r="D990" i="50"/>
  <c r="F990" i="50"/>
  <c r="E990" i="50"/>
  <c r="B990" i="50"/>
  <c r="F989" i="50"/>
  <c r="E989" i="50"/>
  <c r="B989" i="50"/>
  <c r="D937" i="50"/>
  <c r="D944" i="50"/>
  <c r="D940" i="50"/>
  <c r="F944" i="50"/>
  <c r="E944" i="50"/>
  <c r="B944" i="50"/>
  <c r="D935" i="50"/>
  <c r="D939" i="50"/>
  <c r="D943" i="50"/>
  <c r="F943" i="50"/>
  <c r="E943" i="50"/>
  <c r="B943" i="50"/>
  <c r="D934" i="50"/>
  <c r="D938" i="50"/>
  <c r="D942" i="50"/>
  <c r="F942" i="50"/>
  <c r="E942" i="50"/>
  <c r="B942" i="50"/>
  <c r="D941" i="50"/>
  <c r="F941" i="50"/>
  <c r="E941" i="50"/>
  <c r="B941" i="50"/>
  <c r="F940" i="50"/>
  <c r="E940" i="50"/>
  <c r="B940" i="50"/>
  <c r="D1097" i="50"/>
  <c r="D1104" i="50"/>
  <c r="D1100" i="50"/>
  <c r="F1104" i="50"/>
  <c r="E1104" i="50"/>
  <c r="B1104" i="50"/>
  <c r="D1095" i="50"/>
  <c r="D1099" i="50"/>
  <c r="D1103" i="50"/>
  <c r="F1103" i="50"/>
  <c r="E1103" i="50"/>
  <c r="B1103" i="50"/>
  <c r="D1094" i="50"/>
  <c r="D1098" i="50"/>
  <c r="D1102" i="50"/>
  <c r="F1102" i="50"/>
  <c r="E1102" i="50"/>
  <c r="B1102" i="50"/>
  <c r="D1101" i="50"/>
  <c r="F1101" i="50"/>
  <c r="E1101" i="50"/>
  <c r="B1101" i="50"/>
  <c r="F1100" i="50"/>
  <c r="E1100" i="50"/>
  <c r="B1100" i="50"/>
  <c r="D1085" i="50"/>
  <c r="D1092" i="50"/>
  <c r="D1088" i="50"/>
  <c r="F1092" i="50"/>
  <c r="E1092" i="50"/>
  <c r="B1092" i="50"/>
  <c r="D1083" i="50"/>
  <c r="D1087" i="50"/>
  <c r="D1091" i="50"/>
  <c r="F1091" i="50"/>
  <c r="E1091" i="50"/>
  <c r="B1091" i="50"/>
  <c r="D1082" i="50"/>
  <c r="D1086" i="50"/>
  <c r="D1090" i="50"/>
  <c r="F1090" i="50"/>
  <c r="E1090" i="50"/>
  <c r="B1090" i="50"/>
  <c r="D1089" i="50"/>
  <c r="F1089" i="50"/>
  <c r="E1089" i="50"/>
  <c r="B1089" i="50"/>
  <c r="F1088" i="50"/>
  <c r="E1088" i="50"/>
  <c r="B1088" i="50"/>
  <c r="D965" i="50"/>
  <c r="D972" i="50"/>
  <c r="D968" i="50"/>
  <c r="F972" i="50"/>
  <c r="E972" i="50"/>
  <c r="B972" i="50"/>
  <c r="D963" i="50"/>
  <c r="D967" i="50"/>
  <c r="D971" i="50"/>
  <c r="F971" i="50"/>
  <c r="E971" i="50"/>
  <c r="B971" i="50"/>
  <c r="D962" i="50"/>
  <c r="D966" i="50"/>
  <c r="D970" i="50"/>
  <c r="F970" i="50"/>
  <c r="E970" i="50"/>
  <c r="B970" i="50"/>
  <c r="D969" i="50"/>
  <c r="F969" i="50"/>
  <c r="E969" i="50"/>
  <c r="B969" i="50"/>
  <c r="F968" i="50"/>
  <c r="E968" i="50"/>
  <c r="B968" i="50"/>
  <c r="D872" i="50"/>
  <c r="D879" i="50"/>
  <c r="F879" i="50"/>
  <c r="E879" i="50"/>
  <c r="B879" i="50"/>
  <c r="D870" i="50"/>
  <c r="D874" i="50"/>
  <c r="D878" i="50"/>
  <c r="F878" i="50"/>
  <c r="E878" i="50"/>
  <c r="B878" i="50"/>
  <c r="D869" i="50"/>
  <c r="D873" i="50"/>
  <c r="D877" i="50"/>
  <c r="F877" i="50"/>
  <c r="E877" i="50"/>
  <c r="B877" i="50"/>
  <c r="D876" i="50"/>
  <c r="F876" i="50"/>
  <c r="E876" i="50"/>
  <c r="B876" i="50"/>
  <c r="D875" i="50"/>
  <c r="F875" i="50"/>
  <c r="E875" i="50"/>
  <c r="B875" i="50"/>
  <c r="D1035" i="50"/>
  <c r="D1040" i="50"/>
  <c r="D1036" i="50"/>
  <c r="D1041" i="50"/>
  <c r="D1034" i="50"/>
  <c r="D1039" i="50"/>
  <c r="D1027" i="50"/>
  <c r="D1031" i="50"/>
  <c r="E1041" i="50"/>
  <c r="E1039" i="50"/>
  <c r="D1038" i="50"/>
  <c r="F1041" i="50"/>
  <c r="B1041" i="50"/>
  <c r="F1040" i="50"/>
  <c r="E1040" i="50"/>
  <c r="B1040" i="50"/>
  <c r="F1039" i="50"/>
  <c r="B1039" i="50"/>
  <c r="F1038" i="50"/>
  <c r="E1038" i="50"/>
  <c r="B1038" i="50"/>
  <c r="D1037" i="50"/>
  <c r="F1037" i="50"/>
  <c r="E1037" i="50"/>
  <c r="B1037" i="50"/>
  <c r="D860" i="50"/>
  <c r="D867" i="50"/>
  <c r="D863" i="50"/>
  <c r="F867" i="50"/>
  <c r="E867" i="50"/>
  <c r="B867" i="50"/>
  <c r="D858" i="50"/>
  <c r="D862" i="50"/>
  <c r="D866" i="50"/>
  <c r="F866" i="50"/>
  <c r="E866" i="50"/>
  <c r="B866" i="50"/>
  <c r="D857" i="50"/>
  <c r="D861" i="50"/>
  <c r="D865" i="50"/>
  <c r="F865" i="50"/>
  <c r="E865" i="50"/>
  <c r="B865" i="50"/>
  <c r="D864" i="50"/>
  <c r="F864" i="50"/>
  <c r="E864" i="50"/>
  <c r="B864" i="50"/>
  <c r="F863" i="50"/>
  <c r="E863" i="50"/>
  <c r="B863" i="50"/>
  <c r="B736" i="51"/>
  <c r="B327" i="51"/>
  <c r="B719" i="51"/>
  <c r="B313" i="51"/>
  <c r="B802" i="51"/>
  <c r="B801" i="51"/>
  <c r="B795" i="51"/>
  <c r="B794" i="51"/>
  <c r="B729" i="51"/>
  <c r="B321" i="51"/>
  <c r="B694" i="51"/>
  <c r="B294" i="51"/>
  <c r="B743" i="51"/>
  <c r="B341" i="51"/>
  <c r="B342" i="51"/>
  <c r="B690" i="51"/>
  <c r="B291" i="51"/>
  <c r="D1210" i="50"/>
  <c r="D1211" i="50"/>
  <c r="D1209" i="50"/>
  <c r="D1216" i="50"/>
  <c r="F1216" i="50"/>
  <c r="E1216" i="50"/>
  <c r="B1216" i="50"/>
  <c r="D1215" i="50"/>
  <c r="F1215" i="50"/>
  <c r="E1215" i="50"/>
  <c r="B1215" i="50"/>
  <c r="D1214" i="50"/>
  <c r="F1214" i="50"/>
  <c r="E1214" i="50"/>
  <c r="B1214" i="50"/>
  <c r="D1213" i="50"/>
  <c r="F1213" i="50"/>
  <c r="E1213" i="50"/>
  <c r="B1213" i="50"/>
  <c r="D1212" i="50"/>
  <c r="F1212" i="50"/>
  <c r="E1212" i="50"/>
  <c r="B1212" i="50"/>
  <c r="F1211" i="50"/>
  <c r="E1211" i="50"/>
  <c r="B1211" i="50"/>
  <c r="F1210" i="50"/>
  <c r="E1210" i="50"/>
  <c r="B1210" i="50"/>
  <c r="F1209" i="50"/>
  <c r="E1209" i="50"/>
  <c r="B1209" i="50"/>
  <c r="D1208" i="50"/>
  <c r="F1208" i="50"/>
  <c r="E1208" i="50"/>
  <c r="B1208" i="50"/>
  <c r="D1200" i="50"/>
  <c r="D1207" i="50"/>
  <c r="D1198" i="50"/>
  <c r="D1202" i="50"/>
  <c r="D1206" i="50"/>
  <c r="D1197" i="50"/>
  <c r="D1201" i="50"/>
  <c r="D1205" i="50"/>
  <c r="D1204" i="50"/>
  <c r="F1207" i="50"/>
  <c r="E1207" i="50"/>
  <c r="B1207" i="50"/>
  <c r="F1206" i="50"/>
  <c r="E1206" i="50"/>
  <c r="B1206" i="50"/>
  <c r="F1205" i="50"/>
  <c r="E1205" i="50"/>
  <c r="B1205" i="50"/>
  <c r="F1204" i="50"/>
  <c r="E1204" i="50"/>
  <c r="B1204" i="50"/>
  <c r="D1203" i="50"/>
  <c r="F1203" i="50"/>
  <c r="E1203" i="50"/>
  <c r="B1203" i="50"/>
  <c r="B856" i="51"/>
  <c r="B855" i="51"/>
  <c r="B854" i="51"/>
  <c r="B853" i="51"/>
  <c r="B852" i="51"/>
  <c r="B851" i="51"/>
  <c r="B850" i="51"/>
  <c r="B849" i="51"/>
  <c r="D1274" i="50"/>
  <c r="D1275" i="50"/>
  <c r="D1028" i="50"/>
  <c r="D1278" i="50"/>
  <c r="D1277" i="50"/>
  <c r="D1030" i="50"/>
  <c r="D1276" i="50"/>
  <c r="E1278" i="50"/>
  <c r="F1278" i="50"/>
  <c r="B911" i="51"/>
  <c r="B352" i="51"/>
  <c r="B1278" i="50"/>
  <c r="F1277" i="50"/>
  <c r="E1277" i="50"/>
  <c r="B1277" i="50"/>
  <c r="F1276" i="50"/>
  <c r="E1276" i="50"/>
  <c r="B1276" i="50"/>
  <c r="F1275" i="50"/>
  <c r="E1275" i="50"/>
  <c r="B1275" i="50"/>
  <c r="F1274" i="50"/>
  <c r="E1274" i="50"/>
  <c r="B1274" i="50"/>
  <c r="D1199" i="50"/>
  <c r="D1196" i="50"/>
  <c r="D1189" i="50"/>
  <c r="D1193" i="50"/>
  <c r="D1188" i="50"/>
  <c r="D1192" i="50"/>
  <c r="D1191" i="50"/>
  <c r="D1190" i="50"/>
  <c r="D1187" i="50"/>
  <c r="D1182" i="50"/>
  <c r="D1186" i="50"/>
  <c r="D1181" i="50"/>
  <c r="D1185" i="50"/>
  <c r="D1184" i="50"/>
  <c r="D1183" i="50"/>
  <c r="D1180" i="50"/>
  <c r="D1175" i="50"/>
  <c r="D1179" i="50"/>
  <c r="D1174" i="50"/>
  <c r="D1178" i="50"/>
  <c r="D1177" i="50"/>
  <c r="D1176" i="50"/>
  <c r="D1173" i="50"/>
  <c r="D1168" i="50"/>
  <c r="D1172" i="50"/>
  <c r="D1167" i="50"/>
  <c r="D1171" i="50"/>
  <c r="D1170" i="50"/>
  <c r="D1169" i="50"/>
  <c r="D1166" i="50"/>
  <c r="D1161" i="50"/>
  <c r="D1165" i="50"/>
  <c r="D1160" i="50"/>
  <c r="D1164" i="50"/>
  <c r="D1163" i="50"/>
  <c r="D1162" i="50"/>
  <c r="D1151" i="50"/>
  <c r="D1150" i="50"/>
  <c r="D1147" i="50"/>
  <c r="D1142" i="50"/>
  <c r="D1146" i="50"/>
  <c r="D1141" i="50"/>
  <c r="D1145" i="50"/>
  <c r="D1144" i="50"/>
  <c r="D1143" i="50"/>
  <c r="D1140" i="50"/>
  <c r="D1135" i="50"/>
  <c r="D1139" i="50"/>
  <c r="D1134" i="50"/>
  <c r="D1138" i="50"/>
  <c r="D1137" i="50"/>
  <c r="D1136" i="50"/>
  <c r="D1133" i="50"/>
  <c r="D1128" i="50"/>
  <c r="D1132" i="50"/>
  <c r="D1127" i="50"/>
  <c r="D1131" i="50"/>
  <c r="D1130" i="50"/>
  <c r="D1129" i="50"/>
  <c r="D1126" i="50"/>
  <c r="D1117" i="50"/>
  <c r="D1114" i="50"/>
  <c r="D1096" i="50"/>
  <c r="D1093" i="50"/>
  <c r="D1084" i="50"/>
  <c r="D1081" i="50"/>
  <c r="D1072" i="50"/>
  <c r="D1069" i="50"/>
  <c r="D1032" i="50"/>
  <c r="D1029" i="50"/>
  <c r="D1026" i="50"/>
  <c r="D1020" i="50"/>
  <c r="D1025" i="50"/>
  <c r="D1018" i="50"/>
  <c r="D1021" i="50"/>
  <c r="D1024" i="50"/>
  <c r="D1023" i="50"/>
  <c r="D1022" i="50"/>
  <c r="D1019" i="50"/>
  <c r="D1017" i="50"/>
  <c r="D1012" i="50"/>
  <c r="D1016" i="50"/>
  <c r="D1011" i="50"/>
  <c r="D1015" i="50"/>
  <c r="D1014" i="50"/>
  <c r="D1013" i="50"/>
  <c r="D1010" i="50"/>
  <c r="D1004" i="50"/>
  <c r="D1009" i="50"/>
  <c r="D1002" i="50"/>
  <c r="D1005" i="50"/>
  <c r="D1008" i="50"/>
  <c r="D1007" i="50"/>
  <c r="D1006" i="50"/>
  <c r="D1003" i="50"/>
  <c r="D1001" i="50"/>
  <c r="D996" i="50"/>
  <c r="D1000" i="50"/>
  <c r="D995" i="50"/>
  <c r="D999" i="50"/>
  <c r="D998" i="50"/>
  <c r="D997" i="50"/>
  <c r="D994" i="50"/>
  <c r="D985" i="50"/>
  <c r="D982" i="50"/>
  <c r="D976" i="50"/>
  <c r="D981" i="50"/>
  <c r="D974" i="50"/>
  <c r="D977" i="50"/>
  <c r="D980" i="50"/>
  <c r="D979" i="50"/>
  <c r="D978" i="50"/>
  <c r="D975" i="50"/>
  <c r="D973" i="50"/>
  <c r="D964" i="50"/>
  <c r="D961" i="50"/>
  <c r="D956" i="50"/>
  <c r="D960" i="50"/>
  <c r="D955" i="50"/>
  <c r="D959" i="50"/>
  <c r="D958" i="50"/>
  <c r="D957" i="50"/>
  <c r="D954" i="50"/>
  <c r="D948" i="50"/>
  <c r="D953" i="50"/>
  <c r="D946" i="50"/>
  <c r="D949" i="50"/>
  <c r="D952" i="50"/>
  <c r="D951" i="50"/>
  <c r="D950" i="50"/>
  <c r="D947" i="50"/>
  <c r="D945" i="50"/>
  <c r="D936" i="50"/>
  <c r="D933" i="50"/>
  <c r="D928" i="50"/>
  <c r="D932" i="50"/>
  <c r="D927" i="50"/>
  <c r="D931" i="50"/>
  <c r="D930" i="50"/>
  <c r="D929" i="50"/>
  <c r="D926" i="50"/>
  <c r="D921" i="50"/>
  <c r="D925" i="50"/>
  <c r="D920" i="50"/>
  <c r="D924" i="50"/>
  <c r="D923" i="50"/>
  <c r="D922" i="50"/>
  <c r="D919" i="50"/>
  <c r="D914" i="50"/>
  <c r="D918" i="50"/>
  <c r="D913" i="50"/>
  <c r="D917" i="50"/>
  <c r="D916" i="50"/>
  <c r="D915" i="50"/>
  <c r="D912" i="50"/>
  <c r="D907" i="50"/>
  <c r="D911" i="50"/>
  <c r="D906" i="50"/>
  <c r="D910" i="50"/>
  <c r="D909" i="50"/>
  <c r="D908" i="50"/>
  <c r="D905" i="50"/>
  <c r="D900" i="50"/>
  <c r="D904" i="50"/>
  <c r="D899" i="50"/>
  <c r="D903" i="50"/>
  <c r="D902" i="50"/>
  <c r="D901" i="50"/>
  <c r="D898" i="50"/>
  <c r="D892" i="50"/>
  <c r="D897" i="50"/>
  <c r="D890" i="50"/>
  <c r="D893" i="50"/>
  <c r="D896" i="50"/>
  <c r="D895" i="50"/>
  <c r="D894" i="50"/>
  <c r="D891" i="50"/>
  <c r="D889" i="50"/>
  <c r="D883" i="50"/>
  <c r="D888" i="50"/>
  <c r="D881" i="50"/>
  <c r="D884" i="50"/>
  <c r="D887" i="50"/>
  <c r="D886" i="50"/>
  <c r="D885" i="50"/>
  <c r="D882" i="50"/>
  <c r="D880" i="50"/>
  <c r="D871" i="50"/>
  <c r="D868" i="50"/>
  <c r="D859" i="50"/>
  <c r="D856" i="50"/>
  <c r="D851" i="50"/>
  <c r="D855" i="50"/>
  <c r="D850" i="50"/>
  <c r="D854" i="50"/>
  <c r="D853" i="50"/>
  <c r="D852" i="50"/>
  <c r="D849" i="50"/>
  <c r="D844" i="50"/>
  <c r="D848" i="50"/>
  <c r="D843" i="50"/>
  <c r="D847" i="50"/>
  <c r="D846" i="50"/>
  <c r="D845" i="50"/>
  <c r="D842" i="50"/>
  <c r="D837" i="50"/>
  <c r="D841" i="50"/>
  <c r="D836" i="50"/>
  <c r="D840" i="50"/>
  <c r="D839" i="50"/>
  <c r="D838" i="50"/>
  <c r="D835" i="50"/>
  <c r="D830" i="50"/>
  <c r="D834" i="50"/>
  <c r="D829" i="50"/>
  <c r="D833" i="50"/>
  <c r="D832" i="50"/>
  <c r="D831" i="50"/>
  <c r="D828" i="50"/>
  <c r="D823" i="50"/>
  <c r="D827" i="50"/>
  <c r="D822" i="50"/>
  <c r="D826" i="50"/>
  <c r="D825" i="50"/>
  <c r="D824" i="50"/>
  <c r="D821" i="50"/>
  <c r="D812" i="50"/>
  <c r="D809" i="50"/>
  <c r="D804" i="50"/>
  <c r="D808" i="50"/>
  <c r="D803" i="50"/>
  <c r="D807" i="50"/>
  <c r="D806" i="50"/>
  <c r="D805" i="50"/>
  <c r="D802" i="50"/>
  <c r="D796" i="50"/>
  <c r="D801" i="50"/>
  <c r="D794" i="50"/>
  <c r="D797" i="50"/>
  <c r="D800" i="50"/>
  <c r="D799" i="50"/>
  <c r="D798" i="50"/>
  <c r="D795" i="50"/>
  <c r="D793" i="50"/>
  <c r="D788" i="50"/>
  <c r="D792" i="50"/>
  <c r="D787" i="50"/>
  <c r="D791" i="50"/>
  <c r="D790" i="50"/>
  <c r="D789" i="50"/>
  <c r="D786" i="50"/>
  <c r="D780" i="50"/>
  <c r="D785" i="50"/>
  <c r="D778" i="50"/>
  <c r="D781" i="50"/>
  <c r="D784" i="50"/>
  <c r="D783" i="50"/>
  <c r="D782" i="50"/>
  <c r="D779" i="50"/>
  <c r="D777" i="50"/>
  <c r="D772" i="50"/>
  <c r="D776" i="50"/>
  <c r="D771" i="50"/>
  <c r="D775" i="50"/>
  <c r="D774" i="50"/>
  <c r="D773" i="50"/>
  <c r="D770" i="50"/>
  <c r="D764" i="50"/>
  <c r="D769" i="50"/>
  <c r="D762" i="50"/>
  <c r="D765" i="50"/>
  <c r="D768" i="50"/>
  <c r="D767" i="50"/>
  <c r="D766" i="50"/>
  <c r="D763" i="50"/>
  <c r="D761" i="50"/>
  <c r="D755" i="50"/>
  <c r="D760" i="50"/>
  <c r="D753" i="50"/>
  <c r="D756" i="50"/>
  <c r="D759" i="50"/>
  <c r="D758" i="50"/>
  <c r="D757" i="50"/>
  <c r="D754" i="50"/>
  <c r="D752" i="50"/>
  <c r="D747" i="50"/>
  <c r="D751" i="50"/>
  <c r="D746" i="50"/>
  <c r="D750" i="50"/>
  <c r="D749" i="50"/>
  <c r="D748" i="50"/>
  <c r="D745" i="50"/>
  <c r="D739" i="50"/>
  <c r="D744" i="50"/>
  <c r="D737" i="50"/>
  <c r="D740" i="50"/>
  <c r="D743" i="50"/>
  <c r="D742" i="50"/>
  <c r="D741" i="50"/>
  <c r="D738" i="50"/>
  <c r="D736" i="50"/>
  <c r="D731" i="50"/>
  <c r="D735" i="50"/>
  <c r="D730" i="50"/>
  <c r="D734" i="50"/>
  <c r="D733" i="50"/>
  <c r="D732" i="50"/>
  <c r="D729" i="50"/>
  <c r="D714" i="50"/>
  <c r="F714" i="50"/>
  <c r="D715" i="50"/>
  <c r="F715" i="50"/>
  <c r="D716" i="50"/>
  <c r="F716" i="50"/>
  <c r="D717" i="50"/>
  <c r="F717" i="50"/>
  <c r="D718" i="50"/>
  <c r="F718" i="50"/>
  <c r="D719" i="50"/>
  <c r="F719" i="50"/>
  <c r="D721" i="50"/>
  <c r="F721" i="50"/>
  <c r="D720" i="50"/>
  <c r="F720" i="50"/>
  <c r="D724" i="50"/>
  <c r="D728" i="50"/>
  <c r="D723" i="50"/>
  <c r="D727" i="50"/>
  <c r="D726" i="50"/>
  <c r="D725" i="50"/>
  <c r="D722" i="50"/>
  <c r="D690" i="50"/>
  <c r="D691" i="50"/>
  <c r="D692" i="50"/>
  <c r="D693" i="50"/>
  <c r="D694" i="50"/>
  <c r="D699" i="50"/>
  <c r="D696" i="50"/>
  <c r="D685" i="50"/>
  <c r="D689" i="50"/>
  <c r="D684" i="50"/>
  <c r="D688" i="50"/>
  <c r="D687" i="50"/>
  <c r="D686" i="50"/>
  <c r="D683" i="50"/>
  <c r="D678" i="50"/>
  <c r="D682" i="50"/>
  <c r="D677" i="50"/>
  <c r="D681" i="50"/>
  <c r="D680" i="50"/>
  <c r="D679" i="50"/>
  <c r="D676" i="50"/>
  <c r="D671" i="50"/>
  <c r="D675" i="50"/>
  <c r="D670" i="50"/>
  <c r="D674" i="50"/>
  <c r="D673" i="50"/>
  <c r="D672" i="50"/>
  <c r="D669" i="50"/>
  <c r="D664" i="50"/>
  <c r="D668" i="50"/>
  <c r="D663" i="50"/>
  <c r="D667" i="50"/>
  <c r="D666" i="50"/>
  <c r="D665" i="50"/>
  <c r="D662" i="50"/>
  <c r="D657" i="50"/>
  <c r="D661" i="50"/>
  <c r="D656" i="50"/>
  <c r="D660" i="50"/>
  <c r="D659" i="50"/>
  <c r="D658" i="50"/>
  <c r="D655" i="50"/>
  <c r="D650" i="50"/>
  <c r="D654" i="50"/>
  <c r="D649" i="50"/>
  <c r="D653" i="50"/>
  <c r="D652" i="50"/>
  <c r="D651" i="50"/>
  <c r="D648" i="50"/>
  <c r="D643" i="50"/>
  <c r="D647" i="50"/>
  <c r="D642" i="50"/>
  <c r="D646" i="50"/>
  <c r="D645" i="50"/>
  <c r="D644" i="50"/>
  <c r="D641" i="50"/>
  <c r="D636" i="50"/>
  <c r="D640" i="50"/>
  <c r="D635" i="50"/>
  <c r="D639" i="50"/>
  <c r="D638" i="50"/>
  <c r="D637" i="50"/>
  <c r="D634" i="50"/>
  <c r="D629" i="50"/>
  <c r="D633" i="50"/>
  <c r="D628" i="50"/>
  <c r="D632" i="50"/>
  <c r="D631" i="50"/>
  <c r="D630" i="50"/>
  <c r="D627" i="50"/>
  <c r="D622" i="50"/>
  <c r="D626" i="50"/>
  <c r="D621" i="50"/>
  <c r="D625" i="50"/>
  <c r="D624" i="50"/>
  <c r="D623" i="50"/>
  <c r="D620" i="50"/>
  <c r="D615" i="50"/>
  <c r="D619" i="50"/>
  <c r="D614" i="50"/>
  <c r="D618" i="50"/>
  <c r="D617" i="50"/>
  <c r="D616" i="50"/>
  <c r="D613" i="50"/>
  <c r="D608" i="50"/>
  <c r="D612" i="50"/>
  <c r="D607" i="50"/>
  <c r="D611" i="50"/>
  <c r="D610" i="50"/>
  <c r="D609" i="50"/>
  <c r="D606" i="50"/>
  <c r="D602" i="50"/>
  <c r="D605" i="50"/>
  <c r="D604" i="50"/>
  <c r="D603" i="50"/>
  <c r="D601" i="50"/>
  <c r="D597" i="50"/>
  <c r="D600" i="50"/>
  <c r="D599" i="50"/>
  <c r="D598" i="50"/>
  <c r="D596" i="50"/>
  <c r="D592" i="50"/>
  <c r="D595" i="50"/>
  <c r="D594" i="50"/>
  <c r="D593" i="50"/>
  <c r="D591" i="50"/>
  <c r="D587" i="50"/>
  <c r="D590" i="50"/>
  <c r="D589" i="50"/>
  <c r="D588" i="50"/>
  <c r="D586" i="50"/>
  <c r="D581" i="50"/>
  <c r="D585" i="50"/>
  <c r="D580" i="50"/>
  <c r="D584" i="50"/>
  <c r="D583" i="50"/>
  <c r="D582" i="50"/>
  <c r="D579" i="50"/>
  <c r="D574" i="50"/>
  <c r="D578" i="50"/>
  <c r="D573" i="50"/>
  <c r="D577" i="50"/>
  <c r="D576" i="50"/>
  <c r="D575" i="50"/>
  <c r="D572" i="50"/>
  <c r="D567" i="50"/>
  <c r="D571" i="50"/>
  <c r="D566" i="50"/>
  <c r="D570" i="50"/>
  <c r="D569" i="50"/>
  <c r="D568" i="50"/>
  <c r="D565" i="50"/>
  <c r="D560" i="50"/>
  <c r="D564" i="50"/>
  <c r="D559" i="50"/>
  <c r="D563" i="50"/>
  <c r="D562" i="50"/>
  <c r="D561" i="50"/>
  <c r="D558" i="50"/>
  <c r="D553" i="50"/>
  <c r="D557" i="50"/>
  <c r="D552" i="50"/>
  <c r="D556" i="50"/>
  <c r="D555" i="50"/>
  <c r="D554" i="50"/>
  <c r="D551" i="50"/>
  <c r="D547" i="50"/>
  <c r="D550" i="50"/>
  <c r="D549" i="50"/>
  <c r="D548" i="50"/>
  <c r="D546" i="50"/>
  <c r="D542" i="50"/>
  <c r="D545" i="50"/>
  <c r="D544" i="50"/>
  <c r="D543" i="50"/>
  <c r="D541" i="50"/>
  <c r="D537" i="50"/>
  <c r="D540" i="50"/>
  <c r="D539" i="50"/>
  <c r="D538" i="50"/>
  <c r="D536" i="50"/>
  <c r="D532" i="50"/>
  <c r="D535" i="50"/>
  <c r="D534" i="50"/>
  <c r="D533" i="50"/>
  <c r="D531" i="50"/>
  <c r="D526" i="50"/>
  <c r="D530" i="50"/>
  <c r="D525" i="50"/>
  <c r="D529" i="50"/>
  <c r="D528" i="50"/>
  <c r="D527" i="50"/>
  <c r="D524" i="50"/>
  <c r="D519" i="50"/>
  <c r="D523" i="50"/>
  <c r="D518" i="50"/>
  <c r="D522" i="50"/>
  <c r="D521" i="50"/>
  <c r="D520" i="50"/>
  <c r="D517" i="50"/>
  <c r="D512" i="50"/>
  <c r="D516" i="50"/>
  <c r="D511" i="50"/>
  <c r="D515" i="50"/>
  <c r="D514" i="50"/>
  <c r="D513" i="50"/>
  <c r="D510" i="50"/>
  <c r="D505" i="50"/>
  <c r="D509" i="50"/>
  <c r="D504" i="50"/>
  <c r="D508" i="50"/>
  <c r="D507" i="50"/>
  <c r="D506" i="50"/>
  <c r="D503" i="50"/>
  <c r="D498" i="50"/>
  <c r="D502" i="50"/>
  <c r="F502" i="50"/>
  <c r="D497" i="50"/>
  <c r="D501" i="50"/>
  <c r="F501" i="50"/>
  <c r="D492" i="50"/>
  <c r="D495" i="50"/>
  <c r="D494" i="50"/>
  <c r="D493" i="50"/>
  <c r="D491" i="50"/>
  <c r="D487" i="50"/>
  <c r="D490" i="50"/>
  <c r="D489" i="50"/>
  <c r="D488" i="50"/>
  <c r="D486" i="50"/>
  <c r="D482" i="50"/>
  <c r="D485" i="50"/>
  <c r="D484" i="50"/>
  <c r="D483" i="50"/>
  <c r="D481" i="50"/>
  <c r="D477" i="50"/>
  <c r="D480" i="50"/>
  <c r="F480" i="50"/>
  <c r="D479" i="50"/>
  <c r="F479" i="50"/>
  <c r="D478" i="50"/>
  <c r="F478" i="50"/>
  <c r="F477" i="50"/>
  <c r="D476" i="50"/>
  <c r="F476" i="50"/>
  <c r="D468" i="50"/>
  <c r="D471" i="50"/>
  <c r="D475" i="50"/>
  <c r="D470" i="50"/>
  <c r="D474" i="50"/>
  <c r="D473" i="50"/>
  <c r="D472" i="50"/>
  <c r="D469" i="50"/>
  <c r="D467" i="50"/>
  <c r="D459" i="50"/>
  <c r="D462" i="50"/>
  <c r="D466" i="50"/>
  <c r="D461" i="50"/>
  <c r="D465" i="50"/>
  <c r="D464" i="50"/>
  <c r="D463" i="50"/>
  <c r="D460" i="50"/>
  <c r="D458" i="50"/>
  <c r="D450" i="50"/>
  <c r="D453" i="50"/>
  <c r="D457" i="50"/>
  <c r="D452" i="50"/>
  <c r="D456" i="50"/>
  <c r="D455" i="50"/>
  <c r="D454" i="50"/>
  <c r="D451" i="50"/>
  <c r="D449" i="50"/>
  <c r="D441" i="50"/>
  <c r="D444" i="50"/>
  <c r="D448" i="50"/>
  <c r="D443" i="50"/>
  <c r="D447" i="50"/>
  <c r="D446" i="50"/>
  <c r="D445" i="50"/>
  <c r="D442" i="50"/>
  <c r="D440" i="50"/>
  <c r="D432" i="50"/>
  <c r="D435" i="50"/>
  <c r="D439" i="50"/>
  <c r="D434" i="50"/>
  <c r="D438" i="50"/>
  <c r="D437" i="50"/>
  <c r="D436" i="50"/>
  <c r="D433" i="50"/>
  <c r="D431" i="50"/>
  <c r="D423" i="50"/>
  <c r="D426" i="50"/>
  <c r="D430" i="50"/>
  <c r="D425" i="50"/>
  <c r="D429" i="50"/>
  <c r="D428" i="50"/>
  <c r="D427" i="50"/>
  <c r="D424" i="50"/>
  <c r="D422" i="50"/>
  <c r="D414" i="50"/>
  <c r="D417" i="50"/>
  <c r="D421" i="50"/>
  <c r="D416" i="50"/>
  <c r="D420" i="50"/>
  <c r="D419" i="50"/>
  <c r="D418" i="50"/>
  <c r="D415" i="50"/>
  <c r="D413" i="50"/>
  <c r="D405" i="50"/>
  <c r="D408" i="50"/>
  <c r="D412" i="50"/>
  <c r="D407" i="50"/>
  <c r="D411" i="50"/>
  <c r="D410" i="50"/>
  <c r="D409" i="50"/>
  <c r="D406" i="50"/>
  <c r="D404" i="50"/>
  <c r="D396" i="50"/>
  <c r="D399" i="50"/>
  <c r="D403" i="50"/>
  <c r="D398" i="50"/>
  <c r="D402" i="50"/>
  <c r="D401" i="50"/>
  <c r="D400" i="50"/>
  <c r="D397" i="50"/>
  <c r="D395" i="50"/>
  <c r="D387" i="50"/>
  <c r="D390" i="50"/>
  <c r="D394" i="50"/>
  <c r="D389" i="50"/>
  <c r="D393" i="50"/>
  <c r="D392" i="50"/>
  <c r="D391" i="50"/>
  <c r="D388" i="50"/>
  <c r="D386" i="50"/>
  <c r="D378" i="50"/>
  <c r="D381" i="50"/>
  <c r="D385" i="50"/>
  <c r="D380" i="50"/>
  <c r="D384" i="50"/>
  <c r="D383" i="50"/>
  <c r="D382" i="50"/>
  <c r="D379" i="50"/>
  <c r="D377" i="50"/>
  <c r="D369" i="50"/>
  <c r="D372" i="50"/>
  <c r="D376" i="50"/>
  <c r="D371" i="50"/>
  <c r="D375" i="50"/>
  <c r="D374" i="50"/>
  <c r="D373" i="50"/>
  <c r="D370" i="50"/>
  <c r="D368" i="50"/>
  <c r="D360" i="50"/>
  <c r="D363" i="50"/>
  <c r="D367" i="50"/>
  <c r="D362" i="50"/>
  <c r="D366" i="50"/>
  <c r="D365" i="50"/>
  <c r="D364" i="50"/>
  <c r="D361" i="50"/>
  <c r="D359" i="50"/>
  <c r="D351" i="50"/>
  <c r="D354" i="50"/>
  <c r="D358" i="50"/>
  <c r="D353" i="50"/>
  <c r="D357" i="50"/>
  <c r="D356" i="50"/>
  <c r="D355" i="50"/>
  <c r="D352" i="50"/>
  <c r="D350" i="50"/>
  <c r="D342" i="50"/>
  <c r="D345" i="50"/>
  <c r="D349" i="50"/>
  <c r="F349" i="50"/>
  <c r="D344" i="50"/>
  <c r="D348" i="50"/>
  <c r="F348" i="50"/>
  <c r="F344" i="50"/>
  <c r="D343" i="50"/>
  <c r="F343" i="50"/>
  <c r="F342" i="50"/>
  <c r="D341" i="50"/>
  <c r="F341" i="50"/>
  <c r="D347" i="50"/>
  <c r="D346" i="50"/>
  <c r="D333" i="50"/>
  <c r="D336" i="50"/>
  <c r="D340" i="50"/>
  <c r="D335" i="50"/>
  <c r="D339" i="50"/>
  <c r="D338" i="50"/>
  <c r="D337" i="50"/>
  <c r="D334" i="50"/>
  <c r="D332" i="50"/>
  <c r="D324" i="50"/>
  <c r="D327" i="50"/>
  <c r="D331" i="50"/>
  <c r="D326" i="50"/>
  <c r="D330" i="50"/>
  <c r="D329" i="50"/>
  <c r="D328" i="50"/>
  <c r="D325" i="50"/>
  <c r="D323" i="50"/>
  <c r="D315" i="50"/>
  <c r="D318" i="50"/>
  <c r="D322" i="50"/>
  <c r="D317" i="50"/>
  <c r="D321" i="50"/>
  <c r="D320" i="50"/>
  <c r="D319" i="50"/>
  <c r="D316" i="50"/>
  <c r="D314" i="50"/>
  <c r="D306" i="50"/>
  <c r="D309" i="50"/>
  <c r="D313" i="50"/>
  <c r="D308" i="50"/>
  <c r="D312" i="50"/>
  <c r="D311" i="50"/>
  <c r="D310" i="50"/>
  <c r="D307" i="50"/>
  <c r="D305" i="50"/>
  <c r="D297" i="50"/>
  <c r="D300" i="50"/>
  <c r="D304" i="50"/>
  <c r="D299" i="50"/>
  <c r="D303" i="50"/>
  <c r="D302" i="50"/>
  <c r="D301" i="50"/>
  <c r="D298" i="50"/>
  <c r="D296" i="50"/>
  <c r="D288" i="50"/>
  <c r="D291" i="50"/>
  <c r="D295" i="50"/>
  <c r="D290" i="50"/>
  <c r="D294" i="50"/>
  <c r="D293" i="50"/>
  <c r="D292" i="50"/>
  <c r="D289" i="50"/>
  <c r="D287" i="50"/>
  <c r="D279" i="50"/>
  <c r="D282" i="50"/>
  <c r="D286" i="50"/>
  <c r="D281" i="50"/>
  <c r="D285" i="50"/>
  <c r="D284" i="50"/>
  <c r="D283" i="50"/>
  <c r="D280" i="50"/>
  <c r="D278" i="50"/>
  <c r="D270" i="50"/>
  <c r="D273" i="50"/>
  <c r="D277" i="50"/>
  <c r="D272" i="50"/>
  <c r="D276" i="50"/>
  <c r="D275" i="50"/>
  <c r="D274" i="50"/>
  <c r="D271" i="50"/>
  <c r="D269" i="50"/>
  <c r="D261" i="50"/>
  <c r="D264" i="50"/>
  <c r="D268" i="50"/>
  <c r="D263" i="50"/>
  <c r="D267" i="50"/>
  <c r="D266" i="50"/>
  <c r="D265" i="50"/>
  <c r="D262" i="50"/>
  <c r="D260" i="50"/>
  <c r="D252" i="50"/>
  <c r="D255" i="50"/>
  <c r="D259" i="50"/>
  <c r="D254" i="50"/>
  <c r="D258" i="50"/>
  <c r="D257" i="50"/>
  <c r="D256" i="50"/>
  <c r="D253" i="50"/>
  <c r="D251" i="50"/>
  <c r="D243" i="50"/>
  <c r="D246" i="50"/>
  <c r="D250" i="50"/>
  <c r="F250" i="50"/>
  <c r="D245" i="50"/>
  <c r="D249" i="50"/>
  <c r="F249" i="50"/>
  <c r="D248" i="50"/>
  <c r="F248" i="50"/>
  <c r="D247" i="50"/>
  <c r="F246" i="50"/>
  <c r="D244" i="50"/>
  <c r="D242" i="50"/>
  <c r="D234" i="50"/>
  <c r="D237" i="50"/>
  <c r="D241" i="50"/>
  <c r="D236" i="50"/>
  <c r="D240" i="50"/>
  <c r="D239" i="50"/>
  <c r="D238" i="50"/>
  <c r="D235" i="50"/>
  <c r="D233" i="50"/>
  <c r="D225" i="50"/>
  <c r="D228" i="50"/>
  <c r="D232" i="50"/>
  <c r="D227" i="50"/>
  <c r="D231" i="50"/>
  <c r="D230" i="50"/>
  <c r="D229" i="50"/>
  <c r="D226" i="50"/>
  <c r="D224" i="50"/>
  <c r="D216" i="50"/>
  <c r="D219" i="50"/>
  <c r="D223" i="50"/>
  <c r="D218" i="50"/>
  <c r="D222" i="50"/>
  <c r="D221" i="50"/>
  <c r="D220" i="50"/>
  <c r="D217" i="50"/>
  <c r="D215" i="50"/>
  <c r="D207" i="50"/>
  <c r="D210" i="50"/>
  <c r="D214" i="50"/>
  <c r="D209" i="50"/>
  <c r="D213" i="50"/>
  <c r="D212" i="50"/>
  <c r="D211" i="50"/>
  <c r="D208" i="50"/>
  <c r="D206" i="50"/>
  <c r="D198" i="50"/>
  <c r="D201" i="50"/>
  <c r="D205" i="50"/>
  <c r="D200" i="50"/>
  <c r="D204" i="50"/>
  <c r="D203" i="50"/>
  <c r="D202" i="50"/>
  <c r="D199" i="50"/>
  <c r="D197" i="50"/>
  <c r="D189" i="50"/>
  <c r="D192" i="50"/>
  <c r="D196" i="50"/>
  <c r="D191" i="50"/>
  <c r="D195" i="50"/>
  <c r="D194" i="50"/>
  <c r="D190" i="50"/>
  <c r="D188" i="50"/>
  <c r="D193" i="50"/>
  <c r="D184" i="50"/>
  <c r="D187" i="50"/>
  <c r="D186" i="50"/>
  <c r="D185" i="50"/>
  <c r="D183" i="50"/>
  <c r="D179" i="50"/>
  <c r="D182" i="50"/>
  <c r="D181" i="50"/>
  <c r="D180" i="50"/>
  <c r="D178" i="50"/>
  <c r="D174" i="50"/>
  <c r="D177" i="50"/>
  <c r="D176" i="50"/>
  <c r="D175" i="50"/>
  <c r="D173" i="50"/>
  <c r="D169" i="50"/>
  <c r="D172" i="50"/>
  <c r="D171" i="50"/>
  <c r="D170" i="50"/>
  <c r="D168" i="50"/>
  <c r="D164" i="50"/>
  <c r="D167" i="50"/>
  <c r="D166" i="50"/>
  <c r="D165" i="50"/>
  <c r="D163" i="50"/>
  <c r="D159" i="50"/>
  <c r="D162" i="50"/>
  <c r="D161" i="50"/>
  <c r="D160" i="50"/>
  <c r="D158" i="50"/>
  <c r="D154" i="50"/>
  <c r="D157" i="50"/>
  <c r="D156" i="50"/>
  <c r="D155" i="50"/>
  <c r="D153" i="50"/>
  <c r="D149" i="50"/>
  <c r="D152" i="50"/>
  <c r="D151" i="50"/>
  <c r="D150" i="50"/>
  <c r="D148" i="50"/>
  <c r="D144" i="50"/>
  <c r="D147" i="50"/>
  <c r="D146" i="50"/>
  <c r="D145" i="50"/>
  <c r="D143" i="50"/>
  <c r="D139" i="50"/>
  <c r="D142" i="50"/>
  <c r="D141" i="50"/>
  <c r="D140" i="50"/>
  <c r="D138" i="50"/>
  <c r="D134" i="50"/>
  <c r="D137" i="50"/>
  <c r="D136" i="50"/>
  <c r="D135" i="50"/>
  <c r="D133" i="50"/>
  <c r="D129" i="50"/>
  <c r="D132" i="50"/>
  <c r="D131" i="50"/>
  <c r="D130" i="50"/>
  <c r="D128" i="50"/>
  <c r="D124" i="50"/>
  <c r="D127" i="50"/>
  <c r="D126" i="50"/>
  <c r="D125" i="50"/>
  <c r="D123" i="50"/>
  <c r="D119" i="50"/>
  <c r="D122" i="50"/>
  <c r="D121" i="50"/>
  <c r="D120" i="50"/>
  <c r="D118" i="50"/>
  <c r="D114" i="50"/>
  <c r="D117" i="50"/>
  <c r="D116" i="50"/>
  <c r="D115" i="50"/>
  <c r="D113" i="50"/>
  <c r="D109" i="50"/>
  <c r="D112" i="50"/>
  <c r="D111" i="50"/>
  <c r="D110" i="50"/>
  <c r="D108" i="50"/>
  <c r="D104" i="50"/>
  <c r="D107" i="50"/>
  <c r="D106" i="50"/>
  <c r="D105" i="50"/>
  <c r="D103" i="50"/>
  <c r="D99" i="50"/>
  <c r="D102" i="50"/>
  <c r="D101" i="50"/>
  <c r="D100" i="50"/>
  <c r="D98" i="50"/>
  <c r="D94" i="50"/>
  <c r="D97" i="50"/>
  <c r="D96" i="50"/>
  <c r="D95" i="50"/>
  <c r="D93" i="50"/>
  <c r="D88" i="50"/>
  <c r="D90" i="50"/>
  <c r="D89" i="50"/>
  <c r="D92" i="50"/>
  <c r="D91" i="50"/>
  <c r="D82" i="50"/>
  <c r="D87" i="50"/>
  <c r="D80" i="50"/>
  <c r="D83" i="50"/>
  <c r="D86" i="50"/>
  <c r="D85" i="50"/>
  <c r="D79" i="50"/>
  <c r="D84" i="50"/>
  <c r="D81" i="50"/>
  <c r="D73" i="50"/>
  <c r="D78" i="50"/>
  <c r="D71" i="50"/>
  <c r="D74" i="50"/>
  <c r="D77" i="50"/>
  <c r="D76" i="50"/>
  <c r="D75" i="50"/>
  <c r="D72" i="50"/>
  <c r="D70" i="50"/>
  <c r="D62" i="50"/>
  <c r="D65" i="50"/>
  <c r="D68" i="50"/>
  <c r="D64" i="50"/>
  <c r="D69" i="50"/>
  <c r="D67" i="50"/>
  <c r="D66" i="50"/>
  <c r="D63" i="50"/>
  <c r="D61" i="50"/>
  <c r="D53" i="50"/>
  <c r="D56" i="50"/>
  <c r="D59" i="50"/>
  <c r="D55" i="50"/>
  <c r="D60" i="50"/>
  <c r="D48" i="50"/>
  <c r="D51" i="50"/>
  <c r="D43" i="50"/>
  <c r="D46" i="50"/>
  <c r="D19" i="50"/>
  <c r="D17" i="50"/>
  <c r="D14" i="50"/>
  <c r="D12" i="50"/>
  <c r="D7" i="50"/>
  <c r="D18" i="50"/>
  <c r="D21" i="50"/>
  <c r="F21" i="50"/>
  <c r="E21" i="50"/>
  <c r="B21" i="50"/>
  <c r="D20" i="50"/>
  <c r="F20" i="50"/>
  <c r="E20" i="50"/>
  <c r="B20" i="50"/>
  <c r="F19" i="50"/>
  <c r="E19" i="50"/>
  <c r="B19" i="50"/>
  <c r="F18" i="50"/>
  <c r="E18" i="50"/>
  <c r="B18" i="50"/>
  <c r="F17" i="50"/>
  <c r="E17" i="50"/>
  <c r="B17" i="50"/>
  <c r="B12" i="50"/>
  <c r="D13" i="50"/>
  <c r="D16" i="50"/>
  <c r="F16" i="50"/>
  <c r="E16" i="50"/>
  <c r="B16" i="50"/>
  <c r="D15" i="50"/>
  <c r="F15" i="50"/>
  <c r="E15" i="50"/>
  <c r="B15" i="50"/>
  <c r="F14" i="50"/>
  <c r="E14" i="50"/>
  <c r="B14" i="50"/>
  <c r="F13" i="50"/>
  <c r="E13" i="50"/>
  <c r="B13" i="50"/>
  <c r="F12" i="50"/>
  <c r="E12" i="50"/>
  <c r="B10" i="50"/>
  <c r="B9" i="50"/>
  <c r="B8" i="50"/>
  <c r="B7" i="50"/>
  <c r="F7" i="50"/>
  <c r="D8" i="50"/>
  <c r="F8" i="50"/>
  <c r="D11" i="50"/>
  <c r="D10" i="50"/>
  <c r="D9" i="50"/>
  <c r="F11" i="50"/>
  <c r="E11" i="50"/>
  <c r="B11" i="50"/>
  <c r="F10" i="50"/>
  <c r="E10" i="50"/>
  <c r="F9" i="50"/>
  <c r="E9" i="50"/>
  <c r="E8" i="50"/>
  <c r="E7" i="50"/>
  <c r="D32" i="50"/>
  <c r="E32" i="50"/>
  <c r="F32" i="50"/>
  <c r="D33" i="50"/>
  <c r="D3" i="50"/>
  <c r="D6" i="50"/>
  <c r="E6" i="50"/>
  <c r="F6" i="50"/>
  <c r="D5" i="50"/>
  <c r="F5" i="50"/>
  <c r="D4" i="50"/>
  <c r="F4" i="50"/>
  <c r="F3" i="50"/>
  <c r="F2" i="50"/>
  <c r="B6" i="50"/>
  <c r="E5" i="50"/>
  <c r="B5" i="50"/>
  <c r="E4" i="50"/>
  <c r="B4" i="50"/>
  <c r="E3" i="50"/>
  <c r="B3" i="50"/>
  <c r="E2" i="50"/>
  <c r="B2" i="50"/>
  <c r="D1284" i="50"/>
  <c r="F1284" i="50"/>
  <c r="D1280" i="50"/>
  <c r="D1285" i="50"/>
  <c r="D1282" i="50"/>
  <c r="D1287" i="50"/>
  <c r="F1287" i="50"/>
  <c r="D1281" i="50"/>
  <c r="D1286" i="50"/>
  <c r="F1286" i="50"/>
  <c r="F1285" i="50"/>
  <c r="D1283" i="50"/>
  <c r="F1283" i="50"/>
  <c r="F1282" i="50"/>
  <c r="F1281" i="50"/>
  <c r="F1280" i="50"/>
  <c r="D1279" i="50"/>
  <c r="F1279" i="50"/>
  <c r="B1287" i="50"/>
  <c r="B1286" i="50"/>
  <c r="B1285" i="50"/>
  <c r="B1284" i="50"/>
  <c r="B1283" i="50"/>
  <c r="B1282" i="50"/>
  <c r="B1281" i="50"/>
  <c r="B1280" i="50"/>
  <c r="B1279" i="50"/>
  <c r="E1287" i="50"/>
  <c r="E1286" i="50"/>
  <c r="E1285" i="50"/>
  <c r="E1284" i="50"/>
  <c r="E1283" i="50"/>
  <c r="E1282" i="50"/>
  <c r="E1281" i="50"/>
  <c r="E1280" i="50"/>
  <c r="E1279" i="50"/>
  <c r="D34" i="50"/>
  <c r="D35" i="50"/>
  <c r="D37" i="50"/>
  <c r="D38" i="50"/>
  <c r="D39" i="50"/>
  <c r="D40" i="50"/>
  <c r="D42" i="50"/>
  <c r="D44" i="50"/>
  <c r="D45" i="50"/>
  <c r="D47" i="50"/>
  <c r="D49" i="50"/>
  <c r="D50" i="50"/>
  <c r="D52" i="50"/>
  <c r="D54" i="50"/>
  <c r="D57" i="50"/>
  <c r="D58" i="50"/>
  <c r="D496" i="50"/>
  <c r="D499" i="50"/>
  <c r="D500" i="50"/>
  <c r="D695" i="50"/>
  <c r="D713" i="50"/>
  <c r="D1033" i="50"/>
  <c r="D1042" i="50"/>
  <c r="D1051" i="50"/>
  <c r="D1052" i="50"/>
  <c r="D1053" i="50"/>
  <c r="D1054" i="50"/>
  <c r="D1055" i="50"/>
  <c r="D1056" i="50"/>
  <c r="D1057" i="50"/>
  <c r="D1058" i="50"/>
  <c r="D1059" i="50"/>
  <c r="D1060" i="50"/>
  <c r="D1105" i="50"/>
  <c r="D1106" i="50"/>
  <c r="D1107" i="50"/>
  <c r="D1108" i="50"/>
  <c r="D1109" i="50"/>
  <c r="D1110" i="50"/>
  <c r="D1111" i="50"/>
  <c r="D1112" i="50"/>
  <c r="D1113" i="50"/>
  <c r="D1194" i="50"/>
  <c r="D1195" i="50"/>
  <c r="D1217" i="50"/>
  <c r="D1218" i="50"/>
  <c r="D1219" i="50"/>
  <c r="D1220" i="50"/>
  <c r="D1221" i="50"/>
  <c r="D1222" i="50"/>
  <c r="D1223" i="50"/>
  <c r="D1224" i="50"/>
  <c r="D1225" i="50"/>
  <c r="D1226" i="50"/>
  <c r="D1227" i="50"/>
  <c r="D1228" i="50"/>
  <c r="D1229" i="50"/>
  <c r="D1230" i="50"/>
  <c r="D1231" i="50"/>
  <c r="D1232" i="50"/>
  <c r="D1233" i="50"/>
  <c r="D1242" i="50"/>
  <c r="D1243" i="50"/>
  <c r="D1244" i="50"/>
  <c r="D1245" i="50"/>
  <c r="D1251" i="50"/>
  <c r="D1252" i="50"/>
  <c r="D1253" i="50"/>
  <c r="D1254" i="50"/>
  <c r="D1255" i="50"/>
  <c r="D1256" i="50"/>
  <c r="D1257" i="50"/>
  <c r="D1258" i="50"/>
  <c r="D1259" i="50"/>
  <c r="D1260" i="50"/>
  <c r="D1261" i="50"/>
  <c r="D1262" i="50"/>
  <c r="D1263" i="50"/>
  <c r="D1264" i="50"/>
  <c r="D1265" i="50"/>
  <c r="D1266" i="50"/>
  <c r="D1267" i="50"/>
  <c r="D1268" i="50"/>
  <c r="D1271" i="50"/>
  <c r="D1272" i="50"/>
  <c r="D1273" i="50"/>
  <c r="F1244" i="50"/>
  <c r="F37" i="50"/>
  <c r="B915" i="51"/>
  <c r="B914" i="51"/>
  <c r="B913" i="51"/>
  <c r="B912" i="51"/>
  <c r="B354" i="51"/>
  <c r="B353" i="51"/>
  <c r="B378" i="51"/>
  <c r="B377" i="51"/>
  <c r="B376" i="51"/>
  <c r="B375" i="51"/>
  <c r="B374" i="51"/>
  <c r="B373" i="51"/>
  <c r="B372" i="51"/>
  <c r="B371" i="51"/>
  <c r="B9" i="51"/>
  <c r="B8" i="51"/>
  <c r="B7" i="51"/>
  <c r="B6" i="51"/>
  <c r="B5" i="51"/>
  <c r="B4" i="51"/>
  <c r="B3" i="51"/>
  <c r="B2" i="51"/>
  <c r="F1056" i="50"/>
  <c r="F1057" i="50"/>
  <c r="F1059" i="50"/>
  <c r="F1058" i="50"/>
  <c r="E1059" i="50"/>
  <c r="B1059" i="50"/>
  <c r="B749" i="51"/>
  <c r="B747" i="51"/>
  <c r="B748" i="51"/>
  <c r="F1032" i="50"/>
  <c r="F1055" i="50"/>
  <c r="B750" i="51"/>
  <c r="B343" i="51"/>
  <c r="B1058" i="50"/>
  <c r="B1057" i="50"/>
  <c r="B1055" i="50"/>
  <c r="B1056" i="50"/>
  <c r="E1058" i="50"/>
  <c r="E1057" i="50"/>
  <c r="E1056" i="50"/>
  <c r="E1055" i="50"/>
  <c r="E1226" i="50"/>
  <c r="F1228" i="50"/>
  <c r="F1227" i="50"/>
  <c r="F1226" i="50"/>
  <c r="E1227" i="50"/>
  <c r="E1228" i="50"/>
  <c r="B1228" i="50"/>
  <c r="B1227" i="50"/>
  <c r="B1226" i="50"/>
  <c r="F1225" i="50"/>
  <c r="E1225" i="50"/>
  <c r="B1225" i="50"/>
  <c r="F1224" i="50"/>
  <c r="E1224" i="50"/>
  <c r="B1224" i="50"/>
  <c r="B910" i="51"/>
  <c r="B909" i="51"/>
  <c r="B1265" i="50"/>
  <c r="B1266" i="50"/>
  <c r="B1267" i="50"/>
  <c r="B1268" i="50"/>
  <c r="B1269" i="50"/>
  <c r="B1270" i="50"/>
  <c r="B1271" i="50"/>
  <c r="B1272" i="50"/>
  <c r="B1273" i="50"/>
  <c r="B908" i="51"/>
  <c r="B907" i="51"/>
  <c r="B906" i="51"/>
  <c r="B905" i="51"/>
  <c r="B904" i="51"/>
  <c r="B903" i="51"/>
  <c r="F1273" i="50"/>
  <c r="E1273" i="50"/>
  <c r="F1272" i="50"/>
  <c r="E1272" i="50"/>
  <c r="F1271" i="50"/>
  <c r="E1271" i="50"/>
  <c r="F1268" i="50"/>
  <c r="E1268" i="50"/>
  <c r="F1267" i="50"/>
  <c r="E1267" i="50"/>
  <c r="F1266" i="50"/>
  <c r="E1266" i="50"/>
  <c r="F1265" i="50"/>
  <c r="E1265" i="50"/>
  <c r="F1264" i="50"/>
  <c r="E1264" i="50"/>
  <c r="B1264" i="50"/>
  <c r="F1263" i="50"/>
  <c r="E1263" i="50"/>
  <c r="B1263" i="50"/>
  <c r="F1262" i="50"/>
  <c r="E1262" i="50"/>
  <c r="B1262" i="50"/>
  <c r="F1261" i="50"/>
  <c r="E1261" i="50"/>
  <c r="B1261" i="50"/>
  <c r="F1260" i="50"/>
  <c r="E1260" i="50"/>
  <c r="B1260" i="50"/>
  <c r="B902" i="51"/>
  <c r="B901" i="51"/>
  <c r="B900" i="51"/>
  <c r="B899" i="51"/>
  <c r="B898" i="51"/>
  <c r="E1251" i="50"/>
  <c r="F1251" i="50"/>
  <c r="E1252" i="50"/>
  <c r="F1252" i="50"/>
  <c r="E1253" i="50"/>
  <c r="F1253" i="50"/>
  <c r="E1254" i="50"/>
  <c r="F1254" i="50"/>
  <c r="E1255" i="50"/>
  <c r="F1255" i="50"/>
  <c r="E1256" i="50"/>
  <c r="F1256" i="50"/>
  <c r="E1257" i="50"/>
  <c r="F1257" i="50"/>
  <c r="E1258" i="50"/>
  <c r="F1258" i="50"/>
  <c r="E1259" i="50"/>
  <c r="F1259" i="50"/>
  <c r="B892" i="51"/>
  <c r="B893" i="51"/>
  <c r="B894" i="51"/>
  <c r="B895" i="51"/>
  <c r="B896" i="51"/>
  <c r="B897" i="51"/>
  <c r="F1245" i="50"/>
  <c r="E1245" i="50"/>
  <c r="B1245" i="50"/>
  <c r="E1244" i="50"/>
  <c r="B1244" i="50"/>
  <c r="F1243" i="50"/>
  <c r="E1243" i="50"/>
  <c r="B1243" i="50"/>
  <c r="F1242" i="50"/>
  <c r="E1242" i="50"/>
  <c r="B1242" i="50"/>
  <c r="B886" i="51"/>
  <c r="B885" i="51"/>
  <c r="B884" i="51"/>
  <c r="B883" i="51"/>
  <c r="B880" i="51"/>
  <c r="B879" i="51"/>
  <c r="B878" i="51"/>
  <c r="B877" i="51"/>
  <c r="F1236" i="50"/>
  <c r="E1236" i="50"/>
  <c r="B1236" i="50"/>
  <c r="F1235" i="50"/>
  <c r="E1235" i="50"/>
  <c r="B1235" i="50"/>
  <c r="F1234" i="50"/>
  <c r="E1234" i="50"/>
  <c r="B1234" i="50"/>
  <c r="F1233" i="50"/>
  <c r="E1233" i="50"/>
  <c r="B1233" i="50"/>
  <c r="B1229" i="50"/>
  <c r="E1229" i="50"/>
  <c r="F1229" i="50"/>
  <c r="B1230" i="50"/>
  <c r="E1230" i="50"/>
  <c r="F1230" i="50"/>
  <c r="B1231" i="50"/>
  <c r="E1231" i="50"/>
  <c r="F1231" i="50"/>
  <c r="B1232" i="50"/>
  <c r="E1232" i="50"/>
  <c r="F1232" i="50"/>
  <c r="B874" i="51"/>
  <c r="B875" i="51"/>
  <c r="B876" i="51"/>
  <c r="B873" i="51"/>
  <c r="B870" i="51"/>
  <c r="B869" i="51"/>
  <c r="B868" i="51"/>
  <c r="B867" i="51"/>
  <c r="F1045" i="50"/>
  <c r="E1045" i="50"/>
  <c r="B1045" i="50"/>
  <c r="F1044" i="50"/>
  <c r="E1044" i="50"/>
  <c r="B1044" i="50"/>
  <c r="F1043" i="50"/>
  <c r="E1043" i="50"/>
  <c r="B1043" i="50"/>
  <c r="F1042" i="50"/>
  <c r="E1042" i="50"/>
  <c r="B1042" i="50"/>
  <c r="F1223" i="50"/>
  <c r="E1223" i="50"/>
  <c r="B1223" i="50"/>
  <c r="F1222" i="50"/>
  <c r="E1222" i="50"/>
  <c r="B1222" i="50"/>
  <c r="F1221" i="50"/>
  <c r="E1221" i="50"/>
  <c r="B1221" i="50"/>
  <c r="F1220" i="50"/>
  <c r="E1220" i="50"/>
  <c r="B1220" i="50"/>
  <c r="F1219" i="50"/>
  <c r="E1219" i="50"/>
  <c r="B1219" i="50"/>
  <c r="F1218" i="50"/>
  <c r="E1218" i="50"/>
  <c r="B1218" i="50"/>
  <c r="F1217" i="50"/>
  <c r="E1217" i="50"/>
  <c r="B1217" i="50"/>
  <c r="B866" i="51"/>
  <c r="B865" i="51"/>
  <c r="B864" i="51"/>
  <c r="B863" i="51"/>
  <c r="B862" i="51"/>
  <c r="F1165" i="50"/>
  <c r="E1165" i="50"/>
  <c r="B1165" i="50"/>
  <c r="F1164" i="50"/>
  <c r="E1164" i="50"/>
  <c r="B1164" i="50"/>
  <c r="F1163" i="50"/>
  <c r="E1163" i="50"/>
  <c r="B1163" i="50"/>
  <c r="F1162" i="50"/>
  <c r="E1162" i="50"/>
  <c r="B1162" i="50"/>
  <c r="F1161" i="50"/>
  <c r="E1161" i="50"/>
  <c r="B1161" i="50"/>
  <c r="F1160" i="50"/>
  <c r="E1160" i="50"/>
  <c r="B1160" i="50"/>
  <c r="E1159" i="50"/>
  <c r="B1159" i="50"/>
  <c r="B861" i="51"/>
  <c r="B860" i="51"/>
  <c r="B859" i="51"/>
  <c r="B858" i="51"/>
  <c r="B857" i="51"/>
  <c r="E1062" i="50"/>
  <c r="E1063" i="50"/>
  <c r="E1196" i="50"/>
  <c r="E1197" i="50"/>
  <c r="E1198" i="50"/>
  <c r="E1199" i="50"/>
  <c r="E1200" i="50"/>
  <c r="E1201" i="50"/>
  <c r="E1202" i="50"/>
  <c r="F1063" i="50"/>
  <c r="F1196" i="50"/>
  <c r="F1197" i="50"/>
  <c r="F1198" i="50"/>
  <c r="F1199" i="50"/>
  <c r="F1200" i="50"/>
  <c r="F1201" i="50"/>
  <c r="F1202" i="50"/>
  <c r="B1196" i="50"/>
  <c r="B1197" i="50"/>
  <c r="B1198" i="50"/>
  <c r="B1199" i="50"/>
  <c r="B1200" i="50"/>
  <c r="B1201" i="50"/>
  <c r="B1202" i="50"/>
  <c r="B844" i="51"/>
  <c r="B845" i="51"/>
  <c r="B846" i="51"/>
  <c r="B847" i="51"/>
  <c r="B848" i="51"/>
  <c r="E1060" i="50"/>
  <c r="E1061" i="50"/>
  <c r="B1062" i="50"/>
  <c r="F1062" i="50"/>
  <c r="B1063" i="50"/>
  <c r="F1061" i="50"/>
  <c r="B1061" i="50"/>
  <c r="F1060" i="50"/>
  <c r="B1060" i="50"/>
  <c r="B840" i="51"/>
  <c r="B841" i="51"/>
  <c r="B838" i="51"/>
  <c r="B839" i="51"/>
  <c r="F815" i="50"/>
  <c r="E815" i="50"/>
  <c r="B815" i="50"/>
  <c r="F814" i="50"/>
  <c r="E814" i="50"/>
  <c r="B814" i="50"/>
  <c r="F813" i="50"/>
  <c r="E813" i="50"/>
  <c r="B813" i="50"/>
  <c r="F812" i="50"/>
  <c r="E812" i="50"/>
  <c r="B812" i="50"/>
  <c r="F811" i="50"/>
  <c r="E811" i="50"/>
  <c r="B811" i="50"/>
  <c r="F810" i="50"/>
  <c r="E810" i="50"/>
  <c r="B810" i="50"/>
  <c r="F809" i="50"/>
  <c r="E809" i="50"/>
  <c r="B809" i="50"/>
  <c r="B665" i="51"/>
  <c r="B666" i="51"/>
  <c r="B667" i="51"/>
  <c r="B668" i="51"/>
  <c r="B669" i="51"/>
  <c r="F1153" i="50"/>
  <c r="E1153" i="50"/>
  <c r="B1153" i="50"/>
  <c r="F1152" i="50"/>
  <c r="E1152" i="50"/>
  <c r="B1152" i="50"/>
  <c r="F1151" i="50"/>
  <c r="E1151" i="50"/>
  <c r="B1151" i="50"/>
  <c r="F1150" i="50"/>
  <c r="E1150" i="50"/>
  <c r="B1150" i="50"/>
  <c r="F1149" i="50"/>
  <c r="E1149" i="50"/>
  <c r="B1149" i="50"/>
  <c r="F1148" i="50"/>
  <c r="E1148" i="50"/>
  <c r="B1148" i="50"/>
  <c r="F1147" i="50"/>
  <c r="E1147" i="50"/>
  <c r="B1147" i="50"/>
  <c r="F1146" i="50"/>
  <c r="E1146" i="50"/>
  <c r="B1146" i="50"/>
  <c r="F1145" i="50"/>
  <c r="E1145" i="50"/>
  <c r="B1145" i="50"/>
  <c r="F1144" i="50"/>
  <c r="E1144" i="50"/>
  <c r="B1144" i="50"/>
  <c r="F1143" i="50"/>
  <c r="E1143" i="50"/>
  <c r="B1143" i="50"/>
  <c r="F1142" i="50"/>
  <c r="E1142" i="50"/>
  <c r="B1142" i="50"/>
  <c r="F1141" i="50"/>
  <c r="E1141" i="50"/>
  <c r="B1141" i="50"/>
  <c r="F1140" i="50"/>
  <c r="E1140" i="50"/>
  <c r="B1140" i="50"/>
  <c r="B826" i="51"/>
  <c r="B827" i="51"/>
  <c r="B828" i="51"/>
  <c r="B829" i="51"/>
  <c r="B830" i="51"/>
  <c r="B831" i="51"/>
  <c r="B832" i="51"/>
  <c r="B833" i="51"/>
  <c r="B834" i="51"/>
  <c r="B835" i="51"/>
  <c r="B1033" i="50"/>
  <c r="E1033" i="50"/>
  <c r="F1033" i="50"/>
  <c r="B340" i="51"/>
  <c r="B740" i="51"/>
  <c r="B741" i="51"/>
  <c r="B742" i="51"/>
  <c r="B1034" i="50"/>
  <c r="E1034" i="50"/>
  <c r="F1034" i="50"/>
  <c r="B1035" i="50"/>
  <c r="E1035" i="50"/>
  <c r="F1035" i="50"/>
  <c r="B1036" i="50"/>
  <c r="E1036" i="50"/>
  <c r="F1036" i="50"/>
  <c r="B695" i="50"/>
  <c r="E695" i="50"/>
  <c r="F695" i="50"/>
  <c r="E1132" i="50"/>
  <c r="B1139" i="50"/>
  <c r="E1139" i="50"/>
  <c r="F1139" i="50"/>
  <c r="B1134" i="50"/>
  <c r="E1134" i="50"/>
  <c r="F1134" i="50"/>
  <c r="B1135" i="50"/>
  <c r="E1135" i="50"/>
  <c r="F1135" i="50"/>
  <c r="B1136" i="50"/>
  <c r="E1136" i="50"/>
  <c r="F1136" i="50"/>
  <c r="B1137" i="50"/>
  <c r="E1137" i="50"/>
  <c r="F1137" i="50"/>
  <c r="B1138" i="50"/>
  <c r="E1138" i="50"/>
  <c r="F1138" i="50"/>
  <c r="B1120" i="50"/>
  <c r="E1120" i="50"/>
  <c r="F1120" i="50"/>
  <c r="B1126" i="50"/>
  <c r="E1126" i="50"/>
  <c r="F1126" i="50"/>
  <c r="B1127" i="50"/>
  <c r="E1127" i="50"/>
  <c r="F1127" i="50"/>
  <c r="B1128" i="50"/>
  <c r="E1128" i="50"/>
  <c r="F1128" i="50"/>
  <c r="B1129" i="50"/>
  <c r="E1129" i="50"/>
  <c r="F1129" i="50"/>
  <c r="B1130" i="50"/>
  <c r="E1130" i="50"/>
  <c r="F1130" i="50"/>
  <c r="B1131" i="50"/>
  <c r="E1131" i="50"/>
  <c r="F1131" i="50"/>
  <c r="B1132" i="50"/>
  <c r="F1132" i="50"/>
  <c r="B1133" i="50"/>
  <c r="E1133" i="50"/>
  <c r="F1133" i="50"/>
  <c r="B1114" i="50"/>
  <c r="E1114" i="50"/>
  <c r="F1114" i="50"/>
  <c r="B1115" i="50"/>
  <c r="E1115" i="50"/>
  <c r="F1115" i="50"/>
  <c r="B1116" i="50"/>
  <c r="E1116" i="50"/>
  <c r="F1116" i="50"/>
  <c r="B1117" i="50"/>
  <c r="E1117" i="50"/>
  <c r="F1117" i="50"/>
  <c r="B1118" i="50"/>
  <c r="E1118" i="50"/>
  <c r="F1118" i="50"/>
  <c r="B1119" i="50"/>
  <c r="E1119" i="50"/>
  <c r="F1119" i="50"/>
  <c r="B1071" i="50"/>
  <c r="E1071" i="50"/>
  <c r="F1071" i="50"/>
  <c r="B1072" i="50"/>
  <c r="E1072" i="50"/>
  <c r="F1072" i="50"/>
  <c r="B1073" i="50"/>
  <c r="E1073" i="50"/>
  <c r="F1073" i="50"/>
  <c r="B1074" i="50"/>
  <c r="E1074" i="50"/>
  <c r="F1074" i="50"/>
  <c r="B1075" i="50"/>
  <c r="E1075" i="50"/>
  <c r="F1075" i="50"/>
  <c r="B1081" i="50"/>
  <c r="E1081" i="50"/>
  <c r="F1081" i="50"/>
  <c r="B1082" i="50"/>
  <c r="E1082" i="50"/>
  <c r="F1082" i="50"/>
  <c r="B1083" i="50"/>
  <c r="E1083" i="50"/>
  <c r="F1083" i="50"/>
  <c r="B1084" i="50"/>
  <c r="E1084" i="50"/>
  <c r="F1084" i="50"/>
  <c r="B1085" i="50"/>
  <c r="E1085" i="50"/>
  <c r="F1085" i="50"/>
  <c r="B1086" i="50"/>
  <c r="E1086" i="50"/>
  <c r="F1086" i="50"/>
  <c r="B1087" i="50"/>
  <c r="E1087" i="50"/>
  <c r="F1087" i="50"/>
  <c r="B1093" i="50"/>
  <c r="E1093" i="50"/>
  <c r="F1093" i="50"/>
  <c r="B1094" i="50"/>
  <c r="E1094" i="50"/>
  <c r="F1094" i="50"/>
  <c r="B1095" i="50"/>
  <c r="E1095" i="50"/>
  <c r="F1095" i="50"/>
  <c r="B1096" i="50"/>
  <c r="E1096" i="50"/>
  <c r="F1096" i="50"/>
  <c r="B1097" i="50"/>
  <c r="E1097" i="50"/>
  <c r="F1097" i="50"/>
  <c r="B1098" i="50"/>
  <c r="E1098" i="50"/>
  <c r="F1098" i="50"/>
  <c r="B1099" i="50"/>
  <c r="E1099" i="50"/>
  <c r="F1099" i="50"/>
  <c r="B1105" i="50"/>
  <c r="E1105" i="50"/>
  <c r="F1105" i="50"/>
  <c r="B1106" i="50"/>
  <c r="E1106" i="50"/>
  <c r="F1106" i="50"/>
  <c r="B1107" i="50"/>
  <c r="E1107" i="50"/>
  <c r="F1107" i="50"/>
  <c r="B1108" i="50"/>
  <c r="E1108" i="50"/>
  <c r="F1108" i="50"/>
  <c r="B1109" i="50"/>
  <c r="E1109" i="50"/>
  <c r="F1109" i="50"/>
  <c r="B1110" i="50"/>
  <c r="E1110" i="50"/>
  <c r="F1110" i="50"/>
  <c r="B1111" i="50"/>
  <c r="E1111" i="50"/>
  <c r="F1111" i="50"/>
  <c r="B1112" i="50"/>
  <c r="E1112" i="50"/>
  <c r="F1112" i="50"/>
  <c r="B1113" i="50"/>
  <c r="E1113" i="50"/>
  <c r="F1113" i="50"/>
  <c r="B816" i="51"/>
  <c r="B817" i="51"/>
  <c r="B818" i="51"/>
  <c r="B819" i="51"/>
  <c r="B820" i="51"/>
  <c r="B821" i="51"/>
  <c r="B822" i="51"/>
  <c r="B823" i="51"/>
  <c r="B824" i="51"/>
  <c r="B825" i="51"/>
  <c r="B810" i="51"/>
  <c r="B811" i="51"/>
  <c r="B812" i="51"/>
  <c r="B813" i="51"/>
  <c r="B782" i="51"/>
  <c r="B783" i="51"/>
  <c r="B784" i="51"/>
  <c r="B785" i="51"/>
  <c r="B786" i="51"/>
  <c r="B789" i="51"/>
  <c r="B790" i="51"/>
  <c r="B791" i="51"/>
  <c r="B792" i="51"/>
  <c r="B793" i="51"/>
  <c r="B796" i="51"/>
  <c r="B797" i="51"/>
  <c r="B798" i="51"/>
  <c r="B799" i="51"/>
  <c r="B800" i="51"/>
  <c r="B803" i="51"/>
  <c r="B804" i="51"/>
  <c r="B805" i="51"/>
  <c r="B806" i="51"/>
  <c r="B807" i="51"/>
  <c r="B808" i="51"/>
  <c r="B809" i="51"/>
  <c r="B693" i="50"/>
  <c r="E693" i="50"/>
  <c r="F693" i="50"/>
  <c r="B694" i="50"/>
  <c r="E694" i="50"/>
  <c r="F694" i="50"/>
  <c r="F1069" i="50"/>
  <c r="E1069" i="50"/>
  <c r="B1069" i="50"/>
  <c r="F692" i="50"/>
  <c r="E692" i="50"/>
  <c r="B692" i="50"/>
  <c r="B1194" i="50"/>
  <c r="E1194" i="50"/>
  <c r="F1194" i="50"/>
  <c r="B1195" i="50"/>
  <c r="E1195" i="50"/>
  <c r="F1195" i="50"/>
  <c r="B690" i="50"/>
  <c r="E690" i="50"/>
  <c r="F690" i="50"/>
  <c r="B691" i="50"/>
  <c r="E691" i="50"/>
  <c r="F691" i="50"/>
  <c r="B1070" i="50"/>
  <c r="E1070" i="50"/>
  <c r="F1070" i="50"/>
  <c r="B781" i="51"/>
  <c r="B779" i="51"/>
  <c r="B780" i="51"/>
  <c r="B777" i="51"/>
  <c r="B778" i="51"/>
  <c r="B776" i="51"/>
  <c r="B775" i="51"/>
  <c r="E36" i="50"/>
  <c r="E35" i="50"/>
  <c r="F1025" i="50"/>
  <c r="E1025" i="50"/>
  <c r="B1025" i="50"/>
  <c r="F1024" i="50"/>
  <c r="E1024" i="50"/>
  <c r="B1024" i="50"/>
  <c r="F1023" i="50"/>
  <c r="E1023" i="50"/>
  <c r="B1023" i="50"/>
  <c r="F1021" i="50"/>
  <c r="E1021" i="50"/>
  <c r="B1021" i="50"/>
  <c r="F1020" i="50"/>
  <c r="E1020" i="50"/>
  <c r="B1020" i="50"/>
  <c r="F1018" i="50"/>
  <c r="E1018" i="50"/>
  <c r="B1018" i="50"/>
  <c r="F1016" i="50"/>
  <c r="E1016" i="50"/>
  <c r="B1016" i="50"/>
  <c r="F1015" i="50"/>
  <c r="E1015" i="50"/>
  <c r="B1015" i="50"/>
  <c r="F1014" i="50"/>
  <c r="E1014" i="50"/>
  <c r="B1014" i="50"/>
  <c r="F1012" i="50"/>
  <c r="E1012" i="50"/>
  <c r="B1012" i="50"/>
  <c r="F1011" i="50"/>
  <c r="E1011" i="50"/>
  <c r="B1011" i="50"/>
  <c r="F1009" i="50"/>
  <c r="E1009" i="50"/>
  <c r="B1009" i="50"/>
  <c r="F1008" i="50"/>
  <c r="E1008" i="50"/>
  <c r="B1008" i="50"/>
  <c r="F1007" i="50"/>
  <c r="E1007" i="50"/>
  <c r="B1007" i="50"/>
  <c r="F1005" i="50"/>
  <c r="E1005" i="50"/>
  <c r="B1005" i="50"/>
  <c r="F1004" i="50"/>
  <c r="E1004" i="50"/>
  <c r="B1004" i="50"/>
  <c r="F1002" i="50"/>
  <c r="E1002" i="50"/>
  <c r="B1002" i="50"/>
  <c r="F1000" i="50"/>
  <c r="E1000" i="50"/>
  <c r="F999" i="50"/>
  <c r="E999" i="50"/>
  <c r="F998" i="50"/>
  <c r="E998" i="50"/>
  <c r="F996" i="50"/>
  <c r="E996" i="50"/>
  <c r="F995" i="50"/>
  <c r="E995" i="50"/>
  <c r="B995" i="50"/>
  <c r="B996" i="50"/>
  <c r="B998" i="50"/>
  <c r="B999" i="50"/>
  <c r="B1000" i="50"/>
  <c r="E1032" i="50"/>
  <c r="B1032" i="50"/>
  <c r="F1031" i="50"/>
  <c r="E1031" i="50"/>
  <c r="B1031" i="50"/>
  <c r="F1030" i="50"/>
  <c r="E1030" i="50"/>
  <c r="B1030" i="50"/>
  <c r="F1028" i="50"/>
  <c r="E1028" i="50"/>
  <c r="B1028" i="50"/>
  <c r="F1027" i="50"/>
  <c r="E1027" i="50"/>
  <c r="B1027" i="50"/>
  <c r="E65" i="50"/>
  <c r="E46" i="50"/>
  <c r="B417" i="50"/>
  <c r="E417" i="50"/>
  <c r="F417" i="50"/>
  <c r="B419" i="50"/>
  <c r="E419" i="50"/>
  <c r="F419" i="50"/>
  <c r="B420" i="50"/>
  <c r="E420" i="50"/>
  <c r="F420" i="50"/>
  <c r="B421" i="50"/>
  <c r="E421" i="50"/>
  <c r="F421" i="50"/>
  <c r="B423" i="50"/>
  <c r="E423" i="50"/>
  <c r="F423" i="50"/>
  <c r="B425" i="50"/>
  <c r="E425" i="50"/>
  <c r="F425" i="50"/>
  <c r="B426" i="50"/>
  <c r="E426" i="50"/>
  <c r="F426" i="50"/>
  <c r="B428" i="50"/>
  <c r="E428" i="50"/>
  <c r="F428" i="50"/>
  <c r="B429" i="50"/>
  <c r="E429" i="50"/>
  <c r="F429" i="50"/>
  <c r="B430" i="50"/>
  <c r="E430" i="50"/>
  <c r="F430" i="50"/>
  <c r="B432" i="50"/>
  <c r="E432" i="50"/>
  <c r="F432" i="50"/>
  <c r="B434" i="50"/>
  <c r="E434" i="50"/>
  <c r="F434" i="50"/>
  <c r="B435" i="50"/>
  <c r="E435" i="50"/>
  <c r="F435" i="50"/>
  <c r="B437" i="50"/>
  <c r="E437" i="50"/>
  <c r="F437" i="50"/>
  <c r="B438" i="50"/>
  <c r="E438" i="50"/>
  <c r="F438" i="50"/>
  <c r="B439" i="50"/>
  <c r="E439" i="50"/>
  <c r="F439" i="50"/>
  <c r="B441" i="50"/>
  <c r="E441" i="50"/>
  <c r="F441" i="50"/>
  <c r="B443" i="50"/>
  <c r="E443" i="50"/>
  <c r="F443" i="50"/>
  <c r="B444" i="50"/>
  <c r="E444" i="50"/>
  <c r="F444" i="50"/>
  <c r="B446" i="50"/>
  <c r="E446" i="50"/>
  <c r="F446" i="50"/>
  <c r="B447" i="50"/>
  <c r="E447" i="50"/>
  <c r="F447" i="50"/>
  <c r="B448" i="50"/>
  <c r="E448" i="50"/>
  <c r="F448" i="50"/>
  <c r="B450" i="50"/>
  <c r="E450" i="50"/>
  <c r="F450" i="50"/>
  <c r="B452" i="50"/>
  <c r="E452" i="50"/>
  <c r="F452" i="50"/>
  <c r="B453" i="50"/>
  <c r="E453" i="50"/>
  <c r="F453" i="50"/>
  <c r="B455" i="50"/>
  <c r="E455" i="50"/>
  <c r="F455" i="50"/>
  <c r="B456" i="50"/>
  <c r="E456" i="50"/>
  <c r="F456" i="50"/>
  <c r="B457" i="50"/>
  <c r="E457" i="50"/>
  <c r="F457" i="50"/>
  <c r="B459" i="50"/>
  <c r="E459" i="50"/>
  <c r="F459" i="50"/>
  <c r="B461" i="50"/>
  <c r="E461" i="50"/>
  <c r="F461" i="50"/>
  <c r="B462" i="50"/>
  <c r="E462" i="50"/>
  <c r="F462" i="50"/>
  <c r="B464" i="50"/>
  <c r="E464" i="50"/>
  <c r="F464" i="50"/>
  <c r="B465" i="50"/>
  <c r="E465" i="50"/>
  <c r="F465" i="50"/>
  <c r="B466" i="50"/>
  <c r="E466" i="50"/>
  <c r="F466" i="50"/>
  <c r="B468" i="50"/>
  <c r="E468" i="50"/>
  <c r="F468" i="50"/>
  <c r="B470" i="50"/>
  <c r="E470" i="50"/>
  <c r="F470" i="50"/>
  <c r="B471" i="50"/>
  <c r="E471" i="50"/>
  <c r="F471" i="50"/>
  <c r="B473" i="50"/>
  <c r="E473" i="50"/>
  <c r="F473" i="50"/>
  <c r="B474" i="50"/>
  <c r="E474" i="50"/>
  <c r="F474" i="50"/>
  <c r="B475" i="50"/>
  <c r="E475" i="50"/>
  <c r="F475" i="50"/>
  <c r="B477" i="50"/>
  <c r="E477" i="50"/>
  <c r="B479" i="50"/>
  <c r="E479" i="50"/>
  <c r="B480" i="50"/>
  <c r="E480" i="50"/>
  <c r="B482" i="50"/>
  <c r="E482" i="50"/>
  <c r="F482" i="50"/>
  <c r="B484" i="50"/>
  <c r="E484" i="50"/>
  <c r="F484" i="50"/>
  <c r="B485" i="50"/>
  <c r="E485" i="50"/>
  <c r="F485" i="50"/>
  <c r="B487" i="50"/>
  <c r="E487" i="50"/>
  <c r="F487" i="50"/>
  <c r="B489" i="50"/>
  <c r="E489" i="50"/>
  <c r="F489" i="50"/>
  <c r="B490" i="50"/>
  <c r="E490" i="50"/>
  <c r="F490" i="50"/>
  <c r="B492" i="50"/>
  <c r="E492" i="50"/>
  <c r="F492" i="50"/>
  <c r="B494" i="50"/>
  <c r="E494" i="50"/>
  <c r="F494" i="50"/>
  <c r="B495" i="50"/>
  <c r="E495" i="50"/>
  <c r="F495" i="50"/>
  <c r="B497" i="50"/>
  <c r="E497" i="50"/>
  <c r="F497" i="50"/>
  <c r="B498" i="50"/>
  <c r="E498" i="50"/>
  <c r="F498" i="50"/>
  <c r="B500" i="50"/>
  <c r="E500" i="50"/>
  <c r="F500" i="50"/>
  <c r="B501" i="50"/>
  <c r="E501" i="50"/>
  <c r="B502" i="50"/>
  <c r="E502" i="50"/>
  <c r="B504" i="50"/>
  <c r="E504" i="50"/>
  <c r="F504" i="50"/>
  <c r="B505" i="50"/>
  <c r="E505" i="50"/>
  <c r="F505" i="50"/>
  <c r="B507" i="50"/>
  <c r="E507" i="50"/>
  <c r="F507" i="50"/>
  <c r="B508" i="50"/>
  <c r="E508" i="50"/>
  <c r="F508" i="50"/>
  <c r="B509" i="50"/>
  <c r="E509" i="50"/>
  <c r="F509" i="50"/>
  <c r="B511" i="50"/>
  <c r="E511" i="50"/>
  <c r="F511" i="50"/>
  <c r="B512" i="50"/>
  <c r="E512" i="50"/>
  <c r="F512" i="50"/>
  <c r="B514" i="50"/>
  <c r="E514" i="50"/>
  <c r="F514" i="50"/>
  <c r="B515" i="50"/>
  <c r="E515" i="50"/>
  <c r="F515" i="50"/>
  <c r="B516" i="50"/>
  <c r="E516" i="50"/>
  <c r="F516" i="50"/>
  <c r="B518" i="50"/>
  <c r="E518" i="50"/>
  <c r="F518" i="50"/>
  <c r="B519" i="50"/>
  <c r="E519" i="50"/>
  <c r="F519" i="50"/>
  <c r="B521" i="50"/>
  <c r="E521" i="50"/>
  <c r="F521" i="50"/>
  <c r="B522" i="50"/>
  <c r="E522" i="50"/>
  <c r="F522" i="50"/>
  <c r="B523" i="50"/>
  <c r="E523" i="50"/>
  <c r="F523" i="50"/>
  <c r="B525" i="50"/>
  <c r="E525" i="50"/>
  <c r="F525" i="50"/>
  <c r="B526" i="50"/>
  <c r="E526" i="50"/>
  <c r="F526" i="50"/>
  <c r="B528" i="50"/>
  <c r="E528" i="50"/>
  <c r="F528" i="50"/>
  <c r="B529" i="50"/>
  <c r="E529" i="50"/>
  <c r="F529" i="50"/>
  <c r="B530" i="50"/>
  <c r="E530" i="50"/>
  <c r="F530" i="50"/>
  <c r="B532" i="50"/>
  <c r="E532" i="50"/>
  <c r="F532" i="50"/>
  <c r="B534" i="50"/>
  <c r="E534" i="50"/>
  <c r="F534" i="50"/>
  <c r="B535" i="50"/>
  <c r="E535" i="50"/>
  <c r="F535" i="50"/>
  <c r="B537" i="50"/>
  <c r="E537" i="50"/>
  <c r="F537" i="50"/>
  <c r="B539" i="50"/>
  <c r="E539" i="50"/>
  <c r="F539" i="50"/>
  <c r="B540" i="50"/>
  <c r="E540" i="50"/>
  <c r="F540" i="50"/>
  <c r="B542" i="50"/>
  <c r="E542" i="50"/>
  <c r="F542" i="50"/>
  <c r="B544" i="50"/>
  <c r="E544" i="50"/>
  <c r="F544" i="50"/>
  <c r="B545" i="50"/>
  <c r="E545" i="50"/>
  <c r="F545" i="50"/>
  <c r="B547" i="50"/>
  <c r="E547" i="50"/>
  <c r="F547" i="50"/>
  <c r="B549" i="50"/>
  <c r="E549" i="50"/>
  <c r="F549" i="50"/>
  <c r="B550" i="50"/>
  <c r="E550" i="50"/>
  <c r="F550" i="50"/>
  <c r="B552" i="50"/>
  <c r="E552" i="50"/>
  <c r="F552" i="50"/>
  <c r="B553" i="50"/>
  <c r="E553" i="50"/>
  <c r="F553" i="50"/>
  <c r="B555" i="50"/>
  <c r="E555" i="50"/>
  <c r="F555" i="50"/>
  <c r="B556" i="50"/>
  <c r="E556" i="50"/>
  <c r="F556" i="50"/>
  <c r="B557" i="50"/>
  <c r="E557" i="50"/>
  <c r="F557" i="50"/>
  <c r="B559" i="50"/>
  <c r="E559" i="50"/>
  <c r="F559" i="50"/>
  <c r="B560" i="50"/>
  <c r="E560" i="50"/>
  <c r="F560" i="50"/>
  <c r="B562" i="50"/>
  <c r="E562" i="50"/>
  <c r="F562" i="50"/>
  <c r="B563" i="50"/>
  <c r="E563" i="50"/>
  <c r="F563" i="50"/>
  <c r="B564" i="50"/>
  <c r="E564" i="50"/>
  <c r="F564" i="50"/>
  <c r="B566" i="50"/>
  <c r="E566" i="50"/>
  <c r="F566" i="50"/>
  <c r="B567" i="50"/>
  <c r="E567" i="50"/>
  <c r="F567" i="50"/>
  <c r="B569" i="50"/>
  <c r="E569" i="50"/>
  <c r="F569" i="50"/>
  <c r="B570" i="50"/>
  <c r="E570" i="50"/>
  <c r="F570" i="50"/>
  <c r="B571" i="50"/>
  <c r="E571" i="50"/>
  <c r="F571" i="50"/>
  <c r="B573" i="50"/>
  <c r="E573" i="50"/>
  <c r="F573" i="50"/>
  <c r="B574" i="50"/>
  <c r="E574" i="50"/>
  <c r="F574" i="50"/>
  <c r="B576" i="50"/>
  <c r="E576" i="50"/>
  <c r="F576" i="50"/>
  <c r="B577" i="50"/>
  <c r="E577" i="50"/>
  <c r="F577" i="50"/>
  <c r="B578" i="50"/>
  <c r="E578" i="50"/>
  <c r="F578" i="50"/>
  <c r="B580" i="50"/>
  <c r="E580" i="50"/>
  <c r="F580" i="50"/>
  <c r="B581" i="50"/>
  <c r="E581" i="50"/>
  <c r="F581" i="50"/>
  <c r="B583" i="50"/>
  <c r="E583" i="50"/>
  <c r="F583" i="50"/>
  <c r="B584" i="50"/>
  <c r="E584" i="50"/>
  <c r="F584" i="50"/>
  <c r="B585" i="50"/>
  <c r="E585" i="50"/>
  <c r="F585" i="50"/>
  <c r="B587" i="50"/>
  <c r="E587" i="50"/>
  <c r="F587" i="50"/>
  <c r="B589" i="50"/>
  <c r="E589" i="50"/>
  <c r="F589" i="50"/>
  <c r="B590" i="50"/>
  <c r="E590" i="50"/>
  <c r="F590" i="50"/>
  <c r="B592" i="50"/>
  <c r="E592" i="50"/>
  <c r="F592" i="50"/>
  <c r="B594" i="50"/>
  <c r="E594" i="50"/>
  <c r="F594" i="50"/>
  <c r="B595" i="50"/>
  <c r="E595" i="50"/>
  <c r="F595" i="50"/>
  <c r="B597" i="50"/>
  <c r="E597" i="50"/>
  <c r="F597" i="50"/>
  <c r="B599" i="50"/>
  <c r="E599" i="50"/>
  <c r="F599" i="50"/>
  <c r="B600" i="50"/>
  <c r="E600" i="50"/>
  <c r="F600" i="50"/>
  <c r="B602" i="50"/>
  <c r="E602" i="50"/>
  <c r="F602" i="50"/>
  <c r="B604" i="50"/>
  <c r="E604" i="50"/>
  <c r="F604" i="50"/>
  <c r="B605" i="50"/>
  <c r="E605" i="50"/>
  <c r="F605" i="50"/>
  <c r="B607" i="50"/>
  <c r="E607" i="50"/>
  <c r="F607" i="50"/>
  <c r="B608" i="50"/>
  <c r="E608" i="50"/>
  <c r="F608" i="50"/>
  <c r="B610" i="50"/>
  <c r="E610" i="50"/>
  <c r="F610" i="50"/>
  <c r="B611" i="50"/>
  <c r="E611" i="50"/>
  <c r="F611" i="50"/>
  <c r="B612" i="50"/>
  <c r="E612" i="50"/>
  <c r="F612" i="50"/>
  <c r="B614" i="50"/>
  <c r="E614" i="50"/>
  <c r="F614" i="50"/>
  <c r="B615" i="50"/>
  <c r="E615" i="50"/>
  <c r="F615" i="50"/>
  <c r="B617" i="50"/>
  <c r="E617" i="50"/>
  <c r="F617" i="50"/>
  <c r="B618" i="50"/>
  <c r="E618" i="50"/>
  <c r="F618" i="50"/>
  <c r="B619" i="50"/>
  <c r="E619" i="50"/>
  <c r="F619" i="50"/>
  <c r="B621" i="50"/>
  <c r="E621" i="50"/>
  <c r="F621" i="50"/>
  <c r="B622" i="50"/>
  <c r="E622" i="50"/>
  <c r="F622" i="50"/>
  <c r="B624" i="50"/>
  <c r="E624" i="50"/>
  <c r="F624" i="50"/>
  <c r="B625" i="50"/>
  <c r="E625" i="50"/>
  <c r="F625" i="50"/>
  <c r="B626" i="50"/>
  <c r="E626" i="50"/>
  <c r="F626" i="50"/>
  <c r="B628" i="50"/>
  <c r="E628" i="50"/>
  <c r="F628" i="50"/>
  <c r="B629" i="50"/>
  <c r="E629" i="50"/>
  <c r="F629" i="50"/>
  <c r="B631" i="50"/>
  <c r="E631" i="50"/>
  <c r="F631" i="50"/>
  <c r="B632" i="50"/>
  <c r="E632" i="50"/>
  <c r="F632" i="50"/>
  <c r="B633" i="50"/>
  <c r="E633" i="50"/>
  <c r="F633" i="50"/>
  <c r="B635" i="50"/>
  <c r="E635" i="50"/>
  <c r="F635" i="50"/>
  <c r="B636" i="50"/>
  <c r="E636" i="50"/>
  <c r="F636" i="50"/>
  <c r="B638" i="50"/>
  <c r="E638" i="50"/>
  <c r="F638" i="50"/>
  <c r="B639" i="50"/>
  <c r="E639" i="50"/>
  <c r="F639" i="50"/>
  <c r="B640" i="50"/>
  <c r="E640" i="50"/>
  <c r="F640" i="50"/>
  <c r="B642" i="50"/>
  <c r="E642" i="50"/>
  <c r="F642" i="50"/>
  <c r="B643" i="50"/>
  <c r="E643" i="50"/>
  <c r="F643" i="50"/>
  <c r="B645" i="50"/>
  <c r="E645" i="50"/>
  <c r="F645" i="50"/>
  <c r="B646" i="50"/>
  <c r="E646" i="50"/>
  <c r="F646" i="50"/>
  <c r="B647" i="50"/>
  <c r="E647" i="50"/>
  <c r="F647" i="50"/>
  <c r="B649" i="50"/>
  <c r="E649" i="50"/>
  <c r="F649" i="50"/>
  <c r="B650" i="50"/>
  <c r="E650" i="50"/>
  <c r="F650" i="50"/>
  <c r="B652" i="50"/>
  <c r="E652" i="50"/>
  <c r="F652" i="50"/>
  <c r="B653" i="50"/>
  <c r="E653" i="50"/>
  <c r="F653" i="50"/>
  <c r="B654" i="50"/>
  <c r="E654" i="50"/>
  <c r="F654" i="50"/>
  <c r="B656" i="50"/>
  <c r="E656" i="50"/>
  <c r="F656" i="50"/>
  <c r="B657" i="50"/>
  <c r="E657" i="50"/>
  <c r="F657" i="50"/>
  <c r="B659" i="50"/>
  <c r="E659" i="50"/>
  <c r="F659" i="50"/>
  <c r="B660" i="50"/>
  <c r="E660" i="50"/>
  <c r="F660" i="50"/>
  <c r="B661" i="50"/>
  <c r="E661" i="50"/>
  <c r="F661" i="50"/>
  <c r="B663" i="50"/>
  <c r="E663" i="50"/>
  <c r="F663" i="50"/>
  <c r="B664" i="50"/>
  <c r="E664" i="50"/>
  <c r="F664" i="50"/>
  <c r="B666" i="50"/>
  <c r="E666" i="50"/>
  <c r="F666" i="50"/>
  <c r="B667" i="50"/>
  <c r="E667" i="50"/>
  <c r="F667" i="50"/>
  <c r="B668" i="50"/>
  <c r="E668" i="50"/>
  <c r="F668" i="50"/>
  <c r="B670" i="50"/>
  <c r="E670" i="50"/>
  <c r="F670" i="50"/>
  <c r="B671" i="50"/>
  <c r="E671" i="50"/>
  <c r="F671" i="50"/>
  <c r="B673" i="50"/>
  <c r="E673" i="50"/>
  <c r="F673" i="50"/>
  <c r="B674" i="50"/>
  <c r="E674" i="50"/>
  <c r="F674" i="50"/>
  <c r="B675" i="50"/>
  <c r="E675" i="50"/>
  <c r="F675" i="50"/>
  <c r="B677" i="50"/>
  <c r="E677" i="50"/>
  <c r="F677" i="50"/>
  <c r="B678" i="50"/>
  <c r="E678" i="50"/>
  <c r="F678" i="50"/>
  <c r="B680" i="50"/>
  <c r="E680" i="50"/>
  <c r="F680" i="50"/>
  <c r="B681" i="50"/>
  <c r="E681" i="50"/>
  <c r="F681" i="50"/>
  <c r="B682" i="50"/>
  <c r="E682" i="50"/>
  <c r="F682" i="50"/>
  <c r="B684" i="50"/>
  <c r="E684" i="50"/>
  <c r="F684" i="50"/>
  <c r="B685" i="50"/>
  <c r="E685" i="50"/>
  <c r="F685" i="50"/>
  <c r="B687" i="50"/>
  <c r="E687" i="50"/>
  <c r="F687" i="50"/>
  <c r="B688" i="50"/>
  <c r="E688" i="50"/>
  <c r="F688" i="50"/>
  <c r="B689" i="50"/>
  <c r="E689" i="50"/>
  <c r="F689" i="50"/>
  <c r="B697" i="50"/>
  <c r="E697" i="50"/>
  <c r="F697" i="50"/>
  <c r="B698" i="50"/>
  <c r="E698" i="50"/>
  <c r="F698" i="50"/>
  <c r="B700" i="50"/>
  <c r="E700" i="50"/>
  <c r="F700" i="50"/>
  <c r="B701" i="50"/>
  <c r="E701" i="50"/>
  <c r="F701" i="50"/>
  <c r="B702" i="50"/>
  <c r="E702" i="50"/>
  <c r="F702" i="50"/>
  <c r="B714" i="50"/>
  <c r="E714" i="50"/>
  <c r="B716" i="50"/>
  <c r="E716" i="50"/>
  <c r="B717" i="50"/>
  <c r="E717" i="50"/>
  <c r="B719" i="50"/>
  <c r="E719" i="50"/>
  <c r="B720" i="50"/>
  <c r="E720" i="50"/>
  <c r="B721" i="50"/>
  <c r="E721" i="50"/>
  <c r="B723" i="50"/>
  <c r="E723" i="50"/>
  <c r="F723" i="50"/>
  <c r="B724" i="50"/>
  <c r="E724" i="50"/>
  <c r="F724" i="50"/>
  <c r="B726" i="50"/>
  <c r="E726" i="50"/>
  <c r="F726" i="50"/>
  <c r="B727" i="50"/>
  <c r="E727" i="50"/>
  <c r="F727" i="50"/>
  <c r="B728" i="50"/>
  <c r="E728" i="50"/>
  <c r="F728" i="50"/>
  <c r="B730" i="50"/>
  <c r="E730" i="50"/>
  <c r="F730" i="50"/>
  <c r="B731" i="50"/>
  <c r="E731" i="50"/>
  <c r="F731" i="50"/>
  <c r="B733" i="50"/>
  <c r="E733" i="50"/>
  <c r="F733" i="50"/>
  <c r="B734" i="50"/>
  <c r="E734" i="50"/>
  <c r="F734" i="50"/>
  <c r="B735" i="50"/>
  <c r="E735" i="50"/>
  <c r="F735" i="50"/>
  <c r="B737" i="50"/>
  <c r="E737" i="50"/>
  <c r="F737" i="50"/>
  <c r="B739" i="50"/>
  <c r="E739" i="50"/>
  <c r="F739" i="50"/>
  <c r="B740" i="50"/>
  <c r="E740" i="50"/>
  <c r="F740" i="50"/>
  <c r="B742" i="50"/>
  <c r="E742" i="50"/>
  <c r="F742" i="50"/>
  <c r="B743" i="50"/>
  <c r="E743" i="50"/>
  <c r="F743" i="50"/>
  <c r="B744" i="50"/>
  <c r="E744" i="50"/>
  <c r="F744" i="50"/>
  <c r="B746" i="50"/>
  <c r="E746" i="50"/>
  <c r="F746" i="50"/>
  <c r="B747" i="50"/>
  <c r="E747" i="50"/>
  <c r="F747" i="50"/>
  <c r="B749" i="50"/>
  <c r="E749" i="50"/>
  <c r="F749" i="50"/>
  <c r="B750" i="50"/>
  <c r="E750" i="50"/>
  <c r="F750" i="50"/>
  <c r="B751" i="50"/>
  <c r="E751" i="50"/>
  <c r="F751" i="50"/>
  <c r="B753" i="50"/>
  <c r="E753" i="50"/>
  <c r="F753" i="50"/>
  <c r="B755" i="50"/>
  <c r="E755" i="50"/>
  <c r="F755" i="50"/>
  <c r="B756" i="50"/>
  <c r="E756" i="50"/>
  <c r="F756" i="50"/>
  <c r="B758" i="50"/>
  <c r="E758" i="50"/>
  <c r="F758" i="50"/>
  <c r="B759" i="50"/>
  <c r="E759" i="50"/>
  <c r="F759" i="50"/>
  <c r="B760" i="50"/>
  <c r="E760" i="50"/>
  <c r="F760" i="50"/>
  <c r="B762" i="50"/>
  <c r="E762" i="50"/>
  <c r="F762" i="50"/>
  <c r="B764" i="50"/>
  <c r="E764" i="50"/>
  <c r="F764" i="50"/>
  <c r="B765" i="50"/>
  <c r="E765" i="50"/>
  <c r="F765" i="50"/>
  <c r="B767" i="50"/>
  <c r="E767" i="50"/>
  <c r="F767" i="50"/>
  <c r="B768" i="50"/>
  <c r="E768" i="50"/>
  <c r="F768" i="50"/>
  <c r="B769" i="50"/>
  <c r="E769" i="50"/>
  <c r="F769" i="50"/>
  <c r="B771" i="50"/>
  <c r="E771" i="50"/>
  <c r="F771" i="50"/>
  <c r="B772" i="50"/>
  <c r="E772" i="50"/>
  <c r="F772" i="50"/>
  <c r="B774" i="50"/>
  <c r="E774" i="50"/>
  <c r="F774" i="50"/>
  <c r="B775" i="50"/>
  <c r="E775" i="50"/>
  <c r="F775" i="50"/>
  <c r="B776" i="50"/>
  <c r="E776" i="50"/>
  <c r="F776" i="50"/>
  <c r="B778" i="50"/>
  <c r="E778" i="50"/>
  <c r="F778" i="50"/>
  <c r="B780" i="50"/>
  <c r="E780" i="50"/>
  <c r="F780" i="50"/>
  <c r="B781" i="50"/>
  <c r="E781" i="50"/>
  <c r="F781" i="50"/>
  <c r="B783" i="50"/>
  <c r="E783" i="50"/>
  <c r="F783" i="50"/>
  <c r="B784" i="50"/>
  <c r="E784" i="50"/>
  <c r="F784" i="50"/>
  <c r="B785" i="50"/>
  <c r="E785" i="50"/>
  <c r="F785" i="50"/>
  <c r="B787" i="50"/>
  <c r="E787" i="50"/>
  <c r="F787" i="50"/>
  <c r="B788" i="50"/>
  <c r="E788" i="50"/>
  <c r="F788" i="50"/>
  <c r="B790" i="50"/>
  <c r="E790" i="50"/>
  <c r="F790" i="50"/>
  <c r="B791" i="50"/>
  <c r="E791" i="50"/>
  <c r="F791" i="50"/>
  <c r="B792" i="50"/>
  <c r="E792" i="50"/>
  <c r="F792" i="50"/>
  <c r="B794" i="50"/>
  <c r="E794" i="50"/>
  <c r="F794" i="50"/>
  <c r="B796" i="50"/>
  <c r="E796" i="50"/>
  <c r="F796" i="50"/>
  <c r="B797" i="50"/>
  <c r="E797" i="50"/>
  <c r="F797" i="50"/>
  <c r="B799" i="50"/>
  <c r="E799" i="50"/>
  <c r="F799" i="50"/>
  <c r="B800" i="50"/>
  <c r="E800" i="50"/>
  <c r="F800" i="50"/>
  <c r="B801" i="50"/>
  <c r="E801" i="50"/>
  <c r="F801" i="50"/>
  <c r="B803" i="50"/>
  <c r="E803" i="50"/>
  <c r="F803" i="50"/>
  <c r="B804" i="50"/>
  <c r="E804" i="50"/>
  <c r="F804" i="50"/>
  <c r="B806" i="50"/>
  <c r="E806" i="50"/>
  <c r="F806" i="50"/>
  <c r="B807" i="50"/>
  <c r="E807" i="50"/>
  <c r="F807" i="50"/>
  <c r="B808" i="50"/>
  <c r="E808" i="50"/>
  <c r="F808" i="50"/>
  <c r="B822" i="50"/>
  <c r="E822" i="50"/>
  <c r="F822" i="50"/>
  <c r="B823" i="50"/>
  <c r="E823" i="50"/>
  <c r="F823" i="50"/>
  <c r="B825" i="50"/>
  <c r="E825" i="50"/>
  <c r="F825" i="50"/>
  <c r="B826" i="50"/>
  <c r="E826" i="50"/>
  <c r="F826" i="50"/>
  <c r="B827" i="50"/>
  <c r="E827" i="50"/>
  <c r="F827" i="50"/>
  <c r="B829" i="50"/>
  <c r="E829" i="50"/>
  <c r="F829" i="50"/>
  <c r="B830" i="50"/>
  <c r="E830" i="50"/>
  <c r="F830" i="50"/>
  <c r="B832" i="50"/>
  <c r="E832" i="50"/>
  <c r="F832" i="50"/>
  <c r="B833" i="50"/>
  <c r="E833" i="50"/>
  <c r="F833" i="50"/>
  <c r="B834" i="50"/>
  <c r="E834" i="50"/>
  <c r="F834" i="50"/>
  <c r="B836" i="50"/>
  <c r="E836" i="50"/>
  <c r="F836" i="50"/>
  <c r="B837" i="50"/>
  <c r="E837" i="50"/>
  <c r="F837" i="50"/>
  <c r="B839" i="50"/>
  <c r="E839" i="50"/>
  <c r="F839" i="50"/>
  <c r="B840" i="50"/>
  <c r="E840" i="50"/>
  <c r="F840" i="50"/>
  <c r="B841" i="50"/>
  <c r="E841" i="50"/>
  <c r="F841" i="50"/>
  <c r="B843" i="50"/>
  <c r="E843" i="50"/>
  <c r="F843" i="50"/>
  <c r="B844" i="50"/>
  <c r="E844" i="50"/>
  <c r="F844" i="50"/>
  <c r="B846" i="50"/>
  <c r="E846" i="50"/>
  <c r="F846" i="50"/>
  <c r="B847" i="50"/>
  <c r="E847" i="50"/>
  <c r="F847" i="50"/>
  <c r="B848" i="50"/>
  <c r="E848" i="50"/>
  <c r="F848" i="50"/>
  <c r="B850" i="50"/>
  <c r="E850" i="50"/>
  <c r="F850" i="50"/>
  <c r="B851" i="50"/>
  <c r="E851" i="50"/>
  <c r="F851" i="50"/>
  <c r="B853" i="50"/>
  <c r="E853" i="50"/>
  <c r="F853" i="50"/>
  <c r="B854" i="50"/>
  <c r="E854" i="50"/>
  <c r="F854" i="50"/>
  <c r="B855" i="50"/>
  <c r="E855" i="50"/>
  <c r="F855" i="50"/>
  <c r="B857" i="50"/>
  <c r="E857" i="50"/>
  <c r="F857" i="50"/>
  <c r="B858" i="50"/>
  <c r="E858" i="50"/>
  <c r="F858" i="50"/>
  <c r="B860" i="50"/>
  <c r="E860" i="50"/>
  <c r="F860" i="50"/>
  <c r="B861" i="50"/>
  <c r="E861" i="50"/>
  <c r="F861" i="50"/>
  <c r="B862" i="50"/>
  <c r="E862" i="50"/>
  <c r="F862" i="50"/>
  <c r="B869" i="50"/>
  <c r="E869" i="50"/>
  <c r="F869" i="50"/>
  <c r="B870" i="50"/>
  <c r="E870" i="50"/>
  <c r="F870" i="50"/>
  <c r="B872" i="50"/>
  <c r="E872" i="50"/>
  <c r="F872" i="50"/>
  <c r="B873" i="50"/>
  <c r="E873" i="50"/>
  <c r="F873" i="50"/>
  <c r="B874" i="50"/>
  <c r="E874" i="50"/>
  <c r="F874" i="50"/>
  <c r="B881" i="50"/>
  <c r="E881" i="50"/>
  <c r="F881" i="50"/>
  <c r="B883" i="50"/>
  <c r="E883" i="50"/>
  <c r="F883" i="50"/>
  <c r="B884" i="50"/>
  <c r="E884" i="50"/>
  <c r="F884" i="50"/>
  <c r="B886" i="50"/>
  <c r="E886" i="50"/>
  <c r="F886" i="50"/>
  <c r="B887" i="50"/>
  <c r="E887" i="50"/>
  <c r="F887" i="50"/>
  <c r="B888" i="50"/>
  <c r="E888" i="50"/>
  <c r="F888" i="50"/>
  <c r="B890" i="50"/>
  <c r="E890" i="50"/>
  <c r="F890" i="50"/>
  <c r="B892" i="50"/>
  <c r="E892" i="50"/>
  <c r="F892" i="50"/>
  <c r="B893" i="50"/>
  <c r="E893" i="50"/>
  <c r="F893" i="50"/>
  <c r="B895" i="50"/>
  <c r="E895" i="50"/>
  <c r="F895" i="50"/>
  <c r="B896" i="50"/>
  <c r="E896" i="50"/>
  <c r="F896" i="50"/>
  <c r="B897" i="50"/>
  <c r="E897" i="50"/>
  <c r="F897" i="50"/>
  <c r="B899" i="50"/>
  <c r="E899" i="50"/>
  <c r="F899" i="50"/>
  <c r="B900" i="50"/>
  <c r="E900" i="50"/>
  <c r="F900" i="50"/>
  <c r="B902" i="50"/>
  <c r="E902" i="50"/>
  <c r="F902" i="50"/>
  <c r="B903" i="50"/>
  <c r="E903" i="50"/>
  <c r="F903" i="50"/>
  <c r="B904" i="50"/>
  <c r="E904" i="50"/>
  <c r="F904" i="50"/>
  <c r="B906" i="50"/>
  <c r="E906" i="50"/>
  <c r="F906" i="50"/>
  <c r="B907" i="50"/>
  <c r="E907" i="50"/>
  <c r="F907" i="50"/>
  <c r="B909" i="50"/>
  <c r="E909" i="50"/>
  <c r="F909" i="50"/>
  <c r="B910" i="50"/>
  <c r="E910" i="50"/>
  <c r="F910" i="50"/>
  <c r="B911" i="50"/>
  <c r="E911" i="50"/>
  <c r="F911" i="50"/>
  <c r="B913" i="50"/>
  <c r="E913" i="50"/>
  <c r="F913" i="50"/>
  <c r="B914" i="50"/>
  <c r="E914" i="50"/>
  <c r="F914" i="50"/>
  <c r="B916" i="50"/>
  <c r="E916" i="50"/>
  <c r="F916" i="50"/>
  <c r="B917" i="50"/>
  <c r="E917" i="50"/>
  <c r="F917" i="50"/>
  <c r="B918" i="50"/>
  <c r="E918" i="50"/>
  <c r="F918" i="50"/>
  <c r="B920" i="50"/>
  <c r="E920" i="50"/>
  <c r="F920" i="50"/>
  <c r="B921" i="50"/>
  <c r="E921" i="50"/>
  <c r="F921" i="50"/>
  <c r="B923" i="50"/>
  <c r="E923" i="50"/>
  <c r="F923" i="50"/>
  <c r="B924" i="50"/>
  <c r="E924" i="50"/>
  <c r="F924" i="50"/>
  <c r="B925" i="50"/>
  <c r="E925" i="50"/>
  <c r="F925" i="50"/>
  <c r="B927" i="50"/>
  <c r="E927" i="50"/>
  <c r="F927" i="50"/>
  <c r="B928" i="50"/>
  <c r="E928" i="50"/>
  <c r="F928" i="50"/>
  <c r="B930" i="50"/>
  <c r="E930" i="50"/>
  <c r="F930" i="50"/>
  <c r="B931" i="50"/>
  <c r="E931" i="50"/>
  <c r="F931" i="50"/>
  <c r="B932" i="50"/>
  <c r="E932" i="50"/>
  <c r="F932" i="50"/>
  <c r="B934" i="50"/>
  <c r="E934" i="50"/>
  <c r="F934" i="50"/>
  <c r="B935" i="50"/>
  <c r="E935" i="50"/>
  <c r="F935" i="50"/>
  <c r="B937" i="50"/>
  <c r="E937" i="50"/>
  <c r="F937" i="50"/>
  <c r="B938" i="50"/>
  <c r="E938" i="50"/>
  <c r="F938" i="50"/>
  <c r="B939" i="50"/>
  <c r="E939" i="50"/>
  <c r="F939" i="50"/>
  <c r="B946" i="50"/>
  <c r="E946" i="50"/>
  <c r="F946" i="50"/>
  <c r="B948" i="50"/>
  <c r="E948" i="50"/>
  <c r="F948" i="50"/>
  <c r="B949" i="50"/>
  <c r="E949" i="50"/>
  <c r="F949" i="50"/>
  <c r="B951" i="50"/>
  <c r="E951" i="50"/>
  <c r="F951" i="50"/>
  <c r="B952" i="50"/>
  <c r="E952" i="50"/>
  <c r="F952" i="50"/>
  <c r="B953" i="50"/>
  <c r="E953" i="50"/>
  <c r="F953" i="50"/>
  <c r="B955" i="50"/>
  <c r="E955" i="50"/>
  <c r="F955" i="50"/>
  <c r="B956" i="50"/>
  <c r="E956" i="50"/>
  <c r="F956" i="50"/>
  <c r="B958" i="50"/>
  <c r="E958" i="50"/>
  <c r="F958" i="50"/>
  <c r="B959" i="50"/>
  <c r="E959" i="50"/>
  <c r="F959" i="50"/>
  <c r="B960" i="50"/>
  <c r="E960" i="50"/>
  <c r="F960" i="50"/>
  <c r="B962" i="50"/>
  <c r="E962" i="50"/>
  <c r="F962" i="50"/>
  <c r="B963" i="50"/>
  <c r="E963" i="50"/>
  <c r="F963" i="50"/>
  <c r="B965" i="50"/>
  <c r="E965" i="50"/>
  <c r="F965" i="50"/>
  <c r="B966" i="50"/>
  <c r="E966" i="50"/>
  <c r="F966" i="50"/>
  <c r="B967" i="50"/>
  <c r="E967" i="50"/>
  <c r="F967" i="50"/>
  <c r="B974" i="50"/>
  <c r="E974" i="50"/>
  <c r="F974" i="50"/>
  <c r="B976" i="50"/>
  <c r="E976" i="50"/>
  <c r="F976" i="50"/>
  <c r="B977" i="50"/>
  <c r="E977" i="50"/>
  <c r="F977" i="50"/>
  <c r="B979" i="50"/>
  <c r="E979" i="50"/>
  <c r="F979" i="50"/>
  <c r="B980" i="50"/>
  <c r="E980" i="50"/>
  <c r="F980" i="50"/>
  <c r="B981" i="50"/>
  <c r="E981" i="50"/>
  <c r="F981" i="50"/>
  <c r="B983" i="50"/>
  <c r="E983" i="50"/>
  <c r="F983" i="50"/>
  <c r="B984" i="50"/>
  <c r="E984" i="50"/>
  <c r="F984" i="50"/>
  <c r="B986" i="50"/>
  <c r="E986" i="50"/>
  <c r="F986" i="50"/>
  <c r="B987" i="50"/>
  <c r="E987" i="50"/>
  <c r="F987" i="50"/>
  <c r="B988" i="50"/>
  <c r="E988" i="50"/>
  <c r="F988" i="50"/>
  <c r="B1052" i="50"/>
  <c r="E1052" i="50"/>
  <c r="F1052" i="50"/>
  <c r="B1053" i="50"/>
  <c r="E1053" i="50"/>
  <c r="F1053" i="50"/>
  <c r="B1054" i="50"/>
  <c r="E1054" i="50"/>
  <c r="F1054" i="50"/>
  <c r="B1167" i="50"/>
  <c r="E1167" i="50"/>
  <c r="F1167" i="50"/>
  <c r="B1168" i="50"/>
  <c r="E1168" i="50"/>
  <c r="F1168" i="50"/>
  <c r="B1170" i="50"/>
  <c r="E1170" i="50"/>
  <c r="F1170" i="50"/>
  <c r="B1171" i="50"/>
  <c r="E1171" i="50"/>
  <c r="F1171" i="50"/>
  <c r="B1172" i="50"/>
  <c r="E1172" i="50"/>
  <c r="F1172" i="50"/>
  <c r="B1174" i="50"/>
  <c r="E1174" i="50"/>
  <c r="F1174" i="50"/>
  <c r="B1175" i="50"/>
  <c r="E1175" i="50"/>
  <c r="F1175" i="50"/>
  <c r="B1177" i="50"/>
  <c r="E1177" i="50"/>
  <c r="F1177" i="50"/>
  <c r="B1178" i="50"/>
  <c r="E1178" i="50"/>
  <c r="F1178" i="50"/>
  <c r="B1179" i="50"/>
  <c r="E1179" i="50"/>
  <c r="F1179" i="50"/>
  <c r="B1181" i="50"/>
  <c r="E1181" i="50"/>
  <c r="F1181" i="50"/>
  <c r="B1182" i="50"/>
  <c r="E1182" i="50"/>
  <c r="F1182" i="50"/>
  <c r="B1184" i="50"/>
  <c r="E1184" i="50"/>
  <c r="F1184" i="50"/>
  <c r="B1185" i="50"/>
  <c r="E1185" i="50"/>
  <c r="F1185" i="50"/>
  <c r="B1186" i="50"/>
  <c r="E1186" i="50"/>
  <c r="F1186" i="50"/>
  <c r="B1188" i="50"/>
  <c r="E1188" i="50"/>
  <c r="F1188" i="50"/>
  <c r="B1189" i="50"/>
  <c r="E1189" i="50"/>
  <c r="F1189" i="50"/>
  <c r="B1191" i="50"/>
  <c r="E1191" i="50"/>
  <c r="F1191" i="50"/>
  <c r="B1192" i="50"/>
  <c r="E1192" i="50"/>
  <c r="F1192" i="50"/>
  <c r="B1193" i="50"/>
  <c r="E1193" i="50"/>
  <c r="F1193" i="50"/>
  <c r="B86" i="50"/>
  <c r="E86" i="50"/>
  <c r="F86" i="50"/>
  <c r="B82" i="50"/>
  <c r="E82" i="50"/>
  <c r="F82" i="50"/>
  <c r="B77" i="50"/>
  <c r="E77" i="50"/>
  <c r="F77" i="50"/>
  <c r="B73" i="50"/>
  <c r="E73" i="50"/>
  <c r="F73" i="50"/>
  <c r="F68" i="50"/>
  <c r="E68" i="50"/>
  <c r="E67" i="50"/>
  <c r="F67" i="50"/>
  <c r="B67" i="50"/>
  <c r="B65" i="50"/>
  <c r="F65" i="50"/>
  <c r="B68" i="50"/>
  <c r="B69" i="50"/>
  <c r="E69" i="50"/>
  <c r="F69" i="50"/>
  <c r="B71" i="50"/>
  <c r="E71" i="50"/>
  <c r="F71" i="50"/>
  <c r="B74" i="50"/>
  <c r="E74" i="50"/>
  <c r="F74" i="50"/>
  <c r="B76" i="50"/>
  <c r="E76" i="50"/>
  <c r="F76" i="50"/>
  <c r="B78" i="50"/>
  <c r="E78" i="50"/>
  <c r="F78" i="50"/>
  <c r="B80" i="50"/>
  <c r="E80" i="50"/>
  <c r="F80" i="50"/>
  <c r="B83" i="50"/>
  <c r="E83" i="50"/>
  <c r="F83" i="50"/>
  <c r="B85" i="50"/>
  <c r="E85" i="50"/>
  <c r="F85" i="50"/>
  <c r="B87" i="50"/>
  <c r="E87" i="50"/>
  <c r="F87" i="50"/>
  <c r="B89" i="50"/>
  <c r="E89" i="50"/>
  <c r="F89" i="50"/>
  <c r="B91" i="50"/>
  <c r="E91" i="50"/>
  <c r="F91" i="50"/>
  <c r="B92" i="50"/>
  <c r="E92" i="50"/>
  <c r="F92" i="50"/>
  <c r="B94" i="50"/>
  <c r="E94" i="50"/>
  <c r="F94" i="50"/>
  <c r="B96" i="50"/>
  <c r="E96" i="50"/>
  <c r="F96" i="50"/>
  <c r="B97" i="50"/>
  <c r="E97" i="50"/>
  <c r="F97" i="50"/>
  <c r="B99" i="50"/>
  <c r="E99" i="50"/>
  <c r="F99" i="50"/>
  <c r="B101" i="50"/>
  <c r="E101" i="50"/>
  <c r="F101" i="50"/>
  <c r="B102" i="50"/>
  <c r="E102" i="50"/>
  <c r="F102" i="50"/>
  <c r="B104" i="50"/>
  <c r="E104" i="50"/>
  <c r="F104" i="50"/>
  <c r="B106" i="50"/>
  <c r="E106" i="50"/>
  <c r="F106" i="50"/>
  <c r="B107" i="50"/>
  <c r="E107" i="50"/>
  <c r="F107" i="50"/>
  <c r="B109" i="50"/>
  <c r="E109" i="50"/>
  <c r="F109" i="50"/>
  <c r="B111" i="50"/>
  <c r="E111" i="50"/>
  <c r="F111" i="50"/>
  <c r="B112" i="50"/>
  <c r="E112" i="50"/>
  <c r="F112" i="50"/>
  <c r="B114" i="50"/>
  <c r="E114" i="50"/>
  <c r="F114" i="50"/>
  <c r="B116" i="50"/>
  <c r="E116" i="50"/>
  <c r="F116" i="50"/>
  <c r="B117" i="50"/>
  <c r="E117" i="50"/>
  <c r="F117" i="50"/>
  <c r="B119" i="50"/>
  <c r="E119" i="50"/>
  <c r="F119" i="50"/>
  <c r="B121" i="50"/>
  <c r="E121" i="50"/>
  <c r="F121" i="50"/>
  <c r="B122" i="50"/>
  <c r="E122" i="50"/>
  <c r="F122" i="50"/>
  <c r="B124" i="50"/>
  <c r="E124" i="50"/>
  <c r="F124" i="50"/>
  <c r="B126" i="50"/>
  <c r="E126" i="50"/>
  <c r="F126" i="50"/>
  <c r="B127" i="50"/>
  <c r="E127" i="50"/>
  <c r="F127" i="50"/>
  <c r="B129" i="50"/>
  <c r="E129" i="50"/>
  <c r="F129" i="50"/>
  <c r="B131" i="50"/>
  <c r="E131" i="50"/>
  <c r="F131" i="50"/>
  <c r="B132" i="50"/>
  <c r="E132" i="50"/>
  <c r="F132" i="50"/>
  <c r="B134" i="50"/>
  <c r="E134" i="50"/>
  <c r="F134" i="50"/>
  <c r="B136" i="50"/>
  <c r="E136" i="50"/>
  <c r="F136" i="50"/>
  <c r="B137" i="50"/>
  <c r="E137" i="50"/>
  <c r="F137" i="50"/>
  <c r="B139" i="50"/>
  <c r="E139" i="50"/>
  <c r="F139" i="50"/>
  <c r="B141" i="50"/>
  <c r="E141" i="50"/>
  <c r="F141" i="50"/>
  <c r="B142" i="50"/>
  <c r="E142" i="50"/>
  <c r="F142" i="50"/>
  <c r="B144" i="50"/>
  <c r="E144" i="50"/>
  <c r="F144" i="50"/>
  <c r="B146" i="50"/>
  <c r="E146" i="50"/>
  <c r="F146" i="50"/>
  <c r="B147" i="50"/>
  <c r="E147" i="50"/>
  <c r="F147" i="50"/>
  <c r="B149" i="50"/>
  <c r="E149" i="50"/>
  <c r="F149" i="50"/>
  <c r="B151" i="50"/>
  <c r="E151" i="50"/>
  <c r="F151" i="50"/>
  <c r="B152" i="50"/>
  <c r="E152" i="50"/>
  <c r="F152" i="50"/>
  <c r="B154" i="50"/>
  <c r="E154" i="50"/>
  <c r="F154" i="50"/>
  <c r="B156" i="50"/>
  <c r="E156" i="50"/>
  <c r="F156" i="50"/>
  <c r="B157" i="50"/>
  <c r="E157" i="50"/>
  <c r="F157" i="50"/>
  <c r="B159" i="50"/>
  <c r="E159" i="50"/>
  <c r="F159" i="50"/>
  <c r="B161" i="50"/>
  <c r="E161" i="50"/>
  <c r="F161" i="50"/>
  <c r="B162" i="50"/>
  <c r="E162" i="50"/>
  <c r="F162" i="50"/>
  <c r="B164" i="50"/>
  <c r="E164" i="50"/>
  <c r="F164" i="50"/>
  <c r="B166" i="50"/>
  <c r="E166" i="50"/>
  <c r="F166" i="50"/>
  <c r="B167" i="50"/>
  <c r="E167" i="50"/>
  <c r="F167" i="50"/>
  <c r="B169" i="50"/>
  <c r="E169" i="50"/>
  <c r="F169" i="50"/>
  <c r="B171" i="50"/>
  <c r="E171" i="50"/>
  <c r="F171" i="50"/>
  <c r="B172" i="50"/>
  <c r="E172" i="50"/>
  <c r="F172" i="50"/>
  <c r="B174" i="50"/>
  <c r="E174" i="50"/>
  <c r="F174" i="50"/>
  <c r="B176" i="50"/>
  <c r="E176" i="50"/>
  <c r="F176" i="50"/>
  <c r="B177" i="50"/>
  <c r="E177" i="50"/>
  <c r="F177" i="50"/>
  <c r="B179" i="50"/>
  <c r="E179" i="50"/>
  <c r="F179" i="50"/>
  <c r="B181" i="50"/>
  <c r="E181" i="50"/>
  <c r="F181" i="50"/>
  <c r="B182" i="50"/>
  <c r="E182" i="50"/>
  <c r="F182" i="50"/>
  <c r="B184" i="50"/>
  <c r="E184" i="50"/>
  <c r="F184" i="50"/>
  <c r="B186" i="50"/>
  <c r="E186" i="50"/>
  <c r="F186" i="50"/>
  <c r="B187" i="50"/>
  <c r="E187" i="50"/>
  <c r="F187" i="50"/>
  <c r="B189" i="50"/>
  <c r="E189" i="50"/>
  <c r="F189" i="50"/>
  <c r="B191" i="50"/>
  <c r="E191" i="50"/>
  <c r="F191" i="50"/>
  <c r="B192" i="50"/>
  <c r="E192" i="50"/>
  <c r="F192" i="50"/>
  <c r="B194" i="50"/>
  <c r="E194" i="50"/>
  <c r="F194" i="50"/>
  <c r="B195" i="50"/>
  <c r="E195" i="50"/>
  <c r="F195" i="50"/>
  <c r="B196" i="50"/>
  <c r="E196" i="50"/>
  <c r="F196" i="50"/>
  <c r="B198" i="50"/>
  <c r="E198" i="50"/>
  <c r="F198" i="50"/>
  <c r="B200" i="50"/>
  <c r="E200" i="50"/>
  <c r="F200" i="50"/>
  <c r="B201" i="50"/>
  <c r="E201" i="50"/>
  <c r="F201" i="50"/>
  <c r="B203" i="50"/>
  <c r="E203" i="50"/>
  <c r="F203" i="50"/>
  <c r="B204" i="50"/>
  <c r="E204" i="50"/>
  <c r="F204" i="50"/>
  <c r="B205" i="50"/>
  <c r="E205" i="50"/>
  <c r="F205" i="50"/>
  <c r="B207" i="50"/>
  <c r="E207" i="50"/>
  <c r="F207" i="50"/>
  <c r="B209" i="50"/>
  <c r="E209" i="50"/>
  <c r="F209" i="50"/>
  <c r="B210" i="50"/>
  <c r="E210" i="50"/>
  <c r="F210" i="50"/>
  <c r="B212" i="50"/>
  <c r="E212" i="50"/>
  <c r="F212" i="50"/>
  <c r="B213" i="50"/>
  <c r="E213" i="50"/>
  <c r="F213" i="50"/>
  <c r="B214" i="50"/>
  <c r="E214" i="50"/>
  <c r="F214" i="50"/>
  <c r="B216" i="50"/>
  <c r="E216" i="50"/>
  <c r="F216" i="50"/>
  <c r="B218" i="50"/>
  <c r="E218" i="50"/>
  <c r="F218" i="50"/>
  <c r="B219" i="50"/>
  <c r="E219" i="50"/>
  <c r="F219" i="50"/>
  <c r="B221" i="50"/>
  <c r="E221" i="50"/>
  <c r="F221" i="50"/>
  <c r="B222" i="50"/>
  <c r="E222" i="50"/>
  <c r="F222" i="50"/>
  <c r="B223" i="50"/>
  <c r="E223" i="50"/>
  <c r="F223" i="50"/>
  <c r="B225" i="50"/>
  <c r="E225" i="50"/>
  <c r="F225" i="50"/>
  <c r="B227" i="50"/>
  <c r="E227" i="50"/>
  <c r="F227" i="50"/>
  <c r="B228" i="50"/>
  <c r="E228" i="50"/>
  <c r="F228" i="50"/>
  <c r="B230" i="50"/>
  <c r="E230" i="50"/>
  <c r="F230" i="50"/>
  <c r="B231" i="50"/>
  <c r="E231" i="50"/>
  <c r="F231" i="50"/>
  <c r="B232" i="50"/>
  <c r="E232" i="50"/>
  <c r="F232" i="50"/>
  <c r="B234" i="50"/>
  <c r="E234" i="50"/>
  <c r="F234" i="50"/>
  <c r="B236" i="50"/>
  <c r="E236" i="50"/>
  <c r="F236" i="50"/>
  <c r="B237" i="50"/>
  <c r="E237" i="50"/>
  <c r="F237" i="50"/>
  <c r="B239" i="50"/>
  <c r="E239" i="50"/>
  <c r="F239" i="50"/>
  <c r="B240" i="50"/>
  <c r="E240" i="50"/>
  <c r="F240" i="50"/>
  <c r="B241" i="50"/>
  <c r="E241" i="50"/>
  <c r="F241" i="50"/>
  <c r="B243" i="50"/>
  <c r="E243" i="50"/>
  <c r="F243" i="50"/>
  <c r="B245" i="50"/>
  <c r="E245" i="50"/>
  <c r="F245" i="50"/>
  <c r="B246" i="50"/>
  <c r="E246" i="50"/>
  <c r="B248" i="50"/>
  <c r="E248" i="50"/>
  <c r="B249" i="50"/>
  <c r="E249" i="50"/>
  <c r="B250" i="50"/>
  <c r="E250" i="50"/>
  <c r="B252" i="50"/>
  <c r="E252" i="50"/>
  <c r="F252" i="50"/>
  <c r="B254" i="50"/>
  <c r="E254" i="50"/>
  <c r="F254" i="50"/>
  <c r="B255" i="50"/>
  <c r="E255" i="50"/>
  <c r="F255" i="50"/>
  <c r="B257" i="50"/>
  <c r="E257" i="50"/>
  <c r="F257" i="50"/>
  <c r="B258" i="50"/>
  <c r="E258" i="50"/>
  <c r="F258" i="50"/>
  <c r="B259" i="50"/>
  <c r="E259" i="50"/>
  <c r="F259" i="50"/>
  <c r="B261" i="50"/>
  <c r="E261" i="50"/>
  <c r="F261" i="50"/>
  <c r="B263" i="50"/>
  <c r="E263" i="50"/>
  <c r="F263" i="50"/>
  <c r="B264" i="50"/>
  <c r="E264" i="50"/>
  <c r="F264" i="50"/>
  <c r="B266" i="50"/>
  <c r="E266" i="50"/>
  <c r="F266" i="50"/>
  <c r="B267" i="50"/>
  <c r="E267" i="50"/>
  <c r="F267" i="50"/>
  <c r="B268" i="50"/>
  <c r="E268" i="50"/>
  <c r="F268" i="50"/>
  <c r="B270" i="50"/>
  <c r="E270" i="50"/>
  <c r="F270" i="50"/>
  <c r="B272" i="50"/>
  <c r="E272" i="50"/>
  <c r="F272" i="50"/>
  <c r="B273" i="50"/>
  <c r="E273" i="50"/>
  <c r="F273" i="50"/>
  <c r="B275" i="50"/>
  <c r="E275" i="50"/>
  <c r="F275" i="50"/>
  <c r="B276" i="50"/>
  <c r="E276" i="50"/>
  <c r="F276" i="50"/>
  <c r="B277" i="50"/>
  <c r="E277" i="50"/>
  <c r="F277" i="50"/>
  <c r="B279" i="50"/>
  <c r="E279" i="50"/>
  <c r="F279" i="50"/>
  <c r="B281" i="50"/>
  <c r="E281" i="50"/>
  <c r="F281" i="50"/>
  <c r="B282" i="50"/>
  <c r="E282" i="50"/>
  <c r="F282" i="50"/>
  <c r="B284" i="50"/>
  <c r="E284" i="50"/>
  <c r="F284" i="50"/>
  <c r="B285" i="50"/>
  <c r="E285" i="50"/>
  <c r="F285" i="50"/>
  <c r="B286" i="50"/>
  <c r="E286" i="50"/>
  <c r="F286" i="50"/>
  <c r="B288" i="50"/>
  <c r="E288" i="50"/>
  <c r="F288" i="50"/>
  <c r="B290" i="50"/>
  <c r="E290" i="50"/>
  <c r="F290" i="50"/>
  <c r="B291" i="50"/>
  <c r="E291" i="50"/>
  <c r="F291" i="50"/>
  <c r="B293" i="50"/>
  <c r="E293" i="50"/>
  <c r="F293" i="50"/>
  <c r="B294" i="50"/>
  <c r="E294" i="50"/>
  <c r="F294" i="50"/>
  <c r="B295" i="50"/>
  <c r="E295" i="50"/>
  <c r="F295" i="50"/>
  <c r="B297" i="50"/>
  <c r="E297" i="50"/>
  <c r="F297" i="50"/>
  <c r="B299" i="50"/>
  <c r="E299" i="50"/>
  <c r="F299" i="50"/>
  <c r="B300" i="50"/>
  <c r="E300" i="50"/>
  <c r="F300" i="50"/>
  <c r="B302" i="50"/>
  <c r="E302" i="50"/>
  <c r="F302" i="50"/>
  <c r="B303" i="50"/>
  <c r="E303" i="50"/>
  <c r="F303" i="50"/>
  <c r="B304" i="50"/>
  <c r="E304" i="50"/>
  <c r="F304" i="50"/>
  <c r="B306" i="50"/>
  <c r="E306" i="50"/>
  <c r="F306" i="50"/>
  <c r="B308" i="50"/>
  <c r="E308" i="50"/>
  <c r="F308" i="50"/>
  <c r="B309" i="50"/>
  <c r="E309" i="50"/>
  <c r="F309" i="50"/>
  <c r="B311" i="50"/>
  <c r="E311" i="50"/>
  <c r="F311" i="50"/>
  <c r="B312" i="50"/>
  <c r="E312" i="50"/>
  <c r="F312" i="50"/>
  <c r="B313" i="50"/>
  <c r="E313" i="50"/>
  <c r="F313" i="50"/>
  <c r="B315" i="50"/>
  <c r="E315" i="50"/>
  <c r="F315" i="50"/>
  <c r="B317" i="50"/>
  <c r="E317" i="50"/>
  <c r="F317" i="50"/>
  <c r="B318" i="50"/>
  <c r="E318" i="50"/>
  <c r="F318" i="50"/>
  <c r="B320" i="50"/>
  <c r="E320" i="50"/>
  <c r="F320" i="50"/>
  <c r="B321" i="50"/>
  <c r="E321" i="50"/>
  <c r="F321" i="50"/>
  <c r="B322" i="50"/>
  <c r="E322" i="50"/>
  <c r="F322" i="50"/>
  <c r="B324" i="50"/>
  <c r="E324" i="50"/>
  <c r="F324" i="50"/>
  <c r="B326" i="50"/>
  <c r="E326" i="50"/>
  <c r="F326" i="50"/>
  <c r="B327" i="50"/>
  <c r="E327" i="50"/>
  <c r="F327" i="50"/>
  <c r="B329" i="50"/>
  <c r="E329" i="50"/>
  <c r="F329" i="50"/>
  <c r="B330" i="50"/>
  <c r="E330" i="50"/>
  <c r="F330" i="50"/>
  <c r="B331" i="50"/>
  <c r="E331" i="50"/>
  <c r="F331" i="50"/>
  <c r="B333" i="50"/>
  <c r="E333" i="50"/>
  <c r="F333" i="50"/>
  <c r="B335" i="50"/>
  <c r="E335" i="50"/>
  <c r="F335" i="50"/>
  <c r="B336" i="50"/>
  <c r="E336" i="50"/>
  <c r="F336" i="50"/>
  <c r="B338" i="50"/>
  <c r="E338" i="50"/>
  <c r="F338" i="50"/>
  <c r="B339" i="50"/>
  <c r="E339" i="50"/>
  <c r="F339" i="50"/>
  <c r="B340" i="50"/>
  <c r="E340" i="50"/>
  <c r="F340" i="50"/>
  <c r="B342" i="50"/>
  <c r="E342" i="50"/>
  <c r="B344" i="50"/>
  <c r="E344" i="50"/>
  <c r="B345" i="50"/>
  <c r="E345" i="50"/>
  <c r="F345" i="50"/>
  <c r="B348" i="50"/>
  <c r="E348" i="50"/>
  <c r="B347" i="50"/>
  <c r="E347" i="50"/>
  <c r="F347" i="50"/>
  <c r="B349" i="50"/>
  <c r="E349" i="50"/>
  <c r="B351" i="50"/>
  <c r="E351" i="50"/>
  <c r="F351" i="50"/>
  <c r="B353" i="50"/>
  <c r="E353" i="50"/>
  <c r="F353" i="50"/>
  <c r="B354" i="50"/>
  <c r="E354" i="50"/>
  <c r="F354" i="50"/>
  <c r="B356" i="50"/>
  <c r="E356" i="50"/>
  <c r="F356" i="50"/>
  <c r="B357" i="50"/>
  <c r="E357" i="50"/>
  <c r="F357" i="50"/>
  <c r="B358" i="50"/>
  <c r="E358" i="50"/>
  <c r="F358" i="50"/>
  <c r="B360" i="50"/>
  <c r="E360" i="50"/>
  <c r="F360" i="50"/>
  <c r="B362" i="50"/>
  <c r="E362" i="50"/>
  <c r="F362" i="50"/>
  <c r="B363" i="50"/>
  <c r="E363" i="50"/>
  <c r="F363" i="50"/>
  <c r="B365" i="50"/>
  <c r="E365" i="50"/>
  <c r="F365" i="50"/>
  <c r="B366" i="50"/>
  <c r="E366" i="50"/>
  <c r="F366" i="50"/>
  <c r="B367" i="50"/>
  <c r="E367" i="50"/>
  <c r="F367" i="50"/>
  <c r="B369" i="50"/>
  <c r="E369" i="50"/>
  <c r="F369" i="50"/>
  <c r="B371" i="50"/>
  <c r="E371" i="50"/>
  <c r="F371" i="50"/>
  <c r="B372" i="50"/>
  <c r="E372" i="50"/>
  <c r="F372" i="50"/>
  <c r="B374" i="50"/>
  <c r="E374" i="50"/>
  <c r="F374" i="50"/>
  <c r="B375" i="50"/>
  <c r="E375" i="50"/>
  <c r="F375" i="50"/>
  <c r="B376" i="50"/>
  <c r="E376" i="50"/>
  <c r="F376" i="50"/>
  <c r="B378" i="50"/>
  <c r="E378" i="50"/>
  <c r="F378" i="50"/>
  <c r="B380" i="50"/>
  <c r="E380" i="50"/>
  <c r="F380" i="50"/>
  <c r="B381" i="50"/>
  <c r="E381" i="50"/>
  <c r="F381" i="50"/>
  <c r="B383" i="50"/>
  <c r="E383" i="50"/>
  <c r="F383" i="50"/>
  <c r="B384" i="50"/>
  <c r="E384" i="50"/>
  <c r="F384" i="50"/>
  <c r="B385" i="50"/>
  <c r="E385" i="50"/>
  <c r="F385" i="50"/>
  <c r="B387" i="50"/>
  <c r="E387" i="50"/>
  <c r="F387" i="50"/>
  <c r="B389" i="50"/>
  <c r="E389" i="50"/>
  <c r="F389" i="50"/>
  <c r="B390" i="50"/>
  <c r="E390" i="50"/>
  <c r="F390" i="50"/>
  <c r="B392" i="50"/>
  <c r="E392" i="50"/>
  <c r="F392" i="50"/>
  <c r="B393" i="50"/>
  <c r="E393" i="50"/>
  <c r="F393" i="50"/>
  <c r="B394" i="50"/>
  <c r="E394" i="50"/>
  <c r="F394" i="50"/>
  <c r="B396" i="50"/>
  <c r="E396" i="50"/>
  <c r="F396" i="50"/>
  <c r="B398" i="50"/>
  <c r="E398" i="50"/>
  <c r="F398" i="50"/>
  <c r="B399" i="50"/>
  <c r="E399" i="50"/>
  <c r="F399" i="50"/>
  <c r="B401" i="50"/>
  <c r="E401" i="50"/>
  <c r="F401" i="50"/>
  <c r="B402" i="50"/>
  <c r="E402" i="50"/>
  <c r="F402" i="50"/>
  <c r="B403" i="50"/>
  <c r="E403" i="50"/>
  <c r="F403" i="50"/>
  <c r="B405" i="50"/>
  <c r="E405" i="50"/>
  <c r="F405" i="50"/>
  <c r="B407" i="50"/>
  <c r="E407" i="50"/>
  <c r="F407" i="50"/>
  <c r="B408" i="50"/>
  <c r="E408" i="50"/>
  <c r="F408" i="50"/>
  <c r="B410" i="50"/>
  <c r="E410" i="50"/>
  <c r="F410" i="50"/>
  <c r="B411" i="50"/>
  <c r="E411" i="50"/>
  <c r="F411" i="50"/>
  <c r="B412" i="50"/>
  <c r="E412" i="50"/>
  <c r="F412" i="50"/>
  <c r="B414" i="50"/>
  <c r="E414" i="50"/>
  <c r="F414" i="50"/>
  <c r="B416" i="50"/>
  <c r="E416" i="50"/>
  <c r="F416" i="50"/>
  <c r="B33" i="50"/>
  <c r="E33" i="50"/>
  <c r="F33" i="50"/>
  <c r="B35" i="50"/>
  <c r="F35" i="50"/>
  <c r="B36" i="50"/>
  <c r="F36" i="50"/>
  <c r="B38" i="50"/>
  <c r="E38" i="50"/>
  <c r="F38" i="50"/>
  <c r="B40" i="50"/>
  <c r="E40" i="50"/>
  <c r="F40" i="50"/>
  <c r="B41" i="50"/>
  <c r="E41" i="50"/>
  <c r="F41" i="50"/>
  <c r="B43" i="50"/>
  <c r="E43" i="50"/>
  <c r="F43" i="50"/>
  <c r="B45" i="50"/>
  <c r="E45" i="50"/>
  <c r="F45" i="50"/>
  <c r="B46" i="50"/>
  <c r="F46" i="50"/>
  <c r="B48" i="50"/>
  <c r="E48" i="50"/>
  <c r="F48" i="50"/>
  <c r="B50" i="50"/>
  <c r="E50" i="50"/>
  <c r="F50" i="50"/>
  <c r="B51" i="50"/>
  <c r="E51" i="50"/>
  <c r="F51" i="50"/>
  <c r="B53" i="50"/>
  <c r="E53" i="50"/>
  <c r="F53" i="50"/>
  <c r="B55" i="50"/>
  <c r="E55" i="50"/>
  <c r="F55" i="50"/>
  <c r="B56" i="50"/>
  <c r="E56" i="50"/>
  <c r="F56" i="50"/>
  <c r="B58" i="50"/>
  <c r="E58" i="50"/>
  <c r="F58" i="50"/>
  <c r="B59" i="50"/>
  <c r="E59" i="50"/>
  <c r="F59" i="50"/>
  <c r="B60" i="50"/>
  <c r="E60" i="50"/>
  <c r="F60" i="50"/>
  <c r="B62" i="50"/>
  <c r="E62" i="50"/>
  <c r="F62" i="50"/>
  <c r="B64" i="50"/>
  <c r="E64" i="50"/>
  <c r="F64" i="50"/>
  <c r="E34" i="50"/>
  <c r="F34" i="50"/>
  <c r="E37" i="50"/>
  <c r="E39" i="50"/>
  <c r="F39" i="50"/>
  <c r="E42" i="50"/>
  <c r="F42" i="50"/>
  <c r="E44" i="50"/>
  <c r="F44" i="50"/>
  <c r="E47" i="50"/>
  <c r="F47" i="50"/>
  <c r="E49" i="50"/>
  <c r="F49" i="50"/>
  <c r="E52" i="50"/>
  <c r="F52" i="50"/>
  <c r="E54" i="50"/>
  <c r="F54" i="50"/>
  <c r="E57" i="50"/>
  <c r="F57" i="50"/>
  <c r="E61" i="50"/>
  <c r="F61" i="50"/>
  <c r="E63" i="50"/>
  <c r="F63" i="50"/>
  <c r="E66" i="50"/>
  <c r="F66" i="50"/>
  <c r="E70" i="50"/>
  <c r="F70" i="50"/>
  <c r="E72" i="50"/>
  <c r="F72" i="50"/>
  <c r="E75" i="50"/>
  <c r="F75" i="50"/>
  <c r="E79" i="50"/>
  <c r="F79" i="50"/>
  <c r="E81" i="50"/>
  <c r="F81" i="50"/>
  <c r="E84" i="50"/>
  <c r="F84" i="50"/>
  <c r="E88" i="50"/>
  <c r="F88" i="50"/>
  <c r="E90" i="50"/>
  <c r="F90" i="50"/>
  <c r="E93" i="50"/>
  <c r="F93" i="50"/>
  <c r="E95" i="50"/>
  <c r="F95" i="50"/>
  <c r="E98" i="50"/>
  <c r="F98" i="50"/>
  <c r="E100" i="50"/>
  <c r="F100" i="50"/>
  <c r="E103" i="50"/>
  <c r="F103" i="50"/>
  <c r="E105" i="50"/>
  <c r="F105" i="50"/>
  <c r="E108" i="50"/>
  <c r="F108" i="50"/>
  <c r="E110" i="50"/>
  <c r="F110" i="50"/>
  <c r="E113" i="50"/>
  <c r="F113" i="50"/>
  <c r="E115" i="50"/>
  <c r="F115" i="50"/>
  <c r="E118" i="50"/>
  <c r="F118" i="50"/>
  <c r="E120" i="50"/>
  <c r="F120" i="50"/>
  <c r="E123" i="50"/>
  <c r="F123" i="50"/>
  <c r="E125" i="50"/>
  <c r="F125" i="50"/>
  <c r="E128" i="50"/>
  <c r="F128" i="50"/>
  <c r="E130" i="50"/>
  <c r="F130" i="50"/>
  <c r="E133" i="50"/>
  <c r="F133" i="50"/>
  <c r="E135" i="50"/>
  <c r="F135" i="50"/>
  <c r="E138" i="50"/>
  <c r="F138" i="50"/>
  <c r="E140" i="50"/>
  <c r="F140" i="50"/>
  <c r="E143" i="50"/>
  <c r="F143" i="50"/>
  <c r="E145" i="50"/>
  <c r="F145" i="50"/>
  <c r="E148" i="50"/>
  <c r="F148" i="50"/>
  <c r="E150" i="50"/>
  <c r="F150" i="50"/>
  <c r="E153" i="50"/>
  <c r="F153" i="50"/>
  <c r="E155" i="50"/>
  <c r="F155" i="50"/>
  <c r="E158" i="50"/>
  <c r="F158" i="50"/>
  <c r="E160" i="50"/>
  <c r="F160" i="50"/>
  <c r="E163" i="50"/>
  <c r="F163" i="50"/>
  <c r="E165" i="50"/>
  <c r="F165" i="50"/>
  <c r="E168" i="50"/>
  <c r="F168" i="50"/>
  <c r="E170" i="50"/>
  <c r="F170" i="50"/>
  <c r="E173" i="50"/>
  <c r="F173" i="50"/>
  <c r="E175" i="50"/>
  <c r="F175" i="50"/>
  <c r="E178" i="50"/>
  <c r="F178" i="50"/>
  <c r="E180" i="50"/>
  <c r="F180" i="50"/>
  <c r="E183" i="50"/>
  <c r="F183" i="50"/>
  <c r="E185" i="50"/>
  <c r="F185" i="50"/>
  <c r="E188" i="50"/>
  <c r="F188" i="50"/>
  <c r="E190" i="50"/>
  <c r="F190" i="50"/>
  <c r="E193" i="50"/>
  <c r="F193" i="50"/>
  <c r="E197" i="50"/>
  <c r="F197" i="50"/>
  <c r="E199" i="50"/>
  <c r="F199" i="50"/>
  <c r="E202" i="50"/>
  <c r="F202" i="50"/>
  <c r="E206" i="50"/>
  <c r="F206" i="50"/>
  <c r="E208" i="50"/>
  <c r="F208" i="50"/>
  <c r="E211" i="50"/>
  <c r="F211" i="50"/>
  <c r="E215" i="50"/>
  <c r="F215" i="50"/>
  <c r="E217" i="50"/>
  <c r="F217" i="50"/>
  <c r="E220" i="50"/>
  <c r="F220" i="50"/>
  <c r="E224" i="50"/>
  <c r="F224" i="50"/>
  <c r="E226" i="50"/>
  <c r="F226" i="50"/>
  <c r="E229" i="50"/>
  <c r="F229" i="50"/>
  <c r="E233" i="50"/>
  <c r="F233" i="50"/>
  <c r="E235" i="50"/>
  <c r="F235" i="50"/>
  <c r="E238" i="50"/>
  <c r="F238" i="50"/>
  <c r="E242" i="50"/>
  <c r="F242" i="50"/>
  <c r="E244" i="50"/>
  <c r="F244" i="50"/>
  <c r="E247" i="50"/>
  <c r="F247" i="50"/>
  <c r="E251" i="50"/>
  <c r="F251" i="50"/>
  <c r="E253" i="50"/>
  <c r="F253" i="50"/>
  <c r="E256" i="50"/>
  <c r="F256" i="50"/>
  <c r="E260" i="50"/>
  <c r="F260" i="50"/>
  <c r="E262" i="50"/>
  <c r="F262" i="50"/>
  <c r="E265" i="50"/>
  <c r="F265" i="50"/>
  <c r="E269" i="50"/>
  <c r="F269" i="50"/>
  <c r="E271" i="50"/>
  <c r="F271" i="50"/>
  <c r="E274" i="50"/>
  <c r="F274" i="50"/>
  <c r="E278" i="50"/>
  <c r="F278" i="50"/>
  <c r="E280" i="50"/>
  <c r="F280" i="50"/>
  <c r="E283" i="50"/>
  <c r="F283" i="50"/>
  <c r="E287" i="50"/>
  <c r="F287" i="50"/>
  <c r="E289" i="50"/>
  <c r="F289" i="50"/>
  <c r="E292" i="50"/>
  <c r="F292" i="50"/>
  <c r="E296" i="50"/>
  <c r="F296" i="50"/>
  <c r="E298" i="50"/>
  <c r="F298" i="50"/>
  <c r="E301" i="50"/>
  <c r="F301" i="50"/>
  <c r="E305" i="50"/>
  <c r="F305" i="50"/>
  <c r="E307" i="50"/>
  <c r="F307" i="50"/>
  <c r="E310" i="50"/>
  <c r="F310" i="50"/>
  <c r="E314" i="50"/>
  <c r="F314" i="50"/>
  <c r="E316" i="50"/>
  <c r="F316" i="50"/>
  <c r="E319" i="50"/>
  <c r="F319" i="50"/>
  <c r="E323" i="50"/>
  <c r="F323" i="50"/>
  <c r="E325" i="50"/>
  <c r="F325" i="50"/>
  <c r="E328" i="50"/>
  <c r="F328" i="50"/>
  <c r="E332" i="50"/>
  <c r="F332" i="50"/>
  <c r="E334" i="50"/>
  <c r="F334" i="50"/>
  <c r="E337" i="50"/>
  <c r="F337" i="50"/>
  <c r="E341" i="50"/>
  <c r="E343" i="50"/>
  <c r="E346" i="50"/>
  <c r="F346" i="50"/>
  <c r="E350" i="50"/>
  <c r="F350" i="50"/>
  <c r="E352" i="50"/>
  <c r="F352" i="50"/>
  <c r="E355" i="50"/>
  <c r="F355" i="50"/>
  <c r="E359" i="50"/>
  <c r="F359" i="50"/>
  <c r="E361" i="50"/>
  <c r="F361" i="50"/>
  <c r="E364" i="50"/>
  <c r="F364" i="50"/>
  <c r="E368" i="50"/>
  <c r="F368" i="50"/>
  <c r="E370" i="50"/>
  <c r="F370" i="50"/>
  <c r="E373" i="50"/>
  <c r="F373" i="50"/>
  <c r="E377" i="50"/>
  <c r="F377" i="50"/>
  <c r="E379" i="50"/>
  <c r="F379" i="50"/>
  <c r="E382" i="50"/>
  <c r="F382" i="50"/>
  <c r="E386" i="50"/>
  <c r="F386" i="50"/>
  <c r="E388" i="50"/>
  <c r="F388" i="50"/>
  <c r="E391" i="50"/>
  <c r="F391" i="50"/>
  <c r="E395" i="50"/>
  <c r="F395" i="50"/>
  <c r="E397" i="50"/>
  <c r="F397" i="50"/>
  <c r="E400" i="50"/>
  <c r="F400" i="50"/>
  <c r="E404" i="50"/>
  <c r="F404" i="50"/>
  <c r="E406" i="50"/>
  <c r="F406" i="50"/>
  <c r="E409" i="50"/>
  <c r="F409" i="50"/>
  <c r="E413" i="50"/>
  <c r="F413" i="50"/>
  <c r="E415" i="50"/>
  <c r="F415" i="50"/>
  <c r="E418" i="50"/>
  <c r="F418" i="50"/>
  <c r="E422" i="50"/>
  <c r="F422" i="50"/>
  <c r="E424" i="50"/>
  <c r="F424" i="50"/>
  <c r="E427" i="50"/>
  <c r="F427" i="50"/>
  <c r="E431" i="50"/>
  <c r="F431" i="50"/>
  <c r="E433" i="50"/>
  <c r="F433" i="50"/>
  <c r="E436" i="50"/>
  <c r="F436" i="50"/>
  <c r="E440" i="50"/>
  <c r="F440" i="50"/>
  <c r="E442" i="50"/>
  <c r="F442" i="50"/>
  <c r="E445" i="50"/>
  <c r="F445" i="50"/>
  <c r="E449" i="50"/>
  <c r="F449" i="50"/>
  <c r="E451" i="50"/>
  <c r="F451" i="50"/>
  <c r="E454" i="50"/>
  <c r="F454" i="50"/>
  <c r="E458" i="50"/>
  <c r="F458" i="50"/>
  <c r="E460" i="50"/>
  <c r="F460" i="50"/>
  <c r="E463" i="50"/>
  <c r="F463" i="50"/>
  <c r="E467" i="50"/>
  <c r="F467" i="50"/>
  <c r="E469" i="50"/>
  <c r="F469" i="50"/>
  <c r="E472" i="50"/>
  <c r="F472" i="50"/>
  <c r="E476" i="50"/>
  <c r="E478" i="50"/>
  <c r="E481" i="50"/>
  <c r="F481" i="50"/>
  <c r="E483" i="50"/>
  <c r="F483" i="50"/>
  <c r="E486" i="50"/>
  <c r="F486" i="50"/>
  <c r="E488" i="50"/>
  <c r="F488" i="50"/>
  <c r="E491" i="50"/>
  <c r="F491" i="50"/>
  <c r="E493" i="50"/>
  <c r="F493" i="50"/>
  <c r="E496" i="50"/>
  <c r="F496" i="50"/>
  <c r="E499" i="50"/>
  <c r="F499" i="50"/>
  <c r="E503" i="50"/>
  <c r="F503" i="50"/>
  <c r="E506" i="50"/>
  <c r="F506" i="50"/>
  <c r="E510" i="50"/>
  <c r="F510" i="50"/>
  <c r="E513" i="50"/>
  <c r="F513" i="50"/>
  <c r="E517" i="50"/>
  <c r="F517" i="50"/>
  <c r="E520" i="50"/>
  <c r="F520" i="50"/>
  <c r="E524" i="50"/>
  <c r="F524" i="50"/>
  <c r="E527" i="50"/>
  <c r="F527" i="50"/>
  <c r="E531" i="50"/>
  <c r="F531" i="50"/>
  <c r="E533" i="50"/>
  <c r="F533" i="50"/>
  <c r="E536" i="50"/>
  <c r="F536" i="50"/>
  <c r="E538" i="50"/>
  <c r="F538" i="50"/>
  <c r="E541" i="50"/>
  <c r="F541" i="50"/>
  <c r="E543" i="50"/>
  <c r="F543" i="50"/>
  <c r="E546" i="50"/>
  <c r="F546" i="50"/>
  <c r="E548" i="50"/>
  <c r="F548" i="50"/>
  <c r="E551" i="50"/>
  <c r="F551" i="50"/>
  <c r="E554" i="50"/>
  <c r="F554" i="50"/>
  <c r="E558" i="50"/>
  <c r="F558" i="50"/>
  <c r="E561" i="50"/>
  <c r="F561" i="50"/>
  <c r="E565" i="50"/>
  <c r="F565" i="50"/>
  <c r="E568" i="50"/>
  <c r="F568" i="50"/>
  <c r="E572" i="50"/>
  <c r="F572" i="50"/>
  <c r="E575" i="50"/>
  <c r="F575" i="50"/>
  <c r="E579" i="50"/>
  <c r="F579" i="50"/>
  <c r="E582" i="50"/>
  <c r="F582" i="50"/>
  <c r="E586" i="50"/>
  <c r="F586" i="50"/>
  <c r="E588" i="50"/>
  <c r="F588" i="50"/>
  <c r="E591" i="50"/>
  <c r="F591" i="50"/>
  <c r="E593" i="50"/>
  <c r="F593" i="50"/>
  <c r="E596" i="50"/>
  <c r="F596" i="50"/>
  <c r="E598" i="50"/>
  <c r="F598" i="50"/>
  <c r="E601" i="50"/>
  <c r="F601" i="50"/>
  <c r="E603" i="50"/>
  <c r="F603" i="50"/>
  <c r="E606" i="50"/>
  <c r="F606" i="50"/>
  <c r="E609" i="50"/>
  <c r="F609" i="50"/>
  <c r="E613" i="50"/>
  <c r="F613" i="50"/>
  <c r="E616" i="50"/>
  <c r="F616" i="50"/>
  <c r="E620" i="50"/>
  <c r="F620" i="50"/>
  <c r="E623" i="50"/>
  <c r="F623" i="50"/>
  <c r="E627" i="50"/>
  <c r="F627" i="50"/>
  <c r="E630" i="50"/>
  <c r="F630" i="50"/>
  <c r="E634" i="50"/>
  <c r="F634" i="50"/>
  <c r="E637" i="50"/>
  <c r="F637" i="50"/>
  <c r="E641" i="50"/>
  <c r="F641" i="50"/>
  <c r="E644" i="50"/>
  <c r="F644" i="50"/>
  <c r="E648" i="50"/>
  <c r="F648" i="50"/>
  <c r="E651" i="50"/>
  <c r="F651" i="50"/>
  <c r="E655" i="50"/>
  <c r="F655" i="50"/>
  <c r="E658" i="50"/>
  <c r="F658" i="50"/>
  <c r="E662" i="50"/>
  <c r="F662" i="50"/>
  <c r="E665" i="50"/>
  <c r="F665" i="50"/>
  <c r="E669" i="50"/>
  <c r="F669" i="50"/>
  <c r="E672" i="50"/>
  <c r="F672" i="50"/>
  <c r="E676" i="50"/>
  <c r="F676" i="50"/>
  <c r="E679" i="50"/>
  <c r="F679" i="50"/>
  <c r="E683" i="50"/>
  <c r="F683" i="50"/>
  <c r="E686" i="50"/>
  <c r="F686" i="50"/>
  <c r="E696" i="50"/>
  <c r="F696" i="50"/>
  <c r="E699" i="50"/>
  <c r="F699" i="50"/>
  <c r="E713" i="50"/>
  <c r="F713" i="50"/>
  <c r="E715" i="50"/>
  <c r="E718" i="50"/>
  <c r="E722" i="50"/>
  <c r="F722" i="50"/>
  <c r="E725" i="50"/>
  <c r="F725" i="50"/>
  <c r="E729" i="50"/>
  <c r="F729" i="50"/>
  <c r="E732" i="50"/>
  <c r="F732" i="50"/>
  <c r="E736" i="50"/>
  <c r="F736" i="50"/>
  <c r="E738" i="50"/>
  <c r="F738" i="50"/>
  <c r="E741" i="50"/>
  <c r="F741" i="50"/>
  <c r="E745" i="50"/>
  <c r="F745" i="50"/>
  <c r="E748" i="50"/>
  <c r="F748" i="50"/>
  <c r="E752" i="50"/>
  <c r="F752" i="50"/>
  <c r="E754" i="50"/>
  <c r="F754" i="50"/>
  <c r="E757" i="50"/>
  <c r="F757" i="50"/>
  <c r="E761" i="50"/>
  <c r="F761" i="50"/>
  <c r="E763" i="50"/>
  <c r="F763" i="50"/>
  <c r="E766" i="50"/>
  <c r="F766" i="50"/>
  <c r="E770" i="50"/>
  <c r="F770" i="50"/>
  <c r="E773" i="50"/>
  <c r="F773" i="50"/>
  <c r="E777" i="50"/>
  <c r="F777" i="50"/>
  <c r="E779" i="50"/>
  <c r="F779" i="50"/>
  <c r="E782" i="50"/>
  <c r="F782" i="50"/>
  <c r="E786" i="50"/>
  <c r="F786" i="50"/>
  <c r="E789" i="50"/>
  <c r="F789" i="50"/>
  <c r="E793" i="50"/>
  <c r="F793" i="50"/>
  <c r="E795" i="50"/>
  <c r="F795" i="50"/>
  <c r="E798" i="50"/>
  <c r="F798" i="50"/>
  <c r="E802" i="50"/>
  <c r="F802" i="50"/>
  <c r="E805" i="50"/>
  <c r="F805" i="50"/>
  <c r="E821" i="50"/>
  <c r="F821" i="50"/>
  <c r="E824" i="50"/>
  <c r="F824" i="50"/>
  <c r="E828" i="50"/>
  <c r="F828" i="50"/>
  <c r="E831" i="50"/>
  <c r="F831" i="50"/>
  <c r="E835" i="50"/>
  <c r="F835" i="50"/>
  <c r="E838" i="50"/>
  <c r="F838" i="50"/>
  <c r="E842" i="50"/>
  <c r="F842" i="50"/>
  <c r="E845" i="50"/>
  <c r="F845" i="50"/>
  <c r="E849" i="50"/>
  <c r="F849" i="50"/>
  <c r="E852" i="50"/>
  <c r="F852" i="50"/>
  <c r="E856" i="50"/>
  <c r="F856" i="50"/>
  <c r="E859" i="50"/>
  <c r="F859" i="50"/>
  <c r="E868" i="50"/>
  <c r="F868" i="50"/>
  <c r="E871" i="50"/>
  <c r="F871" i="50"/>
  <c r="E880" i="50"/>
  <c r="F880" i="50"/>
  <c r="E882" i="50"/>
  <c r="F882" i="50"/>
  <c r="E885" i="50"/>
  <c r="F885" i="50"/>
  <c r="E889" i="50"/>
  <c r="F889" i="50"/>
  <c r="E891" i="50"/>
  <c r="F891" i="50"/>
  <c r="E894" i="50"/>
  <c r="F894" i="50"/>
  <c r="E898" i="50"/>
  <c r="F898" i="50"/>
  <c r="E901" i="50"/>
  <c r="F901" i="50"/>
  <c r="E905" i="50"/>
  <c r="F905" i="50"/>
  <c r="E908" i="50"/>
  <c r="F908" i="50"/>
  <c r="E912" i="50"/>
  <c r="F912" i="50"/>
  <c r="E915" i="50"/>
  <c r="F915" i="50"/>
  <c r="E919" i="50"/>
  <c r="F919" i="50"/>
  <c r="E922" i="50"/>
  <c r="F922" i="50"/>
  <c r="E926" i="50"/>
  <c r="F926" i="50"/>
  <c r="E929" i="50"/>
  <c r="F929" i="50"/>
  <c r="E933" i="50"/>
  <c r="F933" i="50"/>
  <c r="E936" i="50"/>
  <c r="F936" i="50"/>
  <c r="E945" i="50"/>
  <c r="F945" i="50"/>
  <c r="E947" i="50"/>
  <c r="F947" i="50"/>
  <c r="E950" i="50"/>
  <c r="F950" i="50"/>
  <c r="E954" i="50"/>
  <c r="F954" i="50"/>
  <c r="E957" i="50"/>
  <c r="F957" i="50"/>
  <c r="E961" i="50"/>
  <c r="F961" i="50"/>
  <c r="E964" i="50"/>
  <c r="F964" i="50"/>
  <c r="E973" i="50"/>
  <c r="F973" i="50"/>
  <c r="E975" i="50"/>
  <c r="F975" i="50"/>
  <c r="E978" i="50"/>
  <c r="F978" i="50"/>
  <c r="E982" i="50"/>
  <c r="F982" i="50"/>
  <c r="E985" i="50"/>
  <c r="F985" i="50"/>
  <c r="E994" i="50"/>
  <c r="F994" i="50"/>
  <c r="E997" i="50"/>
  <c r="F997" i="50"/>
  <c r="E1001" i="50"/>
  <c r="F1001" i="50"/>
  <c r="E1003" i="50"/>
  <c r="F1003" i="50"/>
  <c r="E1006" i="50"/>
  <c r="F1006" i="50"/>
  <c r="E1010" i="50"/>
  <c r="F1010" i="50"/>
  <c r="E1013" i="50"/>
  <c r="F1013" i="50"/>
  <c r="E1017" i="50"/>
  <c r="F1017" i="50"/>
  <c r="E1019" i="50"/>
  <c r="F1019" i="50"/>
  <c r="E1022" i="50"/>
  <c r="F1022" i="50"/>
  <c r="E1026" i="50"/>
  <c r="F1026" i="50"/>
  <c r="E1029" i="50"/>
  <c r="F1029" i="50"/>
  <c r="E1051" i="50"/>
  <c r="F1051" i="50"/>
  <c r="E1166" i="50"/>
  <c r="F1166" i="50"/>
  <c r="E1169" i="50"/>
  <c r="F1169" i="50"/>
  <c r="E1173" i="50"/>
  <c r="F1173" i="50"/>
  <c r="E1176" i="50"/>
  <c r="F1176" i="50"/>
  <c r="E1180" i="50"/>
  <c r="F1180" i="50"/>
  <c r="E1183" i="50"/>
  <c r="F1183" i="50"/>
  <c r="E1187" i="50"/>
  <c r="F1187" i="50"/>
  <c r="E1190" i="50"/>
  <c r="F1190" i="50"/>
  <c r="B763" i="51"/>
  <c r="B764" i="51"/>
  <c r="B765" i="51"/>
  <c r="B766" i="51"/>
  <c r="B767" i="51"/>
  <c r="B768" i="51"/>
  <c r="B769" i="51"/>
  <c r="B770" i="51"/>
  <c r="B771" i="51"/>
  <c r="B772" i="51"/>
  <c r="B773" i="51"/>
  <c r="B774" i="51"/>
  <c r="B751" i="51"/>
  <c r="B752" i="51"/>
  <c r="B753" i="51"/>
  <c r="B754" i="51"/>
  <c r="B755" i="51"/>
  <c r="B756" i="51"/>
  <c r="B757" i="51"/>
  <c r="B758" i="51"/>
  <c r="B759" i="51"/>
  <c r="B760" i="51"/>
  <c r="B761" i="51"/>
  <c r="B762" i="51"/>
  <c r="B744" i="51"/>
  <c r="B745" i="51"/>
  <c r="B746" i="51"/>
  <c r="B704" i="51"/>
  <c r="B705" i="51"/>
  <c r="B706" i="51"/>
  <c r="B707" i="51"/>
  <c r="B708" i="51"/>
  <c r="B709" i="51"/>
  <c r="B710" i="51"/>
  <c r="B711" i="51"/>
  <c r="B712" i="51"/>
  <c r="B713" i="51"/>
  <c r="B714" i="51"/>
  <c r="B715" i="51"/>
  <c r="B716" i="51"/>
  <c r="B717" i="51"/>
  <c r="B718" i="51"/>
  <c r="B720" i="51"/>
  <c r="B721" i="51"/>
  <c r="B722" i="51"/>
  <c r="B723" i="51"/>
  <c r="B724" i="51"/>
  <c r="B725" i="51"/>
  <c r="B726" i="51"/>
  <c r="B727" i="51"/>
  <c r="B728" i="51"/>
  <c r="B730" i="51"/>
  <c r="B731" i="51"/>
  <c r="B732" i="51"/>
  <c r="B733" i="51"/>
  <c r="B734" i="51"/>
  <c r="B735" i="51"/>
  <c r="B737" i="51"/>
  <c r="B738" i="51"/>
  <c r="B739" i="51"/>
  <c r="B622" i="51"/>
  <c r="B623" i="51"/>
  <c r="B624" i="51"/>
  <c r="B625" i="51"/>
  <c r="B626" i="51"/>
  <c r="B627" i="51"/>
  <c r="B629" i="51"/>
  <c r="B630" i="51"/>
  <c r="B631" i="51"/>
  <c r="B632" i="51"/>
  <c r="B633" i="51"/>
  <c r="B634" i="51"/>
  <c r="B635" i="51"/>
  <c r="B636" i="51"/>
  <c r="B637" i="51"/>
  <c r="B638" i="51"/>
  <c r="B639" i="51"/>
  <c r="B640" i="51"/>
  <c r="B641" i="51"/>
  <c r="B642" i="51"/>
  <c r="B643" i="51"/>
  <c r="B644" i="51"/>
  <c r="B645" i="51"/>
  <c r="B646" i="51"/>
  <c r="B647" i="51"/>
  <c r="B648" i="51"/>
  <c r="B649" i="51"/>
  <c r="B650" i="51"/>
  <c r="B651" i="51"/>
  <c r="B652" i="51"/>
  <c r="B653" i="51"/>
  <c r="B654" i="51"/>
  <c r="B655" i="51"/>
  <c r="B656" i="51"/>
  <c r="B657" i="51"/>
  <c r="B658" i="51"/>
  <c r="B659" i="51"/>
  <c r="B660" i="51"/>
  <c r="B661" i="51"/>
  <c r="B662" i="51"/>
  <c r="B663" i="51"/>
  <c r="B664" i="51"/>
  <c r="B672" i="51"/>
  <c r="B673" i="51"/>
  <c r="B674" i="51"/>
  <c r="B675" i="51"/>
  <c r="B676" i="51"/>
  <c r="B677" i="51"/>
  <c r="B678" i="51"/>
  <c r="B679" i="51"/>
  <c r="B680" i="51"/>
  <c r="B681" i="51"/>
  <c r="B682" i="51"/>
  <c r="B683" i="51"/>
  <c r="B684" i="51"/>
  <c r="B685" i="51"/>
  <c r="B686" i="51"/>
  <c r="B687" i="51"/>
  <c r="B688" i="51"/>
  <c r="B689" i="51"/>
  <c r="B691" i="51"/>
  <c r="B692" i="51"/>
  <c r="B693" i="51"/>
  <c r="B695" i="51"/>
  <c r="B696" i="51"/>
  <c r="B697" i="51"/>
  <c r="B698" i="51"/>
  <c r="B699" i="51"/>
  <c r="B700" i="51"/>
  <c r="B701" i="51"/>
  <c r="B702" i="51"/>
  <c r="B703" i="51"/>
  <c r="B399" i="51"/>
  <c r="B400" i="51"/>
  <c r="B401" i="51"/>
  <c r="B402" i="51"/>
  <c r="B403" i="51"/>
  <c r="B404" i="51"/>
  <c r="B405" i="51"/>
  <c r="B406" i="51"/>
  <c r="B407" i="51"/>
  <c r="B408" i="51"/>
  <c r="B409" i="51"/>
  <c r="B410" i="51"/>
  <c r="B411" i="51"/>
  <c r="B412" i="51"/>
  <c r="B413" i="51"/>
  <c r="B414" i="51"/>
  <c r="B415" i="51"/>
  <c r="B416" i="51"/>
  <c r="B417" i="51"/>
  <c r="B418" i="51"/>
  <c r="B419" i="51"/>
  <c r="B420" i="51"/>
  <c r="B421" i="51"/>
  <c r="B422" i="51"/>
  <c r="B423" i="51"/>
  <c r="B424" i="51"/>
  <c r="B425" i="51"/>
  <c r="B426" i="51"/>
  <c r="B427" i="51"/>
  <c r="B428" i="51"/>
  <c r="B429" i="51"/>
  <c r="B430" i="51"/>
  <c r="B431" i="51"/>
  <c r="B432" i="51"/>
  <c r="B433" i="51"/>
  <c r="B434" i="51"/>
  <c r="B435" i="51"/>
  <c r="B436" i="51"/>
  <c r="B437" i="51"/>
  <c r="B438" i="51"/>
  <c r="B439" i="51"/>
  <c r="B440" i="51"/>
  <c r="B441" i="51"/>
  <c r="B442" i="51"/>
  <c r="B443" i="51"/>
  <c r="B444" i="51"/>
  <c r="B445" i="51"/>
  <c r="B446" i="51"/>
  <c r="B447" i="51"/>
  <c r="B448" i="51"/>
  <c r="B449" i="51"/>
  <c r="B450" i="51"/>
  <c r="B451" i="51"/>
  <c r="B452" i="51"/>
  <c r="B453" i="51"/>
  <c r="B454" i="51"/>
  <c r="B455" i="51"/>
  <c r="B456" i="51"/>
  <c r="B457" i="51"/>
  <c r="B458" i="51"/>
  <c r="B459" i="51"/>
  <c r="B460" i="51"/>
  <c r="B461" i="51"/>
  <c r="B462" i="51"/>
  <c r="B463" i="51"/>
  <c r="B464" i="51"/>
  <c r="B465" i="51"/>
  <c r="B466" i="51"/>
  <c r="B467" i="51"/>
  <c r="B468" i="51"/>
  <c r="B469" i="51"/>
  <c r="B470" i="51"/>
  <c r="B471" i="51"/>
  <c r="B472" i="51"/>
  <c r="B473" i="51"/>
  <c r="B474" i="51"/>
  <c r="B475" i="51"/>
  <c r="B476" i="51"/>
  <c r="B477" i="51"/>
  <c r="B478" i="51"/>
  <c r="B479" i="51"/>
  <c r="B480" i="51"/>
  <c r="B481" i="51"/>
  <c r="B482" i="51"/>
  <c r="B483" i="51"/>
  <c r="B484" i="51"/>
  <c r="B485" i="51"/>
  <c r="B486" i="51"/>
  <c r="B487" i="51"/>
  <c r="B488" i="51"/>
  <c r="B489" i="51"/>
  <c r="B490" i="51"/>
  <c r="B491" i="51"/>
  <c r="B492" i="51"/>
  <c r="B493" i="51"/>
  <c r="B494" i="51"/>
  <c r="B495" i="51"/>
  <c r="B496" i="51"/>
  <c r="B497" i="51"/>
  <c r="B498" i="51"/>
  <c r="B499" i="51"/>
  <c r="B500" i="51"/>
  <c r="B501" i="51"/>
  <c r="B502" i="51"/>
  <c r="B503" i="51"/>
  <c r="B504" i="51"/>
  <c r="B505" i="51"/>
  <c r="B506" i="51"/>
  <c r="B507" i="51"/>
  <c r="B508" i="51"/>
  <c r="B509" i="51"/>
  <c r="B510" i="51"/>
  <c r="B511" i="51"/>
  <c r="B512" i="51"/>
  <c r="B513" i="51"/>
  <c r="B514" i="51"/>
  <c r="B515" i="51"/>
  <c r="B516" i="51"/>
  <c r="B517" i="51"/>
  <c r="B518" i="51"/>
  <c r="B519" i="51"/>
  <c r="B520" i="51"/>
  <c r="B521" i="51"/>
  <c r="B522" i="51"/>
  <c r="B523" i="51"/>
  <c r="B524" i="51"/>
  <c r="B525" i="51"/>
  <c r="B526" i="51"/>
  <c r="B527" i="51"/>
  <c r="B528" i="51"/>
  <c r="B529" i="51"/>
  <c r="B530" i="51"/>
  <c r="B531" i="51"/>
  <c r="B532" i="51"/>
  <c r="B533" i="51"/>
  <c r="B534" i="51"/>
  <c r="B535" i="51"/>
  <c r="B536" i="51"/>
  <c r="B537" i="51"/>
  <c r="B538" i="51"/>
  <c r="B539" i="51"/>
  <c r="B540" i="51"/>
  <c r="B541" i="51"/>
  <c r="B542" i="51"/>
  <c r="B543" i="51"/>
  <c r="B544" i="51"/>
  <c r="B545" i="51"/>
  <c r="B546" i="51"/>
  <c r="B547" i="51"/>
  <c r="B548" i="51"/>
  <c r="B549" i="51"/>
  <c r="B550" i="51"/>
  <c r="B551" i="51"/>
  <c r="B552" i="51"/>
  <c r="B553" i="51"/>
  <c r="B554" i="51"/>
  <c r="B555" i="51"/>
  <c r="B556" i="51"/>
  <c r="B557" i="51"/>
  <c r="B558" i="51"/>
  <c r="B559" i="51"/>
  <c r="B560" i="51"/>
  <c r="B561" i="51"/>
  <c r="B562" i="51"/>
  <c r="B563" i="51"/>
  <c r="B564" i="51"/>
  <c r="B565" i="51"/>
  <c r="B566" i="51"/>
  <c r="B567" i="51"/>
  <c r="B568" i="51"/>
  <c r="B569" i="51"/>
  <c r="B570" i="51"/>
  <c r="B571" i="51"/>
  <c r="B572" i="51"/>
  <c r="B573" i="51"/>
  <c r="B574" i="51"/>
  <c r="B575" i="51"/>
  <c r="B576" i="51"/>
  <c r="B577" i="51"/>
  <c r="B578" i="51"/>
  <c r="B579" i="51"/>
  <c r="B580" i="51"/>
  <c r="B581" i="51"/>
  <c r="B582" i="51"/>
  <c r="B583" i="51"/>
  <c r="B584" i="51"/>
  <c r="B585" i="51"/>
  <c r="B586" i="51"/>
  <c r="B587" i="51"/>
  <c r="B588" i="51"/>
  <c r="B589" i="51"/>
  <c r="B590" i="51"/>
  <c r="B591" i="51"/>
  <c r="B592" i="51"/>
  <c r="B593" i="51"/>
  <c r="B594" i="51"/>
  <c r="B595" i="51"/>
  <c r="B596" i="51"/>
  <c r="B597" i="51"/>
  <c r="B598" i="51"/>
  <c r="B599" i="51"/>
  <c r="B600" i="51"/>
  <c r="B601" i="51"/>
  <c r="B602" i="51"/>
  <c r="B603" i="51"/>
  <c r="B604" i="51"/>
  <c r="B605" i="51"/>
  <c r="B606" i="51"/>
  <c r="B607" i="51"/>
  <c r="B608" i="51"/>
  <c r="B609" i="51"/>
  <c r="B610" i="51"/>
  <c r="B611" i="51"/>
  <c r="B612" i="51"/>
  <c r="B613" i="51"/>
  <c r="B614" i="51"/>
  <c r="B615" i="51"/>
  <c r="B616" i="51"/>
  <c r="B617" i="51"/>
  <c r="B618" i="51"/>
  <c r="B619" i="51"/>
  <c r="B620" i="51"/>
  <c r="B621" i="51"/>
  <c r="B379" i="51"/>
  <c r="B380" i="51"/>
  <c r="B381" i="51"/>
  <c r="B382" i="51"/>
  <c r="B383" i="51"/>
  <c r="B384" i="51"/>
  <c r="B385" i="51"/>
  <c r="B386" i="51"/>
  <c r="B387" i="51"/>
  <c r="B388" i="51"/>
  <c r="B389" i="51"/>
  <c r="B390" i="51"/>
  <c r="B391" i="51"/>
  <c r="B392" i="51"/>
  <c r="B393" i="51"/>
  <c r="B394" i="51"/>
  <c r="B395" i="51"/>
  <c r="B396" i="51"/>
  <c r="B397" i="51"/>
  <c r="B398" i="51"/>
  <c r="B333" i="51"/>
  <c r="B330" i="51"/>
  <c r="B331" i="51"/>
  <c r="B349" i="51"/>
  <c r="B346" i="51"/>
  <c r="B337" i="51"/>
  <c r="B324" i="51"/>
  <c r="B325" i="51"/>
  <c r="B326" i="51"/>
  <c r="B328" i="51"/>
  <c r="B329" i="51"/>
  <c r="B332" i="51"/>
  <c r="B334" i="51"/>
  <c r="B335" i="51"/>
  <c r="B322" i="51"/>
  <c r="B311" i="51"/>
  <c r="B308" i="51"/>
  <c r="B305" i="51"/>
  <c r="B302" i="51"/>
  <c r="B299" i="51"/>
  <c r="B296" i="51"/>
  <c r="B292" i="51"/>
  <c r="B288" i="51"/>
  <c r="B282" i="51"/>
  <c r="B276" i="51"/>
  <c r="B267" i="51"/>
  <c r="B261" i="51"/>
  <c r="B258" i="51"/>
  <c r="B252" i="51"/>
  <c r="B192" i="51"/>
  <c r="B189" i="51"/>
  <c r="B186" i="51"/>
  <c r="B183" i="51"/>
  <c r="B351" i="51"/>
  <c r="B350" i="51"/>
  <c r="B348" i="51"/>
  <c r="B347" i="51"/>
  <c r="B345" i="51"/>
  <c r="B344" i="51"/>
  <c r="B339" i="51"/>
  <c r="B338" i="51"/>
  <c r="B336" i="51"/>
  <c r="B323" i="51"/>
  <c r="B320" i="51"/>
  <c r="B319" i="51"/>
  <c r="B318" i="51"/>
  <c r="B317" i="51"/>
  <c r="B316" i="51"/>
  <c r="B315" i="51"/>
  <c r="B314" i="51"/>
  <c r="B312" i="51"/>
  <c r="B310" i="51"/>
  <c r="B309" i="51"/>
  <c r="B307" i="51"/>
  <c r="B306" i="51"/>
  <c r="B304" i="51"/>
  <c r="B303" i="51"/>
  <c r="B301" i="51"/>
  <c r="B300" i="51"/>
  <c r="B298" i="51"/>
  <c r="B297" i="51"/>
  <c r="B295" i="51"/>
  <c r="B293" i="51"/>
  <c r="B290" i="51"/>
  <c r="B289" i="51"/>
  <c r="B287" i="51"/>
  <c r="B286" i="51"/>
  <c r="B285" i="51"/>
  <c r="B284" i="51"/>
  <c r="B283" i="51"/>
  <c r="B281" i="51"/>
  <c r="B280" i="51"/>
  <c r="B279" i="51"/>
  <c r="B278" i="51"/>
  <c r="B277" i="51"/>
  <c r="B275" i="51"/>
  <c r="B274" i="51"/>
  <c r="B273" i="51"/>
  <c r="B272" i="51"/>
  <c r="B271" i="51"/>
  <c r="B270" i="51"/>
  <c r="B269" i="51"/>
  <c r="B268" i="51"/>
  <c r="B266" i="51"/>
  <c r="B265" i="51"/>
  <c r="B264" i="51"/>
  <c r="B263" i="51"/>
  <c r="B262" i="51"/>
  <c r="B260" i="51"/>
  <c r="B259" i="51"/>
  <c r="B257" i="51"/>
  <c r="B256" i="51"/>
  <c r="B255" i="51"/>
  <c r="B254" i="51"/>
  <c r="B253" i="51"/>
  <c r="B251" i="51"/>
  <c r="B250" i="51"/>
  <c r="B249" i="51"/>
  <c r="B243" i="51"/>
  <c r="B242" i="51"/>
  <c r="B241" i="51"/>
  <c r="B240" i="51"/>
  <c r="B239" i="51"/>
  <c r="B238" i="51"/>
  <c r="B237" i="51"/>
  <c r="B236" i="51"/>
  <c r="B235" i="51"/>
  <c r="B234" i="51"/>
  <c r="B233" i="51"/>
  <c r="B232" i="51"/>
  <c r="B231" i="51"/>
  <c r="B230" i="51"/>
  <c r="B229" i="51"/>
  <c r="B228" i="51"/>
  <c r="B227" i="51"/>
  <c r="B226" i="51"/>
  <c r="B225" i="51"/>
  <c r="B224" i="51"/>
  <c r="B223" i="51"/>
  <c r="B222" i="51"/>
  <c r="B221" i="51"/>
  <c r="B220" i="51"/>
  <c r="B219" i="51"/>
  <c r="B218" i="51"/>
  <c r="B217" i="51"/>
  <c r="B216" i="51"/>
  <c r="B215" i="51"/>
  <c r="B214" i="51"/>
  <c r="B213" i="51"/>
  <c r="B212" i="51"/>
  <c r="B211" i="51"/>
  <c r="B210" i="51"/>
  <c r="B209" i="51"/>
  <c r="B208" i="51"/>
  <c r="B207" i="51"/>
  <c r="B206" i="51"/>
  <c r="B205" i="51"/>
  <c r="B204" i="51"/>
  <c r="B203" i="51"/>
  <c r="B202" i="51"/>
  <c r="B201" i="51"/>
  <c r="B200" i="51"/>
  <c r="B199" i="51"/>
  <c r="B198" i="51"/>
  <c r="B197" i="51"/>
  <c r="B196" i="51"/>
  <c r="B195" i="51"/>
  <c r="B194" i="51"/>
  <c r="B193" i="51"/>
  <c r="B191" i="51"/>
  <c r="B190" i="51"/>
  <c r="B188" i="51"/>
  <c r="B187" i="51"/>
  <c r="B185" i="51"/>
  <c r="B184" i="51"/>
  <c r="B182" i="51"/>
  <c r="B181" i="51"/>
  <c r="B180" i="51"/>
  <c r="B179" i="51"/>
  <c r="B178" i="51"/>
  <c r="B177" i="51"/>
  <c r="B176" i="51"/>
  <c r="B175" i="51"/>
  <c r="B174" i="51"/>
  <c r="B173" i="51"/>
  <c r="B172" i="51"/>
  <c r="B171" i="51"/>
  <c r="B170" i="51"/>
  <c r="B169" i="51"/>
  <c r="B168" i="51"/>
  <c r="B167" i="51"/>
  <c r="B166" i="51"/>
  <c r="B165" i="51"/>
  <c r="B164" i="51"/>
  <c r="B163" i="51"/>
  <c r="B162" i="51"/>
  <c r="B161" i="51"/>
  <c r="B160" i="51"/>
  <c r="B159" i="51"/>
  <c r="B158" i="51"/>
  <c r="B157" i="51"/>
  <c r="B156" i="51"/>
  <c r="B155" i="51"/>
  <c r="B154" i="51"/>
  <c r="B153" i="51"/>
  <c r="B152" i="51"/>
  <c r="B151" i="51"/>
  <c r="B150" i="51"/>
  <c r="B149" i="51"/>
  <c r="B148" i="51"/>
  <c r="B147" i="51"/>
  <c r="B146" i="51"/>
  <c r="B145" i="51"/>
  <c r="B144" i="51"/>
  <c r="B143" i="51"/>
  <c r="B142" i="51"/>
  <c r="B141" i="51"/>
  <c r="B140" i="51"/>
  <c r="B139" i="51"/>
  <c r="B138" i="51"/>
  <c r="B137" i="51"/>
  <c r="B136" i="51"/>
  <c r="B135" i="51"/>
  <c r="B134" i="51"/>
  <c r="B133" i="51"/>
  <c r="B132" i="51"/>
  <c r="B131" i="51"/>
  <c r="B130" i="51"/>
  <c r="B129" i="51"/>
  <c r="B128" i="51"/>
  <c r="B127" i="51"/>
  <c r="B126" i="51"/>
  <c r="B125" i="51"/>
  <c r="B124" i="51"/>
  <c r="B123" i="51"/>
  <c r="B122" i="51"/>
  <c r="B121" i="51"/>
  <c r="B120" i="51"/>
  <c r="B119" i="51"/>
  <c r="B118" i="51"/>
  <c r="B117" i="51"/>
  <c r="B116" i="51"/>
  <c r="B115" i="51"/>
  <c r="B114" i="51"/>
  <c r="B113" i="51"/>
  <c r="B112" i="51"/>
  <c r="B111" i="51"/>
  <c r="B110" i="51"/>
  <c r="B109" i="51"/>
  <c r="B108" i="51"/>
  <c r="B107" i="51"/>
  <c r="B106" i="51"/>
  <c r="B105" i="51"/>
  <c r="B104" i="51"/>
  <c r="B103" i="51"/>
  <c r="B102" i="51"/>
  <c r="B101" i="51"/>
  <c r="B100" i="51"/>
  <c r="B99" i="51"/>
  <c r="B98" i="51"/>
  <c r="B97" i="51"/>
  <c r="B96" i="51"/>
  <c r="B95" i="51"/>
  <c r="B94" i="51"/>
  <c r="B93" i="51"/>
  <c r="B92" i="51"/>
  <c r="B91" i="51"/>
  <c r="B90" i="51"/>
  <c r="B89" i="51"/>
  <c r="B88" i="51"/>
  <c r="B87" i="51"/>
  <c r="B86" i="51"/>
  <c r="B85" i="51"/>
  <c r="B84" i="51"/>
  <c r="B83" i="51"/>
  <c r="B82" i="51"/>
  <c r="B81" i="51"/>
  <c r="B80" i="51"/>
  <c r="B79" i="51"/>
  <c r="B78" i="51"/>
  <c r="B77" i="51"/>
  <c r="B76" i="51"/>
  <c r="B75" i="51"/>
  <c r="B74" i="51"/>
  <c r="B73" i="51"/>
  <c r="B72" i="51"/>
  <c r="B71" i="51"/>
  <c r="B70" i="51"/>
  <c r="B69" i="51"/>
  <c r="B68" i="51"/>
  <c r="B67" i="51"/>
  <c r="B66" i="51"/>
  <c r="B65" i="51"/>
  <c r="B64" i="51"/>
  <c r="B63" i="51"/>
  <c r="B62" i="51"/>
  <c r="B61" i="51"/>
  <c r="B60" i="51"/>
  <c r="B59" i="51"/>
  <c r="B58" i="51"/>
  <c r="B57" i="51"/>
  <c r="B56" i="51"/>
  <c r="B55" i="51"/>
  <c r="B54" i="51"/>
  <c r="B53" i="51"/>
  <c r="B52" i="51"/>
  <c r="B51" i="51"/>
  <c r="B50" i="51"/>
  <c r="B49" i="51"/>
  <c r="B48" i="51"/>
  <c r="B47" i="51"/>
  <c r="B46" i="51"/>
  <c r="B45" i="51"/>
  <c r="B44" i="51"/>
  <c r="B43" i="51"/>
  <c r="B42" i="51"/>
  <c r="B41" i="51"/>
  <c r="B40" i="51"/>
  <c r="B39" i="51"/>
  <c r="B38" i="51"/>
  <c r="B37" i="51"/>
  <c r="B36" i="51"/>
  <c r="B35" i="51"/>
  <c r="B34" i="51"/>
  <c r="B33" i="51"/>
  <c r="B32" i="51"/>
  <c r="B31" i="51"/>
  <c r="B30" i="51"/>
  <c r="B29" i="51"/>
  <c r="B28" i="51"/>
  <c r="B27" i="51"/>
  <c r="B26" i="51"/>
  <c r="B25" i="51"/>
  <c r="B24" i="51"/>
  <c r="B23" i="51"/>
  <c r="B22" i="51"/>
  <c r="B21" i="51"/>
  <c r="B20" i="51"/>
  <c r="B19" i="51"/>
  <c r="B18" i="51"/>
  <c r="B1022" i="50"/>
  <c r="B1026" i="50"/>
  <c r="B1029" i="50"/>
  <c r="B1051" i="50"/>
  <c r="B1166" i="50"/>
  <c r="B1169" i="50"/>
  <c r="B1173" i="50"/>
  <c r="B1176" i="50"/>
  <c r="B1180" i="50"/>
  <c r="B1183" i="50"/>
  <c r="B1187" i="50"/>
  <c r="B1190" i="50"/>
  <c r="B499" i="50"/>
  <c r="B503" i="50"/>
  <c r="B506" i="50"/>
  <c r="B510" i="50"/>
  <c r="B513" i="50"/>
  <c r="B517" i="50"/>
  <c r="B520" i="50"/>
  <c r="B524" i="50"/>
  <c r="B527" i="50"/>
  <c r="B531" i="50"/>
  <c r="B533" i="50"/>
  <c r="B536" i="50"/>
  <c r="B538" i="50"/>
  <c r="B541" i="50"/>
  <c r="B543" i="50"/>
  <c r="B546" i="50"/>
  <c r="B548" i="50"/>
  <c r="B551" i="50"/>
  <c r="B554" i="50"/>
  <c r="B558" i="50"/>
  <c r="B561" i="50"/>
  <c r="B565" i="50"/>
  <c r="B568" i="50"/>
  <c r="B572" i="50"/>
  <c r="B575" i="50"/>
  <c r="B579" i="50"/>
  <c r="B582" i="50"/>
  <c r="B586" i="50"/>
  <c r="B588" i="50"/>
  <c r="B591" i="50"/>
  <c r="B593" i="50"/>
  <c r="B596" i="50"/>
  <c r="B598" i="50"/>
  <c r="B601" i="50"/>
  <c r="B603" i="50"/>
  <c r="B606" i="50"/>
  <c r="B609" i="50"/>
  <c r="B613" i="50"/>
  <c r="B616" i="50"/>
  <c r="B620" i="50"/>
  <c r="B623" i="50"/>
  <c r="B627" i="50"/>
  <c r="B630" i="50"/>
  <c r="B634" i="50"/>
  <c r="B637" i="50"/>
  <c r="B641" i="50"/>
  <c r="B644" i="50"/>
  <c r="B648" i="50"/>
  <c r="B651" i="50"/>
  <c r="B655" i="50"/>
  <c r="B658" i="50"/>
  <c r="B662" i="50"/>
  <c r="B665" i="50"/>
  <c r="B669" i="50"/>
  <c r="B672" i="50"/>
  <c r="B676" i="50"/>
  <c r="B679" i="50"/>
  <c r="B683" i="50"/>
  <c r="B686" i="50"/>
  <c r="B696" i="50"/>
  <c r="B699" i="50"/>
  <c r="B713" i="50"/>
  <c r="B715" i="50"/>
  <c r="B718" i="50"/>
  <c r="B722" i="50"/>
  <c r="B725" i="50"/>
  <c r="B729" i="50"/>
  <c r="B732" i="50"/>
  <c r="B736" i="50"/>
  <c r="B738" i="50"/>
  <c r="B741" i="50"/>
  <c r="B745" i="50"/>
  <c r="B748" i="50"/>
  <c r="B752" i="50"/>
  <c r="B754" i="50"/>
  <c r="B757" i="50"/>
  <c r="B761" i="50"/>
  <c r="B763" i="50"/>
  <c r="B766" i="50"/>
  <c r="B770" i="50"/>
  <c r="B773" i="50"/>
  <c r="B777" i="50"/>
  <c r="B779" i="50"/>
  <c r="B782" i="50"/>
  <c r="B786" i="50"/>
  <c r="B789" i="50"/>
  <c r="B793" i="50"/>
  <c r="B795" i="50"/>
  <c r="B798" i="50"/>
  <c r="B802" i="50"/>
  <c r="B805" i="50"/>
  <c r="B821" i="50"/>
  <c r="B824" i="50"/>
  <c r="B828" i="50"/>
  <c r="B831" i="50"/>
  <c r="B835" i="50"/>
  <c r="B838" i="50"/>
  <c r="B842" i="50"/>
  <c r="B845" i="50"/>
  <c r="B849" i="50"/>
  <c r="B852" i="50"/>
  <c r="B856" i="50"/>
  <c r="B859" i="50"/>
  <c r="B868" i="50"/>
  <c r="B871" i="50"/>
  <c r="B880" i="50"/>
  <c r="B882" i="50"/>
  <c r="B885" i="50"/>
  <c r="B889" i="50"/>
  <c r="B891" i="50"/>
  <c r="B894" i="50"/>
  <c r="B898" i="50"/>
  <c r="B901" i="50"/>
  <c r="B905" i="50"/>
  <c r="B908" i="50"/>
  <c r="B912" i="50"/>
  <c r="B915" i="50"/>
  <c r="B919" i="50"/>
  <c r="B922" i="50"/>
  <c r="B926" i="50"/>
  <c r="B929" i="50"/>
  <c r="B933" i="50"/>
  <c r="B936" i="50"/>
  <c r="B945" i="50"/>
  <c r="B947" i="50"/>
  <c r="B950" i="50"/>
  <c r="B954" i="50"/>
  <c r="B957" i="50"/>
  <c r="B961" i="50"/>
  <c r="B964" i="50"/>
  <c r="B973" i="50"/>
  <c r="B975" i="50"/>
  <c r="B978" i="50"/>
  <c r="B982" i="50"/>
  <c r="B985" i="50"/>
  <c r="B994" i="50"/>
  <c r="B997" i="50"/>
  <c r="B1001" i="50"/>
  <c r="B1003" i="50"/>
  <c r="B1006" i="50"/>
  <c r="B1010" i="50"/>
  <c r="B1013" i="50"/>
  <c r="B1017" i="50"/>
  <c r="B1019" i="50"/>
  <c r="B496" i="50"/>
  <c r="B34" i="50"/>
  <c r="B37" i="50"/>
  <c r="B39" i="50"/>
  <c r="B42" i="50"/>
  <c r="B44" i="50"/>
  <c r="B47" i="50"/>
  <c r="B49" i="50"/>
  <c r="B52" i="50"/>
  <c r="B54" i="50"/>
  <c r="B57" i="50"/>
  <c r="B61" i="50"/>
  <c r="B63" i="50"/>
  <c r="B66" i="50"/>
  <c r="B70" i="50"/>
  <c r="B72" i="50"/>
  <c r="B75" i="50"/>
  <c r="B79" i="50"/>
  <c r="B81" i="50"/>
  <c r="B84" i="50"/>
  <c r="B88" i="50"/>
  <c r="B90" i="50"/>
  <c r="B93" i="50"/>
  <c r="B95" i="50"/>
  <c r="B98" i="50"/>
  <c r="B100" i="50"/>
  <c r="B103" i="50"/>
  <c r="B105" i="50"/>
  <c r="B108" i="50"/>
  <c r="B110" i="50"/>
  <c r="B113" i="50"/>
  <c r="B115" i="50"/>
  <c r="B118" i="50"/>
  <c r="B120" i="50"/>
  <c r="B123" i="50"/>
  <c r="B125" i="50"/>
  <c r="B128" i="50"/>
  <c r="B130" i="50"/>
  <c r="B133" i="50"/>
  <c r="B135" i="50"/>
  <c r="B138" i="50"/>
  <c r="B140" i="50"/>
  <c r="B143" i="50"/>
  <c r="B145" i="50"/>
  <c r="B148" i="50"/>
  <c r="B150" i="50"/>
  <c r="B153" i="50"/>
  <c r="B155" i="50"/>
  <c r="B158" i="50"/>
  <c r="B160" i="50"/>
  <c r="B163" i="50"/>
  <c r="B165" i="50"/>
  <c r="B168" i="50"/>
  <c r="B170" i="50"/>
  <c r="B173" i="50"/>
  <c r="B175" i="50"/>
  <c r="B178" i="50"/>
  <c r="B180" i="50"/>
  <c r="B183" i="50"/>
  <c r="B185" i="50"/>
  <c r="B188" i="50"/>
  <c r="B190" i="50"/>
  <c r="B193" i="50"/>
  <c r="B197" i="50"/>
  <c r="B199" i="50"/>
  <c r="B202" i="50"/>
  <c r="B206" i="50"/>
  <c r="B208" i="50"/>
  <c r="B211" i="50"/>
  <c r="B215" i="50"/>
  <c r="B217" i="50"/>
  <c r="B220" i="50"/>
  <c r="B224" i="50"/>
  <c r="B226" i="50"/>
  <c r="B229" i="50"/>
  <c r="B233" i="50"/>
  <c r="B235" i="50"/>
  <c r="B238" i="50"/>
  <c r="B242" i="50"/>
  <c r="B244" i="50"/>
  <c r="B247" i="50"/>
  <c r="B251" i="50"/>
  <c r="B253" i="50"/>
  <c r="B256" i="50"/>
  <c r="B260" i="50"/>
  <c r="B262" i="50"/>
  <c r="B265" i="50"/>
  <c r="B269" i="50"/>
  <c r="B271" i="50"/>
  <c r="B274" i="50"/>
  <c r="B278" i="50"/>
  <c r="B280" i="50"/>
  <c r="B283" i="50"/>
  <c r="B287" i="50"/>
  <c r="B289" i="50"/>
  <c r="B292" i="50"/>
  <c r="B296" i="50"/>
  <c r="B298" i="50"/>
  <c r="B301" i="50"/>
  <c r="B305" i="50"/>
  <c r="B307" i="50"/>
  <c r="B310" i="50"/>
  <c r="B314" i="50"/>
  <c r="B316" i="50"/>
  <c r="B319" i="50"/>
  <c r="B323" i="50"/>
  <c r="B325" i="50"/>
  <c r="B328" i="50"/>
  <c r="B332" i="50"/>
  <c r="B334" i="50"/>
  <c r="B337" i="50"/>
  <c r="B341" i="50"/>
  <c r="B343" i="50"/>
  <c r="B346" i="50"/>
  <c r="B350" i="50"/>
  <c r="B352" i="50"/>
  <c r="B355" i="50"/>
  <c r="B359" i="50"/>
  <c r="B361" i="50"/>
  <c r="B364" i="50"/>
  <c r="B368" i="50"/>
  <c r="B370" i="50"/>
  <c r="B373" i="50"/>
  <c r="B377" i="50"/>
  <c r="B379" i="50"/>
  <c r="B382" i="50"/>
  <c r="B386" i="50"/>
  <c r="B388" i="50"/>
  <c r="B391" i="50"/>
  <c r="B395" i="50"/>
  <c r="B397" i="50"/>
  <c r="B400" i="50"/>
  <c r="B404" i="50"/>
  <c r="B406" i="50"/>
  <c r="B409" i="50"/>
  <c r="B413" i="50"/>
  <c r="B415" i="50"/>
  <c r="B418" i="50"/>
  <c r="B422" i="50"/>
  <c r="B424" i="50"/>
  <c r="B427" i="50"/>
  <c r="B431" i="50"/>
  <c r="B433" i="50"/>
  <c r="B436" i="50"/>
  <c r="B440" i="50"/>
  <c r="B442" i="50"/>
  <c r="B445" i="50"/>
  <c r="B449" i="50"/>
  <c r="B451" i="50"/>
  <c r="B454" i="50"/>
  <c r="B458" i="50"/>
  <c r="B460" i="50"/>
  <c r="B463" i="50"/>
  <c r="B467" i="50"/>
  <c r="B469" i="50"/>
  <c r="B472" i="50"/>
  <c r="B476" i="50"/>
  <c r="B478" i="50"/>
  <c r="B481" i="50"/>
  <c r="B483" i="50"/>
  <c r="B486" i="50"/>
  <c r="B488" i="50"/>
  <c r="B491" i="50"/>
  <c r="B493" i="50"/>
  <c r="B32" i="50"/>
  <c r="E2" i="49"/>
  <c r="E3" i="49"/>
</calcChain>
</file>

<file path=xl/sharedStrings.xml><?xml version="1.0" encoding="utf-8"?>
<sst xmlns="http://schemas.openxmlformats.org/spreadsheetml/2006/main" count="4251" uniqueCount="1236">
  <si>
    <t>接頭語</t>
    <rPh sb="0" eb="3">
      <t>セットウゴ</t>
    </rPh>
    <phoneticPr fontId="10"/>
  </si>
  <si>
    <t>識別子</t>
    <rPh sb="0" eb="3">
      <t>シキベツシ</t>
    </rPh>
    <phoneticPr fontId="10"/>
  </si>
  <si>
    <t>形式</t>
    <rPh sb="0" eb="2">
      <t>ケイシキ</t>
    </rPh>
    <phoneticPr fontId="10"/>
  </si>
  <si>
    <t>出力ファイル名</t>
    <rPh sb="0" eb="2">
      <t>シュツリョク</t>
    </rPh>
    <rPh sb="6" eb="7">
      <t>メイ</t>
    </rPh>
    <phoneticPr fontId="10"/>
  </si>
  <si>
    <t>入力シート名</t>
    <rPh sb="0" eb="2">
      <t>ニュウリョク</t>
    </rPh>
    <rPh sb="5" eb="6">
      <t>メイ</t>
    </rPh>
    <phoneticPr fontId="10"/>
  </si>
  <si>
    <t>出力データ</t>
    <rPh sb="0" eb="2">
      <t>シュツリョク</t>
    </rPh>
    <phoneticPr fontId="10"/>
  </si>
  <si>
    <t>出力flg</t>
    <rPh sb="0" eb="2">
      <t>シュツリョク</t>
    </rPh>
    <phoneticPr fontId="10"/>
  </si>
  <si>
    <t>character_id</t>
    <phoneticPr fontId="10"/>
  </si>
  <si>
    <t>serif_id</t>
    <phoneticPr fontId="10"/>
  </si>
  <si>
    <t>serif_type</t>
  </si>
  <si>
    <t>serif_type</t>
    <phoneticPr fontId="10"/>
  </si>
  <si>
    <t>serif</t>
    <phoneticPr fontId="10"/>
  </si>
  <si>
    <t>language</t>
    <phoneticPr fontId="10"/>
  </si>
  <si>
    <t>unit_serifs_data_</t>
    <phoneticPr fontId="10"/>
  </si>
  <si>
    <t>unit_serifs</t>
    <phoneticPr fontId="10"/>
  </si>
  <si>
    <t>character_id</t>
    <phoneticPr fontId="10"/>
  </si>
  <si>
    <t>serif_id</t>
    <phoneticPr fontId="10"/>
  </si>
  <si>
    <t>serif_id</t>
    <phoneticPr fontId="10"/>
  </si>
  <si>
    <t>language</t>
    <phoneticPr fontId="10"/>
  </si>
  <si>
    <t>serif</t>
    <phoneticPr fontId="10"/>
  </si>
  <si>
    <t>.tmp</t>
    <phoneticPr fontId="10"/>
  </si>
  <si>
    <t>old</t>
  </si>
  <si>
    <t>base</t>
    <phoneticPr fontId="10"/>
  </si>
  <si>
    <t>base</t>
    <phoneticPr fontId="10"/>
  </si>
  <si>
    <t>name</t>
    <phoneticPr fontId="10"/>
  </si>
  <si>
    <t>skill</t>
  </si>
  <si>
    <t>cskill</t>
  </si>
  <si>
    <t>ja</t>
    <phoneticPr fontId="10"/>
  </si>
  <si>
    <t>frame_type</t>
  </si>
  <si>
    <t>frame_type</t>
    <phoneticPr fontId="10"/>
  </si>
  <si>
    <t>maru</t>
    <phoneticPr fontId="10"/>
  </si>
  <si>
    <t>giza</t>
    <phoneticPr fontId="10"/>
  </si>
  <si>
    <t>kumo</t>
    <phoneticPr fontId="10"/>
  </si>
  <si>
    <t>止められるかしら？</t>
    <rPh sb="0" eb="8">
      <t>トm</t>
    </rPh>
    <phoneticPr fontId="10"/>
  </si>
  <si>
    <t>私たちが守っちゃうよ！</t>
    <rPh sb="0" eb="3">
      <t>ワタs</t>
    </rPh>
    <rPh sb="4" eb="10">
      <t>マモッty</t>
    </rPh>
    <phoneticPr fontId="10"/>
  </si>
  <si>
    <t>みんなで守れば大丈夫！</t>
    <rPh sb="4" eb="10">
      <t>マモr</t>
    </rPh>
    <phoneticPr fontId="10"/>
  </si>
  <si>
    <t>炎の前では無力よ！</t>
    <rPh sb="0" eb="1">
      <t>ホノオ</t>
    </rPh>
    <rPh sb="2" eb="3">
      <t>マエ</t>
    </rPh>
    <rPh sb="5" eb="7">
      <t>ムリョク</t>
    </rPh>
    <phoneticPr fontId="10"/>
  </si>
  <si>
    <t>燃えさかるがいい！</t>
    <rPh sb="0" eb="1">
      <t>モ</t>
    </rPh>
    <phoneticPr fontId="10"/>
  </si>
  <si>
    <t>丸焦げにしてくれる</t>
    <rPh sb="0" eb="1">
      <t>◎</t>
    </rPh>
    <rPh sb="1" eb="2">
      <t>コ</t>
    </rPh>
    <phoneticPr fontId="10"/>
  </si>
  <si>
    <t>儂が守ってやるかのう</t>
    <rPh sb="0" eb="1">
      <t>ワシ</t>
    </rPh>
    <rPh sb="2" eb="3">
      <t>マモ</t>
    </rPh>
    <phoneticPr fontId="10"/>
  </si>
  <si>
    <t>若いもんには貫けんぞ</t>
    <rPh sb="0" eb="1">
      <t>ワカ</t>
    </rPh>
    <rPh sb="6" eb="7">
      <t>ツラヌ</t>
    </rPh>
    <phoneticPr fontId="10"/>
  </si>
  <si>
    <t>熱いヤツは嫌いでな</t>
    <rPh sb="0" eb="1">
      <t>アツ</t>
    </rPh>
    <rPh sb="5" eb="6">
      <t>キラ</t>
    </rPh>
    <phoneticPr fontId="10"/>
  </si>
  <si>
    <t>少し落ち着いたらどうだ？</t>
    <rPh sb="0" eb="1">
      <t>スコ</t>
    </rPh>
    <rPh sb="2" eb="3">
      <t>オ</t>
    </rPh>
    <rPh sb="4" eb="5">
      <t>ツ</t>
    </rPh>
    <phoneticPr fontId="10"/>
  </si>
  <si>
    <t>暑苦しいと言っている…！</t>
    <rPh sb="0" eb="2">
      <t>アツクル</t>
    </rPh>
    <rPh sb="5" eb="6">
      <t>イ</t>
    </rPh>
    <phoneticPr fontId="10"/>
  </si>
  <si>
    <t>黙らせてやる！</t>
    <rPh sb="0" eb="1">
      <t>ダマ</t>
    </rPh>
    <phoneticPr fontId="10"/>
  </si>
  <si>
    <t>問答無用…！</t>
    <rPh sb="0" eb="2">
      <t>モンドウ</t>
    </rPh>
    <rPh sb="2" eb="4">
      <t>ムヨウ</t>
    </rPh>
    <phoneticPr fontId="10"/>
  </si>
  <si>
    <t>小うるさい奴らめ…！</t>
    <rPh sb="0" eb="1">
      <t>コ</t>
    </rPh>
    <rPh sb="5" eb="6">
      <t>ヤツ</t>
    </rPh>
    <phoneticPr fontId="10"/>
  </si>
  <si>
    <t>火葬にしてやるよ！</t>
    <rPh sb="0" eb="2">
      <t>カソウ</t>
    </rPh>
    <phoneticPr fontId="10"/>
  </si>
  <si>
    <t>森よ、力を貸して…！</t>
    <rPh sb="0" eb="1">
      <t>モリ</t>
    </rPh>
    <rPh sb="3" eb="4">
      <t>チカラ</t>
    </rPh>
    <rPh sb="5" eb="6">
      <t>カ</t>
    </rPh>
    <phoneticPr fontId="10"/>
  </si>
  <si>
    <t>ママの力が…宿ってる！？</t>
    <rPh sb="3" eb="4">
      <t>チカラ</t>
    </rPh>
    <rPh sb="6" eb="7">
      <t>ヤド</t>
    </rPh>
    <phoneticPr fontId="10"/>
  </si>
  <si>
    <t>ふりそそげ月光！</t>
    <rPh sb="5" eb="7">
      <t>ゲッコウ</t>
    </rPh>
    <phoneticPr fontId="10"/>
  </si>
  <si>
    <t>さて、粉砕の時間だ</t>
    <rPh sb="3" eb="5">
      <t>フンサイ</t>
    </rPh>
    <rPh sb="6" eb="8">
      <t>ジカン</t>
    </rPh>
    <phoneticPr fontId="10"/>
  </si>
  <si>
    <t>さぁ舞い上がるんだ！</t>
    <rPh sb="2" eb="3">
      <t>マ</t>
    </rPh>
    <rPh sb="4" eb="5">
      <t>ア</t>
    </rPh>
    <phoneticPr fontId="10"/>
  </si>
  <si>
    <t>舞い踊れ同胞たちよ！</t>
    <rPh sb="0" eb="1">
      <t>マ</t>
    </rPh>
    <rPh sb="2" eb="3">
      <t>オド</t>
    </rPh>
    <rPh sb="4" eb="6">
      <t>ドウホウ</t>
    </rPh>
    <phoneticPr fontId="10"/>
  </si>
  <si>
    <t>熱が足りないようだねぇ</t>
    <rPh sb="0" eb="1">
      <t>ネツ</t>
    </rPh>
    <rPh sb="2" eb="3">
      <t>タ</t>
    </rPh>
    <phoneticPr fontId="10"/>
  </si>
  <si>
    <t>火力が物足りないねぇ！</t>
    <rPh sb="0" eb="2">
      <t>カリョク</t>
    </rPh>
    <rPh sb="3" eb="5">
      <t>モノタ</t>
    </rPh>
    <phoneticPr fontId="10"/>
  </si>
  <si>
    <t>緑がお似合いですよ</t>
    <rPh sb="0" eb="1">
      <t>ミドリ</t>
    </rPh>
    <rPh sb="3" eb="5">
      <t>ニア</t>
    </rPh>
    <phoneticPr fontId="10"/>
  </si>
  <si>
    <t>綺麗に染めます！</t>
    <rPh sb="0" eb="2">
      <t>キレイ</t>
    </rPh>
    <rPh sb="3" eb="4">
      <t>ソ</t>
    </rPh>
    <phoneticPr fontId="10"/>
  </si>
  <si>
    <t>心頭滅却…！えいや！</t>
    <rPh sb="0" eb="4">
      <t>シントウメッキャク</t>
    </rPh>
    <phoneticPr fontId="10"/>
  </si>
  <si>
    <t>炎など幻にすぎない…！</t>
    <rPh sb="0" eb="1">
      <t>ホノオ</t>
    </rPh>
    <rPh sb="3" eb="4">
      <t>マボロシ</t>
    </rPh>
    <phoneticPr fontId="10"/>
  </si>
  <si>
    <t>儂は金ピカが好きなんじゃ</t>
    <rPh sb="0" eb="1">
      <t>ワシ</t>
    </rPh>
    <rPh sb="2" eb="3">
      <t>キン</t>
    </rPh>
    <rPh sb="6" eb="7">
      <t>ス</t>
    </rPh>
    <phoneticPr fontId="10"/>
  </si>
  <si>
    <t>返り討ちにしてやるわよ</t>
    <rPh sb="0" eb="1">
      <t>カエ</t>
    </rPh>
    <rPh sb="2" eb="3">
      <t>ウ</t>
    </rPh>
    <phoneticPr fontId="10"/>
  </si>
  <si>
    <t>先手必敗ってことよね</t>
    <rPh sb="0" eb="4">
      <t>センテ</t>
    </rPh>
    <phoneticPr fontId="10"/>
  </si>
  <si>
    <t>わらわに近づけるか？</t>
    <rPh sb="4" eb="5">
      <t>チカ</t>
    </rPh>
    <phoneticPr fontId="10"/>
  </si>
  <si>
    <t>立場をわきまえるのじゃ</t>
    <rPh sb="0" eb="2">
      <t>タチバ</t>
    </rPh>
    <phoneticPr fontId="10"/>
  </si>
  <si>
    <t>ほーら苦しいでしょー？</t>
    <rPh sb="3" eb="4">
      <t>クル</t>
    </rPh>
    <phoneticPr fontId="10"/>
  </si>
  <si>
    <t>幻見ておとなしくしてて！</t>
    <rPh sb="0" eb="1">
      <t>マボロシ</t>
    </rPh>
    <rPh sb="1" eb="2">
      <t>ミ</t>
    </rPh>
    <phoneticPr fontId="10"/>
  </si>
  <si>
    <t>邪魔する人は消えてー！</t>
    <rPh sb="0" eb="2">
      <t>ジャマ</t>
    </rPh>
    <rPh sb="4" eb="5">
      <t>ヒト</t>
    </rPh>
    <rPh sb="6" eb="7">
      <t>キ</t>
    </rPh>
    <phoneticPr fontId="10"/>
  </si>
  <si>
    <t>苦しい？苦しいでしょ！？</t>
    <rPh sb="0" eb="1">
      <t>クル</t>
    </rPh>
    <rPh sb="4" eb="5">
      <t>クル</t>
    </rPh>
    <phoneticPr fontId="10"/>
  </si>
  <si>
    <t>これ食べる元気でるヨ！</t>
    <rPh sb="2" eb="3">
      <t>タ</t>
    </rPh>
    <rPh sb="5" eb="7">
      <t>ゲンキ</t>
    </rPh>
    <phoneticPr fontId="10"/>
  </si>
  <si>
    <t>元気いっぱい回復するネ！</t>
    <rPh sb="0" eb="2">
      <t>ゲンキ</t>
    </rPh>
    <rPh sb="6" eb="8">
      <t>カイフク</t>
    </rPh>
    <phoneticPr fontId="10"/>
  </si>
  <si>
    <t>ぶっといの入りまーす</t>
    <rPh sb="5" eb="6">
      <t>ハイ</t>
    </rPh>
    <phoneticPr fontId="10"/>
  </si>
  <si>
    <t>見惚れててくださいな〜</t>
    <rPh sb="0" eb="2">
      <t>ミト</t>
    </rPh>
    <phoneticPr fontId="10"/>
  </si>
  <si>
    <t>ステージに集中ですよ〜</t>
    <rPh sb="5" eb="7">
      <t>シュウチュウ</t>
    </rPh>
    <phoneticPr fontId="10"/>
  </si>
  <si>
    <t>その邪心、浄化します</t>
    <rPh sb="2" eb="4">
      <t>ジャシン</t>
    </rPh>
    <rPh sb="5" eb="7">
      <t>ジョウカ</t>
    </rPh>
    <phoneticPr fontId="10"/>
  </si>
  <si>
    <t>邪な魂は見逃せません！</t>
    <rPh sb="0" eb="1">
      <t>ヨコシマ</t>
    </rPh>
    <rPh sb="2" eb="3">
      <t>タマシイ</t>
    </rPh>
    <rPh sb="4" eb="6">
      <t>ミノガ</t>
    </rPh>
    <phoneticPr fontId="10"/>
  </si>
  <si>
    <t>緑全軍いざ進撃ー！！</t>
    <rPh sb="0" eb="1">
      <t>ミドリ</t>
    </rPh>
    <rPh sb="1" eb="3">
      <t>ゼングン</t>
    </rPh>
    <rPh sb="5" eb="7">
      <t>シンゲキ</t>
    </rPh>
    <phoneticPr fontId="10"/>
  </si>
  <si>
    <t>勝利は目前である！進め！</t>
    <rPh sb="0" eb="2">
      <t>ショウリ</t>
    </rPh>
    <rPh sb="3" eb="5">
      <t>モクゼン</t>
    </rPh>
    <rPh sb="9" eb="10">
      <t>スス</t>
    </rPh>
    <phoneticPr fontId="10"/>
  </si>
  <si>
    <t>この刃、骨まで届くわ…</t>
    <rPh sb="2" eb="3">
      <t>ハ</t>
    </rPh>
    <rPh sb="4" eb="5">
      <t>ホネ</t>
    </rPh>
    <rPh sb="7" eb="8">
      <t>トド</t>
    </rPh>
    <phoneticPr fontId="10"/>
  </si>
  <si>
    <t>もう逃げられないよ…</t>
    <rPh sb="2" eb="3">
      <t>ニ</t>
    </rPh>
    <phoneticPr fontId="10"/>
  </si>
  <si>
    <t>派手に抗ってやるぜッ！</t>
    <rPh sb="0" eb="2">
      <t>ハデ</t>
    </rPh>
    <rPh sb="3" eb="4">
      <t>アラガ</t>
    </rPh>
    <phoneticPr fontId="10"/>
  </si>
  <si>
    <t>これがオレの生き方だッ！</t>
    <rPh sb="6" eb="7">
      <t>イ</t>
    </rPh>
    <rPh sb="8" eb="9">
      <t>カタ</t>
    </rPh>
    <phoneticPr fontId="10"/>
  </si>
  <si>
    <t>待ってたぜ、この時をな！</t>
    <rPh sb="0" eb="1">
      <t>マ</t>
    </rPh>
    <rPh sb="8" eb="9">
      <t>トキ</t>
    </rPh>
    <phoneticPr fontId="10"/>
  </si>
  <si>
    <t>これは特別なんだからね！</t>
    <rPh sb="3" eb="5">
      <t>トクベツ</t>
    </rPh>
    <phoneticPr fontId="10"/>
  </si>
  <si>
    <t>揺さぶってやるんだから！</t>
    <rPh sb="0" eb="1">
      <t>ユ</t>
    </rPh>
    <phoneticPr fontId="10"/>
  </si>
  <si>
    <t>形勢逆転しちゃうわよ…！</t>
    <rPh sb="0" eb="4">
      <t>ケイセイギャクテン</t>
    </rPh>
    <phoneticPr fontId="10"/>
  </si>
  <si>
    <t>大海を知りなさーい！</t>
    <rPh sb="0" eb="2">
      <t>オオウミ</t>
    </rPh>
    <rPh sb="3" eb="4">
      <t>シ</t>
    </rPh>
    <phoneticPr fontId="10"/>
  </si>
  <si>
    <t>大波ざばーんといくよー！</t>
    <rPh sb="0" eb="2">
      <t>オオナミ</t>
    </rPh>
    <phoneticPr fontId="10"/>
  </si>
  <si>
    <t>藻屑になっちゃいなさい！</t>
    <rPh sb="0" eb="2">
      <t>モクズ</t>
    </rPh>
    <phoneticPr fontId="10"/>
  </si>
  <si>
    <t>鈍いやつらめ…</t>
    <rPh sb="0" eb="1">
      <t>ニブ</t>
    </rPh>
    <phoneticPr fontId="10"/>
  </si>
  <si>
    <t>どうした？遅いぞ？</t>
    <rPh sb="5" eb="6">
      <t>オソ</t>
    </rPh>
    <phoneticPr fontId="10"/>
  </si>
  <si>
    <t>異端の祭事は荒っぽいぞ！</t>
    <rPh sb="0" eb="2">
      <t>イタン</t>
    </rPh>
    <rPh sb="3" eb="5">
      <t>サイジ</t>
    </rPh>
    <rPh sb="6" eb="7">
      <t>アラ</t>
    </rPh>
    <phoneticPr fontId="10"/>
  </si>
  <si>
    <t>元気だしてくださぁい！</t>
    <rPh sb="0" eb="2">
      <t>ゲンキ</t>
    </rPh>
    <phoneticPr fontId="10"/>
  </si>
  <si>
    <t>うぅ…本気でやりますぅ！</t>
    <rPh sb="3" eb="5">
      <t>ホンキ</t>
    </rPh>
    <phoneticPr fontId="10"/>
  </si>
  <si>
    <t>がっちり守るもん！</t>
    <rPh sb="4" eb="5">
      <t>マモ</t>
    </rPh>
    <phoneticPr fontId="10"/>
  </si>
  <si>
    <t>痛くも痒くもないもーん！</t>
    <rPh sb="0" eb="1">
      <t>イタ</t>
    </rPh>
    <rPh sb="3" eb="4">
      <t>カユ</t>
    </rPh>
    <phoneticPr fontId="10"/>
  </si>
  <si>
    <t>これが海の慈しみですわ</t>
    <rPh sb="3" eb="4">
      <t>ウミ</t>
    </rPh>
    <rPh sb="5" eb="6">
      <t>イツク</t>
    </rPh>
    <phoneticPr fontId="10"/>
  </si>
  <si>
    <t>海は生命の揺りかご…！</t>
    <rPh sb="0" eb="1">
      <t>ウミ</t>
    </rPh>
    <rPh sb="2" eb="4">
      <t>セイメイ</t>
    </rPh>
    <rPh sb="5" eb="6">
      <t>ユ</t>
    </rPh>
    <phoneticPr fontId="10"/>
  </si>
  <si>
    <t>私の全生命力、託しますわ</t>
    <rPh sb="0" eb="1">
      <t>ワタシ</t>
    </rPh>
    <rPh sb="2" eb="3">
      <t>ゼン</t>
    </rPh>
    <rPh sb="3" eb="6">
      <t>セイメイリョク</t>
    </rPh>
    <rPh sb="7" eb="8">
      <t>タク</t>
    </rPh>
    <phoneticPr fontId="10"/>
  </si>
  <si>
    <t>総員突撃！これは命令よ！</t>
    <rPh sb="0" eb="2">
      <t>ソウイン</t>
    </rPh>
    <rPh sb="2" eb="4">
      <t>トツゲキ</t>
    </rPh>
    <rPh sb="8" eb="10">
      <t>メイレイ</t>
    </rPh>
    <phoneticPr fontId="10"/>
  </si>
  <si>
    <t>もう！手こずりすぎだわ！</t>
    <rPh sb="3" eb="4">
      <t>テ</t>
    </rPh>
    <phoneticPr fontId="10"/>
  </si>
  <si>
    <t>一気にカタをつけるわよ！</t>
    <rPh sb="0" eb="2">
      <t>イッキ</t>
    </rPh>
    <phoneticPr fontId="10"/>
  </si>
  <si>
    <t>裏ワザ、見せてあげる</t>
    <rPh sb="0" eb="1">
      <t>ウラ</t>
    </rPh>
    <rPh sb="4" eb="5">
      <t>ミ</t>
    </rPh>
    <phoneticPr fontId="10"/>
  </si>
  <si>
    <t>禁じ手？聞いたことないわ</t>
    <rPh sb="0" eb="1">
      <t>キン</t>
    </rPh>
    <rPh sb="2" eb="3">
      <t>テ</t>
    </rPh>
    <rPh sb="4" eb="5">
      <t>キ</t>
    </rPh>
    <phoneticPr fontId="10"/>
  </si>
  <si>
    <t>近づけるものならどうぞ</t>
    <rPh sb="0" eb="1">
      <t>チカ</t>
    </rPh>
    <phoneticPr fontId="10"/>
  </si>
  <si>
    <t>ボクが援護するよ！</t>
    <rPh sb="3" eb="5">
      <t>エンゴ</t>
    </rPh>
    <phoneticPr fontId="10"/>
  </si>
  <si>
    <t>そろそろ反撃だね！</t>
    <rPh sb="4" eb="6">
      <t>ハンゲキ</t>
    </rPh>
    <phoneticPr fontId="10"/>
  </si>
  <si>
    <t>待たせたね！さぁ行こう！</t>
    <rPh sb="0" eb="1">
      <t>マ</t>
    </rPh>
    <rPh sb="8" eb="9">
      <t>イ</t>
    </rPh>
    <phoneticPr fontId="10"/>
  </si>
  <si>
    <t>貴様ら、やる気を出せぇ！</t>
    <rPh sb="0" eb="2">
      <t>キサマ</t>
    </rPh>
    <rPh sb="6" eb="9">
      <t>キダ</t>
    </rPh>
    <phoneticPr fontId="10"/>
  </si>
  <si>
    <t>覚悟しろ…すべて砕く！！</t>
    <rPh sb="0" eb="2">
      <t>カクゴ</t>
    </rPh>
    <rPh sb="8" eb="9">
      <t>クダ</t>
    </rPh>
    <phoneticPr fontId="10"/>
  </si>
  <si>
    <t>暴れる準備はできたか？</t>
    <rPh sb="0" eb="1">
      <t>アバ</t>
    </rPh>
    <rPh sb="3" eb="5">
      <t>ジュンビ</t>
    </rPh>
    <phoneticPr fontId="10"/>
  </si>
  <si>
    <t>破壊こそ癒やし…だろ？</t>
    <rPh sb="0" eb="2">
      <t>ハカイ</t>
    </rPh>
    <rPh sb="4" eb="5">
      <t>イ</t>
    </rPh>
    <phoneticPr fontId="10"/>
  </si>
  <si>
    <t>壊せ！そして癒せ！！</t>
    <rPh sb="0" eb="1">
      <t>コワ</t>
    </rPh>
    <rPh sb="6" eb="7">
      <t>イヤ</t>
    </rPh>
    <phoneticPr fontId="10"/>
  </si>
  <si>
    <t>まずはガードを崩すぜ</t>
    <rPh sb="7" eb="8">
      <t>クズ</t>
    </rPh>
    <phoneticPr fontId="10"/>
  </si>
  <si>
    <t>情けねぇ格好にしてやる</t>
    <rPh sb="0" eb="1">
      <t>ナサ</t>
    </rPh>
    <rPh sb="4" eb="6">
      <t>カッコウ</t>
    </rPh>
    <phoneticPr fontId="10"/>
  </si>
  <si>
    <t>丸腰の気分を味わいな！</t>
    <rPh sb="0" eb="2">
      <t>マルゴシ</t>
    </rPh>
    <rPh sb="3" eb="5">
      <t>キブン</t>
    </rPh>
    <rPh sb="6" eb="7">
      <t>アジ</t>
    </rPh>
    <phoneticPr fontId="10"/>
  </si>
  <si>
    <t>はわわ！封鎖しなきゃ！</t>
    <rPh sb="4" eb="6">
      <t>フウサ</t>
    </rPh>
    <phoneticPr fontId="10"/>
  </si>
  <si>
    <t>入園お断りだってば！</t>
    <rPh sb="0" eb="2">
      <t>ニュウエン</t>
    </rPh>
    <rPh sb="3" eb="4">
      <t>コトワ</t>
    </rPh>
    <phoneticPr fontId="10"/>
  </si>
  <si>
    <t>みんながっちり防いでね！</t>
    <rPh sb="7" eb="8">
      <t>フセ</t>
    </rPh>
    <phoneticPr fontId="10"/>
  </si>
  <si>
    <t>私もお役に立ちたい…！</t>
    <rPh sb="0" eb="1">
      <t>ワタシ</t>
    </rPh>
    <rPh sb="3" eb="4">
      <t>ヤク</t>
    </rPh>
    <rPh sb="5" eb="6">
      <t>タ</t>
    </rPh>
    <phoneticPr fontId="10"/>
  </si>
  <si>
    <t>受け取ってください…！</t>
    <rPh sb="0" eb="1">
      <t>ウ</t>
    </rPh>
    <rPh sb="2" eb="3">
      <t>ト</t>
    </rPh>
    <phoneticPr fontId="10"/>
  </si>
  <si>
    <t>海の底から愛をこめて…！</t>
    <rPh sb="0" eb="3">
      <t>カイテイ</t>
    </rPh>
    <rPh sb="5" eb="6">
      <t>アイ</t>
    </rPh>
    <phoneticPr fontId="10"/>
  </si>
  <si>
    <t>夜空に祈りを…！</t>
    <rPh sb="0" eb="2">
      <t>ヨゾラ</t>
    </rPh>
    <rPh sb="3" eb="4">
      <t>イノ</t>
    </rPh>
    <phoneticPr fontId="10"/>
  </si>
  <si>
    <t>少し、荒れますよ…！</t>
    <rPh sb="0" eb="1">
      <t>スコ</t>
    </rPh>
    <rPh sb="3" eb="4">
      <t>ア</t>
    </rPh>
    <phoneticPr fontId="10"/>
  </si>
  <si>
    <t>降り注げ、星の雨！！</t>
    <rPh sb="0" eb="1">
      <t>フ</t>
    </rPh>
    <rPh sb="2" eb="3">
      <t>ソソ</t>
    </rPh>
    <rPh sb="5" eb="6">
      <t>ホシ</t>
    </rPh>
    <rPh sb="7" eb="8">
      <t>アメ</t>
    </rPh>
    <phoneticPr fontId="10"/>
  </si>
  <si>
    <t>そろそろ真面目にいくわよ</t>
    <rPh sb="4" eb="7">
      <t>マジメ</t>
    </rPh>
    <phoneticPr fontId="10"/>
  </si>
  <si>
    <t>やる気にさせるのは簡単よ</t>
    <rPh sb="2" eb="3">
      <t>キ</t>
    </rPh>
    <rPh sb="9" eb="11">
      <t>カンタン</t>
    </rPh>
    <phoneticPr fontId="10"/>
  </si>
  <si>
    <t>とっておきの殺し文句よ！</t>
    <rPh sb="6" eb="7">
      <t>コロ</t>
    </rPh>
    <rPh sb="8" eb="10">
      <t>モンク</t>
    </rPh>
    <phoneticPr fontId="10"/>
  </si>
  <si>
    <t>時間を稼がせてもらうわ…</t>
    <rPh sb="0" eb="2">
      <t>ジカン</t>
    </rPh>
    <rPh sb="3" eb="4">
      <t>カセ</t>
    </rPh>
    <phoneticPr fontId="10"/>
  </si>
  <si>
    <t>諦めなさい…逃げても無駄</t>
    <rPh sb="0" eb="1">
      <t>アキラ</t>
    </rPh>
    <rPh sb="6" eb="7">
      <t>ニ</t>
    </rPh>
    <rPh sb="10" eb="12">
      <t>ムダ</t>
    </rPh>
    <phoneticPr fontId="10"/>
  </si>
  <si>
    <t>見なさい…偉大なる十字を</t>
    <rPh sb="0" eb="1">
      <t>ミ</t>
    </rPh>
    <rPh sb="5" eb="7">
      <t>イダイ</t>
    </rPh>
    <rPh sb="9" eb="11">
      <t>ジュウジ</t>
    </rPh>
    <phoneticPr fontId="10"/>
  </si>
  <si>
    <t>これでまだ戦えるな？</t>
    <rPh sb="5" eb="6">
      <t>タタカ</t>
    </rPh>
    <phoneticPr fontId="10"/>
  </si>
  <si>
    <t>全ては勝利のために、だ！</t>
    <rPh sb="0" eb="1">
      <t>スベ</t>
    </rPh>
    <rPh sb="3" eb="5">
      <t>ショウリ</t>
    </rPh>
    <phoneticPr fontId="10"/>
  </si>
  <si>
    <t>高みへ行くぞ…誰よりも！</t>
    <rPh sb="0" eb="1">
      <t>タカ</t>
    </rPh>
    <rPh sb="3" eb="4">
      <t>ユ</t>
    </rPh>
    <rPh sb="7" eb="8">
      <t>ダレ</t>
    </rPh>
    <phoneticPr fontId="10"/>
  </si>
  <si>
    <t>やっと俺の出番か…</t>
    <rPh sb="3" eb="4">
      <t>オレ</t>
    </rPh>
    <rPh sb="5" eb="7">
      <t>デバン</t>
    </rPh>
    <phoneticPr fontId="10"/>
  </si>
  <si>
    <t>大したことはない、進むぞ</t>
    <rPh sb="0" eb="1">
      <t>タイ</t>
    </rPh>
    <rPh sb="9" eb="10">
      <t>スス</t>
    </rPh>
    <phoneticPr fontId="10"/>
  </si>
  <si>
    <t>蜂の巣にしてやる…！！</t>
    <rPh sb="0" eb="1">
      <t>ハチ</t>
    </rPh>
    <rPh sb="2" eb="3">
      <t>ス</t>
    </rPh>
    <phoneticPr fontId="10"/>
  </si>
  <si>
    <t>特別出血大サービスっ！</t>
    <rPh sb="0" eb="2">
      <t>トクベツ</t>
    </rPh>
    <rPh sb="2" eb="4">
      <t>シュッケツ</t>
    </rPh>
    <rPh sb="4" eb="5">
      <t>ダイ</t>
    </rPh>
    <phoneticPr fontId="10"/>
  </si>
  <si>
    <t>私が足止めします！</t>
    <rPh sb="0" eb="1">
      <t>ワタシ</t>
    </rPh>
    <rPh sb="2" eb="4">
      <t>アシド</t>
    </rPh>
    <phoneticPr fontId="10"/>
  </si>
  <si>
    <t>無駄な抵抗は止めなさい！</t>
    <rPh sb="0" eb="2">
      <t>ムダ</t>
    </rPh>
    <rPh sb="3" eb="5">
      <t>テイコウ</t>
    </rPh>
    <rPh sb="6" eb="7">
      <t>ヤ</t>
    </rPh>
    <phoneticPr fontId="10"/>
  </si>
  <si>
    <t>しばらく夢みてて下さい</t>
    <rPh sb="4" eb="5">
      <t>ユメ</t>
    </rPh>
    <rPh sb="8" eb="9">
      <t>クダ</t>
    </rPh>
    <phoneticPr fontId="10"/>
  </si>
  <si>
    <t>これを待ってたんでしょ？</t>
    <rPh sb="3" eb="4">
      <t>マ</t>
    </rPh>
    <phoneticPr fontId="10"/>
  </si>
  <si>
    <t>暴れなさい子どもたち！</t>
    <rPh sb="0" eb="1">
      <t>アバ</t>
    </rPh>
    <rPh sb="5" eb="6">
      <t>コ</t>
    </rPh>
    <phoneticPr fontId="10"/>
  </si>
  <si>
    <t>焼き切れるまでやってやる</t>
    <rPh sb="0" eb="1">
      <t>ヤ</t>
    </rPh>
    <rPh sb="2" eb="3">
      <t>キ</t>
    </rPh>
    <phoneticPr fontId="10"/>
  </si>
  <si>
    <t>どこまでも延焼させる！！</t>
    <rPh sb="5" eb="7">
      <t>エンショウ</t>
    </rPh>
    <phoneticPr fontId="10"/>
  </si>
  <si>
    <t>最大火力！燃え上がれぇ！</t>
    <rPh sb="0" eb="4">
      <t>サイダイカリョク</t>
    </rPh>
    <rPh sb="5" eb="6">
      <t>モ</t>
    </rPh>
    <rPh sb="7" eb="8">
      <t>ア</t>
    </rPh>
    <phoneticPr fontId="10"/>
  </si>
  <si>
    <t>守護こそ私の役目！</t>
    <rPh sb="0" eb="2">
      <t>シュゴ</t>
    </rPh>
    <rPh sb="4" eb="5">
      <t>ワタシ</t>
    </rPh>
    <rPh sb="6" eb="8">
      <t>ヤクメ</t>
    </rPh>
    <phoneticPr fontId="10"/>
  </si>
  <si>
    <t>後衛は私が…皆様は前へ！</t>
    <rPh sb="0" eb="2">
      <t>コウエイ</t>
    </rPh>
    <rPh sb="3" eb="4">
      <t>ワタシ</t>
    </rPh>
    <rPh sb="6" eb="8">
      <t>ミナサマ</t>
    </rPh>
    <rPh sb="9" eb="10">
      <t>マエ</t>
    </rPh>
    <phoneticPr fontId="10"/>
  </si>
  <si>
    <t>見なさい、万花の弾幕を！</t>
    <rPh sb="0" eb="1">
      <t>ミ</t>
    </rPh>
    <rPh sb="5" eb="6">
      <t>マン</t>
    </rPh>
    <rPh sb="6" eb="7">
      <t>ハナ</t>
    </rPh>
    <rPh sb="8" eb="10">
      <t>ダンマク</t>
    </rPh>
    <phoneticPr fontId="10"/>
  </si>
  <si>
    <t>ん…これ飲んでおけ</t>
    <rPh sb="4" eb="5">
      <t>ノ</t>
    </rPh>
    <phoneticPr fontId="10"/>
  </si>
  <si>
    <t>無茶したいなら…協力する</t>
    <rPh sb="0" eb="2">
      <t>ムチャ</t>
    </rPh>
    <rPh sb="8" eb="10">
      <t>キョウリョク</t>
    </rPh>
    <phoneticPr fontId="10"/>
  </si>
  <si>
    <t>解放する…その力</t>
    <rPh sb="0" eb="2">
      <t>カイホウ</t>
    </rPh>
    <rPh sb="7" eb="8">
      <t>チカラ</t>
    </rPh>
    <phoneticPr fontId="10"/>
  </si>
  <si>
    <t>放電許可サンキューです！</t>
    <rPh sb="0" eb="2">
      <t>ホウデン</t>
    </rPh>
    <rPh sb="2" eb="4">
      <t>キョカ</t>
    </rPh>
    <phoneticPr fontId="10"/>
  </si>
  <si>
    <t>フル充電！切断しますっ！</t>
    <rPh sb="2" eb="4">
      <t>ジュウデン</t>
    </rPh>
    <rPh sb="5" eb="7">
      <t>セツダン</t>
    </rPh>
    <phoneticPr fontId="10"/>
  </si>
  <si>
    <t>殲滅成功率、最大値ーっ！</t>
    <rPh sb="0" eb="5">
      <t>センメツセイコウリツ</t>
    </rPh>
    <rPh sb="6" eb="9">
      <t>サイダイチ</t>
    </rPh>
    <phoneticPr fontId="10"/>
  </si>
  <si>
    <t>少しだけハンデをあげるわ</t>
    <rPh sb="0" eb="1">
      <t>スコ</t>
    </rPh>
    <phoneticPr fontId="10"/>
  </si>
  <si>
    <t>勝利に犠牲はつきものね</t>
    <rPh sb="0" eb="2">
      <t>ショウリ</t>
    </rPh>
    <rPh sb="3" eb="5">
      <t>ギセイ</t>
    </rPh>
    <phoneticPr fontId="10"/>
  </si>
  <si>
    <t>派手な賭けになるわね</t>
    <rPh sb="0" eb="2">
      <t>ハデ</t>
    </rPh>
    <rPh sb="3" eb="4">
      <t>カ</t>
    </rPh>
    <phoneticPr fontId="10"/>
  </si>
  <si>
    <t>ゆっくり寝ててね〜</t>
    <rPh sb="4" eb="5">
      <t>ネ</t>
    </rPh>
    <phoneticPr fontId="10"/>
  </si>
  <si>
    <t>お布団は気持ちいいよ〜</t>
    <rPh sb="1" eb="3">
      <t>フトン</t>
    </rPh>
    <rPh sb="4" eb="6">
      <t>キモ</t>
    </rPh>
    <phoneticPr fontId="10"/>
  </si>
  <si>
    <t>早起きは体に毒なんだよ〜</t>
    <rPh sb="0" eb="2">
      <t>ハヤオ</t>
    </rPh>
    <rPh sb="4" eb="5">
      <t>カラダ</t>
    </rPh>
    <rPh sb="6" eb="7">
      <t>ドク</t>
    </rPh>
    <phoneticPr fontId="10"/>
  </si>
  <si>
    <t>調子に乗りすぎたわね</t>
    <rPh sb="0" eb="2">
      <t>チョウシ</t>
    </rPh>
    <rPh sb="3" eb="4">
      <t>ノ</t>
    </rPh>
    <phoneticPr fontId="10"/>
  </si>
  <si>
    <t>やられっぱなしじゃ困るの</t>
    <rPh sb="9" eb="10">
      <t>コマ</t>
    </rPh>
    <phoneticPr fontId="10"/>
  </si>
  <si>
    <t>イイ声で鳴いてちょうだい</t>
    <rPh sb="2" eb="3">
      <t>コエ</t>
    </rPh>
    <rPh sb="4" eb="5">
      <t>ナ</t>
    </rPh>
    <phoneticPr fontId="10"/>
  </si>
  <si>
    <t>目覚めなさい、龍の暴脈！</t>
    <rPh sb="0" eb="2">
      <t>メザ</t>
    </rPh>
    <rPh sb="7" eb="8">
      <t>リュウ</t>
    </rPh>
    <rPh sb="9" eb="10">
      <t>ボウ</t>
    </rPh>
    <rPh sb="10" eb="11">
      <t>ミャク</t>
    </rPh>
    <phoneticPr fontId="10"/>
  </si>
  <si>
    <t>私の声が聞こえる！？</t>
    <rPh sb="0" eb="1">
      <t>ワタシ</t>
    </rPh>
    <rPh sb="2" eb="3">
      <t>コエ</t>
    </rPh>
    <rPh sb="4" eb="5">
      <t>キ</t>
    </rPh>
    <phoneticPr fontId="10"/>
  </si>
  <si>
    <t>力の目覚めを感じるわ…！</t>
    <rPh sb="0" eb="1">
      <t>チカラ</t>
    </rPh>
    <rPh sb="2" eb="4">
      <t>メザ</t>
    </rPh>
    <rPh sb="6" eb="7">
      <t>カン</t>
    </rPh>
    <phoneticPr fontId="10"/>
  </si>
  <si>
    <t>魂の解放！ハジけるわよ！</t>
    <rPh sb="0" eb="1">
      <t>タマシイ</t>
    </rPh>
    <rPh sb="2" eb="4">
      <t>カイホウ</t>
    </rPh>
    <phoneticPr fontId="10"/>
  </si>
  <si>
    <t>我が一角、希望となれ…</t>
    <rPh sb="0" eb="1">
      <t>ワ</t>
    </rPh>
    <rPh sb="2" eb="4">
      <t>イッカク</t>
    </rPh>
    <rPh sb="5" eb="7">
      <t>キボウ</t>
    </rPh>
    <phoneticPr fontId="10"/>
  </si>
  <si>
    <t>障害こそ好機…だろう？</t>
    <rPh sb="0" eb="2">
      <t>ショウガイ</t>
    </rPh>
    <rPh sb="4" eb="6">
      <t>コウキ</t>
    </rPh>
    <phoneticPr fontId="10"/>
  </si>
  <si>
    <t>やれやれ…特別ですよ？</t>
    <rPh sb="5" eb="7">
      <t>トクベツ</t>
    </rPh>
    <phoneticPr fontId="10"/>
  </si>
  <si>
    <t>目で追っても無駄ですね</t>
    <rPh sb="0" eb="1">
      <t>メ</t>
    </rPh>
    <rPh sb="2" eb="3">
      <t>オ</t>
    </rPh>
    <rPh sb="6" eb="8">
      <t>ムダ</t>
    </rPh>
    <phoneticPr fontId="10"/>
  </si>
  <si>
    <t>おもしれぇもん見せてやる</t>
    <rPh sb="7" eb="8">
      <t>ミ</t>
    </rPh>
    <phoneticPr fontId="10"/>
  </si>
  <si>
    <t>後先なんて知らねぇなぁ！</t>
    <rPh sb="0" eb="2">
      <t>アトサキ</t>
    </rPh>
    <rPh sb="5" eb="6">
      <t>シ</t>
    </rPh>
    <phoneticPr fontId="10"/>
  </si>
  <si>
    <t>狩るよ！私に続けェ！！</t>
    <rPh sb="0" eb="1">
      <t>カ</t>
    </rPh>
    <phoneticPr fontId="10"/>
  </si>
  <si>
    <t>ピカピカにしてやるかの！</t>
    <phoneticPr fontId="10"/>
  </si>
  <si>
    <t>おどってたおすよ！</t>
    <phoneticPr fontId="10"/>
  </si>
  <si>
    <t>こんなことしてみたりして</t>
    <phoneticPr fontId="10"/>
  </si>
  <si>
    <t>獣の矜持を忘れるな！！</t>
    <rPh sb="0" eb="1">
      <t>ケモノ</t>
    </rPh>
    <rPh sb="2" eb="4">
      <t>キョウジ</t>
    </rPh>
    <rPh sb="5" eb="6">
      <t>ワス</t>
    </rPh>
    <phoneticPr fontId="10"/>
  </si>
  <si>
    <t>楽しい夢を見てくれよ？</t>
    <rPh sb="0" eb="1">
      <t>タノ</t>
    </rPh>
    <rPh sb="3" eb="4">
      <t>ユメ</t>
    </rPh>
    <rPh sb="5" eb="6">
      <t>ミ</t>
    </rPh>
    <phoneticPr fontId="10"/>
  </si>
  <si>
    <t>潜在能力を刺激するだけさ</t>
    <rPh sb="0" eb="4">
      <t>センザイノウリョク</t>
    </rPh>
    <rPh sb="5" eb="7">
      <t>シゲキ</t>
    </rPh>
    <phoneticPr fontId="10"/>
  </si>
  <si>
    <t>野郎ども！吠えろ！！</t>
    <rPh sb="0" eb="2">
      <t>ヤロウ</t>
    </rPh>
    <rPh sb="5" eb="6">
      <t>ホ</t>
    </rPh>
    <phoneticPr fontId="10"/>
  </si>
  <si>
    <t>本能を解放してやる！</t>
    <rPh sb="0" eb="2">
      <t>ホンノウ</t>
    </rPh>
    <rPh sb="3" eb="5">
      <t>カイホウ</t>
    </rPh>
    <phoneticPr fontId="10"/>
  </si>
  <si>
    <t>強度あげなきゃ！</t>
    <rPh sb="0" eb="2">
      <t>キョウド</t>
    </rPh>
    <phoneticPr fontId="10"/>
  </si>
  <si>
    <t>本領発揮します！</t>
    <rPh sb="0" eb="4">
      <t>ホンリョウハッキ</t>
    </rPh>
    <phoneticPr fontId="10"/>
  </si>
  <si>
    <t>傷一つ…つけられませんよ</t>
    <rPh sb="0" eb="1">
      <t>キズ</t>
    </rPh>
    <rPh sb="1" eb="2">
      <t>ヒト</t>
    </rPh>
    <phoneticPr fontId="10"/>
  </si>
  <si>
    <t>ブルル！排除ブル！</t>
    <rPh sb="4" eb="6">
      <t>ハイジョ</t>
    </rPh>
    <phoneticPr fontId="10"/>
  </si>
  <si>
    <t>構えたって無駄ブル！</t>
    <rPh sb="0" eb="1">
      <t>カマ</t>
    </rPh>
    <rPh sb="5" eb="7">
      <t>ムダ</t>
    </rPh>
    <phoneticPr fontId="10"/>
  </si>
  <si>
    <t>ケキャ！お邪魔虫ケキャ！</t>
    <rPh sb="5" eb="8">
      <t>ジャマムシ</t>
    </rPh>
    <phoneticPr fontId="10"/>
  </si>
  <si>
    <t>青いキライ！ケキャキャ！</t>
    <rPh sb="0" eb="1">
      <t>アオ</t>
    </rPh>
    <phoneticPr fontId="10"/>
  </si>
  <si>
    <t>ムゥ？壊していいのか？</t>
    <rPh sb="3" eb="4">
      <t>コワ</t>
    </rPh>
    <phoneticPr fontId="10"/>
  </si>
  <si>
    <t>お目覚めの時間だ！</t>
    <rPh sb="1" eb="3">
      <t>メザ</t>
    </rPh>
    <rPh sb="5" eb="7">
      <t>ジカン</t>
    </rPh>
    <phoneticPr fontId="10"/>
  </si>
  <si>
    <t>危ないものは没収よ？</t>
    <rPh sb="0" eb="1">
      <t>アブ</t>
    </rPh>
    <rPh sb="6" eb="8">
      <t>ボッシュウ</t>
    </rPh>
    <phoneticPr fontId="10"/>
  </si>
  <si>
    <t>この掌は鋼より硬いッ…！</t>
    <rPh sb="2" eb="3">
      <t>テノヒラ</t>
    </rPh>
    <rPh sb="4" eb="5">
      <t>ハガネ</t>
    </rPh>
    <rPh sb="7" eb="8">
      <t>カタ</t>
    </rPh>
    <phoneticPr fontId="10"/>
  </si>
  <si>
    <t>私の全力たたきこむ！</t>
    <rPh sb="0" eb="1">
      <t>ワタシ</t>
    </rPh>
    <rPh sb="2" eb="4">
      <t>ゼンリョク</t>
    </rPh>
    <phoneticPr fontId="10"/>
  </si>
  <si>
    <t>喰いちぎるとするか</t>
    <rPh sb="0" eb="1">
      <t>ク</t>
    </rPh>
    <phoneticPr fontId="10"/>
  </si>
  <si>
    <t>絶望を見せてやる！</t>
    <rPh sb="0" eb="2">
      <t>ゼツボウ</t>
    </rPh>
    <rPh sb="3" eb="4">
      <t>ミ</t>
    </rPh>
    <phoneticPr fontId="10"/>
  </si>
  <si>
    <t>もう遅い！射程距離だ！</t>
    <rPh sb="2" eb="3">
      <t>オソ</t>
    </rPh>
    <rPh sb="5" eb="9">
      <t>シャテイキョリ</t>
    </rPh>
    <phoneticPr fontId="10"/>
  </si>
  <si>
    <t>うるさいったらないわ…</t>
    <phoneticPr fontId="10"/>
  </si>
  <si>
    <t>さっさと追い払ってよ</t>
    <rPh sb="4" eb="5">
      <t>オ</t>
    </rPh>
    <rPh sb="6" eb="7">
      <t>ハラ</t>
    </rPh>
    <phoneticPr fontId="10"/>
  </si>
  <si>
    <t>ぜんぶいただきまーっす！</t>
    <phoneticPr fontId="10"/>
  </si>
  <si>
    <t>おいしそうだなぁ君たち！</t>
    <rPh sb="8" eb="9">
      <t>キミ</t>
    </rPh>
    <phoneticPr fontId="10"/>
  </si>
  <si>
    <t>ワルい大人はわかるの！</t>
    <rPh sb="3" eb="5">
      <t>オトナ</t>
    </rPh>
    <phoneticPr fontId="10"/>
  </si>
  <si>
    <t>道は私が切り開く！</t>
    <rPh sb="0" eb="1">
      <t>ミチ</t>
    </rPh>
    <rPh sb="2" eb="3">
      <t>ワタシ</t>
    </rPh>
    <rPh sb="4" eb="5">
      <t>キ</t>
    </rPh>
    <rPh sb="6" eb="7">
      <t>ヒラ</t>
    </rPh>
    <phoneticPr fontId="10"/>
  </si>
  <si>
    <t>時は来た！私に続け！！</t>
    <rPh sb="0" eb="1">
      <t>トキ</t>
    </rPh>
    <rPh sb="2" eb="3">
      <t>キ</t>
    </rPh>
    <rPh sb="5" eb="6">
      <t>ワタシ</t>
    </rPh>
    <rPh sb="7" eb="8">
      <t>ツヅ</t>
    </rPh>
    <phoneticPr fontId="10"/>
  </si>
  <si>
    <t>ビビらないで大丈夫っ！</t>
    <rPh sb="6" eb="9">
      <t>ダイジョウブ</t>
    </rPh>
    <phoneticPr fontId="10"/>
  </si>
  <si>
    <t>こんなの朝飯前だよね！</t>
    <rPh sb="4" eb="6">
      <t>アサメシ</t>
    </rPh>
    <rPh sb="6" eb="7">
      <t>マエ</t>
    </rPh>
    <phoneticPr fontId="10"/>
  </si>
  <si>
    <t>良いこと思いついたよぉ〜</t>
    <rPh sb="0" eb="1">
      <t>イ</t>
    </rPh>
    <rPh sb="4" eb="5">
      <t>オモ</t>
    </rPh>
    <phoneticPr fontId="10"/>
  </si>
  <si>
    <t>焦らないでも大丈夫〜</t>
    <rPh sb="0" eb="1">
      <t>アセ</t>
    </rPh>
    <rPh sb="6" eb="9">
      <t>ダイジョウブ</t>
    </rPh>
    <phoneticPr fontId="10"/>
  </si>
  <si>
    <t>俺を甘く見ないことだ…</t>
    <rPh sb="0" eb="1">
      <t>オレ</t>
    </rPh>
    <rPh sb="2" eb="3">
      <t>アマ</t>
    </rPh>
    <rPh sb="4" eb="5">
      <t>ミ</t>
    </rPh>
    <phoneticPr fontId="10"/>
  </si>
  <si>
    <t>この死合、俺が預かる…！</t>
    <rPh sb="2" eb="4">
      <t>シアイ</t>
    </rPh>
    <rPh sb="5" eb="6">
      <t>オレ</t>
    </rPh>
    <rPh sb="7" eb="8">
      <t>アズ</t>
    </rPh>
    <phoneticPr fontId="10"/>
  </si>
  <si>
    <t>何度でもお相手しましょう</t>
    <rPh sb="0" eb="2">
      <t>ナンド</t>
    </rPh>
    <rPh sb="5" eb="7">
      <t>アイテ</t>
    </rPh>
    <phoneticPr fontId="10"/>
  </si>
  <si>
    <t>鬼の土方が見たいと…？</t>
    <rPh sb="0" eb="1">
      <t>オニ</t>
    </rPh>
    <rPh sb="2" eb="4">
      <t>ヒジカタ</t>
    </rPh>
    <rPh sb="5" eb="6">
      <t>ミ</t>
    </rPh>
    <phoneticPr fontId="10"/>
  </si>
  <si>
    <t>あたしが対処します！</t>
    <rPh sb="4" eb="6">
      <t>タイショ</t>
    </rPh>
    <phoneticPr fontId="10"/>
  </si>
  <si>
    <t>卑怯者は許さないから！！</t>
    <rPh sb="0" eb="3">
      <t>ヒキョウモノ</t>
    </rPh>
    <rPh sb="4" eb="5">
      <t>ユル</t>
    </rPh>
    <phoneticPr fontId="10"/>
  </si>
  <si>
    <t>…手品は好きかい？</t>
    <rPh sb="1" eb="3">
      <t>テジナ</t>
    </rPh>
    <rPh sb="4" eb="5">
      <t>ス</t>
    </rPh>
    <phoneticPr fontId="10"/>
  </si>
  <si>
    <t>手加減はしない主義でね</t>
    <rPh sb="0" eb="3">
      <t>テカゲン</t>
    </rPh>
    <rPh sb="7" eb="9">
      <t>シュギ</t>
    </rPh>
    <phoneticPr fontId="10"/>
  </si>
  <si>
    <t>この腕で照らしてやるよ！</t>
    <rPh sb="2" eb="3">
      <t>ウデ</t>
    </rPh>
    <rPh sb="4" eb="5">
      <t>テ</t>
    </rPh>
    <phoneticPr fontId="10"/>
  </si>
  <si>
    <t>目が眩んでも知らないよ！</t>
    <rPh sb="0" eb="1">
      <t>メ</t>
    </rPh>
    <rPh sb="2" eb="3">
      <t>クラ</t>
    </rPh>
    <rPh sb="6" eb="7">
      <t>シ</t>
    </rPh>
    <phoneticPr fontId="10"/>
  </si>
  <si>
    <t>戦いは楽しまなくちゃね？</t>
    <rPh sb="0" eb="1">
      <t>タタカ</t>
    </rPh>
    <rPh sb="3" eb="4">
      <t>タノ</t>
    </rPh>
    <phoneticPr fontId="10"/>
  </si>
  <si>
    <t>さぁ、派手にかますわよ！</t>
    <rPh sb="3" eb="5">
      <t>ハデ</t>
    </rPh>
    <phoneticPr fontId="10"/>
  </si>
  <si>
    <t>恋愛成分が足りないのっ！</t>
    <rPh sb="0" eb="2">
      <t>レンアイ</t>
    </rPh>
    <rPh sb="2" eb="4">
      <t>セイブン</t>
    </rPh>
    <rPh sb="5" eb="6">
      <t>タ</t>
    </rPh>
    <phoneticPr fontId="10"/>
  </si>
  <si>
    <t>愛して愛して食べちゃう！</t>
    <rPh sb="0" eb="1">
      <t>アイ</t>
    </rPh>
    <rPh sb="3" eb="4">
      <t>アイ</t>
    </rPh>
    <rPh sb="6" eb="7">
      <t>タ</t>
    </rPh>
    <phoneticPr fontId="10"/>
  </si>
  <si>
    <t>全然呑みたりないわよぉ…</t>
    <rPh sb="0" eb="2">
      <t>ゼンゼン</t>
    </rPh>
    <rPh sb="2" eb="3">
      <t>ノ</t>
    </rPh>
    <phoneticPr fontId="10"/>
  </si>
  <si>
    <t>朝まで付き合ってよねぇ？</t>
    <rPh sb="0" eb="1">
      <t>アサ</t>
    </rPh>
    <rPh sb="3" eb="4">
      <t>ツ</t>
    </rPh>
    <rPh sb="5" eb="6">
      <t>ア</t>
    </rPh>
    <phoneticPr fontId="10"/>
  </si>
  <si>
    <t>まどろっこしいのは嫌い！</t>
    <rPh sb="9" eb="10">
      <t>キラ</t>
    </rPh>
    <phoneticPr fontId="10"/>
  </si>
  <si>
    <t>一発逆転が醍醐味だよね！</t>
    <rPh sb="0" eb="4">
      <t>イッパツギャクテン</t>
    </rPh>
    <rPh sb="5" eb="8">
      <t>ダイゴミ</t>
    </rPh>
    <phoneticPr fontId="10"/>
  </si>
  <si>
    <t>あたしはみんなの味方だよ</t>
    <rPh sb="8" eb="10">
      <t>ミカタ</t>
    </rPh>
    <phoneticPr fontId="10"/>
  </si>
  <si>
    <t>みんな☆応援してるよ☆</t>
    <rPh sb="4" eb="6">
      <t>オウエン</t>
    </rPh>
    <phoneticPr fontId="10"/>
  </si>
  <si>
    <t>諦めるのはまだ早い！</t>
    <rPh sb="0" eb="1">
      <t>アキラ</t>
    </rPh>
    <rPh sb="7" eb="8">
      <t>ハヤ</t>
    </rPh>
    <phoneticPr fontId="10"/>
  </si>
  <si>
    <t>さぁテイクオフの時間よ！</t>
    <rPh sb="8" eb="10">
      <t>ジカン</t>
    </rPh>
    <phoneticPr fontId="10"/>
  </si>
  <si>
    <t>夢ばっか見やがって</t>
    <rPh sb="0" eb="1">
      <t>ユメ</t>
    </rPh>
    <rPh sb="4" eb="5">
      <t>ミ</t>
    </rPh>
    <phoneticPr fontId="10"/>
  </si>
  <si>
    <t>屈辱に震えやがれ！</t>
    <rPh sb="0" eb="2">
      <t>クツジョク</t>
    </rPh>
    <rPh sb="3" eb="4">
      <t>フル</t>
    </rPh>
    <phoneticPr fontId="10"/>
  </si>
  <si>
    <t>しっかり目を開けてなさい</t>
    <rPh sb="4" eb="5">
      <t>メ</t>
    </rPh>
    <rPh sb="6" eb="7">
      <t>ア</t>
    </rPh>
    <phoneticPr fontId="10"/>
  </si>
  <si>
    <t>小細工は通じないわ！！</t>
    <rPh sb="0" eb="3">
      <t>コザイク</t>
    </rPh>
    <rPh sb="4" eb="5">
      <t>ツウ</t>
    </rPh>
    <phoneticPr fontId="10"/>
  </si>
  <si>
    <t>お兄ちゃん！鉄壁モード！</t>
    <rPh sb="1" eb="2">
      <t>ニイ</t>
    </rPh>
    <rPh sb="6" eb="8">
      <t>テッペキ</t>
    </rPh>
    <phoneticPr fontId="10"/>
  </si>
  <si>
    <t>迎撃なんて無駄なんだよ！</t>
    <rPh sb="0" eb="2">
      <t>ゲイゲキ</t>
    </rPh>
    <rPh sb="5" eb="7">
      <t>ムダ</t>
    </rPh>
    <phoneticPr fontId="10"/>
  </si>
  <si>
    <t>It’a true wolrd．</t>
    <phoneticPr fontId="10"/>
  </si>
  <si>
    <t>お風呂にしましょ？</t>
    <rPh sb="1" eb="3">
      <t>フロ</t>
    </rPh>
    <phoneticPr fontId="10"/>
  </si>
  <si>
    <t>スイッチ…入っちゃった</t>
    <rPh sb="5" eb="6">
      <t>ハイ</t>
    </rPh>
    <phoneticPr fontId="10"/>
  </si>
  <si>
    <t>死ぬまで愛しちゃいます…</t>
    <rPh sb="0" eb="1">
      <t>シ</t>
    </rPh>
    <rPh sb="4" eb="5">
      <t>アイ</t>
    </rPh>
    <phoneticPr fontId="10"/>
  </si>
  <si>
    <t>痛打…とだけ言っておく</t>
    <rPh sb="0" eb="2">
      <t>ツウダ</t>
    </rPh>
    <rPh sb="6" eb="7">
      <t>イ</t>
    </rPh>
    <phoneticPr fontId="10"/>
  </si>
  <si>
    <t>ガードなど一切関係ない</t>
    <rPh sb="5" eb="7">
      <t>イッサイ</t>
    </rPh>
    <rPh sb="7" eb="9">
      <t>カンケイ</t>
    </rPh>
    <phoneticPr fontId="10"/>
  </si>
  <si>
    <t>俺のシマに入ってくんな！</t>
    <rPh sb="0" eb="1">
      <t>オレ</t>
    </rPh>
    <rPh sb="5" eb="6">
      <t>ハイ</t>
    </rPh>
    <phoneticPr fontId="10"/>
  </si>
  <si>
    <t>くそ…塗りつぶしてやる！</t>
    <rPh sb="3" eb="4">
      <t>ヌ</t>
    </rPh>
    <phoneticPr fontId="10"/>
  </si>
  <si>
    <t>あたしも遊んでほしいの！</t>
    <rPh sb="4" eb="5">
      <t>アソ</t>
    </rPh>
    <phoneticPr fontId="10"/>
  </si>
  <si>
    <t>お兄ちゃん見ててね？</t>
    <rPh sb="1" eb="2">
      <t>ニイ</t>
    </rPh>
    <rPh sb="5" eb="6">
      <t>ミ</t>
    </rPh>
    <phoneticPr fontId="10"/>
  </si>
  <si>
    <t>教育的指導です！</t>
    <rPh sb="0" eb="3">
      <t>キョウイクテキ</t>
    </rPh>
    <rPh sb="3" eb="5">
      <t>シドウ</t>
    </rPh>
    <phoneticPr fontId="10"/>
  </si>
  <si>
    <t>先生もう怒ったからー！！</t>
    <rPh sb="0" eb="2">
      <t>センセイ</t>
    </rPh>
    <rPh sb="4" eb="5">
      <t>オコ</t>
    </rPh>
    <phoneticPr fontId="10"/>
  </si>
  <si>
    <t>…見せよう</t>
    <rPh sb="1" eb="2">
      <t>ミ</t>
    </rPh>
    <phoneticPr fontId="10"/>
  </si>
  <si>
    <t>…終わりだ</t>
    <rPh sb="1" eb="2">
      <t>オ</t>
    </rPh>
    <phoneticPr fontId="10"/>
  </si>
  <si>
    <t>妾を見たか…帰せぬな！</t>
    <rPh sb="0" eb="1">
      <t>ワラワ</t>
    </rPh>
    <rPh sb="2" eb="3">
      <t>ミ</t>
    </rPh>
    <rPh sb="6" eb="7">
      <t>カエ</t>
    </rPh>
    <phoneticPr fontId="10"/>
  </si>
  <si>
    <t>既に手は打ってあるのよね</t>
    <rPh sb="0" eb="1">
      <t>スデ</t>
    </rPh>
    <rPh sb="2" eb="3">
      <t>テ</t>
    </rPh>
    <rPh sb="4" eb="5">
      <t>ウ</t>
    </rPh>
    <phoneticPr fontId="10"/>
  </si>
  <si>
    <t>卑怯？それ褒め言葉だわ</t>
    <rPh sb="0" eb="2">
      <t>ヒキョウ</t>
    </rPh>
    <rPh sb="5" eb="6">
      <t>ホ</t>
    </rPh>
    <rPh sb="7" eb="9">
      <t>コトバ</t>
    </rPh>
    <phoneticPr fontId="10"/>
  </si>
  <si>
    <t>オトリになるのは得意だゼ</t>
    <rPh sb="8" eb="10">
      <t>トクイ</t>
    </rPh>
    <phoneticPr fontId="10"/>
  </si>
  <si>
    <t>お膳立ては済んだゼェ！</t>
    <rPh sb="1" eb="3">
      <t>ゼンダ</t>
    </rPh>
    <rPh sb="5" eb="6">
      <t>ス</t>
    </rPh>
    <phoneticPr fontId="10"/>
  </si>
  <si>
    <t>殴ル…強ク殴ル…！！</t>
    <rPh sb="0" eb="1">
      <t>ナグ</t>
    </rPh>
    <rPh sb="3" eb="4">
      <t>ツヨ</t>
    </rPh>
    <rPh sb="5" eb="6">
      <t>ナグ</t>
    </rPh>
    <phoneticPr fontId="10"/>
  </si>
  <si>
    <t>壊セバ…褒メラレル…！</t>
    <rPh sb="0" eb="1">
      <t>コワ</t>
    </rPh>
    <rPh sb="4" eb="5">
      <t>ホ</t>
    </rPh>
    <phoneticPr fontId="10"/>
  </si>
  <si>
    <t>衝撃計算不能！フノウ！！</t>
    <rPh sb="0" eb="2">
      <t>ショウゲキ</t>
    </rPh>
    <rPh sb="2" eb="4">
      <t>ケイサン</t>
    </rPh>
    <rPh sb="4" eb="6">
      <t>フノウ</t>
    </rPh>
    <phoneticPr fontId="10"/>
  </si>
  <si>
    <t>私が皆を守るのだ…！</t>
    <rPh sb="0" eb="1">
      <t>ワタシ</t>
    </rPh>
    <rPh sb="2" eb="3">
      <t>ミナ</t>
    </rPh>
    <rPh sb="4" eb="5">
      <t>マモ</t>
    </rPh>
    <phoneticPr fontId="10"/>
  </si>
  <si>
    <t>さぁ私を越えて行くのだ！</t>
    <rPh sb="2" eb="3">
      <t>ワタシ</t>
    </rPh>
    <rPh sb="4" eb="5">
      <t>コ</t>
    </rPh>
    <rPh sb="7" eb="8">
      <t>ユ</t>
    </rPh>
    <phoneticPr fontId="10"/>
  </si>
  <si>
    <t>この剣に魂を灯すッ…！</t>
    <rPh sb="2" eb="3">
      <t>ケン</t>
    </rPh>
    <rPh sb="4" eb="5">
      <t>タマシイ</t>
    </rPh>
    <rPh sb="6" eb="7">
      <t>トモ</t>
    </rPh>
    <phoneticPr fontId="10"/>
  </si>
  <si>
    <t>最期まで…諦めるかぁッ！</t>
    <rPh sb="0" eb="2">
      <t>サイゴ</t>
    </rPh>
    <rPh sb="5" eb="6">
      <t>アキラ</t>
    </rPh>
    <phoneticPr fontId="10"/>
  </si>
  <si>
    <t>ケンカの場数がちげぇよ！</t>
    <rPh sb="4" eb="6">
      <t>バカズ</t>
    </rPh>
    <phoneticPr fontId="10"/>
  </si>
  <si>
    <t>ギガン！根性見せろよ！</t>
    <rPh sb="4" eb="6">
      <t>コンジョウ</t>
    </rPh>
    <rPh sb="6" eb="7">
      <t>ミ</t>
    </rPh>
    <phoneticPr fontId="10"/>
  </si>
  <si>
    <t>好機です…参りましょう！</t>
    <rPh sb="0" eb="2">
      <t>コウキ</t>
    </rPh>
    <rPh sb="5" eb="6">
      <t>マイ</t>
    </rPh>
    <phoneticPr fontId="10"/>
  </si>
  <si>
    <t>矢羽の雨嵐…降らせます！</t>
    <rPh sb="0" eb="2">
      <t>ヤバネ</t>
    </rPh>
    <rPh sb="3" eb="5">
      <t>アメアラシ</t>
    </rPh>
    <rPh sb="6" eb="7">
      <t>フ</t>
    </rPh>
    <phoneticPr fontId="10"/>
  </si>
  <si>
    <t>龍の力、見せてやろう！</t>
    <rPh sb="0" eb="1">
      <t>リュ</t>
    </rPh>
    <rPh sb="2" eb="4">
      <t>チカr</t>
    </rPh>
    <rPh sb="4" eb="5">
      <t>ミセツk</t>
    </rPh>
    <phoneticPr fontId="10"/>
  </si>
  <si>
    <t>若造ども、これが龍だ！</t>
    <rPh sb="0" eb="2">
      <t>ワk</t>
    </rPh>
    <rPh sb="8" eb="10">
      <t>リュ</t>
    </rPh>
    <phoneticPr fontId="10"/>
  </si>
  <si>
    <t>遊び心も必要だろう…？</t>
    <rPh sb="0" eb="1">
      <t>アソ</t>
    </rPh>
    <rPh sb="2" eb="3">
      <t>ゴコロ</t>
    </rPh>
    <rPh sb="4" eb="6">
      <t>ヒツヨウ</t>
    </rPh>
    <phoneticPr fontId="10"/>
  </si>
  <si>
    <t>約束通り、力は貸してやる</t>
    <rPh sb="0" eb="3">
      <t>ヤクソクドオ</t>
    </rPh>
    <rPh sb="5" eb="6">
      <t>チカラ</t>
    </rPh>
    <rPh sb="7" eb="8">
      <t>カ</t>
    </rPh>
    <phoneticPr fontId="10"/>
  </si>
  <si>
    <t>経験の差、ってやつだな…</t>
    <rPh sb="0" eb="2">
      <t>ケイケン</t>
    </rPh>
    <rPh sb="3" eb="4">
      <t>サ</t>
    </rPh>
    <phoneticPr fontId="10"/>
  </si>
  <si>
    <t>フゥ…熱くなっちまったな</t>
    <rPh sb="3" eb="4">
      <t>アツ</t>
    </rPh>
    <phoneticPr fontId="10"/>
  </si>
  <si>
    <t>久々だぜ、この感じは…！</t>
    <rPh sb="0" eb="2">
      <t>ヒサビサ</t>
    </rPh>
    <rPh sb="7" eb="8">
      <t>カン</t>
    </rPh>
    <phoneticPr fontId="10"/>
  </si>
  <si>
    <t>希望があるから絶望するの</t>
    <rPh sb="0" eb="2">
      <t>キボウ</t>
    </rPh>
    <rPh sb="7" eb="9">
      <t>ゼツボウ</t>
    </rPh>
    <phoneticPr fontId="10"/>
  </si>
  <si>
    <t>死はいつも隣にいるものよ</t>
    <rPh sb="0" eb="1">
      <t>シ</t>
    </rPh>
    <rPh sb="5" eb="6">
      <t>トナリ</t>
    </rPh>
    <phoneticPr fontId="10"/>
  </si>
  <si>
    <t>巻き添え気をつけてっ！</t>
    <rPh sb="0" eb="1">
      <t>マ</t>
    </rPh>
    <rPh sb="2" eb="3">
      <t>ゾ</t>
    </rPh>
    <rPh sb="4" eb="5">
      <t>キ</t>
    </rPh>
    <phoneticPr fontId="10"/>
  </si>
  <si>
    <t>ボクにやらせてくれるの？</t>
    <phoneticPr fontId="10"/>
  </si>
  <si>
    <t>オッケーふっとばすよっ！</t>
    <phoneticPr fontId="10"/>
  </si>
  <si>
    <t>秩序のために・・・！</t>
    <rPh sb="0" eb="3">
      <t>チt</t>
    </rPh>
    <phoneticPr fontId="10"/>
  </si>
  <si>
    <t>これが正義だ！</t>
    <rPh sb="3" eb="6">
      <t>セイg</t>
    </rPh>
    <phoneticPr fontId="10"/>
  </si>
  <si>
    <t>邪魔されちゃ困るぜッ！</t>
    <rPh sb="0" eb="2">
      <t>ジャマ</t>
    </rPh>
    <rPh sb="6" eb="7">
      <t>コマ</t>
    </rPh>
    <phoneticPr fontId="10"/>
  </si>
  <si>
    <t>悪ぃな、急いでるんだッ！</t>
    <rPh sb="0" eb="1">
      <t>ワル</t>
    </rPh>
    <rPh sb="4" eb="5">
      <t>イソ</t>
    </rPh>
    <phoneticPr fontId="10"/>
  </si>
  <si>
    <t>今夜だけなんだからね…！</t>
    <rPh sb="0" eb="2">
      <t>コンヤ</t>
    </rPh>
    <phoneticPr fontId="10"/>
  </si>
  <si>
    <t>特別サービスなんだから！</t>
    <rPh sb="0" eb="2">
      <t>トクベツ</t>
    </rPh>
    <phoneticPr fontId="10"/>
  </si>
  <si>
    <t>皆様に歓びの歌を…！</t>
    <rPh sb="0" eb="2">
      <t>ミナサマ</t>
    </rPh>
    <rPh sb="3" eb="4">
      <t>ヨロコ</t>
    </rPh>
    <rPh sb="6" eb="7">
      <t>ウタ</t>
    </rPh>
    <phoneticPr fontId="10"/>
  </si>
  <si>
    <t>きっと奇跡は起こります！</t>
    <rPh sb="3" eb="5">
      <t>キセキ</t>
    </rPh>
    <rPh sb="6" eb="7">
      <t>オ</t>
    </rPh>
    <phoneticPr fontId="10"/>
  </si>
  <si>
    <t>今宵は特別版ですよっ！</t>
    <rPh sb="0" eb="2">
      <t>コヨイ</t>
    </rPh>
    <rPh sb="3" eb="6">
      <t>トクベツバン</t>
    </rPh>
    <phoneticPr fontId="10"/>
  </si>
  <si>
    <t>固まってくださいね！</t>
    <rPh sb="0" eb="1">
      <t>カタ</t>
    </rPh>
    <phoneticPr fontId="10"/>
  </si>
  <si>
    <t>お邪魔しますよ！</t>
    <rPh sb="1" eb="3">
      <t>ジャマ</t>
    </rPh>
    <phoneticPr fontId="10"/>
  </si>
  <si>
    <t>みんな突撃するよー！</t>
    <rPh sb="3" eb="9">
      <t>トt</t>
    </rPh>
    <phoneticPr fontId="10"/>
  </si>
  <si>
    <t>焼きつくす！</t>
    <rPh sb="0" eb="1">
      <t>ヤ</t>
    </rPh>
    <phoneticPr fontId="10"/>
  </si>
  <si>
    <t>我が熱風を受けろ！</t>
    <rPh sb="0" eb="1">
      <t>ワ</t>
    </rPh>
    <rPh sb="2" eb="4">
      <t>ネップウ</t>
    </rPh>
    <rPh sb="5" eb="6">
      <t>ウ</t>
    </rPh>
    <phoneticPr fontId="10"/>
  </si>
  <si>
    <t>参るぞ、灰と化せ…！</t>
    <rPh sb="0" eb="1">
      <t>マイ</t>
    </rPh>
    <rPh sb="4" eb="5">
      <t>ハイ</t>
    </rPh>
    <rPh sb="6" eb="7">
      <t>カ</t>
    </rPh>
    <phoneticPr fontId="10"/>
  </si>
  <si>
    <t>地よ、震えろ</t>
    <rPh sb="0" eb="1">
      <t>チ</t>
    </rPh>
    <rPh sb="3" eb="4">
      <t>フル</t>
    </rPh>
    <phoneticPr fontId="10"/>
  </si>
  <si>
    <t>地よ、轟け</t>
    <rPh sb="0" eb="1">
      <t>チ</t>
    </rPh>
    <rPh sb="3" eb="4">
      <t>トドロ</t>
    </rPh>
    <phoneticPr fontId="10"/>
  </si>
  <si>
    <t>悪戯が過ぎたのう…！</t>
    <rPh sb="0" eb="2">
      <t>イタズラ</t>
    </rPh>
    <rPh sb="3" eb="4">
      <t>ス</t>
    </rPh>
    <phoneticPr fontId="10"/>
  </si>
  <si>
    <t>ほんの挨拶だ</t>
    <rPh sb="3" eb="5">
      <t>アイサツ</t>
    </rPh>
    <phoneticPr fontId="10"/>
  </si>
  <si>
    <t>水難の相が出てるぞ！</t>
    <rPh sb="0" eb="2">
      <t>スイナン</t>
    </rPh>
    <rPh sb="3" eb="4">
      <t>ソウ</t>
    </rPh>
    <rPh sb="5" eb="6">
      <t>デ</t>
    </rPh>
    <phoneticPr fontId="10"/>
  </si>
  <si>
    <t>痺れさせてやるぜ？</t>
    <rPh sb="0" eb="1">
      <t>シビ</t>
    </rPh>
    <phoneticPr fontId="10"/>
  </si>
  <si>
    <t>大人しくしていろ！！</t>
    <rPh sb="0" eb="2">
      <t>オトナ</t>
    </rPh>
    <phoneticPr fontId="10"/>
  </si>
  <si>
    <t>貧弱だね！</t>
    <rPh sb="0" eb="2">
      <t>ヒンジャク</t>
    </rPh>
    <phoneticPr fontId="10"/>
  </si>
  <si>
    <t>この骨は砕けないよ！</t>
    <rPh sb="2" eb="3">
      <t>ホネ</t>
    </rPh>
    <rPh sb="4" eb="5">
      <t>クダ</t>
    </rPh>
    <phoneticPr fontId="10"/>
  </si>
  <si>
    <t>好き勝手させない！</t>
    <rPh sb="0" eb="1">
      <t>ス</t>
    </rPh>
    <rPh sb="2" eb="4">
      <t>カッテ</t>
    </rPh>
    <phoneticPr fontId="10"/>
  </si>
  <si>
    <t>消し炭にしてやる</t>
    <rPh sb="0" eb="1">
      <t>ケ</t>
    </rPh>
    <rPh sb="2" eb="3">
      <t>ズミ</t>
    </rPh>
    <phoneticPr fontId="10"/>
  </si>
  <si>
    <t>オレの拳は堅いぞ</t>
    <rPh sb="3" eb="4">
      <t>コブシ</t>
    </rPh>
    <rPh sb="5" eb="6">
      <t>カタ</t>
    </rPh>
    <phoneticPr fontId="10"/>
  </si>
  <si>
    <t>最速で斬る！</t>
    <rPh sb="0" eb="2">
      <t>サイソク</t>
    </rPh>
    <rPh sb="3" eb="4">
      <t>キ</t>
    </rPh>
    <phoneticPr fontId="10"/>
  </si>
  <si>
    <t>見切れるものか！</t>
    <rPh sb="0" eb="2">
      <t>ミキ</t>
    </rPh>
    <phoneticPr fontId="10"/>
  </si>
  <si>
    <t>少し焦げ臭くなるよ！</t>
    <rPh sb="0" eb="1">
      <t>スコ</t>
    </rPh>
    <rPh sb="2" eb="3">
      <t>コ</t>
    </rPh>
    <rPh sb="4" eb="5">
      <t>クサ</t>
    </rPh>
    <phoneticPr fontId="10"/>
  </si>
  <si>
    <t>お前さん油断したねぇ</t>
    <rPh sb="1" eb="2">
      <t>マエ</t>
    </rPh>
    <rPh sb="4" eb="6">
      <t>ユダン</t>
    </rPh>
    <phoneticPr fontId="10"/>
  </si>
  <si>
    <t>刺します！</t>
    <rPh sb="0" eb="1">
      <t>サ</t>
    </rPh>
    <phoneticPr fontId="10"/>
  </si>
  <si>
    <t>下手に動くと苦しいですよ</t>
    <rPh sb="0" eb="2">
      <t>ヘタ</t>
    </rPh>
    <rPh sb="3" eb="4">
      <t>ウゴ</t>
    </rPh>
    <rPh sb="6" eb="7">
      <t>クル</t>
    </rPh>
    <phoneticPr fontId="10"/>
  </si>
  <si>
    <t>…振りぬく！</t>
    <rPh sb="1" eb="2">
      <t>フ</t>
    </rPh>
    <phoneticPr fontId="10"/>
  </si>
  <si>
    <t>…断つ！！</t>
    <rPh sb="1" eb="2">
      <t>タ</t>
    </rPh>
    <phoneticPr fontId="10"/>
  </si>
  <si>
    <t>秋の祭りじゃー！</t>
    <rPh sb="0" eb="1">
      <t>アキ</t>
    </rPh>
    <rPh sb="2" eb="3">
      <t>マツ</t>
    </rPh>
    <phoneticPr fontId="10"/>
  </si>
  <si>
    <t>稲荷大暴れなのじゃ！</t>
    <rPh sb="0" eb="2">
      <t>イナリ</t>
    </rPh>
    <rPh sb="2" eb="4">
      <t>オオアバ</t>
    </rPh>
    <phoneticPr fontId="10"/>
  </si>
  <si>
    <t>そこ！丸見えよ！！</t>
    <rPh sb="3" eb="5">
      <t>マルミ</t>
    </rPh>
    <phoneticPr fontId="10"/>
  </si>
  <si>
    <t>竹葉はよく切れるぞ？</t>
    <rPh sb="0" eb="1">
      <t>タケ</t>
    </rPh>
    <rPh sb="1" eb="2">
      <t>ササバ</t>
    </rPh>
    <rPh sb="5" eb="6">
      <t>キ</t>
    </rPh>
    <phoneticPr fontId="10"/>
  </si>
  <si>
    <t>串刺しがお好みか？</t>
    <rPh sb="0" eb="2">
      <t>クシザ</t>
    </rPh>
    <rPh sb="5" eb="6">
      <t>コノ</t>
    </rPh>
    <phoneticPr fontId="10"/>
  </si>
  <si>
    <t>氷水は冷たいよ−？</t>
    <rPh sb="0" eb="2">
      <t>コオリミズ</t>
    </rPh>
    <rPh sb="3" eb="8">
      <t>ツメタイヨー</t>
    </rPh>
    <phoneticPr fontId="10"/>
  </si>
  <si>
    <t>みんな凍っちゃえー！</t>
    <rPh sb="3" eb="4">
      <t>コオ</t>
    </rPh>
    <phoneticPr fontId="10"/>
  </si>
  <si>
    <t>関節狙っちゃうから！</t>
    <rPh sb="0" eb="2">
      <t>カンセツ</t>
    </rPh>
    <rPh sb="2" eb="3">
      <t>ネラ</t>
    </rPh>
    <phoneticPr fontId="10"/>
  </si>
  <si>
    <t>こーれーが私の奥義！</t>
    <rPh sb="5" eb="6">
      <t>ワタシ</t>
    </rPh>
    <rPh sb="7" eb="9">
      <t>オウギ</t>
    </rPh>
    <phoneticPr fontId="10"/>
  </si>
  <si>
    <t>感染源になってね？</t>
    <rPh sb="0" eb="3">
      <t>カンセンゲン</t>
    </rPh>
    <phoneticPr fontId="10"/>
  </si>
  <si>
    <t>どう拡がるか楽しみね</t>
    <rPh sb="2" eb="3">
      <t>ヒロ</t>
    </rPh>
    <rPh sb="6" eb="7">
      <t>タノ</t>
    </rPh>
    <phoneticPr fontId="10"/>
  </si>
  <si>
    <t>これ避ける難しいネ！</t>
    <rPh sb="2" eb="3">
      <t>ヨ</t>
    </rPh>
    <rPh sb="5" eb="6">
      <t>ムズカ</t>
    </rPh>
    <phoneticPr fontId="10"/>
  </si>
  <si>
    <t>身体の中ぶっ壊すネ！</t>
    <rPh sb="0" eb="2">
      <t>カラダ</t>
    </rPh>
    <rPh sb="3" eb="4">
      <t>ナカ</t>
    </rPh>
    <rPh sb="6" eb="7">
      <t>コワ</t>
    </rPh>
    <phoneticPr fontId="10"/>
  </si>
  <si>
    <t>困ったことになるわね</t>
    <rPh sb="0" eb="1">
      <t>コマ</t>
    </rPh>
    <phoneticPr fontId="10"/>
  </si>
  <si>
    <t>うっかりよ、うっかり</t>
    <phoneticPr fontId="10"/>
  </si>
  <si>
    <t>まだまだやれますよ〜</t>
    <phoneticPr fontId="10"/>
  </si>
  <si>
    <t>最後まで全力ですよ〜</t>
    <rPh sb="0" eb="2">
      <t>サイゴ</t>
    </rPh>
    <rPh sb="4" eb="6">
      <t>ゼンリョク</t>
    </rPh>
    <phoneticPr fontId="10"/>
  </si>
  <si>
    <t>浄発しなさい！</t>
    <rPh sb="0" eb="1">
      <t>ジョウカ</t>
    </rPh>
    <rPh sb="1" eb="2">
      <t>ハツ</t>
    </rPh>
    <phoneticPr fontId="10"/>
  </si>
  <si>
    <t>退けます！</t>
    <rPh sb="0" eb="1">
      <t>シリゾ</t>
    </rPh>
    <phoneticPr fontId="10"/>
  </si>
  <si>
    <t>士気を高めろ！</t>
    <rPh sb="0" eb="2">
      <t>シキ</t>
    </rPh>
    <rPh sb="3" eb="4">
      <t>タカ</t>
    </rPh>
    <phoneticPr fontId="10"/>
  </si>
  <si>
    <t>目指すは敵崩壊のみ！</t>
    <rPh sb="0" eb="2">
      <t>メザ</t>
    </rPh>
    <rPh sb="4" eb="5">
      <t>テキ</t>
    </rPh>
    <rPh sb="5" eb="7">
      <t>ホウカイ</t>
    </rPh>
    <phoneticPr fontId="10"/>
  </si>
  <si>
    <t>脳天から落とすわよ</t>
    <rPh sb="0" eb="2">
      <t>ノウテン</t>
    </rPh>
    <rPh sb="4" eb="5">
      <t>オ</t>
    </rPh>
    <phoneticPr fontId="10"/>
  </si>
  <si>
    <t>玩具にしてもいい？</t>
    <rPh sb="0" eb="2">
      <t>オモチャ</t>
    </rPh>
    <phoneticPr fontId="10"/>
  </si>
  <si>
    <t>友達は大事にしなきゃ</t>
    <rPh sb="0" eb="2">
      <t>トモダチ</t>
    </rPh>
    <rPh sb="3" eb="5">
      <t>ダイジ</t>
    </rPh>
    <phoneticPr fontId="10"/>
  </si>
  <si>
    <t>まとめて相手してやる</t>
    <rPh sb="4" eb="6">
      <t>アイテ</t>
    </rPh>
    <phoneticPr fontId="10"/>
  </si>
  <si>
    <t>これはほんの挨拶よ！</t>
    <rPh sb="6" eb="8">
      <t>アイサツ</t>
    </rPh>
    <phoneticPr fontId="10"/>
  </si>
  <si>
    <t>この海は冷たいよー！</t>
    <rPh sb="2" eb="3">
      <t>ウミ</t>
    </rPh>
    <rPh sb="4" eb="8">
      <t>ツメタイヨー</t>
    </rPh>
    <phoneticPr fontId="10"/>
  </si>
  <si>
    <t>身体冷えちゃうよー！</t>
    <rPh sb="0" eb="2">
      <t>カラダ</t>
    </rPh>
    <rPh sb="2" eb="3">
      <t>ヒ</t>
    </rPh>
    <phoneticPr fontId="10"/>
  </si>
  <si>
    <t>生きて帰れないよー！</t>
    <rPh sb="0" eb="1">
      <t>イ</t>
    </rPh>
    <rPh sb="3" eb="4">
      <t>カエ</t>
    </rPh>
    <phoneticPr fontId="10"/>
  </si>
  <si>
    <t>切り刻んでやる</t>
    <rPh sb="0" eb="1">
      <t>キ</t>
    </rPh>
    <rPh sb="2" eb="3">
      <t>キザ</t>
    </rPh>
    <phoneticPr fontId="10"/>
  </si>
  <si>
    <t>こいつは痺れるぞ…！</t>
    <rPh sb="4" eb="5">
      <t>シビ</t>
    </rPh>
    <phoneticPr fontId="10"/>
  </si>
  <si>
    <t>貫け…黒き神の雷！</t>
    <rPh sb="0" eb="1">
      <t>ツラヌ</t>
    </rPh>
    <rPh sb="3" eb="4">
      <t>クロ</t>
    </rPh>
    <rPh sb="5" eb="6">
      <t>カミ</t>
    </rPh>
    <rPh sb="7" eb="8">
      <t>カミナリ</t>
    </rPh>
    <phoneticPr fontId="10"/>
  </si>
  <si>
    <t>えっと…爆発ですぅ！</t>
    <rPh sb="4" eb="6">
      <t>バクハツ</t>
    </rPh>
    <phoneticPr fontId="10"/>
  </si>
  <si>
    <t>まだまだ頑張れますぅ</t>
    <rPh sb="4" eb="6">
      <t>ガンバ</t>
    </rPh>
    <phoneticPr fontId="10"/>
  </si>
  <si>
    <t>通っちゃ困りますぅ！</t>
    <rPh sb="0" eb="1">
      <t>トオ</t>
    </rPh>
    <rPh sb="4" eb="5">
      <t>コマ</t>
    </rPh>
    <phoneticPr fontId="10"/>
  </si>
  <si>
    <t>それ突進ー！</t>
    <rPh sb="2" eb="4">
      <t>トッシン</t>
    </rPh>
    <phoneticPr fontId="10"/>
  </si>
  <si>
    <t>よいしょ！突撃ー！</t>
    <rPh sb="5" eb="7">
      <t>トツゲキ</t>
    </rPh>
    <phoneticPr fontId="10"/>
  </si>
  <si>
    <t>貫通させるよー！</t>
    <rPh sb="0" eb="2">
      <t>カンツウ</t>
    </rPh>
    <phoneticPr fontId="10"/>
  </si>
  <si>
    <t>波にご注意を…</t>
    <rPh sb="0" eb="1">
      <t>ナミ</t>
    </rPh>
    <rPh sb="3" eb="5">
      <t>チュウイ</t>
    </rPh>
    <phoneticPr fontId="10"/>
  </si>
  <si>
    <t>私の脚に抱かれなさい</t>
    <rPh sb="0" eb="1">
      <t>ワタシ</t>
    </rPh>
    <rPh sb="2" eb="3">
      <t>アシ</t>
    </rPh>
    <rPh sb="4" eb="5">
      <t>ダ</t>
    </rPh>
    <phoneticPr fontId="10"/>
  </si>
  <si>
    <t>呑み込みますわ…！</t>
    <rPh sb="0" eb="1">
      <t>ノ</t>
    </rPh>
    <rPh sb="2" eb="3">
      <t>コ</t>
    </rPh>
    <phoneticPr fontId="10"/>
  </si>
  <si>
    <t>もう勝ったつもり！？</t>
    <rPh sb="2" eb="3">
      <t>カ</t>
    </rPh>
    <phoneticPr fontId="10"/>
  </si>
  <si>
    <t>切り札はまだあるわ！</t>
    <rPh sb="0" eb="1">
      <t>キ</t>
    </rPh>
    <rPh sb="2" eb="3">
      <t>フダ</t>
    </rPh>
    <phoneticPr fontId="10"/>
  </si>
  <si>
    <t>どこ見てるの？上よ！</t>
    <rPh sb="2" eb="3">
      <t>ミ</t>
    </rPh>
    <rPh sb="7" eb="8">
      <t>↑</t>
    </rPh>
    <phoneticPr fontId="10"/>
  </si>
  <si>
    <t>力が有り余ってるのよ</t>
    <rPh sb="0" eb="1">
      <t>チカラ</t>
    </rPh>
    <rPh sb="2" eb="3">
      <t>ア</t>
    </rPh>
    <rPh sb="4" eb="5">
      <t>アマ</t>
    </rPh>
    <phoneticPr fontId="10"/>
  </si>
  <si>
    <t>遊び相手に丁度いいわ</t>
    <rPh sb="0" eb="1">
      <t>アソ</t>
    </rPh>
    <rPh sb="2" eb="4">
      <t>アイテ</t>
    </rPh>
    <rPh sb="5" eb="7">
      <t>チョウド</t>
    </rPh>
    <phoneticPr fontId="10"/>
  </si>
  <si>
    <t>震えてる？もう遅いわ</t>
    <rPh sb="0" eb="1">
      <t>フル</t>
    </rPh>
    <rPh sb="7" eb="8">
      <t>オソ</t>
    </rPh>
    <phoneticPr fontId="10"/>
  </si>
  <si>
    <t>狙撃ならまかせて！</t>
    <rPh sb="0" eb="2">
      <t>ソゲキ</t>
    </rPh>
    <phoneticPr fontId="10"/>
  </si>
  <si>
    <t>ボクの姿見えるかな？</t>
    <rPh sb="3" eb="4">
      <t>スガタ</t>
    </rPh>
    <rPh sb="4" eb="5">
      <t>ミ</t>
    </rPh>
    <phoneticPr fontId="10"/>
  </si>
  <si>
    <t>照準OK…撃ちぬく！</t>
    <rPh sb="0" eb="2">
      <t>ショウジュン</t>
    </rPh>
    <rPh sb="5" eb="6">
      <t>ウ</t>
    </rPh>
    <phoneticPr fontId="10"/>
  </si>
  <si>
    <t>まだ終わらんぞ…！</t>
    <rPh sb="2" eb="3">
      <t>オ</t>
    </rPh>
    <phoneticPr fontId="10"/>
  </si>
  <si>
    <t>ちと寒くなるぜ…？</t>
    <rPh sb="2" eb="3">
      <t>サム</t>
    </rPh>
    <phoneticPr fontId="10"/>
  </si>
  <si>
    <t>凍え死ぬなよ…！</t>
    <rPh sb="0" eb="1">
      <t>コゴ</t>
    </rPh>
    <rPh sb="2" eb="3">
      <t>シ</t>
    </rPh>
    <phoneticPr fontId="10"/>
  </si>
  <si>
    <t>血が…沸騰する…！</t>
    <rPh sb="0" eb="1">
      <t>チ</t>
    </rPh>
    <rPh sb="3" eb="5">
      <t>フットウ</t>
    </rPh>
    <phoneticPr fontId="10"/>
  </si>
  <si>
    <t>発火に気をつけな！</t>
    <rPh sb="0" eb="2">
      <t>ハッカ</t>
    </rPh>
    <rPh sb="3" eb="4">
      <t>キ</t>
    </rPh>
    <phoneticPr fontId="10"/>
  </si>
  <si>
    <t>熱いのお見舞いするぜ</t>
    <rPh sb="0" eb="1">
      <t>アツ</t>
    </rPh>
    <rPh sb="4" eb="6">
      <t>ミマ</t>
    </rPh>
    <phoneticPr fontId="10"/>
  </si>
  <si>
    <t>骨まで燃え尽きな！！</t>
    <rPh sb="0" eb="1">
      <t>ホネ</t>
    </rPh>
    <rPh sb="3" eb="4">
      <t>モ</t>
    </rPh>
    <rPh sb="5" eb="6">
      <t>ツ</t>
    </rPh>
    <phoneticPr fontId="10"/>
  </si>
  <si>
    <t>はわ！近寄らないで！</t>
    <rPh sb="3" eb="5">
      <t>チカヨ</t>
    </rPh>
    <phoneticPr fontId="10"/>
  </si>
  <si>
    <t>黄色い花は嫌いよ！</t>
    <rPh sb="0" eb="2">
      <t>キイロ</t>
    </rPh>
    <rPh sb="3" eb="4">
      <t>ハナ</t>
    </rPh>
    <rPh sb="5" eb="6">
      <t>キラ</t>
    </rPh>
    <phoneticPr fontId="10"/>
  </si>
  <si>
    <t>この葉は危ないよ！</t>
    <rPh sb="2" eb="3">
      <t>ハ</t>
    </rPh>
    <rPh sb="4" eb="5">
      <t>アブ</t>
    </rPh>
    <phoneticPr fontId="10"/>
  </si>
  <si>
    <t>熱いのは苦手です…</t>
    <rPh sb="0" eb="1">
      <t>アツ</t>
    </rPh>
    <rPh sb="4" eb="6">
      <t>ニガテ</t>
    </rPh>
    <phoneticPr fontId="10"/>
  </si>
  <si>
    <t>ここは火気厳禁です…</t>
    <rPh sb="3" eb="7">
      <t>カキゲンキン</t>
    </rPh>
    <phoneticPr fontId="10"/>
  </si>
  <si>
    <t>私を怒らせないで…！</t>
    <rPh sb="0" eb="1">
      <t>ワタシ</t>
    </rPh>
    <rPh sb="2" eb="3">
      <t>オコ</t>
    </rPh>
    <phoneticPr fontId="10"/>
  </si>
  <si>
    <t>ほんの小粒です</t>
    <rPh sb="3" eb="5">
      <t>コツブ</t>
    </rPh>
    <phoneticPr fontId="10"/>
  </si>
  <si>
    <t>墜ちなさい！！</t>
    <rPh sb="0" eb="1">
      <t>オ</t>
    </rPh>
    <phoneticPr fontId="10"/>
  </si>
  <si>
    <t>はい、呪いの言葉よ</t>
    <rPh sb="3" eb="4">
      <t>ノロ</t>
    </rPh>
    <rPh sb="6" eb="8">
      <t>コトバ</t>
    </rPh>
    <phoneticPr fontId="10"/>
  </si>
  <si>
    <t>苦しみは終わらないわ</t>
    <rPh sb="0" eb="1">
      <t>クル</t>
    </rPh>
    <rPh sb="4" eb="5">
      <t>オ</t>
    </rPh>
    <phoneticPr fontId="10"/>
  </si>
  <si>
    <t>導いてあげるわ、死へ</t>
    <rPh sb="0" eb="1">
      <t>ミチビ</t>
    </rPh>
    <rPh sb="8" eb="9">
      <t>シ</t>
    </rPh>
    <phoneticPr fontId="10"/>
  </si>
  <si>
    <t>暑い…あっち行って</t>
    <rPh sb="0" eb="1">
      <t>アツ</t>
    </rPh>
    <rPh sb="6" eb="7">
      <t>イ</t>
    </rPh>
    <phoneticPr fontId="10"/>
  </si>
  <si>
    <t>暑苦しいのは嫌いなの</t>
    <rPh sb="0" eb="2">
      <t>アツクル</t>
    </rPh>
    <rPh sb="6" eb="7">
      <t>キラ</t>
    </rPh>
    <phoneticPr fontId="10"/>
  </si>
  <si>
    <t>消火するわ…完全にね</t>
    <rPh sb="0" eb="2">
      <t>ショウカ</t>
    </rPh>
    <rPh sb="6" eb="8">
      <t>カンゼン</t>
    </rPh>
    <phoneticPr fontId="10"/>
  </si>
  <si>
    <t>口数が多すぎるようだ</t>
    <rPh sb="0" eb="2">
      <t>クチカズ</t>
    </rPh>
    <rPh sb="3" eb="4">
      <t>オオ</t>
    </rPh>
    <phoneticPr fontId="10"/>
  </si>
  <si>
    <t>小手先は好かんな</t>
    <rPh sb="0" eb="3">
      <t>コテサキ</t>
    </rPh>
    <rPh sb="4" eb="5">
      <t>ス</t>
    </rPh>
    <phoneticPr fontId="10"/>
  </si>
  <si>
    <t>大人しくしてもらう！</t>
    <rPh sb="0" eb="2">
      <t>オトナ</t>
    </rPh>
    <phoneticPr fontId="10"/>
  </si>
  <si>
    <t>目障りなやつらめ</t>
    <rPh sb="0" eb="2">
      <t>メザワ</t>
    </rPh>
    <phoneticPr fontId="10"/>
  </si>
  <si>
    <t>抵抗するだけ無駄だ</t>
    <rPh sb="0" eb="2">
      <t>テイコウ</t>
    </rPh>
    <rPh sb="6" eb="8">
      <t>ムダ</t>
    </rPh>
    <phoneticPr fontId="10"/>
  </si>
  <si>
    <t>草木一本残さんぞ！！</t>
    <rPh sb="0" eb="2">
      <t>クサキ</t>
    </rPh>
    <rPh sb="2" eb="4">
      <t>イッポン</t>
    </rPh>
    <rPh sb="4" eb="5">
      <t>ノコ</t>
    </rPh>
    <phoneticPr fontId="10"/>
  </si>
  <si>
    <t>震えちゃってカワイイ</t>
    <rPh sb="0" eb="1">
      <t>フル</t>
    </rPh>
    <phoneticPr fontId="10"/>
  </si>
  <si>
    <t>蛇きらい？ふーん</t>
    <rPh sb="0" eb="1">
      <t>ヘビ</t>
    </rPh>
    <phoneticPr fontId="10"/>
  </si>
  <si>
    <t>執行します！</t>
    <rPh sb="0" eb="2">
      <t>シッコウ</t>
    </rPh>
    <phoneticPr fontId="10"/>
  </si>
  <si>
    <t>邪魔はさせません！</t>
    <rPh sb="0" eb="2">
      <t>ジャマ</t>
    </rPh>
    <phoneticPr fontId="10"/>
  </si>
  <si>
    <t>外しませんよ！</t>
    <rPh sb="0" eb="1">
      <t>ハズ</t>
    </rPh>
    <phoneticPr fontId="10"/>
  </si>
  <si>
    <t>よそ見は危険よ！</t>
    <rPh sb="2" eb="3">
      <t>ミ</t>
    </rPh>
    <rPh sb="4" eb="6">
      <t>キケン</t>
    </rPh>
    <phoneticPr fontId="10"/>
  </si>
  <si>
    <t>ほらそこ！ガラ空き！</t>
    <rPh sb="7" eb="8">
      <t>ア</t>
    </rPh>
    <phoneticPr fontId="10"/>
  </si>
  <si>
    <t>反抗期は認めません！</t>
    <rPh sb="0" eb="3">
      <t>ハンコウキ</t>
    </rPh>
    <rPh sb="4" eb="5">
      <t>ミト</t>
    </rPh>
    <phoneticPr fontId="10"/>
  </si>
  <si>
    <t>お前ら邪魔だぁぁ！！</t>
    <rPh sb="1" eb="2">
      <t>マエ</t>
    </rPh>
    <rPh sb="3" eb="5">
      <t>ジャマ</t>
    </rPh>
    <phoneticPr fontId="10"/>
  </si>
  <si>
    <t>蒸発しやがれぇぇ！</t>
    <rPh sb="0" eb="2">
      <t>ジョウハツ</t>
    </rPh>
    <phoneticPr fontId="10"/>
  </si>
  <si>
    <t>私も加勢いたします！</t>
    <rPh sb="0" eb="1">
      <t>ワタシ</t>
    </rPh>
    <rPh sb="2" eb="4">
      <t>♂</t>
    </rPh>
    <phoneticPr fontId="10"/>
  </si>
  <si>
    <t>咲かせてみせます！</t>
    <rPh sb="0" eb="1">
      <t>サ</t>
    </rPh>
    <phoneticPr fontId="10"/>
  </si>
  <si>
    <t>最大出力まいります！</t>
    <rPh sb="0" eb="4">
      <t>サイダイシュツリョク</t>
    </rPh>
    <phoneticPr fontId="10"/>
  </si>
  <si>
    <t>利用価値はある…</t>
    <rPh sb="0" eb="4">
      <t>リヨウカチ</t>
    </rPh>
    <phoneticPr fontId="10"/>
  </si>
  <si>
    <t>一石二鳥というやつ…</t>
    <rPh sb="0" eb="4">
      <t>イッセキニチョウ</t>
    </rPh>
    <phoneticPr fontId="10"/>
  </si>
  <si>
    <t>攻撃…癒すあなたを</t>
    <rPh sb="0" eb="2">
      <t>コウゲキ</t>
    </rPh>
    <rPh sb="3" eb="4">
      <t>イヤ</t>
    </rPh>
    <phoneticPr fontId="10"/>
  </si>
  <si>
    <t>破壊対象、ロックっ！</t>
    <rPh sb="0" eb="4">
      <t>ハカイタイショウ</t>
    </rPh>
    <phoneticPr fontId="10"/>
  </si>
  <si>
    <t>全域ですね！了解っ！</t>
    <rPh sb="0" eb="2">
      <t>ゼンイキ</t>
    </rPh>
    <rPh sb="6" eb="8">
      <t>リョウカイ</t>
    </rPh>
    <phoneticPr fontId="10"/>
  </si>
  <si>
    <t>全体破壊オーライっ！</t>
    <rPh sb="0" eb="2">
      <t>ゼンタイ</t>
    </rPh>
    <rPh sb="2" eb="4">
      <t>ハカイ</t>
    </rPh>
    <phoneticPr fontId="10"/>
  </si>
  <si>
    <t>欲望こそが私の力</t>
    <rPh sb="0" eb="2">
      <t>ヨクボウ</t>
    </rPh>
    <rPh sb="5" eb="6">
      <t>ワタシ</t>
    </rPh>
    <rPh sb="7" eb="8">
      <t>チカラ</t>
    </rPh>
    <phoneticPr fontId="10"/>
  </si>
  <si>
    <t>私は奪う側なのよね</t>
    <rPh sb="0" eb="1">
      <t>ワタシ</t>
    </rPh>
    <rPh sb="2" eb="3">
      <t>ウバ</t>
    </rPh>
    <rPh sb="4" eb="5">
      <t>ガワ</t>
    </rPh>
    <phoneticPr fontId="10"/>
  </si>
  <si>
    <t>すべて奪い尽くすわ！</t>
    <rPh sb="3" eb="4">
      <t>ウバ</t>
    </rPh>
    <rPh sb="5" eb="6">
      <t>ツ</t>
    </rPh>
    <phoneticPr fontId="10"/>
  </si>
  <si>
    <t>睡眠の邪魔〜！</t>
    <rPh sb="0" eb="2">
      <t>スイミン</t>
    </rPh>
    <rPh sb="3" eb="5">
      <t>ジャマ</t>
    </rPh>
    <phoneticPr fontId="10"/>
  </si>
  <si>
    <t>うるさくて眠れない！</t>
    <rPh sb="5" eb="6">
      <t>ネム</t>
    </rPh>
    <phoneticPr fontId="10"/>
  </si>
  <si>
    <t>目標アイツ！撃て〜！</t>
    <rPh sb="0" eb="2">
      <t>モクヒョウ</t>
    </rPh>
    <rPh sb="6" eb="7">
      <t>ウ</t>
    </rPh>
    <phoneticPr fontId="10"/>
  </si>
  <si>
    <t>もう、興奮しちゃって</t>
    <rPh sb="3" eb="5">
      <t>コウフン</t>
    </rPh>
    <phoneticPr fontId="10"/>
  </si>
  <si>
    <t>思いっきり苦しんで？</t>
    <rPh sb="0" eb="1">
      <t>オモ</t>
    </rPh>
    <rPh sb="5" eb="6">
      <t>クル</t>
    </rPh>
    <phoneticPr fontId="10"/>
  </si>
  <si>
    <t>軽く一閃といくわね！</t>
    <rPh sb="0" eb="1">
      <t>カル</t>
    </rPh>
    <rPh sb="2" eb="4">
      <t>イッセン</t>
    </rPh>
    <phoneticPr fontId="10"/>
  </si>
  <si>
    <t>抜け出せないわよ！</t>
    <rPh sb="0" eb="1">
      <t>ヌ</t>
    </rPh>
    <rPh sb="2" eb="3">
      <t>ダ</t>
    </rPh>
    <phoneticPr fontId="10"/>
  </si>
  <si>
    <t>目覚めたわ…邪龍が！</t>
    <rPh sb="0" eb="2">
      <t>メザ</t>
    </rPh>
    <rPh sb="6" eb="7">
      <t>ジャリュウ</t>
    </rPh>
    <rPh sb="7" eb="8">
      <t>リュウ</t>
    </rPh>
    <phoneticPr fontId="10"/>
  </si>
  <si>
    <t>癒えぬ傷を！</t>
    <rPh sb="0" eb="1">
      <t>イ</t>
    </rPh>
    <rPh sb="3" eb="4">
      <t>キズ</t>
    </rPh>
    <phoneticPr fontId="10"/>
  </si>
  <si>
    <t>鼓膜を裂いてあげる！</t>
    <rPh sb="0" eb="2">
      <t>コマク</t>
    </rPh>
    <rPh sb="3" eb="4">
      <t>サ</t>
    </rPh>
    <phoneticPr fontId="10"/>
  </si>
  <si>
    <t>突破させてもらおうか</t>
    <rPh sb="0" eb="2">
      <t>トッパ</t>
    </rPh>
    <phoneticPr fontId="10"/>
  </si>
  <si>
    <t>止められるものか！</t>
    <rPh sb="0" eb="1">
      <t>ト</t>
    </rPh>
    <phoneticPr fontId="10"/>
  </si>
  <si>
    <t>野次は嫌いでしてね</t>
    <rPh sb="0" eb="2">
      <t>ヤジ</t>
    </rPh>
    <rPh sb="3" eb="4">
      <t>キラ</t>
    </rPh>
    <phoneticPr fontId="10"/>
  </si>
  <si>
    <t>しばしお黙りください</t>
    <rPh sb="4" eb="5">
      <t>ダマ</t>
    </rPh>
    <phoneticPr fontId="10"/>
  </si>
  <si>
    <t>隙だらけじゃねぇか！</t>
    <rPh sb="0" eb="1">
      <t>スキ</t>
    </rPh>
    <phoneticPr fontId="10"/>
  </si>
  <si>
    <t>そら！活目しやがれ！</t>
    <rPh sb="3" eb="5">
      <t>カツモク</t>
    </rPh>
    <phoneticPr fontId="10"/>
  </si>
  <si>
    <t>既に四方は囲んだ！</t>
    <rPh sb="0" eb="1">
      <t>スデ</t>
    </rPh>
    <rPh sb="2" eb="4">
      <t>シホウ</t>
    </rPh>
    <rPh sb="5" eb="6">
      <t>カコ</t>
    </rPh>
    <phoneticPr fontId="10"/>
  </si>
  <si>
    <t>狩るのは私だよ！</t>
    <rPh sb="0" eb="1">
      <t>カ</t>
    </rPh>
    <rPh sb="4" eb="5">
      <t>ワタシ</t>
    </rPh>
    <phoneticPr fontId="10"/>
  </si>
  <si>
    <t>獲物は逃がさない！</t>
    <rPh sb="0" eb="2">
      <t>エモノ</t>
    </rPh>
    <rPh sb="3" eb="4">
      <t>ニ</t>
    </rPh>
    <phoneticPr fontId="10"/>
  </si>
  <si>
    <t>催眠術は知ってるかい</t>
    <rPh sb="0" eb="2">
      <t>サイミンコウカ</t>
    </rPh>
    <rPh sb="2" eb="3">
      <t>ジュツ</t>
    </rPh>
    <rPh sb="4" eb="5">
      <t>シ</t>
    </rPh>
    <phoneticPr fontId="10"/>
  </si>
  <si>
    <t>大丈夫、痛くないさ</t>
    <rPh sb="0" eb="3">
      <t>ダイジョウブ</t>
    </rPh>
    <rPh sb="4" eb="5">
      <t>イタ</t>
    </rPh>
    <phoneticPr fontId="10"/>
  </si>
  <si>
    <t>安らかな顔が見たいね</t>
    <rPh sb="0" eb="1">
      <t>ヤス</t>
    </rPh>
    <rPh sb="4" eb="5">
      <t>カオ</t>
    </rPh>
    <rPh sb="6" eb="7">
      <t>ミ</t>
    </rPh>
    <phoneticPr fontId="10"/>
  </si>
  <si>
    <t>こいつぁ重いぜ？</t>
    <rPh sb="4" eb="5">
      <t>オモ</t>
    </rPh>
    <phoneticPr fontId="10"/>
  </si>
  <si>
    <t>受け止めてみやがれ！</t>
    <rPh sb="0" eb="1">
      <t>ウ</t>
    </rPh>
    <rPh sb="2" eb="3">
      <t>ト</t>
    </rPh>
    <phoneticPr fontId="10"/>
  </si>
  <si>
    <t>かっ飛ばしてやるぜ！</t>
    <rPh sb="2" eb="3">
      <t>ト</t>
    </rPh>
    <phoneticPr fontId="10"/>
  </si>
  <si>
    <t>役に立たなきゃ！</t>
    <rPh sb="0" eb="1">
      <t>ヤク</t>
    </rPh>
    <rPh sb="2" eb="3">
      <t>タ</t>
    </rPh>
    <phoneticPr fontId="10"/>
  </si>
  <si>
    <t>遠くまで飛んでいけ！</t>
    <rPh sb="0" eb="1">
      <t>トオ</t>
    </rPh>
    <rPh sb="4" eb="5">
      <t>ト</t>
    </rPh>
    <phoneticPr fontId="10"/>
  </si>
  <si>
    <t>粉々にしなきゃ！</t>
    <rPh sb="0" eb="2">
      <t>コナゴナ</t>
    </rPh>
    <phoneticPr fontId="10"/>
  </si>
  <si>
    <t>近づけるとでも？</t>
    <rPh sb="0" eb="1">
      <t>チカ</t>
    </rPh>
    <phoneticPr fontId="10"/>
  </si>
  <si>
    <t>なんと愚かな…</t>
    <rPh sb="3" eb="4">
      <t>オロ</t>
    </rPh>
    <phoneticPr fontId="10"/>
  </si>
  <si>
    <t>器が違うのです…！！</t>
    <rPh sb="0" eb="1">
      <t>ウツワ</t>
    </rPh>
    <rPh sb="2" eb="3">
      <t>チガ</t>
    </rPh>
    <phoneticPr fontId="10"/>
  </si>
  <si>
    <t>ブル！近づくなブル！</t>
    <rPh sb="3" eb="4">
      <t>チカ</t>
    </rPh>
    <phoneticPr fontId="10"/>
  </si>
  <si>
    <t>吹き荒れるブル！</t>
    <rPh sb="0" eb="1">
      <t>フ</t>
    </rPh>
    <rPh sb="2" eb="3">
      <t>ア</t>
    </rPh>
    <phoneticPr fontId="10"/>
  </si>
  <si>
    <t>刺すぞケキャキャ！</t>
    <rPh sb="0" eb="1">
      <t>サ</t>
    </rPh>
    <phoneticPr fontId="10"/>
  </si>
  <si>
    <t>ケキャ！動物ヤダ！</t>
    <rPh sb="4" eb="6">
      <t>ドウブツ</t>
    </rPh>
    <phoneticPr fontId="10"/>
  </si>
  <si>
    <t>フムゥ、少し揺れるぞ</t>
    <rPh sb="4" eb="5">
      <t>スコ</t>
    </rPh>
    <rPh sb="6" eb="7">
      <t>ユ</t>
    </rPh>
    <phoneticPr fontId="10"/>
  </si>
  <si>
    <t>派手に弾けろ！</t>
    <rPh sb="0" eb="2">
      <t>ハデ</t>
    </rPh>
    <rPh sb="3" eb="4">
      <t>ハジ</t>
    </rPh>
    <phoneticPr fontId="10"/>
  </si>
  <si>
    <t>貧弱な！ハッハァー！</t>
    <rPh sb="0" eb="2">
      <t>ヒンジャク</t>
    </rPh>
    <phoneticPr fontId="10"/>
  </si>
  <si>
    <t>無礼者どもめ！散れ！</t>
    <rPh sb="0" eb="3">
      <t>ブレイモノ</t>
    </rPh>
    <rPh sb="7" eb="8">
      <t>チ</t>
    </rPh>
    <phoneticPr fontId="10"/>
  </si>
  <si>
    <t>これはほんの挨拶よ</t>
    <rPh sb="6" eb="8">
      <t>アイサツ</t>
    </rPh>
    <phoneticPr fontId="10"/>
  </si>
  <si>
    <t>いたぶるのって大好き</t>
    <rPh sb="7" eb="9">
      <t>ダイス</t>
    </rPh>
    <phoneticPr fontId="10"/>
  </si>
  <si>
    <t>フフ、遊んであげるわ</t>
    <rPh sb="3" eb="4">
      <t>アソ</t>
    </rPh>
    <phoneticPr fontId="10"/>
  </si>
  <si>
    <t>ガードなんて無駄！！</t>
    <rPh sb="6" eb="8">
      <t>ムダ</t>
    </rPh>
    <phoneticPr fontId="10"/>
  </si>
  <si>
    <t>叩き潰すと言ってる！</t>
    <rPh sb="0" eb="1">
      <t>タタ</t>
    </rPh>
    <rPh sb="2" eb="3">
      <t>ツブ</t>
    </rPh>
    <rPh sb="5" eb="6">
      <t>イ</t>
    </rPh>
    <phoneticPr fontId="10"/>
  </si>
  <si>
    <t>間違いなくブっ壊す！</t>
    <rPh sb="0" eb="2">
      <t>マチガ</t>
    </rPh>
    <rPh sb="7" eb="8">
      <t>コワ</t>
    </rPh>
    <phoneticPr fontId="10"/>
  </si>
  <si>
    <t>悲鳴が好物でな</t>
    <rPh sb="0" eb="2">
      <t>ヒメイ</t>
    </rPh>
    <rPh sb="3" eb="5">
      <t>コウブツ</t>
    </rPh>
    <phoneticPr fontId="10"/>
  </si>
  <si>
    <t>お前は美味そうだな？</t>
    <rPh sb="1" eb="2">
      <t>マエ</t>
    </rPh>
    <rPh sb="3" eb="5">
      <t>ウマ</t>
    </rPh>
    <phoneticPr fontId="10"/>
  </si>
  <si>
    <t>腹ごしらえとするか</t>
    <rPh sb="0" eb="1">
      <t>ハラ</t>
    </rPh>
    <phoneticPr fontId="10"/>
  </si>
  <si>
    <t>目障りだ家畜ども！</t>
    <rPh sb="0" eb="2">
      <t>メザワ</t>
    </rPh>
    <rPh sb="4" eb="6">
      <t>カチク</t>
    </rPh>
    <phoneticPr fontId="10"/>
  </si>
  <si>
    <t>根絶やしにしてやろう</t>
    <rPh sb="0" eb="2">
      <t>ネダ</t>
    </rPh>
    <phoneticPr fontId="10"/>
  </si>
  <si>
    <t>貴様らに未来など無い</t>
    <rPh sb="0" eb="2">
      <t>キサマ</t>
    </rPh>
    <rPh sb="4" eb="6">
      <t>ミライ</t>
    </rPh>
    <rPh sb="8" eb="9">
      <t>ナ</t>
    </rPh>
    <phoneticPr fontId="10"/>
  </si>
  <si>
    <t>逃げないで！燃えて！</t>
    <rPh sb="0" eb="1">
      <t>ニ</t>
    </rPh>
    <rPh sb="6" eb="7">
      <t>モ</t>
    </rPh>
    <phoneticPr fontId="10"/>
  </si>
  <si>
    <t>全部焼けてほしいの！</t>
    <rPh sb="0" eb="2">
      <t>ゼンブ</t>
    </rPh>
    <rPh sb="2" eb="3">
      <t>ヤ</t>
    </rPh>
    <phoneticPr fontId="10"/>
  </si>
  <si>
    <t>ちょっとした実験だ…</t>
    <rPh sb="6" eb="8">
      <t>ジッケン</t>
    </rPh>
    <phoneticPr fontId="10"/>
  </si>
  <si>
    <t>致死量を調べねばな</t>
    <rPh sb="0" eb="3">
      <t>チシリョウ</t>
    </rPh>
    <rPh sb="4" eb="5">
      <t>シラ</t>
    </rPh>
    <phoneticPr fontId="10"/>
  </si>
  <si>
    <t>お願い！黙っててッ！</t>
    <rPh sb="1" eb="2">
      <t>ネガ</t>
    </rPh>
    <rPh sb="4" eb="5">
      <t>ダマ</t>
    </rPh>
    <phoneticPr fontId="10"/>
  </si>
  <si>
    <t>声…出せないでしょ？</t>
    <rPh sb="0" eb="1">
      <t>コエ</t>
    </rPh>
    <rPh sb="2" eb="3">
      <t>ダ</t>
    </rPh>
    <phoneticPr fontId="10"/>
  </si>
  <si>
    <t>痺れ死んじゃうかも♪</t>
    <rPh sb="0" eb="1">
      <t>シビ</t>
    </rPh>
    <rPh sb="2" eb="3">
      <t>シ</t>
    </rPh>
    <phoneticPr fontId="10"/>
  </si>
  <si>
    <t>拳がうずいてる！</t>
    <rPh sb="0" eb="1">
      <t>コブシ</t>
    </rPh>
    <phoneticPr fontId="10"/>
  </si>
  <si>
    <t>そのケンカ買った！</t>
    <rPh sb="5" eb="6">
      <t>カ</t>
    </rPh>
    <phoneticPr fontId="10"/>
  </si>
  <si>
    <t>内蔵ごと焼き壊す！！</t>
    <rPh sb="0" eb="2">
      <t>ナイゾウ</t>
    </rPh>
    <rPh sb="4" eb="5">
      <t>ヤ</t>
    </rPh>
    <rPh sb="6" eb="7">
      <t>コワ</t>
    </rPh>
    <phoneticPr fontId="10"/>
  </si>
  <si>
    <t>面白い本があるのよ？</t>
    <rPh sb="0" eb="2">
      <t>オモシロ</t>
    </rPh>
    <rPh sb="3" eb="4">
      <t>ホン</t>
    </rPh>
    <phoneticPr fontId="10"/>
  </si>
  <si>
    <t>イラッと来たわ</t>
    <rPh sb="4" eb="5">
      <t>キ</t>
    </rPh>
    <phoneticPr fontId="10"/>
  </si>
  <si>
    <t>どうなっても知らない</t>
    <rPh sb="6" eb="7">
      <t>シ</t>
    </rPh>
    <phoneticPr fontId="10"/>
  </si>
  <si>
    <t>タンパク質不足だっ！</t>
    <rPh sb="0" eb="5">
      <t>タン</t>
    </rPh>
    <rPh sb="5" eb="7">
      <t>ブソク</t>
    </rPh>
    <phoneticPr fontId="10"/>
  </si>
  <si>
    <t>噛み付いていい？</t>
    <rPh sb="0" eb="1">
      <t>カ</t>
    </rPh>
    <rPh sb="2" eb="3">
      <t>ツ</t>
    </rPh>
    <phoneticPr fontId="10"/>
  </si>
  <si>
    <t>神に代わって裁く！</t>
    <rPh sb="0" eb="1">
      <t>カミ</t>
    </rPh>
    <rPh sb="2" eb="3">
      <t>カ</t>
    </rPh>
    <rPh sb="6" eb="7">
      <t>サバ</t>
    </rPh>
    <phoneticPr fontId="10"/>
  </si>
  <si>
    <t>祝福をこの手に！</t>
    <rPh sb="0" eb="2">
      <t>シュクフク</t>
    </rPh>
    <rPh sb="5" eb="6">
      <t>テ</t>
    </rPh>
    <phoneticPr fontId="10"/>
  </si>
  <si>
    <t>皆、私を信じてくれ！</t>
    <rPh sb="0" eb="1">
      <t>ミンナ</t>
    </rPh>
    <rPh sb="2" eb="3">
      <t>ワタシ</t>
    </rPh>
    <rPh sb="4" eb="5">
      <t>シン</t>
    </rPh>
    <phoneticPr fontId="10"/>
  </si>
  <si>
    <t>ぜんぶお見通しだよ！</t>
    <rPh sb="4" eb="6">
      <t>ミトオ</t>
    </rPh>
    <phoneticPr fontId="10"/>
  </si>
  <si>
    <t>ほらほらー遅いよー！</t>
    <rPh sb="5" eb="6">
      <t>オソ</t>
    </rPh>
    <phoneticPr fontId="10"/>
  </si>
  <si>
    <t>頭の作りがちがうの！</t>
    <rPh sb="0" eb="1">
      <t>アタマ</t>
    </rPh>
    <rPh sb="2" eb="3">
      <t>ツク</t>
    </rPh>
    <phoneticPr fontId="10"/>
  </si>
  <si>
    <t>アイディアが溢れるぅ</t>
    <rPh sb="6" eb="7">
      <t>アフ</t>
    </rPh>
    <phoneticPr fontId="10"/>
  </si>
  <si>
    <t>んもぅ…邪魔だなぁ〜</t>
    <rPh sb="4" eb="6">
      <t>ジャマ</t>
    </rPh>
    <phoneticPr fontId="10"/>
  </si>
  <si>
    <t>閃いちゃったよぉ〜</t>
    <rPh sb="0" eb="1">
      <t>ヒラメ</t>
    </rPh>
    <phoneticPr fontId="10"/>
  </si>
  <si>
    <t>斬り伏せるッ…！</t>
    <rPh sb="0" eb="2">
      <t>🌁</t>
    </rPh>
    <rPh sb="2" eb="3">
      <t>フ</t>
    </rPh>
    <phoneticPr fontId="10"/>
  </si>
  <si>
    <t>御免…！</t>
    <rPh sb="0" eb="2">
      <t>ゴメン</t>
    </rPh>
    <phoneticPr fontId="10"/>
  </si>
  <si>
    <t>我らの邪魔はさせん！</t>
    <rPh sb="0" eb="1">
      <t>ワレ</t>
    </rPh>
    <rPh sb="3" eb="5">
      <t>ジャマ</t>
    </rPh>
    <phoneticPr fontId="10"/>
  </si>
  <si>
    <t>斬れぬものなどない！</t>
    <rPh sb="0" eb="1">
      <t>キ</t>
    </rPh>
    <phoneticPr fontId="10"/>
  </si>
  <si>
    <t>私の剣は無限！</t>
    <rPh sb="0" eb="1">
      <t>ワタシ</t>
    </rPh>
    <rPh sb="2" eb="3">
      <t>ケン</t>
    </rPh>
    <rPh sb="4" eb="6">
      <t>ムゲン</t>
    </rPh>
    <phoneticPr fontId="10"/>
  </si>
  <si>
    <t>隠れたつもりですか？</t>
    <rPh sb="0" eb="1">
      <t>カク</t>
    </rPh>
    <phoneticPr fontId="10"/>
  </si>
  <si>
    <t>死んだ気になれば…！</t>
    <rPh sb="0" eb="1">
      <t>シ</t>
    </rPh>
    <rPh sb="3" eb="4">
      <t>キ</t>
    </rPh>
    <phoneticPr fontId="10"/>
  </si>
  <si>
    <t>最期まで勝機はある！</t>
    <rPh sb="0" eb="2">
      <t>サイゴ</t>
    </rPh>
    <rPh sb="4" eb="6">
      <t>ショウキ</t>
    </rPh>
    <phoneticPr fontId="10"/>
  </si>
  <si>
    <t>倒れていられないの！</t>
    <rPh sb="0" eb="1">
      <t>タオ</t>
    </rPh>
    <phoneticPr fontId="10"/>
  </si>
  <si>
    <t>屍になるのは早いか</t>
    <rPh sb="0" eb="1">
      <t>シカバネ</t>
    </rPh>
    <rPh sb="6" eb="7">
      <t>ハヤ</t>
    </rPh>
    <phoneticPr fontId="10"/>
  </si>
  <si>
    <t>めでたい奴らだな</t>
    <rPh sb="4" eb="5">
      <t>ヤツ</t>
    </rPh>
    <phoneticPr fontId="10"/>
  </si>
  <si>
    <t>ほら、冥土の土産だ</t>
    <rPh sb="3" eb="5">
      <t>メイド</t>
    </rPh>
    <rPh sb="6" eb="8">
      <t>ミヤゲ</t>
    </rPh>
    <phoneticPr fontId="10"/>
  </si>
  <si>
    <t>弾なら無尽蔵さ！</t>
    <rPh sb="0" eb="1">
      <t>タマ</t>
    </rPh>
    <rPh sb="3" eb="6">
      <t>ムジンゾウ</t>
    </rPh>
    <phoneticPr fontId="10"/>
  </si>
  <si>
    <t>腕一本で相手だよ！</t>
    <rPh sb="0" eb="3">
      <t>ウデイッポン</t>
    </rPh>
    <rPh sb="4" eb="6">
      <t>アイテ</t>
    </rPh>
    <phoneticPr fontId="10"/>
  </si>
  <si>
    <t>十分熱したからさ…！</t>
    <rPh sb="0" eb="2">
      <t>ジュウブン</t>
    </rPh>
    <rPh sb="2" eb="3">
      <t>ネッ</t>
    </rPh>
    <phoneticPr fontId="10"/>
  </si>
  <si>
    <t>全員そこに並びなさい</t>
    <rPh sb="0" eb="2">
      <t>ゼンイン</t>
    </rPh>
    <rPh sb="5" eb="6">
      <t>ナラ</t>
    </rPh>
    <phoneticPr fontId="10"/>
  </si>
  <si>
    <t>maru</t>
    <phoneticPr fontId="10"/>
  </si>
  <si>
    <t>耐えてごらんなさい</t>
    <rPh sb="0" eb="1">
      <t>タ</t>
    </rPh>
    <phoneticPr fontId="10"/>
  </si>
  <si>
    <t>手加減できないのよね</t>
    <rPh sb="0" eb="3">
      <t>テカゲン</t>
    </rPh>
    <phoneticPr fontId="10"/>
  </si>
  <si>
    <t>ぎゅってしてあげる♪</t>
    <phoneticPr fontId="10"/>
  </si>
  <si>
    <t>人間って可愛いぃ♪</t>
    <rPh sb="0" eb="2">
      <t>ニンゲン</t>
    </rPh>
    <rPh sb="4" eb="6">
      <t>カワイ</t>
    </rPh>
    <phoneticPr fontId="10"/>
  </si>
  <si>
    <t>激しいのが好きなの♪</t>
    <rPh sb="0" eb="1">
      <t>ハゲ</t>
    </rPh>
    <rPh sb="5" eb="6">
      <t>ス</t>
    </rPh>
    <phoneticPr fontId="10"/>
  </si>
  <si>
    <t>ほーら呑んで呑んでぇ</t>
    <rPh sb="3" eb="4">
      <t>ノ</t>
    </rPh>
    <rPh sb="6" eb="7">
      <t>ノ</t>
    </rPh>
    <phoneticPr fontId="10"/>
  </si>
  <si>
    <t>気持よくなってきたぁ</t>
    <rPh sb="0" eb="2">
      <t>キモチ</t>
    </rPh>
    <phoneticPr fontId="10"/>
  </si>
  <si>
    <t>とっておきのお酒よぉ</t>
    <rPh sb="7" eb="8">
      <t>サケ</t>
    </rPh>
    <phoneticPr fontId="10"/>
  </si>
  <si>
    <t>大雨注意報だよっ！</t>
    <phoneticPr fontId="10"/>
  </si>
  <si>
    <t>水浸しだよ！全員ね！</t>
    <rPh sb="0" eb="2">
      <t>ミズビタ</t>
    </rPh>
    <rPh sb="6" eb="8">
      <t>ゼンイン</t>
    </rPh>
    <phoneticPr fontId="10"/>
  </si>
  <si>
    <t>傘が無い？そりゃ残念</t>
    <rPh sb="0" eb="1">
      <t>カサ</t>
    </rPh>
    <rPh sb="2" eb="3">
      <t>ナ</t>
    </rPh>
    <rPh sb="8" eb="10">
      <t>ザンネン</t>
    </rPh>
    <phoneticPr fontId="10"/>
  </si>
  <si>
    <t>ふぁいと！ふぁいと！</t>
    <phoneticPr fontId="10"/>
  </si>
  <si>
    <t>勝てたらご褒美あげる</t>
    <rPh sb="0" eb="1">
      <t>カ</t>
    </rPh>
    <rPh sb="5" eb="7">
      <t>ホウビ</t>
    </rPh>
    <phoneticPr fontId="10"/>
  </si>
  <si>
    <t>養分になんなさい！</t>
    <rPh sb="0" eb="2">
      <t>ヨウブン</t>
    </rPh>
    <phoneticPr fontId="10"/>
  </si>
  <si>
    <t>咲かせてみせる！</t>
    <rPh sb="0" eb="1">
      <t>サ</t>
    </rPh>
    <phoneticPr fontId="10"/>
  </si>
  <si>
    <t>まだ飛べるはず！</t>
    <rPh sb="2" eb="3">
      <t>ト</t>
    </rPh>
    <phoneticPr fontId="10"/>
  </si>
  <si>
    <t>掻っ切ってやるぜ</t>
    <rPh sb="0" eb="1">
      <t>カ</t>
    </rPh>
    <rPh sb="2" eb="3">
      <t>キ</t>
    </rPh>
    <phoneticPr fontId="10"/>
  </si>
  <si>
    <t>その影いただくぜ</t>
    <rPh sb="2" eb="3">
      <t>カゲ</t>
    </rPh>
    <phoneticPr fontId="10"/>
  </si>
  <si>
    <t>ワニの飯にしてやんぜ</t>
    <rPh sb="3" eb="4">
      <t>メシ</t>
    </rPh>
    <phoneticPr fontId="10"/>
  </si>
  <si>
    <t>これでも城主なのよね</t>
    <rPh sb="4" eb="6">
      <t>ジョウシュ</t>
    </rPh>
    <phoneticPr fontId="10"/>
  </si>
  <si>
    <t>沈みなさい無礼者！</t>
    <rPh sb="0" eb="1">
      <t>シズ</t>
    </rPh>
    <rPh sb="5" eb="8">
      <t>ブレイモノ</t>
    </rPh>
    <phoneticPr fontId="10"/>
  </si>
  <si>
    <t>洗い流してあげるわ！</t>
    <rPh sb="0" eb="1">
      <t>アラ</t>
    </rPh>
    <rPh sb="2" eb="3">
      <t>ナガ</t>
    </rPh>
    <phoneticPr fontId="10"/>
  </si>
  <si>
    <t>子どもじゃないもん！</t>
    <rPh sb="0" eb="1">
      <t>コ</t>
    </rPh>
    <phoneticPr fontId="10"/>
  </si>
  <si>
    <t>たっぐ攻撃いくよー！</t>
    <rPh sb="3" eb="5">
      <t>コウゲキ</t>
    </rPh>
    <phoneticPr fontId="10"/>
  </si>
  <si>
    <t>私に近づかないことね</t>
    <phoneticPr fontId="10"/>
  </si>
  <si>
    <t>聞こえる？闇の咆哮が</t>
    <rPh sb="0" eb="1">
      <t>キ</t>
    </rPh>
    <rPh sb="5" eb="6">
      <t>ヤミ</t>
    </rPh>
    <rPh sb="7" eb="9">
      <t>ホウコウ</t>
    </rPh>
    <phoneticPr fontId="10"/>
  </si>
  <si>
    <t>私たちの邪魔しないで</t>
    <rPh sb="0" eb="1">
      <t>ワタシ</t>
    </rPh>
    <rPh sb="4" eb="6">
      <t>ジャマ</t>
    </rPh>
    <phoneticPr fontId="10"/>
  </si>
  <si>
    <t>失礼な方々ですね…</t>
    <rPh sb="0" eb="2">
      <t>シツレイ</t>
    </rPh>
    <rPh sb="3" eb="5">
      <t>カタガタ</t>
    </rPh>
    <phoneticPr fontId="10"/>
  </si>
  <si>
    <t>怒らせないで…ね</t>
    <rPh sb="0" eb="1">
      <t>オコ</t>
    </rPh>
    <phoneticPr fontId="10"/>
  </si>
  <si>
    <t>お手合わせ願おうか…</t>
    <rPh sb="1" eb="3">
      <t>テア</t>
    </rPh>
    <rPh sb="5" eb="6">
      <t>ネガ</t>
    </rPh>
    <phoneticPr fontId="10"/>
  </si>
  <si>
    <t>少し…楽しくなってきた</t>
    <rPh sb="0" eb="1">
      <t>スコ</t>
    </rPh>
    <rPh sb="3" eb="4">
      <t>タノ</t>
    </rPh>
    <phoneticPr fontId="10"/>
  </si>
  <si>
    <t>執行する、一瞬でな</t>
    <rPh sb="0" eb="2">
      <t>シッコウ</t>
    </rPh>
    <rPh sb="5" eb="7">
      <t>イッシュン</t>
    </rPh>
    <phoneticPr fontId="10"/>
  </si>
  <si>
    <t>脆弱だな機械ってのは</t>
    <rPh sb="0" eb="2">
      <t>ゼイジャクセイ</t>
    </rPh>
    <rPh sb="4" eb="6">
      <t>キカイ</t>
    </rPh>
    <phoneticPr fontId="10"/>
  </si>
  <si>
    <t>全部オレの手の内だぜ</t>
    <rPh sb="0" eb="2">
      <t>ゼンブ</t>
    </rPh>
    <rPh sb="5" eb="6">
      <t>テ</t>
    </rPh>
    <rPh sb="7" eb="8">
      <t>ウチ</t>
    </rPh>
    <phoneticPr fontId="10"/>
  </si>
  <si>
    <t>壊れなガラクタども！</t>
    <rPh sb="0" eb="1">
      <t>コワ</t>
    </rPh>
    <phoneticPr fontId="10"/>
  </si>
  <si>
    <t>ったく…手の焼ける</t>
    <rPh sb="4" eb="5">
      <t>テ</t>
    </rPh>
    <rPh sb="6" eb="7">
      <t>ヤ</t>
    </rPh>
    <phoneticPr fontId="10"/>
  </si>
  <si>
    <t>助けるわけじゃねぇ！</t>
    <rPh sb="0" eb="1">
      <t>タス</t>
    </rPh>
    <phoneticPr fontId="10"/>
  </si>
  <si>
    <t>この貸しは高くつくぜ</t>
    <rPh sb="2" eb="3">
      <t>カ</t>
    </rPh>
    <rPh sb="5" eb="6">
      <t>タカ</t>
    </rPh>
    <phoneticPr fontId="10"/>
  </si>
  <si>
    <t>甘いの分けてあげるね</t>
    <rPh sb="0" eb="1">
      <t>アマ</t>
    </rPh>
    <rPh sb="3" eb="4">
      <t>ワ</t>
    </rPh>
    <phoneticPr fontId="10"/>
  </si>
  <si>
    <t>虫歯になっちゃえ！</t>
    <rPh sb="0" eb="2">
      <t>ムシバ</t>
    </rPh>
    <phoneticPr fontId="10"/>
  </si>
  <si>
    <t>船員のみなさーん！</t>
    <rPh sb="0" eb="2">
      <t>センイン</t>
    </rPh>
    <phoneticPr fontId="10"/>
  </si>
  <si>
    <t>とりあえず撃退です！</t>
    <rPh sb="5" eb="7">
      <t>ゲキタイ</t>
    </rPh>
    <phoneticPr fontId="10"/>
  </si>
  <si>
    <t>全員正座なさーい！</t>
    <rPh sb="0" eb="2">
      <t>ゼンイン</t>
    </rPh>
    <rPh sb="2" eb="4">
      <t>セイザ</t>
    </rPh>
    <phoneticPr fontId="10"/>
  </si>
  <si>
    <t>…仕留める</t>
    <rPh sb="1" eb="3">
      <t>シト</t>
    </rPh>
    <phoneticPr fontId="10"/>
  </si>
  <si>
    <t>…これも宿命か</t>
    <rPh sb="4" eb="6">
      <t>シュクメイ</t>
    </rPh>
    <phoneticPr fontId="10"/>
  </si>
  <si>
    <t>妾の角は荒いぞ…？</t>
    <rPh sb="0" eb="1">
      <t>ワラワ</t>
    </rPh>
    <rPh sb="2" eb="3">
      <t>ツノ</t>
    </rPh>
    <rPh sb="4" eb="5">
      <t>アラ</t>
    </rPh>
    <phoneticPr fontId="10"/>
  </si>
  <si>
    <t>見たことを後悔せよ！</t>
    <rPh sb="0" eb="1">
      <t>ミ</t>
    </rPh>
    <rPh sb="5" eb="7">
      <t>コウカイ</t>
    </rPh>
    <phoneticPr fontId="10"/>
  </si>
  <si>
    <t>怒らせたか…妾を！！</t>
    <rPh sb="0" eb="1">
      <t>オコ</t>
    </rPh>
    <rPh sb="6" eb="7">
      <t>ワラワ</t>
    </rPh>
    <phoneticPr fontId="10"/>
  </si>
  <si>
    <t>正体見せてもらうわ！</t>
    <rPh sb="0" eb="2">
      <t>ショウタイ</t>
    </rPh>
    <rPh sb="2" eb="3">
      <t>ミ</t>
    </rPh>
    <phoneticPr fontId="10"/>
  </si>
  <si>
    <t>虚勢もそこまでよ！</t>
    <rPh sb="0" eb="2">
      <t>キョセイ</t>
    </rPh>
    <phoneticPr fontId="10"/>
  </si>
  <si>
    <t>ちょっかい出すゼ！</t>
    <rPh sb="5" eb="6">
      <t>ダ</t>
    </rPh>
    <phoneticPr fontId="10"/>
  </si>
  <si>
    <t>へっ…思い出したゼ！</t>
    <rPh sb="3" eb="4">
      <t>オモ</t>
    </rPh>
    <rPh sb="5" eb="6">
      <t>ダ</t>
    </rPh>
    <phoneticPr fontId="10"/>
  </si>
  <si>
    <t>リミッター解除命令ダ</t>
    <rPh sb="5" eb="7">
      <t>カイジョ</t>
    </rPh>
    <rPh sb="7" eb="9">
      <t>メイレイ</t>
    </rPh>
    <phoneticPr fontId="10"/>
  </si>
  <si>
    <t>照準確定！カクテイ！</t>
    <rPh sb="0" eb="2">
      <t>ショウジュン</t>
    </rPh>
    <rPh sb="2" eb="4">
      <t>カクテイ</t>
    </rPh>
    <phoneticPr fontId="10"/>
  </si>
  <si>
    <t>全動力開放！ガァァ！</t>
    <rPh sb="0" eb="1">
      <t>ゼン</t>
    </rPh>
    <rPh sb="1" eb="3">
      <t>ドウリョク</t>
    </rPh>
    <rPh sb="3" eb="5">
      <t>カイホウ</t>
    </rPh>
    <phoneticPr fontId="10"/>
  </si>
  <si>
    <t>この爪は飾りではない</t>
    <rPh sb="2" eb="3">
      <t>ツメ</t>
    </rPh>
    <rPh sb="4" eb="5">
      <t>カザ</t>
    </rPh>
    <phoneticPr fontId="10"/>
  </si>
  <si>
    <t>立ちはだかるならば！</t>
    <rPh sb="0" eb="1">
      <t>タ</t>
    </rPh>
    <phoneticPr fontId="10"/>
  </si>
  <si>
    <t>私も猛獣なのだよ！</t>
    <rPh sb="0" eb="1">
      <t>ワタシ</t>
    </rPh>
    <rPh sb="2" eb="4">
      <t>モウジュウ</t>
    </rPh>
    <phoneticPr fontId="10"/>
  </si>
  <si>
    <t>生き残るのは俺だ！</t>
    <rPh sb="0" eb="1">
      <t>イ</t>
    </rPh>
    <rPh sb="2" eb="3">
      <t>ノコ</t>
    </rPh>
    <rPh sb="6" eb="7">
      <t>オレ</t>
    </rPh>
    <phoneticPr fontId="10"/>
  </si>
  <si>
    <t>命のやりとり…面白い</t>
    <rPh sb="0" eb="1">
      <t>イノチ</t>
    </rPh>
    <rPh sb="7" eb="9">
      <t>オモシロ</t>
    </rPh>
    <phoneticPr fontId="10"/>
  </si>
  <si>
    <t>見せるぜ、生き様を！</t>
    <rPh sb="0" eb="1">
      <t>ミ</t>
    </rPh>
    <rPh sb="5" eb="6">
      <t>イ</t>
    </rPh>
    <rPh sb="7" eb="8">
      <t>ザマ</t>
    </rPh>
    <phoneticPr fontId="10"/>
  </si>
  <si>
    <t>ボコられたい奴は！？</t>
    <rPh sb="6" eb="7">
      <t>ヤツ</t>
    </rPh>
    <phoneticPr fontId="10"/>
  </si>
  <si>
    <t>オラァ！ぶっ倒すぜ！</t>
    <rPh sb="6" eb="7">
      <t>タオ</t>
    </rPh>
    <phoneticPr fontId="10"/>
  </si>
  <si>
    <t>急所は算出済みです！</t>
    <rPh sb="0" eb="2">
      <t>キュウショ</t>
    </rPh>
    <rPh sb="3" eb="5">
      <t>サンシュツ</t>
    </rPh>
    <rPh sb="5" eb="6">
      <t>ズ</t>
    </rPh>
    <phoneticPr fontId="10"/>
  </si>
  <si>
    <t>射線に迷いはない…！</t>
    <rPh sb="0" eb="2">
      <t>シャセン</t>
    </rPh>
    <rPh sb="3" eb="4">
      <t>マヨ</t>
    </rPh>
    <phoneticPr fontId="10"/>
  </si>
  <si>
    <t>中心を捉えました…！</t>
    <rPh sb="0" eb="2">
      <t>チュウシン</t>
    </rPh>
    <rPh sb="3" eb="4">
      <t>トラ</t>
    </rPh>
    <phoneticPr fontId="10"/>
  </si>
  <si>
    <t>食ろうてやるわ！</t>
    <rPh sb="0" eb="1">
      <t>ク</t>
    </rPh>
    <phoneticPr fontId="10"/>
  </si>
  <si>
    <t>喝ッ！！</t>
    <rPh sb="0" eb="4">
      <t>カツ</t>
    </rPh>
    <phoneticPr fontId="10"/>
  </si>
  <si>
    <t>何度でも歓迎しよう…</t>
    <rPh sb="0" eb="2">
      <t>ナンド</t>
    </rPh>
    <rPh sb="4" eb="6">
      <t>カンゲイ</t>
    </rPh>
    <phoneticPr fontId="10"/>
  </si>
  <si>
    <t>偉大さを知るがいい…</t>
    <rPh sb="0" eb="2">
      <t>イダイ</t>
    </rPh>
    <rPh sb="4" eb="5">
      <t>シ</t>
    </rPh>
    <phoneticPr fontId="10"/>
  </si>
  <si>
    <t>わたしからは逃げれぬ</t>
    <rPh sb="6" eb="7">
      <t>ニ</t>
    </rPh>
    <phoneticPr fontId="10"/>
  </si>
  <si>
    <t>これが硝煙の匂いだぜ</t>
    <rPh sb="3" eb="5">
      <t>ショウエン</t>
    </rPh>
    <rPh sb="6" eb="7">
      <t>ニオ</t>
    </rPh>
    <phoneticPr fontId="10"/>
  </si>
  <si>
    <t>昔からの悪いクセだ…</t>
    <rPh sb="0" eb="1">
      <t>ムカシ</t>
    </rPh>
    <rPh sb="4" eb="5">
      <t>ワル</t>
    </rPh>
    <phoneticPr fontId="10"/>
  </si>
  <si>
    <t>灰皿用意しときな…！</t>
    <rPh sb="0" eb="2">
      <t>ハイザラ</t>
    </rPh>
    <rPh sb="2" eb="4">
      <t>ヨウイ</t>
    </rPh>
    <phoneticPr fontId="10"/>
  </si>
  <si>
    <t>ただ、斬るだけだわ</t>
    <rPh sb="3" eb="4">
      <t>キ</t>
    </rPh>
    <phoneticPr fontId="10"/>
  </si>
  <si>
    <t>泣きわめくと思った？</t>
    <rPh sb="0" eb="1">
      <t>ナ</t>
    </rPh>
    <rPh sb="6" eb="7">
      <t>オモ</t>
    </rPh>
    <phoneticPr fontId="10"/>
  </si>
  <si>
    <t>人生を返してよっ！</t>
    <rPh sb="0" eb="2">
      <t>ジンセイ</t>
    </rPh>
    <rPh sb="3" eb="4">
      <t>カエ</t>
    </rPh>
    <phoneticPr fontId="10"/>
  </si>
  <si>
    <t>一番簡単な解決方法♪</t>
    <rPh sb="0" eb="2">
      <t>イチバン</t>
    </rPh>
    <rPh sb="2" eb="4">
      <t>カンタン</t>
    </rPh>
    <rPh sb="5" eb="7">
      <t>カイケツ</t>
    </rPh>
    <rPh sb="7" eb="9">
      <t>ホウホウ</t>
    </rPh>
    <phoneticPr fontId="10"/>
  </si>
  <si>
    <t>こんがり焼けてよね！</t>
    <rPh sb="4" eb="5">
      <t>ヤ</t>
    </rPh>
    <phoneticPr fontId="10"/>
  </si>
  <si>
    <t>ほらよ受け取りなッ！</t>
    <rPh sb="3" eb="4">
      <t>ウ</t>
    </rPh>
    <rPh sb="5" eb="6">
      <t>ト</t>
    </rPh>
    <phoneticPr fontId="10"/>
  </si>
  <si>
    <t>この箱はハズレかもな</t>
    <rPh sb="2" eb="3">
      <t>ハコ</t>
    </rPh>
    <phoneticPr fontId="10"/>
  </si>
  <si>
    <t>開けて驚きなッ！！</t>
    <rPh sb="0" eb="1">
      <t>ア</t>
    </rPh>
    <rPh sb="3" eb="4">
      <t>オドロ</t>
    </rPh>
    <phoneticPr fontId="10"/>
  </si>
  <si>
    <t>今夜は邪魔しないで！</t>
    <rPh sb="0" eb="2">
      <t>コンヤ</t>
    </rPh>
    <rPh sb="3" eb="5">
      <t>ジャマ</t>
    </rPh>
    <phoneticPr fontId="10"/>
  </si>
  <si>
    <t>聖夜なのにもう！</t>
    <rPh sb="0" eb="2">
      <t>セイヤ</t>
    </rPh>
    <phoneticPr fontId="10"/>
  </si>
  <si>
    <t>良い子にしててよね！</t>
    <rPh sb="0" eb="1">
      <t>イ</t>
    </rPh>
    <rPh sb="2" eb="3">
      <t>コ</t>
    </rPh>
    <phoneticPr fontId="10"/>
  </si>
  <si>
    <t>耳を澄ませてください</t>
    <rPh sb="0" eb="1">
      <t>ミミ</t>
    </rPh>
    <rPh sb="2" eb="3">
      <t>ス</t>
    </rPh>
    <phoneticPr fontId="10"/>
  </si>
  <si>
    <t>誰もが幸せになれます</t>
    <rPh sb="0" eb="1">
      <t>ダレ</t>
    </rPh>
    <rPh sb="3" eb="4">
      <t>シアワ</t>
    </rPh>
    <phoneticPr fontId="10"/>
  </si>
  <si>
    <t>お願い…安らぎを！</t>
    <rPh sb="1" eb="2">
      <t>ネガ</t>
    </rPh>
    <rPh sb="4" eb="5">
      <t>ヤス</t>
    </rPh>
    <phoneticPr fontId="10"/>
  </si>
  <si>
    <t>高ぶってきましたっ！</t>
    <rPh sb="0" eb="1">
      <t>タカ</t>
    </rPh>
    <phoneticPr fontId="10"/>
  </si>
  <si>
    <t>罰が当たりますよっ！</t>
    <rPh sb="0" eb="1">
      <t>バチ</t>
    </rPh>
    <rPh sb="2" eb="3">
      <t>ア</t>
    </rPh>
    <phoneticPr fontId="10"/>
  </si>
  <si>
    <t>unit_serifs_i18n_</t>
    <phoneticPr fontId="10"/>
  </si>
  <si>
    <t>unit_serifs_i18n</t>
    <phoneticPr fontId="10"/>
  </si>
  <si>
    <t>frame_type</t>
    <phoneticPr fontId="10"/>
  </si>
  <si>
    <t>燃えてしまいなさい！</t>
    <rPh sb="0" eb="1">
      <t>モ</t>
    </rPh>
    <rPh sb="1" eb="9">
      <t>モ</t>
    </rPh>
    <phoneticPr fontId="10"/>
  </si>
  <si>
    <t>燃やし尽くしてあげる</t>
  </si>
  <si>
    <t>maru</t>
    <phoneticPr fontId="10"/>
  </si>
  <si>
    <t>kumo</t>
    <phoneticPr fontId="10"/>
  </si>
  <si>
    <t>maru</t>
    <phoneticPr fontId="10"/>
  </si>
  <si>
    <t>giza</t>
    <phoneticPr fontId="10"/>
  </si>
  <si>
    <t>maru</t>
    <phoneticPr fontId="10"/>
  </si>
  <si>
    <t>食べ尽くしてあげる</t>
    <rPh sb="0" eb="9">
      <t>タb</t>
    </rPh>
    <phoneticPr fontId="10"/>
  </si>
  <si>
    <t>giza</t>
    <phoneticPr fontId="10"/>
  </si>
  <si>
    <t>ハッピー！</t>
    <phoneticPr fontId="10"/>
  </si>
  <si>
    <t>ハッピー！？</t>
    <phoneticPr fontId="10"/>
  </si>
  <si>
    <t>giza</t>
    <phoneticPr fontId="10"/>
  </si>
  <si>
    <t>クリーニングします！</t>
    <phoneticPr fontId="10"/>
  </si>
  <si>
    <t>キレイになりますよ！</t>
    <phoneticPr fontId="10"/>
  </si>
  <si>
    <t>maru</t>
    <phoneticPr fontId="10"/>
  </si>
  <si>
    <t>maru</t>
    <phoneticPr fontId="10"/>
  </si>
  <si>
    <t>maru</t>
    <phoneticPr fontId="10"/>
  </si>
  <si>
    <t>やれるものならやってみぃ</t>
    <phoneticPr fontId="10"/>
  </si>
  <si>
    <t>giza</t>
    <phoneticPr fontId="10"/>
  </si>
  <si>
    <t>maru</t>
    <phoneticPr fontId="10"/>
  </si>
  <si>
    <t>giza</t>
    <phoneticPr fontId="10"/>
  </si>
  <si>
    <t>みなぎってきたよ！！</t>
    <phoneticPr fontId="10"/>
  </si>
  <si>
    <t>maru</t>
    <phoneticPr fontId="10"/>
  </si>
  <si>
    <t>kumo</t>
    <phoneticPr fontId="10"/>
  </si>
  <si>
    <t>giza</t>
    <phoneticPr fontId="10"/>
  </si>
  <si>
    <t>maru</t>
    <phoneticPr fontId="10"/>
  </si>
  <si>
    <t>maru</t>
    <phoneticPr fontId="10"/>
  </si>
  <si>
    <t>giza</t>
    <phoneticPr fontId="10"/>
  </si>
  <si>
    <t>maru</t>
    <phoneticPr fontId="10"/>
  </si>
  <si>
    <t>maru</t>
    <phoneticPr fontId="10"/>
  </si>
  <si>
    <t>maru</t>
    <phoneticPr fontId="10"/>
  </si>
  <si>
    <t>kumo</t>
    <phoneticPr fontId="10"/>
  </si>
  <si>
    <t>maru</t>
    <phoneticPr fontId="10"/>
  </si>
  <si>
    <t>maru</t>
    <phoneticPr fontId="10"/>
  </si>
  <si>
    <t>maru</t>
    <phoneticPr fontId="10"/>
  </si>
  <si>
    <t>giza</t>
    <phoneticPr fontId="10"/>
  </si>
  <si>
    <t>giza</t>
    <phoneticPr fontId="10"/>
  </si>
  <si>
    <t>giza</t>
    <phoneticPr fontId="10"/>
  </si>
  <si>
    <t>もうあったまきたからー！</t>
    <phoneticPr fontId="10"/>
  </si>
  <si>
    <t>kumo</t>
    <phoneticPr fontId="10"/>
  </si>
  <si>
    <t>のたうちまわりなよ</t>
    <phoneticPr fontId="10"/>
  </si>
  <si>
    <t>maru</t>
    <phoneticPr fontId="10"/>
  </si>
  <si>
    <t>チクってするだけよ</t>
    <phoneticPr fontId="10"/>
  </si>
  <si>
    <t>maru</t>
    <phoneticPr fontId="10"/>
  </si>
  <si>
    <t>giza</t>
    <phoneticPr fontId="10"/>
  </si>
  <si>
    <t>giza</t>
    <phoneticPr fontId="10"/>
  </si>
  <si>
    <t>kumo</t>
    <phoneticPr fontId="10"/>
  </si>
  <si>
    <t>くふふ…いいザマね？</t>
    <phoneticPr fontId="10"/>
  </si>
  <si>
    <t>イブといっしょにいて？</t>
    <phoneticPr fontId="10"/>
  </si>
  <si>
    <t>giza</t>
    <phoneticPr fontId="10"/>
  </si>
  <si>
    <t>giza</t>
    <phoneticPr fontId="10"/>
  </si>
  <si>
    <t>maru</t>
    <phoneticPr fontId="10"/>
  </si>
  <si>
    <t>maru</t>
    <phoneticPr fontId="10"/>
  </si>
  <si>
    <t>maru</t>
    <phoneticPr fontId="10"/>
  </si>
  <si>
    <t>giza</t>
    <phoneticPr fontId="10"/>
  </si>
  <si>
    <t>kumo</t>
    <phoneticPr fontId="10"/>
  </si>
  <si>
    <t>これでいかがですかぁ？</t>
    <phoneticPr fontId="10"/>
  </si>
  <si>
    <t>ほらかかっておいでよー！</t>
    <phoneticPr fontId="10"/>
  </si>
  <si>
    <t>maru</t>
    <phoneticPr fontId="10"/>
  </si>
  <si>
    <t>kumo</t>
    <phoneticPr fontId="10"/>
  </si>
  <si>
    <t>maru</t>
    <phoneticPr fontId="10"/>
  </si>
  <si>
    <t>giza</t>
    <phoneticPr fontId="10"/>
  </si>
  <si>
    <t>さて、たたみかけるぞ…</t>
    <phoneticPr fontId="10"/>
  </si>
  <si>
    <t>maru</t>
    <phoneticPr fontId="10"/>
  </si>
  <si>
    <t>kumo</t>
    <phoneticPr fontId="10"/>
  </si>
  <si>
    <t>maru</t>
    <phoneticPr fontId="10"/>
  </si>
  <si>
    <t>maru</t>
    <phoneticPr fontId="10"/>
  </si>
  <si>
    <t>giza</t>
    <phoneticPr fontId="10"/>
  </si>
  <si>
    <t>ならんでとつげきだよ！</t>
    <phoneticPr fontId="10"/>
  </si>
  <si>
    <t>おまつりはじまるよー！</t>
    <phoneticPr fontId="10"/>
  </si>
  <si>
    <t>kumo</t>
    <phoneticPr fontId="10"/>
  </si>
  <si>
    <t>kumo</t>
    <phoneticPr fontId="10"/>
  </si>
  <si>
    <t>にしし…サービスだよ</t>
    <phoneticPr fontId="10"/>
  </si>
  <si>
    <t>maru</t>
    <phoneticPr fontId="10"/>
  </si>
  <si>
    <t>maru</t>
    <phoneticPr fontId="10"/>
  </si>
  <si>
    <t>これでどうかしら？</t>
    <phoneticPr fontId="10"/>
  </si>
  <si>
    <t>giza</t>
    <phoneticPr fontId="10"/>
  </si>
  <si>
    <t>kumo</t>
    <phoneticPr fontId="10"/>
  </si>
  <si>
    <t>maru</t>
    <phoneticPr fontId="10"/>
  </si>
  <si>
    <t>kumo</t>
    <phoneticPr fontId="10"/>
  </si>
  <si>
    <t>giza</t>
    <phoneticPr fontId="10"/>
  </si>
  <si>
    <t>giza</t>
    <phoneticPr fontId="10"/>
  </si>
  <si>
    <t>kumo</t>
    <phoneticPr fontId="10"/>
  </si>
  <si>
    <t>kumo</t>
    <phoneticPr fontId="10"/>
  </si>
  <si>
    <t>maru</t>
    <phoneticPr fontId="10"/>
  </si>
  <si>
    <t>maru</t>
    <phoneticPr fontId="10"/>
  </si>
  <si>
    <t>maru</t>
    <phoneticPr fontId="10"/>
  </si>
  <si>
    <t>オイ、ウゴクナ</t>
    <phoneticPr fontId="10"/>
  </si>
  <si>
    <t>ソレ、キョカデキナイ</t>
    <phoneticPr fontId="10"/>
  </si>
  <si>
    <t>フムゥ、ドカンといくぞ？</t>
    <phoneticPr fontId="10"/>
  </si>
  <si>
    <t>maru</t>
    <phoneticPr fontId="10"/>
  </si>
  <si>
    <t>フフ、いじらせてもらうわ</t>
    <phoneticPr fontId="10"/>
  </si>
  <si>
    <t>オレサマはフェアじゃない</t>
    <phoneticPr fontId="10"/>
  </si>
  <si>
    <t>鳴け、豚どもが！</t>
    <rPh sb="0" eb="1">
      <t>ナ</t>
    </rPh>
    <rPh sb="3" eb="4">
      <t>ブタ</t>
    </rPh>
    <phoneticPr fontId="10"/>
  </si>
  <si>
    <t>見たい！炎が見たいのッ！</t>
    <rPh sb="0" eb="1">
      <t>ミ</t>
    </rPh>
    <rPh sb="4" eb="5">
      <t>ホノオ</t>
    </rPh>
    <rPh sb="6" eb="7">
      <t>ミ</t>
    </rPh>
    <phoneticPr fontId="10"/>
  </si>
  <si>
    <t>アハッ！よーく燃えそう！</t>
    <rPh sb="7" eb="8">
      <t>モ</t>
    </rPh>
    <phoneticPr fontId="10"/>
  </si>
  <si>
    <t>腐食の過程が楽しみだな</t>
    <rPh sb="0" eb="2">
      <t>フショク</t>
    </rPh>
    <rPh sb="3" eb="5">
      <t>カテイ</t>
    </rPh>
    <rPh sb="6" eb="7">
      <t>タノ</t>
    </rPh>
    <phoneticPr fontId="10"/>
  </si>
  <si>
    <t>生きのいい実験体は歓迎だ</t>
    <rPh sb="0" eb="1">
      <t>イ</t>
    </rPh>
    <rPh sb="5" eb="8">
      <t>ジッケンテイ</t>
    </rPh>
    <rPh sb="9" eb="11">
      <t>カンゲイ</t>
    </rPh>
    <phoneticPr fontId="10"/>
  </si>
  <si>
    <t>守るから！私が守るから！</t>
    <rPh sb="0" eb="1">
      <t>マモ</t>
    </rPh>
    <rPh sb="5" eb="6">
      <t>ワタシ</t>
    </rPh>
    <rPh sb="7" eb="8">
      <t>マモ</t>
    </rPh>
    <phoneticPr fontId="10"/>
  </si>
  <si>
    <t>私の手が役に立つなら…！</t>
    <rPh sb="0" eb="1">
      <t>ワタシ</t>
    </rPh>
    <rPh sb="2" eb="3">
      <t>テ</t>
    </rPh>
    <rPh sb="4" eb="5">
      <t>ヤク</t>
    </rPh>
    <rPh sb="6" eb="7">
      <t>タ</t>
    </rPh>
    <phoneticPr fontId="10"/>
  </si>
  <si>
    <t>眩しすぎるかもっ！</t>
    <rPh sb="0" eb="1">
      <t>マブ</t>
    </rPh>
    <phoneticPr fontId="10"/>
  </si>
  <si>
    <t>あたしのことよく見てっ♪</t>
    <rPh sb="8" eb="9">
      <t>ミ</t>
    </rPh>
    <phoneticPr fontId="10"/>
  </si>
  <si>
    <t>決闘大歓迎！燃えるね！</t>
    <rPh sb="0" eb="2">
      <t>ケットウ</t>
    </rPh>
    <rPh sb="2" eb="5">
      <t>ダイカンゲイ</t>
    </rPh>
    <rPh sb="6" eb="7">
      <t>モ</t>
    </rPh>
    <phoneticPr fontId="10"/>
  </si>
  <si>
    <t>kumo</t>
    <phoneticPr fontId="10"/>
  </si>
  <si>
    <t>キミたち食べていい？</t>
    <phoneticPr fontId="10"/>
  </si>
  <si>
    <t>giza</t>
    <phoneticPr fontId="10"/>
  </si>
  <si>
    <t>maru</t>
    <phoneticPr fontId="10"/>
  </si>
  <si>
    <t>giza</t>
    <phoneticPr fontId="10"/>
  </si>
  <si>
    <t>ハートひとりじめっ！</t>
    <phoneticPr fontId="10"/>
  </si>
  <si>
    <t>giza</t>
    <phoneticPr fontId="10"/>
  </si>
  <si>
    <t>maru</t>
    <phoneticPr fontId="10"/>
  </si>
  <si>
    <t>giza</t>
    <phoneticPr fontId="10"/>
  </si>
  <si>
    <t>maru</t>
    <phoneticPr fontId="10"/>
  </si>
  <si>
    <t>maru</t>
    <phoneticPr fontId="10"/>
  </si>
  <si>
    <t>みんなだいすきだよっ☆</t>
    <phoneticPr fontId="10"/>
  </si>
  <si>
    <t>kumo</t>
    <phoneticPr fontId="10"/>
  </si>
  <si>
    <t>giza</t>
    <phoneticPr fontId="10"/>
  </si>
  <si>
    <t>ただのガキじゃねぇんだよ</t>
    <phoneticPr fontId="10"/>
  </si>
  <si>
    <t>maru</t>
    <phoneticPr fontId="10"/>
  </si>
  <si>
    <t>giza</t>
    <phoneticPr fontId="10"/>
  </si>
  <si>
    <t>さっさとケリつけるわよ！</t>
    <phoneticPr fontId="10"/>
  </si>
  <si>
    <t>giza</t>
    <phoneticPr fontId="10"/>
  </si>
  <si>
    <t>maru</t>
    <phoneticPr fontId="10"/>
  </si>
  <si>
    <t>うん！ガードしてみる！</t>
    <phoneticPr fontId="10"/>
  </si>
  <si>
    <t>giza</t>
    <phoneticPr fontId="10"/>
  </si>
  <si>
    <t>燃えていこうよ！</t>
    <rPh sb="0" eb="4">
      <t>モ</t>
    </rPh>
    <phoneticPr fontId="10"/>
  </si>
  <si>
    <t>まだまだ燃えたりないね！</t>
    <rPh sb="4" eb="12">
      <t>モエt</t>
    </rPh>
    <phoneticPr fontId="10"/>
  </si>
  <si>
    <t>giza</t>
    <phoneticPr fontId="10"/>
  </si>
  <si>
    <t>燃え尽きても知らないよ！</t>
    <rPh sb="0" eb="1">
      <t>モ</t>
    </rPh>
    <rPh sb="2" eb="6">
      <t>t</t>
    </rPh>
    <rPh sb="6" eb="10">
      <t>シラン</t>
    </rPh>
    <phoneticPr fontId="10"/>
  </si>
  <si>
    <t>maru</t>
    <phoneticPr fontId="10"/>
  </si>
  <si>
    <t>kumo</t>
    <phoneticPr fontId="10"/>
  </si>
  <si>
    <t>maru</t>
    <phoneticPr fontId="10"/>
  </si>
  <si>
    <t>giza</t>
    <phoneticPr fontId="10"/>
  </si>
  <si>
    <t>なにしてもムダだっての！</t>
    <phoneticPr fontId="10"/>
  </si>
  <si>
    <t>たっぷりオマケつけてやる</t>
    <phoneticPr fontId="10"/>
  </si>
  <si>
    <t>kumo</t>
    <phoneticPr fontId="10"/>
  </si>
  <si>
    <t>格の差もわからんか？</t>
    <phoneticPr fontId="10"/>
  </si>
  <si>
    <t>maru</t>
    <phoneticPr fontId="10"/>
  </si>
  <si>
    <t>オレも力を見せてやるか！</t>
    <rPh sb="3" eb="4">
      <t>チカラ</t>
    </rPh>
    <rPh sb="5" eb="6">
      <t>ミ</t>
    </rPh>
    <phoneticPr fontId="10"/>
  </si>
  <si>
    <t>giza</t>
    <phoneticPr fontId="10"/>
  </si>
  <si>
    <t>giza</t>
    <phoneticPr fontId="10"/>
  </si>
  <si>
    <t>giza</t>
    <phoneticPr fontId="10"/>
  </si>
  <si>
    <t>giza</t>
    <phoneticPr fontId="10"/>
  </si>
  <si>
    <t>giza</t>
    <phoneticPr fontId="10"/>
  </si>
  <si>
    <t>maru</t>
    <phoneticPr fontId="10"/>
  </si>
  <si>
    <t>giza</t>
    <phoneticPr fontId="10"/>
  </si>
  <si>
    <t>kumo</t>
    <phoneticPr fontId="10"/>
  </si>
  <si>
    <t>さぁ猛攻撃といこう！</t>
  </si>
  <si>
    <t>giza</t>
    <phoneticPr fontId="10"/>
  </si>
  <si>
    <t>魔剣の力を見せてやる！</t>
    <rPh sb="0" eb="1">
      <t>マ</t>
    </rPh>
    <rPh sb="1" eb="2">
      <t>ケン</t>
    </rPh>
    <rPh sb="3" eb="5">
      <t>チカr</t>
    </rPh>
    <rPh sb="5" eb="10">
      <t>ミs</t>
    </rPh>
    <phoneticPr fontId="10"/>
  </si>
  <si>
    <t>解析完了、始めるわ</t>
    <rPh sb="0" eb="2">
      <t>カ</t>
    </rPh>
    <rPh sb="2" eb="4">
      <t>カンリョ</t>
    </rPh>
    <rPh sb="5" eb="9">
      <t>ハジメマs</t>
    </rPh>
    <phoneticPr fontId="10"/>
  </si>
  <si>
    <t>ふふ…観点を変えようか</t>
    <rPh sb="3" eb="5">
      <t>カンテン</t>
    </rPh>
    <rPh sb="6" eb="7">
      <t>カ</t>
    </rPh>
    <phoneticPr fontId="10"/>
  </si>
  <si>
    <t>我が力、刮目して見よ！</t>
    <rPh sb="0" eb="3">
      <t>ワg</t>
    </rPh>
    <rPh sb="4" eb="6">
      <t>カツモk</t>
    </rPh>
    <rPh sb="8" eb="11">
      <t>ミヨ</t>
    </rPh>
    <phoneticPr fontId="10"/>
  </si>
  <si>
    <t>我に続け！殲滅するぞ！</t>
    <rPh sb="0" eb="2">
      <t>ワr</t>
    </rPh>
    <rPh sb="2" eb="4">
      <t>ツヅk</t>
    </rPh>
    <rPh sb="5" eb="7">
      <t>センm</t>
    </rPh>
    <phoneticPr fontId="10"/>
  </si>
  <si>
    <t>maru</t>
    <phoneticPr fontId="10"/>
  </si>
  <si>
    <t>癒してあげる☆</t>
    <rPh sb="0" eb="3">
      <t>イヤs</t>
    </rPh>
    <phoneticPr fontId="10"/>
  </si>
  <si>
    <t>maru</t>
    <phoneticPr fontId="10"/>
  </si>
  <si>
    <t>お怪我を治すお祈りだよ！</t>
    <rPh sb="1" eb="4">
      <t>ケガ</t>
    </rPh>
    <rPh sb="4" eb="6">
      <t>ナオs</t>
    </rPh>
    <rPh sb="7" eb="9">
      <t>イノr</t>
    </rPh>
    <phoneticPr fontId="10"/>
  </si>
  <si>
    <t>傷は治るよ！諦めないで！</t>
    <rPh sb="0" eb="1">
      <t>キz</t>
    </rPh>
    <rPh sb="2" eb="3">
      <t>ナオr</t>
    </rPh>
    <rPh sb="6" eb="11">
      <t>アキラm</t>
    </rPh>
    <phoneticPr fontId="10"/>
  </si>
  <si>
    <t>パーティーの始まりだ</t>
    <rPh sb="6" eb="10">
      <t>ハジマr</t>
    </rPh>
    <phoneticPr fontId="10"/>
  </si>
  <si>
    <t>儂が応えよう！</t>
    <rPh sb="0" eb="1">
      <t>ワs</t>
    </rPh>
    <rPh sb="2" eb="3">
      <t>オ</t>
    </rPh>
    <rPh sb="3" eb="6">
      <t>コタ</t>
    </rPh>
    <phoneticPr fontId="10"/>
  </si>
  <si>
    <t>禅を説いてやろう</t>
    <rPh sb="0" eb="1">
      <t>ゼン</t>
    </rPh>
    <rPh sb="2" eb="8">
      <t>ト</t>
    </rPh>
    <phoneticPr fontId="10"/>
  </si>
  <si>
    <t>問答の時間だ…！</t>
    <rPh sb="0" eb="3">
      <t>モンド</t>
    </rPh>
    <rPh sb="3" eb="6">
      <t>ジカン</t>
    </rPh>
    <phoneticPr fontId="10"/>
  </si>
  <si>
    <t>maru</t>
    <phoneticPr fontId="10"/>
  </si>
  <si>
    <t>maru</t>
    <phoneticPr fontId="10"/>
  </si>
  <si>
    <t>giza</t>
    <phoneticPr fontId="10"/>
  </si>
  <si>
    <t>とっておきの贈り物です！</t>
    <rPh sb="6" eb="9">
      <t>オk</t>
    </rPh>
    <phoneticPr fontId="10"/>
  </si>
  <si>
    <t>maru</t>
    <phoneticPr fontId="10"/>
  </si>
  <si>
    <t>maru</t>
    <phoneticPr fontId="10"/>
  </si>
  <si>
    <t>It's Show Time!!</t>
    <phoneticPr fontId="10"/>
  </si>
  <si>
    <t>giza</t>
    <phoneticPr fontId="10"/>
  </si>
  <si>
    <t>解析結果、出たわ</t>
    <rPh sb="0" eb="2">
      <t>カ</t>
    </rPh>
    <rPh sb="2" eb="4">
      <t>ケッカ</t>
    </rPh>
    <rPh sb="5" eb="6">
      <t>デ</t>
    </rPh>
    <phoneticPr fontId="10"/>
  </si>
  <si>
    <t>giza</t>
    <phoneticPr fontId="10"/>
  </si>
  <si>
    <t>Happy?</t>
    <phoneticPr fontId="10"/>
  </si>
  <si>
    <t>ハッピー☆</t>
    <phoneticPr fontId="10"/>
  </si>
  <si>
    <t>バチバチするよ！</t>
    <phoneticPr fontId="10"/>
  </si>
  <si>
    <t>giza</t>
    <phoneticPr fontId="10"/>
  </si>
  <si>
    <t>giza</t>
    <phoneticPr fontId="10"/>
  </si>
  <si>
    <t>ケガじゃすまさんぜ！</t>
    <phoneticPr fontId="10"/>
  </si>
  <si>
    <t>maru</t>
    <phoneticPr fontId="10"/>
  </si>
  <si>
    <t>驚いた？ここよ！！</t>
    <rPh sb="0" eb="1">
      <t>オドロ</t>
    </rPh>
    <phoneticPr fontId="10"/>
  </si>
  <si>
    <t>maru</t>
    <phoneticPr fontId="10"/>
  </si>
  <si>
    <t>giza</t>
    <phoneticPr fontId="10"/>
  </si>
  <si>
    <t>maru</t>
    <phoneticPr fontId="10"/>
  </si>
  <si>
    <t>maru</t>
    <phoneticPr fontId="10"/>
  </si>
  <si>
    <t>脳天ぶち抜いてあげる</t>
    <rPh sb="0" eb="2">
      <t>ノウテン</t>
    </rPh>
    <rPh sb="4" eb="5">
      <t>ヌ</t>
    </rPh>
    <phoneticPr fontId="10"/>
  </si>
  <si>
    <t>giza</t>
    <phoneticPr fontId="10"/>
  </si>
  <si>
    <t>八つ裂きにしてあげる</t>
    <rPh sb="0" eb="1">
      <t>ヤ</t>
    </rPh>
    <rPh sb="2" eb="3">
      <t>ザ</t>
    </rPh>
    <phoneticPr fontId="10"/>
  </si>
  <si>
    <t>giza</t>
    <phoneticPr fontId="10"/>
  </si>
  <si>
    <t>止められるかよッ！</t>
    <rPh sb="0" eb="1">
      <t>ト</t>
    </rPh>
    <phoneticPr fontId="10"/>
  </si>
  <si>
    <t>灰一粒残さねぇッ！！</t>
    <rPh sb="0" eb="1">
      <t>ハイ</t>
    </rPh>
    <rPh sb="1" eb="3">
      <t>ヒトツブ</t>
    </rPh>
    <rPh sb="3" eb="4">
      <t>ノコ</t>
    </rPh>
    <phoneticPr fontId="10"/>
  </si>
  <si>
    <t>maru</t>
    <phoneticPr fontId="10"/>
  </si>
  <si>
    <t>狙いやすい的ね…！</t>
    <rPh sb="0" eb="1">
      <t>ネラ</t>
    </rPh>
    <rPh sb="5" eb="6">
      <t>マト</t>
    </rPh>
    <phoneticPr fontId="10"/>
  </si>
  <si>
    <t>私の弾は外れないわ！</t>
    <rPh sb="0" eb="1">
      <t>ワタシ</t>
    </rPh>
    <rPh sb="2" eb="3">
      <t>タマ</t>
    </rPh>
    <rPh sb="4" eb="5">
      <t>ハズ</t>
    </rPh>
    <phoneticPr fontId="10"/>
  </si>
  <si>
    <t>giza</t>
    <phoneticPr fontId="10"/>
  </si>
  <si>
    <t>kumo</t>
    <phoneticPr fontId="10"/>
  </si>
  <si>
    <t>maru</t>
    <phoneticPr fontId="10"/>
  </si>
  <si>
    <t>maru</t>
    <phoneticPr fontId="10"/>
  </si>
  <si>
    <t>maru</t>
    <phoneticPr fontId="10"/>
  </si>
  <si>
    <t>giza</t>
    <phoneticPr fontId="10"/>
  </si>
  <si>
    <t>kumo</t>
    <phoneticPr fontId="10"/>
  </si>
  <si>
    <t>kumo</t>
    <phoneticPr fontId="10"/>
  </si>
  <si>
    <t>maru</t>
    <phoneticPr fontId="10"/>
  </si>
  <si>
    <t>これでどうだ…？</t>
    <phoneticPr fontId="10"/>
  </si>
  <si>
    <t>kumo</t>
    <phoneticPr fontId="10"/>
  </si>
  <si>
    <t>…くつがえす！！</t>
    <phoneticPr fontId="10"/>
  </si>
  <si>
    <t>maru</t>
    <phoneticPr fontId="10"/>
  </si>
  <si>
    <t>giza</t>
    <phoneticPr fontId="10"/>
  </si>
  <si>
    <t>kumo</t>
    <phoneticPr fontId="10"/>
  </si>
  <si>
    <t>これならどうです！？</t>
    <phoneticPr fontId="10"/>
  </si>
  <si>
    <t>kumo</t>
    <phoneticPr fontId="10"/>
  </si>
  <si>
    <t>おねむになるよ！</t>
    <phoneticPr fontId="10"/>
  </si>
  <si>
    <t>ねんねするの！</t>
    <phoneticPr fontId="10"/>
  </si>
  <si>
    <t>maru</t>
    <phoneticPr fontId="10"/>
  </si>
  <si>
    <t>あさまでぐっすりね！</t>
    <phoneticPr fontId="10"/>
  </si>
  <si>
    <t>maru</t>
    <phoneticPr fontId="10"/>
  </si>
  <si>
    <t>kumo</t>
    <phoneticPr fontId="10"/>
  </si>
  <si>
    <t>maru</t>
    <phoneticPr fontId="10"/>
  </si>
  <si>
    <t>giza</t>
    <phoneticPr fontId="10"/>
  </si>
  <si>
    <t>maru</t>
    <phoneticPr fontId="10"/>
  </si>
  <si>
    <t>バキューンっと！</t>
    <phoneticPr fontId="10"/>
  </si>
  <si>
    <t>kumo</t>
    <phoneticPr fontId="10"/>
  </si>
  <si>
    <t>maru</t>
    <phoneticPr fontId="10"/>
  </si>
  <si>
    <t>giza</t>
    <phoneticPr fontId="10"/>
  </si>
  <si>
    <t>kumo</t>
    <phoneticPr fontId="10"/>
  </si>
  <si>
    <t>どっけぇぇぇ！！</t>
    <phoneticPr fontId="10"/>
  </si>
  <si>
    <t>kumo</t>
    <phoneticPr fontId="10"/>
  </si>
  <si>
    <t>maru</t>
    <phoneticPr fontId="10"/>
  </si>
  <si>
    <t>giza</t>
    <phoneticPr fontId="10"/>
  </si>
  <si>
    <t>maru</t>
    <phoneticPr fontId="10"/>
  </si>
  <si>
    <t>やだ…ゾクゾクする…</t>
    <phoneticPr fontId="10"/>
  </si>
  <si>
    <t>giza</t>
    <phoneticPr fontId="10"/>
  </si>
  <si>
    <t>kumo</t>
    <phoneticPr fontId="10"/>
  </si>
  <si>
    <t>kumo</t>
    <phoneticPr fontId="10"/>
  </si>
  <si>
    <t>giza</t>
    <phoneticPr fontId="10"/>
  </si>
  <si>
    <t>giza</t>
    <phoneticPr fontId="10"/>
  </si>
  <si>
    <t>giza</t>
    <phoneticPr fontId="10"/>
  </si>
  <si>
    <t>kumo</t>
    <phoneticPr fontId="10"/>
  </si>
  <si>
    <t>ニンゲン、カヨワイ</t>
    <phoneticPr fontId="10"/>
  </si>
  <si>
    <t>コレ、ニゲラレナイ</t>
    <phoneticPr fontId="10"/>
  </si>
  <si>
    <t>giza</t>
    <phoneticPr fontId="10"/>
  </si>
  <si>
    <t>maru</t>
    <phoneticPr fontId="10"/>
  </si>
  <si>
    <t>アイツだな？ムゥ？</t>
    <phoneticPr fontId="10"/>
  </si>
  <si>
    <t>giza</t>
    <phoneticPr fontId="10"/>
  </si>
  <si>
    <t>giza</t>
    <phoneticPr fontId="10"/>
  </si>
  <si>
    <t>maru</t>
    <phoneticPr fontId="10"/>
  </si>
  <si>
    <t>maru</t>
    <phoneticPr fontId="10"/>
  </si>
  <si>
    <t>kumo</t>
    <phoneticPr fontId="10"/>
  </si>
  <si>
    <t>giza</t>
    <phoneticPr fontId="10"/>
  </si>
  <si>
    <t>maru</t>
    <phoneticPr fontId="10"/>
  </si>
  <si>
    <t>maru</t>
    <phoneticPr fontId="10"/>
  </si>
  <si>
    <t>キュンキュンしてっ！</t>
    <phoneticPr fontId="10"/>
  </si>
  <si>
    <t>kumo</t>
    <phoneticPr fontId="10"/>
  </si>
  <si>
    <t>…じゅるりん</t>
    <phoneticPr fontId="10"/>
  </si>
  <si>
    <t>ガッツリいくよっ！</t>
    <phoneticPr fontId="10"/>
  </si>
  <si>
    <t>ペットにしちゃうぞ！</t>
    <phoneticPr fontId="10"/>
  </si>
  <si>
    <t>maru</t>
    <phoneticPr fontId="10"/>
  </si>
  <si>
    <t>かわいくないわねー！</t>
    <phoneticPr fontId="10"/>
  </si>
  <si>
    <t>giza</t>
    <phoneticPr fontId="10"/>
  </si>
  <si>
    <t>maru</t>
    <phoneticPr fontId="10"/>
  </si>
  <si>
    <t>kumo</t>
    <phoneticPr fontId="10"/>
  </si>
  <si>
    <t>maru</t>
    <phoneticPr fontId="10"/>
  </si>
  <si>
    <t>maru</t>
    <phoneticPr fontId="10"/>
  </si>
  <si>
    <t>kumo</t>
    <phoneticPr fontId="10"/>
  </si>
  <si>
    <t>giza</t>
    <phoneticPr fontId="10"/>
  </si>
  <si>
    <t>giza</t>
    <phoneticPr fontId="10"/>
  </si>
  <si>
    <t>maru</t>
    <phoneticPr fontId="10"/>
  </si>
  <si>
    <t>kumo</t>
    <phoneticPr fontId="10"/>
  </si>
  <si>
    <t>giza</t>
    <phoneticPr fontId="10"/>
  </si>
  <si>
    <t>maru</t>
    <phoneticPr fontId="10"/>
  </si>
  <si>
    <t>maru</t>
    <phoneticPr fontId="10"/>
  </si>
  <si>
    <t>maru</t>
    <phoneticPr fontId="10"/>
  </si>
  <si>
    <t>えーるをおくるよ！</t>
    <phoneticPr fontId="10"/>
  </si>
  <si>
    <t>あたしだってできる！</t>
    <phoneticPr fontId="10"/>
  </si>
  <si>
    <t>近寄らないで！</t>
    <rPh sb="0" eb="2">
      <t>チカヨ</t>
    </rPh>
    <phoneticPr fontId="10"/>
  </si>
  <si>
    <t>私の方が格上だよ！</t>
    <rPh sb="0" eb="1">
      <t>ワタシ</t>
    </rPh>
    <rPh sb="2" eb="3">
      <t>ホウ</t>
    </rPh>
    <rPh sb="4" eb="6">
      <t>カクウエ</t>
    </rPh>
    <phoneticPr fontId="10"/>
  </si>
  <si>
    <t>狩猟本能全開っ！！</t>
    <rPh sb="0" eb="2">
      <t>シュリョウ</t>
    </rPh>
    <rPh sb="2" eb="4">
      <t>ホンノウ</t>
    </rPh>
    <rPh sb="4" eb="6">
      <t>ゼンカ</t>
    </rPh>
    <phoneticPr fontId="10"/>
  </si>
  <si>
    <t>くっ！片目が疼く！</t>
    <rPh sb="3" eb="5">
      <t>カt</t>
    </rPh>
    <rPh sb="6" eb="7">
      <t>ウズ</t>
    </rPh>
    <phoneticPr fontId="10"/>
  </si>
  <si>
    <t>kumo</t>
    <phoneticPr fontId="10"/>
  </si>
  <si>
    <t>maru</t>
    <phoneticPr fontId="10"/>
  </si>
  <si>
    <t>kumo</t>
    <phoneticPr fontId="10"/>
  </si>
  <si>
    <t>giza</t>
    <phoneticPr fontId="10"/>
  </si>
  <si>
    <t>ハジケてもしーらない</t>
    <phoneticPr fontId="10"/>
  </si>
  <si>
    <t>maru</t>
    <phoneticPr fontId="10"/>
  </si>
  <si>
    <t>…斬！</t>
    <rPh sb="1" eb="2">
      <t>キ</t>
    </rPh>
    <phoneticPr fontId="10"/>
  </si>
  <si>
    <t>maru</t>
    <phoneticPr fontId="10"/>
  </si>
  <si>
    <t>あたしはだまされない</t>
    <phoneticPr fontId="10"/>
  </si>
  <si>
    <t>giza</t>
    <phoneticPr fontId="10"/>
  </si>
  <si>
    <t>からかってやるか！</t>
    <phoneticPr fontId="10"/>
  </si>
  <si>
    <t>giza</t>
    <phoneticPr fontId="10"/>
  </si>
  <si>
    <t>giza</t>
    <phoneticPr fontId="10"/>
  </si>
  <si>
    <t>giza</t>
    <phoneticPr fontId="10"/>
  </si>
  <si>
    <t>giza</t>
    <phoneticPr fontId="10"/>
  </si>
  <si>
    <t>giza</t>
    <phoneticPr fontId="10"/>
  </si>
  <si>
    <t>へっ…マジにさせたな</t>
    <phoneticPr fontId="10"/>
  </si>
  <si>
    <t>kumo</t>
    <phoneticPr fontId="10"/>
  </si>
  <si>
    <t>giza</t>
    <phoneticPr fontId="10"/>
  </si>
  <si>
    <t>maru</t>
    <phoneticPr fontId="10"/>
  </si>
  <si>
    <t>kumo</t>
    <phoneticPr fontId="10"/>
  </si>
  <si>
    <t>giza</t>
    <phoneticPr fontId="10"/>
  </si>
  <si>
    <t>腕のみせどころだ！</t>
    <rPh sb="0" eb="1">
      <t>ウデ</t>
    </rPh>
    <phoneticPr fontId="10"/>
  </si>
  <si>
    <t>giza</t>
    <phoneticPr fontId="10"/>
  </si>
  <si>
    <t>一刀両断！！</t>
    <rPh sb="0" eb="4">
      <t>イッt</t>
    </rPh>
    <phoneticPr fontId="10"/>
  </si>
  <si>
    <t>これが俺の全力だ！</t>
    <rPh sb="3" eb="8">
      <t>オr</t>
    </rPh>
    <phoneticPr fontId="10"/>
  </si>
  <si>
    <t>まとめてBBQだね！</t>
    <phoneticPr fontId="10"/>
  </si>
  <si>
    <t>giza</t>
    <phoneticPr fontId="10"/>
  </si>
  <si>
    <t>必要な犠牲だ！</t>
    <rPh sb="0" eb="3">
      <t>ヒツヨ</t>
    </rPh>
    <rPh sb="3" eb="5">
      <t>ギセ</t>
    </rPh>
    <phoneticPr fontId="10"/>
  </si>
  <si>
    <t>俺が正義だ！</t>
    <rPh sb="0" eb="2">
      <t>オr</t>
    </rPh>
    <rPh sb="2" eb="5">
      <t>セイg</t>
    </rPh>
    <phoneticPr fontId="10"/>
  </si>
  <si>
    <t>この正義を守るために！</t>
    <rPh sb="2" eb="4">
      <t>セイg</t>
    </rPh>
    <rPh sb="5" eb="11">
      <t>マモr</t>
    </rPh>
    <phoneticPr fontId="10"/>
  </si>
  <si>
    <t>星の声が聞こえる？</t>
    <rPh sb="0" eb="2">
      <t>☆</t>
    </rPh>
    <rPh sb="2" eb="3">
      <t>コ</t>
    </rPh>
    <rPh sb="4" eb="8">
      <t>キk</t>
    </rPh>
    <phoneticPr fontId="10"/>
  </si>
  <si>
    <t>燃え尽きなさい</t>
    <rPh sb="0" eb="7">
      <t>モ</t>
    </rPh>
    <phoneticPr fontId="10"/>
  </si>
  <si>
    <t>maru</t>
    <phoneticPr fontId="10"/>
  </si>
  <si>
    <t>これがエントロピーの最大</t>
    <rPh sb="10" eb="12">
      <t>サ</t>
    </rPh>
    <phoneticPr fontId="10"/>
  </si>
  <si>
    <t>maru</t>
    <phoneticPr fontId="10"/>
  </si>
  <si>
    <t>見る必要はない</t>
    <rPh sb="0" eb="2">
      <t>ミr</t>
    </rPh>
    <rPh sb="2" eb="7">
      <t>ヒツヨ</t>
    </rPh>
    <phoneticPr fontId="10"/>
  </si>
  <si>
    <t>数えきれるかい？</t>
    <rPh sb="0" eb="8">
      <t>カゾ</t>
    </rPh>
    <phoneticPr fontId="10"/>
  </si>
  <si>
    <t>証明終了だね</t>
    <rPh sb="0" eb="2">
      <t>ショウメイ</t>
    </rPh>
    <rPh sb="2" eb="5">
      <t>シュ</t>
    </rPh>
    <phoneticPr fontId="10"/>
  </si>
  <si>
    <t>燃えつきろ！</t>
    <rPh sb="0" eb="5">
      <t>モ</t>
    </rPh>
    <phoneticPr fontId="10"/>
  </si>
  <si>
    <t>灰にしてやろう</t>
    <rPh sb="0" eb="2">
      <t>ハイ</t>
    </rPh>
    <phoneticPr fontId="10"/>
  </si>
  <si>
    <t>王の一撃だ！</t>
    <rPh sb="0" eb="2">
      <t>オウ</t>
    </rPh>
    <rPh sb="2" eb="5">
      <t>イチゲk</t>
    </rPh>
    <phoneticPr fontId="10"/>
  </si>
  <si>
    <t>えいっ☆</t>
    <phoneticPr fontId="10"/>
  </si>
  <si>
    <t>みんな頑張ろっ！</t>
    <rPh sb="3" eb="6">
      <t>ガンバロ</t>
    </rPh>
    <phoneticPr fontId="10"/>
  </si>
  <si>
    <t>kumo</t>
    <phoneticPr fontId="10"/>
  </si>
  <si>
    <t>さあ、私の手をとって！</t>
    <rPh sb="3" eb="5">
      <t>ワタs</t>
    </rPh>
    <rPh sb="5" eb="7">
      <t>テw</t>
    </rPh>
    <phoneticPr fontId="10"/>
  </si>
  <si>
    <t>熱いね。キミ</t>
    <rPh sb="0" eb="3">
      <t>アt</t>
    </rPh>
    <phoneticPr fontId="10"/>
  </si>
  <si>
    <t>それで本気かい？</t>
    <rPh sb="3" eb="7">
      <t>ホンk</t>
    </rPh>
    <phoneticPr fontId="10"/>
  </si>
  <si>
    <t>お疲れ様。終わりだよ</t>
    <rPh sb="1" eb="4">
      <t>ツカr</t>
    </rPh>
    <rPh sb="5" eb="10">
      <t>オワリダy</t>
    </rPh>
    <phoneticPr fontId="10"/>
  </si>
  <si>
    <t>迷わず斬る！</t>
    <rPh sb="0" eb="3">
      <t>マヨワz</t>
    </rPh>
    <rPh sb="3" eb="5">
      <t>キr</t>
    </rPh>
    <phoneticPr fontId="10"/>
  </si>
  <si>
    <t>応ッ！</t>
    <rPh sb="0" eb="1">
      <t>オウ</t>
    </rPh>
    <phoneticPr fontId="10"/>
  </si>
  <si>
    <t>禅は剣に通ずる</t>
    <rPh sb="0" eb="2">
      <t>ゼンh</t>
    </rPh>
    <rPh sb="2" eb="4">
      <t>ケン</t>
    </rPh>
    <rPh sb="4" eb="7">
      <t>ツウz</t>
    </rPh>
    <phoneticPr fontId="10"/>
  </si>
  <si>
    <t>giza</t>
    <phoneticPr fontId="10"/>
  </si>
  <si>
    <t>maru</t>
    <phoneticPr fontId="10"/>
  </si>
  <si>
    <t>maru</t>
    <phoneticPr fontId="10"/>
  </si>
  <si>
    <t>maru</t>
    <phoneticPr fontId="10"/>
  </si>
  <si>
    <t>最大出力ですっ！</t>
    <rPh sb="0" eb="4">
      <t>サイダ</t>
    </rPh>
    <phoneticPr fontId="10"/>
  </si>
  <si>
    <t>R3→R4</t>
    <phoneticPr fontId="10"/>
  </si>
  <si>
    <t>1,2</t>
    <phoneticPr fontId="10"/>
  </si>
  <si>
    <t>R3→R4→R5</t>
    <phoneticPr fontId="10"/>
  </si>
  <si>
    <t>2,2,3</t>
    <phoneticPr fontId="10"/>
  </si>
  <si>
    <t>R4→R5</t>
    <phoneticPr fontId="10"/>
  </si>
  <si>
    <t>2,3</t>
    <phoneticPr fontId="10"/>
  </si>
  <si>
    <t>771</t>
    <phoneticPr fontId="10"/>
  </si>
  <si>
    <t>791</t>
    <phoneticPr fontId="10"/>
  </si>
  <si>
    <t>頭を冷やせ…！</t>
    <rPh sb="0" eb="1">
      <t>アタマ</t>
    </rPh>
    <rPh sb="2" eb="3">
      <t>ヒ</t>
    </rPh>
    <phoneticPr fontId="10"/>
  </si>
  <si>
    <t>神をも呑もうぞ！</t>
    <rPh sb="0" eb="2">
      <t>カm</t>
    </rPh>
    <phoneticPr fontId="10"/>
  </si>
  <si>
    <t>あけおめグヮ！</t>
    <phoneticPr fontId="10"/>
  </si>
  <si>
    <t>今年もよろしくグヮ！</t>
    <rPh sb="0" eb="3">
      <t>コトs</t>
    </rPh>
    <phoneticPr fontId="10"/>
  </si>
  <si>
    <t>こいこいでござる！</t>
    <phoneticPr fontId="10"/>
  </si>
  <si>
    <t>giza</t>
    <phoneticPr fontId="10"/>
  </si>
  <si>
    <t>牡丹に蝶！</t>
    <rPh sb="0" eb="3">
      <t>ボタン</t>
    </rPh>
    <rPh sb="3" eb="4">
      <t>チョ</t>
    </rPh>
    <phoneticPr fontId="10"/>
  </si>
  <si>
    <t>猪鹿蝶！揃ったでござる！</t>
    <rPh sb="0" eb="3">
      <t>イノシカチョ</t>
    </rPh>
    <rPh sb="4" eb="11">
      <t>ソロッt</t>
    </rPh>
    <phoneticPr fontId="10"/>
  </si>
  <si>
    <t>紅葉に鹿！</t>
    <rPh sb="0" eb="3">
      <t>モミz</t>
    </rPh>
    <rPh sb="3" eb="4">
      <t>シカ</t>
    </rPh>
    <phoneticPr fontId="10"/>
  </si>
  <si>
    <t>萩に猪！</t>
    <rPh sb="0" eb="2">
      <t>ハg</t>
    </rPh>
    <rPh sb="2" eb="3">
      <t>イン</t>
    </rPh>
    <phoneticPr fontId="10"/>
  </si>
  <si>
    <t>skill</t>
    <phoneticPr fontId="10"/>
  </si>
  <si>
    <t>盛り上がるのはこれから！</t>
    <rPh sb="0" eb="1">
      <t>モ</t>
    </rPh>
    <rPh sb="2" eb="3">
      <t>ア</t>
    </rPh>
    <phoneticPr fontId="10"/>
  </si>
  <si>
    <t>maru</t>
    <phoneticPr fontId="10"/>
  </si>
  <si>
    <t>ひっかき回してやるニャ！</t>
    <rPh sb="4" eb="5">
      <t>マワ</t>
    </rPh>
    <phoneticPr fontId="10"/>
  </si>
  <si>
    <t>ボクの本領発揮だニャ！？</t>
  </si>
  <si>
    <t>めざわりだニャ−！</t>
    <phoneticPr fontId="10"/>
  </si>
  <si>
    <t>からかってやるかニャ</t>
    <phoneticPr fontId="10"/>
  </si>
  <si>
    <t>ボクの縄張りニャ！</t>
    <rPh sb="3" eb="5">
      <t>ナワバ</t>
    </rPh>
    <phoneticPr fontId="10"/>
  </si>
  <si>
    <t>悪意よ、鎮まれ…</t>
    <rPh sb="0" eb="2">
      <t>アクイ</t>
    </rPh>
    <rPh sb="4" eb="5">
      <t>シズ</t>
    </rPh>
    <phoneticPr fontId="10"/>
  </si>
  <si>
    <t>悪い夢を見てくれよ？</t>
    <rPh sb="0" eb="1">
      <t>ワル</t>
    </rPh>
    <rPh sb="2" eb="3">
      <t>ユメ</t>
    </rPh>
    <rPh sb="4" eb="5">
      <t>ミ</t>
    </rPh>
    <phoneticPr fontId="10"/>
  </si>
  <si>
    <t>笛の音に酔いしれてくれよ</t>
    <rPh sb="0" eb="1">
      <t>フエ</t>
    </rPh>
    <rPh sb="2" eb="3">
      <t>ネ</t>
    </rPh>
    <rPh sb="4" eb="5">
      <t>ヨ</t>
    </rPh>
    <phoneticPr fontId="10"/>
  </si>
  <si>
    <t>災さ…彼らにとってのね！</t>
    <rPh sb="0" eb="1">
      <t>ワザワイ</t>
    </rPh>
    <rPh sb="3" eb="4">
      <t>カレ</t>
    </rPh>
    <phoneticPr fontId="10"/>
  </si>
  <si>
    <t>子どもは寝る時間だ…</t>
    <rPh sb="0" eb="1">
      <t>コ</t>
    </rPh>
    <rPh sb="4" eb="5">
      <t>ネ</t>
    </rPh>
    <rPh sb="6" eb="8">
      <t>ジカン</t>
    </rPh>
    <phoneticPr fontId="10"/>
  </si>
  <si>
    <t>俺の邪魔は決してさせん！</t>
    <rPh sb="0" eb="1">
      <t>オレ</t>
    </rPh>
    <rPh sb="2" eb="4">
      <t>ジャマ</t>
    </rPh>
    <rPh sb="5" eb="6">
      <t>ケッ</t>
    </rPh>
    <phoneticPr fontId="10"/>
  </si>
  <si>
    <t>giza</t>
    <phoneticPr fontId="10"/>
  </si>
  <si>
    <t>力が戻ってきたようだぞ？</t>
    <rPh sb="0" eb="1">
      <t>チカラ</t>
    </rPh>
    <rPh sb="2" eb="3">
      <t>モド</t>
    </rPh>
    <phoneticPr fontId="10"/>
  </si>
  <si>
    <t>maru</t>
    <phoneticPr fontId="10"/>
  </si>
  <si>
    <t>熱苦しいのは好きじゃない</t>
    <rPh sb="0" eb="5">
      <t>アt</t>
    </rPh>
    <rPh sb="6" eb="8">
      <t>スk</t>
    </rPh>
    <phoneticPr fontId="10"/>
  </si>
  <si>
    <t>見かけ倒しばかりだな</t>
    <rPh sb="0" eb="1">
      <t>ミ</t>
    </rPh>
    <rPh sb="3" eb="4">
      <t>タオ</t>
    </rPh>
    <phoneticPr fontId="10"/>
  </si>
  <si>
    <t>気に入らんな…その目</t>
    <rPh sb="0" eb="1">
      <t>キ</t>
    </rPh>
    <rPh sb="2" eb="3">
      <t>イ</t>
    </rPh>
    <rPh sb="9" eb="10">
      <t>メ</t>
    </rPh>
    <phoneticPr fontId="10"/>
  </si>
  <si>
    <t>拒絶してみるがいい！</t>
    <rPh sb="0" eb="2">
      <t>キョゼt</t>
    </rPh>
    <phoneticPr fontId="10"/>
  </si>
  <si>
    <t>髪が…ビリビリする…</t>
    <rPh sb="0" eb="1">
      <t>カミ</t>
    </rPh>
    <phoneticPr fontId="10"/>
  </si>
  <si>
    <t>近寄ると…感電します</t>
    <rPh sb="0" eb="2">
      <t>チカヨ</t>
    </rPh>
    <rPh sb="5" eb="7">
      <t>カンデン</t>
    </rPh>
    <phoneticPr fontId="10"/>
  </si>
  <si>
    <t>雷光よ…私を導いて！</t>
    <rPh sb="0" eb="2">
      <t>ライコウ</t>
    </rPh>
    <rPh sb="4" eb="5">
      <t>ワタシ</t>
    </rPh>
    <rPh sb="6" eb="7">
      <t>ミチビ</t>
    </rPh>
    <phoneticPr fontId="10"/>
  </si>
  <si>
    <t>未来は…切り開かなきゃ</t>
    <rPh sb="0" eb="2">
      <t>ミライ</t>
    </rPh>
    <rPh sb="4" eb="5">
      <t>キ</t>
    </rPh>
    <rPh sb="6" eb="7">
      <t>ヒラ</t>
    </rPh>
    <phoneticPr fontId="10"/>
  </si>
  <si>
    <t>この苦境抜け出します…！</t>
    <rPh sb="2" eb="4">
      <t>クキョウ</t>
    </rPh>
    <rPh sb="4" eb="5">
      <t>ヌ</t>
    </rPh>
    <rPh sb="6" eb="7">
      <t>ダ</t>
    </rPh>
    <phoneticPr fontId="10"/>
  </si>
  <si>
    <t>giza</t>
    <phoneticPr fontId="10"/>
  </si>
  <si>
    <t>補給OK！ぶっぱなすわ！</t>
    <rPh sb="0" eb="2">
      <t>ホキュウ</t>
    </rPh>
    <phoneticPr fontId="10"/>
  </si>
  <si>
    <t>前線まで突っ走るわよっ！</t>
    <rPh sb="0" eb="2">
      <t>ゼンセン</t>
    </rPh>
    <rPh sb="4" eb="5">
      <t>ツ</t>
    </rPh>
    <rPh sb="6" eb="7">
      <t>パシ</t>
    </rPh>
    <phoneticPr fontId="10"/>
  </si>
  <si>
    <t>至近距離でいくわよ？</t>
    <rPh sb="0" eb="4">
      <t>シキンキョリ</t>
    </rPh>
    <phoneticPr fontId="10"/>
  </si>
  <si>
    <t>無防備すぎるのよね！</t>
    <rPh sb="0" eb="3">
      <t>ムボウビ</t>
    </rPh>
    <phoneticPr fontId="10"/>
  </si>
  <si>
    <t>maru</t>
    <phoneticPr fontId="10"/>
  </si>
  <si>
    <t>これがフルオートよ！</t>
    <phoneticPr fontId="10"/>
  </si>
  <si>
    <t>クキキ…フクシュウ…ダ！</t>
    <phoneticPr fontId="10"/>
  </si>
  <si>
    <t>オーガ…ガ…サイキョウ！</t>
    <phoneticPr fontId="10"/>
  </si>
  <si>
    <t>モロソウダ…クキキ</t>
    <phoneticPr fontId="10"/>
  </si>
  <si>
    <t>maru</t>
    <phoneticPr fontId="10"/>
  </si>
  <si>
    <t>カミツイテ…ヤル…</t>
    <phoneticPr fontId="10"/>
  </si>
  <si>
    <t>skill</t>
    <phoneticPr fontId="10"/>
  </si>
  <si>
    <t>cskill</t>
    <phoneticPr fontId="10"/>
  </si>
  <si>
    <t>ニンゲン…クラウ！！</t>
    <phoneticPr fontId="10"/>
  </si>
  <si>
    <t>コレクションにしてやろう…！</t>
    <phoneticPr fontId="10"/>
  </si>
  <si>
    <t>興味が湧いたぞ！</t>
    <rPh sb="0" eb="2">
      <t>キョウm</t>
    </rPh>
    <rPh sb="3" eb="7">
      <t>ワイt</t>
    </rPh>
    <phoneticPr fontId="10"/>
  </si>
  <si>
    <t>新たな１ページだ</t>
    <rPh sb="0" eb="3">
      <t>アラt</t>
    </rPh>
    <rPh sb="4" eb="7">
      <t>イチペーz</t>
    </rPh>
    <phoneticPr fontId="10"/>
  </si>
  <si>
    <t>これで僕の思い通りだ…！</t>
    <rPh sb="3" eb="5">
      <t>ボk</t>
    </rPh>
    <rPh sb="5" eb="6">
      <t>オモ</t>
    </rPh>
    <rPh sb="7" eb="9">
      <t>ドオr</t>
    </rPh>
    <phoneticPr fontId="10"/>
  </si>
  <si>
    <t>キャッチ＆コレクション！</t>
    <phoneticPr fontId="10"/>
  </si>
  <si>
    <t>maru</t>
    <phoneticPr fontId="10"/>
  </si>
  <si>
    <t>ja</t>
    <phoneticPr fontId="10"/>
  </si>
  <si>
    <t>ja</t>
    <phoneticPr fontId="10"/>
  </si>
  <si>
    <t>maru</t>
    <phoneticPr fontId="10"/>
  </si>
  <si>
    <t>生きてると思う？</t>
    <phoneticPr fontId="10"/>
  </si>
  <si>
    <t>死んでるのかな？</t>
    <rPh sb="0" eb="8">
      <t>シンデルノカナ</t>
    </rPh>
    <phoneticPr fontId="10"/>
  </si>
  <si>
    <t>どっちだろうね</t>
    <phoneticPr fontId="10"/>
  </si>
  <si>
    <t>さあ、矛盾を指摘するよ</t>
    <phoneticPr fontId="10"/>
  </si>
  <si>
    <t>maru</t>
    <phoneticPr fontId="10"/>
  </si>
  <si>
    <t>はいみんな、迎撃準備よ！</t>
    <rPh sb="6" eb="10">
      <t>ゲイゲk</t>
    </rPh>
    <phoneticPr fontId="10"/>
  </si>
  <si>
    <t>およびじゃないわ！</t>
    <phoneticPr fontId="10"/>
  </si>
  <si>
    <t>近付かないで！</t>
    <rPh sb="0" eb="6">
      <t>チカヅカン</t>
    </rPh>
    <phoneticPr fontId="10"/>
  </si>
  <si>
    <t>触ったらぶっ飛ばすわよ！</t>
    <rPh sb="0" eb="11">
      <t>サw</t>
    </rPh>
    <phoneticPr fontId="10"/>
  </si>
  <si>
    <t>閉じ込めようかしら？</t>
    <rPh sb="0" eb="1">
      <t>ト</t>
    </rPh>
    <rPh sb="2" eb="9">
      <t>k</t>
    </rPh>
    <phoneticPr fontId="10"/>
  </si>
  <si>
    <t>maru</t>
    <phoneticPr fontId="10"/>
  </si>
  <si>
    <t>実験を始めましょう！</t>
    <rPh sb="0" eb="3">
      <t>ジッケン</t>
    </rPh>
    <rPh sb="3" eb="9">
      <t>ハジm</t>
    </rPh>
    <phoneticPr fontId="10"/>
  </si>
  <si>
    <t>分解しちゃうぞー！</t>
    <rPh sb="0" eb="2">
      <t>ブンk</t>
    </rPh>
    <phoneticPr fontId="10"/>
  </si>
  <si>
    <t>電力最大！</t>
    <rPh sb="0" eb="4">
      <t>デンry</t>
    </rPh>
    <phoneticPr fontId="10"/>
  </si>
  <si>
    <t>スイッチオン！覚悟して！</t>
    <rPh sb="7" eb="11">
      <t>カクゴs</t>
    </rPh>
    <phoneticPr fontId="10"/>
  </si>
  <si>
    <t>回転数MAX！</t>
    <rPh sb="0" eb="3">
      <t>カ</t>
    </rPh>
    <phoneticPr fontId="10"/>
  </si>
  <si>
    <t>kumo</t>
    <phoneticPr fontId="10"/>
  </si>
  <si>
    <t>giza</t>
    <phoneticPr fontId="10"/>
  </si>
  <si>
    <t>maru</t>
    <phoneticPr fontId="10"/>
  </si>
  <si>
    <t>一緒に遊ぼ！</t>
    <rPh sb="0" eb="3">
      <t>イッsy</t>
    </rPh>
    <rPh sb="3" eb="6">
      <t>アソb</t>
    </rPh>
    <phoneticPr fontId="10"/>
  </si>
  <si>
    <t>maru</t>
    <phoneticPr fontId="10"/>
  </si>
  <si>
    <t>もっと遊ぼうよ！</t>
    <rPh sb="3" eb="8">
      <t>アソボ</t>
    </rPh>
    <phoneticPr fontId="10"/>
  </si>
  <si>
    <t>じたばたしないでー！</t>
    <phoneticPr fontId="10"/>
  </si>
  <si>
    <t>ネズミのおもちゃだー！</t>
    <phoneticPr fontId="10"/>
  </si>
  <si>
    <t>新しいおもちゃまだかなー</t>
    <rPh sb="0" eb="3">
      <t>アタラs</t>
    </rPh>
    <phoneticPr fontId="10"/>
  </si>
  <si>
    <t xml:space="preserve"> </t>
    <phoneticPr fontId="10"/>
  </si>
  <si>
    <t>maru</t>
    <phoneticPr fontId="10"/>
  </si>
  <si>
    <t>銀河の輝き、見せてあげるわ！</t>
    <phoneticPr fontId="10"/>
  </si>
  <si>
    <t>skill</t>
    <phoneticPr fontId="10"/>
  </si>
  <si>
    <t>輝く銀河のように！</t>
    <rPh sb="0" eb="2">
      <t>カガヤk</t>
    </rPh>
    <phoneticPr fontId="10"/>
  </si>
  <si>
    <t>宇宙を感じなさい！</t>
    <rPh sb="0" eb="2">
      <t>ウチュ</t>
    </rPh>
    <rPh sb="3" eb="8">
      <t>カンj</t>
    </rPh>
    <phoneticPr fontId="10"/>
  </si>
  <si>
    <t>あの星まで届け！</t>
    <phoneticPr fontId="10"/>
  </si>
  <si>
    <t>ハァーッハッハッハ！！</t>
    <phoneticPr fontId="10"/>
  </si>
  <si>
    <t>全ては繋がっています</t>
    <rPh sb="0" eb="1">
      <t>スベ</t>
    </rPh>
    <rPh sb="3" eb="4">
      <t>ツナ</t>
    </rPh>
    <phoneticPr fontId="10"/>
  </si>
  <si>
    <t>裏も表もありませんよ</t>
    <rPh sb="0" eb="1">
      <t>ウラ</t>
    </rPh>
    <rPh sb="2" eb="3">
      <t>オモテ</t>
    </rPh>
    <phoneticPr fontId="10"/>
  </si>
  <si>
    <t>散りばめます</t>
    <rPh sb="0" eb="1">
      <t>チ</t>
    </rPh>
    <phoneticPr fontId="10"/>
  </si>
  <si>
    <t>収束します</t>
    <rPh sb="0" eb="2">
      <t>シュウソク</t>
    </rPh>
    <phoneticPr fontId="10"/>
  </si>
  <si>
    <t>全てを集めました</t>
    <rPh sb="0" eb="1">
      <t>スベ</t>
    </rPh>
    <rPh sb="3" eb="4">
      <t>アツ</t>
    </rPh>
    <phoneticPr fontId="10"/>
  </si>
  <si>
    <t>燃やし尽くすぜッ!!</t>
    <rPh sb="0" eb="1">
      <t>モ</t>
    </rPh>
    <rPh sb="3" eb="4">
      <t>ツ</t>
    </rPh>
    <phoneticPr fontId="10"/>
  </si>
  <si>
    <t>吹き飛べッ!!</t>
    <rPh sb="0" eb="1">
      <t>フ</t>
    </rPh>
    <rPh sb="2" eb="3">
      <t>ト</t>
    </rPh>
    <phoneticPr fontId="10"/>
  </si>
  <si>
    <t>覚悟しろッ!!</t>
    <rPh sb="0" eb="2">
      <t>カクゴ</t>
    </rPh>
    <phoneticPr fontId="10"/>
  </si>
  <si>
    <t>爆炎に呑まれろ…</t>
    <rPh sb="0" eb="2">
      <t>バクエン</t>
    </rPh>
    <rPh sb="3" eb="4">
      <t>ノ</t>
    </rPh>
    <phoneticPr fontId="10"/>
  </si>
  <si>
    <t>焼き払うぞッ!!</t>
    <rPh sb="0" eb="1">
      <t>ヤ</t>
    </rPh>
    <rPh sb="2" eb="3">
      <t>ハラ</t>
    </rPh>
    <phoneticPr fontId="10"/>
  </si>
  <si>
    <t>giza</t>
    <phoneticPr fontId="10"/>
  </si>
  <si>
    <t>giza</t>
    <phoneticPr fontId="10"/>
  </si>
  <si>
    <t>んー…そこに決めた！</t>
    <rPh sb="6" eb="10">
      <t>キm</t>
    </rPh>
    <phoneticPr fontId="10"/>
  </si>
  <si>
    <t>まとめてやっちゃうよ！</t>
    <phoneticPr fontId="10"/>
  </si>
  <si>
    <t>ボクの描図、見せてあげる！</t>
    <rPh sb="3" eb="4">
      <t>カk</t>
    </rPh>
    <rPh sb="4" eb="6">
      <t>ズ</t>
    </rPh>
    <rPh sb="6" eb="12">
      <t>ミs</t>
    </rPh>
    <phoneticPr fontId="10"/>
  </si>
  <si>
    <t>レッスン！！</t>
    <phoneticPr fontId="10"/>
  </si>
  <si>
    <t>キミにわかる？</t>
    <phoneticPr fontId="10"/>
  </si>
  <si>
    <t>maru</t>
    <phoneticPr fontId="10"/>
  </si>
  <si>
    <t>maru</t>
    <phoneticPr fontId="10"/>
  </si>
  <si>
    <t>戦況を解読します…</t>
    <phoneticPr fontId="10"/>
  </si>
  <si>
    <t>対象を処理します…</t>
    <phoneticPr fontId="10"/>
  </si>
  <si>
    <t>実行します…</t>
    <phoneticPr fontId="10"/>
  </si>
  <si>
    <t>デコード…</t>
    <phoneticPr fontId="10"/>
  </si>
  <si>
    <t>身の程知らずですね…</t>
    <rPh sb="0" eb="1">
      <t>ミ</t>
    </rPh>
    <rPh sb="2" eb="3">
      <t>ホド</t>
    </rPh>
    <rPh sb="3" eb="4">
      <t>シ</t>
    </rPh>
    <phoneticPr fontId="10"/>
  </si>
  <si>
    <t>さあ…命令実行よ</t>
    <rPh sb="3" eb="5">
      <t>メイレ</t>
    </rPh>
    <rPh sb="5" eb="8">
      <t>ジッコ</t>
    </rPh>
    <phoneticPr fontId="10"/>
  </si>
  <si>
    <t>耐え切れるかしら？</t>
    <rPh sb="0" eb="5">
      <t>タ</t>
    </rPh>
    <phoneticPr fontId="10"/>
  </si>
  <si>
    <t>目障りよ</t>
    <rPh sb="0" eb="4">
      <t>メザワr</t>
    </rPh>
    <phoneticPr fontId="10"/>
  </si>
  <si>
    <t>覚悟しなさい</t>
    <rPh sb="0" eb="6">
      <t>カクg</t>
    </rPh>
    <phoneticPr fontId="10"/>
  </si>
  <si>
    <t>skill</t>
    <phoneticPr fontId="10"/>
  </si>
  <si>
    <t>それは意味のないものよ</t>
    <rPh sb="3" eb="6">
      <t>イm</t>
    </rPh>
    <phoneticPr fontId="10"/>
  </si>
  <si>
    <t>邪魔しないで</t>
    <rPh sb="0" eb="6">
      <t>ジャm</t>
    </rPh>
    <phoneticPr fontId="10"/>
  </si>
  <si>
    <t>これで終わりよ</t>
    <rPh sb="3" eb="6">
      <t>オワr</t>
    </rPh>
    <phoneticPr fontId="10"/>
  </si>
  <si>
    <t>あなたでは無理よ</t>
    <rPh sb="5" eb="7">
      <t>ムr</t>
    </rPh>
    <phoneticPr fontId="10"/>
  </si>
  <si>
    <t>美しくなりなさい！</t>
    <phoneticPr fontId="10"/>
  </si>
  <si>
    <t>面白いわね</t>
    <phoneticPr fontId="10"/>
  </si>
  <si>
    <t>熱くなるわよ</t>
    <phoneticPr fontId="10"/>
  </si>
  <si>
    <t>気をつけなさい</t>
    <phoneticPr fontId="10"/>
  </si>
  <si>
    <t>ヘイウェイ</t>
    <phoneticPr fontId="10"/>
  </si>
  <si>
    <t>ヘイウェイ</t>
    <phoneticPr fontId="10"/>
  </si>
  <si>
    <t>skill</t>
    <phoneticPr fontId="10"/>
  </si>
  <si>
    <t>cskill</t>
    <phoneticPr fontId="10"/>
  </si>
  <si>
    <t>cskill</t>
    <phoneticPr fontId="10"/>
  </si>
  <si>
    <t>cskill</t>
    <phoneticPr fontId="10"/>
  </si>
  <si>
    <t>cskill</t>
    <phoneticPr fontId="10"/>
  </si>
  <si>
    <t>極閃描牙 ヘイウェイ</t>
    <rPh sb="0" eb="1">
      <t>キョk</t>
    </rPh>
    <rPh sb="1" eb="2">
      <t>イッセn</t>
    </rPh>
    <rPh sb="2" eb="3">
      <t>エガク</t>
    </rPh>
    <phoneticPr fontId="10"/>
  </si>
  <si>
    <t>お願い…起きて軌跡！</t>
    <rPh sb="7" eb="9">
      <t>キs</t>
    </rPh>
    <phoneticPr fontId="10"/>
  </si>
  <si>
    <t>レイヤー統合！行っけー！</t>
    <rPh sb="7" eb="8">
      <t>イk</t>
    </rPh>
    <phoneticPr fontId="10"/>
  </si>
  <si>
    <t>kumo</t>
    <phoneticPr fontId="10"/>
  </si>
  <si>
    <t>giza</t>
    <phoneticPr fontId="10"/>
  </si>
  <si>
    <t>giza</t>
    <phoneticPr fontId="10"/>
  </si>
  <si>
    <t>ペンだけが頼りだね…</t>
    <rPh sb="5" eb="6">
      <t>タヨリd</t>
    </rPh>
    <phoneticPr fontId="10"/>
  </si>
  <si>
    <t>効果ON！燃えてー！</t>
    <rPh sb="0" eb="2">
      <t>コウk</t>
    </rPh>
    <rPh sb="5" eb="6">
      <t>モ</t>
    </rPh>
    <phoneticPr fontId="10"/>
  </si>
  <si>
    <t>一瞬で描き終える…！</t>
    <rPh sb="0" eb="2">
      <t>イッシュn</t>
    </rPh>
    <rPh sb="3" eb="4">
      <t>エガk</t>
    </rPh>
    <phoneticPr fontId="10"/>
  </si>
  <si>
    <t>火傷しちゃうかも…？</t>
    <rPh sb="0" eb="2">
      <t>ヤケd</t>
    </rPh>
    <phoneticPr fontId="10"/>
  </si>
  <si>
    <t>殲滅すると言ったはず</t>
    <phoneticPr fontId="10"/>
  </si>
  <si>
    <t>始めましょう…正常なセカイを</t>
    <phoneticPr fontId="10"/>
  </si>
  <si>
    <t>…解体させてもらうぞ！</t>
    <phoneticPr fontId="10"/>
  </si>
  <si>
    <t>giza</t>
    <phoneticPr fontId="10"/>
  </si>
  <si>
    <t>雑魚は引っ込め！</t>
    <phoneticPr fontId="10"/>
  </si>
  <si>
    <t>maru</t>
    <phoneticPr fontId="10"/>
  </si>
  <si>
    <t>大穴を開けてやるか…</t>
    <phoneticPr fontId="10"/>
  </si>
  <si>
    <t>手加減はできんぞ…！</t>
    <phoneticPr fontId="10"/>
  </si>
  <si>
    <t>giza</t>
  </si>
  <si>
    <t>どんな形も自由自在だよ！</t>
  </si>
  <si>
    <t>maru</t>
  </si>
  <si>
    <t>キミも指導が必要かな？</t>
  </si>
  <si>
    <t>さて…何色に見えるかな？</t>
    <phoneticPr fontId="10"/>
  </si>
  <si>
    <t>真実を受け入れるんだね</t>
    <phoneticPr fontId="10"/>
  </si>
  <si>
    <t>みんないくぞー！</t>
    <phoneticPr fontId="10"/>
  </si>
  <si>
    <t>えいえいおー！</t>
  </si>
  <si>
    <t>傷を舐めるワン</t>
  </si>
  <si>
    <t>すぐに治すワン！</t>
  </si>
  <si>
    <t>ビガビガ！！</t>
  </si>
  <si>
    <t>ビガガガガ！！！</t>
  </si>
  <si>
    <t>やってやるぜッ！！！</t>
  </si>
  <si>
    <t>いくぜッッッ！！！</t>
  </si>
  <si>
    <t>ばんばん！</t>
  </si>
  <si>
    <t>ねらいうちだ！</t>
  </si>
  <si>
    <t>侵入者だワン！</t>
  </si>
  <si>
    <t>冷え冷えだワン！</t>
  </si>
  <si>
    <t>ガガガ・・</t>
  </si>
  <si>
    <t>ガガ・・ビ・・・</t>
  </si>
  <si>
    <t>気をつけなッ！！</t>
  </si>
  <si>
    <t>燃やすぜッ！！</t>
  </si>
  <si>
    <t>ねぇ…あたしと遊ばない？</t>
    <phoneticPr fontId="10"/>
  </si>
  <si>
    <t>羊になっちゃえー！！</t>
    <phoneticPr fontId="10"/>
  </si>
  <si>
    <t>夢よ覚めないでー！</t>
  </si>
  <si>
    <t>モテたいだけなのに！</t>
    <phoneticPr fontId="10"/>
  </si>
  <si>
    <t>嫌な出会いだったわね</t>
    <phoneticPr fontId="10"/>
  </si>
  <si>
    <t>やだ！あっち行って！</t>
    <phoneticPr fontId="10"/>
  </si>
  <si>
    <t>ここから先は予測不能よ</t>
    <phoneticPr fontId="10"/>
  </si>
  <si>
    <t>空を観なさい…終わりよ</t>
    <phoneticPr fontId="10"/>
  </si>
  <si>
    <t>勝利への軌跡が見えました</t>
  </si>
  <si>
    <t>連鎖反応という現象です</t>
    <phoneticPr fontId="10"/>
  </si>
  <si>
    <t>あれ？口だけなのかしら？</t>
  </si>
  <si>
    <t>見惚れさせてあげる！</t>
  </si>
  <si>
    <t>giza</t>
    <phoneticPr fontId="10"/>
  </si>
  <si>
    <t>私の前は走らせない！</t>
  </si>
  <si>
    <t>ほら捕まえてごらん！</t>
  </si>
  <si>
    <t>解けるものならどーぞ！！</t>
  </si>
  <si>
    <t>道を開けなさいっ！！</t>
  </si>
  <si>
    <t>全ては妾の元へ収束する！</t>
  </si>
  <si>
    <t>妾の角は天をも貫く…！</t>
  </si>
  <si>
    <t>君の「状態」はどうだい？</t>
  </si>
  <si>
    <t>どちらにせよ、凄惨だよ</t>
  </si>
  <si>
    <t>盛り上がってきたのよね！</t>
  </si>
  <si>
    <t>giza</t>
    <phoneticPr fontId="10"/>
  </si>
  <si>
    <t>追いかけっこは終わりよ</t>
  </si>
  <si>
    <t>この運命…貫いてみせる！</t>
    <phoneticPr fontId="10"/>
  </si>
  <si>
    <t>まだ終われないのよ！！</t>
    <rPh sb="2" eb="3">
      <t>オ</t>
    </rPh>
    <phoneticPr fontId="10"/>
  </si>
  <si>
    <t>ここから巻き返しだニャ！</t>
    <phoneticPr fontId="10"/>
  </si>
  <si>
    <t>倒れてもらうニャー！</t>
  </si>
  <si>
    <t>響かせよう…弾けるほど！</t>
    <rPh sb="0" eb="1">
      <t>ヒビ</t>
    </rPh>
    <rPh sb="6" eb="7">
      <t>ハジ</t>
    </rPh>
    <phoneticPr fontId="10"/>
  </si>
  <si>
    <t>さぁ…いい子だね……</t>
    <phoneticPr fontId="10"/>
  </si>
  <si>
    <t>わたしがいつ嘘をついた？</t>
    <rPh sb="6" eb="7">
      <t>ウソ</t>
    </rPh>
    <phoneticPr fontId="10"/>
  </si>
  <si>
    <t>散り際は賑やかに…な！</t>
    <phoneticPr fontId="10"/>
  </si>
  <si>
    <t>俺に逆らうか…つまり悪だな</t>
    <phoneticPr fontId="10"/>
  </si>
  <si>
    <t>刻め！俺の力こそ正義！</t>
    <rPh sb="0" eb="1">
      <t>キザ</t>
    </rPh>
    <rPh sb="3" eb="4">
      <t>オレ</t>
    </rPh>
    <rPh sb="5" eb="6">
      <t>チカラ</t>
    </rPh>
    <rPh sb="8" eb="10">
      <t>セイギ</t>
    </rPh>
    <phoneticPr fontId="10"/>
  </si>
  <si>
    <t>一番星みーつけたっ！</t>
  </si>
  <si>
    <t>無限の銀河に呑まれちゃえ！</t>
  </si>
  <si>
    <t>はいはーい！やっちゃうよ！</t>
  </si>
  <si>
    <t>まだまだよー！足りないわ！</t>
  </si>
  <si>
    <t>あなた達も覗いてみる？</t>
  </si>
  <si>
    <t>見える…あなたの運命が！</t>
  </si>
  <si>
    <t>星々に祈るのよ…！</t>
  </si>
  <si>
    <t>きらめけ！銀河たち！</t>
  </si>
  <si>
    <t>溶かし尽くしちゃうよ！</t>
  </si>
  <si>
    <t>当たる…かな？？</t>
  </si>
  <si>
    <t>あっつーい！！やり過ぎ？</t>
  </si>
  <si>
    <t>限界突破！いっちゃうよ！</t>
  </si>
  <si>
    <t>最終計算結果です…</t>
    <phoneticPr fontId="10"/>
  </si>
  <si>
    <t>完全に破壊します…</t>
    <phoneticPr fontId="10"/>
  </si>
  <si>
    <t>パーティタイム…開始よ！</t>
    <phoneticPr fontId="10"/>
  </si>
  <si>
    <t>耐えたら褒めてあげる</t>
  </si>
  <si>
    <t>限界ギリギリまでっ！！</t>
    <phoneticPr fontId="10"/>
  </si>
  <si>
    <t>記録には残してあげる！</t>
  </si>
  <si>
    <t>ピンと来たのよ</t>
  </si>
  <si>
    <t>その顔が見たかったわ</t>
  </si>
  <si>
    <t>私の元気、分けてあげる！</t>
  </si>
  <si>
    <t>笑顔満開だよっ！</t>
  </si>
  <si>
    <t>えへへ、空から来ちゃった♪</t>
  </si>
  <si>
    <t>天まで連れて行ってあげる！</t>
  </si>
  <si>
    <t>数字の加護がありますように</t>
  </si>
  <si>
    <t>キミの心を浄化してあげる♪</t>
  </si>
  <si>
    <t>嫌な事も全部消してあげる…</t>
  </si>
  <si>
    <t>ふふ…引きずり込んであげる</t>
  </si>
  <si>
    <t>私が怖いの…？ふふ……</t>
  </si>
  <si>
    <t>さぁいらっしゃい…</t>
  </si>
  <si>
    <t>一緒になりましょう……</t>
  </si>
  <si>
    <t>時の狭間に閉じ込めるわ</t>
    <phoneticPr fontId="10"/>
  </si>
  <si>
    <t>悪いようにはしないさ…！</t>
    <rPh sb="0" eb="1">
      <t>ワル</t>
    </rPh>
    <phoneticPr fontId="10"/>
  </si>
  <si>
    <t>特別だ！全部見せよう！</t>
    <phoneticPr fontId="10"/>
  </si>
  <si>
    <t>最期まで遊ぶ約束でしょ！</t>
    <phoneticPr fontId="10"/>
  </si>
  <si>
    <t>次は追いかけっこだよ！</t>
    <phoneticPr fontId="10"/>
  </si>
  <si>
    <t>見上げてみれば解るわ…！</t>
    <phoneticPr fontId="10"/>
  </si>
  <si>
    <t>残念！もう掴んだわ！</t>
    <phoneticPr fontId="10"/>
  </si>
  <si>
    <t>全てに力を込めてあります…</t>
    <phoneticPr fontId="10"/>
  </si>
  <si>
    <t>いいでしょう…お見せします</t>
    <phoneticPr fontId="10"/>
  </si>
  <si>
    <t>勉強の時間にしましょう</t>
    <phoneticPr fontId="10"/>
  </si>
  <si>
    <t>ほんの実験ですよ…ふふ</t>
    <phoneticPr fontId="10"/>
  </si>
  <si>
    <t>衝撃にご注意を…</t>
    <phoneticPr fontId="10"/>
  </si>
  <si>
    <t>kumo</t>
    <phoneticPr fontId="10"/>
  </si>
  <si>
    <t>あぁ…歪み…綺麗……</t>
    <phoneticPr fontId="10"/>
  </si>
  <si>
    <t>5091</t>
  </si>
  <si>
    <t>giza</t>
    <phoneticPr fontId="10"/>
  </si>
  <si>
    <t>ついてこれる？この反射に！</t>
    <phoneticPr fontId="10"/>
  </si>
  <si>
    <t>光はどこへでも進むの…！</t>
    <phoneticPr fontId="10"/>
  </si>
  <si>
    <t>最短距離で撃ちこむわ！</t>
    <phoneticPr fontId="10"/>
  </si>
  <si>
    <t>配置カンペキ…ゴー！！</t>
    <phoneticPr fontId="10"/>
  </si>
  <si>
    <t>到達点確認、反射開始！</t>
    <phoneticPr fontId="10"/>
  </si>
  <si>
    <t>反射角最適…終わりよ！</t>
    <phoneticPr fontId="10"/>
  </si>
  <si>
    <t>私が輝く時が来たようです！</t>
    <phoneticPr fontId="10"/>
  </si>
  <si>
    <t>これが私の決意の証…！</t>
    <phoneticPr fontId="10"/>
  </si>
  <si>
    <t>急所は視えた…決めるぞ！</t>
    <phoneticPr fontId="10"/>
  </si>
  <si>
    <t>この一撃で切り開く！</t>
    <phoneticPr fontId="10"/>
  </si>
  <si>
    <t>古の力…素晴らしいわ！</t>
  </si>
  <si>
    <t>この神秘…味わってみる？</t>
  </si>
  <si>
    <t>腕が鳴るね…行くよ！</t>
    <phoneticPr fontId="10"/>
  </si>
  <si>
    <t>触れたら最後だよ</t>
    <phoneticPr fontId="10"/>
  </si>
  <si>
    <t>総力戦といこうか</t>
    <phoneticPr fontId="10"/>
  </si>
  <si>
    <t>こっちはチームだから…！</t>
    <phoneticPr fontId="10"/>
  </si>
  <si>
    <t>この空間に…溺れなよ</t>
    <phoneticPr fontId="10"/>
  </si>
  <si>
    <t>電磁団、Ready…？？</t>
    <phoneticPr fontId="10"/>
  </si>
  <si>
    <t>kumo</t>
    <phoneticPr fontId="10"/>
  </si>
  <si>
    <t>そこへ並べ…ぶった斬る</t>
  </si>
  <si>
    <t>答は出ている…観念しろ</t>
  </si>
  <si>
    <t>抜刀も辞さない覚悟だ</t>
  </si>
  <si>
    <t>…凝り固まっているな</t>
  </si>
  <si>
    <t>解き方は教えたはずだが</t>
  </si>
  <si>
    <t>これも算術の賜物だ…</t>
    <phoneticPr fontId="10"/>
  </si>
  <si>
    <t>これが私のフルパワーです！</t>
    <phoneticPr fontId="10"/>
  </si>
  <si>
    <t>ブッ壊しちゃいますよ〜！</t>
    <phoneticPr fontId="10"/>
  </si>
  <si>
    <t>一気にいきます！！</t>
    <phoneticPr fontId="10"/>
  </si>
  <si>
    <t>その心、貫かせてもらう！</t>
    <phoneticPr fontId="10"/>
  </si>
  <si>
    <t>見えた！そこよ！</t>
    <phoneticPr fontId="10"/>
  </si>
  <si>
    <t>この動き…見切れるか？</t>
    <phoneticPr fontId="10"/>
  </si>
  <si>
    <t>隙ありだ！</t>
    <phoneticPr fontId="10"/>
  </si>
  <si>
    <t>何度でも立ち上がるわ！</t>
    <rPh sb="0" eb="2">
      <t>ナンd</t>
    </rPh>
    <rPh sb="4" eb="5">
      <t>タチアガr</t>
    </rPh>
    <phoneticPr fontId="10"/>
  </si>
  <si>
    <t>この矛先に掛けて！</t>
    <rPh sb="5" eb="6">
      <t>カケテ</t>
    </rPh>
    <phoneticPr fontId="10"/>
  </si>
  <si>
    <t>まだまだやられません！</t>
    <phoneticPr fontId="10"/>
  </si>
  <si>
    <t>水よ、轟け！！</t>
    <rPh sb="0" eb="1">
      <t>ミz</t>
    </rPh>
    <rPh sb="3" eb="4">
      <t>トドロk</t>
    </rPh>
    <phoneticPr fontId="10"/>
  </si>
  <si>
    <t>忍びの力…舐めるなよ！</t>
    <rPh sb="0" eb="1">
      <t>シn</t>
    </rPh>
    <rPh sb="5" eb="6">
      <t>ナメルナヨ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</si>
</sst>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color theme="1"/>
      <name val="MS PGothic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</borders>
  <cellStyleXfs count="482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>
      <alignment vertical="center"/>
    </xf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93">
    <xf numFmtId="0" fontId="0" fillId="0" borderId="0" xfId="0"/>
    <xf numFmtId="0" fontId="11" fillId="6" borderId="1" xfId="0" applyFont="1" applyFill="1" applyBorder="1"/>
    <xf numFmtId="0" fontId="0" fillId="6" borderId="1" xfId="0" applyFill="1" applyBorder="1"/>
    <xf numFmtId="0" fontId="0" fillId="0" borderId="1" xfId="0" applyBorder="1"/>
    <xf numFmtId="0" fontId="0" fillId="0" borderId="1" xfId="0" applyFill="1" applyBorder="1"/>
    <xf numFmtId="0" fontId="0" fillId="4" borderId="1" xfId="0" applyFill="1" applyBorder="1"/>
    <xf numFmtId="0" fontId="0" fillId="7" borderId="1" xfId="0" applyFill="1" applyBorder="1"/>
    <xf numFmtId="0" fontId="0" fillId="5" borderId="2" xfId="0" applyFill="1" applyBorder="1"/>
    <xf numFmtId="0" fontId="0" fillId="5" borderId="1" xfId="0" applyFill="1" applyBorder="1"/>
    <xf numFmtId="0" fontId="0" fillId="8" borderId="1" xfId="0" applyFill="1" applyBorder="1"/>
    <xf numFmtId="0" fontId="0" fillId="8" borderId="0" xfId="0" applyFill="1"/>
    <xf numFmtId="0" fontId="13" fillId="0" borderId="1" xfId="0" applyFont="1" applyFill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0" fontId="14" fillId="5" borderId="1" xfId="0" applyFont="1" applyFill="1" applyBorder="1" applyAlignment="1">
      <alignment vertical="center" wrapText="1"/>
    </xf>
    <xf numFmtId="0" fontId="13" fillId="0" borderId="3" xfId="0" applyFont="1" applyFill="1" applyBorder="1" applyAlignment="1">
      <alignment horizontal="right" vertical="center"/>
    </xf>
    <xf numFmtId="0" fontId="13" fillId="0" borderId="4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right" vertical="center" wrapText="1"/>
    </xf>
    <xf numFmtId="0" fontId="14" fillId="8" borderId="1" xfId="0" applyFont="1" applyFill="1" applyBorder="1" applyAlignment="1">
      <alignment horizontal="left" vertical="center" wrapText="1"/>
    </xf>
    <xf numFmtId="0" fontId="13" fillId="5" borderId="1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horizontal="left" vertical="center"/>
    </xf>
    <xf numFmtId="0" fontId="14" fillId="5" borderId="1" xfId="0" applyFont="1" applyFill="1" applyBorder="1" applyAlignment="1">
      <alignment horizontal="left" vertical="center" wrapText="1"/>
    </xf>
    <xf numFmtId="0" fontId="14" fillId="11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right" vertical="center" wrapText="1"/>
    </xf>
    <xf numFmtId="0" fontId="15" fillId="5" borderId="1" xfId="0" applyFont="1" applyFill="1" applyBorder="1" applyAlignment="1">
      <alignment vertical="center" wrapText="1"/>
    </xf>
    <xf numFmtId="0" fontId="16" fillId="10" borderId="4" xfId="0" applyFont="1" applyFill="1" applyBorder="1" applyAlignment="1">
      <alignment horizontal="left" vertical="center" wrapText="1"/>
    </xf>
    <xf numFmtId="0" fontId="16" fillId="5" borderId="1" xfId="0" applyFont="1" applyFill="1" applyBorder="1" applyAlignment="1">
      <alignment horizontal="right" vertical="center" wrapText="1"/>
    </xf>
    <xf numFmtId="0" fontId="16" fillId="10" borderId="1" xfId="0" applyFont="1" applyFill="1" applyBorder="1" applyAlignment="1">
      <alignment horizontal="left" vertical="center" wrapText="1"/>
    </xf>
    <xf numFmtId="0" fontId="13" fillId="5" borderId="1" xfId="0" applyFont="1" applyFill="1" applyBorder="1" applyAlignment="1">
      <alignment vertical="center"/>
    </xf>
    <xf numFmtId="0" fontId="16" fillId="13" borderId="1" xfId="0" applyFont="1" applyFill="1" applyBorder="1" applyAlignment="1">
      <alignment horizontal="left" vertical="center"/>
    </xf>
    <xf numFmtId="0" fontId="13" fillId="9" borderId="1" xfId="0" applyFont="1" applyFill="1" applyBorder="1" applyAlignment="1">
      <alignment horizontal="left" vertical="center"/>
    </xf>
    <xf numFmtId="0" fontId="13" fillId="9" borderId="1" xfId="0" applyFont="1" applyFill="1" applyBorder="1" applyAlignment="1">
      <alignment vertical="center"/>
    </xf>
    <xf numFmtId="0" fontId="13" fillId="12" borderId="1" xfId="0" applyFont="1" applyFill="1" applyBorder="1" applyAlignment="1">
      <alignment horizontal="left" vertical="center"/>
    </xf>
    <xf numFmtId="0" fontId="16" fillId="10" borderId="2" xfId="0" applyFont="1" applyFill="1" applyBorder="1" applyAlignment="1">
      <alignment horizontal="left" vertical="center"/>
    </xf>
    <xf numFmtId="0" fontId="16" fillId="10" borderId="4" xfId="0" applyFont="1" applyFill="1" applyBorder="1" applyAlignment="1">
      <alignment horizontal="left" vertical="center"/>
    </xf>
    <xf numFmtId="0" fontId="16" fillId="10" borderId="5" xfId="0" applyFont="1" applyFill="1" applyBorder="1" applyAlignment="1">
      <alignment horizontal="left" vertical="center"/>
    </xf>
    <xf numFmtId="0" fontId="16" fillId="14" borderId="1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right" vertical="center"/>
    </xf>
    <xf numFmtId="0" fontId="16" fillId="0" borderId="1" xfId="0" applyFont="1" applyBorder="1" applyAlignment="1">
      <alignment horizontal="right" vertical="center"/>
    </xf>
    <xf numFmtId="0" fontId="0" fillId="9" borderId="1" xfId="0" applyFill="1" applyBorder="1"/>
    <xf numFmtId="0" fontId="0" fillId="7" borderId="1" xfId="0" applyNumberFormat="1" applyFill="1" applyBorder="1"/>
    <xf numFmtId="0" fontId="0" fillId="0" borderId="1" xfId="0" applyNumberFormat="1" applyFill="1" applyBorder="1"/>
    <xf numFmtId="0" fontId="0" fillId="0" borderId="1" xfId="0" quotePrefix="1" applyNumberFormat="1" applyFill="1" applyBorder="1"/>
    <xf numFmtId="0" fontId="0" fillId="0" borderId="0" xfId="0" applyNumberFormat="1" applyFill="1"/>
    <xf numFmtId="49" fontId="0" fillId="0" borderId="1" xfId="0" quotePrefix="1" applyNumberFormat="1" applyFill="1" applyBorder="1"/>
    <xf numFmtId="0" fontId="0" fillId="12" borderId="1" xfId="0" applyNumberFormat="1" applyFill="1" applyBorder="1"/>
    <xf numFmtId="0" fontId="16" fillId="0" borderId="1" xfId="0" applyFont="1" applyFill="1" applyBorder="1" applyAlignment="1">
      <alignment horizontal="right" vertical="center"/>
    </xf>
    <xf numFmtId="0" fontId="0" fillId="0" borderId="0" xfId="0" applyBorder="1"/>
    <xf numFmtId="0" fontId="16" fillId="15" borderId="1" xfId="0" applyFont="1" applyFill="1" applyBorder="1" applyAlignment="1">
      <alignment vertical="center"/>
    </xf>
    <xf numFmtId="0" fontId="17" fillId="9" borderId="1" xfId="0" applyFont="1" applyFill="1" applyBorder="1" applyAlignment="1">
      <alignment horizontal="left" vertical="center"/>
    </xf>
    <xf numFmtId="0" fontId="17" fillId="9" borderId="1" xfId="0" applyFont="1" applyFill="1" applyBorder="1" applyAlignment="1">
      <alignment vertical="center"/>
    </xf>
    <xf numFmtId="0" fontId="16" fillId="14" borderId="2" xfId="0" applyFont="1" applyFill="1" applyBorder="1" applyAlignment="1">
      <alignment horizontal="left" vertical="center"/>
    </xf>
    <xf numFmtId="0" fontId="16" fillId="14" borderId="4" xfId="0" applyFont="1" applyFill="1" applyBorder="1" applyAlignment="1">
      <alignment horizontal="left" vertical="center"/>
    </xf>
    <xf numFmtId="0" fontId="16" fillId="14" borderId="5" xfId="0" applyFont="1" applyFill="1" applyBorder="1" applyAlignment="1">
      <alignment horizontal="left" vertical="center"/>
    </xf>
    <xf numFmtId="0" fontId="18" fillId="15" borderId="1" xfId="0" applyFont="1" applyFill="1" applyBorder="1"/>
    <xf numFmtId="0" fontId="0" fillId="0" borderId="3" xfId="0" applyBorder="1"/>
    <xf numFmtId="0" fontId="13" fillId="9" borderId="3" xfId="0" applyFont="1" applyFill="1" applyBorder="1" applyAlignment="1">
      <alignment horizontal="left" vertical="center"/>
    </xf>
    <xf numFmtId="0" fontId="0" fillId="0" borderId="4" xfId="0" applyBorder="1"/>
    <xf numFmtId="0" fontId="13" fillId="12" borderId="4" xfId="0" applyFont="1" applyFill="1" applyBorder="1" applyAlignment="1">
      <alignment horizontal="left" vertical="center"/>
    </xf>
    <xf numFmtId="0" fontId="13" fillId="9" borderId="4" xfId="0" applyFont="1" applyFill="1" applyBorder="1" applyAlignment="1">
      <alignment horizontal="left" vertical="center"/>
    </xf>
    <xf numFmtId="0" fontId="16" fillId="0" borderId="6" xfId="0" applyFont="1" applyBorder="1" applyAlignment="1">
      <alignment horizontal="right" vertical="center"/>
    </xf>
    <xf numFmtId="0" fontId="18" fillId="15" borderId="5" xfId="0" applyFont="1" applyFill="1" applyBorder="1"/>
    <xf numFmtId="0" fontId="16" fillId="0" borderId="6" xfId="0" applyFont="1" applyFill="1" applyBorder="1" applyAlignment="1">
      <alignment horizontal="right" vertical="center"/>
    </xf>
    <xf numFmtId="0" fontId="0" fillId="9" borderId="4" xfId="0" applyFill="1" applyBorder="1"/>
    <xf numFmtId="0" fontId="0" fillId="9" borderId="5" xfId="0" applyFill="1" applyBorder="1"/>
    <xf numFmtId="0" fontId="18" fillId="16" borderId="1" xfId="0" applyFont="1" applyFill="1" applyBorder="1"/>
    <xf numFmtId="0" fontId="0" fillId="0" borderId="5" xfId="0" applyNumberFormat="1" applyFill="1" applyBorder="1"/>
    <xf numFmtId="0" fontId="0" fillId="0" borderId="2" xfId="0" applyBorder="1"/>
    <xf numFmtId="0" fontId="14" fillId="5" borderId="0" xfId="0" applyFont="1" applyFill="1" applyBorder="1" applyAlignment="1">
      <alignment horizontal="right" vertical="center" wrapText="1"/>
    </xf>
    <xf numFmtId="0" fontId="14" fillId="5" borderId="0" xfId="0" applyFont="1" applyFill="1" applyBorder="1" applyAlignment="1">
      <alignment vertical="center" wrapText="1"/>
    </xf>
    <xf numFmtId="0" fontId="16" fillId="14" borderId="6" xfId="0" applyFont="1" applyFill="1" applyBorder="1" applyAlignment="1">
      <alignment horizontal="left" vertical="center"/>
    </xf>
    <xf numFmtId="0" fontId="16" fillId="14" borderId="7" xfId="0" applyFont="1" applyFill="1" applyBorder="1" applyAlignment="1">
      <alignment horizontal="left" vertical="center"/>
    </xf>
    <xf numFmtId="0" fontId="0" fillId="17" borderId="1" xfId="0" applyFill="1" applyBorder="1"/>
    <xf numFmtId="0" fontId="18" fillId="18" borderId="1" xfId="0" applyFont="1" applyFill="1" applyBorder="1"/>
    <xf numFmtId="0" fontId="18" fillId="18" borderId="5" xfId="0" applyFont="1" applyFill="1" applyBorder="1"/>
    <xf numFmtId="0" fontId="13" fillId="5" borderId="1" xfId="0" applyFont="1" applyFill="1" applyBorder="1" applyAlignment="1">
      <alignment horizontal="right"/>
    </xf>
    <xf numFmtId="0" fontId="13" fillId="11" borderId="1" xfId="0" applyFont="1" applyFill="1" applyBorder="1" applyAlignment="1">
      <alignment vertical="center"/>
    </xf>
    <xf numFmtId="0" fontId="13" fillId="11" borderId="1" xfId="0" applyFont="1" applyFill="1" applyBorder="1" applyAlignment="1">
      <alignment horizontal="left" vertical="center" wrapText="1"/>
    </xf>
    <xf numFmtId="0" fontId="13" fillId="11" borderId="1" xfId="0" applyFont="1" applyFill="1" applyBorder="1" applyAlignment="1">
      <alignment vertical="center" wrapText="1"/>
    </xf>
    <xf numFmtId="0" fontId="17" fillId="11" borderId="1" xfId="0" applyFont="1" applyFill="1" applyBorder="1" applyAlignment="1">
      <alignment vertical="center" wrapText="1"/>
    </xf>
    <xf numFmtId="0" fontId="17" fillId="11" borderId="1" xfId="0" applyFont="1" applyFill="1" applyBorder="1" applyAlignment="1">
      <alignment horizontal="left" vertical="center" wrapText="1"/>
    </xf>
    <xf numFmtId="0" fontId="13" fillId="11" borderId="1" xfId="0" applyFont="1" applyFill="1" applyBorder="1" applyAlignment="1">
      <alignment horizontal="left" vertical="center"/>
    </xf>
    <xf numFmtId="0" fontId="14" fillId="19" borderId="1" xfId="0" applyFont="1" applyFill="1" applyBorder="1"/>
    <xf numFmtId="0" fontId="17" fillId="11" borderId="1" xfId="0" applyFont="1" applyFill="1" applyBorder="1" applyAlignment="1">
      <alignment horizontal="left" vertical="center"/>
    </xf>
    <xf numFmtId="0" fontId="17" fillId="20" borderId="1" xfId="0" applyFont="1" applyFill="1" applyBorder="1" applyAlignment="1">
      <alignment horizontal="left" vertical="center" wrapText="1"/>
    </xf>
    <xf numFmtId="0" fontId="17" fillId="20" borderId="1" xfId="0" applyFont="1" applyFill="1" applyBorder="1" applyAlignment="1">
      <alignment horizontal="left" vertical="center"/>
    </xf>
    <xf numFmtId="0" fontId="17" fillId="11" borderId="1" xfId="0" applyFont="1" applyFill="1" applyBorder="1" applyAlignment="1">
      <alignment vertical="center"/>
    </xf>
    <xf numFmtId="0" fontId="0" fillId="8" borderId="3" xfId="0" applyFill="1" applyBorder="1"/>
    <xf numFmtId="0" fontId="18" fillId="15" borderId="3" xfId="0" applyFont="1" applyFill="1" applyBorder="1"/>
    <xf numFmtId="0" fontId="0" fillId="12" borderId="3" xfId="0" applyNumberFormat="1" applyFill="1" applyBorder="1"/>
    <xf numFmtId="0" fontId="14" fillId="8" borderId="3" xfId="0" applyFont="1" applyFill="1" applyBorder="1" applyAlignment="1">
      <alignment horizontal="left" vertical="center" wrapText="1"/>
    </xf>
    <xf numFmtId="0" fontId="19" fillId="0" borderId="0" xfId="0" applyFont="1"/>
  </cellXfs>
  <cellStyles count="482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ハイパーリンク" xfId="4778" builtinId="8" hidden="1"/>
    <cellStyle name="ハイパーリンク" xfId="4780" builtinId="8" hidden="1"/>
    <cellStyle name="ハイパーリンク" xfId="4782" builtinId="8" hidden="1"/>
    <cellStyle name="ハイパーリンク" xfId="4784" builtinId="8" hidden="1"/>
    <cellStyle name="ハイパーリンク" xfId="4786" builtinId="8" hidden="1"/>
    <cellStyle name="ハイパーリンク" xfId="4788" builtinId="8" hidden="1"/>
    <cellStyle name="ハイパーリンク" xfId="4790" builtinId="8" hidden="1"/>
    <cellStyle name="ハイパーリンク" xfId="4792" builtinId="8" hidden="1"/>
    <cellStyle name="ハイパーリンク" xfId="4794" builtinId="8" hidden="1"/>
    <cellStyle name="ハイパーリンク" xfId="4796" builtinId="8" hidden="1"/>
    <cellStyle name="ハイパーリンク" xfId="4798" builtinId="8" hidden="1"/>
    <cellStyle name="ハイパーリンク" xfId="4800" builtinId="8" hidden="1"/>
    <cellStyle name="ハイパーリンク" xfId="4802" builtinId="8" hidden="1"/>
    <cellStyle name="ハイパーリンク" xfId="4804" builtinId="8" hidden="1"/>
    <cellStyle name="ハイパーリンク" xfId="4806" builtinId="8" hidden="1"/>
    <cellStyle name="ハイパーリンク" xfId="4808" builtinId="8" hidden="1"/>
    <cellStyle name="ハイパーリンク" xfId="4810" builtinId="8" hidden="1"/>
    <cellStyle name="ハイパーリンク" xfId="4812" builtinId="8" hidden="1"/>
    <cellStyle name="ハイパーリンク" xfId="4814" builtinId="8" hidden="1"/>
    <cellStyle name="ハイパーリンク" xfId="4816" builtinId="8" hidden="1"/>
    <cellStyle name="ハイパーリンク" xfId="4818" builtinId="8" hidden="1"/>
    <cellStyle name="ハイパーリンク" xfId="4820" builtinId="8" hidden="1"/>
    <cellStyle name="ハイパーリンク" xfId="482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表示済みのハイパーリンク" xfId="4779" builtinId="9" hidden="1"/>
    <cellStyle name="表示済みのハイパーリンク" xfId="4781" builtinId="9" hidden="1"/>
    <cellStyle name="表示済みのハイパーリンク" xfId="4783" builtinId="9" hidden="1"/>
    <cellStyle name="表示済みのハイパーリンク" xfId="4785" builtinId="9" hidden="1"/>
    <cellStyle name="表示済みのハイパーリンク" xfId="4787" builtinId="9" hidden="1"/>
    <cellStyle name="表示済みのハイパーリンク" xfId="4789" builtinId="9" hidden="1"/>
    <cellStyle name="表示済みのハイパーリンク" xfId="4791" builtinId="9" hidden="1"/>
    <cellStyle name="表示済みのハイパーリンク" xfId="4793" builtinId="9" hidden="1"/>
    <cellStyle name="表示済みのハイパーリンク" xfId="4795" builtinId="9" hidden="1"/>
    <cellStyle name="表示済みのハイパーリンク" xfId="4797" builtinId="9" hidden="1"/>
    <cellStyle name="表示済みのハイパーリンク" xfId="4799" builtinId="9" hidden="1"/>
    <cellStyle name="表示済みのハイパーリンク" xfId="4801" builtinId="9" hidden="1"/>
    <cellStyle name="表示済みのハイパーリンク" xfId="4803" builtinId="9" hidden="1"/>
    <cellStyle name="表示済みのハイパーリンク" xfId="4805" builtinId="9" hidden="1"/>
    <cellStyle name="表示済みのハイパーリンク" xfId="4807" builtinId="9" hidden="1"/>
    <cellStyle name="表示済みのハイパーリンク" xfId="4809" builtinId="9" hidden="1"/>
    <cellStyle name="表示済みのハイパーリンク" xfId="4811" builtinId="9" hidden="1"/>
    <cellStyle name="表示済みのハイパーリンク" xfId="4813" builtinId="9" hidden="1"/>
    <cellStyle name="表示済みのハイパーリンク" xfId="4815" builtinId="9" hidden="1"/>
    <cellStyle name="表示済みのハイパーリンク" xfId="4817" builtinId="9" hidden="1"/>
    <cellStyle name="表示済みのハイパーリンク" xfId="4819" builtinId="9" hidden="1"/>
    <cellStyle name="表示済みのハイパーリンク" xfId="4821" builtinId="9" hidden="1"/>
    <cellStyle name="表示済みのハイパーリンク" xfId="4823" builtinId="9" hidden="1"/>
    <cellStyle name="赤字強調" xfId="4"/>
    <cellStyle name="青字強調" xfId="3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</row>
        <row r="1274">
          <cell r="A1274">
            <v>1273</v>
          </cell>
          <cell r="B1274" t="str">
            <v>ja</v>
          </cell>
          <cell r="C1274" t="str">
            <v>織田信長(超覚醒)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ブラウニーR6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1403</v>
          </cell>
          <cell r="B1372" t="str">
            <v>ja</v>
          </cell>
          <cell r="C1372" t="str">
            <v>炎帝の守護獣神 朱雀</v>
          </cell>
        </row>
        <row r="1373">
          <cell r="A1373">
            <v>1404</v>
          </cell>
          <cell r="B1373" t="str">
            <v>ja</v>
          </cell>
          <cell r="C1373" t="str">
            <v>玄帝の守護獣神 玄武</v>
          </cell>
        </row>
        <row r="1374">
          <cell r="A1374">
            <v>1405</v>
          </cell>
          <cell r="B1374" t="str">
            <v>ja</v>
          </cell>
          <cell r="C1374" t="str">
            <v>蒼帝の守護獣神 青龍</v>
          </cell>
        </row>
        <row r="1375">
          <cell r="A1375">
            <v>1406</v>
          </cell>
          <cell r="B1375" t="str">
            <v>ja</v>
          </cell>
          <cell r="C1375" t="str">
            <v>白帝の守護獣神 白虎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</row>
        <row r="1385">
          <cell r="A1385">
            <v>5005</v>
          </cell>
          <cell r="B1385" t="str">
            <v>ja</v>
          </cell>
          <cell r="C1385" t="str">
            <v>カーミラ</v>
          </cell>
        </row>
        <row r="1386">
          <cell r="A1386">
            <v>5006</v>
          </cell>
          <cell r="B1386" t="str">
            <v>ja</v>
          </cell>
          <cell r="C1386" t="str">
            <v>カーミラ★６</v>
          </cell>
        </row>
        <row r="1387">
          <cell r="A1387">
            <v>5007</v>
          </cell>
          <cell r="B1387" t="str">
            <v>ja</v>
          </cell>
          <cell r="C1387" t="str">
            <v>ヘルシング</v>
          </cell>
        </row>
        <row r="1388">
          <cell r="A1388">
            <v>5008</v>
          </cell>
          <cell r="B1388" t="str">
            <v>ja</v>
          </cell>
          <cell r="C1388" t="str">
            <v>ヘルシング★６</v>
          </cell>
        </row>
        <row r="1389">
          <cell r="A1389">
            <v>6001</v>
          </cell>
          <cell r="B1389" t="str">
            <v>ja</v>
          </cell>
          <cell r="C1389" t="str">
            <v>ジェリー</v>
          </cell>
        </row>
        <row r="1390">
          <cell r="A1390">
            <v>6002</v>
          </cell>
          <cell r="B1390" t="str">
            <v>ja</v>
          </cell>
          <cell r="C1390" t="str">
            <v>ヨシタカ</v>
          </cell>
        </row>
        <row r="1391">
          <cell r="A1391">
            <v>6003</v>
          </cell>
          <cell r="B1391" t="str">
            <v>ja</v>
          </cell>
          <cell r="C1391" t="str">
            <v>朱雀</v>
          </cell>
        </row>
        <row r="1392">
          <cell r="A1392">
            <v>6004</v>
          </cell>
          <cell r="B1392" t="str">
            <v>ja</v>
          </cell>
          <cell r="C1392" t="str">
            <v>ブレット</v>
          </cell>
        </row>
        <row r="1393">
          <cell r="A1393">
            <v>6005</v>
          </cell>
          <cell r="B1393" t="str">
            <v>ja</v>
          </cell>
          <cell r="C1393" t="str">
            <v>孤神 テティス</v>
          </cell>
        </row>
        <row r="1394">
          <cell r="A1394">
            <v>6006</v>
          </cell>
          <cell r="B1394" t="str">
            <v>ja</v>
          </cell>
          <cell r="C1394" t="str">
            <v>海底の孤高神 テティス</v>
          </cell>
        </row>
        <row r="1395">
          <cell r="A1395">
            <v>6007</v>
          </cell>
          <cell r="B1395" t="str">
            <v>ja</v>
          </cell>
          <cell r="C1395" t="str">
            <v>番犬 ケルベロス</v>
          </cell>
        </row>
        <row r="1396">
          <cell r="A1396">
            <v>6008</v>
          </cell>
          <cell r="B1396" t="str">
            <v>ja</v>
          </cell>
          <cell r="C1396" t="str">
            <v>焔神 プロメテウス</v>
          </cell>
        </row>
        <row r="1397">
          <cell r="A1397">
            <v>6009</v>
          </cell>
          <cell r="B1397" t="str">
            <v>ja</v>
          </cell>
          <cell r="C1397" t="str">
            <v>超越自我 ラグランジュ</v>
          </cell>
        </row>
        <row r="1398">
          <cell r="A1398">
            <v>6010</v>
          </cell>
          <cell r="B1398" t="str">
            <v>ja</v>
          </cell>
          <cell r="C1398" t="str">
            <v>超越凌駕 ラグランジュ</v>
          </cell>
        </row>
        <row r="1399">
          <cell r="A1399">
            <v>6011</v>
          </cell>
          <cell r="B1399" t="str">
            <v>ja</v>
          </cell>
          <cell r="C1399" t="str">
            <v>パトドッグリーダー ポチ</v>
          </cell>
        </row>
        <row r="1400">
          <cell r="A1400">
            <v>6012</v>
          </cell>
          <cell r="B1400" t="str">
            <v>ja</v>
          </cell>
          <cell r="C1400" t="str">
            <v>ミミ</v>
          </cell>
        </row>
        <row r="1401">
          <cell r="A1401">
            <v>6013</v>
          </cell>
          <cell r="B1401" t="str">
            <v>ja</v>
          </cell>
          <cell r="C1401" t="str">
            <v>護衛機人 スケアクロウ</v>
          </cell>
        </row>
        <row r="1402">
          <cell r="A1402">
            <v>6014</v>
          </cell>
          <cell r="B1402" t="str">
            <v>ja</v>
          </cell>
          <cell r="C1402" t="str">
            <v>月下の人狼 ローレンス</v>
          </cell>
        </row>
        <row r="1403">
          <cell r="A1403">
            <v>6015</v>
          </cell>
          <cell r="B1403" t="str">
            <v>ja</v>
          </cell>
          <cell r="C1403" t="str">
            <v>フレイヤ</v>
          </cell>
        </row>
        <row r="1404">
          <cell r="A1404">
            <v>6016</v>
          </cell>
          <cell r="B1404" t="str">
            <v>ja</v>
          </cell>
          <cell r="C1404" t="str">
            <v>根原論理 ユークリッド</v>
          </cell>
        </row>
        <row r="1405">
          <cell r="A1405">
            <v>6017</v>
          </cell>
          <cell r="B1405" t="str">
            <v>ja</v>
          </cell>
          <cell r="C1405" t="str">
            <v>不朽の極論 ユークリッド</v>
          </cell>
        </row>
        <row r="1406">
          <cell r="A1406">
            <v>6018</v>
          </cell>
          <cell r="B1406" t="str">
            <v>ja</v>
          </cell>
          <cell r="C1406" t="str">
            <v>ハヅル</v>
          </cell>
        </row>
        <row r="1407">
          <cell r="A1407">
            <v>6019</v>
          </cell>
          <cell r="B1407" t="str">
            <v>ja</v>
          </cell>
          <cell r="C1407" t="str">
            <v>天織羽鶴 ハヅル</v>
          </cell>
        </row>
        <row r="1408">
          <cell r="A1408">
            <v>6020</v>
          </cell>
          <cell r="B1408" t="str">
            <v>ja</v>
          </cell>
          <cell r="C1408" t="str">
            <v>ミズチ</v>
          </cell>
        </row>
        <row r="1409">
          <cell r="A1409">
            <v>8001</v>
          </cell>
          <cell r="B1409" t="str">
            <v>ja</v>
          </cell>
          <cell r="C1409" t="str">
            <v>媽祖</v>
          </cell>
        </row>
        <row r="1410">
          <cell r="A1410">
            <v>8002</v>
          </cell>
          <cell r="B1410" t="str">
            <v>ja</v>
          </cell>
          <cell r="C1410" t="str">
            <v>宣導する天海妃 媽祖</v>
          </cell>
        </row>
        <row r="1411">
          <cell r="A1411">
            <v>8003</v>
          </cell>
          <cell r="B1411" t="str">
            <v>ja</v>
          </cell>
          <cell r="C1411" t="str">
            <v>蛟龍</v>
          </cell>
        </row>
        <row r="1412">
          <cell r="A1412">
            <v>8004</v>
          </cell>
          <cell r="B1412" t="str">
            <v>ja</v>
          </cell>
          <cell r="C1412" t="str">
            <v>呼嵐の蒼棲龍 蛟龍</v>
          </cell>
        </row>
        <row r="1413">
          <cell r="A1413">
            <v>8005</v>
          </cell>
          <cell r="B1413" t="str">
            <v>ja</v>
          </cell>
          <cell r="C1413" t="str">
            <v>三蔵法師</v>
          </cell>
        </row>
        <row r="1414">
          <cell r="A1414">
            <v>8006</v>
          </cell>
          <cell r="B1414" t="str">
            <v>ja</v>
          </cell>
          <cell r="C1414" t="str">
            <v>慈戒の呪封使 三蔵法師</v>
          </cell>
        </row>
        <row r="1415">
          <cell r="A1415">
            <v>8007</v>
          </cell>
          <cell r="B1415" t="str">
            <v>ja</v>
          </cell>
          <cell r="C1415" t="str">
            <v>孫悟空</v>
          </cell>
        </row>
        <row r="1416">
          <cell r="A1416">
            <v>8008</v>
          </cell>
          <cell r="B1416" t="str">
            <v>ja</v>
          </cell>
          <cell r="C1416" t="str">
            <v>花果の天猿仙人 孫悟空</v>
          </cell>
        </row>
        <row r="1417">
          <cell r="A1417">
            <v>8009</v>
          </cell>
          <cell r="B1417" t="str">
            <v>ja</v>
          </cell>
          <cell r="C1417" t="str">
            <v>西王娘娘</v>
          </cell>
        </row>
        <row r="1418">
          <cell r="A1418">
            <v>8010</v>
          </cell>
          <cell r="B1418" t="str">
            <v>ja</v>
          </cell>
          <cell r="C1418" t="str">
            <v>極楽瑶池の聖母 西王娘娘</v>
          </cell>
        </row>
        <row r="1419">
          <cell r="A1419">
            <v>8011</v>
          </cell>
          <cell r="B1419" t="str">
            <v>ja</v>
          </cell>
          <cell r="C1419" t="str">
            <v>月下老人</v>
          </cell>
        </row>
        <row r="1420">
          <cell r="A1420">
            <v>8012</v>
          </cell>
          <cell r="B1420" t="str">
            <v>ja</v>
          </cell>
          <cell r="C1420" t="str">
            <v>破戀斬る縁剣 月下老人</v>
          </cell>
        </row>
        <row r="1421">
          <cell r="A1421">
            <v>8013</v>
          </cell>
          <cell r="B1421" t="str">
            <v>ja</v>
          </cell>
          <cell r="C1421" t="str">
            <v>初音ミクV3</v>
          </cell>
        </row>
        <row r="1422">
          <cell r="A1422">
            <v>8014</v>
          </cell>
          <cell r="B1422" t="str">
            <v>ja</v>
          </cell>
          <cell r="C1422" t="str">
            <v>初音ミクV3</v>
          </cell>
        </row>
        <row r="1423">
          <cell r="A1423">
            <v>8015</v>
          </cell>
          <cell r="B1423" t="str">
            <v>ja</v>
          </cell>
          <cell r="C1423" t="str">
            <v>初音ミク・アペンド</v>
          </cell>
        </row>
        <row r="1424">
          <cell r="A1424">
            <v>8016</v>
          </cell>
          <cell r="B1424" t="str">
            <v>ja</v>
          </cell>
          <cell r="C1424" t="str">
            <v>初音ミク・アペンド</v>
          </cell>
        </row>
        <row r="1425">
          <cell r="A1425">
            <v>8017</v>
          </cell>
          <cell r="B1425" t="str">
            <v>ja</v>
          </cell>
          <cell r="C1425" t="str">
            <v>初音ミク</v>
          </cell>
        </row>
        <row r="1426">
          <cell r="A1426">
            <v>8018</v>
          </cell>
          <cell r="B1426" t="str">
            <v>ja</v>
          </cell>
          <cell r="C1426" t="str">
            <v>初音ミク</v>
          </cell>
        </row>
        <row r="1427">
          <cell r="A1427">
            <v>8019</v>
          </cell>
          <cell r="B1427" t="str">
            <v>ja</v>
          </cell>
          <cell r="C1427" t="str">
            <v>鏡音リン</v>
          </cell>
        </row>
        <row r="1428">
          <cell r="A1428">
            <v>8020</v>
          </cell>
          <cell r="B1428" t="str">
            <v>ja</v>
          </cell>
          <cell r="C1428" t="str">
            <v>鏡音リン</v>
          </cell>
        </row>
        <row r="1429">
          <cell r="A1429">
            <v>8021</v>
          </cell>
          <cell r="B1429" t="str">
            <v>ja</v>
          </cell>
          <cell r="C1429" t="str">
            <v>鏡音レン</v>
          </cell>
        </row>
        <row r="1430">
          <cell r="A1430">
            <v>8022</v>
          </cell>
          <cell r="B1430" t="str">
            <v>ja</v>
          </cell>
          <cell r="C1430" t="str">
            <v>鏡音レン</v>
          </cell>
        </row>
        <row r="1431">
          <cell r="A1431">
            <v>8023</v>
          </cell>
          <cell r="B1431" t="str">
            <v>ja</v>
          </cell>
          <cell r="C1431" t="str">
            <v>巡音ルカ</v>
          </cell>
        </row>
        <row r="1432">
          <cell r="A1432">
            <v>8024</v>
          </cell>
          <cell r="B1432" t="str">
            <v>ja</v>
          </cell>
          <cell r="C1432" t="str">
            <v>巡音ルカ</v>
          </cell>
        </row>
        <row r="1433">
          <cell r="A1433">
            <v>8025</v>
          </cell>
          <cell r="B1433" t="str">
            <v>ja</v>
          </cell>
          <cell r="C1433" t="str">
            <v>MEIKO</v>
          </cell>
        </row>
        <row r="1434">
          <cell r="A1434">
            <v>8026</v>
          </cell>
          <cell r="B1434" t="str">
            <v>ja</v>
          </cell>
          <cell r="C1434" t="str">
            <v>MEIKO</v>
          </cell>
        </row>
        <row r="1435">
          <cell r="A1435">
            <v>8027</v>
          </cell>
          <cell r="B1435" t="str">
            <v>ja</v>
          </cell>
          <cell r="C1435" t="str">
            <v>KAITO</v>
          </cell>
        </row>
        <row r="1436">
          <cell r="A1436">
            <v>8028</v>
          </cell>
          <cell r="B1436" t="str">
            <v>ja</v>
          </cell>
          <cell r="C1436" t="str">
            <v>KAITO</v>
          </cell>
        </row>
        <row r="1437">
          <cell r="A1437">
            <v>8029</v>
          </cell>
          <cell r="B1437" t="str">
            <v>ja</v>
          </cell>
          <cell r="C1437" t="str">
            <v>Expoミク</v>
          </cell>
        </row>
        <row r="1438">
          <cell r="A1438">
            <v>8030</v>
          </cell>
          <cell r="B1438" t="str">
            <v>ja</v>
          </cell>
          <cell r="C1438" t="str">
            <v>Expoミク</v>
          </cell>
        </row>
        <row r="1439">
          <cell r="A1439">
            <v>8031</v>
          </cell>
          <cell r="B1439" t="str">
            <v>ja</v>
          </cell>
          <cell r="C1439" t="str">
            <v>閻羅王</v>
          </cell>
        </row>
        <row r="1440">
          <cell r="A1440">
            <v>8032</v>
          </cell>
          <cell r="B1440" t="str">
            <v>ja</v>
          </cell>
          <cell r="C1440" t="str">
            <v>六道輪廻の絶獄 閻羅王</v>
          </cell>
        </row>
        <row r="1441">
          <cell r="A1441">
            <v>8033</v>
          </cell>
          <cell r="B1441" t="str">
            <v>ja</v>
          </cell>
          <cell r="C1441" t="str">
            <v>牛頭馬面</v>
          </cell>
        </row>
        <row r="1442">
          <cell r="A1442">
            <v>8034</v>
          </cell>
          <cell r="B1442" t="str">
            <v>ja</v>
          </cell>
          <cell r="C1442" t="str">
            <v>冥府狩る魂使 牛頭馬面</v>
          </cell>
        </row>
        <row r="1443">
          <cell r="A1443">
            <v>8035</v>
          </cell>
          <cell r="B1443" t="str">
            <v>ja</v>
          </cell>
          <cell r="C1443" t="str">
            <v>飛衛</v>
          </cell>
        </row>
        <row r="1444">
          <cell r="A1444">
            <v>8036</v>
          </cell>
          <cell r="B1444" t="str">
            <v>ja</v>
          </cell>
          <cell r="C1444" t="str">
            <v>レア６飛衛</v>
          </cell>
        </row>
        <row r="1445">
          <cell r="A1445">
            <v>8037</v>
          </cell>
          <cell r="B1445" t="str">
            <v>ja</v>
          </cell>
          <cell r="C1445" t="str">
            <v>紀昌</v>
          </cell>
        </row>
        <row r="1446">
          <cell r="A1446">
            <v>8038</v>
          </cell>
          <cell r="B1446" t="str">
            <v>ja</v>
          </cell>
          <cell r="C1446" t="str">
            <v>レア６紀昌</v>
          </cell>
        </row>
        <row r="1447">
          <cell r="A1447">
            <v>8039</v>
          </cell>
          <cell r="B1447" t="str">
            <v>ja</v>
          </cell>
          <cell r="C1447" t="str">
            <v>何仙姑</v>
          </cell>
        </row>
        <row r="1448">
          <cell r="A1448">
            <v>8040</v>
          </cell>
          <cell r="B1448" t="str">
            <v>ja</v>
          </cell>
          <cell r="C1448" t="str">
            <v>レア６何仙姑</v>
          </cell>
        </row>
        <row r="1449">
          <cell r="A1449">
            <v>8041</v>
          </cell>
          <cell r="B1449" t="str">
            <v>ja</v>
          </cell>
          <cell r="C1449" t="str">
            <v>藍采和</v>
          </cell>
        </row>
        <row r="1450">
          <cell r="A1450">
            <v>8042</v>
          </cell>
          <cell r="B1450" t="str">
            <v>ja</v>
          </cell>
          <cell r="C1450" t="str">
            <v>レア６藍采和</v>
          </cell>
        </row>
        <row r="1451">
          <cell r="A1451">
            <v>8043</v>
          </cell>
          <cell r="B1451" t="str">
            <v>ja</v>
          </cell>
          <cell r="C1451" t="str">
            <v>サンリオキャラ大集合+アザゼル</v>
          </cell>
        </row>
        <row r="1452">
          <cell r="A1452">
            <v>8044</v>
          </cell>
          <cell r="B1452" t="str">
            <v>ja</v>
          </cell>
          <cell r="C1452" t="str">
            <v>サンリオキャラ大集合+アザゼル</v>
          </cell>
        </row>
        <row r="1453">
          <cell r="A1453">
            <v>8045</v>
          </cell>
          <cell r="B1453" t="str">
            <v>ja</v>
          </cell>
          <cell r="C1453" t="str">
            <v>ニムダ_サンリオキャラ混じり</v>
          </cell>
        </row>
        <row r="1454">
          <cell r="A1454">
            <v>8046</v>
          </cell>
          <cell r="B1454" t="str">
            <v>ja</v>
          </cell>
          <cell r="C1454" t="str">
            <v>ニムダ_サンリオキャラ混じり</v>
          </cell>
        </row>
        <row r="1455">
          <cell r="A1455">
            <v>8047</v>
          </cell>
          <cell r="B1455" t="str">
            <v>ja</v>
          </cell>
          <cell r="C1455" t="str">
            <v>ハローキティ</v>
          </cell>
        </row>
        <row r="1456">
          <cell r="A1456">
            <v>8048</v>
          </cell>
          <cell r="B1456" t="str">
            <v>ja</v>
          </cell>
          <cell r="C1456" t="str">
            <v>ハローキティ</v>
          </cell>
        </row>
        <row r="1457">
          <cell r="A1457">
            <v>8049</v>
          </cell>
          <cell r="B1457" t="str">
            <v>ja</v>
          </cell>
          <cell r="C1457" t="str">
            <v>KIRIMIちゃん</v>
          </cell>
        </row>
        <row r="1458">
          <cell r="A1458">
            <v>8050</v>
          </cell>
          <cell r="B1458" t="str">
            <v>ja</v>
          </cell>
          <cell r="C1458" t="str">
            <v>KIRIMIちゃん</v>
          </cell>
        </row>
        <row r="1459">
          <cell r="A1459">
            <v>8051</v>
          </cell>
          <cell r="B1459" t="str">
            <v>ja</v>
          </cell>
          <cell r="C1459" t="str">
            <v>ハローキティのリボン</v>
          </cell>
        </row>
        <row r="1460">
          <cell r="A1460">
            <v>8052</v>
          </cell>
          <cell r="B1460" t="str">
            <v>ja</v>
          </cell>
          <cell r="C1460" t="str">
            <v>ママの作ったアップルパイ</v>
          </cell>
        </row>
        <row r="1461">
          <cell r="A1461">
            <v>8053</v>
          </cell>
          <cell r="B1461" t="str">
            <v>ja</v>
          </cell>
          <cell r="C1461" t="str">
            <v>D.R.T.H__キティコスプレ</v>
          </cell>
        </row>
        <row r="1462">
          <cell r="A1462">
            <v>8054</v>
          </cell>
          <cell r="B1462" t="str">
            <v>ja</v>
          </cell>
          <cell r="C1462" t="str">
            <v>D.R.T.H__キティコスプレ</v>
          </cell>
        </row>
        <row r="1463">
          <cell r="A1463">
            <v>8055</v>
          </cell>
          <cell r="B1463" t="str">
            <v>ja</v>
          </cell>
          <cell r="C1463" t="str">
            <v>マイメロディ</v>
          </cell>
        </row>
        <row r="1464">
          <cell r="A1464">
            <v>8056</v>
          </cell>
          <cell r="B1464" t="str">
            <v>ja</v>
          </cell>
          <cell r="C1464" t="str">
            <v>マイメロディ</v>
          </cell>
        </row>
        <row r="1465">
          <cell r="A1465">
            <v>8057</v>
          </cell>
          <cell r="B1465" t="str">
            <v>ja</v>
          </cell>
          <cell r="C1465" t="str">
            <v>ニーベルゲン_シナモロールコスプレ</v>
          </cell>
        </row>
        <row r="1466">
          <cell r="A1466">
            <v>8058</v>
          </cell>
          <cell r="B1466" t="str">
            <v>ja</v>
          </cell>
          <cell r="C1466" t="str">
            <v>ニーベルゲン_シナモロールコスプレ</v>
          </cell>
        </row>
        <row r="1467">
          <cell r="A1467">
            <v>8059</v>
          </cell>
          <cell r="B1467" t="str">
            <v>ja</v>
          </cell>
          <cell r="C1467" t="str">
            <v>カカシ_マイメロディコスプレ</v>
          </cell>
        </row>
        <row r="1468">
          <cell r="A1468">
            <v>8060</v>
          </cell>
          <cell r="B1468" t="str">
            <v>ja</v>
          </cell>
          <cell r="C1468" t="str">
            <v>カカシ_マイメロディコスプレ</v>
          </cell>
        </row>
        <row r="1469">
          <cell r="A1469">
            <v>8061</v>
          </cell>
          <cell r="B1469" t="str">
            <v>ja</v>
          </cell>
          <cell r="C1469" t="str">
            <v>ケロケロけろっぴ</v>
          </cell>
        </row>
        <row r="1470">
          <cell r="A1470">
            <v>8062</v>
          </cell>
          <cell r="B1470" t="str">
            <v>ja</v>
          </cell>
          <cell r="C1470" t="str">
            <v>ケロケロけろっぴ</v>
          </cell>
        </row>
        <row r="1471">
          <cell r="A1471">
            <v>8063</v>
          </cell>
          <cell r="B1471" t="str">
            <v>ja</v>
          </cell>
          <cell r="C1471" t="str">
            <v>モルドレッド_ポムポムプリンコスプレ</v>
          </cell>
        </row>
        <row r="1472">
          <cell r="A1472">
            <v>8064</v>
          </cell>
          <cell r="B1472" t="str">
            <v>ja</v>
          </cell>
          <cell r="C1472" t="str">
            <v>モルドレッド_ポムポムプリンコスプレ</v>
          </cell>
        </row>
        <row r="1473">
          <cell r="A1473">
            <v>8065</v>
          </cell>
          <cell r="B1473" t="str">
            <v>ja</v>
          </cell>
          <cell r="C1473" t="str">
            <v>クロミ</v>
          </cell>
        </row>
        <row r="1474">
          <cell r="A1474">
            <v>8066</v>
          </cell>
          <cell r="B1474" t="str">
            <v>ja</v>
          </cell>
          <cell r="C1474" t="str">
            <v>クロミ</v>
          </cell>
        </row>
        <row r="1475">
          <cell r="A1475">
            <v>8067</v>
          </cell>
          <cell r="B1475" t="str">
            <v>ja</v>
          </cell>
          <cell r="C1475" t="str">
            <v>バッドばつ丸</v>
          </cell>
        </row>
        <row r="1476">
          <cell r="A1476">
            <v>8068</v>
          </cell>
          <cell r="B1476" t="str">
            <v>ja</v>
          </cell>
          <cell r="C1476" t="str">
            <v>バッドばつ丸</v>
          </cell>
        </row>
        <row r="1477">
          <cell r="A1477">
            <v>8069</v>
          </cell>
          <cell r="B1477" t="str">
            <v>ja</v>
          </cell>
          <cell r="C1477" t="str">
            <v>シナモロール</v>
          </cell>
        </row>
        <row r="1478">
          <cell r="A1478">
            <v>8070</v>
          </cell>
          <cell r="B1478" t="str">
            <v>ja</v>
          </cell>
          <cell r="C1478" t="str">
            <v>シナモロール</v>
          </cell>
        </row>
        <row r="1479">
          <cell r="A1479">
            <v>8071</v>
          </cell>
          <cell r="B1479" t="str">
            <v>ja</v>
          </cell>
          <cell r="C1479" t="str">
            <v>ポムポムプリン</v>
          </cell>
        </row>
        <row r="1480">
          <cell r="A1480">
            <v>8072</v>
          </cell>
          <cell r="B1480" t="str">
            <v>ja</v>
          </cell>
          <cell r="C1480" t="str">
            <v>ポムポムプリン</v>
          </cell>
        </row>
        <row r="1481">
          <cell r="A1481">
            <v>8073</v>
          </cell>
          <cell r="B1481" t="str">
            <v>ja</v>
          </cell>
          <cell r="C1481" t="str">
            <v>星海祈る天光妃 媽祖</v>
          </cell>
        </row>
        <row r="1482">
          <cell r="A1482">
            <v>8074</v>
          </cell>
          <cell r="B1482" t="str">
            <v>ja</v>
          </cell>
          <cell r="C1482" t="str">
            <v>海戀の絶龍姫 蛟龍</v>
          </cell>
        </row>
        <row r="1483">
          <cell r="A1483">
            <v>8075</v>
          </cell>
          <cell r="B1483" t="str">
            <v>ja</v>
          </cell>
          <cell r="C1483" t="str">
            <v>三蔵法師_超覚醒</v>
          </cell>
        </row>
        <row r="1484">
          <cell r="A1484">
            <v>8076</v>
          </cell>
          <cell r="B1484" t="str">
            <v>ja</v>
          </cell>
          <cell r="C1484" t="str">
            <v>孫悟空_超覚醒</v>
          </cell>
        </row>
        <row r="1485">
          <cell r="A1485">
            <v>8077</v>
          </cell>
          <cell r="B1485" t="str">
            <v>ja</v>
          </cell>
          <cell r="C1485" t="str">
            <v>鄭成功</v>
          </cell>
        </row>
        <row r="1486">
          <cell r="A1486">
            <v>8078</v>
          </cell>
          <cell r="B1486" t="str">
            <v>ja</v>
          </cell>
          <cell r="C1486" t="str">
            <v>レア６鄭成功</v>
          </cell>
        </row>
        <row r="1487">
          <cell r="A1487">
            <v>8079</v>
          </cell>
          <cell r="B1487" t="str">
            <v>ja</v>
          </cell>
          <cell r="C1487" t="str">
            <v>赤鬼</v>
          </cell>
        </row>
        <row r="1488">
          <cell r="A1488">
            <v>8080</v>
          </cell>
          <cell r="B1488" t="str">
            <v>ja</v>
          </cell>
          <cell r="C1488" t="str">
            <v>レア６赤鬼</v>
          </cell>
        </row>
        <row r="1489">
          <cell r="A1489">
            <v>8081</v>
          </cell>
          <cell r="B1489" t="str">
            <v>ja</v>
          </cell>
          <cell r="C1489" t="str">
            <v>関羽</v>
          </cell>
        </row>
        <row r="1490">
          <cell r="A1490">
            <v>8082</v>
          </cell>
          <cell r="B1490" t="str">
            <v>ja</v>
          </cell>
          <cell r="C1490" t="str">
            <v>★６関羽</v>
          </cell>
        </row>
        <row r="1491">
          <cell r="A1491">
            <v>8083</v>
          </cell>
          <cell r="B1491" t="str">
            <v>ja</v>
          </cell>
          <cell r="C1491" t="str">
            <v>曹操</v>
          </cell>
        </row>
        <row r="1492">
          <cell r="A1492">
            <v>8084</v>
          </cell>
          <cell r="B1492" t="str">
            <v>ja</v>
          </cell>
          <cell r="C1492" t="str">
            <v>★６曹操</v>
          </cell>
        </row>
        <row r="1493">
          <cell r="A1493">
            <v>8087</v>
          </cell>
          <cell r="B1493" t="str">
            <v>ja</v>
          </cell>
          <cell r="C1493" t="str">
            <v>財神</v>
          </cell>
        </row>
        <row r="1494">
          <cell r="A1494">
            <v>8088</v>
          </cell>
          <cell r="B1494" t="str">
            <v>ja</v>
          </cell>
          <cell r="C1494" t="str">
            <v>★６財神</v>
          </cell>
        </row>
        <row r="1495">
          <cell r="A1495">
            <v>8089</v>
          </cell>
          <cell r="B1495" t="str">
            <v>ja</v>
          </cell>
          <cell r="C1495" t="str">
            <v>年獣</v>
          </cell>
        </row>
        <row r="1496">
          <cell r="A1496">
            <v>8090</v>
          </cell>
          <cell r="B1496" t="str">
            <v>ja</v>
          </cell>
          <cell r="C1496" t="str">
            <v>★６年獣</v>
          </cell>
        </row>
        <row r="1497">
          <cell r="A1497">
            <v>8095</v>
          </cell>
          <cell r="B1497" t="str">
            <v>ja</v>
          </cell>
          <cell r="C1497" t="str">
            <v>バハムートダック赤</v>
          </cell>
        </row>
        <row r="1498">
          <cell r="A1498">
            <v>8096</v>
          </cell>
          <cell r="B1498" t="str">
            <v>ja</v>
          </cell>
          <cell r="C1498" t="str">
            <v>バハムートダック緑</v>
          </cell>
        </row>
        <row r="1499">
          <cell r="A1499">
            <v>8097</v>
          </cell>
          <cell r="B1499" t="str">
            <v>ja</v>
          </cell>
          <cell r="C1499" t="str">
            <v>バハムートダック青</v>
          </cell>
        </row>
        <row r="1500">
          <cell r="A1500">
            <v>8098</v>
          </cell>
          <cell r="B1500" t="str">
            <v>ja</v>
          </cell>
          <cell r="C1500" t="str">
            <v>バハムートダック黄</v>
          </cell>
        </row>
        <row r="1501">
          <cell r="A1501">
            <v>8099</v>
          </cell>
          <cell r="B1501" t="str">
            <v>ja</v>
          </cell>
          <cell r="C1501" t="str">
            <v>リトルハンプティ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3"/>
  <sheetViews>
    <sheetView workbookViewId="0">
      <selection activeCell="F11" sqref="F11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/>
      <c r="I1" s="1"/>
      <c r="J1" s="1"/>
      <c r="K1" s="1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3" x14ac:dyDescent="0.15">
      <c r="A2" s="3" t="s">
        <v>21</v>
      </c>
      <c r="B2" s="4" t="s">
        <v>13</v>
      </c>
      <c r="C2" s="3" t="s">
        <v>22</v>
      </c>
      <c r="D2" s="3" t="s">
        <v>20</v>
      </c>
      <c r="E2" s="2" t="str">
        <f t="shared" ref="E2:E3" si="0">B2&amp;C2&amp;D2</f>
        <v>unit_serifs_data_base.tmp</v>
      </c>
      <c r="F2" s="4" t="s">
        <v>14</v>
      </c>
      <c r="G2" s="7" t="s">
        <v>15</v>
      </c>
      <c r="H2" s="8" t="s">
        <v>16</v>
      </c>
      <c r="I2" s="8" t="s">
        <v>9</v>
      </c>
      <c r="J2" s="3" t="s">
        <v>29</v>
      </c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x14ac:dyDescent="0.15">
      <c r="A3" s="3" t="s">
        <v>21</v>
      </c>
      <c r="B3" s="4" t="s">
        <v>595</v>
      </c>
      <c r="C3" s="3" t="s">
        <v>23</v>
      </c>
      <c r="D3" s="3" t="s">
        <v>20</v>
      </c>
      <c r="E3" s="2" t="str">
        <f t="shared" si="0"/>
        <v>unit_serifs_i18n_base.tmp</v>
      </c>
      <c r="F3" s="4" t="s">
        <v>596</v>
      </c>
      <c r="G3" s="7" t="s">
        <v>17</v>
      </c>
      <c r="H3" s="8" t="s">
        <v>18</v>
      </c>
      <c r="I3" s="8" t="s">
        <v>19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</sheetData>
  <phoneticPr fontId="10"/>
  <dataValidations count="1">
    <dataValidation type="list" allowBlank="1" showInputMessage="1" showErrorMessage="1" sqref="A2:A3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T1359"/>
  <sheetViews>
    <sheetView tabSelected="1" topLeftCell="A553" workbookViewId="0">
      <selection activeCell="F708" sqref="F708"/>
    </sheetView>
  </sheetViews>
  <sheetFormatPr baseColWidth="12" defaultRowHeight="15" x14ac:dyDescent="0.15"/>
  <cols>
    <col min="2" max="2" width="29.6640625" style="10" bestFit="1" customWidth="1"/>
    <col min="4" max="4" width="8.33203125" style="44" customWidth="1"/>
    <col min="5" max="5" width="9.6640625" style="10" customWidth="1"/>
    <col min="6" max="6" width="27" style="10" customWidth="1"/>
  </cols>
  <sheetData>
    <row r="1" spans="1:6" x14ac:dyDescent="0.15">
      <c r="A1" s="6" t="s">
        <v>7</v>
      </c>
      <c r="B1" s="9" t="s">
        <v>24</v>
      </c>
      <c r="C1" s="6" t="s">
        <v>10</v>
      </c>
      <c r="D1" s="41" t="s">
        <v>8</v>
      </c>
      <c r="E1" s="9" t="s">
        <v>28</v>
      </c>
      <c r="F1" s="9" t="s">
        <v>11</v>
      </c>
    </row>
    <row r="2" spans="1:6" x14ac:dyDescent="0.15">
      <c r="A2" s="11">
        <v>3</v>
      </c>
      <c r="B2" s="9" t="str">
        <f>VLOOKUP(A2,[1]characters!$A:$C,3,FALSE)</f>
        <v>エージェント ジョー</v>
      </c>
      <c r="C2" s="3" t="s">
        <v>25</v>
      </c>
      <c r="D2" s="42">
        <v>30</v>
      </c>
      <c r="E2" s="19" t="str">
        <f>VLOOKUP(D2,unit_serifs_i18n!C:E,3,FALSE)</f>
        <v>giza</v>
      </c>
      <c r="F2" s="19" t="str">
        <f>VLOOKUP(D2,unit_serifs_i18n!C:F,4,FALSE)</f>
        <v>みんないくぞー！</v>
      </c>
    </row>
    <row r="3" spans="1:6" x14ac:dyDescent="0.15">
      <c r="A3" s="39">
        <v>3</v>
      </c>
      <c r="B3" s="9" t="str">
        <f>VLOOKUP(A3,[1]characters!$A:$C,3,FALSE)</f>
        <v>エージェント ジョー</v>
      </c>
      <c r="C3" s="40" t="s">
        <v>26</v>
      </c>
      <c r="D3" s="42" t="str">
        <f>A3&amp;+(COUNTIF(A$2:A3,A3)-1)</f>
        <v>31</v>
      </c>
      <c r="E3" s="19" t="str">
        <f>VLOOKUP(D3,unit_serifs_i18n!C:E,3,FALSE)</f>
        <v>giza</v>
      </c>
      <c r="F3" s="19" t="str">
        <f>VLOOKUP(D3,unit_serifs_i18n!C:F,4,FALSE)</f>
        <v>ばんばん！</v>
      </c>
    </row>
    <row r="4" spans="1:6" x14ac:dyDescent="0.15">
      <c r="A4" s="11">
        <v>4</v>
      </c>
      <c r="B4" s="9" t="str">
        <f>VLOOKUP(A4,[1]characters!$A:$C,3,FALSE)</f>
        <v>エースエージェント ジョー</v>
      </c>
      <c r="C4" s="3" t="s">
        <v>25</v>
      </c>
      <c r="D4" s="42" t="str">
        <f>A4&amp;+(COUNTIF(A$2:A4,A4)-1)</f>
        <v>40</v>
      </c>
      <c r="E4" s="19" t="str">
        <f>VLOOKUP(D4,unit_serifs_i18n!C:E,3,FALSE)</f>
        <v>giza</v>
      </c>
      <c r="F4" s="19" t="str">
        <f>VLOOKUP(D4,unit_serifs_i18n!C:F,4,FALSE)</f>
        <v>えいえいおー！</v>
      </c>
    </row>
    <row r="5" spans="1:6" x14ac:dyDescent="0.15">
      <c r="A5" s="39">
        <v>4</v>
      </c>
      <c r="B5" s="9" t="str">
        <f>VLOOKUP(A5,[1]characters!$A:$C,3,FALSE)</f>
        <v>エースエージェント ジョー</v>
      </c>
      <c r="C5" s="40" t="s">
        <v>26</v>
      </c>
      <c r="D5" s="42" t="str">
        <f>A5&amp;+(COUNTIF(A$2:A5,A5)-1)</f>
        <v>41</v>
      </c>
      <c r="E5" s="19" t="str">
        <f>VLOOKUP(D5,unit_serifs_i18n!C:E,3,FALSE)</f>
        <v>giza</v>
      </c>
      <c r="F5" s="19" t="str">
        <f>VLOOKUP(D5,unit_serifs_i18n!C:F,4,FALSE)</f>
        <v>ねらいうちだ！</v>
      </c>
    </row>
    <row r="6" spans="1:6" x14ac:dyDescent="0.15">
      <c r="A6" s="39">
        <v>4</v>
      </c>
      <c r="B6" s="9" t="str">
        <f>VLOOKUP(A6,[1]characters!$A:$C,3,FALSE)</f>
        <v>エースエージェント ジョー</v>
      </c>
      <c r="C6" s="40" t="s">
        <v>26</v>
      </c>
      <c r="D6" s="42" t="str">
        <f>D3</f>
        <v>31</v>
      </c>
      <c r="E6" s="19" t="str">
        <f>VLOOKUP(D6,unit_serifs_i18n!C:E,3,FALSE)</f>
        <v>giza</v>
      </c>
      <c r="F6" s="19" t="str">
        <f>VLOOKUP(D6,unit_serifs_i18n!C:F,4,FALSE)</f>
        <v>ばんばん！</v>
      </c>
    </row>
    <row r="7" spans="1:6" x14ac:dyDescent="0.15">
      <c r="A7" s="11">
        <v>5</v>
      </c>
      <c r="B7" s="9" t="str">
        <f>VLOOKUP(A7,[1]characters!$A:$C,3,FALSE)</f>
        <v>パトドッグ ポチ</v>
      </c>
      <c r="C7" s="3" t="s">
        <v>25</v>
      </c>
      <c r="D7" s="42" t="str">
        <f>A7&amp;+(COUNTIF(A$2:A7,A7)-1)</f>
        <v>50</v>
      </c>
      <c r="E7" s="19" t="str">
        <f>VLOOKUP(D7,unit_serifs_i18n!C:E,3,FALSE)</f>
        <v>maru</v>
      </c>
      <c r="F7" s="19" t="str">
        <f>VLOOKUP(D7,unit_serifs_i18n!C:F,4,FALSE)</f>
        <v>傷を舐めるワン</v>
      </c>
    </row>
    <row r="8" spans="1:6" x14ac:dyDescent="0.15">
      <c r="A8" s="39">
        <v>5</v>
      </c>
      <c r="B8" s="9" t="str">
        <f>VLOOKUP(A8,[1]characters!$A:$C,3,FALSE)</f>
        <v>パトドッグ ポチ</v>
      </c>
      <c r="C8" s="40" t="s">
        <v>26</v>
      </c>
      <c r="D8" s="42" t="str">
        <f>A8&amp;+(COUNTIF(A$2:A8,A8)-1)</f>
        <v>51</v>
      </c>
      <c r="E8" s="19" t="str">
        <f>VLOOKUP(D8,unit_serifs_i18n!C:E,3,FALSE)</f>
        <v>maru</v>
      </c>
      <c r="F8" s="19" t="str">
        <f>VLOOKUP(D8,unit_serifs_i18n!C:F,4,FALSE)</f>
        <v>侵入者だワン！</v>
      </c>
    </row>
    <row r="9" spans="1:6" x14ac:dyDescent="0.15">
      <c r="A9" s="11">
        <v>6</v>
      </c>
      <c r="B9" s="9" t="str">
        <f>VLOOKUP(A9,[1]characters!$A:$C,3,FALSE)</f>
        <v>パトドッグリーダー ポチ</v>
      </c>
      <c r="C9" s="3" t="s">
        <v>25</v>
      </c>
      <c r="D9" s="42" t="str">
        <f>A9&amp;+(COUNTIF(A$2:A9,A9)-1)</f>
        <v>60</v>
      </c>
      <c r="E9" s="19" t="str">
        <f>VLOOKUP(D9,unit_serifs_i18n!C:E,3,FALSE)</f>
        <v>maru</v>
      </c>
      <c r="F9" s="19" t="str">
        <f>VLOOKUP(D9,unit_serifs_i18n!C:F,4,FALSE)</f>
        <v>すぐに治すワン！</v>
      </c>
    </row>
    <row r="10" spans="1:6" x14ac:dyDescent="0.15">
      <c r="A10" s="39">
        <v>6</v>
      </c>
      <c r="B10" s="9" t="str">
        <f>VLOOKUP(A10,[1]characters!$A:$C,3,FALSE)</f>
        <v>パトドッグリーダー ポチ</v>
      </c>
      <c r="C10" s="40" t="s">
        <v>26</v>
      </c>
      <c r="D10" s="42" t="str">
        <f>A10&amp;+(COUNTIF(A$2:A10,A10)-1)</f>
        <v>61</v>
      </c>
      <c r="E10" s="19" t="str">
        <f>VLOOKUP(D10,unit_serifs_i18n!C:E,3,FALSE)</f>
        <v>maru</v>
      </c>
      <c r="F10" s="19" t="str">
        <f>VLOOKUP(D10,unit_serifs_i18n!C:F,4,FALSE)</f>
        <v>冷え冷えだワン！</v>
      </c>
    </row>
    <row r="11" spans="1:6" x14ac:dyDescent="0.15">
      <c r="A11" s="39">
        <v>6</v>
      </c>
      <c r="B11" s="9" t="str">
        <f>VLOOKUP(A11,[1]characters!$A:$C,3,FALSE)</f>
        <v>パトドッグリーダー ポチ</v>
      </c>
      <c r="C11" s="40" t="s">
        <v>26</v>
      </c>
      <c r="D11" s="42" t="str">
        <f>D8</f>
        <v>51</v>
      </c>
      <c r="E11" s="19" t="str">
        <f>VLOOKUP(D11,unit_serifs_i18n!C:E,3,FALSE)</f>
        <v>maru</v>
      </c>
      <c r="F11" s="19" t="str">
        <f>VLOOKUP(D11,unit_serifs_i18n!C:F,4,FALSE)</f>
        <v>侵入者だワン！</v>
      </c>
    </row>
    <row r="12" spans="1:6" x14ac:dyDescent="0.15">
      <c r="A12" s="11">
        <v>7</v>
      </c>
      <c r="B12" s="9" t="str">
        <f>VLOOKUP(A12,[1]characters!$A:$C,3,FALSE)</f>
        <v>エレキポット</v>
      </c>
      <c r="C12" s="3" t="s">
        <v>25</v>
      </c>
      <c r="D12" s="42" t="str">
        <f>A12&amp;+(COUNTIF(A$2:A12,A12)-1)</f>
        <v>70</v>
      </c>
      <c r="E12" s="19" t="str">
        <f>VLOOKUP(D12,unit_serifs_i18n!C:E,3,FALSE)</f>
        <v>giza</v>
      </c>
      <c r="F12" s="19" t="str">
        <f>VLOOKUP(D12,unit_serifs_i18n!C:F,4,FALSE)</f>
        <v>ビガビガ！！</v>
      </c>
    </row>
    <row r="13" spans="1:6" x14ac:dyDescent="0.15">
      <c r="A13" s="39">
        <v>7</v>
      </c>
      <c r="B13" s="9" t="str">
        <f>VLOOKUP(A13,[1]characters!$A:$C,3,FALSE)</f>
        <v>エレキポット</v>
      </c>
      <c r="C13" s="40" t="s">
        <v>26</v>
      </c>
      <c r="D13" s="42" t="str">
        <f>A13&amp;+(COUNTIF(A$2:A13,A13)-1)</f>
        <v>71</v>
      </c>
      <c r="E13" s="19" t="str">
        <f>VLOOKUP(D13,unit_serifs_i18n!C:E,3,FALSE)</f>
        <v>giza</v>
      </c>
      <c r="F13" s="19" t="str">
        <f>VLOOKUP(D13,unit_serifs_i18n!C:F,4,FALSE)</f>
        <v>ガガガ・・</v>
      </c>
    </row>
    <row r="14" spans="1:6" x14ac:dyDescent="0.15">
      <c r="A14" s="11">
        <v>8</v>
      </c>
      <c r="B14" s="9" t="str">
        <f>VLOOKUP(A14,[1]characters!$A:$C,3,FALSE)</f>
        <v>ハイボルテージ エレキポット</v>
      </c>
      <c r="C14" s="3" t="s">
        <v>25</v>
      </c>
      <c r="D14" s="42" t="str">
        <f>A14&amp;+(COUNTIF(A$2:A14,A14)-1)</f>
        <v>80</v>
      </c>
      <c r="E14" s="19" t="str">
        <f>VLOOKUP(D14,unit_serifs_i18n!C:E,3,FALSE)</f>
        <v>giza</v>
      </c>
      <c r="F14" s="19" t="str">
        <f>VLOOKUP(D14,unit_serifs_i18n!C:F,4,FALSE)</f>
        <v>ビガガガガ！！！</v>
      </c>
    </row>
    <row r="15" spans="1:6" x14ac:dyDescent="0.15">
      <c r="A15" s="39">
        <v>8</v>
      </c>
      <c r="B15" s="9" t="str">
        <f>VLOOKUP(A15,[1]characters!$A:$C,3,FALSE)</f>
        <v>ハイボルテージ エレキポット</v>
      </c>
      <c r="C15" s="40" t="s">
        <v>26</v>
      </c>
      <c r="D15" s="42" t="str">
        <f>A15&amp;+(COUNTIF(A$2:A15,A15)-1)</f>
        <v>81</v>
      </c>
      <c r="E15" s="19" t="str">
        <f>VLOOKUP(D15,unit_serifs_i18n!C:E,3,FALSE)</f>
        <v>giza</v>
      </c>
      <c r="F15" s="19" t="str">
        <f>VLOOKUP(D15,unit_serifs_i18n!C:F,4,FALSE)</f>
        <v>ガガ・・ビ・・・</v>
      </c>
    </row>
    <row r="16" spans="1:6" x14ac:dyDescent="0.15">
      <c r="A16" s="39">
        <v>8</v>
      </c>
      <c r="B16" s="9" t="str">
        <f>VLOOKUP(A16,[1]characters!$A:$C,3,FALSE)</f>
        <v>ハイボルテージ エレキポット</v>
      </c>
      <c r="C16" s="40" t="s">
        <v>26</v>
      </c>
      <c r="D16" s="42" t="str">
        <f>D13</f>
        <v>71</v>
      </c>
      <c r="E16" s="19" t="str">
        <f>VLOOKUP(D16,unit_serifs_i18n!C:E,3,FALSE)</f>
        <v>giza</v>
      </c>
      <c r="F16" s="19" t="str">
        <f>VLOOKUP(D16,unit_serifs_i18n!C:F,4,FALSE)</f>
        <v>ガガガ・・</v>
      </c>
    </row>
    <row r="17" spans="1:6" x14ac:dyDescent="0.15">
      <c r="A17" s="11">
        <v>41</v>
      </c>
      <c r="B17" s="9" t="str">
        <f>VLOOKUP(A17,[1]characters!$A:$C,3,FALSE)</f>
        <v>ヒュウガ</v>
      </c>
      <c r="C17" s="3" t="s">
        <v>25</v>
      </c>
      <c r="D17" s="42" t="str">
        <f>A17&amp;+(COUNTIF(A$2:A17,A17)-1)</f>
        <v>410</v>
      </c>
      <c r="E17" s="19" t="str">
        <f>VLOOKUP(D17,unit_serifs_i18n!C:E,3,FALSE)</f>
        <v>giza</v>
      </c>
      <c r="F17" s="19" t="str">
        <f>VLOOKUP(D17,unit_serifs_i18n!C:F,4,FALSE)</f>
        <v>やってやるぜッ！！！</v>
      </c>
    </row>
    <row r="18" spans="1:6" x14ac:dyDescent="0.15">
      <c r="A18" s="39">
        <v>41</v>
      </c>
      <c r="B18" s="9" t="str">
        <f>VLOOKUP(A18,[1]characters!$A:$C,3,FALSE)</f>
        <v>ヒュウガ</v>
      </c>
      <c r="C18" s="40" t="s">
        <v>26</v>
      </c>
      <c r="D18" s="42" t="str">
        <f>A18&amp;+(COUNTIF(A$2:A18,A18)-1)</f>
        <v>411</v>
      </c>
      <c r="E18" s="19" t="str">
        <f>VLOOKUP(D18,unit_serifs_i18n!C:E,3,FALSE)</f>
        <v>giza</v>
      </c>
      <c r="F18" s="19" t="str">
        <f>VLOOKUP(D18,unit_serifs_i18n!C:F,4,FALSE)</f>
        <v>気をつけなッ！！</v>
      </c>
    </row>
    <row r="19" spans="1:6" x14ac:dyDescent="0.15">
      <c r="A19" s="11">
        <v>42</v>
      </c>
      <c r="B19" s="9" t="str">
        <f>VLOOKUP(A19,[1]characters!$A:$C,3,FALSE)</f>
        <v>燃えゆる吐息 ヒュウガ</v>
      </c>
      <c r="C19" s="3" t="s">
        <v>25</v>
      </c>
      <c r="D19" s="42" t="str">
        <f>A19&amp;+(COUNTIF(A$2:A19,A19)-1)</f>
        <v>420</v>
      </c>
      <c r="E19" s="19" t="str">
        <f>VLOOKUP(D19,unit_serifs_i18n!C:E,3,FALSE)</f>
        <v>giza</v>
      </c>
      <c r="F19" s="19" t="str">
        <f>VLOOKUP(D19,unit_serifs_i18n!C:F,4,FALSE)</f>
        <v>いくぜッッッ！！！</v>
      </c>
    </row>
    <row r="20" spans="1:6" x14ac:dyDescent="0.15">
      <c r="A20" s="39">
        <v>42</v>
      </c>
      <c r="B20" s="9" t="str">
        <f>VLOOKUP(A20,[1]characters!$A:$C,3,FALSE)</f>
        <v>燃えゆる吐息 ヒュウガ</v>
      </c>
      <c r="C20" s="40" t="s">
        <v>26</v>
      </c>
      <c r="D20" s="42" t="str">
        <f>A20&amp;+(COUNTIF(A$2:A20,A20)-1)</f>
        <v>421</v>
      </c>
      <c r="E20" s="19" t="str">
        <f>VLOOKUP(D20,unit_serifs_i18n!C:E,3,FALSE)</f>
        <v>giza</v>
      </c>
      <c r="F20" s="19" t="str">
        <f>VLOOKUP(D20,unit_serifs_i18n!C:F,4,FALSE)</f>
        <v>燃やすぜッ！！</v>
      </c>
    </row>
    <row r="21" spans="1:6" x14ac:dyDescent="0.15">
      <c r="A21" s="39">
        <v>42</v>
      </c>
      <c r="B21" s="9" t="str">
        <f>VLOOKUP(A21,[1]characters!$A:$C,3,FALSE)</f>
        <v>燃えゆる吐息 ヒュウガ</v>
      </c>
      <c r="C21" s="40" t="s">
        <v>26</v>
      </c>
      <c r="D21" s="42" t="str">
        <f>D18</f>
        <v>411</v>
      </c>
      <c r="E21" s="19" t="str">
        <f>VLOOKUP(D21,unit_serifs_i18n!C:E,3,FALSE)</f>
        <v>giza</v>
      </c>
      <c r="F21" s="19" t="str">
        <f>VLOOKUP(D21,unit_serifs_i18n!C:F,4,FALSE)</f>
        <v>気をつけなッ！！</v>
      </c>
    </row>
    <row r="22" spans="1:6" x14ac:dyDescent="0.15">
      <c r="A22" s="11">
        <v>51</v>
      </c>
      <c r="B22" s="9" t="str">
        <f>VLOOKUP(A22,[1]characters!$A:$C,3,FALSE)</f>
        <v>マイ</v>
      </c>
      <c r="C22" s="3" t="s">
        <v>25</v>
      </c>
      <c r="D22" s="42" t="str">
        <f>A22&amp;+(COUNTIF(A$2:A22,A22)-1)</f>
        <v>510</v>
      </c>
      <c r="E22" s="19" t="str">
        <f>VLOOKUP(D22,unit_serifs_i18n!C:E,3,FALSE)</f>
        <v>giza</v>
      </c>
      <c r="F22" s="19" t="str">
        <f>VLOOKUP(D22,unit_serifs_i18n!C:F,4,FALSE)</f>
        <v>この矛先に掛けて！</v>
      </c>
    </row>
    <row r="23" spans="1:6" x14ac:dyDescent="0.15">
      <c r="A23" s="11">
        <v>51</v>
      </c>
      <c r="B23" s="9" t="str">
        <f>VLOOKUP(A23,[1]characters!$A:$C,3,FALSE)</f>
        <v>マイ</v>
      </c>
      <c r="C23" s="40" t="s">
        <v>26</v>
      </c>
      <c r="D23" s="42" t="str">
        <f>A23&amp;+(COUNTIF(A$2:A23,A23)-1)</f>
        <v>511</v>
      </c>
      <c r="E23" s="19" t="str">
        <f>VLOOKUP(D23,unit_serifs_i18n!C:E,3,FALSE)</f>
        <v>giza</v>
      </c>
      <c r="F23" s="19" t="str">
        <f>VLOOKUP(D23,unit_serifs_i18n!C:F,4,FALSE)</f>
        <v>何度でも立ち上がるわ！</v>
      </c>
    </row>
    <row r="24" spans="1:6" x14ac:dyDescent="0.15">
      <c r="A24" s="11">
        <v>52</v>
      </c>
      <c r="B24" s="9" t="str">
        <f>VLOOKUP(A24,[1]characters!$A:$C,3,FALSE)</f>
        <v>翠槍のレジスタンス マイ</v>
      </c>
      <c r="C24" s="3" t="s">
        <v>25</v>
      </c>
      <c r="D24" s="42" t="str">
        <f>A24&amp;+(COUNTIF(A$2:A24,A24)-1)</f>
        <v>520</v>
      </c>
      <c r="E24" s="19" t="str">
        <f>VLOOKUP(D24,unit_serifs_i18n!C:E,3,FALSE)</f>
        <v>giza</v>
      </c>
      <c r="F24" s="19" t="str">
        <f>VLOOKUP(D24,unit_serifs_i18n!C:F,4,FALSE)</f>
        <v>その心、貫かせてもらう！</v>
      </c>
    </row>
    <row r="25" spans="1:6" x14ac:dyDescent="0.15">
      <c r="A25" s="11">
        <v>52</v>
      </c>
      <c r="B25" s="9" t="str">
        <f>VLOOKUP(A25,[1]characters!$A:$C,3,FALSE)</f>
        <v>翠槍のレジスタンス マイ</v>
      </c>
      <c r="C25" s="40" t="s">
        <v>26</v>
      </c>
      <c r="D25" s="42" t="str">
        <f>A25&amp;+(COUNTIF(A$2:A25,A25)-1)</f>
        <v>521</v>
      </c>
      <c r="E25" s="19" t="str">
        <f>VLOOKUP(D25,unit_serifs_i18n!C:E,3,FALSE)</f>
        <v>giza</v>
      </c>
      <c r="F25" s="19" t="str">
        <f>VLOOKUP(D25,unit_serifs_i18n!C:F,4,FALSE)</f>
        <v>見えた！そこよ！</v>
      </c>
    </row>
    <row r="26" spans="1:6" x14ac:dyDescent="0.15">
      <c r="A26" s="11">
        <v>52</v>
      </c>
      <c r="B26" s="9" t="str">
        <f>VLOOKUP(A26,[1]characters!$A:$C,3,FALSE)</f>
        <v>翠槍のレジスタンス マイ</v>
      </c>
      <c r="C26" s="40" t="s">
        <v>26</v>
      </c>
      <c r="D26" s="42" t="str">
        <f>D23</f>
        <v>511</v>
      </c>
      <c r="E26" s="19" t="str">
        <f>VLOOKUP(D26,unit_serifs_i18n!C:E,3,FALSE)</f>
        <v>giza</v>
      </c>
      <c r="F26" s="19" t="str">
        <f>VLOOKUP(D26,unit_serifs_i18n!C:F,4,FALSE)</f>
        <v>何度でも立ち上がるわ！</v>
      </c>
    </row>
    <row r="27" spans="1:6" x14ac:dyDescent="0.15">
      <c r="A27" s="11">
        <v>55</v>
      </c>
      <c r="B27" s="9" t="str">
        <f>VLOOKUP(A27,[1]characters!$A:$C,3,FALSE)</f>
        <v>マミコ</v>
      </c>
      <c r="C27" s="3" t="s">
        <v>25</v>
      </c>
      <c r="D27" s="42" t="str">
        <f>A27&amp;+(COUNTIF(A$2:A27,A27)-1)</f>
        <v>550</v>
      </c>
      <c r="E27" s="19" t="str">
        <f>VLOOKUP(D27,unit_serifs_i18n!C:E,3,FALSE)</f>
        <v>maru</v>
      </c>
      <c r="F27" s="19" t="str">
        <f>VLOOKUP(D27,unit_serifs_i18n!C:F,4,FALSE)</f>
        <v>まだまだやられません！</v>
      </c>
    </row>
    <row r="28" spans="1:6" x14ac:dyDescent="0.15">
      <c r="A28" s="11">
        <v>55</v>
      </c>
      <c r="B28" s="9" t="str">
        <f>VLOOKUP(A28,[1]characters!$A:$C,3,FALSE)</f>
        <v>マミコ</v>
      </c>
      <c r="C28" s="40" t="s">
        <v>26</v>
      </c>
      <c r="D28" s="42" t="str">
        <f>A28&amp;+(COUNTIF(A$2:A28,A28)-1)</f>
        <v>551</v>
      </c>
      <c r="E28" s="19" t="str">
        <f>VLOOKUP(D28,unit_serifs_i18n!C:E,3,FALSE)</f>
        <v>kumo</v>
      </c>
      <c r="F28" s="19" t="str">
        <f>VLOOKUP(D28,unit_serifs_i18n!C:F,4,FALSE)</f>
        <v>一気にいきます！！</v>
      </c>
    </row>
    <row r="29" spans="1:6" x14ac:dyDescent="0.15">
      <c r="A29" s="11">
        <v>56</v>
      </c>
      <c r="B29" s="9" t="str">
        <f>VLOOKUP(A29,[1]characters!$A:$C,3,FALSE)</f>
        <v>黄槌のレジスタンス マミコ</v>
      </c>
      <c r="C29" s="3" t="s">
        <v>25</v>
      </c>
      <c r="D29" s="42" t="str">
        <f>A29&amp;+(COUNTIF(A$2:A29,A29)-1)</f>
        <v>560</v>
      </c>
      <c r="E29" s="19" t="str">
        <f>VLOOKUP(D29,unit_serifs_i18n!C:E,3,FALSE)</f>
        <v>maru</v>
      </c>
      <c r="F29" s="19" t="str">
        <f>VLOOKUP(D29,unit_serifs_i18n!C:F,4,FALSE)</f>
        <v>これが私のフルパワーです！</v>
      </c>
    </row>
    <row r="30" spans="1:6" x14ac:dyDescent="0.15">
      <c r="A30" s="11">
        <v>56</v>
      </c>
      <c r="B30" s="9" t="str">
        <f>VLOOKUP(A30,[1]characters!$A:$C,3,FALSE)</f>
        <v>黄槌のレジスタンス マミコ</v>
      </c>
      <c r="C30" s="40" t="s">
        <v>26</v>
      </c>
      <c r="D30" s="42" t="str">
        <f>A30&amp;+(COUNTIF(A$2:A30,A30)-1)</f>
        <v>561</v>
      </c>
      <c r="E30" s="19" t="str">
        <f>VLOOKUP(D30,unit_serifs_i18n!C:E,3,FALSE)</f>
        <v>kumo</v>
      </c>
      <c r="F30" s="19" t="str">
        <f>VLOOKUP(D30,unit_serifs_i18n!C:F,4,FALSE)</f>
        <v>ブッ壊しちゃいますよ〜！</v>
      </c>
    </row>
    <row r="31" spans="1:6" x14ac:dyDescent="0.15">
      <c r="A31" s="11">
        <v>56</v>
      </c>
      <c r="B31" s="9" t="str">
        <f>VLOOKUP(A31,[1]characters!$A:$C,3,FALSE)</f>
        <v>黄槌のレジスタンス マミコ</v>
      </c>
      <c r="C31" s="40" t="s">
        <v>26</v>
      </c>
      <c r="D31" s="42" t="str">
        <f>D28</f>
        <v>551</v>
      </c>
      <c r="E31" s="19" t="str">
        <f>VLOOKUP(D31,unit_serifs_i18n!C:E,3,FALSE)</f>
        <v>kumo</v>
      </c>
      <c r="F31" s="19" t="str">
        <f>VLOOKUP(D31,unit_serifs_i18n!C:F,4,FALSE)</f>
        <v>一気にいきます！！</v>
      </c>
    </row>
    <row r="32" spans="1:6" x14ac:dyDescent="0.15">
      <c r="A32" s="11">
        <v>77</v>
      </c>
      <c r="B32" s="9" t="str">
        <f>VLOOKUP(A32,[1]characters!$A:$C,3,FALSE)</f>
        <v>潜伏型メリッサ</v>
      </c>
      <c r="C32" s="3" t="s">
        <v>25</v>
      </c>
      <c r="D32" s="42" t="str">
        <f>A32&amp;+(COUNTIF(A$32:A32,A32)-1)</f>
        <v>770</v>
      </c>
      <c r="E32" s="19" t="str">
        <f>VLOOKUP(D32,unit_serifs_i18n!C:E,3,FALSE)</f>
        <v>maru</v>
      </c>
      <c r="F32" s="19" t="str">
        <f>VLOOKUP(D32,unit_serifs_i18n!C:F,4,FALSE)</f>
        <v>食べ尽くしてあげる</v>
      </c>
    </row>
    <row r="33" spans="1:6" x14ac:dyDescent="0.15">
      <c r="A33" s="39">
        <v>77</v>
      </c>
      <c r="B33" s="9" t="str">
        <f>VLOOKUP(A33,[1]characters!$A:$C,3,FALSE)</f>
        <v>潜伏型メリッサ</v>
      </c>
      <c r="C33" s="40" t="s">
        <v>26</v>
      </c>
      <c r="D33" s="42" t="str">
        <f>A33&amp;+(COUNTIF(A$32:A33,A33)-1)</f>
        <v>771</v>
      </c>
      <c r="E33" s="19" t="str">
        <f>VLOOKUP(D33,unit_serifs_i18n!C:E,3,FALSE)</f>
        <v>giza</v>
      </c>
      <c r="F33" s="19" t="str">
        <f>VLOOKUP(D33,unit_serifs_i18n!C:F,4,FALSE)</f>
        <v>燃えてしまいなさい！</v>
      </c>
    </row>
    <row r="34" spans="1:6" x14ac:dyDescent="0.15">
      <c r="A34" s="11">
        <v>78</v>
      </c>
      <c r="B34" s="9" t="str">
        <f>VLOOKUP(A34,[1]characters!$A:$C,3,FALSE)</f>
        <v>擬態潜伏型メリッサ2.0</v>
      </c>
      <c r="C34" s="3" t="s">
        <v>25</v>
      </c>
      <c r="D34" s="42" t="str">
        <f>A34&amp;+(COUNTIF(A$32:A34,A34)-1)</f>
        <v>780</v>
      </c>
      <c r="E34" s="19" t="str">
        <f>VLOOKUP(D34,unit_serifs_i18n!C:E,3,FALSE)</f>
        <v>giza</v>
      </c>
      <c r="F34" s="19" t="str">
        <f>VLOOKUP(D34,unit_serifs_i18n!C:F,4,FALSE)</f>
        <v>止められるかしら？</v>
      </c>
    </row>
    <row r="35" spans="1:6" x14ac:dyDescent="0.15">
      <c r="A35" s="39">
        <v>78</v>
      </c>
      <c r="B35" s="9" t="str">
        <f>VLOOKUP(A35,[1]characters!$A:$C,3,FALSE)</f>
        <v>擬態潜伏型メリッサ2.0</v>
      </c>
      <c r="C35" s="40" t="s">
        <v>26</v>
      </c>
      <c r="D35" s="42" t="str">
        <f>A35&amp;+(COUNTIF(A$32:A35,A35)-1)</f>
        <v>781</v>
      </c>
      <c r="E35" s="19" t="str">
        <f>VLOOKUP(D35,unit_serifs_i18n!C:E,3,FALSE)</f>
        <v>maru</v>
      </c>
      <c r="F35" s="19" t="str">
        <f>VLOOKUP(D35,unit_serifs_i18n!C:F,4,FALSE)</f>
        <v>燃やし尽くしてあげる</v>
      </c>
    </row>
    <row r="36" spans="1:6" x14ac:dyDescent="0.15">
      <c r="A36" s="39">
        <v>78</v>
      </c>
      <c r="B36" s="9" t="str">
        <f>VLOOKUP(A36,[1]characters!$A:$C,3,FALSE)</f>
        <v>擬態潜伏型メリッサ2.0</v>
      </c>
      <c r="C36" s="40" t="s">
        <v>26</v>
      </c>
      <c r="D36" s="43" t="s">
        <v>939</v>
      </c>
      <c r="E36" s="19" t="str">
        <f>VLOOKUP(D36,unit_serifs_i18n!C:E,3,FALSE)</f>
        <v>giza</v>
      </c>
      <c r="F36" s="19" t="str">
        <f>VLOOKUP(D36,unit_serifs_i18n!C:F,4,FALSE)</f>
        <v>燃えてしまいなさい！</v>
      </c>
    </row>
    <row r="37" spans="1:6" x14ac:dyDescent="0.15">
      <c r="A37" s="11">
        <v>79</v>
      </c>
      <c r="B37" s="9" t="str">
        <f>VLOOKUP(A37,[1]characters!$A:$C,3,FALSE)</f>
        <v>ハッピー100</v>
      </c>
      <c r="C37" s="3" t="s">
        <v>25</v>
      </c>
      <c r="D37" s="42" t="str">
        <f>A37&amp;+(COUNTIF(A$32:A37,A37)-1)</f>
        <v>790</v>
      </c>
      <c r="E37" s="19" t="str">
        <f>VLOOKUP(D37,unit_serifs_i18n!C:E,3,FALSE)</f>
        <v>maru</v>
      </c>
      <c r="F37" s="19" t="str">
        <f>VLOOKUP(D37,unit_serifs_i18n!C:F,4,FALSE)</f>
        <v>ハッピー！</v>
      </c>
    </row>
    <row r="38" spans="1:6" x14ac:dyDescent="0.15">
      <c r="A38" s="39">
        <v>79</v>
      </c>
      <c r="B38" s="9" t="str">
        <f>VLOOKUP(A38,[1]characters!$A:$C,3,FALSE)</f>
        <v>ハッピー100</v>
      </c>
      <c r="C38" s="40" t="s">
        <v>26</v>
      </c>
      <c r="D38" s="42" t="str">
        <f>A38&amp;+(COUNTIF(A$32:A38,A38)-1)</f>
        <v>791</v>
      </c>
      <c r="E38" s="19" t="str">
        <f>VLOOKUP(D38,unit_serifs_i18n!C:E,3,FALSE)</f>
        <v>giza</v>
      </c>
      <c r="F38" s="19" t="str">
        <f>VLOOKUP(D38,unit_serifs_i18n!C:F,4,FALSE)</f>
        <v>Happy?</v>
      </c>
    </row>
    <row r="39" spans="1:6" x14ac:dyDescent="0.15">
      <c r="A39" s="11">
        <v>80</v>
      </c>
      <c r="B39" s="9" t="str">
        <f>VLOOKUP(A39,[1]characters!$A:$C,3,FALSE)</f>
        <v>ハッピー101</v>
      </c>
      <c r="C39" s="3" t="s">
        <v>25</v>
      </c>
      <c r="D39" s="42" t="str">
        <f>A39&amp;+(COUNTIF(A$32:A39,A39)-1)</f>
        <v>800</v>
      </c>
      <c r="E39" s="19" t="str">
        <f>VLOOKUP(D39,unit_serifs_i18n!C:E,3,FALSE)</f>
        <v>maru</v>
      </c>
      <c r="F39" s="19" t="str">
        <f>VLOOKUP(D39,unit_serifs_i18n!C:F,4,FALSE)</f>
        <v>ハッピー！？</v>
      </c>
    </row>
    <row r="40" spans="1:6" x14ac:dyDescent="0.15">
      <c r="A40" s="39">
        <v>80</v>
      </c>
      <c r="B40" s="9" t="str">
        <f>VLOOKUP(A40,[1]characters!$A:$C,3,FALSE)</f>
        <v>ハッピー101</v>
      </c>
      <c r="C40" s="40" t="s">
        <v>26</v>
      </c>
      <c r="D40" s="42" t="str">
        <f>A40&amp;+(COUNTIF(A$32:A40,A40)-1)</f>
        <v>801</v>
      </c>
      <c r="E40" s="19" t="str">
        <f>VLOOKUP(D40,unit_serifs_i18n!C:E,3,FALSE)</f>
        <v>maru</v>
      </c>
      <c r="F40" s="19" t="str">
        <f>VLOOKUP(D40,unit_serifs_i18n!C:F,4,FALSE)</f>
        <v>ハッピー☆</v>
      </c>
    </row>
    <row r="41" spans="1:6" x14ac:dyDescent="0.15">
      <c r="A41" s="39">
        <v>80</v>
      </c>
      <c r="B41" s="9" t="str">
        <f>VLOOKUP(A41,[1]characters!$A:$C,3,FALSE)</f>
        <v>ハッピー101</v>
      </c>
      <c r="C41" s="40" t="s">
        <v>26</v>
      </c>
      <c r="D41" s="45" t="s">
        <v>940</v>
      </c>
      <c r="E41" s="19" t="str">
        <f>VLOOKUP(D41,unit_serifs_i18n!C:E,3,FALSE)</f>
        <v>giza</v>
      </c>
      <c r="F41" s="19" t="str">
        <f>VLOOKUP(D41,unit_serifs_i18n!C:F,4,FALSE)</f>
        <v>Happy?</v>
      </c>
    </row>
    <row r="42" spans="1:6" x14ac:dyDescent="0.15">
      <c r="A42" s="11">
        <v>81</v>
      </c>
      <c r="B42" s="9" t="str">
        <f>VLOOKUP(A42,[1]characters!$A:$C,3,FALSE)</f>
        <v>増幅型モリス</v>
      </c>
      <c r="C42" s="3" t="s">
        <v>25</v>
      </c>
      <c r="D42" s="42" t="str">
        <f>A42&amp;+(COUNTIF(A$32:A42,A42)-1)</f>
        <v>810</v>
      </c>
      <c r="E42" s="19" t="str">
        <f>VLOOKUP(D42,unit_serifs_i18n!C:E,3,FALSE)</f>
        <v>giza</v>
      </c>
      <c r="F42" s="19" t="str">
        <f>VLOOKUP(D42,unit_serifs_i18n!C:F,4,FALSE)</f>
        <v>クリーニングします！</v>
      </c>
    </row>
    <row r="43" spans="1:6" x14ac:dyDescent="0.15">
      <c r="A43" s="39">
        <v>81</v>
      </c>
      <c r="B43" s="9" t="str">
        <f>VLOOKUP(A43,[1]characters!$A:$C,3,FALSE)</f>
        <v>増幅型モリス</v>
      </c>
      <c r="C43" s="40" t="s">
        <v>26</v>
      </c>
      <c r="D43" s="42" t="str">
        <f>A43&amp;+(COUNTIF(A$32:A43,A43)-1)</f>
        <v>811</v>
      </c>
      <c r="E43" s="19" t="str">
        <f>VLOOKUP(D43,unit_serifs_i18n!C:E,3,FALSE)</f>
        <v>maru</v>
      </c>
      <c r="F43" s="19" t="str">
        <f>VLOOKUP(D43,unit_serifs_i18n!C:F,4,FALSE)</f>
        <v>固まってくださいね！</v>
      </c>
    </row>
    <row r="44" spans="1:6" x14ac:dyDescent="0.15">
      <c r="A44" s="11">
        <v>82</v>
      </c>
      <c r="B44" s="9" t="str">
        <f>VLOOKUP(A44,[1]characters!$A:$C,3,FALSE)</f>
        <v>偽装増幅型G・モリス</v>
      </c>
      <c r="C44" s="3" t="s">
        <v>25</v>
      </c>
      <c r="D44" s="42" t="str">
        <f>A44&amp;+(COUNTIF(A$32:A44,A44)-1)</f>
        <v>820</v>
      </c>
      <c r="E44" s="19" t="str">
        <f>VLOOKUP(D44,unit_serifs_i18n!C:E,3,FALSE)</f>
        <v>maru</v>
      </c>
      <c r="F44" s="19" t="str">
        <f>VLOOKUP(D44,unit_serifs_i18n!C:F,4,FALSE)</f>
        <v>キレイになりますよ！</v>
      </c>
    </row>
    <row r="45" spans="1:6" x14ac:dyDescent="0.15">
      <c r="A45" s="39">
        <v>82</v>
      </c>
      <c r="B45" s="9" t="str">
        <f>VLOOKUP(A45,[1]characters!$A:$C,3,FALSE)</f>
        <v>偽装増幅型G・モリス</v>
      </c>
      <c r="C45" s="40" t="s">
        <v>26</v>
      </c>
      <c r="D45" s="42" t="str">
        <f>A45&amp;+(COUNTIF(A$32:A45,A45)-1)</f>
        <v>821</v>
      </c>
      <c r="E45" s="19" t="str">
        <f>VLOOKUP(D45,unit_serifs_i18n!C:E,3,FALSE)</f>
        <v>maru</v>
      </c>
      <c r="F45" s="19" t="str">
        <f>VLOOKUP(D45,unit_serifs_i18n!C:F,4,FALSE)</f>
        <v>お邪魔しますよ！</v>
      </c>
    </row>
    <row r="46" spans="1:6" x14ac:dyDescent="0.15">
      <c r="A46" s="39">
        <v>82</v>
      </c>
      <c r="B46" s="9" t="str">
        <f>VLOOKUP(A46,[1]characters!$A:$C,3,FALSE)</f>
        <v>偽装増幅型G・モリス</v>
      </c>
      <c r="C46" s="40" t="s">
        <v>26</v>
      </c>
      <c r="D46" s="42" t="str">
        <f>D43</f>
        <v>811</v>
      </c>
      <c r="E46" s="19" t="str">
        <f>IFERROR(VLOOKUP(D46,unit_serifs_i18n!C:E,3,FALSE),VLOOKUP(T(D46-11),unit_serifs_i18n!C:E,3,FALSE))</f>
        <v>maru</v>
      </c>
      <c r="F46" s="19" t="str">
        <f>VLOOKUP(D46,unit_serifs_i18n!C:F,4,FALSE)</f>
        <v>固まってくださいね！</v>
      </c>
    </row>
    <row r="47" spans="1:6" x14ac:dyDescent="0.15">
      <c r="A47" s="11">
        <v>83</v>
      </c>
      <c r="B47" s="9" t="str">
        <f>VLOOKUP(A47,[1]characters!$A:$C,3,FALSE)</f>
        <v>拡散性ニムダ</v>
      </c>
      <c r="C47" s="3" t="s">
        <v>25</v>
      </c>
      <c r="D47" s="42" t="str">
        <f>A47&amp;+(COUNTIF(A$32:A47,A47)-1)</f>
        <v>830</v>
      </c>
      <c r="E47" s="19" t="str">
        <f>VLOOKUP(D47,unit_serifs_i18n!C:E,3,FALSE)</f>
        <v>maru</v>
      </c>
      <c r="F47" s="19" t="str">
        <f>VLOOKUP(D47,unit_serifs_i18n!C:F,4,FALSE)</f>
        <v>私たちが守っちゃうよ！</v>
      </c>
    </row>
    <row r="48" spans="1:6" x14ac:dyDescent="0.15">
      <c r="A48" s="39">
        <v>83</v>
      </c>
      <c r="B48" s="9" t="str">
        <f>VLOOKUP(A48,[1]characters!$A:$C,3,FALSE)</f>
        <v>拡散性ニムダ</v>
      </c>
      <c r="C48" s="40" t="s">
        <v>26</v>
      </c>
      <c r="D48" s="42" t="str">
        <f>A48&amp;+(COUNTIF(A$32:A48,A48)-1)</f>
        <v>831</v>
      </c>
      <c r="E48" s="19" t="str">
        <f>VLOOKUP(D48,unit_serifs_i18n!C:E,3,FALSE)</f>
        <v>maru</v>
      </c>
      <c r="F48" s="19" t="str">
        <f>VLOOKUP(D48,unit_serifs_i18n!C:F,4,FALSE)</f>
        <v>バチバチするよ！</v>
      </c>
    </row>
    <row r="49" spans="1:6" x14ac:dyDescent="0.15">
      <c r="A49" s="11">
        <v>84</v>
      </c>
      <c r="B49" s="9" t="str">
        <f>VLOOKUP(A49,[1]characters!$A:$C,3,FALSE)</f>
        <v>高速拡散性ニムダE</v>
      </c>
      <c r="C49" s="3" t="s">
        <v>25</v>
      </c>
      <c r="D49" s="42" t="str">
        <f>A49&amp;+(COUNTIF(A$32:A49,A49)-1)</f>
        <v>840</v>
      </c>
      <c r="E49" s="19" t="str">
        <f>VLOOKUP(D49,unit_serifs_i18n!C:E,3,FALSE)</f>
        <v>maru</v>
      </c>
      <c r="F49" s="19" t="str">
        <f>VLOOKUP(D49,unit_serifs_i18n!C:F,4,FALSE)</f>
        <v>みんなで守れば大丈夫！</v>
      </c>
    </row>
    <row r="50" spans="1:6" x14ac:dyDescent="0.15">
      <c r="A50" s="39">
        <v>84</v>
      </c>
      <c r="B50" s="9" t="str">
        <f>VLOOKUP(A50,[1]characters!$A:$C,3,FALSE)</f>
        <v>高速拡散性ニムダE</v>
      </c>
      <c r="C50" s="40" t="s">
        <v>26</v>
      </c>
      <c r="D50" s="42" t="str">
        <f>A50&amp;+(COUNTIF(A$32:A50,A50)-1)</f>
        <v>841</v>
      </c>
      <c r="E50" s="19" t="str">
        <f>VLOOKUP(D50,unit_serifs_i18n!C:E,3,FALSE)</f>
        <v>maru</v>
      </c>
      <c r="F50" s="19" t="str">
        <f>VLOOKUP(D50,unit_serifs_i18n!C:F,4,FALSE)</f>
        <v>みんな突撃するよー！</v>
      </c>
    </row>
    <row r="51" spans="1:6" x14ac:dyDescent="0.15">
      <c r="A51" s="39">
        <v>84</v>
      </c>
      <c r="B51" s="9" t="str">
        <f>VLOOKUP(A51,[1]characters!$A:$C,3,FALSE)</f>
        <v>高速拡散性ニムダE</v>
      </c>
      <c r="C51" s="40" t="s">
        <v>26</v>
      </c>
      <c r="D51" s="42" t="str">
        <f>D48</f>
        <v>831</v>
      </c>
      <c r="E51" s="19" t="str">
        <f>VLOOKUP(D51,unit_serifs_i18n!C:E,3,FALSE)</f>
        <v>maru</v>
      </c>
      <c r="F51" s="19" t="str">
        <f>VLOOKUP(D51,unit_serifs_i18n!C:F,4,FALSE)</f>
        <v>バチバチするよ！</v>
      </c>
    </row>
    <row r="52" spans="1:6" x14ac:dyDescent="0.15">
      <c r="A52" s="11">
        <v>85</v>
      </c>
      <c r="B52" s="9" t="str">
        <f>VLOOKUP(A52,[1]characters!$A:$C,3,FALSE)</f>
        <v>朱雀</v>
      </c>
      <c r="C52" s="3" t="s">
        <v>25</v>
      </c>
      <c r="D52" s="42" t="str">
        <f>A52&amp;+(COUNTIF(A$32:A52,A52)-1)</f>
        <v>850</v>
      </c>
      <c r="E52" s="19" t="str">
        <f>VLOOKUP(D52,unit_serifs_i18n!C:E,3,FALSE)</f>
        <v>giza</v>
      </c>
      <c r="F52" s="19" t="str">
        <f>VLOOKUP(D52,unit_serifs_i18n!C:F,4,FALSE)</f>
        <v>炎の前では無力よ！</v>
      </c>
    </row>
    <row r="53" spans="1:6" x14ac:dyDescent="0.15">
      <c r="A53" s="39">
        <v>85</v>
      </c>
      <c r="B53" s="9" t="str">
        <f>VLOOKUP(A53,[1]characters!$A:$C,3,FALSE)</f>
        <v>朱雀</v>
      </c>
      <c r="C53" s="40" t="s">
        <v>26</v>
      </c>
      <c r="D53" s="42" t="str">
        <f>A53&amp;+(COUNTIF(A$32:A53,A53)-1)</f>
        <v>851</v>
      </c>
      <c r="E53" s="19" t="str">
        <f>VLOOKUP(D53,unit_serifs_i18n!C:E,3,FALSE)</f>
        <v>giza</v>
      </c>
      <c r="F53" s="19" t="str">
        <f>VLOOKUP(D53,unit_serifs_i18n!C:F,4,FALSE)</f>
        <v>焼きつくす！</v>
      </c>
    </row>
    <row r="54" spans="1:6" x14ac:dyDescent="0.15">
      <c r="A54" s="11">
        <v>86</v>
      </c>
      <c r="B54" s="9" t="str">
        <f>VLOOKUP(A54,[1]characters!$A:$C,3,FALSE)</f>
        <v>守護者 朱雀</v>
      </c>
      <c r="C54" s="3" t="s">
        <v>25</v>
      </c>
      <c r="D54" s="42" t="str">
        <f>A54&amp;+(COUNTIF(A$32:A54,A54)-1)</f>
        <v>860</v>
      </c>
      <c r="E54" s="19" t="str">
        <f>VLOOKUP(D54,unit_serifs_i18n!C:E,3,FALSE)</f>
        <v>giza</v>
      </c>
      <c r="F54" s="19" t="str">
        <f>VLOOKUP(D54,unit_serifs_i18n!C:F,4,FALSE)</f>
        <v>燃えさかるがいい！</v>
      </c>
    </row>
    <row r="55" spans="1:6" x14ac:dyDescent="0.15">
      <c r="A55" s="39">
        <v>86</v>
      </c>
      <c r="B55" s="9" t="str">
        <f>VLOOKUP(A55,[1]characters!$A:$C,3,FALSE)</f>
        <v>守護者 朱雀</v>
      </c>
      <c r="C55" s="40" t="s">
        <v>26</v>
      </c>
      <c r="D55" s="42" t="str">
        <f>A55&amp;+(COUNTIF(A$32:A55,A55)-1)</f>
        <v>861</v>
      </c>
      <c r="E55" s="19" t="str">
        <f>VLOOKUP(D55,unit_serifs_i18n!C:E,3,FALSE)</f>
        <v>giza</v>
      </c>
      <c r="F55" s="19" t="str">
        <f>VLOOKUP(D55,unit_serifs_i18n!C:F,4,FALSE)</f>
        <v>我が熱風を受けろ！</v>
      </c>
    </row>
    <row r="56" spans="1:6" x14ac:dyDescent="0.15">
      <c r="A56" s="39">
        <v>86</v>
      </c>
      <c r="B56" s="9" t="str">
        <f>VLOOKUP(A56,[1]characters!$A:$C,3,FALSE)</f>
        <v>守護者 朱雀</v>
      </c>
      <c r="C56" s="40" t="s">
        <v>26</v>
      </c>
      <c r="D56" s="42" t="str">
        <f>D53</f>
        <v>851</v>
      </c>
      <c r="E56" s="19" t="str">
        <f>VLOOKUP(D56,unit_serifs_i18n!C:E,3,FALSE)</f>
        <v>giza</v>
      </c>
      <c r="F56" s="19" t="str">
        <f>VLOOKUP(D56,unit_serifs_i18n!C:F,4,FALSE)</f>
        <v>焼きつくす！</v>
      </c>
    </row>
    <row r="57" spans="1:6" x14ac:dyDescent="0.15">
      <c r="A57" s="11">
        <v>87</v>
      </c>
      <c r="B57" s="9" t="str">
        <f>VLOOKUP(A57,[1]characters!$A:$C,3,FALSE)</f>
        <v>朱南の守護神 朱雀</v>
      </c>
      <c r="C57" s="3" t="s">
        <v>25</v>
      </c>
      <c r="D57" s="42" t="str">
        <f>A57&amp;+(COUNTIF(A$32:A57,A57)-1)</f>
        <v>870</v>
      </c>
      <c r="E57" s="19" t="str">
        <f>VLOOKUP(D57,unit_serifs_i18n!C:E,3,FALSE)</f>
        <v>maru</v>
      </c>
      <c r="F57" s="19" t="str">
        <f>VLOOKUP(D57,unit_serifs_i18n!C:F,4,FALSE)</f>
        <v>丸焦げにしてくれる</v>
      </c>
    </row>
    <row r="58" spans="1:6" x14ac:dyDescent="0.15">
      <c r="A58" s="39">
        <v>87</v>
      </c>
      <c r="B58" s="9" t="str">
        <f>VLOOKUP(A58,[1]characters!$A:$C,3,FALSE)</f>
        <v>朱南の守護神 朱雀</v>
      </c>
      <c r="C58" s="40" t="s">
        <v>26</v>
      </c>
      <c r="D58" s="42" t="str">
        <f>A58&amp;+(COUNTIF(A$32:A58,A58)-1)</f>
        <v>871</v>
      </c>
      <c r="E58" s="19" t="str">
        <f>VLOOKUP(D58,unit_serifs_i18n!C:E,3,FALSE)</f>
        <v>maru</v>
      </c>
      <c r="F58" s="19" t="str">
        <f>VLOOKUP(D58,unit_serifs_i18n!C:F,4,FALSE)</f>
        <v>参るぞ、灰と化せ…！</v>
      </c>
    </row>
    <row r="59" spans="1:6" x14ac:dyDescent="0.15">
      <c r="A59" s="39">
        <v>87</v>
      </c>
      <c r="B59" s="9" t="str">
        <f>VLOOKUP(A59,[1]characters!$A:$C,3,FALSE)</f>
        <v>朱南の守護神 朱雀</v>
      </c>
      <c r="C59" s="40" t="s">
        <v>26</v>
      </c>
      <c r="D59" s="42" t="str">
        <f>D56</f>
        <v>851</v>
      </c>
      <c r="E59" s="19" t="str">
        <f>VLOOKUP(D59,unit_serifs_i18n!C:E,3,FALSE)</f>
        <v>giza</v>
      </c>
      <c r="F59" s="19" t="str">
        <f>VLOOKUP(D59,unit_serifs_i18n!C:F,4,FALSE)</f>
        <v>焼きつくす！</v>
      </c>
    </row>
    <row r="60" spans="1:6" x14ac:dyDescent="0.15">
      <c r="A60" s="39">
        <v>87</v>
      </c>
      <c r="B60" s="9" t="str">
        <f>VLOOKUP(A60,[1]characters!$A:$C,3,FALSE)</f>
        <v>朱南の守護神 朱雀</v>
      </c>
      <c r="C60" s="40" t="s">
        <v>26</v>
      </c>
      <c r="D60" s="42" t="str">
        <f>D55</f>
        <v>861</v>
      </c>
      <c r="E60" s="19" t="str">
        <f>VLOOKUP(D60,unit_serifs_i18n!C:E,3,FALSE)</f>
        <v>giza</v>
      </c>
      <c r="F60" s="19" t="str">
        <f>VLOOKUP(D60,unit_serifs_i18n!C:F,4,FALSE)</f>
        <v>我が熱風を受けろ！</v>
      </c>
    </row>
    <row r="61" spans="1:6" x14ac:dyDescent="0.15">
      <c r="A61" s="11">
        <v>88</v>
      </c>
      <c r="B61" s="9" t="str">
        <f>VLOOKUP(A61,[1]characters!$A:$C,3,FALSE)</f>
        <v>玄武</v>
      </c>
      <c r="C61" s="3" t="s">
        <v>25</v>
      </c>
      <c r="D61" s="42" t="str">
        <f>A61&amp;+(COUNTIF(A$32:A61,A61)-1)</f>
        <v>880</v>
      </c>
      <c r="E61" s="19" t="str">
        <f>VLOOKUP(D61,unit_serifs_i18n!C:E,3,FALSE)</f>
        <v>kumo</v>
      </c>
      <c r="F61" s="19" t="str">
        <f>VLOOKUP(D61,unit_serifs_i18n!C:F,4,FALSE)</f>
        <v>儂が守ってやるかのう</v>
      </c>
    </row>
    <row r="62" spans="1:6" x14ac:dyDescent="0.15">
      <c r="A62" s="39">
        <v>88</v>
      </c>
      <c r="B62" s="9" t="str">
        <f>VLOOKUP(A62,[1]characters!$A:$C,3,FALSE)</f>
        <v>玄武</v>
      </c>
      <c r="C62" s="40" t="s">
        <v>26</v>
      </c>
      <c r="D62" s="42" t="str">
        <f>A62&amp;+(COUNTIF(A$32:A62,A62)-1)</f>
        <v>881</v>
      </c>
      <c r="E62" s="19" t="str">
        <f>VLOOKUP(D62,unit_serifs_i18n!C:E,3,FALSE)</f>
        <v>maru</v>
      </c>
      <c r="F62" s="19" t="str">
        <f>VLOOKUP(D62,unit_serifs_i18n!C:F,4,FALSE)</f>
        <v>地よ、震えろ</v>
      </c>
    </row>
    <row r="63" spans="1:6" x14ac:dyDescent="0.15">
      <c r="A63" s="11">
        <v>89</v>
      </c>
      <c r="B63" s="9" t="str">
        <f>VLOOKUP(A63,[1]characters!$A:$C,3,FALSE)</f>
        <v>守護者 玄武</v>
      </c>
      <c r="C63" s="3" t="s">
        <v>25</v>
      </c>
      <c r="D63" s="42" t="str">
        <f>A63&amp;+(COUNTIF(A$32:A63,A63)-1)</f>
        <v>890</v>
      </c>
      <c r="E63" s="19" t="str">
        <f>VLOOKUP(D63,unit_serifs_i18n!C:E,3,FALSE)</f>
        <v>kumo</v>
      </c>
      <c r="F63" s="19" t="str">
        <f>VLOOKUP(D63,unit_serifs_i18n!C:F,4,FALSE)</f>
        <v>若いもんには貫けんぞ</v>
      </c>
    </row>
    <row r="64" spans="1:6" x14ac:dyDescent="0.15">
      <c r="A64" s="39">
        <v>89</v>
      </c>
      <c r="B64" s="9" t="str">
        <f>VLOOKUP(A64,[1]characters!$A:$C,3,FALSE)</f>
        <v>守護者 玄武</v>
      </c>
      <c r="C64" s="40" t="s">
        <v>26</v>
      </c>
      <c r="D64" s="42" t="str">
        <f>A64&amp;+(COUNTIF(A$32:A64,A64)-1)</f>
        <v>891</v>
      </c>
      <c r="E64" s="19" t="str">
        <f>VLOOKUP(D64,unit_serifs_i18n!C:E,3,FALSE)</f>
        <v>maru</v>
      </c>
      <c r="F64" s="19" t="str">
        <f>VLOOKUP(D64,unit_serifs_i18n!C:F,4,FALSE)</f>
        <v>地よ、轟け</v>
      </c>
    </row>
    <row r="65" spans="1:6" x14ac:dyDescent="0.15">
      <c r="A65" s="39">
        <v>89</v>
      </c>
      <c r="B65" s="9" t="str">
        <f>VLOOKUP(A65,[1]characters!$A:$C,3,FALSE)</f>
        <v>守護者 玄武</v>
      </c>
      <c r="C65" s="40" t="s">
        <v>26</v>
      </c>
      <c r="D65" s="42" t="str">
        <f>D62</f>
        <v>881</v>
      </c>
      <c r="E65" s="19" t="str">
        <f>VLOOKUP(D65,unit_serifs_i18n!C:E,3,FALSE)</f>
        <v>maru</v>
      </c>
      <c r="F65" s="19" t="str">
        <f>VLOOKUP(D65,unit_serifs_i18n!C:F,4,FALSE)</f>
        <v>地よ、震えろ</v>
      </c>
    </row>
    <row r="66" spans="1:6" x14ac:dyDescent="0.15">
      <c r="A66" s="11">
        <v>90</v>
      </c>
      <c r="B66" s="9" t="str">
        <f>VLOOKUP(A66,[1]characters!$A:$C,3,FALSE)</f>
        <v>翠北の守護神 玄武</v>
      </c>
      <c r="C66" s="3" t="s">
        <v>25</v>
      </c>
      <c r="D66" s="42" t="str">
        <f>A66&amp;+(COUNTIF(A$32:A66,A66)-1)</f>
        <v>900</v>
      </c>
      <c r="E66" s="19" t="str">
        <f>VLOOKUP(D66,unit_serifs_i18n!C:E,3,FALSE)</f>
        <v>maru</v>
      </c>
      <c r="F66" s="19" t="str">
        <f>VLOOKUP(D66,unit_serifs_i18n!C:F,4,FALSE)</f>
        <v>やれるものならやってみぃ</v>
      </c>
    </row>
    <row r="67" spans="1:6" x14ac:dyDescent="0.15">
      <c r="A67" s="39">
        <v>90</v>
      </c>
      <c r="B67" s="9" t="str">
        <f>VLOOKUP(A67,[1]characters!$A:$C,3,FALSE)</f>
        <v>翠北の守護神 玄武</v>
      </c>
      <c r="C67" s="40" t="s">
        <v>26</v>
      </c>
      <c r="D67" s="42" t="str">
        <f>A67&amp;+(COUNTIF(A$32:A67,A67)-1)</f>
        <v>901</v>
      </c>
      <c r="E67" s="19" t="str">
        <f>VLOOKUP(D67,unit_serifs_i18n!C:E,3,FALSE)</f>
        <v>giza</v>
      </c>
      <c r="F67" s="19" t="str">
        <f>VLOOKUP(D67,unit_serifs_i18n!C:F,4,FALSE)</f>
        <v>悪戯が過ぎたのう…！</v>
      </c>
    </row>
    <row r="68" spans="1:6" x14ac:dyDescent="0.15">
      <c r="A68" s="39">
        <v>90</v>
      </c>
      <c r="B68" s="9" t="str">
        <f>VLOOKUP(A68,[1]characters!$A:$C,3,FALSE)</f>
        <v>翠北の守護神 玄武</v>
      </c>
      <c r="C68" s="40" t="s">
        <v>26</v>
      </c>
      <c r="D68" s="42" t="str">
        <f>D65</f>
        <v>881</v>
      </c>
      <c r="E68" s="19" t="str">
        <f>VLOOKUP(D68,unit_serifs_i18n!C:E,3,FALSE)</f>
        <v>maru</v>
      </c>
      <c r="F68" s="19" t="str">
        <f>VLOOKUP(D68,unit_serifs_i18n!C:F,4,FALSE)</f>
        <v>地よ、震えろ</v>
      </c>
    </row>
    <row r="69" spans="1:6" x14ac:dyDescent="0.15">
      <c r="A69" s="39">
        <v>90</v>
      </c>
      <c r="B69" s="9" t="str">
        <f>VLOOKUP(A69,[1]characters!$A:$C,3,FALSE)</f>
        <v>翠北の守護神 玄武</v>
      </c>
      <c r="C69" s="40" t="s">
        <v>26</v>
      </c>
      <c r="D69" s="42" t="str">
        <f>D64</f>
        <v>891</v>
      </c>
      <c r="E69" s="19" t="str">
        <f>VLOOKUP(D69,unit_serifs_i18n!C:E,3,FALSE)</f>
        <v>maru</v>
      </c>
      <c r="F69" s="19" t="str">
        <f>VLOOKUP(D69,unit_serifs_i18n!C:F,4,FALSE)</f>
        <v>地よ、轟け</v>
      </c>
    </row>
    <row r="70" spans="1:6" x14ac:dyDescent="0.15">
      <c r="A70" s="11">
        <v>91</v>
      </c>
      <c r="B70" s="9" t="str">
        <f>VLOOKUP(A70,[1]characters!$A:$C,3,FALSE)</f>
        <v>青龍</v>
      </c>
      <c r="C70" s="3" t="s">
        <v>25</v>
      </c>
      <c r="D70" s="42" t="str">
        <f>A70&amp;+(COUNTIF(A$32:A70,A70)-1)</f>
        <v>910</v>
      </c>
      <c r="E70" s="19" t="str">
        <f>VLOOKUP(D70,unit_serifs_i18n!C:E,3,FALSE)</f>
        <v>maru</v>
      </c>
      <c r="F70" s="19" t="str">
        <f>VLOOKUP(D70,unit_serifs_i18n!C:F,4,FALSE)</f>
        <v>熱いヤツは嫌いでな</v>
      </c>
    </row>
    <row r="71" spans="1:6" x14ac:dyDescent="0.15">
      <c r="A71" s="39">
        <v>91</v>
      </c>
      <c r="B71" s="9" t="str">
        <f>VLOOKUP(A71,[1]characters!$A:$C,3,FALSE)</f>
        <v>青龍</v>
      </c>
      <c r="C71" s="40" t="s">
        <v>26</v>
      </c>
      <c r="D71" s="42" t="str">
        <f>A71&amp;+(COUNTIF(A$32:A71,A71)-1)</f>
        <v>911</v>
      </c>
      <c r="E71" s="19" t="str">
        <f>VLOOKUP(D71,unit_serifs_i18n!C:E,3,FALSE)</f>
        <v>maru</v>
      </c>
      <c r="F71" s="19" t="str">
        <f>VLOOKUP(D71,unit_serifs_i18n!C:F,4,FALSE)</f>
        <v>ほんの挨拶だ</v>
      </c>
    </row>
    <row r="72" spans="1:6" x14ac:dyDescent="0.15">
      <c r="A72" s="11">
        <v>92</v>
      </c>
      <c r="B72" s="9" t="str">
        <f>VLOOKUP(A72,[1]characters!$A:$C,3,FALSE)</f>
        <v>守護者 青龍</v>
      </c>
      <c r="C72" s="3" t="s">
        <v>25</v>
      </c>
      <c r="D72" s="42" t="str">
        <f>A72&amp;+(COUNTIF(A$32:A72,A72)-1)</f>
        <v>920</v>
      </c>
      <c r="E72" s="19" t="str">
        <f>VLOOKUP(D72,unit_serifs_i18n!C:E,3,FALSE)</f>
        <v>kumo</v>
      </c>
      <c r="F72" s="19" t="str">
        <f>VLOOKUP(D72,unit_serifs_i18n!C:F,4,FALSE)</f>
        <v>少し落ち着いたらどうだ？</v>
      </c>
    </row>
    <row r="73" spans="1:6" x14ac:dyDescent="0.15">
      <c r="A73" s="39">
        <v>92</v>
      </c>
      <c r="B73" s="9" t="str">
        <f>VLOOKUP(A73,[1]characters!$A:$C,3,FALSE)</f>
        <v>守護者 青龍</v>
      </c>
      <c r="C73" s="40" t="s">
        <v>26</v>
      </c>
      <c r="D73" s="42" t="str">
        <f>A73&amp;+(COUNTIF(A$32:A73,A73)-1)</f>
        <v>921</v>
      </c>
      <c r="E73" s="19" t="str">
        <f>VLOOKUP(D73,unit_serifs_i18n!C:E,3,FALSE)</f>
        <v>kumo</v>
      </c>
      <c r="F73" s="19" t="str">
        <f>VLOOKUP(D73,unit_serifs_i18n!C:F,4,FALSE)</f>
        <v>頭を冷やせ…！</v>
      </c>
    </row>
    <row r="74" spans="1:6" x14ac:dyDescent="0.15">
      <c r="A74" s="39">
        <v>92</v>
      </c>
      <c r="B74" s="9" t="str">
        <f>VLOOKUP(A74,[1]characters!$A:$C,3,FALSE)</f>
        <v>守護者 青龍</v>
      </c>
      <c r="C74" s="40" t="s">
        <v>26</v>
      </c>
      <c r="D74" s="42" t="str">
        <f>D71</f>
        <v>911</v>
      </c>
      <c r="E74" s="19" t="str">
        <f>VLOOKUP(D74,unit_serifs_i18n!C:E,3,FALSE)</f>
        <v>maru</v>
      </c>
      <c r="F74" s="19" t="str">
        <f>VLOOKUP(D74,unit_serifs_i18n!C:F,4,FALSE)</f>
        <v>ほんの挨拶だ</v>
      </c>
    </row>
    <row r="75" spans="1:6" x14ac:dyDescent="0.15">
      <c r="A75" s="11">
        <v>93</v>
      </c>
      <c r="B75" s="9" t="str">
        <f>VLOOKUP(A75,[1]characters!$A:$C,3,FALSE)</f>
        <v>碧東の守護神 青龍</v>
      </c>
      <c r="C75" s="3" t="s">
        <v>25</v>
      </c>
      <c r="D75" s="42" t="str">
        <f>A75&amp;+(COUNTIF(A$32:A75,A75)-1)</f>
        <v>930</v>
      </c>
      <c r="E75" s="19" t="str">
        <f>VLOOKUP(D75,unit_serifs_i18n!C:E,3,FALSE)</f>
        <v>giza</v>
      </c>
      <c r="F75" s="19" t="str">
        <f>VLOOKUP(D75,unit_serifs_i18n!C:F,4,FALSE)</f>
        <v>暑苦しいと言っている…！</v>
      </c>
    </row>
    <row r="76" spans="1:6" x14ac:dyDescent="0.15">
      <c r="A76" s="39">
        <v>93</v>
      </c>
      <c r="B76" s="9" t="str">
        <f>VLOOKUP(A76,[1]characters!$A:$C,3,FALSE)</f>
        <v>碧東の守護神 青龍</v>
      </c>
      <c r="C76" s="40" t="s">
        <v>26</v>
      </c>
      <c r="D76" s="42" t="str">
        <f>A76&amp;+(COUNTIF(A$32:A76,A76)-1)</f>
        <v>931</v>
      </c>
      <c r="E76" s="19" t="str">
        <f>VLOOKUP(D76,unit_serifs_i18n!C:E,3,FALSE)</f>
        <v>giza</v>
      </c>
      <c r="F76" s="19" t="str">
        <f>VLOOKUP(D76,unit_serifs_i18n!C:F,4,FALSE)</f>
        <v>水難の相が出てるぞ！</v>
      </c>
    </row>
    <row r="77" spans="1:6" x14ac:dyDescent="0.15">
      <c r="A77" s="39">
        <v>93</v>
      </c>
      <c r="B77" s="9" t="str">
        <f>VLOOKUP(A77,[1]characters!$A:$C,3,FALSE)</f>
        <v>碧東の守護神 青龍</v>
      </c>
      <c r="C77" s="40" t="s">
        <v>26</v>
      </c>
      <c r="D77" s="42" t="str">
        <f>D74</f>
        <v>911</v>
      </c>
      <c r="E77" s="19" t="str">
        <f>VLOOKUP(D77,unit_serifs_i18n!C:E,3,FALSE)</f>
        <v>maru</v>
      </c>
      <c r="F77" s="19" t="str">
        <f>VLOOKUP(D77,unit_serifs_i18n!C:F,4,FALSE)</f>
        <v>ほんの挨拶だ</v>
      </c>
    </row>
    <row r="78" spans="1:6" x14ac:dyDescent="0.15">
      <c r="A78" s="39">
        <v>93</v>
      </c>
      <c r="B78" s="9" t="str">
        <f>VLOOKUP(A78,[1]characters!$A:$C,3,FALSE)</f>
        <v>碧東の守護神 青龍</v>
      </c>
      <c r="C78" s="40" t="s">
        <v>26</v>
      </c>
      <c r="D78" s="42" t="str">
        <f>D73</f>
        <v>921</v>
      </c>
      <c r="E78" s="19" t="str">
        <f>VLOOKUP(D78,unit_serifs_i18n!C:E,3,FALSE)</f>
        <v>kumo</v>
      </c>
      <c r="F78" s="19" t="str">
        <f>VLOOKUP(D78,unit_serifs_i18n!C:F,4,FALSE)</f>
        <v>頭を冷やせ…！</v>
      </c>
    </row>
    <row r="79" spans="1:6" x14ac:dyDescent="0.15">
      <c r="A79" s="11">
        <v>94</v>
      </c>
      <c r="B79" s="9" t="str">
        <f>VLOOKUP(A79,[1]characters!$A:$C,3,FALSE)</f>
        <v>白虎</v>
      </c>
      <c r="C79" s="3" t="s">
        <v>25</v>
      </c>
      <c r="D79" s="42" t="str">
        <f>A79&amp;+(COUNTIF(A$32:A79,A79)-1)</f>
        <v>940</v>
      </c>
      <c r="E79" s="19" t="str">
        <f>VLOOKUP(D79,unit_serifs_i18n!C:E,3,FALSE)</f>
        <v>giza</v>
      </c>
      <c r="F79" s="19" t="str">
        <f>VLOOKUP(D79,unit_serifs_i18n!C:F,4,FALSE)</f>
        <v>黙らせてやる！</v>
      </c>
    </row>
    <row r="80" spans="1:6" x14ac:dyDescent="0.15">
      <c r="A80" s="39">
        <v>94</v>
      </c>
      <c r="B80" s="9" t="str">
        <f>VLOOKUP(A80,[1]characters!$A:$C,3,FALSE)</f>
        <v>白虎</v>
      </c>
      <c r="C80" s="40" t="s">
        <v>26</v>
      </c>
      <c r="D80" s="42" t="str">
        <f>A80&amp;+(COUNTIF(A$32:A80,A80)-1)</f>
        <v>941</v>
      </c>
      <c r="E80" s="19" t="str">
        <f>VLOOKUP(D80,unit_serifs_i18n!C:E,3,FALSE)</f>
        <v>maru</v>
      </c>
      <c r="F80" s="19" t="str">
        <f>VLOOKUP(D80,unit_serifs_i18n!C:F,4,FALSE)</f>
        <v>痺れさせてやるぜ？</v>
      </c>
    </row>
    <row r="81" spans="1:6" x14ac:dyDescent="0.15">
      <c r="A81" s="11">
        <v>95</v>
      </c>
      <c r="B81" s="9" t="str">
        <f>VLOOKUP(A81,[1]characters!$A:$C,3,FALSE)</f>
        <v>守護者 白虎</v>
      </c>
      <c r="C81" s="3" t="s">
        <v>25</v>
      </c>
      <c r="D81" s="42" t="str">
        <f>A81&amp;+(COUNTIF(A$32:A81,A81)-1)</f>
        <v>950</v>
      </c>
      <c r="E81" s="19" t="str">
        <f>VLOOKUP(D81,unit_serifs_i18n!C:E,3,FALSE)</f>
        <v>maru</v>
      </c>
      <c r="F81" s="19" t="str">
        <f>VLOOKUP(D81,unit_serifs_i18n!C:F,4,FALSE)</f>
        <v>問答無用…！</v>
      </c>
    </row>
    <row r="82" spans="1:6" x14ac:dyDescent="0.15">
      <c r="A82" s="39">
        <v>95</v>
      </c>
      <c r="B82" s="9" t="str">
        <f>VLOOKUP(A82,[1]characters!$A:$C,3,FALSE)</f>
        <v>守護者 白虎</v>
      </c>
      <c r="C82" s="40" t="s">
        <v>26</v>
      </c>
      <c r="D82" s="42" t="str">
        <f>A82&amp;+(COUNTIF(A$32:A82,A82)-1)</f>
        <v>951</v>
      </c>
      <c r="E82" s="19" t="str">
        <f>VLOOKUP(D82,unit_serifs_i18n!C:E,3,FALSE)</f>
        <v>giza</v>
      </c>
      <c r="F82" s="19" t="str">
        <f>VLOOKUP(D82,unit_serifs_i18n!C:F,4,FALSE)</f>
        <v>大人しくしていろ！！</v>
      </c>
    </row>
    <row r="83" spans="1:6" x14ac:dyDescent="0.15">
      <c r="A83" s="39">
        <v>95</v>
      </c>
      <c r="B83" s="9" t="str">
        <f>VLOOKUP(A83,[1]characters!$A:$C,3,FALSE)</f>
        <v>守護者 白虎</v>
      </c>
      <c r="C83" s="40" t="s">
        <v>26</v>
      </c>
      <c r="D83" s="42" t="str">
        <f>D80</f>
        <v>941</v>
      </c>
      <c r="E83" s="19" t="str">
        <f>VLOOKUP(D83,unit_serifs_i18n!C:E,3,FALSE)</f>
        <v>maru</v>
      </c>
      <c r="F83" s="19" t="str">
        <f>VLOOKUP(D83,unit_serifs_i18n!C:F,4,FALSE)</f>
        <v>痺れさせてやるぜ？</v>
      </c>
    </row>
    <row r="84" spans="1:6" x14ac:dyDescent="0.15">
      <c r="A84" s="11">
        <v>96</v>
      </c>
      <c r="B84" s="9" t="str">
        <f>VLOOKUP(A84,[1]characters!$A:$C,3,FALSE)</f>
        <v>金西の守護神 白虎</v>
      </c>
      <c r="C84" s="3" t="s">
        <v>25</v>
      </c>
      <c r="D84" s="42" t="str">
        <f>A84&amp;+(COUNTIF(A$32:A84,A84)-1)</f>
        <v>960</v>
      </c>
      <c r="E84" s="19" t="str">
        <f>VLOOKUP(D84,unit_serifs_i18n!C:E,3,FALSE)</f>
        <v>maru</v>
      </c>
      <c r="F84" s="19" t="str">
        <f>VLOOKUP(D84,unit_serifs_i18n!C:F,4,FALSE)</f>
        <v>小うるさい奴らめ…！</v>
      </c>
    </row>
    <row r="85" spans="1:6" x14ac:dyDescent="0.15">
      <c r="A85" s="39">
        <v>96</v>
      </c>
      <c r="B85" s="9" t="str">
        <f>VLOOKUP(A85,[1]characters!$A:$C,3,FALSE)</f>
        <v>金西の守護神 白虎</v>
      </c>
      <c r="C85" s="40" t="s">
        <v>26</v>
      </c>
      <c r="D85" s="42" t="str">
        <f>A85&amp;+(COUNTIF(A$32:A85,A85)-1)</f>
        <v>961</v>
      </c>
      <c r="E85" s="19" t="str">
        <f>VLOOKUP(D85,unit_serifs_i18n!C:E,3,FALSE)</f>
        <v>giza</v>
      </c>
      <c r="F85" s="19" t="str">
        <f>VLOOKUP(D85,unit_serifs_i18n!C:F,4,FALSE)</f>
        <v>ケガじゃすまさんぜ！</v>
      </c>
    </row>
    <row r="86" spans="1:6" x14ac:dyDescent="0.15">
      <c r="A86" s="39">
        <v>96</v>
      </c>
      <c r="B86" s="9" t="str">
        <f>VLOOKUP(A86,[1]characters!$A:$C,3,FALSE)</f>
        <v>金西の守護神 白虎</v>
      </c>
      <c r="C86" s="40" t="s">
        <v>26</v>
      </c>
      <c r="D86" s="42" t="str">
        <f>D83</f>
        <v>941</v>
      </c>
      <c r="E86" s="19" t="str">
        <f>VLOOKUP(D86,unit_serifs_i18n!C:E,3,FALSE)</f>
        <v>maru</v>
      </c>
      <c r="F86" s="19" t="str">
        <f>VLOOKUP(D86,unit_serifs_i18n!C:F,4,FALSE)</f>
        <v>痺れさせてやるぜ？</v>
      </c>
    </row>
    <row r="87" spans="1:6" x14ac:dyDescent="0.15">
      <c r="A87" s="39">
        <v>96</v>
      </c>
      <c r="B87" s="9" t="str">
        <f>VLOOKUP(A87,[1]characters!$A:$C,3,FALSE)</f>
        <v>金西の守護神 白虎</v>
      </c>
      <c r="C87" s="40" t="s">
        <v>26</v>
      </c>
      <c r="D87" s="42" t="str">
        <f>D82</f>
        <v>951</v>
      </c>
      <c r="E87" s="19" t="str">
        <f>VLOOKUP(D87,unit_serifs_i18n!C:E,3,FALSE)</f>
        <v>giza</v>
      </c>
      <c r="F87" s="19" t="str">
        <f>VLOOKUP(D87,unit_serifs_i18n!C:F,4,FALSE)</f>
        <v>大人しくしていろ！！</v>
      </c>
    </row>
    <row r="88" spans="1:6" x14ac:dyDescent="0.15">
      <c r="A88" s="11">
        <v>126</v>
      </c>
      <c r="B88" s="9" t="str">
        <f>VLOOKUP(A88,[1]characters!$A:$C,3,FALSE)</f>
        <v>骨器使い ユノ</v>
      </c>
      <c r="C88" s="3" t="s">
        <v>25</v>
      </c>
      <c r="D88" s="42" t="str">
        <f>A88&amp;+(COUNTIF(A$2:A88,A88)-1)</f>
        <v>1260</v>
      </c>
      <c r="E88" s="19" t="str">
        <f>VLOOKUP(D88,unit_serifs_i18n!C:E,3,FALSE)</f>
        <v>giza</v>
      </c>
      <c r="F88" s="19" t="str">
        <f>VLOOKUP(D88,unit_serifs_i18n!C:F,4,FALSE)</f>
        <v>火葬にしてやるよ！</v>
      </c>
    </row>
    <row r="89" spans="1:6" x14ac:dyDescent="0.15">
      <c r="A89" s="39">
        <v>126</v>
      </c>
      <c r="B89" s="9" t="str">
        <f>VLOOKUP(A89,[1]characters!$A:$C,3,FALSE)</f>
        <v>骨器使い ユノ</v>
      </c>
      <c r="C89" s="40" t="s">
        <v>26</v>
      </c>
      <c r="D89" s="42" t="str">
        <f>A89&amp;+(COUNTIF(A$2:A89,A89)-1)</f>
        <v>1261</v>
      </c>
      <c r="E89" s="19" t="str">
        <f>VLOOKUP(D89,unit_serifs_i18n!C:E,3,FALSE)</f>
        <v>maru</v>
      </c>
      <c r="F89" s="19" t="str">
        <f>VLOOKUP(D89,unit_serifs_i18n!C:F,4,FALSE)</f>
        <v>貧弱だね！</v>
      </c>
    </row>
    <row r="90" spans="1:6" x14ac:dyDescent="0.15">
      <c r="A90" s="11">
        <v>127</v>
      </c>
      <c r="B90" s="9" t="str">
        <f>VLOOKUP(A90,[1]characters!$A:$C,3,FALSE)</f>
        <v>狂喜の賢者 ユノ</v>
      </c>
      <c r="C90" s="3" t="s">
        <v>25</v>
      </c>
      <c r="D90" s="42" t="str">
        <f>A90&amp;+(COUNTIF(A$2:A90,A90)-1)</f>
        <v>1270</v>
      </c>
      <c r="E90" s="19" t="str">
        <f>VLOOKUP(D90,unit_serifs_i18n!C:E,3,FALSE)</f>
        <v>giza</v>
      </c>
      <c r="F90" s="19" t="str">
        <f>VLOOKUP(D90,unit_serifs_i18n!C:F,4,FALSE)</f>
        <v>みなぎってきたよ！！</v>
      </c>
    </row>
    <row r="91" spans="1:6" x14ac:dyDescent="0.15">
      <c r="A91" s="39">
        <v>127</v>
      </c>
      <c r="B91" s="9" t="str">
        <f>VLOOKUP(A91,[1]characters!$A:$C,3,FALSE)</f>
        <v>狂喜の賢者 ユノ</v>
      </c>
      <c r="C91" s="40" t="s">
        <v>26</v>
      </c>
      <c r="D91" s="42" t="str">
        <f>A91&amp;+(COUNTIF(A$2:A91,A91)-1)</f>
        <v>1271</v>
      </c>
      <c r="E91" s="19" t="str">
        <f>VLOOKUP(D91,unit_serifs_i18n!C:E,3,FALSE)</f>
        <v>giza</v>
      </c>
      <c r="F91" s="19" t="str">
        <f>VLOOKUP(D91,unit_serifs_i18n!C:F,4,FALSE)</f>
        <v>この骨は砕けないよ！</v>
      </c>
    </row>
    <row r="92" spans="1:6" x14ac:dyDescent="0.15">
      <c r="A92" s="39">
        <v>127</v>
      </c>
      <c r="B92" s="9" t="str">
        <f>VLOOKUP(A92,[1]characters!$A:$C,3,FALSE)</f>
        <v>狂喜の賢者 ユノ</v>
      </c>
      <c r="C92" s="40" t="s">
        <v>26</v>
      </c>
      <c r="D92" s="42" t="str">
        <f>D89</f>
        <v>1261</v>
      </c>
      <c r="E92" s="19" t="str">
        <f>VLOOKUP(D92,unit_serifs_i18n!C:E,3,FALSE)</f>
        <v>maru</v>
      </c>
      <c r="F92" s="19" t="str">
        <f>VLOOKUP(D92,unit_serifs_i18n!C:F,4,FALSE)</f>
        <v>貧弱だね！</v>
      </c>
    </row>
    <row r="93" spans="1:6" x14ac:dyDescent="0.15">
      <c r="A93" s="11">
        <v>128</v>
      </c>
      <c r="B93" s="9" t="str">
        <f>VLOOKUP(A93,[1]characters!$A:$C,3,FALSE)</f>
        <v>野生児 アマラ</v>
      </c>
      <c r="C93" s="3" t="s">
        <v>25</v>
      </c>
      <c r="D93" s="42" t="str">
        <f>A93&amp;+(COUNTIF(A$2:A93,A93)-1)</f>
        <v>1280</v>
      </c>
      <c r="E93" s="19" t="str">
        <f>VLOOKUP(D93,unit_serifs_i18n!C:E,3,FALSE)</f>
        <v>maru</v>
      </c>
      <c r="F93" s="19" t="str">
        <f>VLOOKUP(D93,unit_serifs_i18n!C:F,4,FALSE)</f>
        <v>森よ、力を貸して…！</v>
      </c>
    </row>
    <row r="94" spans="1:6" x14ac:dyDescent="0.15">
      <c r="A94" s="39">
        <v>128</v>
      </c>
      <c r="B94" s="9" t="str">
        <f>VLOOKUP(A94,[1]characters!$A:$C,3,FALSE)</f>
        <v>野生児 アマラ</v>
      </c>
      <c r="C94" s="40" t="s">
        <v>26</v>
      </c>
      <c r="D94" s="42" t="str">
        <f>A94&amp;+(COUNTIF(A$2:A94,A94)-1)</f>
        <v>1281</v>
      </c>
      <c r="E94" s="19" t="str">
        <f>VLOOKUP(D94,unit_serifs_i18n!C:E,3,FALSE)</f>
        <v>giza</v>
      </c>
      <c r="F94" s="19" t="str">
        <f>VLOOKUP(D94,unit_serifs_i18n!C:F,4,FALSE)</f>
        <v>好き勝手させない！</v>
      </c>
    </row>
    <row r="95" spans="1:6" x14ac:dyDescent="0.15">
      <c r="A95" s="11">
        <v>129</v>
      </c>
      <c r="B95" s="9" t="str">
        <f>VLOOKUP(A95,[1]characters!$A:$C,3,FALSE)</f>
        <v>孤高の狼憑き アマラ</v>
      </c>
      <c r="C95" s="3" t="s">
        <v>25</v>
      </c>
      <c r="D95" s="42" t="str">
        <f>A95&amp;+(COUNTIF(A$2:A95,A95)-1)</f>
        <v>1290</v>
      </c>
      <c r="E95" s="19" t="str">
        <f>VLOOKUP(D95,unit_serifs_i18n!C:E,3,FALSE)</f>
        <v>kumo</v>
      </c>
      <c r="F95" s="19" t="str">
        <f>VLOOKUP(D95,unit_serifs_i18n!C:F,4,FALSE)</f>
        <v>ママの力が…宿ってる！？</v>
      </c>
    </row>
    <row r="96" spans="1:6" x14ac:dyDescent="0.15">
      <c r="A96" s="39">
        <v>129</v>
      </c>
      <c r="B96" s="9" t="str">
        <f>VLOOKUP(A96,[1]characters!$A:$C,3,FALSE)</f>
        <v>孤高の狼憑き アマラ</v>
      </c>
      <c r="C96" s="40" t="s">
        <v>26</v>
      </c>
      <c r="D96" s="42" t="str">
        <f>A96&amp;+(COUNTIF(A$2:A96,A96)-1)</f>
        <v>1291</v>
      </c>
      <c r="E96" s="19" t="str">
        <f>VLOOKUP(D96,unit_serifs_i18n!C:E,3,FALSE)</f>
        <v>giza</v>
      </c>
      <c r="F96" s="19" t="str">
        <f>VLOOKUP(D96,unit_serifs_i18n!C:F,4,FALSE)</f>
        <v>驚いた？ここよ！！</v>
      </c>
    </row>
    <row r="97" spans="1:6" x14ac:dyDescent="0.15">
      <c r="A97" s="39">
        <v>129</v>
      </c>
      <c r="B97" s="9" t="str">
        <f>VLOOKUP(A97,[1]characters!$A:$C,3,FALSE)</f>
        <v>孤高の狼憑き アマラ</v>
      </c>
      <c r="C97" s="40" t="s">
        <v>26</v>
      </c>
      <c r="D97" s="42" t="str">
        <f>D94</f>
        <v>1281</v>
      </c>
      <c r="E97" s="19" t="str">
        <f>VLOOKUP(D97,unit_serifs_i18n!C:E,3,FALSE)</f>
        <v>giza</v>
      </c>
      <c r="F97" s="19" t="str">
        <f>VLOOKUP(D97,unit_serifs_i18n!C:F,4,FALSE)</f>
        <v>好き勝手させない！</v>
      </c>
    </row>
    <row r="98" spans="1:6" x14ac:dyDescent="0.15">
      <c r="A98" s="11">
        <v>130</v>
      </c>
      <c r="B98" s="9" t="str">
        <f>VLOOKUP(A98,[1]characters!$A:$C,3,FALSE)</f>
        <v>狼男 ローレンス</v>
      </c>
      <c r="C98" s="3" t="s">
        <v>25</v>
      </c>
      <c r="D98" s="42" t="str">
        <f>A98&amp;+(COUNTIF(A$2:A98,A98)-1)</f>
        <v>1300</v>
      </c>
      <c r="E98" s="19" t="str">
        <f>VLOOKUP(D98,unit_serifs_i18n!C:E,3,FALSE)</f>
        <v>giza</v>
      </c>
      <c r="F98" s="19" t="str">
        <f>VLOOKUP(D98,unit_serifs_i18n!C:F,4,FALSE)</f>
        <v>ふりそそげ月光！</v>
      </c>
    </row>
    <row r="99" spans="1:6" x14ac:dyDescent="0.15">
      <c r="A99" s="39">
        <v>130</v>
      </c>
      <c r="B99" s="9" t="str">
        <f>VLOOKUP(A99,[1]characters!$A:$C,3,FALSE)</f>
        <v>狼男 ローレンス</v>
      </c>
      <c r="C99" s="40" t="s">
        <v>26</v>
      </c>
      <c r="D99" s="42" t="str">
        <f>A99&amp;+(COUNTIF(A$2:A99,A99)-1)</f>
        <v>1301</v>
      </c>
      <c r="E99" s="19" t="str">
        <f>VLOOKUP(D99,unit_serifs_i18n!C:E,3,FALSE)</f>
        <v>kumo</v>
      </c>
      <c r="F99" s="19" t="str">
        <f>VLOOKUP(D99,unit_serifs_i18n!C:F,4,FALSE)</f>
        <v>消し炭にしてやる</v>
      </c>
    </row>
    <row r="100" spans="1:6" x14ac:dyDescent="0.15">
      <c r="A100" s="11">
        <v>131</v>
      </c>
      <c r="B100" s="9" t="str">
        <f>VLOOKUP(A100,[1]characters!$A:$C,3,FALSE)</f>
        <v>月下の人狼 ローレンス</v>
      </c>
      <c r="C100" s="3" t="s">
        <v>25</v>
      </c>
      <c r="D100" s="42" t="str">
        <f>A100&amp;+(COUNTIF(A$2:A100,A100)-1)</f>
        <v>1310</v>
      </c>
      <c r="E100" s="19" t="str">
        <f>VLOOKUP(D100,unit_serifs_i18n!C:E,3,FALSE)</f>
        <v>maru</v>
      </c>
      <c r="F100" s="19" t="str">
        <f>VLOOKUP(D100,unit_serifs_i18n!C:F,4,FALSE)</f>
        <v>さて、粉砕の時間だ</v>
      </c>
    </row>
    <row r="101" spans="1:6" x14ac:dyDescent="0.15">
      <c r="A101" s="39">
        <v>131</v>
      </c>
      <c r="B101" s="9" t="str">
        <f>VLOOKUP(A101,[1]characters!$A:$C,3,FALSE)</f>
        <v>月下の人狼 ローレンス</v>
      </c>
      <c r="C101" s="40" t="s">
        <v>26</v>
      </c>
      <c r="D101" s="42" t="str">
        <f>A101&amp;+(COUNTIF(A$2:A101,A101)-1)</f>
        <v>1311</v>
      </c>
      <c r="E101" s="19" t="str">
        <f>VLOOKUP(D101,unit_serifs_i18n!C:E,3,FALSE)</f>
        <v>maru</v>
      </c>
      <c r="F101" s="19" t="str">
        <f>VLOOKUP(D101,unit_serifs_i18n!C:F,4,FALSE)</f>
        <v>オレの拳は堅いぞ</v>
      </c>
    </row>
    <row r="102" spans="1:6" x14ac:dyDescent="0.15">
      <c r="A102" s="39">
        <v>131</v>
      </c>
      <c r="B102" s="9" t="str">
        <f>VLOOKUP(A102,[1]characters!$A:$C,3,FALSE)</f>
        <v>月下の人狼 ローレンス</v>
      </c>
      <c r="C102" s="40" t="s">
        <v>26</v>
      </c>
      <c r="D102" s="42" t="str">
        <f>D99</f>
        <v>1301</v>
      </c>
      <c r="E102" s="19" t="str">
        <f>VLOOKUP(D102,unit_serifs_i18n!C:E,3,FALSE)</f>
        <v>kumo</v>
      </c>
      <c r="F102" s="19" t="str">
        <f>VLOOKUP(D102,unit_serifs_i18n!C:F,4,FALSE)</f>
        <v>消し炭にしてやる</v>
      </c>
    </row>
    <row r="103" spans="1:6" x14ac:dyDescent="0.15">
      <c r="A103" s="11">
        <v>132</v>
      </c>
      <c r="B103" s="9" t="str">
        <f>VLOOKUP(A103,[1]characters!$A:$C,3,FALSE)</f>
        <v>鳥人ハヤト</v>
      </c>
      <c r="C103" s="3" t="s">
        <v>25</v>
      </c>
      <c r="D103" s="42" t="str">
        <f>A103&amp;+(COUNTIF(A$2:A103,A103)-1)</f>
        <v>1320</v>
      </c>
      <c r="E103" s="19" t="str">
        <f>VLOOKUP(D103,unit_serifs_i18n!C:E,3,FALSE)</f>
        <v>maru</v>
      </c>
      <c r="F103" s="19" t="str">
        <f>VLOOKUP(D103,unit_serifs_i18n!C:F,4,FALSE)</f>
        <v>さぁ舞い上がるんだ！</v>
      </c>
    </row>
    <row r="104" spans="1:6" x14ac:dyDescent="0.15">
      <c r="A104" s="39">
        <v>132</v>
      </c>
      <c r="B104" s="9" t="str">
        <f>VLOOKUP(A104,[1]characters!$A:$C,3,FALSE)</f>
        <v>鳥人ハヤト</v>
      </c>
      <c r="C104" s="40" t="s">
        <v>26</v>
      </c>
      <c r="D104" s="42" t="str">
        <f>A104&amp;+(COUNTIF(A$2:A104,A104)-1)</f>
        <v>1321</v>
      </c>
      <c r="E104" s="19" t="str">
        <f>VLOOKUP(D104,unit_serifs_i18n!C:E,3,FALSE)</f>
        <v>maru</v>
      </c>
      <c r="F104" s="19" t="str">
        <f>VLOOKUP(D104,unit_serifs_i18n!C:F,4,FALSE)</f>
        <v>最速で斬る！</v>
      </c>
    </row>
    <row r="105" spans="1:6" x14ac:dyDescent="0.15">
      <c r="A105" s="11">
        <v>133</v>
      </c>
      <c r="B105" s="9" t="str">
        <f>VLOOKUP(A105,[1]characters!$A:$C,3,FALSE)</f>
        <v>迅雷の刀剣 ハヤト</v>
      </c>
      <c r="C105" s="3" t="s">
        <v>25</v>
      </c>
      <c r="D105" s="42" t="str">
        <f>A105&amp;+(COUNTIF(A$2:A105,A105)-1)</f>
        <v>1330</v>
      </c>
      <c r="E105" s="19" t="str">
        <f>VLOOKUP(D105,unit_serifs_i18n!C:E,3,FALSE)</f>
        <v>giza</v>
      </c>
      <c r="F105" s="19" t="str">
        <f>VLOOKUP(D105,unit_serifs_i18n!C:F,4,FALSE)</f>
        <v>舞い踊れ同胞たちよ！</v>
      </c>
    </row>
    <row r="106" spans="1:6" x14ac:dyDescent="0.15">
      <c r="A106" s="39">
        <v>133</v>
      </c>
      <c r="B106" s="9" t="str">
        <f>VLOOKUP(A106,[1]characters!$A:$C,3,FALSE)</f>
        <v>迅雷の刀剣 ハヤト</v>
      </c>
      <c r="C106" s="40" t="s">
        <v>26</v>
      </c>
      <c r="D106" s="42" t="str">
        <f>A106&amp;+(COUNTIF(A$2:A106,A106)-1)</f>
        <v>1331</v>
      </c>
      <c r="E106" s="19" t="str">
        <f>VLOOKUP(D106,unit_serifs_i18n!C:E,3,FALSE)</f>
        <v>giza</v>
      </c>
      <c r="F106" s="19" t="str">
        <f>VLOOKUP(D106,unit_serifs_i18n!C:F,4,FALSE)</f>
        <v>見切れるものか！</v>
      </c>
    </row>
    <row r="107" spans="1:6" x14ac:dyDescent="0.15">
      <c r="A107" s="39">
        <v>133</v>
      </c>
      <c r="B107" s="9" t="str">
        <f>VLOOKUP(A107,[1]characters!$A:$C,3,FALSE)</f>
        <v>迅雷の刀剣 ハヤト</v>
      </c>
      <c r="C107" s="40" t="s">
        <v>26</v>
      </c>
      <c r="D107" s="42" t="str">
        <f>D104</f>
        <v>1321</v>
      </c>
      <c r="E107" s="19" t="str">
        <f>VLOOKUP(D107,unit_serifs_i18n!C:E,3,FALSE)</f>
        <v>maru</v>
      </c>
      <c r="F107" s="19" t="str">
        <f>VLOOKUP(D107,unit_serifs_i18n!C:F,4,FALSE)</f>
        <v>最速で斬る！</v>
      </c>
    </row>
    <row r="108" spans="1:6" x14ac:dyDescent="0.15">
      <c r="A108" s="11">
        <v>134</v>
      </c>
      <c r="B108" s="9" t="str">
        <f>VLOOKUP(A108,[1]characters!$A:$C,3,FALSE)</f>
        <v>妖炎の夕霧</v>
      </c>
      <c r="C108" s="3" t="s">
        <v>25</v>
      </c>
      <c r="D108" s="42" t="str">
        <f>A108&amp;+(COUNTIF(A$2:A108,A108)-1)</f>
        <v>1340</v>
      </c>
      <c r="E108" s="19" t="str">
        <f>VLOOKUP(D108,unit_serifs_i18n!C:E,3,FALSE)</f>
        <v>maru</v>
      </c>
      <c r="F108" s="19" t="str">
        <f>VLOOKUP(D108,unit_serifs_i18n!C:F,4,FALSE)</f>
        <v>熱が足りないようだねぇ</v>
      </c>
    </row>
    <row r="109" spans="1:6" x14ac:dyDescent="0.15">
      <c r="A109" s="39">
        <v>134</v>
      </c>
      <c r="B109" s="9" t="str">
        <f>VLOOKUP(A109,[1]characters!$A:$C,3,FALSE)</f>
        <v>妖炎の夕霧</v>
      </c>
      <c r="C109" s="40" t="s">
        <v>26</v>
      </c>
      <c r="D109" s="42" t="str">
        <f>A109&amp;+(COUNTIF(A$2:A109,A109)-1)</f>
        <v>1341</v>
      </c>
      <c r="E109" s="19" t="str">
        <f>VLOOKUP(D109,unit_serifs_i18n!C:E,3,FALSE)</f>
        <v>giza</v>
      </c>
      <c r="F109" s="19" t="str">
        <f>VLOOKUP(D109,unit_serifs_i18n!C:F,4,FALSE)</f>
        <v>少し焦げ臭くなるよ！</v>
      </c>
    </row>
    <row r="110" spans="1:6" x14ac:dyDescent="0.15">
      <c r="A110" s="11">
        <v>135</v>
      </c>
      <c r="B110" s="9" t="str">
        <f>VLOOKUP(A110,[1]characters!$A:$C,3,FALSE)</f>
        <v>京の炎華夕霧</v>
      </c>
      <c r="C110" s="3" t="s">
        <v>25</v>
      </c>
      <c r="D110" s="42" t="str">
        <f>A110&amp;+(COUNTIF(A$2:A110,A110)-1)</f>
        <v>1350</v>
      </c>
      <c r="E110" s="19" t="str">
        <f>VLOOKUP(D110,unit_serifs_i18n!C:E,3,FALSE)</f>
        <v>giza</v>
      </c>
      <c r="F110" s="19" t="str">
        <f>VLOOKUP(D110,unit_serifs_i18n!C:F,4,FALSE)</f>
        <v>火力が物足りないねぇ！</v>
      </c>
    </row>
    <row r="111" spans="1:6" x14ac:dyDescent="0.15">
      <c r="A111" s="39">
        <v>135</v>
      </c>
      <c r="B111" s="9" t="str">
        <f>VLOOKUP(A111,[1]characters!$A:$C,3,FALSE)</f>
        <v>京の炎華夕霧</v>
      </c>
      <c r="C111" s="40" t="s">
        <v>26</v>
      </c>
      <c r="D111" s="42" t="str">
        <f>A111&amp;+(COUNTIF(A$2:A111,A111)-1)</f>
        <v>1351</v>
      </c>
      <c r="E111" s="19" t="str">
        <f>VLOOKUP(D111,unit_serifs_i18n!C:E,3,FALSE)</f>
        <v>maru</v>
      </c>
      <c r="F111" s="19" t="str">
        <f>VLOOKUP(D111,unit_serifs_i18n!C:F,4,FALSE)</f>
        <v>お前さん油断したねぇ</v>
      </c>
    </row>
    <row r="112" spans="1:6" x14ac:dyDescent="0.15">
      <c r="A112" s="39">
        <v>135</v>
      </c>
      <c r="B112" s="9" t="str">
        <f>VLOOKUP(A112,[1]characters!$A:$C,3,FALSE)</f>
        <v>京の炎華夕霧</v>
      </c>
      <c r="C112" s="40" t="s">
        <v>26</v>
      </c>
      <c r="D112" s="42" t="str">
        <f>D109</f>
        <v>1341</v>
      </c>
      <c r="E112" s="19" t="str">
        <f>VLOOKUP(D112,unit_serifs_i18n!C:E,3,FALSE)</f>
        <v>giza</v>
      </c>
      <c r="F112" s="19" t="str">
        <f>VLOOKUP(D112,unit_serifs_i18n!C:F,4,FALSE)</f>
        <v>少し焦げ臭くなるよ！</v>
      </c>
    </row>
    <row r="113" spans="1:6" x14ac:dyDescent="0.15">
      <c r="A113" s="11">
        <v>136</v>
      </c>
      <c r="B113" s="9" t="str">
        <f>VLOOKUP(A113,[1]characters!$A:$C,3,FALSE)</f>
        <v>お針子チハヤ</v>
      </c>
      <c r="C113" s="3" t="s">
        <v>25</v>
      </c>
      <c r="D113" s="42" t="str">
        <f>A113&amp;+(COUNTIF(A$2:A113,A113)-1)</f>
        <v>1360</v>
      </c>
      <c r="E113" s="19" t="str">
        <f>VLOOKUP(D113,unit_serifs_i18n!C:E,3,FALSE)</f>
        <v>maru</v>
      </c>
      <c r="F113" s="19" t="str">
        <f>VLOOKUP(D113,unit_serifs_i18n!C:F,4,FALSE)</f>
        <v>緑がお似合いですよ</v>
      </c>
    </row>
    <row r="114" spans="1:6" x14ac:dyDescent="0.15">
      <c r="A114" s="39">
        <v>136</v>
      </c>
      <c r="B114" s="9" t="str">
        <f>VLOOKUP(A114,[1]characters!$A:$C,3,FALSE)</f>
        <v>お針子チハヤ</v>
      </c>
      <c r="C114" s="40" t="s">
        <v>26</v>
      </c>
      <c r="D114" s="42" t="str">
        <f>A114&amp;+(COUNTIF(A$2:A114,A114)-1)</f>
        <v>1361</v>
      </c>
      <c r="E114" s="19" t="str">
        <f>VLOOKUP(D114,unit_serifs_i18n!C:E,3,FALSE)</f>
        <v>giza</v>
      </c>
      <c r="F114" s="19" t="str">
        <f>VLOOKUP(D114,unit_serifs_i18n!C:F,4,FALSE)</f>
        <v>刺します！</v>
      </c>
    </row>
    <row r="115" spans="1:6" x14ac:dyDescent="0.15">
      <c r="A115" s="11">
        <v>137</v>
      </c>
      <c r="B115" s="9" t="str">
        <f>VLOOKUP(A115,[1]characters!$A:$C,3,FALSE)</f>
        <v>清福の仕立屋 チハヤ</v>
      </c>
      <c r="C115" s="3" t="s">
        <v>25</v>
      </c>
      <c r="D115" s="42" t="str">
        <f>A115&amp;+(COUNTIF(A$2:A115,A115)-1)</f>
        <v>1370</v>
      </c>
      <c r="E115" s="19" t="str">
        <f>VLOOKUP(D115,unit_serifs_i18n!C:E,3,FALSE)</f>
        <v>maru</v>
      </c>
      <c r="F115" s="19" t="str">
        <f>VLOOKUP(D115,unit_serifs_i18n!C:F,4,FALSE)</f>
        <v>綺麗に染めます！</v>
      </c>
    </row>
    <row r="116" spans="1:6" x14ac:dyDescent="0.15">
      <c r="A116" s="39">
        <v>137</v>
      </c>
      <c r="B116" s="9" t="str">
        <f>VLOOKUP(A116,[1]characters!$A:$C,3,FALSE)</f>
        <v>清福の仕立屋 チハヤ</v>
      </c>
      <c r="C116" s="40" t="s">
        <v>26</v>
      </c>
      <c r="D116" s="42" t="str">
        <f>A116&amp;+(COUNTIF(A$2:A116,A116)-1)</f>
        <v>1371</v>
      </c>
      <c r="E116" s="19" t="str">
        <f>VLOOKUP(D116,unit_serifs_i18n!C:E,3,FALSE)</f>
        <v>maru</v>
      </c>
      <c r="F116" s="19" t="str">
        <f>VLOOKUP(D116,unit_serifs_i18n!C:F,4,FALSE)</f>
        <v>下手に動くと苦しいですよ</v>
      </c>
    </row>
    <row r="117" spans="1:6" x14ac:dyDescent="0.15">
      <c r="A117" s="39">
        <v>137</v>
      </c>
      <c r="B117" s="9" t="str">
        <f>VLOOKUP(A117,[1]characters!$A:$C,3,FALSE)</f>
        <v>清福の仕立屋 チハヤ</v>
      </c>
      <c r="C117" s="40" t="s">
        <v>26</v>
      </c>
      <c r="D117" s="42" t="str">
        <f>D114</f>
        <v>1361</v>
      </c>
      <c r="E117" s="19" t="str">
        <f>VLOOKUP(D117,unit_serifs_i18n!C:E,3,FALSE)</f>
        <v>giza</v>
      </c>
      <c r="F117" s="19" t="str">
        <f>VLOOKUP(D117,unit_serifs_i18n!C:F,4,FALSE)</f>
        <v>刺します！</v>
      </c>
    </row>
    <row r="118" spans="1:6" x14ac:dyDescent="0.15">
      <c r="A118" s="11">
        <v>138</v>
      </c>
      <c r="B118" s="9" t="str">
        <f>VLOOKUP(A118,[1]characters!$A:$C,3,FALSE)</f>
        <v>蒼薙のトモエ</v>
      </c>
      <c r="C118" s="3" t="s">
        <v>25</v>
      </c>
      <c r="D118" s="42" t="str">
        <f>A118&amp;+(COUNTIF(A$2:A118,A118)-1)</f>
        <v>1380</v>
      </c>
      <c r="E118" s="19" t="str">
        <f>VLOOKUP(D118,unit_serifs_i18n!C:E,3,FALSE)</f>
        <v>giza</v>
      </c>
      <c r="F118" s="19" t="str">
        <f>VLOOKUP(D118,unit_serifs_i18n!C:F,4,FALSE)</f>
        <v>心頭滅却…！えいや！</v>
      </c>
    </row>
    <row r="119" spans="1:6" x14ac:dyDescent="0.15">
      <c r="A119" s="39">
        <v>138</v>
      </c>
      <c r="B119" s="9" t="str">
        <f>VLOOKUP(A119,[1]characters!$A:$C,3,FALSE)</f>
        <v>蒼薙のトモエ</v>
      </c>
      <c r="C119" s="40" t="s">
        <v>26</v>
      </c>
      <c r="D119" s="42" t="str">
        <f>A119&amp;+(COUNTIF(A$2:A119,A119)-1)</f>
        <v>1381</v>
      </c>
      <c r="E119" s="19" t="str">
        <f>VLOOKUP(D119,unit_serifs_i18n!C:E,3,FALSE)</f>
        <v>giza</v>
      </c>
      <c r="F119" s="19" t="str">
        <f>VLOOKUP(D119,unit_serifs_i18n!C:F,4,FALSE)</f>
        <v>…振りぬく！</v>
      </c>
    </row>
    <row r="120" spans="1:6" x14ac:dyDescent="0.15">
      <c r="A120" s="11">
        <v>139</v>
      </c>
      <c r="B120" s="9" t="str">
        <f>VLOOKUP(A120,[1]characters!$A:$C,3,FALSE)</f>
        <v>蒼昇刃姫 トモエ</v>
      </c>
      <c r="C120" s="3" t="s">
        <v>25</v>
      </c>
      <c r="D120" s="42" t="str">
        <f>A120&amp;+(COUNTIF(A$2:A120,A120)-1)</f>
        <v>1390</v>
      </c>
      <c r="E120" s="19" t="str">
        <f>VLOOKUP(D120,unit_serifs_i18n!C:E,3,FALSE)</f>
        <v>maru</v>
      </c>
      <c r="F120" s="19" t="str">
        <f>VLOOKUP(D120,unit_serifs_i18n!C:F,4,FALSE)</f>
        <v>炎など幻にすぎない…！</v>
      </c>
    </row>
    <row r="121" spans="1:6" x14ac:dyDescent="0.15">
      <c r="A121" s="39">
        <v>139</v>
      </c>
      <c r="B121" s="9" t="str">
        <f>VLOOKUP(A121,[1]characters!$A:$C,3,FALSE)</f>
        <v>蒼昇刃姫 トモエ</v>
      </c>
      <c r="C121" s="40" t="s">
        <v>26</v>
      </c>
      <c r="D121" s="42" t="str">
        <f>A121&amp;+(COUNTIF(A$2:A121,A121)-1)</f>
        <v>1391</v>
      </c>
      <c r="E121" s="19" t="str">
        <f>VLOOKUP(D121,unit_serifs_i18n!C:E,3,FALSE)</f>
        <v>giza</v>
      </c>
      <c r="F121" s="19" t="str">
        <f>VLOOKUP(D121,unit_serifs_i18n!C:F,4,FALSE)</f>
        <v>…断つ！！</v>
      </c>
    </row>
    <row r="122" spans="1:6" x14ac:dyDescent="0.15">
      <c r="A122" s="39">
        <v>139</v>
      </c>
      <c r="B122" s="9" t="str">
        <f>VLOOKUP(A122,[1]characters!$A:$C,3,FALSE)</f>
        <v>蒼昇刃姫 トモエ</v>
      </c>
      <c r="C122" s="40" t="s">
        <v>26</v>
      </c>
      <c r="D122" s="42" t="str">
        <f>D119</f>
        <v>1381</v>
      </c>
      <c r="E122" s="19" t="str">
        <f>VLOOKUP(D122,unit_serifs_i18n!C:E,3,FALSE)</f>
        <v>giza</v>
      </c>
      <c r="F122" s="19" t="str">
        <f>VLOOKUP(D122,unit_serifs_i18n!C:F,4,FALSE)</f>
        <v>…振りぬく！</v>
      </c>
    </row>
    <row r="123" spans="1:6" x14ac:dyDescent="0.15">
      <c r="A123" s="11">
        <v>140</v>
      </c>
      <c r="B123" s="9" t="str">
        <f>VLOOKUP(A123,[1]characters!$A:$C,3,FALSE)</f>
        <v>秋祭のタマモ</v>
      </c>
      <c r="C123" s="3" t="s">
        <v>25</v>
      </c>
      <c r="D123" s="42" t="str">
        <f>A123&amp;+(COUNTIF(A$2:A123,A123)-1)</f>
        <v>1400</v>
      </c>
      <c r="E123" s="19" t="str">
        <f>VLOOKUP(D123,unit_serifs_i18n!C:E,3,FALSE)</f>
        <v>maru</v>
      </c>
      <c r="F123" s="19" t="str">
        <f>VLOOKUP(D123,unit_serifs_i18n!C:F,4,FALSE)</f>
        <v>ピカピカにしてやるかの！</v>
      </c>
    </row>
    <row r="124" spans="1:6" x14ac:dyDescent="0.15">
      <c r="A124" s="39">
        <v>140</v>
      </c>
      <c r="B124" s="9" t="str">
        <f>VLOOKUP(A124,[1]characters!$A:$C,3,FALSE)</f>
        <v>秋祭のタマモ</v>
      </c>
      <c r="C124" s="40" t="s">
        <v>26</v>
      </c>
      <c r="D124" s="42" t="str">
        <f>A124&amp;+(COUNTIF(A$2:A124,A124)-1)</f>
        <v>1401</v>
      </c>
      <c r="E124" s="19" t="str">
        <f>VLOOKUP(D124,unit_serifs_i18n!C:E,3,FALSE)</f>
        <v>maru</v>
      </c>
      <c r="F124" s="19" t="str">
        <f>VLOOKUP(D124,unit_serifs_i18n!C:F,4,FALSE)</f>
        <v>秋の祭りじゃー！</v>
      </c>
    </row>
    <row r="125" spans="1:6" x14ac:dyDescent="0.15">
      <c r="A125" s="11">
        <v>141</v>
      </c>
      <c r="B125" s="9" t="str">
        <f>VLOOKUP(A125,[1]characters!$A:$C,3,FALSE)</f>
        <v>妖狐演舞 タマモ</v>
      </c>
      <c r="C125" s="3" t="s">
        <v>25</v>
      </c>
      <c r="D125" s="42" t="str">
        <f>A125&amp;+(COUNTIF(A$2:A125,A125)-1)</f>
        <v>1410</v>
      </c>
      <c r="E125" s="19" t="str">
        <f>VLOOKUP(D125,unit_serifs_i18n!C:E,3,FALSE)</f>
        <v>maru</v>
      </c>
      <c r="F125" s="19" t="str">
        <f>VLOOKUP(D125,unit_serifs_i18n!C:F,4,FALSE)</f>
        <v>儂は金ピカが好きなんじゃ</v>
      </c>
    </row>
    <row r="126" spans="1:6" x14ac:dyDescent="0.15">
      <c r="A126" s="39">
        <v>141</v>
      </c>
      <c r="B126" s="9" t="str">
        <f>VLOOKUP(A126,[1]characters!$A:$C,3,FALSE)</f>
        <v>妖狐演舞 タマモ</v>
      </c>
      <c r="C126" s="40" t="s">
        <v>26</v>
      </c>
      <c r="D126" s="42" t="str">
        <f>A126&amp;+(COUNTIF(A$2:A126,A126)-1)</f>
        <v>1411</v>
      </c>
      <c r="E126" s="19" t="str">
        <f>VLOOKUP(D126,unit_serifs_i18n!C:E,3,FALSE)</f>
        <v>giza</v>
      </c>
      <c r="F126" s="19" t="str">
        <f>VLOOKUP(D126,unit_serifs_i18n!C:F,4,FALSE)</f>
        <v>稲荷大暴れなのじゃ！</v>
      </c>
    </row>
    <row r="127" spans="1:6" x14ac:dyDescent="0.15">
      <c r="A127" s="39">
        <v>141</v>
      </c>
      <c r="B127" s="9" t="str">
        <f>VLOOKUP(A127,[1]characters!$A:$C,3,FALSE)</f>
        <v>妖狐演舞 タマモ</v>
      </c>
      <c r="C127" s="40" t="s">
        <v>26</v>
      </c>
      <c r="D127" s="42" t="str">
        <f>D124</f>
        <v>1401</v>
      </c>
      <c r="E127" s="19" t="str">
        <f>VLOOKUP(D127,unit_serifs_i18n!C:E,3,FALSE)</f>
        <v>maru</v>
      </c>
      <c r="F127" s="19" t="str">
        <f>VLOOKUP(D127,unit_serifs_i18n!C:F,4,FALSE)</f>
        <v>秋の祭りじゃー！</v>
      </c>
    </row>
    <row r="128" spans="1:6" x14ac:dyDescent="0.15">
      <c r="A128" s="11">
        <v>142</v>
      </c>
      <c r="B128" s="9" t="str">
        <f>VLOOKUP(A128,[1]characters!$A:$C,3,FALSE)</f>
        <v>赤ずきん</v>
      </c>
      <c r="C128" s="3" t="s">
        <v>25</v>
      </c>
      <c r="D128" s="42" t="str">
        <f>A128&amp;+(COUNTIF(A$2:A128,A128)-1)</f>
        <v>1420</v>
      </c>
      <c r="E128" s="19" t="str">
        <f>VLOOKUP(D128,unit_serifs_i18n!C:E,3,FALSE)</f>
        <v>maru</v>
      </c>
      <c r="F128" s="19" t="str">
        <f>VLOOKUP(D128,unit_serifs_i18n!C:F,4,FALSE)</f>
        <v>返り討ちにしてやるわよ</v>
      </c>
    </row>
    <row r="129" spans="1:6" x14ac:dyDescent="0.15">
      <c r="A129" s="39">
        <v>142</v>
      </c>
      <c r="B129" s="9" t="str">
        <f>VLOOKUP(A129,[1]characters!$A:$C,3,FALSE)</f>
        <v>赤ずきん</v>
      </c>
      <c r="C129" s="40" t="s">
        <v>26</v>
      </c>
      <c r="D129" s="42" t="str">
        <f>A129&amp;+(COUNTIF(A$2:A129,A129)-1)</f>
        <v>1421</v>
      </c>
      <c r="E129" s="19" t="str">
        <f>VLOOKUP(D129,unit_serifs_i18n!C:E,3,FALSE)</f>
        <v>giza</v>
      </c>
      <c r="F129" s="19" t="str">
        <f>VLOOKUP(D129,unit_serifs_i18n!C:F,4,FALSE)</f>
        <v>そこ！丸見えよ！！</v>
      </c>
    </row>
    <row r="130" spans="1:6" x14ac:dyDescent="0.15">
      <c r="A130" s="11">
        <v>143</v>
      </c>
      <c r="B130" s="9" t="str">
        <f>VLOOKUP(A130,[1]characters!$A:$C,3,FALSE)</f>
        <v>深紅の死神 赤ずきん</v>
      </c>
      <c r="C130" s="3" t="s">
        <v>25</v>
      </c>
      <c r="D130" s="42" t="str">
        <f>A130&amp;+(COUNTIF(A$2:A130,A130)-1)</f>
        <v>1430</v>
      </c>
      <c r="E130" s="19" t="str">
        <f>VLOOKUP(D130,unit_serifs_i18n!C:E,3,FALSE)</f>
        <v>kumo</v>
      </c>
      <c r="F130" s="19" t="str">
        <f>VLOOKUP(D130,unit_serifs_i18n!C:F,4,FALSE)</f>
        <v>先手必敗ってことよね</v>
      </c>
    </row>
    <row r="131" spans="1:6" x14ac:dyDescent="0.15">
      <c r="A131" s="39">
        <v>143</v>
      </c>
      <c r="B131" s="9" t="str">
        <f>VLOOKUP(A131,[1]characters!$A:$C,3,FALSE)</f>
        <v>深紅の死神 赤ずきん</v>
      </c>
      <c r="C131" s="40" t="s">
        <v>26</v>
      </c>
      <c r="D131" s="42" t="str">
        <f>A131&amp;+(COUNTIF(A$2:A131,A131)-1)</f>
        <v>1431</v>
      </c>
      <c r="E131" s="19" t="str">
        <f>VLOOKUP(D131,unit_serifs_i18n!C:E,3,FALSE)</f>
        <v>maru</v>
      </c>
      <c r="F131" s="19" t="str">
        <f>VLOOKUP(D131,unit_serifs_i18n!C:F,4,FALSE)</f>
        <v>脳天ぶち抜いてあげる</v>
      </c>
    </row>
    <row r="132" spans="1:6" x14ac:dyDescent="0.15">
      <c r="A132" s="39">
        <v>143</v>
      </c>
      <c r="B132" s="9" t="str">
        <f>VLOOKUP(A132,[1]characters!$A:$C,3,FALSE)</f>
        <v>深紅の死神 赤ずきん</v>
      </c>
      <c r="C132" s="40" t="s">
        <v>26</v>
      </c>
      <c r="D132" s="42" t="str">
        <f>D129</f>
        <v>1421</v>
      </c>
      <c r="E132" s="19" t="str">
        <f>VLOOKUP(D132,unit_serifs_i18n!C:E,3,FALSE)</f>
        <v>giza</v>
      </c>
      <c r="F132" s="19" t="str">
        <f>VLOOKUP(D132,unit_serifs_i18n!C:F,4,FALSE)</f>
        <v>そこ！丸見えよ！！</v>
      </c>
    </row>
    <row r="133" spans="1:6" x14ac:dyDescent="0.15">
      <c r="A133" s="11">
        <v>144</v>
      </c>
      <c r="B133" s="9" t="str">
        <f>VLOOKUP(A133,[1]characters!$A:$C,3,FALSE)</f>
        <v>かぐや</v>
      </c>
      <c r="C133" s="3" t="s">
        <v>25</v>
      </c>
      <c r="D133" s="42" t="str">
        <f>A133&amp;+(COUNTIF(A$2:A133,A133)-1)</f>
        <v>1440</v>
      </c>
      <c r="E133" s="19" t="str">
        <f>VLOOKUP(D133,unit_serifs_i18n!C:E,3,FALSE)</f>
        <v>maru</v>
      </c>
      <c r="F133" s="19" t="str">
        <f>VLOOKUP(D133,unit_serifs_i18n!C:F,4,FALSE)</f>
        <v>わらわに近づけるか？</v>
      </c>
    </row>
    <row r="134" spans="1:6" x14ac:dyDescent="0.15">
      <c r="A134" s="39">
        <v>144</v>
      </c>
      <c r="B134" s="9" t="str">
        <f>VLOOKUP(A134,[1]characters!$A:$C,3,FALSE)</f>
        <v>かぐや</v>
      </c>
      <c r="C134" s="40" t="s">
        <v>26</v>
      </c>
      <c r="D134" s="42" t="str">
        <f>A134&amp;+(COUNTIF(A$2:A134,A134)-1)</f>
        <v>1441</v>
      </c>
      <c r="E134" s="19" t="str">
        <f>VLOOKUP(D134,unit_serifs_i18n!C:E,3,FALSE)</f>
        <v>maru</v>
      </c>
      <c r="F134" s="19" t="str">
        <f>VLOOKUP(D134,unit_serifs_i18n!C:F,4,FALSE)</f>
        <v>竹葉はよく切れるぞ？</v>
      </c>
    </row>
    <row r="135" spans="1:6" x14ac:dyDescent="0.15">
      <c r="A135" s="11">
        <v>145</v>
      </c>
      <c r="B135" s="9" t="str">
        <f>VLOOKUP(A135,[1]characters!$A:$C,3,FALSE)</f>
        <v>魔性妖艶 かぐや</v>
      </c>
      <c r="C135" s="3" t="s">
        <v>25</v>
      </c>
      <c r="D135" s="42" t="str">
        <f>A135&amp;+(COUNTIF(A$2:A135,A135)-1)</f>
        <v>1450</v>
      </c>
      <c r="E135" s="19" t="str">
        <f>VLOOKUP(D135,unit_serifs_i18n!C:E,3,FALSE)</f>
        <v>maru</v>
      </c>
      <c r="F135" s="19" t="str">
        <f>VLOOKUP(D135,unit_serifs_i18n!C:F,4,FALSE)</f>
        <v>立場をわきまえるのじゃ</v>
      </c>
    </row>
    <row r="136" spans="1:6" x14ac:dyDescent="0.15">
      <c r="A136" s="39">
        <v>145</v>
      </c>
      <c r="B136" s="9" t="str">
        <f>VLOOKUP(A136,[1]characters!$A:$C,3,FALSE)</f>
        <v>魔性妖艶 かぐや</v>
      </c>
      <c r="C136" s="40" t="s">
        <v>26</v>
      </c>
      <c r="D136" s="42" t="str">
        <f>A136&amp;+(COUNTIF(A$2:A136,A136)-1)</f>
        <v>1451</v>
      </c>
      <c r="E136" s="19" t="str">
        <f>VLOOKUP(D136,unit_serifs_i18n!C:E,3,FALSE)</f>
        <v>maru</v>
      </c>
      <c r="F136" s="19" t="str">
        <f>VLOOKUP(D136,unit_serifs_i18n!C:F,4,FALSE)</f>
        <v>串刺しがお好みか？</v>
      </c>
    </row>
    <row r="137" spans="1:6" x14ac:dyDescent="0.15">
      <c r="A137" s="39">
        <v>145</v>
      </c>
      <c r="B137" s="9" t="str">
        <f>VLOOKUP(A137,[1]characters!$A:$C,3,FALSE)</f>
        <v>魔性妖艶 かぐや</v>
      </c>
      <c r="C137" s="40" t="s">
        <v>26</v>
      </c>
      <c r="D137" s="42" t="str">
        <f>D134</f>
        <v>1441</v>
      </c>
      <c r="E137" s="19" t="str">
        <f>VLOOKUP(D137,unit_serifs_i18n!C:E,3,FALSE)</f>
        <v>maru</v>
      </c>
      <c r="F137" s="19" t="str">
        <f>VLOOKUP(D137,unit_serifs_i18n!C:F,4,FALSE)</f>
        <v>竹葉はよく切れるぞ？</v>
      </c>
    </row>
    <row r="138" spans="1:6" x14ac:dyDescent="0.15">
      <c r="A138" s="11">
        <v>146</v>
      </c>
      <c r="B138" s="9" t="str">
        <f>VLOOKUP(A138,[1]characters!$A:$C,3,FALSE)</f>
        <v>マーメイド</v>
      </c>
      <c r="C138" s="3" t="s">
        <v>25</v>
      </c>
      <c r="D138" s="42" t="str">
        <f>A138&amp;+(COUNTIF(A$2:A138,A138)-1)</f>
        <v>1460</v>
      </c>
      <c r="E138" s="19" t="str">
        <f>VLOOKUP(D138,unit_serifs_i18n!C:E,3,FALSE)</f>
        <v>maru</v>
      </c>
      <c r="F138" s="19" t="str">
        <f>VLOOKUP(D138,unit_serifs_i18n!C:F,4,FALSE)</f>
        <v>ほーら苦しいでしょー？</v>
      </c>
    </row>
    <row r="139" spans="1:6" x14ac:dyDescent="0.15">
      <c r="A139" s="39">
        <v>146</v>
      </c>
      <c r="B139" s="9" t="str">
        <f>VLOOKUP(A139,[1]characters!$A:$C,3,FALSE)</f>
        <v>マーメイド</v>
      </c>
      <c r="C139" s="40" t="s">
        <v>26</v>
      </c>
      <c r="D139" s="42" t="str">
        <f>A139&amp;+(COUNTIF(A$2:A139,A139)-1)</f>
        <v>1461</v>
      </c>
      <c r="E139" s="19" t="str">
        <f>VLOOKUP(D139,unit_serifs_i18n!C:E,3,FALSE)</f>
        <v>maru</v>
      </c>
      <c r="F139" s="19" t="str">
        <f>VLOOKUP(D139,unit_serifs_i18n!C:F,4,FALSE)</f>
        <v>氷水は冷たいよ−？</v>
      </c>
    </row>
    <row r="140" spans="1:6" x14ac:dyDescent="0.15">
      <c r="A140" s="11">
        <v>147</v>
      </c>
      <c r="B140" s="9" t="str">
        <f>VLOOKUP(A140,[1]characters!$A:$C,3,FALSE)</f>
        <v>蒼き閃光 元マーメイド</v>
      </c>
      <c r="C140" s="3" t="s">
        <v>25</v>
      </c>
      <c r="D140" s="42" t="str">
        <f>A140&amp;+(COUNTIF(A$2:A140,A140)-1)</f>
        <v>1470</v>
      </c>
      <c r="E140" s="19" t="str">
        <f>VLOOKUP(D140,unit_serifs_i18n!C:E,3,FALSE)</f>
        <v>giza</v>
      </c>
      <c r="F140" s="19" t="str">
        <f>VLOOKUP(D140,unit_serifs_i18n!C:F,4,FALSE)</f>
        <v>幻見ておとなしくしてて！</v>
      </c>
    </row>
    <row r="141" spans="1:6" x14ac:dyDescent="0.15">
      <c r="A141" s="39">
        <v>147</v>
      </c>
      <c r="B141" s="9" t="str">
        <f>VLOOKUP(A141,[1]characters!$A:$C,3,FALSE)</f>
        <v>蒼き閃光 元マーメイド</v>
      </c>
      <c r="C141" s="40" t="s">
        <v>26</v>
      </c>
      <c r="D141" s="42" t="str">
        <f>A141&amp;+(COUNTIF(A$2:A141,A141)-1)</f>
        <v>1471</v>
      </c>
      <c r="E141" s="19" t="str">
        <f>VLOOKUP(D141,unit_serifs_i18n!C:E,3,FALSE)</f>
        <v>giza</v>
      </c>
      <c r="F141" s="19" t="str">
        <f>VLOOKUP(D141,unit_serifs_i18n!C:F,4,FALSE)</f>
        <v>みんな凍っちゃえー！</v>
      </c>
    </row>
    <row r="142" spans="1:6" x14ac:dyDescent="0.15">
      <c r="A142" s="39">
        <v>147</v>
      </c>
      <c r="B142" s="9" t="str">
        <f>VLOOKUP(A142,[1]characters!$A:$C,3,FALSE)</f>
        <v>蒼き閃光 元マーメイド</v>
      </c>
      <c r="C142" s="40" t="s">
        <v>26</v>
      </c>
      <c r="D142" s="42" t="str">
        <f>D139</f>
        <v>1461</v>
      </c>
      <c r="E142" s="19" t="str">
        <f>VLOOKUP(D142,unit_serifs_i18n!C:E,3,FALSE)</f>
        <v>maru</v>
      </c>
      <c r="F142" s="19" t="str">
        <f>VLOOKUP(D142,unit_serifs_i18n!C:F,4,FALSE)</f>
        <v>氷水は冷たいよ−？</v>
      </c>
    </row>
    <row r="143" spans="1:6" x14ac:dyDescent="0.15">
      <c r="A143" s="11">
        <v>148</v>
      </c>
      <c r="B143" s="9" t="str">
        <f>VLOOKUP(A143,[1]characters!$A:$C,3,FALSE)</f>
        <v>シンデレラ</v>
      </c>
      <c r="C143" s="3" t="s">
        <v>25</v>
      </c>
      <c r="D143" s="42" t="str">
        <f>A143&amp;+(COUNTIF(A$2:A143,A143)-1)</f>
        <v>1480</v>
      </c>
      <c r="E143" s="19" t="str">
        <f>VLOOKUP(D143,unit_serifs_i18n!C:E,3,FALSE)</f>
        <v>giza</v>
      </c>
      <c r="F143" s="19" t="str">
        <f>VLOOKUP(D143,unit_serifs_i18n!C:F,4,FALSE)</f>
        <v>邪魔する人は消えてー！</v>
      </c>
    </row>
    <row r="144" spans="1:6" x14ac:dyDescent="0.15">
      <c r="A144" s="39">
        <v>148</v>
      </c>
      <c r="B144" s="9" t="str">
        <f>VLOOKUP(A144,[1]characters!$A:$C,3,FALSE)</f>
        <v>シンデレラ</v>
      </c>
      <c r="C144" s="40" t="s">
        <v>26</v>
      </c>
      <c r="D144" s="42" t="str">
        <f>A144&amp;+(COUNTIF(A$2:A144,A144)-1)</f>
        <v>1481</v>
      </c>
      <c r="E144" s="19" t="str">
        <f>VLOOKUP(D144,unit_serifs_i18n!C:E,3,FALSE)</f>
        <v>maru</v>
      </c>
      <c r="F144" s="19" t="str">
        <f>VLOOKUP(D144,unit_serifs_i18n!C:F,4,FALSE)</f>
        <v>関節狙っちゃうから！</v>
      </c>
    </row>
    <row r="145" spans="1:6" x14ac:dyDescent="0.15">
      <c r="A145" s="11">
        <v>149</v>
      </c>
      <c r="B145" s="9" t="str">
        <f>VLOOKUP(A145,[1]characters!$A:$C,3,FALSE)</f>
        <v>雷撃蹴技を極めし者 シンデレラ</v>
      </c>
      <c r="C145" s="3" t="s">
        <v>25</v>
      </c>
      <c r="D145" s="42" t="str">
        <f>A145&amp;+(COUNTIF(A$2:A145,A145)-1)</f>
        <v>1490</v>
      </c>
      <c r="E145" s="19" t="str">
        <f>VLOOKUP(D145,unit_serifs_i18n!C:E,3,FALSE)</f>
        <v>giza</v>
      </c>
      <c r="F145" s="19" t="str">
        <f>VLOOKUP(D145,unit_serifs_i18n!C:F,4,FALSE)</f>
        <v>もうあったまきたからー！</v>
      </c>
    </row>
    <row r="146" spans="1:6" x14ac:dyDescent="0.15">
      <c r="A146" s="39">
        <v>149</v>
      </c>
      <c r="B146" s="9" t="str">
        <f>VLOOKUP(A146,[1]characters!$A:$C,3,FALSE)</f>
        <v>雷撃蹴技を極めし者 シンデレラ</v>
      </c>
      <c r="C146" s="40" t="s">
        <v>26</v>
      </c>
      <c r="D146" s="42" t="str">
        <f>A146&amp;+(COUNTIF(A$2:A146,A146)-1)</f>
        <v>1491</v>
      </c>
      <c r="E146" s="19" t="str">
        <f>VLOOKUP(D146,unit_serifs_i18n!C:E,3,FALSE)</f>
        <v>giza</v>
      </c>
      <c r="F146" s="19" t="str">
        <f>VLOOKUP(D146,unit_serifs_i18n!C:F,4,FALSE)</f>
        <v>こーれーが私の奥義！</v>
      </c>
    </row>
    <row r="147" spans="1:6" x14ac:dyDescent="0.15">
      <c r="A147" s="39">
        <v>149</v>
      </c>
      <c r="B147" s="9" t="str">
        <f>VLOOKUP(A147,[1]characters!$A:$C,3,FALSE)</f>
        <v>雷撃蹴技を極めし者 シンデレラ</v>
      </c>
      <c r="C147" s="40" t="s">
        <v>26</v>
      </c>
      <c r="D147" s="42" t="str">
        <f>D144</f>
        <v>1481</v>
      </c>
      <c r="E147" s="19" t="str">
        <f>VLOOKUP(D147,unit_serifs_i18n!C:E,3,FALSE)</f>
        <v>maru</v>
      </c>
      <c r="F147" s="19" t="str">
        <f>VLOOKUP(D147,unit_serifs_i18n!C:F,4,FALSE)</f>
        <v>関節狙っちゃうから！</v>
      </c>
    </row>
    <row r="148" spans="1:6" x14ac:dyDescent="0.15">
      <c r="A148" s="11">
        <v>150</v>
      </c>
      <c r="B148" s="9" t="str">
        <f>VLOOKUP(A148,[1]characters!$A:$C,3,FALSE)</f>
        <v>ポイズンマスターサキ</v>
      </c>
      <c r="C148" s="3" t="s">
        <v>25</v>
      </c>
      <c r="D148" s="42" t="str">
        <f>A148&amp;+(COUNTIF(A$2:A148,A148)-1)</f>
        <v>1500</v>
      </c>
      <c r="E148" s="19" t="str">
        <f>VLOOKUP(D148,unit_serifs_i18n!C:E,3,FALSE)</f>
        <v>kumo</v>
      </c>
      <c r="F148" s="19" t="str">
        <f>VLOOKUP(D148,unit_serifs_i18n!C:F,4,FALSE)</f>
        <v>のたうちまわりなよ</v>
      </c>
    </row>
    <row r="149" spans="1:6" x14ac:dyDescent="0.15">
      <c r="A149" s="39">
        <v>150</v>
      </c>
      <c r="B149" s="9" t="str">
        <f>VLOOKUP(A149,[1]characters!$A:$C,3,FALSE)</f>
        <v>ポイズンマスターサキ</v>
      </c>
      <c r="C149" s="40" t="s">
        <v>26</v>
      </c>
      <c r="D149" s="42" t="str">
        <f>A149&amp;+(COUNTIF(A$2:A149,A149)-1)</f>
        <v>1501</v>
      </c>
      <c r="E149" s="19" t="str">
        <f>VLOOKUP(D149,unit_serifs_i18n!C:E,3,FALSE)</f>
        <v>maru</v>
      </c>
      <c r="F149" s="19" t="str">
        <f>VLOOKUP(D149,unit_serifs_i18n!C:F,4,FALSE)</f>
        <v>感染源になってね？</v>
      </c>
    </row>
    <row r="150" spans="1:6" x14ac:dyDescent="0.15">
      <c r="A150" s="11">
        <v>151</v>
      </c>
      <c r="B150" s="9" t="str">
        <f>VLOOKUP(A150,[1]characters!$A:$C,3,FALSE)</f>
        <v>毒煙の処刑人サキ</v>
      </c>
      <c r="C150" s="3" t="s">
        <v>25</v>
      </c>
      <c r="D150" s="42" t="str">
        <f>A150&amp;+(COUNTIF(A$2:A150,A150)-1)</f>
        <v>1510</v>
      </c>
      <c r="E150" s="19" t="str">
        <f>VLOOKUP(D150,unit_serifs_i18n!C:E,3,FALSE)</f>
        <v>giza</v>
      </c>
      <c r="F150" s="19" t="str">
        <f>VLOOKUP(D150,unit_serifs_i18n!C:F,4,FALSE)</f>
        <v>苦しい？苦しいでしょ！？</v>
      </c>
    </row>
    <row r="151" spans="1:6" x14ac:dyDescent="0.15">
      <c r="A151" s="39">
        <v>151</v>
      </c>
      <c r="B151" s="9" t="str">
        <f>VLOOKUP(A151,[1]characters!$A:$C,3,FALSE)</f>
        <v>毒煙の処刑人サキ</v>
      </c>
      <c r="C151" s="40" t="s">
        <v>26</v>
      </c>
      <c r="D151" s="42" t="str">
        <f>A151&amp;+(COUNTIF(A$2:A151,A151)-1)</f>
        <v>1511</v>
      </c>
      <c r="E151" s="19" t="str">
        <f>VLOOKUP(D151,unit_serifs_i18n!C:E,3,FALSE)</f>
        <v>kumo</v>
      </c>
      <c r="F151" s="19" t="str">
        <f>VLOOKUP(D151,unit_serifs_i18n!C:F,4,FALSE)</f>
        <v>どう拡がるか楽しみね</v>
      </c>
    </row>
    <row r="152" spans="1:6" x14ac:dyDescent="0.15">
      <c r="A152" s="39">
        <v>151</v>
      </c>
      <c r="B152" s="9" t="str">
        <f>VLOOKUP(A152,[1]characters!$A:$C,3,FALSE)</f>
        <v>毒煙の処刑人サキ</v>
      </c>
      <c r="C152" s="40" t="s">
        <v>26</v>
      </c>
      <c r="D152" s="42" t="str">
        <f>D149</f>
        <v>1501</v>
      </c>
      <c r="E152" s="19" t="str">
        <f>VLOOKUP(D152,unit_serifs_i18n!C:E,3,FALSE)</f>
        <v>maru</v>
      </c>
      <c r="F152" s="19" t="str">
        <f>VLOOKUP(D152,unit_serifs_i18n!C:F,4,FALSE)</f>
        <v>感染源になってね？</v>
      </c>
    </row>
    <row r="153" spans="1:6" x14ac:dyDescent="0.15">
      <c r="A153" s="11">
        <v>152</v>
      </c>
      <c r="B153" s="9" t="str">
        <f>VLOOKUP(A153,[1]characters!$A:$C,3,FALSE)</f>
        <v>功夫少女ランラン</v>
      </c>
      <c r="C153" s="3" t="s">
        <v>25</v>
      </c>
      <c r="D153" s="42" t="str">
        <f>A153&amp;+(COUNTIF(A$2:A153,A153)-1)</f>
        <v>1520</v>
      </c>
      <c r="E153" s="19" t="str">
        <f>VLOOKUP(D153,unit_serifs_i18n!C:E,3,FALSE)</f>
        <v>maru</v>
      </c>
      <c r="F153" s="19" t="str">
        <f>VLOOKUP(D153,unit_serifs_i18n!C:F,4,FALSE)</f>
        <v>これ食べる元気でるヨ！</v>
      </c>
    </row>
    <row r="154" spans="1:6" x14ac:dyDescent="0.15">
      <c r="A154" s="39">
        <v>152</v>
      </c>
      <c r="B154" s="9" t="str">
        <f>VLOOKUP(A154,[1]characters!$A:$C,3,FALSE)</f>
        <v>功夫少女ランラン</v>
      </c>
      <c r="C154" s="40" t="s">
        <v>26</v>
      </c>
      <c r="D154" s="42" t="str">
        <f>A154&amp;+(COUNTIF(A$2:A154,A154)-1)</f>
        <v>1521</v>
      </c>
      <c r="E154" s="19" t="str">
        <f>VLOOKUP(D154,unit_serifs_i18n!C:E,3,FALSE)</f>
        <v>giza</v>
      </c>
      <c r="F154" s="19" t="str">
        <f>VLOOKUP(D154,unit_serifs_i18n!C:F,4,FALSE)</f>
        <v>これ避ける難しいネ！</v>
      </c>
    </row>
    <row r="155" spans="1:6" x14ac:dyDescent="0.15">
      <c r="A155" s="11">
        <v>153</v>
      </c>
      <c r="B155" s="9" t="str">
        <f>VLOOKUP(A155,[1]characters!$A:$C,3,FALSE)</f>
        <v>拳聖ランラン</v>
      </c>
      <c r="C155" s="3" t="s">
        <v>25</v>
      </c>
      <c r="D155" s="42" t="str">
        <f>A155&amp;+(COUNTIF(A$2:A155,A155)-1)</f>
        <v>1530</v>
      </c>
      <c r="E155" s="19" t="str">
        <f>VLOOKUP(D155,unit_serifs_i18n!C:E,3,FALSE)</f>
        <v>maru</v>
      </c>
      <c r="F155" s="19" t="str">
        <f>VLOOKUP(D155,unit_serifs_i18n!C:F,4,FALSE)</f>
        <v>元気いっぱい回復するネ！</v>
      </c>
    </row>
    <row r="156" spans="1:6" x14ac:dyDescent="0.15">
      <c r="A156" s="39">
        <v>153</v>
      </c>
      <c r="B156" s="9" t="str">
        <f>VLOOKUP(A156,[1]characters!$A:$C,3,FALSE)</f>
        <v>拳聖ランラン</v>
      </c>
      <c r="C156" s="40" t="s">
        <v>26</v>
      </c>
      <c r="D156" s="42" t="str">
        <f>A156&amp;+(COUNTIF(A$2:A156,A156)-1)</f>
        <v>1531</v>
      </c>
      <c r="E156" s="19" t="str">
        <f>VLOOKUP(D156,unit_serifs_i18n!C:E,3,FALSE)</f>
        <v>giza</v>
      </c>
      <c r="F156" s="19" t="str">
        <f>VLOOKUP(D156,unit_serifs_i18n!C:F,4,FALSE)</f>
        <v>身体の中ぶっ壊すネ！</v>
      </c>
    </row>
    <row r="157" spans="1:6" x14ac:dyDescent="0.15">
      <c r="A157" s="39">
        <v>153</v>
      </c>
      <c r="B157" s="9" t="str">
        <f>VLOOKUP(A157,[1]characters!$A:$C,3,FALSE)</f>
        <v>拳聖ランラン</v>
      </c>
      <c r="C157" s="40" t="s">
        <v>26</v>
      </c>
      <c r="D157" s="42" t="str">
        <f>D154</f>
        <v>1521</v>
      </c>
      <c r="E157" s="19" t="str">
        <f>VLOOKUP(D157,unit_serifs_i18n!C:E,3,FALSE)</f>
        <v>giza</v>
      </c>
      <c r="F157" s="19" t="str">
        <f>VLOOKUP(D157,unit_serifs_i18n!C:F,4,FALSE)</f>
        <v>これ避ける難しいネ！</v>
      </c>
    </row>
    <row r="158" spans="1:6" x14ac:dyDescent="0.15">
      <c r="A158" s="11">
        <v>154</v>
      </c>
      <c r="B158" s="9" t="str">
        <f>VLOOKUP(A158,[1]characters!$A:$C,3,FALSE)</f>
        <v>始末屋 ハンナ</v>
      </c>
      <c r="C158" s="3" t="s">
        <v>25</v>
      </c>
      <c r="D158" s="42" t="str">
        <f>A158&amp;+(COUNTIF(A$2:A158,A158)-1)</f>
        <v>1540</v>
      </c>
      <c r="E158" s="19" t="str">
        <f>VLOOKUP(D158,unit_serifs_i18n!C:E,3,FALSE)</f>
        <v>maru</v>
      </c>
      <c r="F158" s="19" t="str">
        <f>VLOOKUP(D158,unit_serifs_i18n!C:F,4,FALSE)</f>
        <v>チクってするだけよ</v>
      </c>
    </row>
    <row r="159" spans="1:6" x14ac:dyDescent="0.15">
      <c r="A159" s="39">
        <v>154</v>
      </c>
      <c r="B159" s="9" t="str">
        <f>VLOOKUP(A159,[1]characters!$A:$C,3,FALSE)</f>
        <v>始末屋 ハンナ</v>
      </c>
      <c r="C159" s="40" t="s">
        <v>26</v>
      </c>
      <c r="D159" s="42" t="str">
        <f>A159&amp;+(COUNTIF(A$2:A159,A159)-1)</f>
        <v>1541</v>
      </c>
      <c r="E159" s="19" t="str">
        <f>VLOOKUP(D159,unit_serifs_i18n!C:E,3,FALSE)</f>
        <v>kumo</v>
      </c>
      <c r="F159" s="19" t="str">
        <f>VLOOKUP(D159,unit_serifs_i18n!C:F,4,FALSE)</f>
        <v>困ったことになるわね</v>
      </c>
    </row>
    <row r="160" spans="1:6" x14ac:dyDescent="0.15">
      <c r="A160" s="11">
        <v>155</v>
      </c>
      <c r="B160" s="9" t="str">
        <f>VLOOKUP(A160,[1]characters!$A:$C,3,FALSE)</f>
        <v>隻眼の掃除屋 ハンナ</v>
      </c>
      <c r="C160" s="3" t="s">
        <v>25</v>
      </c>
      <c r="D160" s="42" t="str">
        <f>A160&amp;+(COUNTIF(A$2:A160,A160)-1)</f>
        <v>1550</v>
      </c>
      <c r="E160" s="19" t="str">
        <f>VLOOKUP(D160,unit_serifs_i18n!C:E,3,FALSE)</f>
        <v>maru</v>
      </c>
      <c r="F160" s="19" t="str">
        <f>VLOOKUP(D160,unit_serifs_i18n!C:F,4,FALSE)</f>
        <v>ぶっといの入りまーす</v>
      </c>
    </row>
    <row r="161" spans="1:6" x14ac:dyDescent="0.15">
      <c r="A161" s="39">
        <v>155</v>
      </c>
      <c r="B161" s="9" t="str">
        <f>VLOOKUP(A161,[1]characters!$A:$C,3,FALSE)</f>
        <v>隻眼の掃除屋 ハンナ</v>
      </c>
      <c r="C161" s="40" t="s">
        <v>26</v>
      </c>
      <c r="D161" s="42" t="str">
        <f>A161&amp;+(COUNTIF(A$2:A161,A161)-1)</f>
        <v>1551</v>
      </c>
      <c r="E161" s="19" t="str">
        <f>VLOOKUP(D161,unit_serifs_i18n!C:E,3,FALSE)</f>
        <v>maru</v>
      </c>
      <c r="F161" s="19" t="str">
        <f>VLOOKUP(D161,unit_serifs_i18n!C:F,4,FALSE)</f>
        <v>うっかりよ、うっかり</v>
      </c>
    </row>
    <row r="162" spans="1:6" x14ac:dyDescent="0.15">
      <c r="A162" s="39">
        <v>155</v>
      </c>
      <c r="B162" s="9" t="str">
        <f>VLOOKUP(A162,[1]characters!$A:$C,3,FALSE)</f>
        <v>隻眼の掃除屋 ハンナ</v>
      </c>
      <c r="C162" s="40" t="s">
        <v>26</v>
      </c>
      <c r="D162" s="42" t="str">
        <f>D159</f>
        <v>1541</v>
      </c>
      <c r="E162" s="19" t="str">
        <f>VLOOKUP(D162,unit_serifs_i18n!C:E,3,FALSE)</f>
        <v>kumo</v>
      </c>
      <c r="F162" s="19" t="str">
        <f>VLOOKUP(D162,unit_serifs_i18n!C:F,4,FALSE)</f>
        <v>困ったことになるわね</v>
      </c>
    </row>
    <row r="163" spans="1:6" x14ac:dyDescent="0.15">
      <c r="A163" s="11">
        <v>156</v>
      </c>
      <c r="B163" s="9" t="str">
        <f>VLOOKUP(A163,[1]characters!$A:$C,3,FALSE)</f>
        <v>踊り子 エレナ</v>
      </c>
      <c r="C163" s="3" t="s">
        <v>25</v>
      </c>
      <c r="D163" s="42" t="str">
        <f>A163&amp;+(COUNTIF(A$2:A163,A163)-1)</f>
        <v>1560</v>
      </c>
      <c r="E163" s="19" t="str">
        <f>VLOOKUP(D163,unit_serifs_i18n!C:E,3,FALSE)</f>
        <v>maru</v>
      </c>
      <c r="F163" s="19" t="str">
        <f>VLOOKUP(D163,unit_serifs_i18n!C:F,4,FALSE)</f>
        <v>見惚れててくださいな〜</v>
      </c>
    </row>
    <row r="164" spans="1:6" x14ac:dyDescent="0.15">
      <c r="A164" s="39">
        <v>156</v>
      </c>
      <c r="B164" s="9" t="str">
        <f>VLOOKUP(A164,[1]characters!$A:$C,3,FALSE)</f>
        <v>踊り子 エレナ</v>
      </c>
      <c r="C164" s="40" t="s">
        <v>26</v>
      </c>
      <c r="D164" s="42" t="str">
        <f>A164&amp;+(COUNTIF(A$2:A164,A164)-1)</f>
        <v>1561</v>
      </c>
      <c r="E164" s="19" t="str">
        <f>VLOOKUP(D164,unit_serifs_i18n!C:E,3,FALSE)</f>
        <v>maru</v>
      </c>
      <c r="F164" s="19" t="str">
        <f>VLOOKUP(D164,unit_serifs_i18n!C:F,4,FALSE)</f>
        <v>まだまだやれますよ〜</v>
      </c>
    </row>
    <row r="165" spans="1:6" x14ac:dyDescent="0.15">
      <c r="A165" s="11">
        <v>157</v>
      </c>
      <c r="B165" s="9" t="str">
        <f>VLOOKUP(A165,[1]characters!$A:$C,3,FALSE)</f>
        <v>雷光舞姫 エレナ</v>
      </c>
      <c r="C165" s="3" t="s">
        <v>25</v>
      </c>
      <c r="D165" s="42" t="str">
        <f>A165&amp;+(COUNTIF(A$2:A165,A165)-1)</f>
        <v>1570</v>
      </c>
      <c r="E165" s="19" t="str">
        <f>VLOOKUP(D165,unit_serifs_i18n!C:E,3,FALSE)</f>
        <v>maru</v>
      </c>
      <c r="F165" s="19" t="str">
        <f>VLOOKUP(D165,unit_serifs_i18n!C:F,4,FALSE)</f>
        <v>ステージに集中ですよ〜</v>
      </c>
    </row>
    <row r="166" spans="1:6" x14ac:dyDescent="0.15">
      <c r="A166" s="39">
        <v>157</v>
      </c>
      <c r="B166" s="9" t="str">
        <f>VLOOKUP(A166,[1]characters!$A:$C,3,FALSE)</f>
        <v>雷光舞姫 エレナ</v>
      </c>
      <c r="C166" s="40" t="s">
        <v>26</v>
      </c>
      <c r="D166" s="42" t="str">
        <f>A166&amp;+(COUNTIF(A$2:A166,A166)-1)</f>
        <v>1571</v>
      </c>
      <c r="E166" s="19" t="str">
        <f>VLOOKUP(D166,unit_serifs_i18n!C:E,3,FALSE)</f>
        <v>maru</v>
      </c>
      <c r="F166" s="19" t="str">
        <f>VLOOKUP(D166,unit_serifs_i18n!C:F,4,FALSE)</f>
        <v>最後まで全力ですよ〜</v>
      </c>
    </row>
    <row r="167" spans="1:6" x14ac:dyDescent="0.15">
      <c r="A167" s="39">
        <v>157</v>
      </c>
      <c r="B167" s="9" t="str">
        <f>VLOOKUP(A167,[1]characters!$A:$C,3,FALSE)</f>
        <v>雷光舞姫 エレナ</v>
      </c>
      <c r="C167" s="40" t="s">
        <v>26</v>
      </c>
      <c r="D167" s="42" t="str">
        <f>D164</f>
        <v>1561</v>
      </c>
      <c r="E167" s="19" t="str">
        <f>VLOOKUP(D167,unit_serifs_i18n!C:E,3,FALSE)</f>
        <v>maru</v>
      </c>
      <c r="F167" s="19" t="str">
        <f>VLOOKUP(D167,unit_serifs_i18n!C:F,4,FALSE)</f>
        <v>まだまだやれますよ〜</v>
      </c>
    </row>
    <row r="168" spans="1:6" x14ac:dyDescent="0.15">
      <c r="A168" s="11">
        <v>158</v>
      </c>
      <c r="B168" s="9" t="str">
        <f>VLOOKUP(A168,[1]characters!$A:$C,3,FALSE)</f>
        <v>シスター シャルロッテ</v>
      </c>
      <c r="C168" s="3" t="s">
        <v>25</v>
      </c>
      <c r="D168" s="42" t="str">
        <f>A168&amp;+(COUNTIF(A$2:A168,A168)-1)</f>
        <v>1580</v>
      </c>
      <c r="E168" s="19" t="str">
        <f>VLOOKUP(D168,unit_serifs_i18n!C:E,3,FALSE)</f>
        <v>maru</v>
      </c>
      <c r="F168" s="19" t="str">
        <f>VLOOKUP(D168,unit_serifs_i18n!C:F,4,FALSE)</f>
        <v>その邪心、浄化します</v>
      </c>
    </row>
    <row r="169" spans="1:6" x14ac:dyDescent="0.15">
      <c r="A169" s="39">
        <v>158</v>
      </c>
      <c r="B169" s="9" t="str">
        <f>VLOOKUP(A169,[1]characters!$A:$C,3,FALSE)</f>
        <v>シスター シャルロッテ</v>
      </c>
      <c r="C169" s="40" t="s">
        <v>26</v>
      </c>
      <c r="D169" s="42" t="str">
        <f>A169&amp;+(COUNTIF(A$2:A169,A169)-1)</f>
        <v>1581</v>
      </c>
      <c r="E169" s="19" t="str">
        <f>VLOOKUP(D169,unit_serifs_i18n!C:E,3,FALSE)</f>
        <v>giza</v>
      </c>
      <c r="F169" s="19" t="str">
        <f>VLOOKUP(D169,unit_serifs_i18n!C:F,4,FALSE)</f>
        <v>浄発しなさい！</v>
      </c>
    </row>
    <row r="170" spans="1:6" x14ac:dyDescent="0.15">
      <c r="A170" s="11">
        <v>159</v>
      </c>
      <c r="B170" s="9" t="str">
        <f>VLOOKUP(A170,[1]characters!$A:$C,3,FALSE)</f>
        <v>邪を狩りし者 シャルロッテ</v>
      </c>
      <c r="C170" s="3" t="s">
        <v>25</v>
      </c>
      <c r="D170" s="42" t="str">
        <f>A170&amp;+(COUNTIF(A$2:A170,A170)-1)</f>
        <v>1590</v>
      </c>
      <c r="E170" s="19" t="str">
        <f>VLOOKUP(D170,unit_serifs_i18n!C:E,3,FALSE)</f>
        <v>giza</v>
      </c>
      <c r="F170" s="19" t="str">
        <f>VLOOKUP(D170,unit_serifs_i18n!C:F,4,FALSE)</f>
        <v>邪な魂は見逃せません！</v>
      </c>
    </row>
    <row r="171" spans="1:6" x14ac:dyDescent="0.15">
      <c r="A171" s="39">
        <v>159</v>
      </c>
      <c r="B171" s="9" t="str">
        <f>VLOOKUP(A171,[1]characters!$A:$C,3,FALSE)</f>
        <v>邪を狩りし者 シャルロッテ</v>
      </c>
      <c r="C171" s="40" t="s">
        <v>26</v>
      </c>
      <c r="D171" s="42" t="str">
        <f>A171&amp;+(COUNTIF(A$2:A171,A171)-1)</f>
        <v>1591</v>
      </c>
      <c r="E171" s="19" t="str">
        <f>VLOOKUP(D171,unit_serifs_i18n!C:E,3,FALSE)</f>
        <v>giza</v>
      </c>
      <c r="F171" s="19" t="str">
        <f>VLOOKUP(D171,unit_serifs_i18n!C:F,4,FALSE)</f>
        <v>退けます！</v>
      </c>
    </row>
    <row r="172" spans="1:6" x14ac:dyDescent="0.15">
      <c r="A172" s="39">
        <v>159</v>
      </c>
      <c r="B172" s="9" t="str">
        <f>VLOOKUP(A172,[1]characters!$A:$C,3,FALSE)</f>
        <v>邪を狩りし者 シャルロッテ</v>
      </c>
      <c r="C172" s="40" t="s">
        <v>26</v>
      </c>
      <c r="D172" s="42" t="str">
        <f>D169</f>
        <v>1581</v>
      </c>
      <c r="E172" s="19" t="str">
        <f>VLOOKUP(D172,unit_serifs_i18n!C:E,3,FALSE)</f>
        <v>giza</v>
      </c>
      <c r="F172" s="19" t="str">
        <f>VLOOKUP(D172,unit_serifs_i18n!C:F,4,FALSE)</f>
        <v>浄発しなさい！</v>
      </c>
    </row>
    <row r="173" spans="1:6" x14ac:dyDescent="0.15">
      <c r="A173" s="11">
        <v>160</v>
      </c>
      <c r="B173" s="9" t="str">
        <f>VLOOKUP(A173,[1]characters!$A:$C,3,FALSE)</f>
        <v>反逆者 クリエ</v>
      </c>
      <c r="C173" s="3" t="s">
        <v>25</v>
      </c>
      <c r="D173" s="42" t="str">
        <f>A173&amp;+(COUNTIF(A$2:A173,A173)-1)</f>
        <v>1600</v>
      </c>
      <c r="E173" s="19" t="str">
        <f>VLOOKUP(D173,unit_serifs_i18n!C:E,3,FALSE)</f>
        <v>giza</v>
      </c>
      <c r="F173" s="19" t="str">
        <f>VLOOKUP(D173,unit_serifs_i18n!C:F,4,FALSE)</f>
        <v>緑全軍いざ進撃ー！！</v>
      </c>
    </row>
    <row r="174" spans="1:6" x14ac:dyDescent="0.15">
      <c r="A174" s="39">
        <v>160</v>
      </c>
      <c r="B174" s="9" t="str">
        <f>VLOOKUP(A174,[1]characters!$A:$C,3,FALSE)</f>
        <v>反逆者 クリエ</v>
      </c>
      <c r="C174" s="40" t="s">
        <v>26</v>
      </c>
      <c r="D174" s="42" t="str">
        <f>A174&amp;+(COUNTIF(A$2:A174,A174)-1)</f>
        <v>1601</v>
      </c>
      <c r="E174" s="19" t="str">
        <f>VLOOKUP(D174,unit_serifs_i18n!C:E,3,FALSE)</f>
        <v>giza</v>
      </c>
      <c r="F174" s="19" t="str">
        <f>VLOOKUP(D174,unit_serifs_i18n!C:F,4,FALSE)</f>
        <v>士気を高めろ！</v>
      </c>
    </row>
    <row r="175" spans="1:6" x14ac:dyDescent="0.15">
      <c r="A175" s="11">
        <v>161</v>
      </c>
      <c r="B175" s="9" t="str">
        <f>VLOOKUP(A175,[1]characters!$A:$C,3,FALSE)</f>
        <v>咆哮の先導者 クリエ</v>
      </c>
      <c r="C175" s="3" t="s">
        <v>25</v>
      </c>
      <c r="D175" s="42" t="str">
        <f>A175&amp;+(COUNTIF(A$2:A175,A175)-1)</f>
        <v>1610</v>
      </c>
      <c r="E175" s="19" t="str">
        <f>VLOOKUP(D175,unit_serifs_i18n!C:E,3,FALSE)</f>
        <v>giza</v>
      </c>
      <c r="F175" s="19" t="str">
        <f>VLOOKUP(D175,unit_serifs_i18n!C:F,4,FALSE)</f>
        <v>勝利は目前である！進め！</v>
      </c>
    </row>
    <row r="176" spans="1:6" x14ac:dyDescent="0.15">
      <c r="A176" s="39">
        <v>161</v>
      </c>
      <c r="B176" s="9" t="str">
        <f>VLOOKUP(A176,[1]characters!$A:$C,3,FALSE)</f>
        <v>咆哮の先導者 クリエ</v>
      </c>
      <c r="C176" s="40" t="s">
        <v>26</v>
      </c>
      <c r="D176" s="42" t="str">
        <f>A176&amp;+(COUNTIF(A$2:A176,A176)-1)</f>
        <v>1611</v>
      </c>
      <c r="E176" s="19" t="str">
        <f>VLOOKUP(D176,unit_serifs_i18n!C:E,3,FALSE)</f>
        <v>giza</v>
      </c>
      <c r="F176" s="19" t="str">
        <f>VLOOKUP(D176,unit_serifs_i18n!C:F,4,FALSE)</f>
        <v>目指すは敵崩壊のみ！</v>
      </c>
    </row>
    <row r="177" spans="1:6" x14ac:dyDescent="0.15">
      <c r="A177" s="39">
        <v>161</v>
      </c>
      <c r="B177" s="9" t="str">
        <f>VLOOKUP(A177,[1]characters!$A:$C,3,FALSE)</f>
        <v>咆哮の先導者 クリエ</v>
      </c>
      <c r="C177" s="40" t="s">
        <v>26</v>
      </c>
      <c r="D177" s="42" t="str">
        <f>D174</f>
        <v>1601</v>
      </c>
      <c r="E177" s="19" t="str">
        <f>VLOOKUP(D177,unit_serifs_i18n!C:E,3,FALSE)</f>
        <v>giza</v>
      </c>
      <c r="F177" s="19" t="str">
        <f>VLOOKUP(D177,unit_serifs_i18n!C:F,4,FALSE)</f>
        <v>士気を高めろ！</v>
      </c>
    </row>
    <row r="178" spans="1:6" x14ac:dyDescent="0.15">
      <c r="A178" s="11">
        <v>162</v>
      </c>
      <c r="B178" s="9" t="str">
        <f>VLOOKUP(A178,[1]characters!$A:$C,3,FALSE)</f>
        <v>狂女 クララ</v>
      </c>
      <c r="C178" s="3" t="s">
        <v>25</v>
      </c>
      <c r="D178" s="42" t="str">
        <f>A178&amp;+(COUNTIF(A$2:A178,A178)-1)</f>
        <v>1620</v>
      </c>
      <c r="E178" s="19" t="str">
        <f>VLOOKUP(D178,unit_serifs_i18n!C:E,3,FALSE)</f>
        <v>kumo</v>
      </c>
      <c r="F178" s="19" t="str">
        <f>VLOOKUP(D178,unit_serifs_i18n!C:F,4,FALSE)</f>
        <v>この刃、骨まで届くわ…</v>
      </c>
    </row>
    <row r="179" spans="1:6" x14ac:dyDescent="0.15">
      <c r="A179" s="39">
        <v>162</v>
      </c>
      <c r="B179" s="9" t="str">
        <f>VLOOKUP(A179,[1]characters!$A:$C,3,FALSE)</f>
        <v>狂女 クララ</v>
      </c>
      <c r="C179" s="40" t="s">
        <v>26</v>
      </c>
      <c r="D179" s="42" t="str">
        <f>A179&amp;+(COUNTIF(A$2:A179,A179)-1)</f>
        <v>1621</v>
      </c>
      <c r="E179" s="19" t="str">
        <f>VLOOKUP(D179,unit_serifs_i18n!C:E,3,FALSE)</f>
        <v>maru</v>
      </c>
      <c r="F179" s="19" t="str">
        <f>VLOOKUP(D179,unit_serifs_i18n!C:F,4,FALSE)</f>
        <v>脳天から落とすわよ</v>
      </c>
    </row>
    <row r="180" spans="1:6" x14ac:dyDescent="0.15">
      <c r="A180" s="11">
        <v>163</v>
      </c>
      <c r="B180" s="9" t="str">
        <f>VLOOKUP(A180,[1]characters!$A:$C,3,FALSE)</f>
        <v>冷酷な狂嬢 クララ</v>
      </c>
      <c r="C180" s="3" t="s">
        <v>25</v>
      </c>
      <c r="D180" s="42" t="str">
        <f>A180&amp;+(COUNTIF(A$2:A180,A180)-1)</f>
        <v>1630</v>
      </c>
      <c r="E180" s="19" t="str">
        <f>VLOOKUP(D180,unit_serifs_i18n!C:E,3,FALSE)</f>
        <v>maru</v>
      </c>
      <c r="F180" s="19" t="str">
        <f>VLOOKUP(D180,unit_serifs_i18n!C:F,4,FALSE)</f>
        <v>くふふ…いいザマね？</v>
      </c>
    </row>
    <row r="181" spans="1:6" x14ac:dyDescent="0.15">
      <c r="A181" s="39">
        <v>163</v>
      </c>
      <c r="B181" s="9" t="str">
        <f>VLOOKUP(A181,[1]characters!$A:$C,3,FALSE)</f>
        <v>冷酷な狂嬢 クララ</v>
      </c>
      <c r="C181" s="40" t="s">
        <v>26</v>
      </c>
      <c r="D181" s="42" t="str">
        <f>A181&amp;+(COUNTIF(A$2:A181,A181)-1)</f>
        <v>1631</v>
      </c>
      <c r="E181" s="19" t="str">
        <f>VLOOKUP(D181,unit_serifs_i18n!C:E,3,FALSE)</f>
        <v>kumo</v>
      </c>
      <c r="F181" s="19" t="str">
        <f>VLOOKUP(D181,unit_serifs_i18n!C:F,4,FALSE)</f>
        <v>八つ裂きにしてあげる</v>
      </c>
    </row>
    <row r="182" spans="1:6" x14ac:dyDescent="0.15">
      <c r="A182" s="39">
        <v>163</v>
      </c>
      <c r="B182" s="9" t="str">
        <f>VLOOKUP(A182,[1]characters!$A:$C,3,FALSE)</f>
        <v>冷酷な狂嬢 クララ</v>
      </c>
      <c r="C182" s="40" t="s">
        <v>26</v>
      </c>
      <c r="D182" s="42" t="str">
        <f>D179</f>
        <v>1621</v>
      </c>
      <c r="E182" s="19" t="str">
        <f>VLOOKUP(D182,unit_serifs_i18n!C:E,3,FALSE)</f>
        <v>maru</v>
      </c>
      <c r="F182" s="19" t="str">
        <f>VLOOKUP(D182,unit_serifs_i18n!C:F,4,FALSE)</f>
        <v>脳天から落とすわよ</v>
      </c>
    </row>
    <row r="183" spans="1:6" x14ac:dyDescent="0.15">
      <c r="A183" s="11">
        <v>164</v>
      </c>
      <c r="B183" s="9" t="str">
        <f>VLOOKUP(A183,[1]characters!$A:$C,3,FALSE)</f>
        <v>イブとトモダチ</v>
      </c>
      <c r="C183" s="3" t="s">
        <v>25</v>
      </c>
      <c r="D183" s="42" t="str">
        <f>A183&amp;+(COUNTIF(A$2:A183,A183)-1)</f>
        <v>1640</v>
      </c>
      <c r="E183" s="19" t="str">
        <f>VLOOKUP(D183,unit_serifs_i18n!C:E,3,FALSE)</f>
        <v>maru</v>
      </c>
      <c r="F183" s="19" t="str">
        <f>VLOOKUP(D183,unit_serifs_i18n!C:F,4,FALSE)</f>
        <v>イブといっしょにいて？</v>
      </c>
    </row>
    <row r="184" spans="1:6" x14ac:dyDescent="0.15">
      <c r="A184" s="39">
        <v>164</v>
      </c>
      <c r="B184" s="9" t="str">
        <f>VLOOKUP(A184,[1]characters!$A:$C,3,FALSE)</f>
        <v>イブとトモダチ</v>
      </c>
      <c r="C184" s="40" t="s">
        <v>26</v>
      </c>
      <c r="D184" s="42" t="str">
        <f>A184&amp;+(COUNTIF(A$2:A184,A184)-1)</f>
        <v>1641</v>
      </c>
      <c r="E184" s="19" t="str">
        <f>VLOOKUP(D184,unit_serifs_i18n!C:E,3,FALSE)</f>
        <v>maru</v>
      </c>
      <c r="F184" s="19" t="str">
        <f>VLOOKUP(D184,unit_serifs_i18n!C:F,4,FALSE)</f>
        <v>玩具にしてもいい？</v>
      </c>
    </row>
    <row r="185" spans="1:6" x14ac:dyDescent="0.15">
      <c r="A185" s="11">
        <v>165</v>
      </c>
      <c r="B185" s="9" t="str">
        <f>VLOOKUP(A185,[1]characters!$A:$C,3,FALSE)</f>
        <v>イブとたったひとりのトモダチ</v>
      </c>
      <c r="C185" s="3" t="s">
        <v>25</v>
      </c>
      <c r="D185" s="42" t="str">
        <f>A185&amp;+(COUNTIF(A$2:A185,A185)-1)</f>
        <v>1650</v>
      </c>
      <c r="E185" s="19" t="str">
        <f>VLOOKUP(D185,unit_serifs_i18n!C:E,3,FALSE)</f>
        <v>kumo</v>
      </c>
      <c r="F185" s="19" t="str">
        <f>VLOOKUP(D185,unit_serifs_i18n!C:F,4,FALSE)</f>
        <v>もう逃げられないよ…</v>
      </c>
    </row>
    <row r="186" spans="1:6" x14ac:dyDescent="0.15">
      <c r="A186" s="39">
        <v>165</v>
      </c>
      <c r="B186" s="9" t="str">
        <f>VLOOKUP(A186,[1]characters!$A:$C,3,FALSE)</f>
        <v>イブとたったひとりのトモダチ</v>
      </c>
      <c r="C186" s="40" t="s">
        <v>26</v>
      </c>
      <c r="D186" s="42" t="str">
        <f>A186&amp;+(COUNTIF(A$2:A186,A186)-1)</f>
        <v>1651</v>
      </c>
      <c r="E186" s="19" t="str">
        <f>VLOOKUP(D186,unit_serifs_i18n!C:E,3,FALSE)</f>
        <v>giza</v>
      </c>
      <c r="F186" s="19" t="str">
        <f>VLOOKUP(D186,unit_serifs_i18n!C:F,4,FALSE)</f>
        <v>友達は大事にしなきゃ</v>
      </c>
    </row>
    <row r="187" spans="1:6" x14ac:dyDescent="0.15">
      <c r="A187" s="39">
        <v>165</v>
      </c>
      <c r="B187" s="9" t="str">
        <f>VLOOKUP(A187,[1]characters!$A:$C,3,FALSE)</f>
        <v>イブとたったひとりのトモダチ</v>
      </c>
      <c r="C187" s="40" t="s">
        <v>26</v>
      </c>
      <c r="D187" s="42" t="str">
        <f>D184</f>
        <v>1641</v>
      </c>
      <c r="E187" s="19" t="str">
        <f>VLOOKUP(D187,unit_serifs_i18n!C:E,3,FALSE)</f>
        <v>maru</v>
      </c>
      <c r="F187" s="19" t="str">
        <f>VLOOKUP(D187,unit_serifs_i18n!C:F,4,FALSE)</f>
        <v>玩具にしてもいい？</v>
      </c>
    </row>
    <row r="188" spans="1:6" x14ac:dyDescent="0.15">
      <c r="A188" s="11">
        <v>166</v>
      </c>
      <c r="B188" s="9" t="str">
        <f>VLOOKUP(A188,[1]characters!$A:$C,3,FALSE)</f>
        <v>ベリアル</v>
      </c>
      <c r="C188" s="3" t="s">
        <v>25</v>
      </c>
      <c r="D188" s="42" t="str">
        <f>A188&amp;+(COUNTIF(A$2:A188,A188)-1)</f>
        <v>1660</v>
      </c>
      <c r="E188" s="19" t="str">
        <f>VLOOKUP(D188,unit_serifs_i18n!C:E,3,FALSE)</f>
        <v>giza</v>
      </c>
      <c r="F188" s="19" t="str">
        <f>VLOOKUP(D188,unit_serifs_i18n!C:F,4,FALSE)</f>
        <v>派手に抗ってやるぜッ！</v>
      </c>
    </row>
    <row r="189" spans="1:6" x14ac:dyDescent="0.15">
      <c r="A189" s="39">
        <v>166</v>
      </c>
      <c r="B189" s="9" t="str">
        <f>VLOOKUP(A189,[1]characters!$A:$C,3,FALSE)</f>
        <v>ベリアル</v>
      </c>
      <c r="C189" s="40" t="s">
        <v>26</v>
      </c>
      <c r="D189" s="42" t="str">
        <f>A189&amp;+(COUNTIF(A$2:A189,A189)-1)</f>
        <v>1661</v>
      </c>
      <c r="E189" s="19" t="str">
        <f>VLOOKUP(D189,unit_serifs_i18n!C:E,3,FALSE)</f>
        <v>maru</v>
      </c>
      <c r="F189" s="19" t="str">
        <f>VLOOKUP(D189,unit_serifs_i18n!C:F,4,FALSE)</f>
        <v>まとめて相手してやる</v>
      </c>
    </row>
    <row r="190" spans="1:6" x14ac:dyDescent="0.15">
      <c r="A190" s="11">
        <v>167</v>
      </c>
      <c r="B190" s="9" t="str">
        <f>VLOOKUP(A190,[1]characters!$A:$C,3,FALSE)</f>
        <v>逆徒 ベリアル</v>
      </c>
      <c r="C190" s="3" t="s">
        <v>25</v>
      </c>
      <c r="D190" s="42" t="str">
        <f>A190&amp;+(COUNTIF(A$2:A190,A190)-1)</f>
        <v>1670</v>
      </c>
      <c r="E190" s="19" t="str">
        <f>VLOOKUP(D190,unit_serifs_i18n!C:E,3,FALSE)</f>
        <v>giza</v>
      </c>
      <c r="F190" s="19" t="str">
        <f>VLOOKUP(D190,unit_serifs_i18n!C:F,4,FALSE)</f>
        <v>これがオレの生き方だッ！</v>
      </c>
    </row>
    <row r="191" spans="1:6" x14ac:dyDescent="0.15">
      <c r="A191" s="39">
        <v>167</v>
      </c>
      <c r="B191" s="9" t="str">
        <f>VLOOKUP(A191,[1]characters!$A:$C,3,FALSE)</f>
        <v>逆徒 ベリアル</v>
      </c>
      <c r="C191" s="40" t="s">
        <v>26</v>
      </c>
      <c r="D191" s="42" t="str">
        <f>A191&amp;+(COUNTIF(A$2:A191,A191)-1)</f>
        <v>1671</v>
      </c>
      <c r="E191" s="19" t="str">
        <f>VLOOKUP(D191,unit_serifs_i18n!C:E,3,FALSE)</f>
        <v>giza</v>
      </c>
      <c r="F191" s="19" t="str">
        <f>VLOOKUP(D191,unit_serifs_i18n!C:F,4,FALSE)</f>
        <v>止められるかよッ！</v>
      </c>
    </row>
    <row r="192" spans="1:6" x14ac:dyDescent="0.15">
      <c r="A192" s="39">
        <v>167</v>
      </c>
      <c r="B192" s="9" t="str">
        <f>VLOOKUP(A192,[1]characters!$A:$C,3,FALSE)</f>
        <v>逆徒 ベリアル</v>
      </c>
      <c r="C192" s="40" t="s">
        <v>26</v>
      </c>
      <c r="D192" s="42" t="str">
        <f>D189</f>
        <v>1661</v>
      </c>
      <c r="E192" s="19" t="str">
        <f>VLOOKUP(D192,unit_serifs_i18n!C:E,3,FALSE)</f>
        <v>maru</v>
      </c>
      <c r="F192" s="19" t="str">
        <f>VLOOKUP(D192,unit_serifs_i18n!C:F,4,FALSE)</f>
        <v>まとめて相手してやる</v>
      </c>
    </row>
    <row r="193" spans="1:20" x14ac:dyDescent="0.15">
      <c r="A193" s="11">
        <v>168</v>
      </c>
      <c r="B193" s="9" t="str">
        <f>VLOOKUP(A193,[1]characters!$A:$C,3,FALSE)</f>
        <v>猛進の大逆者 ベリアル</v>
      </c>
      <c r="C193" s="3" t="s">
        <v>25</v>
      </c>
      <c r="D193" s="42" t="str">
        <f>A193&amp;+(COUNTIF(A$32:A193,A193)-1)</f>
        <v>1680</v>
      </c>
      <c r="E193" s="19" t="str">
        <f>VLOOKUP(D193,unit_serifs_i18n!C:E,3,FALSE)</f>
        <v>giza</v>
      </c>
      <c r="F193" s="19" t="str">
        <f>VLOOKUP(D193,unit_serifs_i18n!C:F,4,FALSE)</f>
        <v>待ってたぜ、この時をな！</v>
      </c>
    </row>
    <row r="194" spans="1:20" x14ac:dyDescent="0.15">
      <c r="A194" s="39">
        <v>168</v>
      </c>
      <c r="B194" s="9" t="str">
        <f>VLOOKUP(A194,[1]characters!$A:$C,3,FALSE)</f>
        <v>猛進の大逆者 ベリアル</v>
      </c>
      <c r="C194" s="40" t="s">
        <v>26</v>
      </c>
      <c r="D194" s="42" t="str">
        <f>A194&amp;+(COUNTIF(A$32:A194,A194)-1)</f>
        <v>1681</v>
      </c>
      <c r="E194" s="19" t="str">
        <f>VLOOKUP(D194,unit_serifs_i18n!C:E,3,FALSE)</f>
        <v>giza</v>
      </c>
      <c r="F194" s="19" t="str">
        <f>VLOOKUP(D194,unit_serifs_i18n!C:F,4,FALSE)</f>
        <v>灰一粒残さねぇッ！！</v>
      </c>
    </row>
    <row r="195" spans="1:20" x14ac:dyDescent="0.15">
      <c r="A195" s="39">
        <v>168</v>
      </c>
      <c r="B195" s="9" t="str">
        <f>VLOOKUP(A195,[1]characters!$A:$C,3,FALSE)</f>
        <v>猛進の大逆者 ベリアル</v>
      </c>
      <c r="C195" s="40" t="s">
        <v>26</v>
      </c>
      <c r="D195" s="42" t="str">
        <f>D191</f>
        <v>1671</v>
      </c>
      <c r="E195" s="19" t="str">
        <f>VLOOKUP(D195,unit_serifs_i18n!C:E,3,FALSE)</f>
        <v>giza</v>
      </c>
      <c r="F195" s="19" t="str">
        <f>VLOOKUP(D195,unit_serifs_i18n!C:F,4,FALSE)</f>
        <v>止められるかよッ！</v>
      </c>
    </row>
    <row r="196" spans="1:20" x14ac:dyDescent="0.15">
      <c r="A196" s="39">
        <v>168</v>
      </c>
      <c r="B196" s="9" t="str">
        <f>VLOOKUP(A196,[1]characters!$A:$C,3,FALSE)</f>
        <v>猛進の大逆者 ベリアル</v>
      </c>
      <c r="C196" s="40" t="s">
        <v>26</v>
      </c>
      <c r="D196" s="42" t="str">
        <f>D192</f>
        <v>1661</v>
      </c>
      <c r="E196" s="19" t="str">
        <f>VLOOKUP(D196,unit_serifs_i18n!C:E,3,FALSE)</f>
        <v>maru</v>
      </c>
      <c r="F196" s="19" t="str">
        <f>VLOOKUP(D196,unit_serifs_i18n!C:F,4,FALSE)</f>
        <v>まとめて相手してやる</v>
      </c>
    </row>
    <row r="197" spans="1:20" x14ac:dyDescent="0.15">
      <c r="A197" s="11">
        <v>169</v>
      </c>
      <c r="B197" s="9" t="str">
        <f>VLOOKUP(A197,[1]characters!$A:$C,3,FALSE)</f>
        <v>オセ</v>
      </c>
      <c r="C197" s="3" t="s">
        <v>25</v>
      </c>
      <c r="D197" s="42" t="str">
        <f>A197&amp;+(COUNTIF(A$2:A197,A197)-1)</f>
        <v>1690</v>
      </c>
      <c r="E197" s="19" t="str">
        <f>VLOOKUP(D197,unit_serifs_i18n!C:E,3,FALSE)</f>
        <v>maru</v>
      </c>
      <c r="F197" s="19" t="str">
        <f>VLOOKUP(D197,unit_serifs_i18n!C:F,4,FALSE)</f>
        <v>これは特別なんだからね！</v>
      </c>
      <c r="O197" s="68"/>
      <c r="P197" s="3"/>
      <c r="Q197" s="3"/>
      <c r="R197" s="3"/>
      <c r="S197" s="3"/>
      <c r="T197" s="3"/>
    </row>
    <row r="198" spans="1:20" x14ac:dyDescent="0.15">
      <c r="A198" s="39">
        <v>169</v>
      </c>
      <c r="B198" s="9" t="str">
        <f>VLOOKUP(A198,[1]characters!$A:$C,3,FALSE)</f>
        <v>オセ</v>
      </c>
      <c r="C198" s="40" t="s">
        <v>26</v>
      </c>
      <c r="D198" s="42" t="str">
        <f>A198&amp;+(COUNTIF(A$2:A198,A198)-1)</f>
        <v>1691</v>
      </c>
      <c r="E198" s="19" t="str">
        <f>VLOOKUP(D198,unit_serifs_i18n!C:E,3,FALSE)</f>
        <v>maru</v>
      </c>
      <c r="F198" s="19" t="str">
        <f>VLOOKUP(D198,unit_serifs_i18n!C:F,4,FALSE)</f>
        <v>これはほんの挨拶よ！</v>
      </c>
      <c r="O198" s="68"/>
      <c r="P198" s="3"/>
      <c r="Q198" s="3"/>
      <c r="R198" s="3"/>
      <c r="S198" s="3"/>
      <c r="T198" s="3"/>
    </row>
    <row r="199" spans="1:20" x14ac:dyDescent="0.15">
      <c r="A199" s="11">
        <v>170</v>
      </c>
      <c r="B199" s="9" t="str">
        <f>VLOOKUP(A199,[1]characters!$A:$C,3,FALSE)</f>
        <v>識徒 オセ</v>
      </c>
      <c r="C199" s="3" t="s">
        <v>25</v>
      </c>
      <c r="D199" s="42" t="str">
        <f>A199&amp;+(COUNTIF(A$2:A199,A199)-1)</f>
        <v>1700</v>
      </c>
      <c r="E199" s="19" t="str">
        <f>VLOOKUP(D199,unit_serifs_i18n!C:E,3,FALSE)</f>
        <v>maru</v>
      </c>
      <c r="F199" s="19" t="str">
        <f>VLOOKUP(D199,unit_serifs_i18n!C:F,4,FALSE)</f>
        <v>揺さぶってやるんだから！</v>
      </c>
    </row>
    <row r="200" spans="1:20" x14ac:dyDescent="0.15">
      <c r="A200" s="39">
        <v>170</v>
      </c>
      <c r="B200" s="9" t="str">
        <f>VLOOKUP(A200,[1]characters!$A:$C,3,FALSE)</f>
        <v>識徒 オセ</v>
      </c>
      <c r="C200" s="40" t="s">
        <v>26</v>
      </c>
      <c r="D200" s="42" t="str">
        <f>A200&amp;+(COUNTIF(A$2:A200,A200)-1)</f>
        <v>1701</v>
      </c>
      <c r="E200" s="19" t="str">
        <f>VLOOKUP(D200,unit_serifs_i18n!C:E,3,FALSE)</f>
        <v>maru</v>
      </c>
      <c r="F200" s="19" t="str">
        <f>VLOOKUP(D200,unit_serifs_i18n!C:F,4,FALSE)</f>
        <v>狙いやすい的ね…！</v>
      </c>
    </row>
    <row r="201" spans="1:20" x14ac:dyDescent="0.15">
      <c r="A201" s="39">
        <v>170</v>
      </c>
      <c r="B201" s="9" t="str">
        <f>VLOOKUP(A201,[1]characters!$A:$C,3,FALSE)</f>
        <v>識徒 オセ</v>
      </c>
      <c r="C201" s="40" t="s">
        <v>26</v>
      </c>
      <c r="D201" s="42" t="str">
        <f>D198</f>
        <v>1691</v>
      </c>
      <c r="E201" s="19" t="str">
        <f>VLOOKUP(D201,unit_serifs_i18n!C:E,3,FALSE)</f>
        <v>maru</v>
      </c>
      <c r="F201" s="19" t="str">
        <f>VLOOKUP(D201,unit_serifs_i18n!C:F,4,FALSE)</f>
        <v>これはほんの挨拶よ！</v>
      </c>
    </row>
    <row r="202" spans="1:20" x14ac:dyDescent="0.15">
      <c r="A202" s="11">
        <v>171</v>
      </c>
      <c r="B202" s="9" t="str">
        <f>VLOOKUP(A202,[1]characters!$A:$C,3,FALSE)</f>
        <v>精解の預知者 オセ</v>
      </c>
      <c r="C202" s="3" t="s">
        <v>25</v>
      </c>
      <c r="D202" s="42" t="str">
        <f>A202&amp;+(COUNTIF(A$32:A202,A202)-1)</f>
        <v>1710</v>
      </c>
      <c r="E202" s="19" t="str">
        <f>VLOOKUP(D202,unit_serifs_i18n!C:E,3,FALSE)</f>
        <v>maru</v>
      </c>
      <c r="F202" s="19" t="str">
        <f>VLOOKUP(D202,unit_serifs_i18n!C:F,4,FALSE)</f>
        <v>形勢逆転しちゃうわよ…！</v>
      </c>
    </row>
    <row r="203" spans="1:20" x14ac:dyDescent="0.15">
      <c r="A203" s="39">
        <v>171</v>
      </c>
      <c r="B203" s="9" t="str">
        <f>VLOOKUP(A203,[1]characters!$A:$C,3,FALSE)</f>
        <v>精解の預知者 オセ</v>
      </c>
      <c r="C203" s="40" t="s">
        <v>26</v>
      </c>
      <c r="D203" s="42" t="str">
        <f>A203&amp;+(COUNTIF(A$32:A203,A203)-1)</f>
        <v>1711</v>
      </c>
      <c r="E203" s="19" t="str">
        <f>VLOOKUP(D203,unit_serifs_i18n!C:E,3,FALSE)</f>
        <v>giza</v>
      </c>
      <c r="F203" s="19" t="str">
        <f>VLOOKUP(D203,unit_serifs_i18n!C:F,4,FALSE)</f>
        <v>私の弾は外れないわ！</v>
      </c>
    </row>
    <row r="204" spans="1:20" x14ac:dyDescent="0.15">
      <c r="A204" s="39">
        <v>171</v>
      </c>
      <c r="B204" s="9" t="str">
        <f>VLOOKUP(A204,[1]characters!$A:$C,3,FALSE)</f>
        <v>精解の預知者 オセ</v>
      </c>
      <c r="C204" s="40" t="s">
        <v>26</v>
      </c>
      <c r="D204" s="42" t="str">
        <f>D200</f>
        <v>1701</v>
      </c>
      <c r="E204" s="19" t="str">
        <f>VLOOKUP(D204,unit_serifs_i18n!C:E,3,FALSE)</f>
        <v>maru</v>
      </c>
      <c r="F204" s="19" t="str">
        <f>VLOOKUP(D204,unit_serifs_i18n!C:F,4,FALSE)</f>
        <v>狙いやすい的ね…！</v>
      </c>
    </row>
    <row r="205" spans="1:20" x14ac:dyDescent="0.15">
      <c r="A205" s="39">
        <v>171</v>
      </c>
      <c r="B205" s="9" t="str">
        <f>VLOOKUP(A205,[1]characters!$A:$C,3,FALSE)</f>
        <v>精解の預知者 オセ</v>
      </c>
      <c r="C205" s="40" t="s">
        <v>26</v>
      </c>
      <c r="D205" s="42" t="str">
        <f>D201</f>
        <v>1691</v>
      </c>
      <c r="E205" s="19" t="str">
        <f>VLOOKUP(D205,unit_serifs_i18n!C:E,3,FALSE)</f>
        <v>maru</v>
      </c>
      <c r="F205" s="19" t="str">
        <f>VLOOKUP(D205,unit_serifs_i18n!C:F,4,FALSE)</f>
        <v>これはほんの挨拶よ！</v>
      </c>
    </row>
    <row r="206" spans="1:20" x14ac:dyDescent="0.15">
      <c r="A206" s="11">
        <v>172</v>
      </c>
      <c r="B206" s="9" t="str">
        <f>VLOOKUP(A206,[1]characters!$A:$C,3,FALSE)</f>
        <v>フォルネウス</v>
      </c>
      <c r="C206" s="3" t="s">
        <v>25</v>
      </c>
      <c r="D206" s="42" t="str">
        <f>A206&amp;+(COUNTIF(A$2:A206,A206)-1)</f>
        <v>1720</v>
      </c>
      <c r="E206" s="19" t="str">
        <f>VLOOKUP(D206,unit_serifs_i18n!C:E,3,FALSE)</f>
        <v>maru</v>
      </c>
      <c r="F206" s="19" t="str">
        <f>VLOOKUP(D206,unit_serifs_i18n!C:F,4,FALSE)</f>
        <v>大海を知りなさーい！</v>
      </c>
    </row>
    <row r="207" spans="1:20" x14ac:dyDescent="0.15">
      <c r="A207" s="39">
        <v>172</v>
      </c>
      <c r="B207" s="9" t="str">
        <f>VLOOKUP(A207,[1]characters!$A:$C,3,FALSE)</f>
        <v>フォルネウス</v>
      </c>
      <c r="C207" s="40" t="s">
        <v>26</v>
      </c>
      <c r="D207" s="42" t="str">
        <f>A207&amp;+(COUNTIF(A$2:A207,A207)-1)</f>
        <v>1721</v>
      </c>
      <c r="E207" s="19" t="str">
        <f>VLOOKUP(D207,unit_serifs_i18n!C:E,3,FALSE)</f>
        <v>maru</v>
      </c>
      <c r="F207" s="19" t="str">
        <f>VLOOKUP(D207,unit_serifs_i18n!C:F,4,FALSE)</f>
        <v>この海は冷たいよー！</v>
      </c>
    </row>
    <row r="208" spans="1:20" x14ac:dyDescent="0.15">
      <c r="A208" s="11">
        <v>173</v>
      </c>
      <c r="B208" s="9" t="str">
        <f>VLOOKUP(A208,[1]characters!$A:$C,3,FALSE)</f>
        <v>公爵 フォルネウス</v>
      </c>
      <c r="C208" s="3" t="s">
        <v>25</v>
      </c>
      <c r="D208" s="42" t="str">
        <f>A208&amp;+(COUNTIF(A$2:A208,A208)-1)</f>
        <v>1730</v>
      </c>
      <c r="E208" s="19" t="str">
        <f>VLOOKUP(D208,unit_serifs_i18n!C:E,3,FALSE)</f>
        <v>maru</v>
      </c>
      <c r="F208" s="19" t="str">
        <f>VLOOKUP(D208,unit_serifs_i18n!C:F,4,FALSE)</f>
        <v>大波ざばーんといくよー！</v>
      </c>
    </row>
    <row r="209" spans="1:6" x14ac:dyDescent="0.15">
      <c r="A209" s="39">
        <v>173</v>
      </c>
      <c r="B209" s="9" t="str">
        <f>VLOOKUP(A209,[1]characters!$A:$C,3,FALSE)</f>
        <v>公爵 フォルネウス</v>
      </c>
      <c r="C209" s="40" t="s">
        <v>26</v>
      </c>
      <c r="D209" s="42" t="str">
        <f>A209&amp;+(COUNTIF(A$2:A209,A209)-1)</f>
        <v>1731</v>
      </c>
      <c r="E209" s="19" t="str">
        <f>VLOOKUP(D209,unit_serifs_i18n!C:E,3,FALSE)</f>
        <v>maru</v>
      </c>
      <c r="F209" s="19" t="str">
        <f>VLOOKUP(D209,unit_serifs_i18n!C:F,4,FALSE)</f>
        <v>身体冷えちゃうよー！</v>
      </c>
    </row>
    <row r="210" spans="1:6" x14ac:dyDescent="0.15">
      <c r="A210" s="39">
        <v>173</v>
      </c>
      <c r="B210" s="9" t="str">
        <f>VLOOKUP(A210,[1]characters!$A:$C,3,FALSE)</f>
        <v>公爵 フォルネウス</v>
      </c>
      <c r="C210" s="40" t="s">
        <v>26</v>
      </c>
      <c r="D210" s="42" t="str">
        <f>D207</f>
        <v>1721</v>
      </c>
      <c r="E210" s="19" t="str">
        <f>VLOOKUP(D210,unit_serifs_i18n!C:E,3,FALSE)</f>
        <v>maru</v>
      </c>
      <c r="F210" s="19" t="str">
        <f>VLOOKUP(D210,unit_serifs_i18n!C:F,4,FALSE)</f>
        <v>この海は冷たいよー！</v>
      </c>
    </row>
    <row r="211" spans="1:6" x14ac:dyDescent="0.15">
      <c r="A211" s="11">
        <v>174</v>
      </c>
      <c r="B211" s="9" t="str">
        <f>VLOOKUP(A211,[1]characters!$A:$C,3,FALSE)</f>
        <v>偽愛の大公爵 フォルネウス</v>
      </c>
      <c r="C211" s="3" t="s">
        <v>25</v>
      </c>
      <c r="D211" s="42" t="str">
        <f>A211&amp;+(COUNTIF(A$32:A211,A211)-1)</f>
        <v>1740</v>
      </c>
      <c r="E211" s="19" t="str">
        <f>VLOOKUP(D211,unit_serifs_i18n!C:E,3,FALSE)</f>
        <v>giza</v>
      </c>
      <c r="F211" s="19" t="str">
        <f>VLOOKUP(D211,unit_serifs_i18n!C:F,4,FALSE)</f>
        <v>藻屑になっちゃいなさい！</v>
      </c>
    </row>
    <row r="212" spans="1:6" x14ac:dyDescent="0.15">
      <c r="A212" s="39">
        <v>174</v>
      </c>
      <c r="B212" s="9" t="str">
        <f>VLOOKUP(A212,[1]characters!$A:$C,3,FALSE)</f>
        <v>偽愛の大公爵 フォルネウス</v>
      </c>
      <c r="C212" s="40" t="s">
        <v>26</v>
      </c>
      <c r="D212" s="42" t="str">
        <f>A212&amp;+(COUNTIF(A$32:A212,A212)-1)</f>
        <v>1741</v>
      </c>
      <c r="E212" s="19" t="str">
        <f>VLOOKUP(D212,unit_serifs_i18n!C:E,3,FALSE)</f>
        <v>giza</v>
      </c>
      <c r="F212" s="19" t="str">
        <f>VLOOKUP(D212,unit_serifs_i18n!C:F,4,FALSE)</f>
        <v>生きて帰れないよー！</v>
      </c>
    </row>
    <row r="213" spans="1:6" x14ac:dyDescent="0.15">
      <c r="A213" s="39">
        <v>174</v>
      </c>
      <c r="B213" s="9" t="str">
        <f>VLOOKUP(A213,[1]characters!$A:$C,3,FALSE)</f>
        <v>偽愛の大公爵 フォルネウス</v>
      </c>
      <c r="C213" s="40" t="s">
        <v>26</v>
      </c>
      <c r="D213" s="42" t="str">
        <f>D209</f>
        <v>1731</v>
      </c>
      <c r="E213" s="19" t="str">
        <f>VLOOKUP(D213,unit_serifs_i18n!C:E,3,FALSE)</f>
        <v>maru</v>
      </c>
      <c r="F213" s="19" t="str">
        <f>VLOOKUP(D213,unit_serifs_i18n!C:F,4,FALSE)</f>
        <v>身体冷えちゃうよー！</v>
      </c>
    </row>
    <row r="214" spans="1:6" x14ac:dyDescent="0.15">
      <c r="A214" s="39">
        <v>174</v>
      </c>
      <c r="B214" s="9" t="str">
        <f>VLOOKUP(A214,[1]characters!$A:$C,3,FALSE)</f>
        <v>偽愛の大公爵 フォルネウス</v>
      </c>
      <c r="C214" s="40" t="s">
        <v>26</v>
      </c>
      <c r="D214" s="42" t="str">
        <f>D210</f>
        <v>1721</v>
      </c>
      <c r="E214" s="19" t="str">
        <f>VLOOKUP(D214,unit_serifs_i18n!C:E,3,FALSE)</f>
        <v>maru</v>
      </c>
      <c r="F214" s="19" t="str">
        <f>VLOOKUP(D214,unit_serifs_i18n!C:F,4,FALSE)</f>
        <v>この海は冷たいよー！</v>
      </c>
    </row>
    <row r="215" spans="1:6" x14ac:dyDescent="0.15">
      <c r="A215" s="11">
        <v>175</v>
      </c>
      <c r="B215" s="9" t="str">
        <f>VLOOKUP(A215,[1]characters!$A:$C,3,FALSE)</f>
        <v>バフォメット</v>
      </c>
      <c r="C215" s="3" t="s">
        <v>25</v>
      </c>
      <c r="D215" s="42" t="str">
        <f>A215&amp;+(COUNTIF(A$2:A215,A215)-1)</f>
        <v>1750</v>
      </c>
      <c r="E215" s="19" t="str">
        <f>VLOOKUP(D215,unit_serifs_i18n!C:E,3,FALSE)</f>
        <v>kumo</v>
      </c>
      <c r="F215" s="19" t="str">
        <f>VLOOKUP(D215,unit_serifs_i18n!C:F,4,FALSE)</f>
        <v>鈍いやつらめ…</v>
      </c>
    </row>
    <row r="216" spans="1:6" x14ac:dyDescent="0.15">
      <c r="A216" s="39">
        <v>175</v>
      </c>
      <c r="B216" s="9" t="str">
        <f>VLOOKUP(A216,[1]characters!$A:$C,3,FALSE)</f>
        <v>バフォメット</v>
      </c>
      <c r="C216" s="40" t="s">
        <v>26</v>
      </c>
      <c r="D216" s="42" t="str">
        <f>A216&amp;+(COUNTIF(A$2:A216,A216)-1)</f>
        <v>1751</v>
      </c>
      <c r="E216" s="19" t="str">
        <f>VLOOKUP(D216,unit_serifs_i18n!C:E,3,FALSE)</f>
        <v>kumo</v>
      </c>
      <c r="F216" s="19" t="str">
        <f>VLOOKUP(D216,unit_serifs_i18n!C:F,4,FALSE)</f>
        <v>切り刻んでやる</v>
      </c>
    </row>
    <row r="217" spans="1:6" x14ac:dyDescent="0.15">
      <c r="A217" s="11">
        <v>176</v>
      </c>
      <c r="B217" s="9" t="str">
        <f>VLOOKUP(A217,[1]characters!$A:$C,3,FALSE)</f>
        <v>異教徒 バフォメット</v>
      </c>
      <c r="C217" s="3" t="s">
        <v>25</v>
      </c>
      <c r="D217" s="42" t="str">
        <f>A217&amp;+(COUNTIF(A$2:A217,A217)-1)</f>
        <v>1760</v>
      </c>
      <c r="E217" s="19" t="str">
        <f>VLOOKUP(D217,unit_serifs_i18n!C:E,3,FALSE)</f>
        <v>maru</v>
      </c>
      <c r="F217" s="19" t="str">
        <f>VLOOKUP(D217,unit_serifs_i18n!C:F,4,FALSE)</f>
        <v>どうした？遅いぞ？</v>
      </c>
    </row>
    <row r="218" spans="1:6" x14ac:dyDescent="0.15">
      <c r="A218" s="39">
        <v>176</v>
      </c>
      <c r="B218" s="9" t="str">
        <f>VLOOKUP(A218,[1]characters!$A:$C,3,FALSE)</f>
        <v>異教徒 バフォメット</v>
      </c>
      <c r="C218" s="40" t="s">
        <v>26</v>
      </c>
      <c r="D218" s="42" t="str">
        <f>A218&amp;+(COUNTIF(A$2:A218,A218)-1)</f>
        <v>1761</v>
      </c>
      <c r="E218" s="19" t="str">
        <f>VLOOKUP(D218,unit_serifs_i18n!C:E,3,FALSE)</f>
        <v>kumo</v>
      </c>
      <c r="F218" s="19" t="str">
        <f>VLOOKUP(D218,unit_serifs_i18n!C:F,4,FALSE)</f>
        <v>こいつは痺れるぞ…！</v>
      </c>
    </row>
    <row r="219" spans="1:6" x14ac:dyDescent="0.15">
      <c r="A219" s="39">
        <v>176</v>
      </c>
      <c r="B219" s="9" t="str">
        <f>VLOOKUP(A219,[1]characters!$A:$C,3,FALSE)</f>
        <v>異教徒 バフォメット</v>
      </c>
      <c r="C219" s="40" t="s">
        <v>26</v>
      </c>
      <c r="D219" s="42" t="str">
        <f>D216</f>
        <v>1751</v>
      </c>
      <c r="E219" s="19" t="str">
        <f>VLOOKUP(D219,unit_serifs_i18n!C:E,3,FALSE)</f>
        <v>kumo</v>
      </c>
      <c r="F219" s="19" t="str">
        <f>VLOOKUP(D219,unit_serifs_i18n!C:F,4,FALSE)</f>
        <v>切り刻んでやる</v>
      </c>
    </row>
    <row r="220" spans="1:6" x14ac:dyDescent="0.15">
      <c r="A220" s="11">
        <v>177</v>
      </c>
      <c r="B220" s="9" t="str">
        <f>VLOOKUP(A220,[1]characters!$A:$C,3,FALSE)</f>
        <v>黒魔の異端師 バフォメット</v>
      </c>
      <c r="C220" s="3" t="s">
        <v>25</v>
      </c>
      <c r="D220" s="42" t="str">
        <f>A220&amp;+(COUNTIF(A$32:A220,A220)-1)</f>
        <v>1770</v>
      </c>
      <c r="E220" s="19" t="str">
        <f>VLOOKUP(D220,unit_serifs_i18n!C:E,3,FALSE)</f>
        <v>giza</v>
      </c>
      <c r="F220" s="19" t="str">
        <f>VLOOKUP(D220,unit_serifs_i18n!C:F,4,FALSE)</f>
        <v>異端の祭事は荒っぽいぞ！</v>
      </c>
    </row>
    <row r="221" spans="1:6" x14ac:dyDescent="0.15">
      <c r="A221" s="39">
        <v>177</v>
      </c>
      <c r="B221" s="9" t="str">
        <f>VLOOKUP(A221,[1]characters!$A:$C,3,FALSE)</f>
        <v>黒魔の異端師 バフォメット</v>
      </c>
      <c r="C221" s="40" t="s">
        <v>26</v>
      </c>
      <c r="D221" s="42" t="str">
        <f>A221&amp;+(COUNTIF(A$32:A221,A221)-1)</f>
        <v>1771</v>
      </c>
      <c r="E221" s="19" t="str">
        <f>VLOOKUP(D221,unit_serifs_i18n!C:E,3,FALSE)</f>
        <v>giza</v>
      </c>
      <c r="F221" s="19" t="str">
        <f>VLOOKUP(D221,unit_serifs_i18n!C:F,4,FALSE)</f>
        <v>貫け…黒き神の雷！</v>
      </c>
    </row>
    <row r="222" spans="1:6" x14ac:dyDescent="0.15">
      <c r="A222" s="39">
        <v>177</v>
      </c>
      <c r="B222" s="9" t="str">
        <f>VLOOKUP(A222,[1]characters!$A:$C,3,FALSE)</f>
        <v>黒魔の異端師 バフォメット</v>
      </c>
      <c r="C222" s="40" t="s">
        <v>26</v>
      </c>
      <c r="D222" s="42" t="str">
        <f>D218</f>
        <v>1761</v>
      </c>
      <c r="E222" s="19" t="str">
        <f>VLOOKUP(D222,unit_serifs_i18n!C:E,3,FALSE)</f>
        <v>kumo</v>
      </c>
      <c r="F222" s="19" t="str">
        <f>VLOOKUP(D222,unit_serifs_i18n!C:F,4,FALSE)</f>
        <v>こいつは痺れるぞ…！</v>
      </c>
    </row>
    <row r="223" spans="1:6" x14ac:dyDescent="0.15">
      <c r="A223" s="39">
        <v>177</v>
      </c>
      <c r="B223" s="9" t="str">
        <f>VLOOKUP(A223,[1]characters!$A:$C,3,FALSE)</f>
        <v>黒魔の異端師 バフォメット</v>
      </c>
      <c r="C223" s="40" t="s">
        <v>26</v>
      </c>
      <c r="D223" s="42" t="str">
        <f>D219</f>
        <v>1751</v>
      </c>
      <c r="E223" s="19" t="str">
        <f>VLOOKUP(D223,unit_serifs_i18n!C:E,3,FALSE)</f>
        <v>kumo</v>
      </c>
      <c r="F223" s="19" t="str">
        <f>VLOOKUP(D223,unit_serifs_i18n!C:F,4,FALSE)</f>
        <v>切り刻んでやる</v>
      </c>
    </row>
    <row r="224" spans="1:6" x14ac:dyDescent="0.15">
      <c r="A224" s="11">
        <v>178</v>
      </c>
      <c r="B224" s="9" t="str">
        <f>VLOOKUP(A224,[1]characters!$A:$C,3,FALSE)</f>
        <v>ケルベロス</v>
      </c>
      <c r="C224" s="3" t="s">
        <v>25</v>
      </c>
      <c r="D224" s="42" t="str">
        <f>A224&amp;+(COUNTIF(A$2:A224,A224)-1)</f>
        <v>1780</v>
      </c>
      <c r="E224" s="19" t="str">
        <f>VLOOKUP(D224,unit_serifs_i18n!C:E,3,FALSE)</f>
        <v>maru</v>
      </c>
      <c r="F224" s="19" t="str">
        <f>VLOOKUP(D224,unit_serifs_i18n!C:F,4,FALSE)</f>
        <v>これでいかがですかぁ？</v>
      </c>
    </row>
    <row r="225" spans="1:6" x14ac:dyDescent="0.15">
      <c r="A225" s="39">
        <v>178</v>
      </c>
      <c r="B225" s="9" t="str">
        <f>VLOOKUP(A225,[1]characters!$A:$C,3,FALSE)</f>
        <v>ケルベロス</v>
      </c>
      <c r="C225" s="40" t="s">
        <v>26</v>
      </c>
      <c r="D225" s="42" t="str">
        <f>A225&amp;+(COUNTIF(A$2:A225,A225)-1)</f>
        <v>1781</v>
      </c>
      <c r="E225" s="19" t="str">
        <f>VLOOKUP(D225,unit_serifs_i18n!C:E,3,FALSE)</f>
        <v>maru</v>
      </c>
      <c r="F225" s="19" t="str">
        <f>VLOOKUP(D225,unit_serifs_i18n!C:F,4,FALSE)</f>
        <v>えっと…爆発ですぅ！</v>
      </c>
    </row>
    <row r="226" spans="1:6" x14ac:dyDescent="0.15">
      <c r="A226" s="11">
        <v>179</v>
      </c>
      <c r="B226" s="9" t="str">
        <f>VLOOKUP(A226,[1]characters!$A:$C,3,FALSE)</f>
        <v>番犬 ケルベロス</v>
      </c>
      <c r="C226" s="3" t="s">
        <v>25</v>
      </c>
      <c r="D226" s="42" t="str">
        <f>A226&amp;+(COUNTIF(A$2:A226,A226)-1)</f>
        <v>1790</v>
      </c>
      <c r="E226" s="19" t="str">
        <f>VLOOKUP(D226,unit_serifs_i18n!C:E,3,FALSE)</f>
        <v>maru</v>
      </c>
      <c r="F226" s="19" t="str">
        <f>VLOOKUP(D226,unit_serifs_i18n!C:F,4,FALSE)</f>
        <v>元気だしてくださぁい！</v>
      </c>
    </row>
    <row r="227" spans="1:6" x14ac:dyDescent="0.15">
      <c r="A227" s="39">
        <v>179</v>
      </c>
      <c r="B227" s="9" t="str">
        <f>VLOOKUP(A227,[1]characters!$A:$C,3,FALSE)</f>
        <v>番犬 ケルベロス</v>
      </c>
      <c r="C227" s="40" t="s">
        <v>26</v>
      </c>
      <c r="D227" s="42" t="str">
        <f>A227&amp;+(COUNTIF(A$2:A227,A227)-1)</f>
        <v>1791</v>
      </c>
      <c r="E227" s="19" t="str">
        <f>VLOOKUP(D227,unit_serifs_i18n!C:E,3,FALSE)</f>
        <v>maru</v>
      </c>
      <c r="F227" s="19" t="str">
        <f>VLOOKUP(D227,unit_serifs_i18n!C:F,4,FALSE)</f>
        <v>まだまだ頑張れますぅ</v>
      </c>
    </row>
    <row r="228" spans="1:6" x14ac:dyDescent="0.15">
      <c r="A228" s="39">
        <v>179</v>
      </c>
      <c r="B228" s="9" t="str">
        <f>VLOOKUP(A228,[1]characters!$A:$C,3,FALSE)</f>
        <v>番犬 ケルベロス</v>
      </c>
      <c r="C228" s="40" t="s">
        <v>26</v>
      </c>
      <c r="D228" s="42" t="str">
        <f>D225</f>
        <v>1781</v>
      </c>
      <c r="E228" s="19" t="str">
        <f>VLOOKUP(D228,unit_serifs_i18n!C:E,3,FALSE)</f>
        <v>maru</v>
      </c>
      <c r="F228" s="19" t="str">
        <f>VLOOKUP(D228,unit_serifs_i18n!C:F,4,FALSE)</f>
        <v>えっと…爆発ですぅ！</v>
      </c>
    </row>
    <row r="229" spans="1:6" x14ac:dyDescent="0.15">
      <c r="A229" s="11">
        <v>180</v>
      </c>
      <c r="B229" s="9" t="str">
        <f>VLOOKUP(A229,[1]characters!$A:$C,3,FALSE)</f>
        <v>地獄の大門番 ケルベロス</v>
      </c>
      <c r="C229" s="3" t="s">
        <v>25</v>
      </c>
      <c r="D229" s="42" t="str">
        <f>A229&amp;+(COUNTIF(A$32:A229,A229)-1)</f>
        <v>1800</v>
      </c>
      <c r="E229" s="19" t="str">
        <f>VLOOKUP(D229,unit_serifs_i18n!C:E,3,FALSE)</f>
        <v>kumo</v>
      </c>
      <c r="F229" s="19" t="str">
        <f>VLOOKUP(D229,unit_serifs_i18n!C:F,4,FALSE)</f>
        <v>うぅ…本気でやりますぅ！</v>
      </c>
    </row>
    <row r="230" spans="1:6" x14ac:dyDescent="0.15">
      <c r="A230" s="39">
        <v>180</v>
      </c>
      <c r="B230" s="9" t="str">
        <f>VLOOKUP(A230,[1]characters!$A:$C,3,FALSE)</f>
        <v>地獄の大門番 ケルベロス</v>
      </c>
      <c r="C230" s="40" t="s">
        <v>26</v>
      </c>
      <c r="D230" s="42" t="str">
        <f>A230&amp;+(COUNTIF(A$32:A230,A230)-1)</f>
        <v>1801</v>
      </c>
      <c r="E230" s="19" t="str">
        <f>VLOOKUP(D230,unit_serifs_i18n!C:E,3,FALSE)</f>
        <v>maru</v>
      </c>
      <c r="F230" s="19" t="str">
        <f>VLOOKUP(D230,unit_serifs_i18n!C:F,4,FALSE)</f>
        <v>通っちゃ困りますぅ！</v>
      </c>
    </row>
    <row r="231" spans="1:6" x14ac:dyDescent="0.15">
      <c r="A231" s="39">
        <v>180</v>
      </c>
      <c r="B231" s="9" t="str">
        <f>VLOOKUP(A231,[1]characters!$A:$C,3,FALSE)</f>
        <v>地獄の大門番 ケルベロス</v>
      </c>
      <c r="C231" s="40" t="s">
        <v>26</v>
      </c>
      <c r="D231" s="42" t="str">
        <f>D227</f>
        <v>1791</v>
      </c>
      <c r="E231" s="19" t="str">
        <f>VLOOKUP(D231,unit_serifs_i18n!C:E,3,FALSE)</f>
        <v>maru</v>
      </c>
      <c r="F231" s="19" t="str">
        <f>VLOOKUP(D231,unit_serifs_i18n!C:F,4,FALSE)</f>
        <v>まだまだ頑張れますぅ</v>
      </c>
    </row>
    <row r="232" spans="1:6" x14ac:dyDescent="0.15">
      <c r="A232" s="39">
        <v>180</v>
      </c>
      <c r="B232" s="9" t="str">
        <f>VLOOKUP(A232,[1]characters!$A:$C,3,FALSE)</f>
        <v>地獄の大門番 ケルベロス</v>
      </c>
      <c r="C232" s="40" t="s">
        <v>26</v>
      </c>
      <c r="D232" s="42" t="str">
        <f>D228</f>
        <v>1781</v>
      </c>
      <c r="E232" s="19" t="str">
        <f>VLOOKUP(D232,unit_serifs_i18n!C:E,3,FALSE)</f>
        <v>maru</v>
      </c>
      <c r="F232" s="19" t="str">
        <f>VLOOKUP(D232,unit_serifs_i18n!C:F,4,FALSE)</f>
        <v>えっと…爆発ですぅ！</v>
      </c>
    </row>
    <row r="233" spans="1:6" x14ac:dyDescent="0.15">
      <c r="A233" s="11">
        <v>181</v>
      </c>
      <c r="B233" s="9" t="str">
        <f>VLOOKUP(A233,[1]characters!$A:$C,3,FALSE)</f>
        <v>ベヒモス</v>
      </c>
      <c r="C233" s="3" t="s">
        <v>25</v>
      </c>
      <c r="D233" s="42" t="str">
        <f>A233&amp;+(COUNTIF(A$2:A233,A233)-1)</f>
        <v>1810</v>
      </c>
      <c r="E233" s="19" t="str">
        <f>VLOOKUP(D233,unit_serifs_i18n!C:E,3,FALSE)</f>
        <v>maru</v>
      </c>
      <c r="F233" s="19" t="str">
        <f>VLOOKUP(D233,unit_serifs_i18n!C:F,4,FALSE)</f>
        <v>ほらかかっておいでよー！</v>
      </c>
    </row>
    <row r="234" spans="1:6" x14ac:dyDescent="0.15">
      <c r="A234" s="39">
        <v>181</v>
      </c>
      <c r="B234" s="9" t="str">
        <f>VLOOKUP(A234,[1]characters!$A:$C,3,FALSE)</f>
        <v>ベヒモス</v>
      </c>
      <c r="C234" s="40" t="s">
        <v>26</v>
      </c>
      <c r="D234" s="42" t="str">
        <f>A234&amp;+(COUNTIF(A$2:A234,A234)-1)</f>
        <v>1811</v>
      </c>
      <c r="E234" s="19" t="str">
        <f>VLOOKUP(D234,unit_serifs_i18n!C:E,3,FALSE)</f>
        <v>giza</v>
      </c>
      <c r="F234" s="19" t="str">
        <f>VLOOKUP(D234,unit_serifs_i18n!C:F,4,FALSE)</f>
        <v>それ突進ー！</v>
      </c>
    </row>
    <row r="235" spans="1:6" x14ac:dyDescent="0.15">
      <c r="A235" s="11">
        <v>182</v>
      </c>
      <c r="B235" s="9" t="str">
        <f>VLOOKUP(A235,[1]characters!$A:$C,3,FALSE)</f>
        <v>放蕩者 ベヒモス</v>
      </c>
      <c r="C235" s="3" t="s">
        <v>25</v>
      </c>
      <c r="D235" s="42" t="str">
        <f>A235&amp;+(COUNTIF(A$2:A235,A235)-1)</f>
        <v>1820</v>
      </c>
      <c r="E235" s="19" t="str">
        <f>VLOOKUP(D235,unit_serifs_i18n!C:E,3,FALSE)</f>
        <v>maru</v>
      </c>
      <c r="F235" s="19" t="str">
        <f>VLOOKUP(D235,unit_serifs_i18n!C:F,4,FALSE)</f>
        <v>がっちり守るもん！</v>
      </c>
    </row>
    <row r="236" spans="1:6" x14ac:dyDescent="0.15">
      <c r="A236" s="39">
        <v>182</v>
      </c>
      <c r="B236" s="9" t="str">
        <f>VLOOKUP(A236,[1]characters!$A:$C,3,FALSE)</f>
        <v>放蕩者 ベヒモス</v>
      </c>
      <c r="C236" s="40" t="s">
        <v>26</v>
      </c>
      <c r="D236" s="42" t="str">
        <f>A236&amp;+(COUNTIF(A$2:A236,A236)-1)</f>
        <v>1821</v>
      </c>
      <c r="E236" s="19" t="str">
        <f>VLOOKUP(D236,unit_serifs_i18n!C:E,3,FALSE)</f>
        <v>giza</v>
      </c>
      <c r="F236" s="19" t="str">
        <f>VLOOKUP(D236,unit_serifs_i18n!C:F,4,FALSE)</f>
        <v>よいしょ！突撃ー！</v>
      </c>
    </row>
    <row r="237" spans="1:6" x14ac:dyDescent="0.15">
      <c r="A237" s="39">
        <v>182</v>
      </c>
      <c r="B237" s="9" t="str">
        <f>VLOOKUP(A237,[1]characters!$A:$C,3,FALSE)</f>
        <v>放蕩者 ベヒモス</v>
      </c>
      <c r="C237" s="40" t="s">
        <v>26</v>
      </c>
      <c r="D237" s="42" t="str">
        <f>D234</f>
        <v>1811</v>
      </c>
      <c r="E237" s="19" t="str">
        <f>VLOOKUP(D237,unit_serifs_i18n!C:E,3,FALSE)</f>
        <v>giza</v>
      </c>
      <c r="F237" s="19" t="str">
        <f>VLOOKUP(D237,unit_serifs_i18n!C:F,4,FALSE)</f>
        <v>それ突進ー！</v>
      </c>
    </row>
    <row r="238" spans="1:6" x14ac:dyDescent="0.15">
      <c r="A238" s="11">
        <v>183</v>
      </c>
      <c r="B238" s="9" t="str">
        <f>VLOOKUP(A238,[1]characters!$A:$C,3,FALSE)</f>
        <v>鈍重な彷徨者 ベヒモス</v>
      </c>
      <c r="C238" s="3" t="s">
        <v>25</v>
      </c>
      <c r="D238" s="42" t="str">
        <f>A238&amp;+(COUNTIF(A$32:A238,A238)-1)</f>
        <v>1830</v>
      </c>
      <c r="E238" s="19" t="str">
        <f>VLOOKUP(D238,unit_serifs_i18n!C:E,3,FALSE)</f>
        <v>maru</v>
      </c>
      <c r="F238" s="19" t="str">
        <f>VLOOKUP(D238,unit_serifs_i18n!C:F,4,FALSE)</f>
        <v>痛くも痒くもないもーん！</v>
      </c>
    </row>
    <row r="239" spans="1:6" x14ac:dyDescent="0.15">
      <c r="A239" s="39">
        <v>183</v>
      </c>
      <c r="B239" s="9" t="str">
        <f>VLOOKUP(A239,[1]characters!$A:$C,3,FALSE)</f>
        <v>鈍重な彷徨者 ベヒモス</v>
      </c>
      <c r="C239" s="40" t="s">
        <v>26</v>
      </c>
      <c r="D239" s="42" t="str">
        <f>A239&amp;+(COUNTIF(A$32:A239,A239)-1)</f>
        <v>1831</v>
      </c>
      <c r="E239" s="19" t="str">
        <f>VLOOKUP(D239,unit_serifs_i18n!C:E,3,FALSE)</f>
        <v>giza</v>
      </c>
      <c r="F239" s="19" t="str">
        <f>VLOOKUP(D239,unit_serifs_i18n!C:F,4,FALSE)</f>
        <v>貫通させるよー！</v>
      </c>
    </row>
    <row r="240" spans="1:6" x14ac:dyDescent="0.15">
      <c r="A240" s="39">
        <v>183</v>
      </c>
      <c r="B240" s="9" t="str">
        <f>VLOOKUP(A240,[1]characters!$A:$C,3,FALSE)</f>
        <v>鈍重な彷徨者 ベヒモス</v>
      </c>
      <c r="C240" s="40" t="s">
        <v>26</v>
      </c>
      <c r="D240" s="42" t="str">
        <f>D236</f>
        <v>1821</v>
      </c>
      <c r="E240" s="19" t="str">
        <f>VLOOKUP(D240,unit_serifs_i18n!C:E,3,FALSE)</f>
        <v>giza</v>
      </c>
      <c r="F240" s="19" t="str">
        <f>VLOOKUP(D240,unit_serifs_i18n!C:F,4,FALSE)</f>
        <v>よいしょ！突撃ー！</v>
      </c>
    </row>
    <row r="241" spans="1:6" x14ac:dyDescent="0.15">
      <c r="A241" s="39">
        <v>183</v>
      </c>
      <c r="B241" s="9" t="str">
        <f>VLOOKUP(A241,[1]characters!$A:$C,3,FALSE)</f>
        <v>鈍重な彷徨者 ベヒモス</v>
      </c>
      <c r="C241" s="40" t="s">
        <v>26</v>
      </c>
      <c r="D241" s="42" t="str">
        <f>D237</f>
        <v>1811</v>
      </c>
      <c r="E241" s="19" t="str">
        <f>VLOOKUP(D241,unit_serifs_i18n!C:E,3,FALSE)</f>
        <v>giza</v>
      </c>
      <c r="F241" s="19" t="str">
        <f>VLOOKUP(D241,unit_serifs_i18n!C:F,4,FALSE)</f>
        <v>それ突進ー！</v>
      </c>
    </row>
    <row r="242" spans="1:6" x14ac:dyDescent="0.15">
      <c r="A242" s="11">
        <v>184</v>
      </c>
      <c r="B242" s="9" t="str">
        <f>VLOOKUP(A242,[1]characters!$A:$C,3,FALSE)</f>
        <v>クラーケン</v>
      </c>
      <c r="C242" s="3" t="s">
        <v>25</v>
      </c>
      <c r="D242" s="42" t="str">
        <f>A242&amp;+(COUNTIF(A$2:A242,A242)-1)</f>
        <v>1840</v>
      </c>
      <c r="E242" s="19" t="str">
        <f>VLOOKUP(D242,unit_serifs_i18n!C:E,3,FALSE)</f>
        <v>maru</v>
      </c>
      <c r="F242" s="19" t="str">
        <f>VLOOKUP(D242,unit_serifs_i18n!C:F,4,FALSE)</f>
        <v>これが海の慈しみですわ</v>
      </c>
    </row>
    <row r="243" spans="1:6" x14ac:dyDescent="0.15">
      <c r="A243" s="39">
        <v>184</v>
      </c>
      <c r="B243" s="9" t="str">
        <f>VLOOKUP(A243,[1]characters!$A:$C,3,FALSE)</f>
        <v>クラーケン</v>
      </c>
      <c r="C243" s="40" t="s">
        <v>26</v>
      </c>
      <c r="D243" s="42" t="str">
        <f>A243&amp;+(COUNTIF(A$2:A243,A243)-1)</f>
        <v>1841</v>
      </c>
      <c r="E243" s="19" t="str">
        <f>VLOOKUP(D243,unit_serifs_i18n!C:E,3,FALSE)</f>
        <v>kumo</v>
      </c>
      <c r="F243" s="19" t="str">
        <f>VLOOKUP(D243,unit_serifs_i18n!C:F,4,FALSE)</f>
        <v>波にご注意を…</v>
      </c>
    </row>
    <row r="244" spans="1:6" x14ac:dyDescent="0.15">
      <c r="A244" s="11">
        <v>185</v>
      </c>
      <c r="B244" s="9" t="str">
        <f>VLOOKUP(A244,[1]characters!$A:$C,3,FALSE)</f>
        <v>海姫 クラーケン</v>
      </c>
      <c r="C244" s="3" t="s">
        <v>25</v>
      </c>
      <c r="D244" s="42" t="str">
        <f>A244&amp;+(COUNTIF(A$2:A244,A244)-1)</f>
        <v>1850</v>
      </c>
      <c r="E244" s="19" t="str">
        <f>VLOOKUP(D244,unit_serifs_i18n!C:E,3,FALSE)</f>
        <v>kumo</v>
      </c>
      <c r="F244" s="19" t="str">
        <f>VLOOKUP(D244,unit_serifs_i18n!C:F,4,FALSE)</f>
        <v>海は生命の揺りかご…！</v>
      </c>
    </row>
    <row r="245" spans="1:6" x14ac:dyDescent="0.15">
      <c r="A245" s="39">
        <v>185</v>
      </c>
      <c r="B245" s="9" t="str">
        <f>VLOOKUP(A245,[1]characters!$A:$C,3,FALSE)</f>
        <v>海姫 クラーケン</v>
      </c>
      <c r="C245" s="40" t="s">
        <v>26</v>
      </c>
      <c r="D245" s="42" t="str">
        <f>A245&amp;+(COUNTIF(A$2:A245,A245)-1)</f>
        <v>1851</v>
      </c>
      <c r="E245" s="19" t="str">
        <f>VLOOKUP(D245,unit_serifs_i18n!C:E,3,FALSE)</f>
        <v>maru</v>
      </c>
      <c r="F245" s="19" t="str">
        <f>VLOOKUP(D245,unit_serifs_i18n!C:F,4,FALSE)</f>
        <v>私の脚に抱かれなさい</v>
      </c>
    </row>
    <row r="246" spans="1:6" x14ac:dyDescent="0.15">
      <c r="A246" s="39">
        <v>185</v>
      </c>
      <c r="B246" s="9" t="str">
        <f>VLOOKUP(A246,[1]characters!$A:$C,3,FALSE)</f>
        <v>海姫 クラーケン</v>
      </c>
      <c r="C246" s="40" t="s">
        <v>26</v>
      </c>
      <c r="D246" s="42" t="str">
        <f>D243</f>
        <v>1841</v>
      </c>
      <c r="E246" s="19" t="str">
        <f>VLOOKUP(D246,unit_serifs_i18n!C:E,3,FALSE)</f>
        <v>kumo</v>
      </c>
      <c r="F246" s="19" t="str">
        <f>VLOOKUP(D246,unit_serifs_i18n!C:F,4,FALSE)</f>
        <v>波にご注意を…</v>
      </c>
    </row>
    <row r="247" spans="1:6" x14ac:dyDescent="0.15">
      <c r="A247" s="11">
        <v>186</v>
      </c>
      <c r="B247" s="9" t="str">
        <f>VLOOKUP(A247,[1]characters!$A:$C,3,FALSE)</f>
        <v>誇り高き多触姫・クラーケン</v>
      </c>
      <c r="C247" s="3" t="s">
        <v>25</v>
      </c>
      <c r="D247" s="42" t="str">
        <f>A247&amp;+(COUNTIF(A$32:A247,A247)-1)</f>
        <v>1860</v>
      </c>
      <c r="E247" s="19" t="str">
        <f>VLOOKUP(D247,unit_serifs_i18n!C:E,3,FALSE)</f>
        <v>maru</v>
      </c>
      <c r="F247" s="19" t="str">
        <f>VLOOKUP(D247,unit_serifs_i18n!C:F,4,FALSE)</f>
        <v>私の全生命力、託しますわ</v>
      </c>
    </row>
    <row r="248" spans="1:6" x14ac:dyDescent="0.15">
      <c r="A248" s="39">
        <v>186</v>
      </c>
      <c r="B248" s="9" t="str">
        <f>VLOOKUP(A248,[1]characters!$A:$C,3,FALSE)</f>
        <v>誇り高き多触姫・クラーケン</v>
      </c>
      <c r="C248" s="40" t="s">
        <v>26</v>
      </c>
      <c r="D248" s="42" t="str">
        <f>A248&amp;+(COUNTIF(A$32:A248,A248)-1)</f>
        <v>1861</v>
      </c>
      <c r="E248" s="19" t="str">
        <f>VLOOKUP(D248,unit_serifs_i18n!C:E,3,FALSE)</f>
        <v>giza</v>
      </c>
      <c r="F248" s="19" t="str">
        <f>VLOOKUP(D248,unit_serifs_i18n!C:F,4,FALSE)</f>
        <v>呑み込みますわ…！</v>
      </c>
    </row>
    <row r="249" spans="1:6" x14ac:dyDescent="0.15">
      <c r="A249" s="39">
        <v>186</v>
      </c>
      <c r="B249" s="9" t="str">
        <f>VLOOKUP(A249,[1]characters!$A:$C,3,FALSE)</f>
        <v>誇り高き多触姫・クラーケン</v>
      </c>
      <c r="C249" s="40" t="s">
        <v>26</v>
      </c>
      <c r="D249" s="42" t="str">
        <f>D245</f>
        <v>1851</v>
      </c>
      <c r="E249" s="19" t="str">
        <f>VLOOKUP(D249,unit_serifs_i18n!C:E,3,FALSE)</f>
        <v>maru</v>
      </c>
      <c r="F249" s="19" t="str">
        <f>VLOOKUP(D249,unit_serifs_i18n!C:F,4,FALSE)</f>
        <v>私の脚に抱かれなさい</v>
      </c>
    </row>
    <row r="250" spans="1:6" x14ac:dyDescent="0.15">
      <c r="A250" s="39">
        <v>186</v>
      </c>
      <c r="B250" s="9" t="str">
        <f>VLOOKUP(A250,[1]characters!$A:$C,3,FALSE)</f>
        <v>誇り高き多触姫・クラーケン</v>
      </c>
      <c r="C250" s="40" t="s">
        <v>26</v>
      </c>
      <c r="D250" s="42" t="str">
        <f>D246</f>
        <v>1841</v>
      </c>
      <c r="E250" s="19" t="str">
        <f>VLOOKUP(D250,unit_serifs_i18n!C:E,3,FALSE)</f>
        <v>kumo</v>
      </c>
      <c r="F250" s="19" t="str">
        <f>VLOOKUP(D250,unit_serifs_i18n!C:F,4,FALSE)</f>
        <v>波にご注意を…</v>
      </c>
    </row>
    <row r="251" spans="1:6" x14ac:dyDescent="0.15">
      <c r="A251" s="11">
        <v>187</v>
      </c>
      <c r="B251" s="9" t="str">
        <f>VLOOKUP(A251,[1]characters!$A:$C,3,FALSE)</f>
        <v>ホルス</v>
      </c>
      <c r="C251" s="3" t="s">
        <v>25</v>
      </c>
      <c r="D251" s="42" t="str">
        <f>A251&amp;+(COUNTIF(A$2:A251,A251)-1)</f>
        <v>1870</v>
      </c>
      <c r="E251" s="19" t="str">
        <f>VLOOKUP(D251,unit_serifs_i18n!C:E,3,FALSE)</f>
        <v>giza</v>
      </c>
      <c r="F251" s="19" t="str">
        <f>VLOOKUP(D251,unit_serifs_i18n!C:F,4,FALSE)</f>
        <v>総員突撃！これは命令よ！</v>
      </c>
    </row>
    <row r="252" spans="1:6" x14ac:dyDescent="0.15">
      <c r="A252" s="39">
        <v>187</v>
      </c>
      <c r="B252" s="9" t="str">
        <f>VLOOKUP(A252,[1]characters!$A:$C,3,FALSE)</f>
        <v>ホルス</v>
      </c>
      <c r="C252" s="40" t="s">
        <v>26</v>
      </c>
      <c r="D252" s="42" t="str">
        <f>A252&amp;+(COUNTIF(A$2:A252,A252)-1)</f>
        <v>1871</v>
      </c>
      <c r="E252" s="19" t="str">
        <f>VLOOKUP(D252,unit_serifs_i18n!C:E,3,FALSE)</f>
        <v>maru</v>
      </c>
      <c r="F252" s="19" t="str">
        <f>VLOOKUP(D252,unit_serifs_i18n!C:F,4,FALSE)</f>
        <v>もう勝ったつもり！？</v>
      </c>
    </row>
    <row r="253" spans="1:6" x14ac:dyDescent="0.15">
      <c r="A253" s="11">
        <v>188</v>
      </c>
      <c r="B253" s="9" t="str">
        <f>VLOOKUP(A253,[1]characters!$A:$C,3,FALSE)</f>
        <v>猛禽 ホルス</v>
      </c>
      <c r="C253" s="3" t="s">
        <v>25</v>
      </c>
      <c r="D253" s="42" t="str">
        <f>A253&amp;+(COUNTIF(A$2:A253,A253)-1)</f>
        <v>1880</v>
      </c>
      <c r="E253" s="19" t="str">
        <f>VLOOKUP(D253,unit_serifs_i18n!C:E,3,FALSE)</f>
        <v>giza</v>
      </c>
      <c r="F253" s="19" t="str">
        <f>VLOOKUP(D253,unit_serifs_i18n!C:F,4,FALSE)</f>
        <v>もう！手こずりすぎだわ！</v>
      </c>
    </row>
    <row r="254" spans="1:6" x14ac:dyDescent="0.15">
      <c r="A254" s="39">
        <v>188</v>
      </c>
      <c r="B254" s="9" t="str">
        <f>VLOOKUP(A254,[1]characters!$A:$C,3,FALSE)</f>
        <v>猛禽 ホルス</v>
      </c>
      <c r="C254" s="40" t="s">
        <v>26</v>
      </c>
      <c r="D254" s="42" t="str">
        <f>A254&amp;+(COUNTIF(A$2:A254,A254)-1)</f>
        <v>1881</v>
      </c>
      <c r="E254" s="19" t="str">
        <f>VLOOKUP(D254,unit_serifs_i18n!C:E,3,FALSE)</f>
        <v>maru</v>
      </c>
      <c r="F254" s="19" t="str">
        <f>VLOOKUP(D254,unit_serifs_i18n!C:F,4,FALSE)</f>
        <v>切り札はまだあるわ！</v>
      </c>
    </row>
    <row r="255" spans="1:6" x14ac:dyDescent="0.15">
      <c r="A255" s="39">
        <v>188</v>
      </c>
      <c r="B255" s="9" t="str">
        <f>VLOOKUP(A255,[1]characters!$A:$C,3,FALSE)</f>
        <v>猛禽 ホルス</v>
      </c>
      <c r="C255" s="40" t="s">
        <v>26</v>
      </c>
      <c r="D255" s="42" t="str">
        <f>D252</f>
        <v>1871</v>
      </c>
      <c r="E255" s="19" t="str">
        <f>VLOOKUP(D255,unit_serifs_i18n!C:E,3,FALSE)</f>
        <v>maru</v>
      </c>
      <c r="F255" s="19" t="str">
        <f>VLOOKUP(D255,unit_serifs_i18n!C:F,4,FALSE)</f>
        <v>もう勝ったつもり！？</v>
      </c>
    </row>
    <row r="256" spans="1:6" x14ac:dyDescent="0.15">
      <c r="A256" s="11">
        <v>189</v>
      </c>
      <c r="B256" s="9" t="str">
        <f>VLOOKUP(A256,[1]characters!$A:$C,3,FALSE)</f>
        <v>迅雷の王禽 ホルス</v>
      </c>
      <c r="C256" s="3" t="s">
        <v>25</v>
      </c>
      <c r="D256" s="42" t="str">
        <f>A256&amp;+(COUNTIF(A$32:A256,A256)-1)</f>
        <v>1890</v>
      </c>
      <c r="E256" s="19" t="str">
        <f>VLOOKUP(D256,unit_serifs_i18n!C:E,3,FALSE)</f>
        <v>giza</v>
      </c>
      <c r="F256" s="19" t="str">
        <f>VLOOKUP(D256,unit_serifs_i18n!C:F,4,FALSE)</f>
        <v>一気にカタをつけるわよ！</v>
      </c>
    </row>
    <row r="257" spans="1:6" x14ac:dyDescent="0.15">
      <c r="A257" s="39">
        <v>189</v>
      </c>
      <c r="B257" s="9" t="str">
        <f>VLOOKUP(A257,[1]characters!$A:$C,3,FALSE)</f>
        <v>迅雷の王禽 ホルス</v>
      </c>
      <c r="C257" s="40" t="s">
        <v>26</v>
      </c>
      <c r="D257" s="42" t="str">
        <f>A257&amp;+(COUNTIF(A$32:A257,A257)-1)</f>
        <v>1891</v>
      </c>
      <c r="E257" s="19" t="str">
        <f>VLOOKUP(D257,unit_serifs_i18n!C:E,3,FALSE)</f>
        <v>giza</v>
      </c>
      <c r="F257" s="19" t="str">
        <f>VLOOKUP(D257,unit_serifs_i18n!C:F,4,FALSE)</f>
        <v>どこ見てるの？上よ！</v>
      </c>
    </row>
    <row r="258" spans="1:6" x14ac:dyDescent="0.15">
      <c r="A258" s="39">
        <v>189</v>
      </c>
      <c r="B258" s="9" t="str">
        <f>VLOOKUP(A258,[1]characters!$A:$C,3,FALSE)</f>
        <v>迅雷の王禽 ホルス</v>
      </c>
      <c r="C258" s="40" t="s">
        <v>26</v>
      </c>
      <c r="D258" s="42" t="str">
        <f>D254</f>
        <v>1881</v>
      </c>
      <c r="E258" s="19" t="str">
        <f>VLOOKUP(D258,unit_serifs_i18n!C:E,3,FALSE)</f>
        <v>maru</v>
      </c>
      <c r="F258" s="19" t="str">
        <f>VLOOKUP(D258,unit_serifs_i18n!C:F,4,FALSE)</f>
        <v>切り札はまだあるわ！</v>
      </c>
    </row>
    <row r="259" spans="1:6" x14ac:dyDescent="0.15">
      <c r="A259" s="39">
        <v>189</v>
      </c>
      <c r="B259" s="9" t="str">
        <f>VLOOKUP(A259,[1]characters!$A:$C,3,FALSE)</f>
        <v>迅雷の王禽 ホルス</v>
      </c>
      <c r="C259" s="40" t="s">
        <v>26</v>
      </c>
      <c r="D259" s="42" t="str">
        <f>D255</f>
        <v>1871</v>
      </c>
      <c r="E259" s="19" t="str">
        <f>VLOOKUP(D259,unit_serifs_i18n!C:E,3,FALSE)</f>
        <v>maru</v>
      </c>
      <c r="F259" s="19" t="str">
        <f>VLOOKUP(D259,unit_serifs_i18n!C:F,4,FALSE)</f>
        <v>もう勝ったつもり！？</v>
      </c>
    </row>
    <row r="260" spans="1:6" x14ac:dyDescent="0.15">
      <c r="A260" s="11">
        <v>190</v>
      </c>
      <c r="B260" s="9" t="str">
        <f>VLOOKUP(A260,[1]characters!$A:$C,3,FALSE)</f>
        <v>卑弥呼</v>
      </c>
      <c r="C260" s="3" t="s">
        <v>25</v>
      </c>
      <c r="D260" s="42" t="str">
        <f>A260&amp;+(COUNTIF(A$2:A260,A260)-1)</f>
        <v>1900</v>
      </c>
      <c r="E260" s="19" t="str">
        <f>VLOOKUP(D260,unit_serifs_i18n!C:E,3,FALSE)</f>
        <v>maru</v>
      </c>
      <c r="F260" s="19" t="str">
        <f>VLOOKUP(D260,unit_serifs_i18n!C:F,4,FALSE)</f>
        <v>裏ワザ、見せてあげる</v>
      </c>
    </row>
    <row r="261" spans="1:6" x14ac:dyDescent="0.15">
      <c r="A261" s="39">
        <v>190</v>
      </c>
      <c r="B261" s="9" t="str">
        <f>VLOOKUP(A261,[1]characters!$A:$C,3,FALSE)</f>
        <v>卑弥呼</v>
      </c>
      <c r="C261" s="40" t="s">
        <v>26</v>
      </c>
      <c r="D261" s="42" t="str">
        <f>A261&amp;+(COUNTIF(A$2:A261,A261)-1)</f>
        <v>1901</v>
      </c>
      <c r="E261" s="19" t="str">
        <f>VLOOKUP(D261,unit_serifs_i18n!C:E,3,FALSE)</f>
        <v>maru</v>
      </c>
      <c r="F261" s="19" t="str">
        <f>VLOOKUP(D261,unit_serifs_i18n!C:F,4,FALSE)</f>
        <v>力が有り余ってるのよ</v>
      </c>
    </row>
    <row r="262" spans="1:6" x14ac:dyDescent="0.15">
      <c r="A262" s="11">
        <v>191</v>
      </c>
      <c r="B262" s="9" t="str">
        <f>VLOOKUP(A262,[1]characters!$A:$C,3,FALSE)</f>
        <v>始祖 卑弥呼</v>
      </c>
      <c r="C262" s="3" t="s">
        <v>25</v>
      </c>
      <c r="D262" s="42" t="str">
        <f>A262&amp;+(COUNTIF(A$2:A262,A262)-1)</f>
        <v>1910</v>
      </c>
      <c r="E262" s="19" t="str">
        <f>VLOOKUP(D262,unit_serifs_i18n!C:E,3,FALSE)</f>
        <v>maru</v>
      </c>
      <c r="F262" s="19" t="str">
        <f>VLOOKUP(D262,unit_serifs_i18n!C:F,4,FALSE)</f>
        <v>禁じ手？聞いたことないわ</v>
      </c>
    </row>
    <row r="263" spans="1:6" x14ac:dyDescent="0.15">
      <c r="A263" s="39">
        <v>191</v>
      </c>
      <c r="B263" s="9" t="str">
        <f>VLOOKUP(A263,[1]characters!$A:$C,3,FALSE)</f>
        <v>始祖 卑弥呼</v>
      </c>
      <c r="C263" s="40" t="s">
        <v>26</v>
      </c>
      <c r="D263" s="42" t="str">
        <f>A263&amp;+(COUNTIF(A$2:A263,A263)-1)</f>
        <v>1911</v>
      </c>
      <c r="E263" s="19" t="str">
        <f>VLOOKUP(D263,unit_serifs_i18n!C:E,3,FALSE)</f>
        <v>kumo</v>
      </c>
      <c r="F263" s="19" t="str">
        <f>VLOOKUP(D263,unit_serifs_i18n!C:F,4,FALSE)</f>
        <v>遊び相手に丁度いいわ</v>
      </c>
    </row>
    <row r="264" spans="1:6" x14ac:dyDescent="0.15">
      <c r="A264" s="39">
        <v>191</v>
      </c>
      <c r="B264" s="9" t="str">
        <f>VLOOKUP(A264,[1]characters!$A:$C,3,FALSE)</f>
        <v>始祖 卑弥呼</v>
      </c>
      <c r="C264" s="40" t="s">
        <v>26</v>
      </c>
      <c r="D264" s="42" t="str">
        <f>D261</f>
        <v>1901</v>
      </c>
      <c r="E264" s="19" t="str">
        <f>VLOOKUP(D264,unit_serifs_i18n!C:E,3,FALSE)</f>
        <v>maru</v>
      </c>
      <c r="F264" s="19" t="str">
        <f>VLOOKUP(D264,unit_serifs_i18n!C:F,4,FALSE)</f>
        <v>力が有り余ってるのよ</v>
      </c>
    </row>
    <row r="265" spans="1:6" x14ac:dyDescent="0.15">
      <c r="A265" s="11">
        <v>192</v>
      </c>
      <c r="B265" s="9" t="str">
        <f>VLOOKUP(A265,[1]characters!$A:$C,3,FALSE)</f>
        <v>荘厳なる始祖帝 卑弥呼</v>
      </c>
      <c r="C265" s="3" t="s">
        <v>25</v>
      </c>
      <c r="D265" s="42" t="str">
        <f>A265&amp;+(COUNTIF(A$32:A265,A265)-1)</f>
        <v>1920</v>
      </c>
      <c r="E265" s="19" t="str">
        <f>VLOOKUP(D265,unit_serifs_i18n!C:E,3,FALSE)</f>
        <v>maru</v>
      </c>
      <c r="F265" s="19" t="str">
        <f>VLOOKUP(D265,unit_serifs_i18n!C:F,4,FALSE)</f>
        <v>近づけるものならどうぞ</v>
      </c>
    </row>
    <row r="266" spans="1:6" x14ac:dyDescent="0.15">
      <c r="A266" s="39">
        <v>192</v>
      </c>
      <c r="B266" s="9" t="str">
        <f>VLOOKUP(A266,[1]characters!$A:$C,3,FALSE)</f>
        <v>荘厳なる始祖帝 卑弥呼</v>
      </c>
      <c r="C266" s="40" t="s">
        <v>26</v>
      </c>
      <c r="D266" s="42" t="str">
        <f>A266&amp;+(COUNTIF(A$32:A266,A266)-1)</f>
        <v>1921</v>
      </c>
      <c r="E266" s="19" t="str">
        <f>VLOOKUP(D266,unit_serifs_i18n!C:E,3,FALSE)</f>
        <v>maru</v>
      </c>
      <c r="F266" s="19" t="str">
        <f>VLOOKUP(D266,unit_serifs_i18n!C:F,4,FALSE)</f>
        <v>震えてる？もう遅いわ</v>
      </c>
    </row>
    <row r="267" spans="1:6" x14ac:dyDescent="0.15">
      <c r="A267" s="39">
        <v>192</v>
      </c>
      <c r="B267" s="9" t="str">
        <f>VLOOKUP(A267,[1]characters!$A:$C,3,FALSE)</f>
        <v>荘厳なる始祖帝 卑弥呼</v>
      </c>
      <c r="C267" s="40" t="s">
        <v>26</v>
      </c>
      <c r="D267" s="42" t="str">
        <f>D263</f>
        <v>1911</v>
      </c>
      <c r="E267" s="19" t="str">
        <f>VLOOKUP(D267,unit_serifs_i18n!C:E,3,FALSE)</f>
        <v>kumo</v>
      </c>
      <c r="F267" s="19" t="str">
        <f>VLOOKUP(D267,unit_serifs_i18n!C:F,4,FALSE)</f>
        <v>遊び相手に丁度いいわ</v>
      </c>
    </row>
    <row r="268" spans="1:6" x14ac:dyDescent="0.15">
      <c r="A268" s="39">
        <v>192</v>
      </c>
      <c r="B268" s="9" t="str">
        <f>VLOOKUP(A268,[1]characters!$A:$C,3,FALSE)</f>
        <v>荘厳なる始祖帝 卑弥呼</v>
      </c>
      <c r="C268" s="40" t="s">
        <v>26</v>
      </c>
      <c r="D268" s="42" t="str">
        <f>D264</f>
        <v>1901</v>
      </c>
      <c r="E268" s="19" t="str">
        <f>VLOOKUP(D268,unit_serifs_i18n!C:E,3,FALSE)</f>
        <v>maru</v>
      </c>
      <c r="F268" s="19" t="str">
        <f>VLOOKUP(D268,unit_serifs_i18n!C:F,4,FALSE)</f>
        <v>力が有り余ってるのよ</v>
      </c>
    </row>
    <row r="269" spans="1:6" x14ac:dyDescent="0.15">
      <c r="A269" s="11">
        <v>193</v>
      </c>
      <c r="B269" s="9" t="str">
        <f>VLOOKUP(A269,[1]characters!$A:$C,3,FALSE)</f>
        <v>ロビンフッド</v>
      </c>
      <c r="C269" s="3" t="s">
        <v>25</v>
      </c>
      <c r="D269" s="42" t="str">
        <f>A269&amp;+(COUNTIF(A$2:A269,A269)-1)</f>
        <v>1930</v>
      </c>
      <c r="E269" s="19" t="str">
        <f>VLOOKUP(D269,unit_serifs_i18n!C:E,3,FALSE)</f>
        <v>maru</v>
      </c>
      <c r="F269" s="19" t="str">
        <f>VLOOKUP(D269,unit_serifs_i18n!C:F,4,FALSE)</f>
        <v>ボクが援護するよ！</v>
      </c>
    </row>
    <row r="270" spans="1:6" x14ac:dyDescent="0.15">
      <c r="A270" s="39">
        <v>193</v>
      </c>
      <c r="B270" s="9" t="str">
        <f>VLOOKUP(A270,[1]characters!$A:$C,3,FALSE)</f>
        <v>ロビンフッド</v>
      </c>
      <c r="C270" s="40" t="s">
        <v>26</v>
      </c>
      <c r="D270" s="42" t="str">
        <f>A270&amp;+(COUNTIF(A$2:A270,A270)-1)</f>
        <v>1931</v>
      </c>
      <c r="E270" s="19" t="str">
        <f>VLOOKUP(D270,unit_serifs_i18n!C:E,3,FALSE)</f>
        <v>maru</v>
      </c>
      <c r="F270" s="19" t="str">
        <f>VLOOKUP(D270,unit_serifs_i18n!C:F,4,FALSE)</f>
        <v>狙撃ならまかせて！</v>
      </c>
    </row>
    <row r="271" spans="1:6" x14ac:dyDescent="0.15">
      <c r="A271" s="11">
        <v>194</v>
      </c>
      <c r="B271" s="9" t="str">
        <f>VLOOKUP(A271,[1]characters!$A:$C,3,FALSE)</f>
        <v>スナイパー ロビンフッド</v>
      </c>
      <c r="C271" s="3" t="s">
        <v>25</v>
      </c>
      <c r="D271" s="42" t="str">
        <f>A271&amp;+(COUNTIF(A$2:A271,A271)-1)</f>
        <v>1940</v>
      </c>
      <c r="E271" s="19" t="str">
        <f>VLOOKUP(D271,unit_serifs_i18n!C:E,3,FALSE)</f>
        <v>kumo</v>
      </c>
      <c r="F271" s="19" t="str">
        <f>VLOOKUP(D271,unit_serifs_i18n!C:F,4,FALSE)</f>
        <v>そろそろ反撃だね！</v>
      </c>
    </row>
    <row r="272" spans="1:6" x14ac:dyDescent="0.15">
      <c r="A272" s="39">
        <v>194</v>
      </c>
      <c r="B272" s="9" t="str">
        <f>VLOOKUP(A272,[1]characters!$A:$C,3,FALSE)</f>
        <v>スナイパー ロビンフッド</v>
      </c>
      <c r="C272" s="40" t="s">
        <v>26</v>
      </c>
      <c r="D272" s="42" t="str">
        <f>A272&amp;+(COUNTIF(A$2:A272,A272)-1)</f>
        <v>1941</v>
      </c>
      <c r="E272" s="19" t="str">
        <f>VLOOKUP(D272,unit_serifs_i18n!C:E,3,FALSE)</f>
        <v>kumo</v>
      </c>
      <c r="F272" s="19" t="str">
        <f>VLOOKUP(D272,unit_serifs_i18n!C:F,4,FALSE)</f>
        <v>ボクの姿見えるかな？</v>
      </c>
    </row>
    <row r="273" spans="1:6" x14ac:dyDescent="0.15">
      <c r="A273" s="39">
        <v>194</v>
      </c>
      <c r="B273" s="9" t="str">
        <f>VLOOKUP(A273,[1]characters!$A:$C,3,FALSE)</f>
        <v>スナイパー ロビンフッド</v>
      </c>
      <c r="C273" s="40" t="s">
        <v>26</v>
      </c>
      <c r="D273" s="42" t="str">
        <f>D270</f>
        <v>1931</v>
      </c>
      <c r="E273" s="19" t="str">
        <f>VLOOKUP(D273,unit_serifs_i18n!C:E,3,FALSE)</f>
        <v>maru</v>
      </c>
      <c r="F273" s="19" t="str">
        <f>VLOOKUP(D273,unit_serifs_i18n!C:F,4,FALSE)</f>
        <v>狙撃ならまかせて！</v>
      </c>
    </row>
    <row r="274" spans="1:6" x14ac:dyDescent="0.15">
      <c r="A274" s="11">
        <v>195</v>
      </c>
      <c r="B274" s="9" t="str">
        <f>VLOOKUP(A274,[1]characters!$A:$C,3,FALSE)</f>
        <v>グランドハンター ロビンフッド</v>
      </c>
      <c r="C274" s="3" t="s">
        <v>25</v>
      </c>
      <c r="D274" s="42" t="str">
        <f>A274&amp;+(COUNTIF(A$32:A274,A274)-1)</f>
        <v>1950</v>
      </c>
      <c r="E274" s="19" t="str">
        <f>VLOOKUP(D274,unit_serifs_i18n!C:E,3,FALSE)</f>
        <v>maru</v>
      </c>
      <c r="F274" s="19" t="str">
        <f>VLOOKUP(D274,unit_serifs_i18n!C:F,4,FALSE)</f>
        <v>待たせたね！さぁ行こう！</v>
      </c>
    </row>
    <row r="275" spans="1:6" x14ac:dyDescent="0.15">
      <c r="A275" s="39">
        <v>195</v>
      </c>
      <c r="B275" s="9" t="str">
        <f>VLOOKUP(A275,[1]characters!$A:$C,3,FALSE)</f>
        <v>グランドハンター ロビンフッド</v>
      </c>
      <c r="C275" s="40" t="s">
        <v>26</v>
      </c>
      <c r="D275" s="42" t="str">
        <f>A275&amp;+(COUNTIF(A$32:A275,A275)-1)</f>
        <v>1951</v>
      </c>
      <c r="E275" s="19" t="str">
        <f>VLOOKUP(D275,unit_serifs_i18n!C:E,3,FALSE)</f>
        <v>giza</v>
      </c>
      <c r="F275" s="19" t="str">
        <f>VLOOKUP(D275,unit_serifs_i18n!C:F,4,FALSE)</f>
        <v>照準OK…撃ちぬく！</v>
      </c>
    </row>
    <row r="276" spans="1:6" x14ac:dyDescent="0.15">
      <c r="A276" s="39">
        <v>195</v>
      </c>
      <c r="B276" s="9" t="str">
        <f>VLOOKUP(A276,[1]characters!$A:$C,3,FALSE)</f>
        <v>グランドハンター ロビンフッド</v>
      </c>
      <c r="C276" s="40" t="s">
        <v>26</v>
      </c>
      <c r="D276" s="42" t="str">
        <f>D272</f>
        <v>1941</v>
      </c>
      <c r="E276" s="19" t="str">
        <f>VLOOKUP(D276,unit_serifs_i18n!C:E,3,FALSE)</f>
        <v>kumo</v>
      </c>
      <c r="F276" s="19" t="str">
        <f>VLOOKUP(D276,unit_serifs_i18n!C:F,4,FALSE)</f>
        <v>ボクの姿見えるかな？</v>
      </c>
    </row>
    <row r="277" spans="1:6" x14ac:dyDescent="0.15">
      <c r="A277" s="39">
        <v>195</v>
      </c>
      <c r="B277" s="9" t="str">
        <f>VLOOKUP(A277,[1]characters!$A:$C,3,FALSE)</f>
        <v>グランドハンター ロビンフッド</v>
      </c>
      <c r="C277" s="40" t="s">
        <v>26</v>
      </c>
      <c r="D277" s="42" t="str">
        <f>D273</f>
        <v>1931</v>
      </c>
      <c r="E277" s="19" t="str">
        <f>VLOOKUP(D277,unit_serifs_i18n!C:E,3,FALSE)</f>
        <v>maru</v>
      </c>
      <c r="F277" s="19" t="str">
        <f>VLOOKUP(D277,unit_serifs_i18n!C:F,4,FALSE)</f>
        <v>狙撃ならまかせて！</v>
      </c>
    </row>
    <row r="278" spans="1:6" x14ac:dyDescent="0.15">
      <c r="A278" s="11">
        <v>196</v>
      </c>
      <c r="B278" s="9" t="str">
        <f>VLOOKUP(A278,[1]characters!$A:$C,3,FALSE)</f>
        <v>アキレス</v>
      </c>
      <c r="C278" s="3" t="s">
        <v>25</v>
      </c>
      <c r="D278" s="42" t="str">
        <f>A278&amp;+(COUNTIF(A$2:A278,A278)-1)</f>
        <v>1960</v>
      </c>
      <c r="E278" s="19" t="str">
        <f>VLOOKUP(D278,unit_serifs_i18n!C:E,3,FALSE)</f>
        <v>giza</v>
      </c>
      <c r="F278" s="19" t="str">
        <f>VLOOKUP(D278,unit_serifs_i18n!C:F,4,FALSE)</f>
        <v>貴様ら、やる気を出せぇ！</v>
      </c>
    </row>
    <row r="279" spans="1:6" x14ac:dyDescent="0.15">
      <c r="A279" s="39">
        <v>196</v>
      </c>
      <c r="B279" s="9" t="str">
        <f>VLOOKUP(A279,[1]characters!$A:$C,3,FALSE)</f>
        <v>アキレス</v>
      </c>
      <c r="C279" s="40" t="s">
        <v>26</v>
      </c>
      <c r="D279" s="42" t="str">
        <f>A279&amp;+(COUNTIF(A$2:A279,A279)-1)</f>
        <v>1961</v>
      </c>
      <c r="E279" s="19" t="str">
        <f>VLOOKUP(D279,unit_serifs_i18n!C:E,3,FALSE)</f>
        <v>maru</v>
      </c>
      <c r="F279" s="19" t="str">
        <f>VLOOKUP(D279,unit_serifs_i18n!C:F,4,FALSE)</f>
        <v>これでどうだ…？</v>
      </c>
    </row>
    <row r="280" spans="1:6" x14ac:dyDescent="0.15">
      <c r="A280" s="11">
        <v>197</v>
      </c>
      <c r="B280" s="9" t="str">
        <f>VLOOKUP(A280,[1]characters!$A:$C,3,FALSE)</f>
        <v>鉄腕 アキレス</v>
      </c>
      <c r="C280" s="3" t="s">
        <v>25</v>
      </c>
      <c r="D280" s="42" t="str">
        <f>A280&amp;+(COUNTIF(A$2:A280,A280)-1)</f>
        <v>1970</v>
      </c>
      <c r="E280" s="19" t="str">
        <f>VLOOKUP(D280,unit_serifs_i18n!C:E,3,FALSE)</f>
        <v>kumo</v>
      </c>
      <c r="F280" s="19" t="str">
        <f>VLOOKUP(D280,unit_serifs_i18n!C:F,4,FALSE)</f>
        <v>さて、たたみかけるぞ…</v>
      </c>
    </row>
    <row r="281" spans="1:6" x14ac:dyDescent="0.15">
      <c r="A281" s="39">
        <v>197</v>
      </c>
      <c r="B281" s="9" t="str">
        <f>VLOOKUP(A281,[1]characters!$A:$C,3,FALSE)</f>
        <v>鉄腕 アキレス</v>
      </c>
      <c r="C281" s="40" t="s">
        <v>26</v>
      </c>
      <c r="D281" s="42" t="str">
        <f>A281&amp;+(COUNTIF(A$2:A281,A281)-1)</f>
        <v>1971</v>
      </c>
      <c r="E281" s="19" t="str">
        <f>VLOOKUP(D281,unit_serifs_i18n!C:E,3,FALSE)</f>
        <v>kumo</v>
      </c>
      <c r="F281" s="19" t="str">
        <f>VLOOKUP(D281,unit_serifs_i18n!C:F,4,FALSE)</f>
        <v>まだ終わらんぞ…！</v>
      </c>
    </row>
    <row r="282" spans="1:6" x14ac:dyDescent="0.15">
      <c r="A282" s="39">
        <v>197</v>
      </c>
      <c r="B282" s="9" t="str">
        <f>VLOOKUP(A282,[1]characters!$A:$C,3,FALSE)</f>
        <v>鉄腕 アキレス</v>
      </c>
      <c r="C282" s="40" t="s">
        <v>26</v>
      </c>
      <c r="D282" s="42" t="str">
        <f>D279</f>
        <v>1961</v>
      </c>
      <c r="E282" s="19" t="str">
        <f>VLOOKUP(D282,unit_serifs_i18n!C:E,3,FALSE)</f>
        <v>maru</v>
      </c>
      <c r="F282" s="19" t="str">
        <f>VLOOKUP(D282,unit_serifs_i18n!C:F,4,FALSE)</f>
        <v>これでどうだ…？</v>
      </c>
    </row>
    <row r="283" spans="1:6" x14ac:dyDescent="0.15">
      <c r="A283" s="11">
        <v>198</v>
      </c>
      <c r="B283" s="9" t="str">
        <f>VLOOKUP(A283,[1]characters!$A:$C,3,FALSE)</f>
        <v>砕骨の剛腕 アキレス</v>
      </c>
      <c r="C283" s="3" t="s">
        <v>25</v>
      </c>
      <c r="D283" s="42" t="str">
        <f>A283&amp;+(COUNTIF(A$32:A283,A283)-1)</f>
        <v>1980</v>
      </c>
      <c r="E283" s="19" t="str">
        <f>VLOOKUP(D283,unit_serifs_i18n!C:E,3,FALSE)</f>
        <v>giza</v>
      </c>
      <c r="F283" s="19" t="str">
        <f>VLOOKUP(D283,unit_serifs_i18n!C:F,4,FALSE)</f>
        <v>覚悟しろ…すべて砕く！！</v>
      </c>
    </row>
    <row r="284" spans="1:6" x14ac:dyDescent="0.15">
      <c r="A284" s="39">
        <v>198</v>
      </c>
      <c r="B284" s="9" t="str">
        <f>VLOOKUP(A284,[1]characters!$A:$C,3,FALSE)</f>
        <v>砕骨の剛腕 アキレス</v>
      </c>
      <c r="C284" s="40" t="s">
        <v>26</v>
      </c>
      <c r="D284" s="42" t="str">
        <f>A284&amp;+(COUNTIF(A$32:A284,A284)-1)</f>
        <v>1981</v>
      </c>
      <c r="E284" s="19" t="str">
        <f>VLOOKUP(D284,unit_serifs_i18n!C:E,3,FALSE)</f>
        <v>giza</v>
      </c>
      <c r="F284" s="19" t="str">
        <f>VLOOKUP(D284,unit_serifs_i18n!C:F,4,FALSE)</f>
        <v>…くつがえす！！</v>
      </c>
    </row>
    <row r="285" spans="1:6" x14ac:dyDescent="0.15">
      <c r="A285" s="39">
        <v>198</v>
      </c>
      <c r="B285" s="9" t="str">
        <f>VLOOKUP(A285,[1]characters!$A:$C,3,FALSE)</f>
        <v>砕骨の剛腕 アキレス</v>
      </c>
      <c r="C285" s="40" t="s">
        <v>26</v>
      </c>
      <c r="D285" s="42" t="str">
        <f>D281</f>
        <v>1971</v>
      </c>
      <c r="E285" s="19" t="str">
        <f>VLOOKUP(D285,unit_serifs_i18n!C:E,3,FALSE)</f>
        <v>kumo</v>
      </c>
      <c r="F285" s="19" t="str">
        <f>VLOOKUP(D285,unit_serifs_i18n!C:F,4,FALSE)</f>
        <v>まだ終わらんぞ…！</v>
      </c>
    </row>
    <row r="286" spans="1:6" x14ac:dyDescent="0.15">
      <c r="A286" s="39">
        <v>198</v>
      </c>
      <c r="B286" s="9" t="str">
        <f>VLOOKUP(A286,[1]characters!$A:$C,3,FALSE)</f>
        <v>砕骨の剛腕 アキレス</v>
      </c>
      <c r="C286" s="40" t="s">
        <v>26</v>
      </c>
      <c r="D286" s="42" t="str">
        <f>D282</f>
        <v>1961</v>
      </c>
      <c r="E286" s="19" t="str">
        <f>VLOOKUP(D286,unit_serifs_i18n!C:E,3,FALSE)</f>
        <v>maru</v>
      </c>
      <c r="F286" s="19" t="str">
        <f>VLOOKUP(D286,unit_serifs_i18n!C:F,4,FALSE)</f>
        <v>これでどうだ…？</v>
      </c>
    </row>
    <row r="287" spans="1:6" x14ac:dyDescent="0.15">
      <c r="A287" s="11">
        <v>199</v>
      </c>
      <c r="B287" s="9" t="str">
        <f>VLOOKUP(A287,[1]characters!$A:$C,3,FALSE)</f>
        <v>ジークフリート</v>
      </c>
      <c r="C287" s="3" t="s">
        <v>25</v>
      </c>
      <c r="D287" s="42" t="str">
        <f>A287&amp;+(COUNTIF(A$2:A287,A287)-1)</f>
        <v>1990</v>
      </c>
      <c r="E287" s="19" t="str">
        <f>VLOOKUP(D287,unit_serifs_i18n!C:E,3,FALSE)</f>
        <v>maru</v>
      </c>
      <c r="F287" s="19" t="str">
        <f>VLOOKUP(D287,unit_serifs_i18n!C:F,4,FALSE)</f>
        <v>暴れる準備はできたか？</v>
      </c>
    </row>
    <row r="288" spans="1:6" x14ac:dyDescent="0.15">
      <c r="A288" s="39">
        <v>199</v>
      </c>
      <c r="B288" s="9" t="str">
        <f>VLOOKUP(A288,[1]characters!$A:$C,3,FALSE)</f>
        <v>ジークフリート</v>
      </c>
      <c r="C288" s="40" t="s">
        <v>26</v>
      </c>
      <c r="D288" s="42" t="str">
        <f>A288&amp;+(COUNTIF(A$2:A288,A288)-1)</f>
        <v>1991</v>
      </c>
      <c r="E288" s="19" t="str">
        <f>VLOOKUP(D288,unit_serifs_i18n!C:E,3,FALSE)</f>
        <v>maru</v>
      </c>
      <c r="F288" s="19" t="str">
        <f>VLOOKUP(D288,unit_serifs_i18n!C:F,4,FALSE)</f>
        <v>ちと寒くなるぜ…？</v>
      </c>
    </row>
    <row r="289" spans="1:20" x14ac:dyDescent="0.15">
      <c r="A289" s="11">
        <v>200</v>
      </c>
      <c r="B289" s="9" t="str">
        <f>VLOOKUP(A289,[1]characters!$A:$C,3,FALSE)</f>
        <v>大剣士 ジークフリート</v>
      </c>
      <c r="C289" s="3" t="s">
        <v>25</v>
      </c>
      <c r="D289" s="42" t="str">
        <f>A289&amp;+(COUNTIF(A$2:A289,A289)-1)</f>
        <v>2000</v>
      </c>
      <c r="E289" s="19" t="str">
        <f>VLOOKUP(D289,unit_serifs_i18n!C:E,3,FALSE)</f>
        <v>maru</v>
      </c>
      <c r="F289" s="19" t="str">
        <f>VLOOKUP(D289,unit_serifs_i18n!C:F,4,FALSE)</f>
        <v>破壊こそ癒やし…だろ？</v>
      </c>
    </row>
    <row r="290" spans="1:20" x14ac:dyDescent="0.15">
      <c r="A290" s="39">
        <v>200</v>
      </c>
      <c r="B290" s="9" t="str">
        <f>VLOOKUP(A290,[1]characters!$A:$C,3,FALSE)</f>
        <v>大剣士 ジークフリート</v>
      </c>
      <c r="C290" s="40" t="s">
        <v>26</v>
      </c>
      <c r="D290" s="42" t="str">
        <f>A290&amp;+(COUNTIF(A$2:A290,A290)-1)</f>
        <v>2001</v>
      </c>
      <c r="E290" s="19" t="str">
        <f>VLOOKUP(D290,unit_serifs_i18n!C:E,3,FALSE)</f>
        <v>maru</v>
      </c>
      <c r="F290" s="19" t="str">
        <f>VLOOKUP(D290,unit_serifs_i18n!C:F,4,FALSE)</f>
        <v>凍え死ぬなよ…！</v>
      </c>
    </row>
    <row r="291" spans="1:20" x14ac:dyDescent="0.15">
      <c r="A291" s="39">
        <v>200</v>
      </c>
      <c r="B291" s="9" t="str">
        <f>VLOOKUP(A291,[1]characters!$A:$C,3,FALSE)</f>
        <v>大剣士 ジークフリート</v>
      </c>
      <c r="C291" s="40" t="s">
        <v>26</v>
      </c>
      <c r="D291" s="42" t="str">
        <f>D288</f>
        <v>1991</v>
      </c>
      <c r="E291" s="19" t="str">
        <f>VLOOKUP(D291,unit_serifs_i18n!C:E,3,FALSE)</f>
        <v>maru</v>
      </c>
      <c r="F291" s="19" t="str">
        <f>VLOOKUP(D291,unit_serifs_i18n!C:F,4,FALSE)</f>
        <v>ちと寒くなるぜ…？</v>
      </c>
    </row>
    <row r="292" spans="1:20" x14ac:dyDescent="0.15">
      <c r="A292" s="11">
        <v>201</v>
      </c>
      <c r="B292" s="9" t="str">
        <f>VLOOKUP(A292,[1]characters!$A:$C,3,FALSE)</f>
        <v>斬空の大破剣 ジークフリート</v>
      </c>
      <c r="C292" s="3" t="s">
        <v>25</v>
      </c>
      <c r="D292" s="42" t="str">
        <f>A292&amp;+(COUNTIF(A$32:A292,A292)-1)</f>
        <v>2010</v>
      </c>
      <c r="E292" s="19" t="str">
        <f>VLOOKUP(D292,unit_serifs_i18n!C:E,3,FALSE)</f>
        <v>giza</v>
      </c>
      <c r="F292" s="19" t="str">
        <f>VLOOKUP(D292,unit_serifs_i18n!C:F,4,FALSE)</f>
        <v>壊せ！そして癒せ！！</v>
      </c>
    </row>
    <row r="293" spans="1:20" x14ac:dyDescent="0.15">
      <c r="A293" s="39">
        <v>201</v>
      </c>
      <c r="B293" s="9" t="str">
        <f>VLOOKUP(A293,[1]characters!$A:$C,3,FALSE)</f>
        <v>斬空の大破剣 ジークフリート</v>
      </c>
      <c r="C293" s="40" t="s">
        <v>26</v>
      </c>
      <c r="D293" s="42" t="str">
        <f>A293&amp;+(COUNTIF(A$32:A293,A293)-1)</f>
        <v>2011</v>
      </c>
      <c r="E293" s="19" t="str">
        <f>VLOOKUP(D293,unit_serifs_i18n!C:E,3,FALSE)</f>
        <v>giza</v>
      </c>
      <c r="F293" s="19" t="str">
        <f>VLOOKUP(D293,unit_serifs_i18n!C:F,4,FALSE)</f>
        <v>血が…沸騰する…！</v>
      </c>
      <c r="O293" s="48"/>
      <c r="P293" s="48"/>
      <c r="Q293" s="48"/>
      <c r="R293" s="48"/>
      <c r="S293" s="48"/>
      <c r="T293" s="48"/>
    </row>
    <row r="294" spans="1:20" x14ac:dyDescent="0.15">
      <c r="A294" s="39">
        <v>201</v>
      </c>
      <c r="B294" s="9" t="str">
        <f>VLOOKUP(A294,[1]characters!$A:$C,3,FALSE)</f>
        <v>斬空の大破剣 ジークフリート</v>
      </c>
      <c r="C294" s="40" t="s">
        <v>26</v>
      </c>
      <c r="D294" s="42" t="str">
        <f>D290</f>
        <v>2001</v>
      </c>
      <c r="E294" s="19" t="str">
        <f>VLOOKUP(D294,unit_serifs_i18n!C:E,3,FALSE)</f>
        <v>maru</v>
      </c>
      <c r="F294" s="19" t="str">
        <f>VLOOKUP(D294,unit_serifs_i18n!C:F,4,FALSE)</f>
        <v>凍え死ぬなよ…！</v>
      </c>
      <c r="O294" s="48"/>
      <c r="P294" s="48"/>
      <c r="Q294" s="48"/>
      <c r="R294" s="48"/>
      <c r="S294" s="48"/>
      <c r="T294" s="48"/>
    </row>
    <row r="295" spans="1:20" x14ac:dyDescent="0.15">
      <c r="A295" s="39">
        <v>201</v>
      </c>
      <c r="B295" s="9" t="str">
        <f>VLOOKUP(A295,[1]characters!$A:$C,3,FALSE)</f>
        <v>斬空の大破剣 ジークフリート</v>
      </c>
      <c r="C295" s="40" t="s">
        <v>26</v>
      </c>
      <c r="D295" s="42" t="str">
        <f>D291</f>
        <v>1991</v>
      </c>
      <c r="E295" s="19" t="str">
        <f>VLOOKUP(D295,unit_serifs_i18n!C:E,3,FALSE)</f>
        <v>maru</v>
      </c>
      <c r="F295" s="19" t="str">
        <f>VLOOKUP(D295,unit_serifs_i18n!C:F,4,FALSE)</f>
        <v>ちと寒くなるぜ…？</v>
      </c>
    </row>
    <row r="296" spans="1:20" x14ac:dyDescent="0.15">
      <c r="A296" s="11">
        <v>202</v>
      </c>
      <c r="B296" s="9" t="str">
        <f>VLOOKUP(A296,[1]characters!$A:$C,3,FALSE)</f>
        <v>プロメテウス</v>
      </c>
      <c r="C296" s="3" t="s">
        <v>25</v>
      </c>
      <c r="D296" s="42" t="str">
        <f>A296&amp;+(COUNTIF(A$2:A296,A296)-1)</f>
        <v>2020</v>
      </c>
      <c r="E296" s="19" t="str">
        <f>VLOOKUP(D296,unit_serifs_i18n!C:E,3,FALSE)</f>
        <v>maru</v>
      </c>
      <c r="F296" s="19" t="str">
        <f>VLOOKUP(D296,unit_serifs_i18n!C:F,4,FALSE)</f>
        <v>まずはガードを崩すぜ</v>
      </c>
    </row>
    <row r="297" spans="1:20" x14ac:dyDescent="0.15">
      <c r="A297" s="39">
        <v>202</v>
      </c>
      <c r="B297" s="9" t="str">
        <f>VLOOKUP(A297,[1]characters!$A:$C,3,FALSE)</f>
        <v>プロメテウス</v>
      </c>
      <c r="C297" s="40" t="s">
        <v>26</v>
      </c>
      <c r="D297" s="42" t="str">
        <f>A297&amp;+(COUNTIF(A$2:A297,A297)-1)</f>
        <v>2021</v>
      </c>
      <c r="E297" s="19" t="str">
        <f>VLOOKUP(D297,unit_serifs_i18n!C:E,3,FALSE)</f>
        <v>giza</v>
      </c>
      <c r="F297" s="19" t="str">
        <f>VLOOKUP(D297,unit_serifs_i18n!C:F,4,FALSE)</f>
        <v>発火に気をつけな！</v>
      </c>
    </row>
    <row r="298" spans="1:20" x14ac:dyDescent="0.15">
      <c r="A298" s="11">
        <v>203</v>
      </c>
      <c r="B298" s="9" t="str">
        <f>VLOOKUP(A298,[1]characters!$A:$C,3,FALSE)</f>
        <v>焔神 プロメテウス</v>
      </c>
      <c r="C298" s="3" t="s">
        <v>25</v>
      </c>
      <c r="D298" s="42" t="str">
        <f>A298&amp;+(COUNTIF(A$2:A298,A298)-1)</f>
        <v>2030</v>
      </c>
      <c r="E298" s="19" t="str">
        <f>VLOOKUP(D298,unit_serifs_i18n!C:E,3,FALSE)</f>
        <v>kumo</v>
      </c>
      <c r="F298" s="19" t="str">
        <f>VLOOKUP(D298,unit_serifs_i18n!C:F,4,FALSE)</f>
        <v>情けねぇ格好にしてやる</v>
      </c>
    </row>
    <row r="299" spans="1:20" x14ac:dyDescent="0.15">
      <c r="A299" s="39">
        <v>203</v>
      </c>
      <c r="B299" s="9" t="str">
        <f>VLOOKUP(A299,[1]characters!$A:$C,3,FALSE)</f>
        <v>焔神 プロメテウス</v>
      </c>
      <c r="C299" s="40" t="s">
        <v>26</v>
      </c>
      <c r="D299" s="42" t="str">
        <f>A299&amp;+(COUNTIF(A$2:A299,A299)-1)</f>
        <v>2031</v>
      </c>
      <c r="E299" s="19" t="str">
        <f>VLOOKUP(D299,unit_serifs_i18n!C:E,3,FALSE)</f>
        <v>maru</v>
      </c>
      <c r="F299" s="19" t="str">
        <f>VLOOKUP(D299,unit_serifs_i18n!C:F,4,FALSE)</f>
        <v>熱いのお見舞いするぜ</v>
      </c>
    </row>
    <row r="300" spans="1:20" x14ac:dyDescent="0.15">
      <c r="A300" s="39">
        <v>203</v>
      </c>
      <c r="B300" s="9" t="str">
        <f>VLOOKUP(A300,[1]characters!$A:$C,3,FALSE)</f>
        <v>焔神 プロメテウス</v>
      </c>
      <c r="C300" s="40" t="s">
        <v>26</v>
      </c>
      <c r="D300" s="42" t="str">
        <f>D297</f>
        <v>2021</v>
      </c>
      <c r="E300" s="19" t="str">
        <f>VLOOKUP(D300,unit_serifs_i18n!C:E,3,FALSE)</f>
        <v>giza</v>
      </c>
      <c r="F300" s="19" t="str">
        <f>VLOOKUP(D300,unit_serifs_i18n!C:F,4,FALSE)</f>
        <v>発火に気をつけな！</v>
      </c>
    </row>
    <row r="301" spans="1:20" x14ac:dyDescent="0.15">
      <c r="A301" s="11">
        <v>204</v>
      </c>
      <c r="B301" s="9" t="str">
        <f>VLOOKUP(A301,[1]characters!$A:$C,3,FALSE)</f>
        <v>慟哭の巨焔 プロメテウス</v>
      </c>
      <c r="C301" s="3" t="s">
        <v>25</v>
      </c>
      <c r="D301" s="42" t="str">
        <f>A301&amp;+(COUNTIF(A$32:A301,A301)-1)</f>
        <v>2040</v>
      </c>
      <c r="E301" s="19" t="str">
        <f>VLOOKUP(D301,unit_serifs_i18n!C:E,3,FALSE)</f>
        <v>maru</v>
      </c>
      <c r="F301" s="19" t="str">
        <f>VLOOKUP(D301,unit_serifs_i18n!C:F,4,FALSE)</f>
        <v>丸腰の気分を味わいな！</v>
      </c>
    </row>
    <row r="302" spans="1:20" x14ac:dyDescent="0.15">
      <c r="A302" s="39">
        <v>204</v>
      </c>
      <c r="B302" s="9" t="str">
        <f>VLOOKUP(A302,[1]characters!$A:$C,3,FALSE)</f>
        <v>慟哭の巨焔 プロメテウス</v>
      </c>
      <c r="C302" s="40" t="s">
        <v>26</v>
      </c>
      <c r="D302" s="42" t="str">
        <f>A302&amp;+(COUNTIF(A$32:A302,A302)-1)</f>
        <v>2041</v>
      </c>
      <c r="E302" s="19" t="str">
        <f>VLOOKUP(D302,unit_serifs_i18n!C:E,3,FALSE)</f>
        <v>giza</v>
      </c>
      <c r="F302" s="19" t="str">
        <f>VLOOKUP(D302,unit_serifs_i18n!C:F,4,FALSE)</f>
        <v>骨まで燃え尽きな！！</v>
      </c>
    </row>
    <row r="303" spans="1:20" x14ac:dyDescent="0.15">
      <c r="A303" s="39">
        <v>204</v>
      </c>
      <c r="B303" s="9" t="str">
        <f>VLOOKUP(A303,[1]characters!$A:$C,3,FALSE)</f>
        <v>慟哭の巨焔 プロメテウス</v>
      </c>
      <c r="C303" s="40" t="s">
        <v>26</v>
      </c>
      <c r="D303" s="42" t="str">
        <f>D299</f>
        <v>2031</v>
      </c>
      <c r="E303" s="19" t="str">
        <f>VLOOKUP(D303,unit_serifs_i18n!C:E,3,FALSE)</f>
        <v>maru</v>
      </c>
      <c r="F303" s="19" t="str">
        <f>VLOOKUP(D303,unit_serifs_i18n!C:F,4,FALSE)</f>
        <v>熱いのお見舞いするぜ</v>
      </c>
    </row>
    <row r="304" spans="1:20" x14ac:dyDescent="0.15">
      <c r="A304" s="39">
        <v>204</v>
      </c>
      <c r="B304" s="9" t="str">
        <f>VLOOKUP(A304,[1]characters!$A:$C,3,FALSE)</f>
        <v>慟哭の巨焔 プロメテウス</v>
      </c>
      <c r="C304" s="40" t="s">
        <v>26</v>
      </c>
      <c r="D304" s="42" t="str">
        <f>D300</f>
        <v>2021</v>
      </c>
      <c r="E304" s="19" t="str">
        <f>VLOOKUP(D304,unit_serifs_i18n!C:E,3,FALSE)</f>
        <v>giza</v>
      </c>
      <c r="F304" s="19" t="str">
        <f>VLOOKUP(D304,unit_serifs_i18n!C:F,4,FALSE)</f>
        <v>発火に気をつけな！</v>
      </c>
    </row>
    <row r="305" spans="1:6" x14ac:dyDescent="0.15">
      <c r="A305" s="11">
        <v>205</v>
      </c>
      <c r="B305" s="9" t="str">
        <f>VLOOKUP(A305,[1]characters!$A:$C,3,FALSE)</f>
        <v>アフロディーテ</v>
      </c>
      <c r="C305" s="3" t="s">
        <v>25</v>
      </c>
      <c r="D305" s="42" t="str">
        <f>A305&amp;+(COUNTIF(A$2:A305,A305)-1)</f>
        <v>2050</v>
      </c>
      <c r="E305" s="19" t="str">
        <f>VLOOKUP(D305,unit_serifs_i18n!C:E,3,FALSE)</f>
        <v>maru</v>
      </c>
      <c r="F305" s="19" t="str">
        <f>VLOOKUP(D305,unit_serifs_i18n!C:F,4,FALSE)</f>
        <v>はわわ！封鎖しなきゃ！</v>
      </c>
    </row>
    <row r="306" spans="1:6" x14ac:dyDescent="0.15">
      <c r="A306" s="39">
        <v>205</v>
      </c>
      <c r="B306" s="9" t="str">
        <f>VLOOKUP(A306,[1]characters!$A:$C,3,FALSE)</f>
        <v>アフロディーテ</v>
      </c>
      <c r="C306" s="40" t="s">
        <v>26</v>
      </c>
      <c r="D306" s="42" t="str">
        <f>A306&amp;+(COUNTIF(A$2:A306,A306)-1)</f>
        <v>2051</v>
      </c>
      <c r="E306" s="19" t="str">
        <f>VLOOKUP(D306,unit_serifs_i18n!C:E,3,FALSE)</f>
        <v>maru</v>
      </c>
      <c r="F306" s="19" t="str">
        <f>VLOOKUP(D306,unit_serifs_i18n!C:F,4,FALSE)</f>
        <v>はわ！近寄らないで！</v>
      </c>
    </row>
    <row r="307" spans="1:6" x14ac:dyDescent="0.15">
      <c r="A307" s="11">
        <v>206</v>
      </c>
      <c r="B307" s="9" t="str">
        <f>VLOOKUP(A307,[1]characters!$A:$C,3,FALSE)</f>
        <v>美神 アフロディーテ</v>
      </c>
      <c r="C307" s="3" t="s">
        <v>25</v>
      </c>
      <c r="D307" s="42" t="str">
        <f>A307&amp;+(COUNTIF(A$2:A307,A307)-1)</f>
        <v>2060</v>
      </c>
      <c r="E307" s="19" t="str">
        <f>VLOOKUP(D307,unit_serifs_i18n!C:E,3,FALSE)</f>
        <v>giza</v>
      </c>
      <c r="F307" s="19" t="str">
        <f>VLOOKUP(D307,unit_serifs_i18n!C:F,4,FALSE)</f>
        <v>入園お断りだってば！</v>
      </c>
    </row>
    <row r="308" spans="1:6" x14ac:dyDescent="0.15">
      <c r="A308" s="39">
        <v>206</v>
      </c>
      <c r="B308" s="9" t="str">
        <f>VLOOKUP(A308,[1]characters!$A:$C,3,FALSE)</f>
        <v>美神 アフロディーテ</v>
      </c>
      <c r="C308" s="40" t="s">
        <v>26</v>
      </c>
      <c r="D308" s="42" t="str">
        <f>A308&amp;+(COUNTIF(A$2:A308,A308)-1)</f>
        <v>2061</v>
      </c>
      <c r="E308" s="19" t="str">
        <f>VLOOKUP(D308,unit_serifs_i18n!C:E,3,FALSE)</f>
        <v>kumo</v>
      </c>
      <c r="F308" s="19" t="str">
        <f>VLOOKUP(D308,unit_serifs_i18n!C:F,4,FALSE)</f>
        <v>黄色い花は嫌いよ！</v>
      </c>
    </row>
    <row r="309" spans="1:6" x14ac:dyDescent="0.15">
      <c r="A309" s="39">
        <v>206</v>
      </c>
      <c r="B309" s="9" t="str">
        <f>VLOOKUP(A309,[1]characters!$A:$C,3,FALSE)</f>
        <v>美神 アフロディーテ</v>
      </c>
      <c r="C309" s="40" t="s">
        <v>26</v>
      </c>
      <c r="D309" s="42" t="str">
        <f>D306</f>
        <v>2051</v>
      </c>
      <c r="E309" s="19" t="str">
        <f>VLOOKUP(D309,unit_serifs_i18n!C:E,3,FALSE)</f>
        <v>maru</v>
      </c>
      <c r="F309" s="19" t="str">
        <f>VLOOKUP(D309,unit_serifs_i18n!C:F,4,FALSE)</f>
        <v>はわ！近寄らないで！</v>
      </c>
    </row>
    <row r="310" spans="1:6" x14ac:dyDescent="0.15">
      <c r="A310" s="11">
        <v>207</v>
      </c>
      <c r="B310" s="9" t="str">
        <f>VLOOKUP(A310,[1]characters!$A:$C,3,FALSE)</f>
        <v>豊穣の麗神・アフロディーテ</v>
      </c>
      <c r="C310" s="3" t="s">
        <v>25</v>
      </c>
      <c r="D310" s="42" t="str">
        <f>A310&amp;+(COUNTIF(A$32:A310,A310)-1)</f>
        <v>2070</v>
      </c>
      <c r="E310" s="19" t="str">
        <f>VLOOKUP(D310,unit_serifs_i18n!C:E,3,FALSE)</f>
        <v>maru</v>
      </c>
      <c r="F310" s="19" t="str">
        <f>VLOOKUP(D310,unit_serifs_i18n!C:F,4,FALSE)</f>
        <v>みんながっちり防いでね！</v>
      </c>
    </row>
    <row r="311" spans="1:6" x14ac:dyDescent="0.15">
      <c r="A311" s="39">
        <v>207</v>
      </c>
      <c r="B311" s="9" t="str">
        <f>VLOOKUP(A311,[1]characters!$A:$C,3,FALSE)</f>
        <v>豊穣の麗神・アフロディーテ</v>
      </c>
      <c r="C311" s="40" t="s">
        <v>26</v>
      </c>
      <c r="D311" s="42" t="str">
        <f>A311&amp;+(COUNTIF(A$32:A311,A311)-1)</f>
        <v>2071</v>
      </c>
      <c r="E311" s="19" t="str">
        <f>VLOOKUP(D311,unit_serifs_i18n!C:E,3,FALSE)</f>
        <v>maru</v>
      </c>
      <c r="F311" s="19" t="str">
        <f>VLOOKUP(D311,unit_serifs_i18n!C:F,4,FALSE)</f>
        <v>この葉は危ないよ！</v>
      </c>
    </row>
    <row r="312" spans="1:6" x14ac:dyDescent="0.15">
      <c r="A312" s="39">
        <v>207</v>
      </c>
      <c r="B312" s="9" t="str">
        <f>VLOOKUP(A312,[1]characters!$A:$C,3,FALSE)</f>
        <v>豊穣の麗神・アフロディーテ</v>
      </c>
      <c r="C312" s="40" t="s">
        <v>26</v>
      </c>
      <c r="D312" s="42" t="str">
        <f>D308</f>
        <v>2061</v>
      </c>
      <c r="E312" s="19" t="str">
        <f>VLOOKUP(D312,unit_serifs_i18n!C:E,3,FALSE)</f>
        <v>kumo</v>
      </c>
      <c r="F312" s="19" t="str">
        <f>VLOOKUP(D312,unit_serifs_i18n!C:F,4,FALSE)</f>
        <v>黄色い花は嫌いよ！</v>
      </c>
    </row>
    <row r="313" spans="1:6" x14ac:dyDescent="0.15">
      <c r="A313" s="39">
        <v>207</v>
      </c>
      <c r="B313" s="9" t="str">
        <f>VLOOKUP(A313,[1]characters!$A:$C,3,FALSE)</f>
        <v>豊穣の麗神・アフロディーテ</v>
      </c>
      <c r="C313" s="40" t="s">
        <v>26</v>
      </c>
      <c r="D313" s="42" t="str">
        <f>D309</f>
        <v>2051</v>
      </c>
      <c r="E313" s="19" t="str">
        <f>VLOOKUP(D313,unit_serifs_i18n!C:E,3,FALSE)</f>
        <v>maru</v>
      </c>
      <c r="F313" s="19" t="str">
        <f>VLOOKUP(D313,unit_serifs_i18n!C:F,4,FALSE)</f>
        <v>はわ！近寄らないで！</v>
      </c>
    </row>
    <row r="314" spans="1:6" x14ac:dyDescent="0.15">
      <c r="A314" s="11">
        <v>208</v>
      </c>
      <c r="B314" s="9" t="str">
        <f>VLOOKUP(A314,[1]characters!$A:$C,3,FALSE)</f>
        <v>テティス</v>
      </c>
      <c r="C314" s="3" t="s">
        <v>25</v>
      </c>
      <c r="D314" s="42" t="str">
        <f>A314&amp;+(COUNTIF(A$2:A314,A314)-1)</f>
        <v>2080</v>
      </c>
      <c r="E314" s="19" t="str">
        <f>VLOOKUP(D314,unit_serifs_i18n!C:E,3,FALSE)</f>
        <v>maru</v>
      </c>
      <c r="F314" s="19" t="str">
        <f>VLOOKUP(D314,unit_serifs_i18n!C:F,4,FALSE)</f>
        <v>私もお役に立ちたい…！</v>
      </c>
    </row>
    <row r="315" spans="1:6" x14ac:dyDescent="0.15">
      <c r="A315" s="39">
        <v>208</v>
      </c>
      <c r="B315" s="9" t="str">
        <f>VLOOKUP(A315,[1]characters!$A:$C,3,FALSE)</f>
        <v>テティス</v>
      </c>
      <c r="C315" s="40" t="s">
        <v>26</v>
      </c>
      <c r="D315" s="42" t="str">
        <f>A315&amp;+(COUNTIF(A$2:A315,A315)-1)</f>
        <v>2081</v>
      </c>
      <c r="E315" s="19" t="str">
        <f>VLOOKUP(D315,unit_serifs_i18n!C:E,3,FALSE)</f>
        <v>kumo</v>
      </c>
      <c r="F315" s="19" t="str">
        <f>VLOOKUP(D315,unit_serifs_i18n!C:F,4,FALSE)</f>
        <v>熱いのは苦手です…</v>
      </c>
    </row>
    <row r="316" spans="1:6" x14ac:dyDescent="0.15">
      <c r="A316" s="11">
        <v>209</v>
      </c>
      <c r="B316" s="9" t="str">
        <f>VLOOKUP(A316,[1]characters!$A:$C,3,FALSE)</f>
        <v>孤神 テティス</v>
      </c>
      <c r="C316" s="3" t="s">
        <v>25</v>
      </c>
      <c r="D316" s="42" t="str">
        <f>A316&amp;+(COUNTIF(A$2:A316,A316)-1)</f>
        <v>2090</v>
      </c>
      <c r="E316" s="19" t="str">
        <f>VLOOKUP(D316,unit_serifs_i18n!C:E,3,FALSE)</f>
        <v>maru</v>
      </c>
      <c r="F316" s="19" t="str">
        <f>VLOOKUP(D316,unit_serifs_i18n!C:F,4,FALSE)</f>
        <v>受け取ってください…！</v>
      </c>
    </row>
    <row r="317" spans="1:6" x14ac:dyDescent="0.15">
      <c r="A317" s="39">
        <v>209</v>
      </c>
      <c r="B317" s="9" t="str">
        <f>VLOOKUP(A317,[1]characters!$A:$C,3,FALSE)</f>
        <v>孤神 テティス</v>
      </c>
      <c r="C317" s="40" t="s">
        <v>26</v>
      </c>
      <c r="D317" s="42" t="str">
        <f>A317&amp;+(COUNTIF(A$2:A317,A317)-1)</f>
        <v>2091</v>
      </c>
      <c r="E317" s="19" t="str">
        <f>VLOOKUP(D317,unit_serifs_i18n!C:E,3,FALSE)</f>
        <v>kumo</v>
      </c>
      <c r="F317" s="19" t="str">
        <f>VLOOKUP(D317,unit_serifs_i18n!C:F,4,FALSE)</f>
        <v>ここは火気厳禁です…</v>
      </c>
    </row>
    <row r="318" spans="1:6" x14ac:dyDescent="0.15">
      <c r="A318" s="39">
        <v>209</v>
      </c>
      <c r="B318" s="9" t="str">
        <f>VLOOKUP(A318,[1]characters!$A:$C,3,FALSE)</f>
        <v>孤神 テティス</v>
      </c>
      <c r="C318" s="40" t="s">
        <v>26</v>
      </c>
      <c r="D318" s="42" t="str">
        <f>D315</f>
        <v>2081</v>
      </c>
      <c r="E318" s="19" t="str">
        <f>VLOOKUP(D318,unit_serifs_i18n!C:E,3,FALSE)</f>
        <v>kumo</v>
      </c>
      <c r="F318" s="19" t="str">
        <f>VLOOKUP(D318,unit_serifs_i18n!C:F,4,FALSE)</f>
        <v>熱いのは苦手です…</v>
      </c>
    </row>
    <row r="319" spans="1:6" x14ac:dyDescent="0.15">
      <c r="A319" s="11">
        <v>210</v>
      </c>
      <c r="B319" s="9" t="str">
        <f>VLOOKUP(A319,[1]characters!$A:$C,3,FALSE)</f>
        <v>海底の孤高神 テティス</v>
      </c>
      <c r="C319" s="3" t="s">
        <v>25</v>
      </c>
      <c r="D319" s="42" t="str">
        <f>A319&amp;+(COUNTIF(A$32:A319,A319)-1)</f>
        <v>2100</v>
      </c>
      <c r="E319" s="19" t="str">
        <f>VLOOKUP(D319,unit_serifs_i18n!C:E,3,FALSE)</f>
        <v>kumo</v>
      </c>
      <c r="F319" s="19" t="str">
        <f>VLOOKUP(D319,unit_serifs_i18n!C:F,4,FALSE)</f>
        <v>海の底から愛をこめて…！</v>
      </c>
    </row>
    <row r="320" spans="1:6" x14ac:dyDescent="0.15">
      <c r="A320" s="39">
        <v>210</v>
      </c>
      <c r="B320" s="9" t="str">
        <f>VLOOKUP(A320,[1]characters!$A:$C,3,FALSE)</f>
        <v>海底の孤高神 テティス</v>
      </c>
      <c r="C320" s="40" t="s">
        <v>26</v>
      </c>
      <c r="D320" s="42" t="str">
        <f>A320&amp;+(COUNTIF(A$32:A320,A320)-1)</f>
        <v>2101</v>
      </c>
      <c r="E320" s="19" t="str">
        <f>VLOOKUP(D320,unit_serifs_i18n!C:E,3,FALSE)</f>
        <v>maru</v>
      </c>
      <c r="F320" s="19" t="str">
        <f>VLOOKUP(D320,unit_serifs_i18n!C:F,4,FALSE)</f>
        <v>私を怒らせないで…！</v>
      </c>
    </row>
    <row r="321" spans="1:6" x14ac:dyDescent="0.15">
      <c r="A321" s="39">
        <v>210</v>
      </c>
      <c r="B321" s="9" t="str">
        <f>VLOOKUP(A321,[1]characters!$A:$C,3,FALSE)</f>
        <v>海底の孤高神 テティス</v>
      </c>
      <c r="C321" s="40" t="s">
        <v>26</v>
      </c>
      <c r="D321" s="42" t="str">
        <f>D317</f>
        <v>2091</v>
      </c>
      <c r="E321" s="19" t="str">
        <f>VLOOKUP(D321,unit_serifs_i18n!C:E,3,FALSE)</f>
        <v>kumo</v>
      </c>
      <c r="F321" s="19" t="str">
        <f>VLOOKUP(D321,unit_serifs_i18n!C:F,4,FALSE)</f>
        <v>ここは火気厳禁です…</v>
      </c>
    </row>
    <row r="322" spans="1:6" x14ac:dyDescent="0.15">
      <c r="A322" s="39">
        <v>210</v>
      </c>
      <c r="B322" s="9" t="str">
        <f>VLOOKUP(A322,[1]characters!$A:$C,3,FALSE)</f>
        <v>海底の孤高神 テティス</v>
      </c>
      <c r="C322" s="40" t="s">
        <v>26</v>
      </c>
      <c r="D322" s="42" t="str">
        <f>D318</f>
        <v>2081</v>
      </c>
      <c r="E322" s="19" t="str">
        <f>VLOOKUP(D322,unit_serifs_i18n!C:E,3,FALSE)</f>
        <v>kumo</v>
      </c>
      <c r="F322" s="19" t="str">
        <f>VLOOKUP(D322,unit_serifs_i18n!C:F,4,FALSE)</f>
        <v>熱いのは苦手です…</v>
      </c>
    </row>
    <row r="323" spans="1:6" x14ac:dyDescent="0.15">
      <c r="A323" s="11">
        <v>211</v>
      </c>
      <c r="B323" s="9" t="str">
        <f>VLOOKUP(A323,[1]characters!$A:$C,3,FALSE)</f>
        <v>アストライアー</v>
      </c>
      <c r="C323" s="3" t="s">
        <v>25</v>
      </c>
      <c r="D323" s="42" t="str">
        <f>A323&amp;+(COUNTIF(A$2:A323,A323)-1)</f>
        <v>2110</v>
      </c>
      <c r="E323" s="19" t="str">
        <f>VLOOKUP(D323,unit_serifs_i18n!C:E,3,FALSE)</f>
        <v>maru</v>
      </c>
      <c r="F323" s="19" t="str">
        <f>VLOOKUP(D323,unit_serifs_i18n!C:F,4,FALSE)</f>
        <v>夜空に祈りを…！</v>
      </c>
    </row>
    <row r="324" spans="1:6" x14ac:dyDescent="0.15">
      <c r="A324" s="39">
        <v>211</v>
      </c>
      <c r="B324" s="9" t="str">
        <f>VLOOKUP(A324,[1]characters!$A:$C,3,FALSE)</f>
        <v>アストライアー</v>
      </c>
      <c r="C324" s="40" t="s">
        <v>26</v>
      </c>
      <c r="D324" s="42" t="str">
        <f>A324&amp;+(COUNTIF(A$2:A324,A324)-1)</f>
        <v>2111</v>
      </c>
      <c r="E324" s="19" t="str">
        <f>VLOOKUP(D324,unit_serifs_i18n!C:E,3,FALSE)</f>
        <v>maru</v>
      </c>
      <c r="F324" s="19" t="str">
        <f>VLOOKUP(D324,unit_serifs_i18n!C:F,4,FALSE)</f>
        <v>ほんの小粒です</v>
      </c>
    </row>
    <row r="325" spans="1:6" x14ac:dyDescent="0.15">
      <c r="A325" s="11">
        <v>212</v>
      </c>
      <c r="B325" s="9" t="str">
        <f>VLOOKUP(A325,[1]characters!$A:$C,3,FALSE)</f>
        <v>星神 アストライアー</v>
      </c>
      <c r="C325" s="3" t="s">
        <v>25</v>
      </c>
      <c r="D325" s="42" t="str">
        <f>A325&amp;+(COUNTIF(A$2:A325,A325)-1)</f>
        <v>2120</v>
      </c>
      <c r="E325" s="19" t="str">
        <f>VLOOKUP(D325,unit_serifs_i18n!C:E,3,FALSE)</f>
        <v>maru</v>
      </c>
      <c r="F325" s="19" t="str">
        <f>VLOOKUP(D325,unit_serifs_i18n!C:F,4,FALSE)</f>
        <v>少し、荒れますよ…！</v>
      </c>
    </row>
    <row r="326" spans="1:6" x14ac:dyDescent="0.15">
      <c r="A326" s="39">
        <v>212</v>
      </c>
      <c r="B326" s="9" t="str">
        <f>VLOOKUP(A326,[1]characters!$A:$C,3,FALSE)</f>
        <v>星神 アストライアー</v>
      </c>
      <c r="C326" s="40" t="s">
        <v>26</v>
      </c>
      <c r="D326" s="42" t="str">
        <f>A326&amp;+(COUNTIF(A$2:A326,A326)-1)</f>
        <v>2121</v>
      </c>
      <c r="E326" s="19" t="str">
        <f>VLOOKUP(D326,unit_serifs_i18n!C:E,3,FALSE)</f>
        <v>giza</v>
      </c>
      <c r="F326" s="19" t="str">
        <f>VLOOKUP(D326,unit_serifs_i18n!C:F,4,FALSE)</f>
        <v>これならどうです！？</v>
      </c>
    </row>
    <row r="327" spans="1:6" x14ac:dyDescent="0.15">
      <c r="A327" s="39">
        <v>212</v>
      </c>
      <c r="B327" s="9" t="str">
        <f>VLOOKUP(A327,[1]characters!$A:$C,3,FALSE)</f>
        <v>星神 アストライアー</v>
      </c>
      <c r="C327" s="40" t="s">
        <v>26</v>
      </c>
      <c r="D327" s="42" t="str">
        <f>D324</f>
        <v>2111</v>
      </c>
      <c r="E327" s="19" t="str">
        <f>VLOOKUP(D327,unit_serifs_i18n!C:E,3,FALSE)</f>
        <v>maru</v>
      </c>
      <c r="F327" s="19" t="str">
        <f>VLOOKUP(D327,unit_serifs_i18n!C:F,4,FALSE)</f>
        <v>ほんの小粒です</v>
      </c>
    </row>
    <row r="328" spans="1:6" x14ac:dyDescent="0.15">
      <c r="A328" s="11">
        <v>213</v>
      </c>
      <c r="B328" s="9" t="str">
        <f>VLOOKUP(A328,[1]characters!$A:$C,3,FALSE)</f>
        <v>満天の星降神 アストライアー</v>
      </c>
      <c r="C328" s="3" t="s">
        <v>25</v>
      </c>
      <c r="D328" s="42" t="str">
        <f>A328&amp;+(COUNTIF(A$32:A328,A328)-1)</f>
        <v>2130</v>
      </c>
      <c r="E328" s="19" t="str">
        <f>VLOOKUP(D328,unit_serifs_i18n!C:E,3,FALSE)</f>
        <v>giza</v>
      </c>
      <c r="F328" s="19" t="str">
        <f>VLOOKUP(D328,unit_serifs_i18n!C:F,4,FALSE)</f>
        <v>降り注げ、星の雨！！</v>
      </c>
    </row>
    <row r="329" spans="1:6" x14ac:dyDescent="0.15">
      <c r="A329" s="39">
        <v>213</v>
      </c>
      <c r="B329" s="9" t="str">
        <f>VLOOKUP(A329,[1]characters!$A:$C,3,FALSE)</f>
        <v>満天の星降神 アストライアー</v>
      </c>
      <c r="C329" s="40" t="s">
        <v>26</v>
      </c>
      <c r="D329" s="42" t="str">
        <f>A329&amp;+(COUNTIF(A$32:A329,A329)-1)</f>
        <v>2131</v>
      </c>
      <c r="E329" s="19" t="str">
        <f>VLOOKUP(D329,unit_serifs_i18n!C:E,3,FALSE)</f>
        <v>giza</v>
      </c>
      <c r="F329" s="19" t="str">
        <f>VLOOKUP(D329,unit_serifs_i18n!C:F,4,FALSE)</f>
        <v>墜ちなさい！！</v>
      </c>
    </row>
    <row r="330" spans="1:6" x14ac:dyDescent="0.15">
      <c r="A330" s="39">
        <v>213</v>
      </c>
      <c r="B330" s="9" t="str">
        <f>VLOOKUP(A330,[1]characters!$A:$C,3,FALSE)</f>
        <v>満天の星降神 アストライアー</v>
      </c>
      <c r="C330" s="40" t="s">
        <v>26</v>
      </c>
      <c r="D330" s="42" t="str">
        <f>D326</f>
        <v>2121</v>
      </c>
      <c r="E330" s="19" t="str">
        <f>VLOOKUP(D330,unit_serifs_i18n!C:E,3,FALSE)</f>
        <v>giza</v>
      </c>
      <c r="F330" s="19" t="str">
        <f>VLOOKUP(D330,unit_serifs_i18n!C:F,4,FALSE)</f>
        <v>これならどうです！？</v>
      </c>
    </row>
    <row r="331" spans="1:6" x14ac:dyDescent="0.15">
      <c r="A331" s="39">
        <v>213</v>
      </c>
      <c r="B331" s="9" t="str">
        <f>VLOOKUP(A331,[1]characters!$A:$C,3,FALSE)</f>
        <v>満天の星降神 アストライアー</v>
      </c>
      <c r="C331" s="40" t="s">
        <v>26</v>
      </c>
      <c r="D331" s="42" t="str">
        <f>D327</f>
        <v>2111</v>
      </c>
      <c r="E331" s="19" t="str">
        <f>VLOOKUP(D331,unit_serifs_i18n!C:E,3,FALSE)</f>
        <v>maru</v>
      </c>
      <c r="F331" s="19" t="str">
        <f>VLOOKUP(D331,unit_serifs_i18n!C:F,4,FALSE)</f>
        <v>ほんの小粒です</v>
      </c>
    </row>
    <row r="332" spans="1:6" x14ac:dyDescent="0.15">
      <c r="A332" s="11">
        <v>214</v>
      </c>
      <c r="B332" s="9" t="str">
        <f>VLOOKUP(A332,[1]characters!$A:$C,3,FALSE)</f>
        <v>アズラエル</v>
      </c>
      <c r="C332" s="3" t="s">
        <v>25</v>
      </c>
      <c r="D332" s="42" t="str">
        <f>A332&amp;+(COUNTIF(A$2:A332,A332)-1)</f>
        <v>2140</v>
      </c>
      <c r="E332" s="19" t="str">
        <f>VLOOKUP(D332,unit_serifs_i18n!C:E,3,FALSE)</f>
        <v>maru</v>
      </c>
      <c r="F332" s="19" t="str">
        <f>VLOOKUP(D332,unit_serifs_i18n!C:F,4,FALSE)</f>
        <v>そろそろ真面目にいくわよ</v>
      </c>
    </row>
    <row r="333" spans="1:6" x14ac:dyDescent="0.15">
      <c r="A333" s="39">
        <v>214</v>
      </c>
      <c r="B333" s="9" t="str">
        <f>VLOOKUP(A333,[1]characters!$A:$C,3,FALSE)</f>
        <v>アズラエル</v>
      </c>
      <c r="C333" s="40" t="s">
        <v>26</v>
      </c>
      <c r="D333" s="42" t="str">
        <f>A333&amp;+(COUNTIF(A$2:A333,A333)-1)</f>
        <v>2141</v>
      </c>
      <c r="E333" s="19" t="str">
        <f>VLOOKUP(D333,unit_serifs_i18n!C:E,3,FALSE)</f>
        <v>maru</v>
      </c>
      <c r="F333" s="19" t="str">
        <f>VLOOKUP(D333,unit_serifs_i18n!C:F,4,FALSE)</f>
        <v>はい、呪いの言葉よ</v>
      </c>
    </row>
    <row r="334" spans="1:6" x14ac:dyDescent="0.15">
      <c r="A334" s="11">
        <v>215</v>
      </c>
      <c r="B334" s="9" t="str">
        <f>VLOOKUP(A334,[1]characters!$A:$C,3,FALSE)</f>
        <v>死導者 アズラエル</v>
      </c>
      <c r="C334" s="3" t="s">
        <v>25</v>
      </c>
      <c r="D334" s="42" t="str">
        <f>A334&amp;+(COUNTIF(A$2:A334,A334)-1)</f>
        <v>2150</v>
      </c>
      <c r="E334" s="19" t="str">
        <f>VLOOKUP(D334,unit_serifs_i18n!C:E,3,FALSE)</f>
        <v>kumo</v>
      </c>
      <c r="F334" s="19" t="str">
        <f>VLOOKUP(D334,unit_serifs_i18n!C:F,4,FALSE)</f>
        <v>やる気にさせるのは簡単よ</v>
      </c>
    </row>
    <row r="335" spans="1:6" x14ac:dyDescent="0.15">
      <c r="A335" s="39">
        <v>215</v>
      </c>
      <c r="B335" s="9" t="str">
        <f>VLOOKUP(A335,[1]characters!$A:$C,3,FALSE)</f>
        <v>死導者 アズラエル</v>
      </c>
      <c r="C335" s="40" t="s">
        <v>26</v>
      </c>
      <c r="D335" s="42" t="str">
        <f>A335&amp;+(COUNTIF(A$2:A335,A335)-1)</f>
        <v>2151</v>
      </c>
      <c r="E335" s="19" t="str">
        <f>VLOOKUP(D335,unit_serifs_i18n!C:E,3,FALSE)</f>
        <v>maru</v>
      </c>
      <c r="F335" s="19" t="str">
        <f>VLOOKUP(D335,unit_serifs_i18n!C:F,4,FALSE)</f>
        <v>苦しみは終わらないわ</v>
      </c>
    </row>
    <row r="336" spans="1:6" x14ac:dyDescent="0.15">
      <c r="A336" s="39">
        <v>215</v>
      </c>
      <c r="B336" s="9" t="str">
        <f>VLOOKUP(A336,[1]characters!$A:$C,3,FALSE)</f>
        <v>死導者 アズラエル</v>
      </c>
      <c r="C336" s="40" t="s">
        <v>26</v>
      </c>
      <c r="D336" s="42" t="str">
        <f>D333</f>
        <v>2141</v>
      </c>
      <c r="E336" s="19" t="str">
        <f>VLOOKUP(D336,unit_serifs_i18n!C:E,3,FALSE)</f>
        <v>maru</v>
      </c>
      <c r="F336" s="19" t="str">
        <f>VLOOKUP(D336,unit_serifs_i18n!C:F,4,FALSE)</f>
        <v>はい、呪いの言葉よ</v>
      </c>
    </row>
    <row r="337" spans="1:6" x14ac:dyDescent="0.15">
      <c r="A337" s="11">
        <v>216</v>
      </c>
      <c r="B337" s="9" t="str">
        <f>VLOOKUP(A337,[1]characters!$A:$C,3,FALSE)</f>
        <v>百読の死導司書 アズラエル</v>
      </c>
      <c r="C337" s="3" t="s">
        <v>25</v>
      </c>
      <c r="D337" s="42" t="str">
        <f>A337&amp;+(COUNTIF(A$32:A337,A337)-1)</f>
        <v>2160</v>
      </c>
      <c r="E337" s="19" t="str">
        <f>VLOOKUP(D337,unit_serifs_i18n!C:E,3,FALSE)</f>
        <v>giza</v>
      </c>
      <c r="F337" s="19" t="str">
        <f>VLOOKUP(D337,unit_serifs_i18n!C:F,4,FALSE)</f>
        <v>とっておきの殺し文句よ！</v>
      </c>
    </row>
    <row r="338" spans="1:6" x14ac:dyDescent="0.15">
      <c r="A338" s="39">
        <v>216</v>
      </c>
      <c r="B338" s="9" t="str">
        <f>VLOOKUP(A338,[1]characters!$A:$C,3,FALSE)</f>
        <v>百読の死導司書 アズラエル</v>
      </c>
      <c r="C338" s="40" t="s">
        <v>26</v>
      </c>
      <c r="D338" s="42" t="str">
        <f>A338&amp;+(COUNTIF(A$32:A338,A338)-1)</f>
        <v>2161</v>
      </c>
      <c r="E338" s="19" t="str">
        <f>VLOOKUP(D338,unit_serifs_i18n!C:E,3,FALSE)</f>
        <v>kumo</v>
      </c>
      <c r="F338" s="19" t="str">
        <f>VLOOKUP(D338,unit_serifs_i18n!C:F,4,FALSE)</f>
        <v>導いてあげるわ、死へ</v>
      </c>
    </row>
    <row r="339" spans="1:6" x14ac:dyDescent="0.15">
      <c r="A339" s="39">
        <v>216</v>
      </c>
      <c r="B339" s="9" t="str">
        <f>VLOOKUP(A339,[1]characters!$A:$C,3,FALSE)</f>
        <v>百読の死導司書 アズラエル</v>
      </c>
      <c r="C339" s="40" t="s">
        <v>26</v>
      </c>
      <c r="D339" s="42" t="str">
        <f>D335</f>
        <v>2151</v>
      </c>
      <c r="E339" s="19" t="str">
        <f>VLOOKUP(D339,unit_serifs_i18n!C:E,3,FALSE)</f>
        <v>maru</v>
      </c>
      <c r="F339" s="19" t="str">
        <f>VLOOKUP(D339,unit_serifs_i18n!C:F,4,FALSE)</f>
        <v>苦しみは終わらないわ</v>
      </c>
    </row>
    <row r="340" spans="1:6" x14ac:dyDescent="0.15">
      <c r="A340" s="39">
        <v>216</v>
      </c>
      <c r="B340" s="9" t="str">
        <f>VLOOKUP(A340,[1]characters!$A:$C,3,FALSE)</f>
        <v>百読の死導司書 アズラエル</v>
      </c>
      <c r="C340" s="40" t="s">
        <v>26</v>
      </c>
      <c r="D340" s="42" t="str">
        <f>D336</f>
        <v>2141</v>
      </c>
      <c r="E340" s="19" t="str">
        <f>VLOOKUP(D340,unit_serifs_i18n!C:E,3,FALSE)</f>
        <v>maru</v>
      </c>
      <c r="F340" s="19" t="str">
        <f>VLOOKUP(D340,unit_serifs_i18n!C:F,4,FALSE)</f>
        <v>はい、呪いの言葉よ</v>
      </c>
    </row>
    <row r="341" spans="1:6" x14ac:dyDescent="0.15">
      <c r="A341" s="11">
        <v>217</v>
      </c>
      <c r="B341" s="9" t="str">
        <f>VLOOKUP(A341,[1]characters!$A:$C,3,FALSE)</f>
        <v>ケツァクアトル</v>
      </c>
      <c r="C341" s="3" t="s">
        <v>25</v>
      </c>
      <c r="D341" s="42" t="str">
        <f>A341&amp;+(COUNTIF(A$2:A341,A341)-1)</f>
        <v>2170</v>
      </c>
      <c r="E341" s="19" t="str">
        <f>VLOOKUP(D341,unit_serifs_i18n!C:E,3,FALSE)</f>
        <v>giza</v>
      </c>
      <c r="F341" s="19" t="str">
        <f>VLOOKUP(D341,unit_serifs_i18n!C:F,4,FALSE)</f>
        <v>おどってたおすよ！</v>
      </c>
    </row>
    <row r="342" spans="1:6" x14ac:dyDescent="0.15">
      <c r="A342" s="39">
        <v>217</v>
      </c>
      <c r="B342" s="9" t="str">
        <f>VLOOKUP(A342,[1]characters!$A:$C,3,FALSE)</f>
        <v>ケツァクアトル</v>
      </c>
      <c r="C342" s="40" t="s">
        <v>26</v>
      </c>
      <c r="D342" s="42" t="str">
        <f>A342&amp;+(COUNTIF(A$2:A342,A342)-1)</f>
        <v>2171</v>
      </c>
      <c r="E342" s="19" t="str">
        <f>VLOOKUP(D342,unit_serifs_i18n!C:E,3,FALSE)</f>
        <v>giza</v>
      </c>
      <c r="F342" s="19" t="str">
        <f>VLOOKUP(D342,unit_serifs_i18n!C:F,4,FALSE)</f>
        <v>おねむになるよ！</v>
      </c>
    </row>
    <row r="343" spans="1:6" x14ac:dyDescent="0.15">
      <c r="A343" s="11">
        <v>218</v>
      </c>
      <c r="B343" s="9" t="str">
        <f>VLOOKUP(A343,[1]characters!$A:$C,3,FALSE)</f>
        <v>聖蛇 ケツァクアトル</v>
      </c>
      <c r="C343" s="3" t="s">
        <v>25</v>
      </c>
      <c r="D343" s="42" t="str">
        <f>A343&amp;+(COUNTIF(A$2:A343,A343)-1)</f>
        <v>2180</v>
      </c>
      <c r="E343" s="19" t="str">
        <f>VLOOKUP(D343,unit_serifs_i18n!C:E,3,FALSE)</f>
        <v>giza</v>
      </c>
      <c r="F343" s="19" t="str">
        <f>VLOOKUP(D343,unit_serifs_i18n!C:F,4,FALSE)</f>
        <v>ならんでとつげきだよ！</v>
      </c>
    </row>
    <row r="344" spans="1:6" x14ac:dyDescent="0.15">
      <c r="A344" s="39">
        <v>218</v>
      </c>
      <c r="B344" s="9" t="str">
        <f>VLOOKUP(A344,[1]characters!$A:$C,3,FALSE)</f>
        <v>聖蛇 ケツァクアトル</v>
      </c>
      <c r="C344" s="40" t="s">
        <v>26</v>
      </c>
      <c r="D344" s="42" t="str">
        <f>A344&amp;+(COUNTIF(A$2:A344,A344)-1)</f>
        <v>2181</v>
      </c>
      <c r="E344" s="19" t="str">
        <f>VLOOKUP(D344,unit_serifs_i18n!C:E,3,FALSE)</f>
        <v>giza</v>
      </c>
      <c r="F344" s="19" t="str">
        <f>VLOOKUP(D344,unit_serifs_i18n!C:F,4,FALSE)</f>
        <v>ねんねするの！</v>
      </c>
    </row>
    <row r="345" spans="1:6" x14ac:dyDescent="0.15">
      <c r="A345" s="39">
        <v>218</v>
      </c>
      <c r="B345" s="9" t="str">
        <f>VLOOKUP(A345,[1]characters!$A:$C,3,FALSE)</f>
        <v>聖蛇 ケツァクアトル</v>
      </c>
      <c r="C345" s="40" t="s">
        <v>26</v>
      </c>
      <c r="D345" s="42" t="str">
        <f>D342</f>
        <v>2171</v>
      </c>
      <c r="E345" s="19" t="str">
        <f>VLOOKUP(D345,unit_serifs_i18n!C:E,3,FALSE)</f>
        <v>giza</v>
      </c>
      <c r="F345" s="19" t="str">
        <f>VLOOKUP(D345,unit_serifs_i18n!C:F,4,FALSE)</f>
        <v>おねむになるよ！</v>
      </c>
    </row>
    <row r="346" spans="1:6" x14ac:dyDescent="0.15">
      <c r="A346" s="11">
        <v>219</v>
      </c>
      <c r="B346" s="9" t="str">
        <f>VLOOKUP(A346,[1]characters!$A:$C,3,FALSE)</f>
        <v>覇翼の聖蛇竜 ケツァクアトル</v>
      </c>
      <c r="C346" s="3" t="s">
        <v>25</v>
      </c>
      <c r="D346" s="42" t="str">
        <f>A346&amp;+(COUNTIF(A$32:A346,A346)-1)</f>
        <v>2190</v>
      </c>
      <c r="E346" s="19" t="str">
        <f>VLOOKUP(D346,unit_serifs_i18n!C:E,3,FALSE)</f>
        <v>giza</v>
      </c>
      <c r="F346" s="19" t="str">
        <f>VLOOKUP(D346,unit_serifs_i18n!C:F,4,FALSE)</f>
        <v>おまつりはじまるよー！</v>
      </c>
    </row>
    <row r="347" spans="1:6" x14ac:dyDescent="0.15">
      <c r="A347" s="39">
        <v>219</v>
      </c>
      <c r="B347" s="9" t="str">
        <f>VLOOKUP(A347,[1]characters!$A:$C,3,FALSE)</f>
        <v>覇翼の聖蛇竜 ケツァクアトル</v>
      </c>
      <c r="C347" s="40" t="s">
        <v>26</v>
      </c>
      <c r="D347" s="42" t="str">
        <f>A347&amp;+(COUNTIF(A$32:A347,A347)-1)</f>
        <v>2191</v>
      </c>
      <c r="E347" s="19" t="str">
        <f>VLOOKUP(D347,unit_serifs_i18n!C:E,3,FALSE)</f>
        <v>maru</v>
      </c>
      <c r="F347" s="19" t="str">
        <f>VLOOKUP(D347,unit_serifs_i18n!C:F,4,FALSE)</f>
        <v>あさまでぐっすりね！</v>
      </c>
    </row>
    <row r="348" spans="1:6" x14ac:dyDescent="0.15">
      <c r="A348" s="39">
        <v>219</v>
      </c>
      <c r="B348" s="9" t="str">
        <f>VLOOKUP(A348,[1]characters!$A:$C,3,FALSE)</f>
        <v>覇翼の聖蛇竜 ケツァクアトル</v>
      </c>
      <c r="C348" s="40" t="s">
        <v>26</v>
      </c>
      <c r="D348" s="42" t="str">
        <f>D344</f>
        <v>2181</v>
      </c>
      <c r="E348" s="19" t="str">
        <f>VLOOKUP(D348,unit_serifs_i18n!C:E,3,FALSE)</f>
        <v>giza</v>
      </c>
      <c r="F348" s="19" t="str">
        <f>VLOOKUP(D348,unit_serifs_i18n!C:F,4,FALSE)</f>
        <v>ねんねするの！</v>
      </c>
    </row>
    <row r="349" spans="1:6" x14ac:dyDescent="0.15">
      <c r="A349" s="39">
        <v>219</v>
      </c>
      <c r="B349" s="9" t="str">
        <f>VLOOKUP(A349,[1]characters!$A:$C,3,FALSE)</f>
        <v>覇翼の聖蛇竜 ケツァクアトル</v>
      </c>
      <c r="C349" s="40" t="s">
        <v>26</v>
      </c>
      <c r="D349" s="42" t="str">
        <f>D345</f>
        <v>2171</v>
      </c>
      <c r="E349" s="19" t="str">
        <f>VLOOKUP(D349,unit_serifs_i18n!C:E,3,FALSE)</f>
        <v>giza</v>
      </c>
      <c r="F349" s="19" t="str">
        <f>VLOOKUP(D349,unit_serifs_i18n!C:F,4,FALSE)</f>
        <v>おねむになるよ！</v>
      </c>
    </row>
    <row r="350" spans="1:6" x14ac:dyDescent="0.15">
      <c r="A350" s="11">
        <v>220</v>
      </c>
      <c r="B350" s="9" t="str">
        <f>VLOOKUP(A350,[1]characters!$A:$C,3,FALSE)</f>
        <v>ルキフグス</v>
      </c>
      <c r="C350" s="3" t="s">
        <v>25</v>
      </c>
      <c r="D350" s="42" t="str">
        <f>A350&amp;+(COUNTIF(A$2:A350,A350)-1)</f>
        <v>2200</v>
      </c>
      <c r="E350" s="19" t="str">
        <f>VLOOKUP(D350,unit_serifs_i18n!C:E,3,FALSE)</f>
        <v>kumo</v>
      </c>
      <c r="F350" s="19" t="str">
        <f>VLOOKUP(D350,unit_serifs_i18n!C:F,4,FALSE)</f>
        <v>時間を稼がせてもらうわ…</v>
      </c>
    </row>
    <row r="351" spans="1:6" x14ac:dyDescent="0.15">
      <c r="A351" s="39">
        <v>220</v>
      </c>
      <c r="B351" s="9" t="str">
        <f>VLOOKUP(A351,[1]characters!$A:$C,3,FALSE)</f>
        <v>ルキフグス</v>
      </c>
      <c r="C351" s="40" t="s">
        <v>26</v>
      </c>
      <c r="D351" s="42" t="str">
        <f>A351&amp;+(COUNTIF(A$2:A351,A351)-1)</f>
        <v>2201</v>
      </c>
      <c r="E351" s="19" t="str">
        <f>VLOOKUP(D351,unit_serifs_i18n!C:E,3,FALSE)</f>
        <v>maru</v>
      </c>
      <c r="F351" s="19" t="str">
        <f>VLOOKUP(D351,unit_serifs_i18n!C:F,4,FALSE)</f>
        <v>暑い…あっち行って</v>
      </c>
    </row>
    <row r="352" spans="1:6" x14ac:dyDescent="0.15">
      <c r="A352" s="11">
        <v>221</v>
      </c>
      <c r="B352" s="9" t="str">
        <f>VLOOKUP(A352,[1]characters!$A:$C,3,FALSE)</f>
        <v>宰相 ルキフグス</v>
      </c>
      <c r="C352" s="3" t="s">
        <v>25</v>
      </c>
      <c r="D352" s="42" t="str">
        <f>A352&amp;+(COUNTIF(A$2:A352,A352)-1)</f>
        <v>2210</v>
      </c>
      <c r="E352" s="19" t="str">
        <f>VLOOKUP(D352,unit_serifs_i18n!C:E,3,FALSE)</f>
        <v>kumo</v>
      </c>
      <c r="F352" s="19" t="str">
        <f>VLOOKUP(D352,unit_serifs_i18n!C:F,4,FALSE)</f>
        <v>諦めなさい…逃げても無駄</v>
      </c>
    </row>
    <row r="353" spans="1:6" x14ac:dyDescent="0.15">
      <c r="A353" s="39">
        <v>221</v>
      </c>
      <c r="B353" s="9" t="str">
        <f>VLOOKUP(A353,[1]characters!$A:$C,3,FALSE)</f>
        <v>宰相 ルキフグス</v>
      </c>
      <c r="C353" s="40" t="s">
        <v>26</v>
      </c>
      <c r="D353" s="42" t="str">
        <f>A353&amp;+(COUNTIF(A$2:A353,A353)-1)</f>
        <v>2211</v>
      </c>
      <c r="E353" s="19" t="str">
        <f>VLOOKUP(D353,unit_serifs_i18n!C:E,3,FALSE)</f>
        <v>maru</v>
      </c>
      <c r="F353" s="19" t="str">
        <f>VLOOKUP(D353,unit_serifs_i18n!C:F,4,FALSE)</f>
        <v>暑苦しいのは嫌いなの</v>
      </c>
    </row>
    <row r="354" spans="1:6" x14ac:dyDescent="0.15">
      <c r="A354" s="39">
        <v>221</v>
      </c>
      <c r="B354" s="9" t="str">
        <f>VLOOKUP(A354,[1]characters!$A:$C,3,FALSE)</f>
        <v>宰相 ルキフグス</v>
      </c>
      <c r="C354" s="40" t="s">
        <v>26</v>
      </c>
      <c r="D354" s="42" t="str">
        <f>D351</f>
        <v>2201</v>
      </c>
      <c r="E354" s="19" t="str">
        <f>VLOOKUP(D354,unit_serifs_i18n!C:E,3,FALSE)</f>
        <v>maru</v>
      </c>
      <c r="F354" s="19" t="str">
        <f>VLOOKUP(D354,unit_serifs_i18n!C:F,4,FALSE)</f>
        <v>暑い…あっち行って</v>
      </c>
    </row>
    <row r="355" spans="1:6" x14ac:dyDescent="0.15">
      <c r="A355" s="11">
        <v>222</v>
      </c>
      <c r="B355" s="9" t="str">
        <f>VLOOKUP(A355,[1]characters!$A:$C,3,FALSE)</f>
        <v>避光の鉄鎖宰相 ルキフグス</v>
      </c>
      <c r="C355" s="3" t="s">
        <v>25</v>
      </c>
      <c r="D355" s="42" t="str">
        <f>A355&amp;+(COUNTIF(A$32:A355,A355)-1)</f>
        <v>2220</v>
      </c>
      <c r="E355" s="19" t="str">
        <f>VLOOKUP(D355,unit_serifs_i18n!C:E,3,FALSE)</f>
        <v>maru</v>
      </c>
      <c r="F355" s="19" t="str">
        <f>VLOOKUP(D355,unit_serifs_i18n!C:F,4,FALSE)</f>
        <v>見なさい…偉大なる十字を</v>
      </c>
    </row>
    <row r="356" spans="1:6" x14ac:dyDescent="0.15">
      <c r="A356" s="39">
        <v>222</v>
      </c>
      <c r="B356" s="9" t="str">
        <f>VLOOKUP(A356,[1]characters!$A:$C,3,FALSE)</f>
        <v>避光の鉄鎖宰相 ルキフグス</v>
      </c>
      <c r="C356" s="40" t="s">
        <v>26</v>
      </c>
      <c r="D356" s="42" t="str">
        <f>A356&amp;+(COUNTIF(A$32:A356,A356)-1)</f>
        <v>2221</v>
      </c>
      <c r="E356" s="19" t="str">
        <f>VLOOKUP(D356,unit_serifs_i18n!C:E,3,FALSE)</f>
        <v>maru</v>
      </c>
      <c r="F356" s="19" t="str">
        <f>VLOOKUP(D356,unit_serifs_i18n!C:F,4,FALSE)</f>
        <v>消火するわ…完全にね</v>
      </c>
    </row>
    <row r="357" spans="1:6" x14ac:dyDescent="0.15">
      <c r="A357" s="39">
        <v>222</v>
      </c>
      <c r="B357" s="9" t="str">
        <f>VLOOKUP(A357,[1]characters!$A:$C,3,FALSE)</f>
        <v>避光の鉄鎖宰相 ルキフグス</v>
      </c>
      <c r="C357" s="40" t="s">
        <v>26</v>
      </c>
      <c r="D357" s="42" t="str">
        <f>D353</f>
        <v>2211</v>
      </c>
      <c r="E357" s="19" t="str">
        <f>VLOOKUP(D357,unit_serifs_i18n!C:E,3,FALSE)</f>
        <v>maru</v>
      </c>
      <c r="F357" s="19" t="str">
        <f>VLOOKUP(D357,unit_serifs_i18n!C:F,4,FALSE)</f>
        <v>暑苦しいのは嫌いなの</v>
      </c>
    </row>
    <row r="358" spans="1:6" x14ac:dyDescent="0.15">
      <c r="A358" s="39">
        <v>222</v>
      </c>
      <c r="B358" s="9" t="str">
        <f>VLOOKUP(A358,[1]characters!$A:$C,3,FALSE)</f>
        <v>避光の鉄鎖宰相 ルキフグス</v>
      </c>
      <c r="C358" s="40" t="s">
        <v>26</v>
      </c>
      <c r="D358" s="42" t="str">
        <f>D354</f>
        <v>2201</v>
      </c>
      <c r="E358" s="19" t="str">
        <f>VLOOKUP(D358,unit_serifs_i18n!C:E,3,FALSE)</f>
        <v>maru</v>
      </c>
      <c r="F358" s="19" t="str">
        <f>VLOOKUP(D358,unit_serifs_i18n!C:F,4,FALSE)</f>
        <v>暑い…あっち行って</v>
      </c>
    </row>
    <row r="359" spans="1:6" x14ac:dyDescent="0.15">
      <c r="A359" s="11">
        <v>223</v>
      </c>
      <c r="B359" s="9" t="str">
        <f>VLOOKUP(A359,[1]characters!$A:$C,3,FALSE)</f>
        <v>ヘラクレス</v>
      </c>
      <c r="C359" s="3" t="s">
        <v>25</v>
      </c>
      <c r="D359" s="42" t="str">
        <f>A359&amp;+(COUNTIF(A$2:A359,A359)-1)</f>
        <v>2230</v>
      </c>
      <c r="E359" s="19" t="str">
        <f>VLOOKUP(D359,unit_serifs_i18n!C:E,3,FALSE)</f>
        <v>maru</v>
      </c>
      <c r="F359" s="19" t="str">
        <f>VLOOKUP(D359,unit_serifs_i18n!C:F,4,FALSE)</f>
        <v>これでまだ戦えるな？</v>
      </c>
    </row>
    <row r="360" spans="1:6" x14ac:dyDescent="0.15">
      <c r="A360" s="39">
        <v>223</v>
      </c>
      <c r="B360" s="9" t="str">
        <f>VLOOKUP(A360,[1]characters!$A:$C,3,FALSE)</f>
        <v>ヘラクレス</v>
      </c>
      <c r="C360" s="40" t="s">
        <v>26</v>
      </c>
      <c r="D360" s="42" t="str">
        <f>A360&amp;+(COUNTIF(A$2:A360,A360)-1)</f>
        <v>2231</v>
      </c>
      <c r="E360" s="19" t="str">
        <f>VLOOKUP(D360,unit_serifs_i18n!C:E,3,FALSE)</f>
        <v>maru</v>
      </c>
      <c r="F360" s="19" t="str">
        <f>VLOOKUP(D360,unit_serifs_i18n!C:F,4,FALSE)</f>
        <v>口数が多すぎるようだ</v>
      </c>
    </row>
    <row r="361" spans="1:6" x14ac:dyDescent="0.15">
      <c r="A361" s="11">
        <v>224</v>
      </c>
      <c r="B361" s="9" t="str">
        <f>VLOOKUP(A361,[1]characters!$A:$C,3,FALSE)</f>
        <v>巨腕 ヘラクレス</v>
      </c>
      <c r="C361" s="3" t="s">
        <v>25</v>
      </c>
      <c r="D361" s="42" t="str">
        <f>A361&amp;+(COUNTIF(A$2:A361,A361)-1)</f>
        <v>2240</v>
      </c>
      <c r="E361" s="19" t="str">
        <f>VLOOKUP(D361,unit_serifs_i18n!C:E,3,FALSE)</f>
        <v>maru</v>
      </c>
      <c r="F361" s="19" t="str">
        <f>VLOOKUP(D361,unit_serifs_i18n!C:F,4,FALSE)</f>
        <v>全ては勝利のために、だ！</v>
      </c>
    </row>
    <row r="362" spans="1:6" x14ac:dyDescent="0.15">
      <c r="A362" s="39">
        <v>224</v>
      </c>
      <c r="B362" s="9" t="str">
        <f>VLOOKUP(A362,[1]characters!$A:$C,3,FALSE)</f>
        <v>巨腕 ヘラクレス</v>
      </c>
      <c r="C362" s="40" t="s">
        <v>26</v>
      </c>
      <c r="D362" s="42" t="str">
        <f>A362&amp;+(COUNTIF(A$2:A362,A362)-1)</f>
        <v>2241</v>
      </c>
      <c r="E362" s="19" t="str">
        <f>VLOOKUP(D362,unit_serifs_i18n!C:E,3,FALSE)</f>
        <v>maru</v>
      </c>
      <c r="F362" s="19" t="str">
        <f>VLOOKUP(D362,unit_serifs_i18n!C:F,4,FALSE)</f>
        <v>小手先は好かんな</v>
      </c>
    </row>
    <row r="363" spans="1:6" x14ac:dyDescent="0.15">
      <c r="A363" s="39">
        <v>224</v>
      </c>
      <c r="B363" s="9" t="str">
        <f>VLOOKUP(A363,[1]characters!$A:$C,3,FALSE)</f>
        <v>巨腕 ヘラクレス</v>
      </c>
      <c r="C363" s="40" t="s">
        <v>26</v>
      </c>
      <c r="D363" s="42" t="str">
        <f>D360</f>
        <v>2231</v>
      </c>
      <c r="E363" s="19" t="str">
        <f>VLOOKUP(D363,unit_serifs_i18n!C:E,3,FALSE)</f>
        <v>maru</v>
      </c>
      <c r="F363" s="19" t="str">
        <f>VLOOKUP(D363,unit_serifs_i18n!C:F,4,FALSE)</f>
        <v>口数が多すぎるようだ</v>
      </c>
    </row>
    <row r="364" spans="1:6" x14ac:dyDescent="0.15">
      <c r="A364" s="11">
        <v>225</v>
      </c>
      <c r="B364" s="9" t="str">
        <f>VLOOKUP(A364,[1]characters!$A:$C,3,FALSE)</f>
        <v>咆哮の巨獅腕 ヘラクレス</v>
      </c>
      <c r="C364" s="3" t="s">
        <v>25</v>
      </c>
      <c r="D364" s="42" t="str">
        <f>A364&amp;+(COUNTIF(A$32:A364,A364)-1)</f>
        <v>2250</v>
      </c>
      <c r="E364" s="19" t="str">
        <f>VLOOKUP(D364,unit_serifs_i18n!C:E,3,FALSE)</f>
        <v>giza</v>
      </c>
      <c r="F364" s="19" t="str">
        <f>VLOOKUP(D364,unit_serifs_i18n!C:F,4,FALSE)</f>
        <v>高みへ行くぞ…誰よりも！</v>
      </c>
    </row>
    <row r="365" spans="1:6" x14ac:dyDescent="0.15">
      <c r="A365" s="39">
        <v>225</v>
      </c>
      <c r="B365" s="9" t="str">
        <f>VLOOKUP(A365,[1]characters!$A:$C,3,FALSE)</f>
        <v>咆哮の巨獅腕 ヘラクレス</v>
      </c>
      <c r="C365" s="40" t="s">
        <v>26</v>
      </c>
      <c r="D365" s="42" t="str">
        <f>A365&amp;+(COUNTIF(A$32:A365,A365)-1)</f>
        <v>2251</v>
      </c>
      <c r="E365" s="19" t="str">
        <f>VLOOKUP(D365,unit_serifs_i18n!C:E,3,FALSE)</f>
        <v>giza</v>
      </c>
      <c r="F365" s="19" t="str">
        <f>VLOOKUP(D365,unit_serifs_i18n!C:F,4,FALSE)</f>
        <v>大人しくしてもらう！</v>
      </c>
    </row>
    <row r="366" spans="1:6" x14ac:dyDescent="0.15">
      <c r="A366" s="39">
        <v>225</v>
      </c>
      <c r="B366" s="9" t="str">
        <f>VLOOKUP(A366,[1]characters!$A:$C,3,FALSE)</f>
        <v>咆哮の巨獅腕 ヘラクレス</v>
      </c>
      <c r="C366" s="40" t="s">
        <v>26</v>
      </c>
      <c r="D366" s="42" t="str">
        <f>D362</f>
        <v>2241</v>
      </c>
      <c r="E366" s="19" t="str">
        <f>VLOOKUP(D366,unit_serifs_i18n!C:E,3,FALSE)</f>
        <v>maru</v>
      </c>
      <c r="F366" s="19" t="str">
        <f>VLOOKUP(D366,unit_serifs_i18n!C:F,4,FALSE)</f>
        <v>小手先は好かんな</v>
      </c>
    </row>
    <row r="367" spans="1:6" x14ac:dyDescent="0.15">
      <c r="A367" s="39">
        <v>225</v>
      </c>
      <c r="B367" s="9" t="str">
        <f>VLOOKUP(A367,[1]characters!$A:$C,3,FALSE)</f>
        <v>咆哮の巨獅腕 ヘラクレス</v>
      </c>
      <c r="C367" s="40" t="s">
        <v>26</v>
      </c>
      <c r="D367" s="42" t="str">
        <f>D363</f>
        <v>2231</v>
      </c>
      <c r="E367" s="19" t="str">
        <f>VLOOKUP(D367,unit_serifs_i18n!C:E,3,FALSE)</f>
        <v>maru</v>
      </c>
      <c r="F367" s="19" t="str">
        <f>VLOOKUP(D367,unit_serifs_i18n!C:F,4,FALSE)</f>
        <v>口数が多すぎるようだ</v>
      </c>
    </row>
    <row r="368" spans="1:6" x14ac:dyDescent="0.15">
      <c r="A368" s="11">
        <v>226</v>
      </c>
      <c r="B368" s="9" t="str">
        <f>VLOOKUP(A368,[1]characters!$A:$C,3,FALSE)</f>
        <v>アレス</v>
      </c>
      <c r="C368" s="3" t="s">
        <v>25</v>
      </c>
      <c r="D368" s="42" t="str">
        <f>A368&amp;+(COUNTIF(A$2:A368,A368)-1)</f>
        <v>2260</v>
      </c>
      <c r="E368" s="19" t="str">
        <f>VLOOKUP(D368,unit_serifs_i18n!C:E,3,FALSE)</f>
        <v>kumo</v>
      </c>
      <c r="F368" s="19" t="str">
        <f>VLOOKUP(D368,unit_serifs_i18n!C:F,4,FALSE)</f>
        <v>やっと俺の出番か…</v>
      </c>
    </row>
    <row r="369" spans="1:6" x14ac:dyDescent="0.15">
      <c r="A369" s="39">
        <v>226</v>
      </c>
      <c r="B369" s="9" t="str">
        <f>VLOOKUP(A369,[1]characters!$A:$C,3,FALSE)</f>
        <v>アレス</v>
      </c>
      <c r="C369" s="40" t="s">
        <v>26</v>
      </c>
      <c r="D369" s="42" t="str">
        <f>A369&amp;+(COUNTIF(A$2:A369,A369)-1)</f>
        <v>2261</v>
      </c>
      <c r="E369" s="19" t="str">
        <f>VLOOKUP(D369,unit_serifs_i18n!C:E,3,FALSE)</f>
        <v>kumo</v>
      </c>
      <c r="F369" s="19" t="str">
        <f>VLOOKUP(D369,unit_serifs_i18n!C:F,4,FALSE)</f>
        <v>目障りなやつらめ</v>
      </c>
    </row>
    <row r="370" spans="1:6" x14ac:dyDescent="0.15">
      <c r="A370" s="11">
        <v>227</v>
      </c>
      <c r="B370" s="9" t="str">
        <f>VLOOKUP(A370,[1]characters!$A:$C,3,FALSE)</f>
        <v>滅弾 アレス</v>
      </c>
      <c r="C370" s="3" t="s">
        <v>25</v>
      </c>
      <c r="D370" s="42" t="str">
        <f>A370&amp;+(COUNTIF(A$2:A370,A370)-1)</f>
        <v>2270</v>
      </c>
      <c r="E370" s="19" t="str">
        <f>VLOOKUP(D370,unit_serifs_i18n!C:E,3,FALSE)</f>
        <v>maru</v>
      </c>
      <c r="F370" s="19" t="str">
        <f>VLOOKUP(D370,unit_serifs_i18n!C:F,4,FALSE)</f>
        <v>大したことはない、進むぞ</v>
      </c>
    </row>
    <row r="371" spans="1:6" x14ac:dyDescent="0.15">
      <c r="A371" s="39">
        <v>227</v>
      </c>
      <c r="B371" s="9" t="str">
        <f>VLOOKUP(A371,[1]characters!$A:$C,3,FALSE)</f>
        <v>滅弾 アレス</v>
      </c>
      <c r="C371" s="40" t="s">
        <v>26</v>
      </c>
      <c r="D371" s="42" t="str">
        <f>A371&amp;+(COUNTIF(A$2:A371,A371)-1)</f>
        <v>2271</v>
      </c>
      <c r="E371" s="19" t="str">
        <f>VLOOKUP(D371,unit_serifs_i18n!C:E,3,FALSE)</f>
        <v>maru</v>
      </c>
      <c r="F371" s="19" t="str">
        <f>VLOOKUP(D371,unit_serifs_i18n!C:F,4,FALSE)</f>
        <v>抵抗するだけ無駄だ</v>
      </c>
    </row>
    <row r="372" spans="1:6" x14ac:dyDescent="0.15">
      <c r="A372" s="39">
        <v>227</v>
      </c>
      <c r="B372" s="9" t="str">
        <f>VLOOKUP(A372,[1]characters!$A:$C,3,FALSE)</f>
        <v>滅弾 アレス</v>
      </c>
      <c r="C372" s="40" t="s">
        <v>26</v>
      </c>
      <c r="D372" s="42" t="str">
        <f>D369</f>
        <v>2261</v>
      </c>
      <c r="E372" s="19" t="str">
        <f>VLOOKUP(D372,unit_serifs_i18n!C:E,3,FALSE)</f>
        <v>kumo</v>
      </c>
      <c r="F372" s="19" t="str">
        <f>VLOOKUP(D372,unit_serifs_i18n!C:F,4,FALSE)</f>
        <v>目障りなやつらめ</v>
      </c>
    </row>
    <row r="373" spans="1:6" x14ac:dyDescent="0.15">
      <c r="A373" s="11">
        <v>228</v>
      </c>
      <c r="B373" s="9" t="str">
        <f>VLOOKUP(A373,[1]characters!$A:$C,3,FALSE)</f>
        <v>殲滅の掃射砲 アレス</v>
      </c>
      <c r="C373" s="3" t="s">
        <v>25</v>
      </c>
      <c r="D373" s="42" t="str">
        <f>A373&amp;+(COUNTIF(A$32:A373,A373)-1)</f>
        <v>2280</v>
      </c>
      <c r="E373" s="19" t="str">
        <f>VLOOKUP(D373,unit_serifs_i18n!C:E,3,FALSE)</f>
        <v>giza</v>
      </c>
      <c r="F373" s="19" t="str">
        <f>VLOOKUP(D373,unit_serifs_i18n!C:F,4,FALSE)</f>
        <v>蜂の巣にしてやる…！！</v>
      </c>
    </row>
    <row r="374" spans="1:6" x14ac:dyDescent="0.15">
      <c r="A374" s="39">
        <v>228</v>
      </c>
      <c r="B374" s="9" t="str">
        <f>VLOOKUP(A374,[1]characters!$A:$C,3,FALSE)</f>
        <v>殲滅の掃射砲 アレス</v>
      </c>
      <c r="C374" s="40" t="s">
        <v>26</v>
      </c>
      <c r="D374" s="42" t="str">
        <f>A374&amp;+(COUNTIF(A$32:A374,A374)-1)</f>
        <v>2281</v>
      </c>
      <c r="E374" s="19" t="str">
        <f>VLOOKUP(D374,unit_serifs_i18n!C:E,3,FALSE)</f>
        <v>giza</v>
      </c>
      <c r="F374" s="19" t="str">
        <f>VLOOKUP(D374,unit_serifs_i18n!C:F,4,FALSE)</f>
        <v>草木一本残さんぞ！！</v>
      </c>
    </row>
    <row r="375" spans="1:6" x14ac:dyDescent="0.15">
      <c r="A375" s="39">
        <v>228</v>
      </c>
      <c r="B375" s="9" t="str">
        <f>VLOOKUP(A375,[1]characters!$A:$C,3,FALSE)</f>
        <v>殲滅の掃射砲 アレス</v>
      </c>
      <c r="C375" s="40" t="s">
        <v>26</v>
      </c>
      <c r="D375" s="42" t="str">
        <f>D371</f>
        <v>2271</v>
      </c>
      <c r="E375" s="19" t="str">
        <f>VLOOKUP(D375,unit_serifs_i18n!C:E,3,FALSE)</f>
        <v>maru</v>
      </c>
      <c r="F375" s="19" t="str">
        <f>VLOOKUP(D375,unit_serifs_i18n!C:F,4,FALSE)</f>
        <v>抵抗するだけ無駄だ</v>
      </c>
    </row>
    <row r="376" spans="1:6" x14ac:dyDescent="0.15">
      <c r="A376" s="39">
        <v>228</v>
      </c>
      <c r="B376" s="9" t="str">
        <f>VLOOKUP(A376,[1]characters!$A:$C,3,FALSE)</f>
        <v>殲滅の掃射砲 アレス</v>
      </c>
      <c r="C376" s="40" t="s">
        <v>26</v>
      </c>
      <c r="D376" s="42" t="str">
        <f>D372</f>
        <v>2261</v>
      </c>
      <c r="E376" s="19" t="str">
        <f>VLOOKUP(D376,unit_serifs_i18n!C:E,3,FALSE)</f>
        <v>kumo</v>
      </c>
      <c r="F376" s="19" t="str">
        <f>VLOOKUP(D376,unit_serifs_i18n!C:F,4,FALSE)</f>
        <v>目障りなやつらめ</v>
      </c>
    </row>
    <row r="377" spans="1:6" x14ac:dyDescent="0.15">
      <c r="A377" s="11">
        <v>229</v>
      </c>
      <c r="B377" s="9" t="str">
        <f>VLOOKUP(A377,[1]characters!$A:$C,3,FALSE)</f>
        <v>ヨルムンガンド</v>
      </c>
      <c r="C377" s="3" t="s">
        <v>25</v>
      </c>
      <c r="D377" s="42" t="str">
        <f>A377&amp;+(COUNTIF(A$2:A377,A377)-1)</f>
        <v>2290</v>
      </c>
      <c r="E377" s="19" t="str">
        <f>VLOOKUP(D377,unit_serifs_i18n!C:E,3,FALSE)</f>
        <v>kumo</v>
      </c>
      <c r="F377" s="19" t="str">
        <f>VLOOKUP(D377,unit_serifs_i18n!C:F,4,FALSE)</f>
        <v>にしし…サービスだよ</v>
      </c>
    </row>
    <row r="378" spans="1:6" x14ac:dyDescent="0.15">
      <c r="A378" s="39">
        <v>229</v>
      </c>
      <c r="B378" s="9" t="str">
        <f>VLOOKUP(A378,[1]characters!$A:$C,3,FALSE)</f>
        <v>ヨルムンガンド</v>
      </c>
      <c r="C378" s="40" t="s">
        <v>26</v>
      </c>
      <c r="D378" s="42" t="str">
        <f>A378&amp;+(COUNTIF(A$2:A378,A378)-1)</f>
        <v>2291</v>
      </c>
      <c r="E378" s="19" t="str">
        <f>VLOOKUP(D378,unit_serifs_i18n!C:E,3,FALSE)</f>
        <v>maru</v>
      </c>
      <c r="F378" s="19" t="str">
        <f>VLOOKUP(D378,unit_serifs_i18n!C:F,4,FALSE)</f>
        <v>バキューンっと！</v>
      </c>
    </row>
    <row r="379" spans="1:6" x14ac:dyDescent="0.15">
      <c r="A379" s="11">
        <v>230</v>
      </c>
      <c r="B379" s="9" t="str">
        <f>VLOOKUP(A379,[1]characters!$A:$C,3,FALSE)</f>
        <v>毒銃 ヨルムンガンド</v>
      </c>
      <c r="C379" s="3" t="s">
        <v>25</v>
      </c>
      <c r="D379" s="42" t="str">
        <f>A379&amp;+(COUNTIF(A$2:A379,A379)-1)</f>
        <v>2300</v>
      </c>
      <c r="E379" s="19" t="str">
        <f>VLOOKUP(D379,unit_serifs_i18n!C:E,3,FALSE)</f>
        <v>kumo</v>
      </c>
      <c r="F379" s="19" t="str">
        <f>VLOOKUP(D379,unit_serifs_i18n!C:F,4,FALSE)</f>
        <v>こんなことしてみたりして</v>
      </c>
    </row>
    <row r="380" spans="1:6" x14ac:dyDescent="0.15">
      <c r="A380" s="39">
        <v>230</v>
      </c>
      <c r="B380" s="9" t="str">
        <f>VLOOKUP(A380,[1]characters!$A:$C,3,FALSE)</f>
        <v>毒銃 ヨルムンガンド</v>
      </c>
      <c r="C380" s="40" t="s">
        <v>26</v>
      </c>
      <c r="D380" s="42" t="str">
        <f>A380&amp;+(COUNTIF(A$2:A380,A380)-1)</f>
        <v>2301</v>
      </c>
      <c r="E380" s="19" t="str">
        <f>VLOOKUP(D380,unit_serifs_i18n!C:E,3,FALSE)</f>
        <v>kumo</v>
      </c>
      <c r="F380" s="19" t="str">
        <f>VLOOKUP(D380,unit_serifs_i18n!C:F,4,FALSE)</f>
        <v>震えちゃってカワイイ</v>
      </c>
    </row>
    <row r="381" spans="1:6" x14ac:dyDescent="0.15">
      <c r="A381" s="39">
        <v>230</v>
      </c>
      <c r="B381" s="9" t="str">
        <f>VLOOKUP(A381,[1]characters!$A:$C,3,FALSE)</f>
        <v>毒銃 ヨルムンガンド</v>
      </c>
      <c r="C381" s="40" t="s">
        <v>26</v>
      </c>
      <c r="D381" s="42" t="str">
        <f>D378</f>
        <v>2291</v>
      </c>
      <c r="E381" s="19" t="str">
        <f>VLOOKUP(D381,unit_serifs_i18n!C:E,3,FALSE)</f>
        <v>maru</v>
      </c>
      <c r="F381" s="19" t="str">
        <f>VLOOKUP(D381,unit_serifs_i18n!C:F,4,FALSE)</f>
        <v>バキューンっと！</v>
      </c>
    </row>
    <row r="382" spans="1:6" x14ac:dyDescent="0.15">
      <c r="A382" s="11">
        <v>231</v>
      </c>
      <c r="B382" s="9" t="str">
        <f>VLOOKUP(A382,[1]characters!$A:$C,3,FALSE)</f>
        <v>必中の咬銃 ヨルムンガンド</v>
      </c>
      <c r="C382" s="3" t="s">
        <v>25</v>
      </c>
      <c r="D382" s="42" t="str">
        <f>A382&amp;+(COUNTIF(A$32:A382,A382)-1)</f>
        <v>2310</v>
      </c>
      <c r="E382" s="19" t="str">
        <f>VLOOKUP(D382,unit_serifs_i18n!C:E,3,FALSE)</f>
        <v>maru</v>
      </c>
      <c r="F382" s="19" t="str">
        <f>VLOOKUP(D382,unit_serifs_i18n!C:F,4,FALSE)</f>
        <v>特別出血大サービスっ！</v>
      </c>
    </row>
    <row r="383" spans="1:6" x14ac:dyDescent="0.15">
      <c r="A383" s="39">
        <v>231</v>
      </c>
      <c r="B383" s="9" t="str">
        <f>VLOOKUP(A383,[1]characters!$A:$C,3,FALSE)</f>
        <v>必中の咬銃 ヨルムンガンド</v>
      </c>
      <c r="C383" s="40" t="s">
        <v>26</v>
      </c>
      <c r="D383" s="42" t="str">
        <f>A383&amp;+(COUNTIF(A$32:A383,A383)-1)</f>
        <v>2311</v>
      </c>
      <c r="E383" s="19" t="str">
        <f>VLOOKUP(D383,unit_serifs_i18n!C:E,3,FALSE)</f>
        <v>maru</v>
      </c>
      <c r="F383" s="19" t="str">
        <f>VLOOKUP(D383,unit_serifs_i18n!C:F,4,FALSE)</f>
        <v>蛇きらい？ふーん</v>
      </c>
    </row>
    <row r="384" spans="1:6" x14ac:dyDescent="0.15">
      <c r="A384" s="39">
        <v>231</v>
      </c>
      <c r="B384" s="9" t="str">
        <f>VLOOKUP(A384,[1]characters!$A:$C,3,FALSE)</f>
        <v>必中の咬銃 ヨルムンガンド</v>
      </c>
      <c r="C384" s="40" t="s">
        <v>26</v>
      </c>
      <c r="D384" s="42" t="str">
        <f>D380</f>
        <v>2301</v>
      </c>
      <c r="E384" s="19" t="str">
        <f>VLOOKUP(D384,unit_serifs_i18n!C:E,3,FALSE)</f>
        <v>kumo</v>
      </c>
      <c r="F384" s="19" t="str">
        <f>VLOOKUP(D384,unit_serifs_i18n!C:F,4,FALSE)</f>
        <v>震えちゃってカワイイ</v>
      </c>
    </row>
    <row r="385" spans="1:6" x14ac:dyDescent="0.15">
      <c r="A385" s="39">
        <v>231</v>
      </c>
      <c r="B385" s="9" t="str">
        <f>VLOOKUP(A385,[1]characters!$A:$C,3,FALSE)</f>
        <v>必中の咬銃 ヨルムンガンド</v>
      </c>
      <c r="C385" s="40" t="s">
        <v>26</v>
      </c>
      <c r="D385" s="42" t="str">
        <f>D381</f>
        <v>2291</v>
      </c>
      <c r="E385" s="19" t="str">
        <f>VLOOKUP(D385,unit_serifs_i18n!C:E,3,FALSE)</f>
        <v>maru</v>
      </c>
      <c r="F385" s="19" t="str">
        <f>VLOOKUP(D385,unit_serifs_i18n!C:F,4,FALSE)</f>
        <v>バキューンっと！</v>
      </c>
    </row>
    <row r="386" spans="1:6" x14ac:dyDescent="0.15">
      <c r="A386" s="11">
        <v>232</v>
      </c>
      <c r="B386" s="9" t="str">
        <f>VLOOKUP(A386,[1]characters!$A:$C,3,FALSE)</f>
        <v>パーシヴァル</v>
      </c>
      <c r="C386" s="3" t="s">
        <v>25</v>
      </c>
      <c r="D386" s="42" t="str">
        <f>A386&amp;+(COUNTIF(A$2:A386,A386)-1)</f>
        <v>2320</v>
      </c>
      <c r="E386" s="19" t="str">
        <f>VLOOKUP(D386,unit_serifs_i18n!C:E,3,FALSE)</f>
        <v>kumo</v>
      </c>
      <c r="F386" s="19" t="str">
        <f>VLOOKUP(D386,unit_serifs_i18n!C:F,4,FALSE)</f>
        <v>私が足止めします！</v>
      </c>
    </row>
    <row r="387" spans="1:6" x14ac:dyDescent="0.15">
      <c r="A387" s="39">
        <v>232</v>
      </c>
      <c r="B387" s="9" t="str">
        <f>VLOOKUP(A387,[1]characters!$A:$C,3,FALSE)</f>
        <v>パーシヴァル</v>
      </c>
      <c r="C387" s="40" t="s">
        <v>26</v>
      </c>
      <c r="D387" s="42" t="str">
        <f>A387&amp;+(COUNTIF(A$2:A387,A387)-1)</f>
        <v>2321</v>
      </c>
      <c r="E387" s="19" t="str">
        <f>VLOOKUP(D387,unit_serifs_i18n!C:E,3,FALSE)</f>
        <v>giza</v>
      </c>
      <c r="F387" s="19" t="str">
        <f>VLOOKUP(D387,unit_serifs_i18n!C:F,4,FALSE)</f>
        <v>執行します！</v>
      </c>
    </row>
    <row r="388" spans="1:6" x14ac:dyDescent="0.15">
      <c r="A388" s="11">
        <v>233</v>
      </c>
      <c r="B388" s="9" t="str">
        <f>VLOOKUP(A388,[1]characters!$A:$C,3,FALSE)</f>
        <v>遂行 パーシヴァル</v>
      </c>
      <c r="C388" s="3" t="s">
        <v>25</v>
      </c>
      <c r="D388" s="42" t="str">
        <f>A388&amp;+(COUNTIF(A$2:A388,A388)-1)</f>
        <v>2330</v>
      </c>
      <c r="E388" s="19" t="str">
        <f>VLOOKUP(D388,unit_serifs_i18n!C:E,3,FALSE)</f>
        <v>giza</v>
      </c>
      <c r="F388" s="19" t="str">
        <f>VLOOKUP(D388,unit_serifs_i18n!C:F,4,FALSE)</f>
        <v>無駄な抵抗は止めなさい！</v>
      </c>
    </row>
    <row r="389" spans="1:6" x14ac:dyDescent="0.15">
      <c r="A389" s="39">
        <v>233</v>
      </c>
      <c r="B389" s="9" t="str">
        <f>VLOOKUP(A389,[1]characters!$A:$C,3,FALSE)</f>
        <v>遂行 パーシヴァル</v>
      </c>
      <c r="C389" s="40" t="s">
        <v>26</v>
      </c>
      <c r="D389" s="42" t="str">
        <f>A389&amp;+(COUNTIF(A$2:A389,A389)-1)</f>
        <v>2331</v>
      </c>
      <c r="E389" s="19" t="str">
        <f>VLOOKUP(D389,unit_serifs_i18n!C:E,3,FALSE)</f>
        <v>giza</v>
      </c>
      <c r="F389" s="19" t="str">
        <f>VLOOKUP(D389,unit_serifs_i18n!C:F,4,FALSE)</f>
        <v>邪魔はさせません！</v>
      </c>
    </row>
    <row r="390" spans="1:6" x14ac:dyDescent="0.15">
      <c r="A390" s="39">
        <v>233</v>
      </c>
      <c r="B390" s="9" t="str">
        <f>VLOOKUP(A390,[1]characters!$A:$C,3,FALSE)</f>
        <v>遂行 パーシヴァル</v>
      </c>
      <c r="C390" s="40" t="s">
        <v>26</v>
      </c>
      <c r="D390" s="42" t="str">
        <f>D387</f>
        <v>2321</v>
      </c>
      <c r="E390" s="19" t="str">
        <f>VLOOKUP(D390,unit_serifs_i18n!C:E,3,FALSE)</f>
        <v>giza</v>
      </c>
      <c r="F390" s="19" t="str">
        <f>VLOOKUP(D390,unit_serifs_i18n!C:F,4,FALSE)</f>
        <v>執行します！</v>
      </c>
    </row>
    <row r="391" spans="1:6" x14ac:dyDescent="0.15">
      <c r="A391" s="11">
        <v>234</v>
      </c>
      <c r="B391" s="9" t="str">
        <f>VLOOKUP(A391,[1]characters!$A:$C,3,FALSE)</f>
        <v>精密なる照準 パーシヴァル</v>
      </c>
      <c r="C391" s="3" t="s">
        <v>25</v>
      </c>
      <c r="D391" s="42" t="str">
        <f>A391&amp;+(COUNTIF(A$32:A391,A391)-1)</f>
        <v>2340</v>
      </c>
      <c r="E391" s="19" t="str">
        <f>VLOOKUP(D391,unit_serifs_i18n!C:E,3,FALSE)</f>
        <v>maru</v>
      </c>
      <c r="F391" s="19" t="str">
        <f>VLOOKUP(D391,unit_serifs_i18n!C:F,4,FALSE)</f>
        <v>しばらく夢みてて下さい</v>
      </c>
    </row>
    <row r="392" spans="1:6" x14ac:dyDescent="0.15">
      <c r="A392" s="39">
        <v>234</v>
      </c>
      <c r="B392" s="9" t="str">
        <f>VLOOKUP(A392,[1]characters!$A:$C,3,FALSE)</f>
        <v>精密なる照準 パーシヴァル</v>
      </c>
      <c r="C392" s="40" t="s">
        <v>26</v>
      </c>
      <c r="D392" s="42" t="str">
        <f>A392&amp;+(COUNTIF(A$32:A392,A392)-1)</f>
        <v>2341</v>
      </c>
      <c r="E392" s="19" t="str">
        <f>VLOOKUP(D392,unit_serifs_i18n!C:E,3,FALSE)</f>
        <v>kumo</v>
      </c>
      <c r="F392" s="19" t="str">
        <f>VLOOKUP(D392,unit_serifs_i18n!C:F,4,FALSE)</f>
        <v>外しませんよ！</v>
      </c>
    </row>
    <row r="393" spans="1:6" x14ac:dyDescent="0.15">
      <c r="A393" s="39">
        <v>234</v>
      </c>
      <c r="B393" s="9" t="str">
        <f>VLOOKUP(A393,[1]characters!$A:$C,3,FALSE)</f>
        <v>精密なる照準 パーシヴァル</v>
      </c>
      <c r="C393" s="40" t="s">
        <v>26</v>
      </c>
      <c r="D393" s="42" t="str">
        <f>D389</f>
        <v>2331</v>
      </c>
      <c r="E393" s="19" t="str">
        <f>VLOOKUP(D393,unit_serifs_i18n!C:E,3,FALSE)</f>
        <v>giza</v>
      </c>
      <c r="F393" s="19" t="str">
        <f>VLOOKUP(D393,unit_serifs_i18n!C:F,4,FALSE)</f>
        <v>邪魔はさせません！</v>
      </c>
    </row>
    <row r="394" spans="1:6" x14ac:dyDescent="0.15">
      <c r="A394" s="39">
        <v>234</v>
      </c>
      <c r="B394" s="9" t="str">
        <f>VLOOKUP(A394,[1]characters!$A:$C,3,FALSE)</f>
        <v>精密なる照準 パーシヴァル</v>
      </c>
      <c r="C394" s="40" t="s">
        <v>26</v>
      </c>
      <c r="D394" s="42" t="str">
        <f>D390</f>
        <v>2321</v>
      </c>
      <c r="E394" s="19" t="str">
        <f>VLOOKUP(D394,unit_serifs_i18n!C:E,3,FALSE)</f>
        <v>giza</v>
      </c>
      <c r="F394" s="19" t="str">
        <f>VLOOKUP(D394,unit_serifs_i18n!C:F,4,FALSE)</f>
        <v>執行します！</v>
      </c>
    </row>
    <row r="395" spans="1:6" x14ac:dyDescent="0.15">
      <c r="A395" s="11">
        <v>235</v>
      </c>
      <c r="B395" s="9" t="str">
        <f>VLOOKUP(A395,[1]characters!$A:$C,3,FALSE)</f>
        <v>イザナミ</v>
      </c>
      <c r="C395" s="3" t="s">
        <v>25</v>
      </c>
      <c r="D395" s="42" t="str">
        <f>A395&amp;+(COUNTIF(A$2:A395,A395)-1)</f>
        <v>2350</v>
      </c>
      <c r="E395" s="19" t="str">
        <f>VLOOKUP(D395,unit_serifs_i18n!C:E,3,FALSE)</f>
        <v>maru</v>
      </c>
      <c r="F395" s="19" t="str">
        <f>VLOOKUP(D395,unit_serifs_i18n!C:F,4,FALSE)</f>
        <v>これを待ってたんでしょ？</v>
      </c>
    </row>
    <row r="396" spans="1:6" x14ac:dyDescent="0.15">
      <c r="A396" s="39">
        <v>235</v>
      </c>
      <c r="B396" s="9" t="str">
        <f>VLOOKUP(A396,[1]characters!$A:$C,3,FALSE)</f>
        <v>イザナミ</v>
      </c>
      <c r="C396" s="40" t="s">
        <v>26</v>
      </c>
      <c r="D396" s="42" t="str">
        <f>A396&amp;+(COUNTIF(A$2:A396,A396)-1)</f>
        <v>2351</v>
      </c>
      <c r="E396" s="19" t="str">
        <f>VLOOKUP(D396,unit_serifs_i18n!C:E,3,FALSE)</f>
        <v>maru</v>
      </c>
      <c r="F396" s="19" t="str">
        <f>VLOOKUP(D396,unit_serifs_i18n!C:F,4,FALSE)</f>
        <v>よそ見は危険よ！</v>
      </c>
    </row>
    <row r="397" spans="1:6" x14ac:dyDescent="0.15">
      <c r="A397" s="11">
        <v>236</v>
      </c>
      <c r="B397" s="9" t="str">
        <f>VLOOKUP(A397,[1]characters!$A:$C,3,FALSE)</f>
        <v>神産 イザナミ</v>
      </c>
      <c r="C397" s="3" t="s">
        <v>25</v>
      </c>
      <c r="D397" s="42" t="str">
        <f>A397&amp;+(COUNTIF(A$2:A397,A397)-1)</f>
        <v>2360</v>
      </c>
      <c r="E397" s="19" t="str">
        <f>VLOOKUP(D397,unit_serifs_i18n!C:E,3,FALSE)</f>
        <v>maru</v>
      </c>
      <c r="F397" s="19" t="str">
        <f>VLOOKUP(D397,unit_serifs_i18n!C:F,4,FALSE)</f>
        <v>これでどうかしら？</v>
      </c>
    </row>
    <row r="398" spans="1:6" x14ac:dyDescent="0.15">
      <c r="A398" s="39">
        <v>236</v>
      </c>
      <c r="B398" s="9" t="str">
        <f>VLOOKUP(A398,[1]characters!$A:$C,3,FALSE)</f>
        <v>神産 イザナミ</v>
      </c>
      <c r="C398" s="40" t="s">
        <v>26</v>
      </c>
      <c r="D398" s="42" t="str">
        <f>A398&amp;+(COUNTIF(A$2:A398,A398)-1)</f>
        <v>2361</v>
      </c>
      <c r="E398" s="19" t="str">
        <f>VLOOKUP(D398,unit_serifs_i18n!C:E,3,FALSE)</f>
        <v>maru</v>
      </c>
      <c r="F398" s="19" t="str">
        <f>VLOOKUP(D398,unit_serifs_i18n!C:F,4,FALSE)</f>
        <v>ほらそこ！ガラ空き！</v>
      </c>
    </row>
    <row r="399" spans="1:6" x14ac:dyDescent="0.15">
      <c r="A399" s="39">
        <v>236</v>
      </c>
      <c r="B399" s="9" t="str">
        <f>VLOOKUP(A399,[1]characters!$A:$C,3,FALSE)</f>
        <v>神産 イザナミ</v>
      </c>
      <c r="C399" s="40" t="s">
        <v>26</v>
      </c>
      <c r="D399" s="42" t="str">
        <f>D396</f>
        <v>2351</v>
      </c>
      <c r="E399" s="19" t="str">
        <f>VLOOKUP(D399,unit_serifs_i18n!C:E,3,FALSE)</f>
        <v>maru</v>
      </c>
      <c r="F399" s="19" t="str">
        <f>VLOOKUP(D399,unit_serifs_i18n!C:F,4,FALSE)</f>
        <v>よそ見は危険よ！</v>
      </c>
    </row>
    <row r="400" spans="1:6" x14ac:dyDescent="0.15">
      <c r="A400" s="11">
        <v>237</v>
      </c>
      <c r="B400" s="9" t="str">
        <f>VLOOKUP(A400,[1]characters!$A:$C,3,FALSE)</f>
        <v>森羅万象の神母 イザナミ</v>
      </c>
      <c r="C400" s="3" t="s">
        <v>25</v>
      </c>
      <c r="D400" s="42" t="str">
        <f>A400&amp;+(COUNTIF(A$32:A400,A400)-1)</f>
        <v>2370</v>
      </c>
      <c r="E400" s="19" t="str">
        <f>VLOOKUP(D400,unit_serifs_i18n!C:E,3,FALSE)</f>
        <v>giza</v>
      </c>
      <c r="F400" s="19" t="str">
        <f>VLOOKUP(D400,unit_serifs_i18n!C:F,4,FALSE)</f>
        <v>暴れなさい子どもたち！</v>
      </c>
    </row>
    <row r="401" spans="1:6" x14ac:dyDescent="0.15">
      <c r="A401" s="39">
        <v>237</v>
      </c>
      <c r="B401" s="9" t="str">
        <f>VLOOKUP(A401,[1]characters!$A:$C,3,FALSE)</f>
        <v>森羅万象の神母 イザナミ</v>
      </c>
      <c r="C401" s="40" t="s">
        <v>26</v>
      </c>
      <c r="D401" s="42" t="str">
        <f>A401&amp;+(COUNTIF(A$32:A401,A401)-1)</f>
        <v>2371</v>
      </c>
      <c r="E401" s="19" t="str">
        <f>VLOOKUP(D401,unit_serifs_i18n!C:E,3,FALSE)</f>
        <v>giza</v>
      </c>
      <c r="F401" s="19" t="str">
        <f>VLOOKUP(D401,unit_serifs_i18n!C:F,4,FALSE)</f>
        <v>反抗期は認めません！</v>
      </c>
    </row>
    <row r="402" spans="1:6" x14ac:dyDescent="0.15">
      <c r="A402" s="39">
        <v>237</v>
      </c>
      <c r="B402" s="9" t="str">
        <f>VLOOKUP(A402,[1]characters!$A:$C,3,FALSE)</f>
        <v>森羅万象の神母 イザナミ</v>
      </c>
      <c r="C402" s="40" t="s">
        <v>26</v>
      </c>
      <c r="D402" s="42" t="str">
        <f>D398</f>
        <v>2361</v>
      </c>
      <c r="E402" s="19" t="str">
        <f>VLOOKUP(D402,unit_serifs_i18n!C:E,3,FALSE)</f>
        <v>maru</v>
      </c>
      <c r="F402" s="19" t="str">
        <f>VLOOKUP(D402,unit_serifs_i18n!C:F,4,FALSE)</f>
        <v>ほらそこ！ガラ空き！</v>
      </c>
    </row>
    <row r="403" spans="1:6" x14ac:dyDescent="0.15">
      <c r="A403" s="39">
        <v>237</v>
      </c>
      <c r="B403" s="9" t="str">
        <f>VLOOKUP(A403,[1]characters!$A:$C,3,FALSE)</f>
        <v>森羅万象の神母 イザナミ</v>
      </c>
      <c r="C403" s="40" t="s">
        <v>26</v>
      </c>
      <c r="D403" s="42" t="str">
        <f>D399</f>
        <v>2351</v>
      </c>
      <c r="E403" s="19" t="str">
        <f>VLOOKUP(D403,unit_serifs_i18n!C:E,3,FALSE)</f>
        <v>maru</v>
      </c>
      <c r="F403" s="19" t="str">
        <f>VLOOKUP(D403,unit_serifs_i18n!C:F,4,FALSE)</f>
        <v>よそ見は危険よ！</v>
      </c>
    </row>
    <row r="404" spans="1:6" x14ac:dyDescent="0.15">
      <c r="A404" s="11">
        <v>238</v>
      </c>
      <c r="B404" s="9" t="str">
        <f>VLOOKUP(A404,[1]characters!$A:$C,3,FALSE)</f>
        <v>ウリエル</v>
      </c>
      <c r="C404" s="3" t="s">
        <v>25</v>
      </c>
      <c r="D404" s="42" t="str">
        <f>A404&amp;+(COUNTIF(A$2:A404,A404)-1)</f>
        <v>2380</v>
      </c>
      <c r="E404" s="19" t="str">
        <f>VLOOKUP(D404,unit_serifs_i18n!C:E,3,FALSE)</f>
        <v>maru</v>
      </c>
      <c r="F404" s="19" t="str">
        <f>VLOOKUP(D404,unit_serifs_i18n!C:F,4,FALSE)</f>
        <v>焼き切れるまでやってやる</v>
      </c>
    </row>
    <row r="405" spans="1:6" x14ac:dyDescent="0.15">
      <c r="A405" s="39">
        <v>238</v>
      </c>
      <c r="B405" s="9" t="str">
        <f>VLOOKUP(A405,[1]characters!$A:$C,3,FALSE)</f>
        <v>ウリエル</v>
      </c>
      <c r="C405" s="40" t="s">
        <v>26</v>
      </c>
      <c r="D405" s="42" t="str">
        <f>A405&amp;+(COUNTIF(A$2:A405,A405)-1)</f>
        <v>2381</v>
      </c>
      <c r="E405" s="19" t="str">
        <f>VLOOKUP(D405,unit_serifs_i18n!C:E,3,FALSE)</f>
        <v>giza</v>
      </c>
      <c r="F405" s="19" t="str">
        <f>VLOOKUP(D405,unit_serifs_i18n!C:F,4,FALSE)</f>
        <v>お前ら邪魔だぁぁ！！</v>
      </c>
    </row>
    <row r="406" spans="1:6" x14ac:dyDescent="0.15">
      <c r="A406" s="11">
        <v>239</v>
      </c>
      <c r="B406" s="9" t="str">
        <f>VLOOKUP(A406,[1]characters!$A:$C,3,FALSE)</f>
        <v>豪炎の天使 ウリエル</v>
      </c>
      <c r="C406" s="3" t="s">
        <v>25</v>
      </c>
      <c r="D406" s="42" t="str">
        <f>A406&amp;+(COUNTIF(A$2:A406,A406)-1)</f>
        <v>2390</v>
      </c>
      <c r="E406" s="19" t="str">
        <f>VLOOKUP(D406,unit_serifs_i18n!C:E,3,FALSE)</f>
        <v>giza</v>
      </c>
      <c r="F406" s="19" t="str">
        <f>VLOOKUP(D406,unit_serifs_i18n!C:F,4,FALSE)</f>
        <v>どこまでも延焼させる！！</v>
      </c>
    </row>
    <row r="407" spans="1:6" x14ac:dyDescent="0.15">
      <c r="A407" s="39">
        <v>239</v>
      </c>
      <c r="B407" s="9" t="str">
        <f>VLOOKUP(A407,[1]characters!$A:$C,3,FALSE)</f>
        <v>豪炎の天使 ウリエル</v>
      </c>
      <c r="C407" s="40" t="s">
        <v>26</v>
      </c>
      <c r="D407" s="42" t="str">
        <f>A407&amp;+(COUNTIF(A$2:A407,A407)-1)</f>
        <v>2391</v>
      </c>
      <c r="E407" s="19" t="str">
        <f>VLOOKUP(D407,unit_serifs_i18n!C:E,3,FALSE)</f>
        <v>giza</v>
      </c>
      <c r="F407" s="19" t="str">
        <f>VLOOKUP(D407,unit_serifs_i18n!C:F,4,FALSE)</f>
        <v>どっけぇぇぇ！！</v>
      </c>
    </row>
    <row r="408" spans="1:6" x14ac:dyDescent="0.15">
      <c r="A408" s="39">
        <v>239</v>
      </c>
      <c r="B408" s="9" t="str">
        <f>VLOOKUP(A408,[1]characters!$A:$C,3,FALSE)</f>
        <v>豪炎の天使 ウリエル</v>
      </c>
      <c r="C408" s="40" t="s">
        <v>26</v>
      </c>
      <c r="D408" s="42" t="str">
        <f>D405</f>
        <v>2381</v>
      </c>
      <c r="E408" s="19" t="str">
        <f>VLOOKUP(D408,unit_serifs_i18n!C:E,3,FALSE)</f>
        <v>giza</v>
      </c>
      <c r="F408" s="19" t="str">
        <f>VLOOKUP(D408,unit_serifs_i18n!C:F,4,FALSE)</f>
        <v>お前ら邪魔だぁぁ！！</v>
      </c>
    </row>
    <row r="409" spans="1:6" x14ac:dyDescent="0.15">
      <c r="A409" s="11">
        <v>240</v>
      </c>
      <c r="B409" s="9" t="str">
        <f>VLOOKUP(A409,[1]characters!$A:$C,3,FALSE)</f>
        <v>轟炎の天使 ウリエル・スレイヤー</v>
      </c>
      <c r="C409" s="3" t="s">
        <v>25</v>
      </c>
      <c r="D409" s="42" t="str">
        <f>A409&amp;+(COUNTIF(A$32:A409,A409)-1)</f>
        <v>2400</v>
      </c>
      <c r="E409" s="19" t="str">
        <f>VLOOKUP(D409,unit_serifs_i18n!C:E,3,FALSE)</f>
        <v>giza</v>
      </c>
      <c r="F409" s="19" t="str">
        <f>VLOOKUP(D409,unit_serifs_i18n!C:F,4,FALSE)</f>
        <v>最大火力！燃え上がれぇ！</v>
      </c>
    </row>
    <row r="410" spans="1:6" x14ac:dyDescent="0.15">
      <c r="A410" s="39">
        <v>240</v>
      </c>
      <c r="B410" s="9" t="str">
        <f>VLOOKUP(A410,[1]characters!$A:$C,3,FALSE)</f>
        <v>轟炎の天使 ウリエル・スレイヤー</v>
      </c>
      <c r="C410" s="40" t="s">
        <v>26</v>
      </c>
      <c r="D410" s="42" t="str">
        <f>A410&amp;+(COUNTIF(A$32:A410,A410)-1)</f>
        <v>2401</v>
      </c>
      <c r="E410" s="19" t="str">
        <f>VLOOKUP(D410,unit_serifs_i18n!C:E,3,FALSE)</f>
        <v>giza</v>
      </c>
      <c r="F410" s="19" t="str">
        <f>VLOOKUP(D410,unit_serifs_i18n!C:F,4,FALSE)</f>
        <v>蒸発しやがれぇぇ！</v>
      </c>
    </row>
    <row r="411" spans="1:6" x14ac:dyDescent="0.15">
      <c r="A411" s="39">
        <v>240</v>
      </c>
      <c r="B411" s="9" t="str">
        <f>VLOOKUP(A411,[1]characters!$A:$C,3,FALSE)</f>
        <v>轟炎の天使 ウリエル・スレイヤー</v>
      </c>
      <c r="C411" s="40" t="s">
        <v>26</v>
      </c>
      <c r="D411" s="42" t="str">
        <f>D407</f>
        <v>2391</v>
      </c>
      <c r="E411" s="19" t="str">
        <f>VLOOKUP(D411,unit_serifs_i18n!C:E,3,FALSE)</f>
        <v>giza</v>
      </c>
      <c r="F411" s="19" t="str">
        <f>VLOOKUP(D411,unit_serifs_i18n!C:F,4,FALSE)</f>
        <v>どっけぇぇぇ！！</v>
      </c>
    </row>
    <row r="412" spans="1:6" x14ac:dyDescent="0.15">
      <c r="A412" s="39">
        <v>240</v>
      </c>
      <c r="B412" s="9" t="str">
        <f>VLOOKUP(A412,[1]characters!$A:$C,3,FALSE)</f>
        <v>轟炎の天使 ウリエル・スレイヤー</v>
      </c>
      <c r="C412" s="40" t="s">
        <v>26</v>
      </c>
      <c r="D412" s="42" t="str">
        <f>D408</f>
        <v>2381</v>
      </c>
      <c r="E412" s="19" t="str">
        <f>VLOOKUP(D412,unit_serifs_i18n!C:E,3,FALSE)</f>
        <v>giza</v>
      </c>
      <c r="F412" s="19" t="str">
        <f>VLOOKUP(D412,unit_serifs_i18n!C:F,4,FALSE)</f>
        <v>お前ら邪魔だぁぁ！！</v>
      </c>
    </row>
    <row r="413" spans="1:6" x14ac:dyDescent="0.15">
      <c r="A413" s="11">
        <v>241</v>
      </c>
      <c r="B413" s="9" t="str">
        <f>VLOOKUP(A413,[1]characters!$A:$C,3,FALSE)</f>
        <v>ガブリエル</v>
      </c>
      <c r="C413" s="3" t="s">
        <v>25</v>
      </c>
      <c r="D413" s="42" t="str">
        <f>A413&amp;+(COUNTIF(A$2:A413,A413)-1)</f>
        <v>2410</v>
      </c>
      <c r="E413" s="19" t="str">
        <f>VLOOKUP(D413,unit_serifs_i18n!C:E,3,FALSE)</f>
        <v>kumo</v>
      </c>
      <c r="F413" s="19" t="str">
        <f>VLOOKUP(D413,unit_serifs_i18n!C:F,4,FALSE)</f>
        <v>守護こそ私の役目！</v>
      </c>
    </row>
    <row r="414" spans="1:6" x14ac:dyDescent="0.15">
      <c r="A414" s="39">
        <v>241</v>
      </c>
      <c r="B414" s="9" t="str">
        <f>VLOOKUP(A414,[1]characters!$A:$C,3,FALSE)</f>
        <v>ガブリエル</v>
      </c>
      <c r="C414" s="40" t="s">
        <v>26</v>
      </c>
      <c r="D414" s="42" t="str">
        <f>A414&amp;+(COUNTIF(A$2:A414,A414)-1)</f>
        <v>2411</v>
      </c>
      <c r="E414" s="19" t="str">
        <f>VLOOKUP(D414,unit_serifs_i18n!C:E,3,FALSE)</f>
        <v>maru</v>
      </c>
      <c r="F414" s="19" t="str">
        <f>VLOOKUP(D414,unit_serifs_i18n!C:F,4,FALSE)</f>
        <v>私も加勢いたします！</v>
      </c>
    </row>
    <row r="415" spans="1:6" x14ac:dyDescent="0.15">
      <c r="A415" s="11">
        <v>242</v>
      </c>
      <c r="B415" s="9" t="str">
        <f>VLOOKUP(A415,[1]characters!$A:$C,3,FALSE)</f>
        <v>百花の天使 ガブリエル</v>
      </c>
      <c r="C415" s="3" t="s">
        <v>25</v>
      </c>
      <c r="D415" s="42" t="str">
        <f>A415&amp;+(COUNTIF(A$2:A415,A415)-1)</f>
        <v>2420</v>
      </c>
      <c r="E415" s="19" t="str">
        <f>VLOOKUP(D415,unit_serifs_i18n!C:E,3,FALSE)</f>
        <v>maru</v>
      </c>
      <c r="F415" s="19" t="str">
        <f>VLOOKUP(D415,unit_serifs_i18n!C:F,4,FALSE)</f>
        <v>後衛は私が…皆様は前へ！</v>
      </c>
    </row>
    <row r="416" spans="1:6" x14ac:dyDescent="0.15">
      <c r="A416" s="39">
        <v>242</v>
      </c>
      <c r="B416" s="9" t="str">
        <f>VLOOKUP(A416,[1]characters!$A:$C,3,FALSE)</f>
        <v>百花の天使 ガブリエル</v>
      </c>
      <c r="C416" s="40" t="s">
        <v>26</v>
      </c>
      <c r="D416" s="42" t="str">
        <f>A416&amp;+(COUNTIF(A$2:A416,A416)-1)</f>
        <v>2421</v>
      </c>
      <c r="E416" s="19" t="str">
        <f>VLOOKUP(D416,unit_serifs_i18n!C:E,3,FALSE)</f>
        <v>maru</v>
      </c>
      <c r="F416" s="19" t="str">
        <f>VLOOKUP(D416,unit_serifs_i18n!C:F,4,FALSE)</f>
        <v>咲かせてみせます！</v>
      </c>
    </row>
    <row r="417" spans="1:6" x14ac:dyDescent="0.15">
      <c r="A417" s="39">
        <v>242</v>
      </c>
      <c r="B417" s="9" t="str">
        <f>VLOOKUP(A417,[1]characters!$A:$C,3,FALSE)</f>
        <v>百花の天使 ガブリエル</v>
      </c>
      <c r="C417" s="40" t="s">
        <v>26</v>
      </c>
      <c r="D417" s="42" t="str">
        <f>D414</f>
        <v>2411</v>
      </c>
      <c r="E417" s="19" t="str">
        <f>VLOOKUP(D417,unit_serifs_i18n!C:E,3,FALSE)</f>
        <v>maru</v>
      </c>
      <c r="F417" s="19" t="str">
        <f>VLOOKUP(D417,unit_serifs_i18n!C:F,4,FALSE)</f>
        <v>私も加勢いたします！</v>
      </c>
    </row>
    <row r="418" spans="1:6" x14ac:dyDescent="0.15">
      <c r="A418" s="11">
        <v>243</v>
      </c>
      <c r="B418" s="9" t="str">
        <f>VLOOKUP(A418,[1]characters!$A:$C,3,FALSE)</f>
        <v>万花の天使 ガブリエル・ブルーム</v>
      </c>
      <c r="C418" s="3" t="s">
        <v>25</v>
      </c>
      <c r="D418" s="42" t="str">
        <f>A418&amp;+(COUNTIF(A$32:A418,A418)-1)</f>
        <v>2430</v>
      </c>
      <c r="E418" s="19" t="str">
        <f>VLOOKUP(D418,unit_serifs_i18n!C:E,3,FALSE)</f>
        <v>maru</v>
      </c>
      <c r="F418" s="19" t="str">
        <f>VLOOKUP(D418,unit_serifs_i18n!C:F,4,FALSE)</f>
        <v>見なさい、万花の弾幕を！</v>
      </c>
    </row>
    <row r="419" spans="1:6" x14ac:dyDescent="0.15">
      <c r="A419" s="39">
        <v>243</v>
      </c>
      <c r="B419" s="9" t="str">
        <f>VLOOKUP(A419,[1]characters!$A:$C,3,FALSE)</f>
        <v>万花の天使 ガブリエル・ブルーム</v>
      </c>
      <c r="C419" s="40" t="s">
        <v>26</v>
      </c>
      <c r="D419" s="42" t="str">
        <f>A419&amp;+(COUNTIF(A$32:A419,A419)-1)</f>
        <v>2431</v>
      </c>
      <c r="E419" s="19" t="str">
        <f>VLOOKUP(D419,unit_serifs_i18n!C:E,3,FALSE)</f>
        <v>giza</v>
      </c>
      <c r="F419" s="19" t="str">
        <f>VLOOKUP(D419,unit_serifs_i18n!C:F,4,FALSE)</f>
        <v>最大出力まいります！</v>
      </c>
    </row>
    <row r="420" spans="1:6" x14ac:dyDescent="0.15">
      <c r="A420" s="39">
        <v>243</v>
      </c>
      <c r="B420" s="9" t="str">
        <f>VLOOKUP(A420,[1]characters!$A:$C,3,FALSE)</f>
        <v>万花の天使 ガブリエル・ブルーム</v>
      </c>
      <c r="C420" s="40" t="s">
        <v>26</v>
      </c>
      <c r="D420" s="42" t="str">
        <f>D416</f>
        <v>2421</v>
      </c>
      <c r="E420" s="19" t="str">
        <f>VLOOKUP(D420,unit_serifs_i18n!C:E,3,FALSE)</f>
        <v>maru</v>
      </c>
      <c r="F420" s="19" t="str">
        <f>VLOOKUP(D420,unit_serifs_i18n!C:F,4,FALSE)</f>
        <v>咲かせてみせます！</v>
      </c>
    </row>
    <row r="421" spans="1:6" x14ac:dyDescent="0.15">
      <c r="A421" s="39">
        <v>243</v>
      </c>
      <c r="B421" s="9" t="str">
        <f>VLOOKUP(A421,[1]characters!$A:$C,3,FALSE)</f>
        <v>万花の天使 ガブリエル・ブルーム</v>
      </c>
      <c r="C421" s="40" t="s">
        <v>26</v>
      </c>
      <c r="D421" s="42" t="str">
        <f>D417</f>
        <v>2411</v>
      </c>
      <c r="E421" s="19" t="str">
        <f>VLOOKUP(D421,unit_serifs_i18n!C:E,3,FALSE)</f>
        <v>maru</v>
      </c>
      <c r="F421" s="19" t="str">
        <f>VLOOKUP(D421,unit_serifs_i18n!C:F,4,FALSE)</f>
        <v>私も加勢いたします！</v>
      </c>
    </row>
    <row r="422" spans="1:6" x14ac:dyDescent="0.15">
      <c r="A422" s="11">
        <v>244</v>
      </c>
      <c r="B422" s="9" t="str">
        <f>VLOOKUP(A422,[1]characters!$A:$C,3,FALSE)</f>
        <v>ラファエル</v>
      </c>
      <c r="C422" s="3" t="s">
        <v>25</v>
      </c>
      <c r="D422" s="42" t="str">
        <f>A422&amp;+(COUNTIF(A$2:A422,A422)-1)</f>
        <v>2440</v>
      </c>
      <c r="E422" s="19" t="str">
        <f>VLOOKUP(D422,unit_serifs_i18n!C:E,3,FALSE)</f>
        <v>kumo</v>
      </c>
      <c r="F422" s="19" t="str">
        <f>VLOOKUP(D422,unit_serifs_i18n!C:F,4,FALSE)</f>
        <v>ん…これ飲んでおけ</v>
      </c>
    </row>
    <row r="423" spans="1:6" x14ac:dyDescent="0.15">
      <c r="A423" s="39">
        <v>244</v>
      </c>
      <c r="B423" s="9" t="str">
        <f>VLOOKUP(A423,[1]characters!$A:$C,3,FALSE)</f>
        <v>ラファエル</v>
      </c>
      <c r="C423" s="40" t="s">
        <v>26</v>
      </c>
      <c r="D423" s="42" t="str">
        <f>A423&amp;+(COUNTIF(A$2:A423,A423)-1)</f>
        <v>2441</v>
      </c>
      <c r="E423" s="19" t="str">
        <f>VLOOKUP(D423,unit_serifs_i18n!C:E,3,FALSE)</f>
        <v>kumo</v>
      </c>
      <c r="F423" s="19" t="str">
        <f>VLOOKUP(D423,unit_serifs_i18n!C:F,4,FALSE)</f>
        <v>利用価値はある…</v>
      </c>
    </row>
    <row r="424" spans="1:6" x14ac:dyDescent="0.15">
      <c r="A424" s="11">
        <v>245</v>
      </c>
      <c r="B424" s="9" t="str">
        <f>VLOOKUP(A424,[1]characters!$A:$C,3,FALSE)</f>
        <v>鎮癒の天使 ラファエル</v>
      </c>
      <c r="C424" s="3" t="s">
        <v>25</v>
      </c>
      <c r="D424" s="42" t="str">
        <f>A424&amp;+(COUNTIF(A$2:A424,A424)-1)</f>
        <v>2450</v>
      </c>
      <c r="E424" s="19" t="str">
        <f>VLOOKUP(D424,unit_serifs_i18n!C:E,3,FALSE)</f>
        <v>maru</v>
      </c>
      <c r="F424" s="19" t="str">
        <f>VLOOKUP(D424,unit_serifs_i18n!C:F,4,FALSE)</f>
        <v>無茶したいなら…協力する</v>
      </c>
    </row>
    <row r="425" spans="1:6" x14ac:dyDescent="0.15">
      <c r="A425" s="39">
        <v>245</v>
      </c>
      <c r="B425" s="9" t="str">
        <f>VLOOKUP(A425,[1]characters!$A:$C,3,FALSE)</f>
        <v>鎮癒の天使 ラファエル</v>
      </c>
      <c r="C425" s="40" t="s">
        <v>26</v>
      </c>
      <c r="D425" s="42" t="str">
        <f>A425&amp;+(COUNTIF(A$2:A425,A425)-1)</f>
        <v>2451</v>
      </c>
      <c r="E425" s="19" t="str">
        <f>VLOOKUP(D425,unit_serifs_i18n!C:E,3,FALSE)</f>
        <v>kumo</v>
      </c>
      <c r="F425" s="19" t="str">
        <f>VLOOKUP(D425,unit_serifs_i18n!C:F,4,FALSE)</f>
        <v>一石二鳥というやつ…</v>
      </c>
    </row>
    <row r="426" spans="1:6" x14ac:dyDescent="0.15">
      <c r="A426" s="39">
        <v>245</v>
      </c>
      <c r="B426" s="9" t="str">
        <f>VLOOKUP(A426,[1]characters!$A:$C,3,FALSE)</f>
        <v>鎮癒の天使 ラファエル</v>
      </c>
      <c r="C426" s="40" t="s">
        <v>26</v>
      </c>
      <c r="D426" s="42" t="str">
        <f>D423</f>
        <v>2441</v>
      </c>
      <c r="E426" s="19" t="str">
        <f>VLOOKUP(D426,unit_serifs_i18n!C:E,3,FALSE)</f>
        <v>kumo</v>
      </c>
      <c r="F426" s="19" t="str">
        <f>VLOOKUP(D426,unit_serifs_i18n!C:F,4,FALSE)</f>
        <v>利用価値はある…</v>
      </c>
    </row>
    <row r="427" spans="1:6" x14ac:dyDescent="0.15">
      <c r="A427" s="11">
        <v>246</v>
      </c>
      <c r="B427" s="9" t="str">
        <f>VLOOKUP(A427,[1]characters!$A:$C,3,FALSE)</f>
        <v>真癒の天使 ラファエル・メディカ</v>
      </c>
      <c r="C427" s="3" t="s">
        <v>25</v>
      </c>
      <c r="D427" s="42" t="str">
        <f>A427&amp;+(COUNTIF(A$32:A427,A427)-1)</f>
        <v>2460</v>
      </c>
      <c r="E427" s="19" t="str">
        <f>VLOOKUP(D427,unit_serifs_i18n!C:E,3,FALSE)</f>
        <v>maru</v>
      </c>
      <c r="F427" s="19" t="str">
        <f>VLOOKUP(D427,unit_serifs_i18n!C:F,4,FALSE)</f>
        <v>解放する…その力</v>
      </c>
    </row>
    <row r="428" spans="1:6" x14ac:dyDescent="0.15">
      <c r="A428" s="39">
        <v>246</v>
      </c>
      <c r="B428" s="9" t="str">
        <f>VLOOKUP(A428,[1]characters!$A:$C,3,FALSE)</f>
        <v>真癒の天使 ラファエル・メディカ</v>
      </c>
      <c r="C428" s="40" t="s">
        <v>26</v>
      </c>
      <c r="D428" s="42" t="str">
        <f>A428&amp;+(COUNTIF(A$32:A428,A428)-1)</f>
        <v>2461</v>
      </c>
      <c r="E428" s="19" t="str">
        <f>VLOOKUP(D428,unit_serifs_i18n!C:E,3,FALSE)</f>
        <v>maru</v>
      </c>
      <c r="F428" s="19" t="str">
        <f>VLOOKUP(D428,unit_serifs_i18n!C:F,4,FALSE)</f>
        <v>攻撃…癒すあなたを</v>
      </c>
    </row>
    <row r="429" spans="1:6" x14ac:dyDescent="0.15">
      <c r="A429" s="39">
        <v>246</v>
      </c>
      <c r="B429" s="9" t="str">
        <f>VLOOKUP(A429,[1]characters!$A:$C,3,FALSE)</f>
        <v>真癒の天使 ラファエル・メディカ</v>
      </c>
      <c r="C429" s="40" t="s">
        <v>26</v>
      </c>
      <c r="D429" s="42" t="str">
        <f>D425</f>
        <v>2451</v>
      </c>
      <c r="E429" s="19" t="str">
        <f>VLOOKUP(D429,unit_serifs_i18n!C:E,3,FALSE)</f>
        <v>kumo</v>
      </c>
      <c r="F429" s="19" t="str">
        <f>VLOOKUP(D429,unit_serifs_i18n!C:F,4,FALSE)</f>
        <v>一石二鳥というやつ…</v>
      </c>
    </row>
    <row r="430" spans="1:6" x14ac:dyDescent="0.15">
      <c r="A430" s="39">
        <v>246</v>
      </c>
      <c r="B430" s="9" t="str">
        <f>VLOOKUP(A430,[1]characters!$A:$C,3,FALSE)</f>
        <v>真癒の天使 ラファエル・メディカ</v>
      </c>
      <c r="C430" s="40" t="s">
        <v>26</v>
      </c>
      <c r="D430" s="42" t="str">
        <f>D426</f>
        <v>2441</v>
      </c>
      <c r="E430" s="19" t="str">
        <f>VLOOKUP(D430,unit_serifs_i18n!C:E,3,FALSE)</f>
        <v>kumo</v>
      </c>
      <c r="F430" s="19" t="str">
        <f>VLOOKUP(D430,unit_serifs_i18n!C:F,4,FALSE)</f>
        <v>利用価値はある…</v>
      </c>
    </row>
    <row r="431" spans="1:6" x14ac:dyDescent="0.15">
      <c r="A431" s="11">
        <v>247</v>
      </c>
      <c r="B431" s="9" t="str">
        <f>VLOOKUP(A431,[1]characters!$A:$C,3,FALSE)</f>
        <v>ミカエル</v>
      </c>
      <c r="C431" s="3" t="s">
        <v>25</v>
      </c>
      <c r="D431" s="42" t="str">
        <f>A431&amp;+(COUNTIF(A$2:A431,A431)-1)</f>
        <v>2470</v>
      </c>
      <c r="E431" s="19" t="str">
        <f>VLOOKUP(D431,unit_serifs_i18n!C:E,3,FALSE)</f>
        <v>maru</v>
      </c>
      <c r="F431" s="19" t="str">
        <f>VLOOKUP(D431,unit_serifs_i18n!C:F,4,FALSE)</f>
        <v>放電許可サンキューです！</v>
      </c>
    </row>
    <row r="432" spans="1:6" x14ac:dyDescent="0.15">
      <c r="A432" s="39">
        <v>247</v>
      </c>
      <c r="B432" s="9" t="str">
        <f>VLOOKUP(A432,[1]characters!$A:$C,3,FALSE)</f>
        <v>ミカエル</v>
      </c>
      <c r="C432" s="40" t="s">
        <v>26</v>
      </c>
      <c r="D432" s="42" t="str">
        <f>A432&amp;+(COUNTIF(A$2:A432,A432)-1)</f>
        <v>2471</v>
      </c>
      <c r="E432" s="19" t="str">
        <f>VLOOKUP(D432,unit_serifs_i18n!C:E,3,FALSE)</f>
        <v>maru</v>
      </c>
      <c r="F432" s="19" t="str">
        <f>VLOOKUP(D432,unit_serifs_i18n!C:F,4,FALSE)</f>
        <v>破壊対象、ロックっ！</v>
      </c>
    </row>
    <row r="433" spans="1:6" x14ac:dyDescent="0.15">
      <c r="A433" s="11">
        <v>248</v>
      </c>
      <c r="B433" s="9" t="str">
        <f>VLOOKUP(A433,[1]characters!$A:$C,3,FALSE)</f>
        <v>彩電の天使 ミカエル</v>
      </c>
      <c r="C433" s="3" t="s">
        <v>25</v>
      </c>
      <c r="D433" s="42" t="str">
        <f>A433&amp;+(COUNTIF(A$2:A433,A433)-1)</f>
        <v>2480</v>
      </c>
      <c r="E433" s="19" t="str">
        <f>VLOOKUP(D433,unit_serifs_i18n!C:E,3,FALSE)</f>
        <v>giza</v>
      </c>
      <c r="F433" s="19" t="str">
        <f>VLOOKUP(D433,unit_serifs_i18n!C:F,4,FALSE)</f>
        <v>フル充電！切断しますっ！</v>
      </c>
    </row>
    <row r="434" spans="1:6" x14ac:dyDescent="0.15">
      <c r="A434" s="39">
        <v>248</v>
      </c>
      <c r="B434" s="9" t="str">
        <f>VLOOKUP(A434,[1]characters!$A:$C,3,FALSE)</f>
        <v>彩電の天使 ミカエル</v>
      </c>
      <c r="C434" s="40" t="s">
        <v>26</v>
      </c>
      <c r="D434" s="42" t="str">
        <f>A434&amp;+(COUNTIF(A$2:A434,A434)-1)</f>
        <v>2481</v>
      </c>
      <c r="E434" s="19" t="str">
        <f>VLOOKUP(D434,unit_serifs_i18n!C:E,3,FALSE)</f>
        <v>maru</v>
      </c>
      <c r="F434" s="19" t="str">
        <f>VLOOKUP(D434,unit_serifs_i18n!C:F,4,FALSE)</f>
        <v>全域ですね！了解っ！</v>
      </c>
    </row>
    <row r="435" spans="1:6" x14ac:dyDescent="0.15">
      <c r="A435" s="39">
        <v>248</v>
      </c>
      <c r="B435" s="9" t="str">
        <f>VLOOKUP(A435,[1]characters!$A:$C,3,FALSE)</f>
        <v>彩電の天使 ミカエル</v>
      </c>
      <c r="C435" s="40" t="s">
        <v>26</v>
      </c>
      <c r="D435" s="42" t="str">
        <f>D432</f>
        <v>2471</v>
      </c>
      <c r="E435" s="19" t="str">
        <f>VLOOKUP(D435,unit_serifs_i18n!C:E,3,FALSE)</f>
        <v>maru</v>
      </c>
      <c r="F435" s="19" t="str">
        <f>VLOOKUP(D435,unit_serifs_i18n!C:F,4,FALSE)</f>
        <v>破壊対象、ロックっ！</v>
      </c>
    </row>
    <row r="436" spans="1:6" x14ac:dyDescent="0.15">
      <c r="A436" s="11">
        <v>249</v>
      </c>
      <c r="B436" s="9" t="str">
        <f>VLOOKUP(A436,[1]characters!$A:$C,3,FALSE)</f>
        <v>雷電の天使 ミカエル・ゲイナー</v>
      </c>
      <c r="C436" s="3" t="s">
        <v>25</v>
      </c>
      <c r="D436" s="42" t="str">
        <f>A436&amp;+(COUNTIF(A$32:A436,A436)-1)</f>
        <v>2490</v>
      </c>
      <c r="E436" s="19" t="str">
        <f>VLOOKUP(D436,unit_serifs_i18n!C:E,3,FALSE)</f>
        <v>giza</v>
      </c>
      <c r="F436" s="19" t="str">
        <f>VLOOKUP(D436,unit_serifs_i18n!C:F,4,FALSE)</f>
        <v>殲滅成功率、最大値ーっ！</v>
      </c>
    </row>
    <row r="437" spans="1:6" x14ac:dyDescent="0.15">
      <c r="A437" s="39">
        <v>249</v>
      </c>
      <c r="B437" s="9" t="str">
        <f>VLOOKUP(A437,[1]characters!$A:$C,3,FALSE)</f>
        <v>雷電の天使 ミカエル・ゲイナー</v>
      </c>
      <c r="C437" s="40" t="s">
        <v>26</v>
      </c>
      <c r="D437" s="42" t="str">
        <f>A437&amp;+(COUNTIF(A$32:A437,A437)-1)</f>
        <v>2491</v>
      </c>
      <c r="E437" s="19" t="str">
        <f>VLOOKUP(D437,unit_serifs_i18n!C:E,3,FALSE)</f>
        <v>giza</v>
      </c>
      <c r="F437" s="19" t="str">
        <f>VLOOKUP(D437,unit_serifs_i18n!C:F,4,FALSE)</f>
        <v>全体破壊オーライっ！</v>
      </c>
    </row>
    <row r="438" spans="1:6" x14ac:dyDescent="0.15">
      <c r="A438" s="39">
        <v>249</v>
      </c>
      <c r="B438" s="9" t="str">
        <f>VLOOKUP(A438,[1]characters!$A:$C,3,FALSE)</f>
        <v>雷電の天使 ミカエル・ゲイナー</v>
      </c>
      <c r="C438" s="40" t="s">
        <v>26</v>
      </c>
      <c r="D438" s="42" t="str">
        <f>D434</f>
        <v>2481</v>
      </c>
      <c r="E438" s="19" t="str">
        <f>VLOOKUP(D438,unit_serifs_i18n!C:E,3,FALSE)</f>
        <v>maru</v>
      </c>
      <c r="F438" s="19" t="str">
        <f>VLOOKUP(D438,unit_serifs_i18n!C:F,4,FALSE)</f>
        <v>全域ですね！了解っ！</v>
      </c>
    </row>
    <row r="439" spans="1:6" x14ac:dyDescent="0.15">
      <c r="A439" s="39">
        <v>249</v>
      </c>
      <c r="B439" s="9" t="str">
        <f>VLOOKUP(A439,[1]characters!$A:$C,3,FALSE)</f>
        <v>雷電の天使 ミカエル・ゲイナー</v>
      </c>
      <c r="C439" s="40" t="s">
        <v>26</v>
      </c>
      <c r="D439" s="42" t="str">
        <f>D435</f>
        <v>2471</v>
      </c>
      <c r="E439" s="19" t="str">
        <f>VLOOKUP(D439,unit_serifs_i18n!C:E,3,FALSE)</f>
        <v>maru</v>
      </c>
      <c r="F439" s="19" t="str">
        <f>VLOOKUP(D439,unit_serifs_i18n!C:F,4,FALSE)</f>
        <v>破壊対象、ロックっ！</v>
      </c>
    </row>
    <row r="440" spans="1:6" x14ac:dyDescent="0.15">
      <c r="A440" s="11">
        <v>250</v>
      </c>
      <c r="B440" s="9" t="str">
        <f>VLOOKUP(A440,[1]characters!$A:$C,3,FALSE)</f>
        <v>マンモン</v>
      </c>
      <c r="C440" s="3" t="s">
        <v>25</v>
      </c>
      <c r="D440" s="42" t="str">
        <f>A440&amp;+(COUNTIF(A$2:A440,A440)-1)</f>
        <v>2500</v>
      </c>
      <c r="E440" s="19" t="str">
        <f>VLOOKUP(D440,unit_serifs_i18n!C:E,3,FALSE)</f>
        <v>maru</v>
      </c>
      <c r="F440" s="19" t="str">
        <f>VLOOKUP(D440,unit_serifs_i18n!C:F,4,FALSE)</f>
        <v>少しだけハンデをあげるわ</v>
      </c>
    </row>
    <row r="441" spans="1:6" x14ac:dyDescent="0.15">
      <c r="A441" s="39">
        <v>250</v>
      </c>
      <c r="B441" s="9" t="str">
        <f>VLOOKUP(A441,[1]characters!$A:$C,3,FALSE)</f>
        <v>マンモン</v>
      </c>
      <c r="C441" s="40" t="s">
        <v>26</v>
      </c>
      <c r="D441" s="42" t="str">
        <f>A441&amp;+(COUNTIF(A$2:A441,A441)-1)</f>
        <v>2501</v>
      </c>
      <c r="E441" s="19" t="str">
        <f>VLOOKUP(D441,unit_serifs_i18n!C:E,3,FALSE)</f>
        <v>maru</v>
      </c>
      <c r="F441" s="19" t="str">
        <f>VLOOKUP(D441,unit_serifs_i18n!C:F,4,FALSE)</f>
        <v>欲望こそが私の力</v>
      </c>
    </row>
    <row r="442" spans="1:6" x14ac:dyDescent="0.15">
      <c r="A442" s="11">
        <v>251</v>
      </c>
      <c r="B442" s="9" t="str">
        <f>VLOOKUP(A442,[1]characters!$A:$C,3,FALSE)</f>
        <v>強欲 マンモン</v>
      </c>
      <c r="C442" s="3" t="s">
        <v>25</v>
      </c>
      <c r="D442" s="42" t="str">
        <f>A442&amp;+(COUNTIF(A$2:A442,A442)-1)</f>
        <v>2510</v>
      </c>
      <c r="E442" s="19" t="str">
        <f>VLOOKUP(D442,unit_serifs_i18n!C:E,3,FALSE)</f>
        <v>maru</v>
      </c>
      <c r="F442" s="19" t="str">
        <f>VLOOKUP(D442,unit_serifs_i18n!C:F,4,FALSE)</f>
        <v>勝利に犠牲はつきものね</v>
      </c>
    </row>
    <row r="443" spans="1:6" x14ac:dyDescent="0.15">
      <c r="A443" s="39">
        <v>251</v>
      </c>
      <c r="B443" s="9" t="str">
        <f>VLOOKUP(A443,[1]characters!$A:$C,3,FALSE)</f>
        <v>強欲 マンモン</v>
      </c>
      <c r="C443" s="40" t="s">
        <v>26</v>
      </c>
      <c r="D443" s="42" t="str">
        <f>A443&amp;+(COUNTIF(A$2:A443,A443)-1)</f>
        <v>2511</v>
      </c>
      <c r="E443" s="19" t="str">
        <f>VLOOKUP(D443,unit_serifs_i18n!C:E,3,FALSE)</f>
        <v>maru</v>
      </c>
      <c r="F443" s="19" t="str">
        <f>VLOOKUP(D443,unit_serifs_i18n!C:F,4,FALSE)</f>
        <v>私は奪う側なのよね</v>
      </c>
    </row>
    <row r="444" spans="1:6" x14ac:dyDescent="0.15">
      <c r="A444" s="39">
        <v>251</v>
      </c>
      <c r="B444" s="9" t="str">
        <f>VLOOKUP(A444,[1]characters!$A:$C,3,FALSE)</f>
        <v>強欲 マンモン</v>
      </c>
      <c r="C444" s="40" t="s">
        <v>26</v>
      </c>
      <c r="D444" s="42" t="str">
        <f>D441</f>
        <v>2501</v>
      </c>
      <c r="E444" s="19" t="str">
        <f>VLOOKUP(D444,unit_serifs_i18n!C:E,3,FALSE)</f>
        <v>maru</v>
      </c>
      <c r="F444" s="19" t="str">
        <f>VLOOKUP(D444,unit_serifs_i18n!C:F,4,FALSE)</f>
        <v>欲望こそが私の力</v>
      </c>
    </row>
    <row r="445" spans="1:6" x14ac:dyDescent="0.15">
      <c r="A445" s="11">
        <v>252</v>
      </c>
      <c r="B445" s="9" t="str">
        <f>VLOOKUP(A445,[1]characters!$A:$C,3,FALSE)</f>
        <v>強欲の沸騰 マンモン</v>
      </c>
      <c r="C445" s="3" t="s">
        <v>25</v>
      </c>
      <c r="D445" s="42" t="str">
        <f>A445&amp;+(COUNTIF(A$32:A445,A445)-1)</f>
        <v>2520</v>
      </c>
      <c r="E445" s="19" t="str">
        <f>VLOOKUP(D445,unit_serifs_i18n!C:E,3,FALSE)</f>
        <v>kumo</v>
      </c>
      <c r="F445" s="19" t="str">
        <f>VLOOKUP(D445,unit_serifs_i18n!C:F,4,FALSE)</f>
        <v>派手な賭けになるわね</v>
      </c>
    </row>
    <row r="446" spans="1:6" x14ac:dyDescent="0.15">
      <c r="A446" s="39">
        <v>252</v>
      </c>
      <c r="B446" s="9" t="str">
        <f>VLOOKUP(A446,[1]characters!$A:$C,3,FALSE)</f>
        <v>強欲の沸騰 マンモン</v>
      </c>
      <c r="C446" s="40" t="s">
        <v>26</v>
      </c>
      <c r="D446" s="42" t="str">
        <f>A446&amp;+(COUNTIF(A$32:A446,A446)-1)</f>
        <v>2521</v>
      </c>
      <c r="E446" s="19" t="str">
        <f>VLOOKUP(D446,unit_serifs_i18n!C:E,3,FALSE)</f>
        <v>giza</v>
      </c>
      <c r="F446" s="19" t="str">
        <f>VLOOKUP(D446,unit_serifs_i18n!C:F,4,FALSE)</f>
        <v>すべて奪い尽くすわ！</v>
      </c>
    </row>
    <row r="447" spans="1:6" x14ac:dyDescent="0.15">
      <c r="A447" s="39">
        <v>252</v>
      </c>
      <c r="B447" s="9" t="str">
        <f>VLOOKUP(A447,[1]characters!$A:$C,3,FALSE)</f>
        <v>強欲の沸騰 マンモン</v>
      </c>
      <c r="C447" s="40" t="s">
        <v>26</v>
      </c>
      <c r="D447" s="42" t="str">
        <f>D443</f>
        <v>2511</v>
      </c>
      <c r="E447" s="19" t="str">
        <f>VLOOKUP(D447,unit_serifs_i18n!C:E,3,FALSE)</f>
        <v>maru</v>
      </c>
      <c r="F447" s="19" t="str">
        <f>VLOOKUP(D447,unit_serifs_i18n!C:F,4,FALSE)</f>
        <v>私は奪う側なのよね</v>
      </c>
    </row>
    <row r="448" spans="1:6" x14ac:dyDescent="0.15">
      <c r="A448" s="39">
        <v>252</v>
      </c>
      <c r="B448" s="9" t="str">
        <f>VLOOKUP(A448,[1]characters!$A:$C,3,FALSE)</f>
        <v>強欲の沸騰 マンモン</v>
      </c>
      <c r="C448" s="40" t="s">
        <v>26</v>
      </c>
      <c r="D448" s="42" t="str">
        <f>D444</f>
        <v>2501</v>
      </c>
      <c r="E448" s="19" t="str">
        <f>VLOOKUP(D448,unit_serifs_i18n!C:E,3,FALSE)</f>
        <v>maru</v>
      </c>
      <c r="F448" s="19" t="str">
        <f>VLOOKUP(D448,unit_serifs_i18n!C:F,4,FALSE)</f>
        <v>欲望こそが私の力</v>
      </c>
    </row>
    <row r="449" spans="1:6" x14ac:dyDescent="0.15">
      <c r="A449" s="11">
        <v>253</v>
      </c>
      <c r="B449" s="9" t="str">
        <f>VLOOKUP(A449,[1]characters!$A:$C,3,FALSE)</f>
        <v>ベルフェゴール</v>
      </c>
      <c r="C449" s="3" t="s">
        <v>25</v>
      </c>
      <c r="D449" s="42" t="str">
        <f>A449&amp;+(COUNTIF(A$2:A449,A449)-1)</f>
        <v>2530</v>
      </c>
      <c r="E449" s="19" t="str">
        <f>VLOOKUP(D449,unit_serifs_i18n!C:E,3,FALSE)</f>
        <v>maru</v>
      </c>
      <c r="F449" s="19" t="str">
        <f>VLOOKUP(D449,unit_serifs_i18n!C:F,4,FALSE)</f>
        <v>ゆっくり寝ててね〜</v>
      </c>
    </row>
    <row r="450" spans="1:6" x14ac:dyDescent="0.15">
      <c r="A450" s="39">
        <v>253</v>
      </c>
      <c r="B450" s="9" t="str">
        <f>VLOOKUP(A450,[1]characters!$A:$C,3,FALSE)</f>
        <v>ベルフェゴール</v>
      </c>
      <c r="C450" s="40" t="s">
        <v>26</v>
      </c>
      <c r="D450" s="42" t="str">
        <f>A450&amp;+(COUNTIF(A$2:A450,A450)-1)</f>
        <v>2531</v>
      </c>
      <c r="E450" s="19" t="str">
        <f>VLOOKUP(D450,unit_serifs_i18n!C:E,3,FALSE)</f>
        <v>maru</v>
      </c>
      <c r="F450" s="19" t="str">
        <f>VLOOKUP(D450,unit_serifs_i18n!C:F,4,FALSE)</f>
        <v>睡眠の邪魔〜！</v>
      </c>
    </row>
    <row r="451" spans="1:6" x14ac:dyDescent="0.15">
      <c r="A451" s="11">
        <v>254</v>
      </c>
      <c r="B451" s="9" t="str">
        <f>VLOOKUP(A451,[1]characters!$A:$C,3,FALSE)</f>
        <v>怠惰 ベルフェゴール</v>
      </c>
      <c r="C451" s="3" t="s">
        <v>25</v>
      </c>
      <c r="D451" s="42" t="str">
        <f>A451&amp;+(COUNTIF(A$2:A451,A451)-1)</f>
        <v>2540</v>
      </c>
      <c r="E451" s="19" t="str">
        <f>VLOOKUP(D451,unit_serifs_i18n!C:E,3,FALSE)</f>
        <v>maru</v>
      </c>
      <c r="F451" s="19" t="str">
        <f>VLOOKUP(D451,unit_serifs_i18n!C:F,4,FALSE)</f>
        <v>お布団は気持ちいいよ〜</v>
      </c>
    </row>
    <row r="452" spans="1:6" x14ac:dyDescent="0.15">
      <c r="A452" s="39">
        <v>254</v>
      </c>
      <c r="B452" s="9" t="str">
        <f>VLOOKUP(A452,[1]characters!$A:$C,3,FALSE)</f>
        <v>怠惰 ベルフェゴール</v>
      </c>
      <c r="C452" s="40" t="s">
        <v>26</v>
      </c>
      <c r="D452" s="42" t="str">
        <f>A452&amp;+(COUNTIF(A$2:A452,A452)-1)</f>
        <v>2541</v>
      </c>
      <c r="E452" s="19" t="str">
        <f>VLOOKUP(D452,unit_serifs_i18n!C:E,3,FALSE)</f>
        <v>giza</v>
      </c>
      <c r="F452" s="19" t="str">
        <f>VLOOKUP(D452,unit_serifs_i18n!C:F,4,FALSE)</f>
        <v>うるさくて眠れない！</v>
      </c>
    </row>
    <row r="453" spans="1:6" x14ac:dyDescent="0.15">
      <c r="A453" s="39">
        <v>254</v>
      </c>
      <c r="B453" s="9" t="str">
        <f>VLOOKUP(A453,[1]characters!$A:$C,3,FALSE)</f>
        <v>怠惰 ベルフェゴール</v>
      </c>
      <c r="C453" s="40" t="s">
        <v>26</v>
      </c>
      <c r="D453" s="42" t="str">
        <f>D450</f>
        <v>2531</v>
      </c>
      <c r="E453" s="19" t="str">
        <f>VLOOKUP(D453,unit_serifs_i18n!C:E,3,FALSE)</f>
        <v>maru</v>
      </c>
      <c r="F453" s="19" t="str">
        <f>VLOOKUP(D453,unit_serifs_i18n!C:F,4,FALSE)</f>
        <v>睡眠の邪魔〜！</v>
      </c>
    </row>
    <row r="454" spans="1:6" x14ac:dyDescent="0.15">
      <c r="A454" s="11">
        <v>255</v>
      </c>
      <c r="B454" s="9" t="str">
        <f>VLOOKUP(A454,[1]characters!$A:$C,3,FALSE)</f>
        <v>怠惰の頂点 ベルフェゴール</v>
      </c>
      <c r="C454" s="3" t="s">
        <v>25</v>
      </c>
      <c r="D454" s="42" t="str">
        <f>A454&amp;+(COUNTIF(A$32:A454,A454)-1)</f>
        <v>2550</v>
      </c>
      <c r="E454" s="19" t="str">
        <f>VLOOKUP(D454,unit_serifs_i18n!C:E,3,FALSE)</f>
        <v>maru</v>
      </c>
      <c r="F454" s="19" t="str">
        <f>VLOOKUP(D454,unit_serifs_i18n!C:F,4,FALSE)</f>
        <v>早起きは体に毒なんだよ〜</v>
      </c>
    </row>
    <row r="455" spans="1:6" x14ac:dyDescent="0.15">
      <c r="A455" s="39">
        <v>255</v>
      </c>
      <c r="B455" s="9" t="str">
        <f>VLOOKUP(A455,[1]characters!$A:$C,3,FALSE)</f>
        <v>怠惰の頂点 ベルフェゴール</v>
      </c>
      <c r="C455" s="40" t="s">
        <v>26</v>
      </c>
      <c r="D455" s="42" t="str">
        <f>A455&amp;+(COUNTIF(A$32:A455,A455)-1)</f>
        <v>2551</v>
      </c>
      <c r="E455" s="19" t="str">
        <f>VLOOKUP(D455,unit_serifs_i18n!C:E,3,FALSE)</f>
        <v>maru</v>
      </c>
      <c r="F455" s="19" t="str">
        <f>VLOOKUP(D455,unit_serifs_i18n!C:F,4,FALSE)</f>
        <v>目標アイツ！撃て〜！</v>
      </c>
    </row>
    <row r="456" spans="1:6" x14ac:dyDescent="0.15">
      <c r="A456" s="39">
        <v>255</v>
      </c>
      <c r="B456" s="9" t="str">
        <f>VLOOKUP(A456,[1]characters!$A:$C,3,FALSE)</f>
        <v>怠惰の頂点 ベルフェゴール</v>
      </c>
      <c r="C456" s="40" t="s">
        <v>26</v>
      </c>
      <c r="D456" s="42" t="str">
        <f>D452</f>
        <v>2541</v>
      </c>
      <c r="E456" s="19" t="str">
        <f>VLOOKUP(D456,unit_serifs_i18n!C:E,3,FALSE)</f>
        <v>giza</v>
      </c>
      <c r="F456" s="19" t="str">
        <f>VLOOKUP(D456,unit_serifs_i18n!C:F,4,FALSE)</f>
        <v>うるさくて眠れない！</v>
      </c>
    </row>
    <row r="457" spans="1:6" x14ac:dyDescent="0.15">
      <c r="A457" s="39">
        <v>255</v>
      </c>
      <c r="B457" s="9" t="str">
        <f>VLOOKUP(A457,[1]characters!$A:$C,3,FALSE)</f>
        <v>怠惰の頂点 ベルフェゴール</v>
      </c>
      <c r="C457" s="40" t="s">
        <v>26</v>
      </c>
      <c r="D457" s="42" t="str">
        <f>D453</f>
        <v>2531</v>
      </c>
      <c r="E457" s="19" t="str">
        <f>VLOOKUP(D457,unit_serifs_i18n!C:E,3,FALSE)</f>
        <v>maru</v>
      </c>
      <c r="F457" s="19" t="str">
        <f>VLOOKUP(D457,unit_serifs_i18n!C:F,4,FALSE)</f>
        <v>睡眠の邪魔〜！</v>
      </c>
    </row>
    <row r="458" spans="1:6" x14ac:dyDescent="0.15">
      <c r="A458" s="11">
        <v>256</v>
      </c>
      <c r="B458" s="9" t="str">
        <f>VLOOKUP(A458,[1]characters!$A:$C,3,FALSE)</f>
        <v>アスモデウス</v>
      </c>
      <c r="C458" s="3" t="s">
        <v>25</v>
      </c>
      <c r="D458" s="42" t="str">
        <f>A458&amp;+(COUNTIF(A$2:A458,A458)-1)</f>
        <v>2560</v>
      </c>
      <c r="E458" s="19" t="str">
        <f>VLOOKUP(D458,unit_serifs_i18n!C:E,3,FALSE)</f>
        <v>kumo</v>
      </c>
      <c r="F458" s="19" t="str">
        <f>VLOOKUP(D458,unit_serifs_i18n!C:F,4,FALSE)</f>
        <v>調子に乗りすぎたわね</v>
      </c>
    </row>
    <row r="459" spans="1:6" x14ac:dyDescent="0.15">
      <c r="A459" s="39">
        <v>256</v>
      </c>
      <c r="B459" s="9" t="str">
        <f>VLOOKUP(A459,[1]characters!$A:$C,3,FALSE)</f>
        <v>アスモデウス</v>
      </c>
      <c r="C459" s="40" t="s">
        <v>26</v>
      </c>
      <c r="D459" s="42" t="str">
        <f>A459&amp;+(COUNTIF(A$2:A459,A459)-1)</f>
        <v>2561</v>
      </c>
      <c r="E459" s="19" t="str">
        <f>VLOOKUP(D459,unit_serifs_i18n!C:E,3,FALSE)</f>
        <v>maru</v>
      </c>
      <c r="F459" s="19" t="str">
        <f>VLOOKUP(D459,unit_serifs_i18n!C:F,4,FALSE)</f>
        <v>もう、興奮しちゃって</v>
      </c>
    </row>
    <row r="460" spans="1:6" x14ac:dyDescent="0.15">
      <c r="A460" s="11">
        <v>257</v>
      </c>
      <c r="B460" s="9" t="str">
        <f>VLOOKUP(A460,[1]characters!$A:$C,3,FALSE)</f>
        <v>色欲 アスモデウス</v>
      </c>
      <c r="C460" s="3" t="s">
        <v>25</v>
      </c>
      <c r="D460" s="42" t="str">
        <f>A460&amp;+(COUNTIF(A$2:A460,A460)-1)</f>
        <v>2570</v>
      </c>
      <c r="E460" s="19" t="str">
        <f>VLOOKUP(D460,unit_serifs_i18n!C:E,3,FALSE)</f>
        <v>maru</v>
      </c>
      <c r="F460" s="19" t="str">
        <f>VLOOKUP(D460,unit_serifs_i18n!C:F,4,FALSE)</f>
        <v>やられっぱなしじゃ困るの</v>
      </c>
    </row>
    <row r="461" spans="1:6" x14ac:dyDescent="0.15">
      <c r="A461" s="39">
        <v>257</v>
      </c>
      <c r="B461" s="9" t="str">
        <f>VLOOKUP(A461,[1]characters!$A:$C,3,FALSE)</f>
        <v>色欲 アスモデウス</v>
      </c>
      <c r="C461" s="40" t="s">
        <v>26</v>
      </c>
      <c r="D461" s="42" t="str">
        <f>A461&amp;+(COUNTIF(A$2:A461,A461)-1)</f>
        <v>2571</v>
      </c>
      <c r="E461" s="19" t="str">
        <f>VLOOKUP(D461,unit_serifs_i18n!C:E,3,FALSE)</f>
        <v>maru</v>
      </c>
      <c r="F461" s="19" t="str">
        <f>VLOOKUP(D461,unit_serifs_i18n!C:F,4,FALSE)</f>
        <v>思いっきり苦しんで？</v>
      </c>
    </row>
    <row r="462" spans="1:6" x14ac:dyDescent="0.15">
      <c r="A462" s="39">
        <v>257</v>
      </c>
      <c r="B462" s="9" t="str">
        <f>VLOOKUP(A462,[1]characters!$A:$C,3,FALSE)</f>
        <v>色欲 アスモデウス</v>
      </c>
      <c r="C462" s="40" t="s">
        <v>26</v>
      </c>
      <c r="D462" s="42" t="str">
        <f>D459</f>
        <v>2561</v>
      </c>
      <c r="E462" s="19" t="str">
        <f>VLOOKUP(D462,unit_serifs_i18n!C:E,3,FALSE)</f>
        <v>maru</v>
      </c>
      <c r="F462" s="19" t="str">
        <f>VLOOKUP(D462,unit_serifs_i18n!C:F,4,FALSE)</f>
        <v>もう、興奮しちゃって</v>
      </c>
    </row>
    <row r="463" spans="1:6" x14ac:dyDescent="0.15">
      <c r="A463" s="11">
        <v>258</v>
      </c>
      <c r="B463" s="9" t="str">
        <f>VLOOKUP(A463,[1]characters!$A:$C,3,FALSE)</f>
        <v>色欲の源流 アスモデウス</v>
      </c>
      <c r="C463" s="3" t="s">
        <v>25</v>
      </c>
      <c r="D463" s="42" t="str">
        <f>A463&amp;+(COUNTIF(A$32:A463,A463)-1)</f>
        <v>2580</v>
      </c>
      <c r="E463" s="19" t="str">
        <f>VLOOKUP(D463,unit_serifs_i18n!C:E,3,FALSE)</f>
        <v>maru</v>
      </c>
      <c r="F463" s="19" t="str">
        <f>VLOOKUP(D463,unit_serifs_i18n!C:F,4,FALSE)</f>
        <v>イイ声で鳴いてちょうだい</v>
      </c>
    </row>
    <row r="464" spans="1:6" x14ac:dyDescent="0.15">
      <c r="A464" s="39">
        <v>258</v>
      </c>
      <c r="B464" s="9" t="str">
        <f>VLOOKUP(A464,[1]characters!$A:$C,3,FALSE)</f>
        <v>色欲の源流 アスモデウス</v>
      </c>
      <c r="C464" s="40" t="s">
        <v>26</v>
      </c>
      <c r="D464" s="42" t="str">
        <f>A464&amp;+(COUNTIF(A$32:A464,A464)-1)</f>
        <v>2581</v>
      </c>
      <c r="E464" s="19" t="str">
        <f>VLOOKUP(D464,unit_serifs_i18n!C:E,3,FALSE)</f>
        <v>kumo</v>
      </c>
      <c r="F464" s="19" t="str">
        <f>VLOOKUP(D464,unit_serifs_i18n!C:F,4,FALSE)</f>
        <v>やだ…ゾクゾクする…</v>
      </c>
    </row>
    <row r="465" spans="1:6" x14ac:dyDescent="0.15">
      <c r="A465" s="39">
        <v>258</v>
      </c>
      <c r="B465" s="9" t="str">
        <f>VLOOKUP(A465,[1]characters!$A:$C,3,FALSE)</f>
        <v>色欲の源流 アスモデウス</v>
      </c>
      <c r="C465" s="40" t="s">
        <v>26</v>
      </c>
      <c r="D465" s="42" t="str">
        <f>D461</f>
        <v>2571</v>
      </c>
      <c r="E465" s="19" t="str">
        <f>VLOOKUP(D465,unit_serifs_i18n!C:E,3,FALSE)</f>
        <v>maru</v>
      </c>
      <c r="F465" s="19" t="str">
        <f>VLOOKUP(D465,unit_serifs_i18n!C:F,4,FALSE)</f>
        <v>思いっきり苦しんで？</v>
      </c>
    </row>
    <row r="466" spans="1:6" x14ac:dyDescent="0.15">
      <c r="A466" s="39">
        <v>258</v>
      </c>
      <c r="B466" s="9" t="str">
        <f>VLOOKUP(A466,[1]characters!$A:$C,3,FALSE)</f>
        <v>色欲の源流 アスモデウス</v>
      </c>
      <c r="C466" s="40" t="s">
        <v>26</v>
      </c>
      <c r="D466" s="42" t="str">
        <f>D462</f>
        <v>2561</v>
      </c>
      <c r="E466" s="19" t="str">
        <f>VLOOKUP(D466,unit_serifs_i18n!C:E,3,FALSE)</f>
        <v>maru</v>
      </c>
      <c r="F466" s="19" t="str">
        <f>VLOOKUP(D466,unit_serifs_i18n!C:F,4,FALSE)</f>
        <v>もう、興奮しちゃって</v>
      </c>
    </row>
    <row r="467" spans="1:6" x14ac:dyDescent="0.15">
      <c r="A467" s="11">
        <v>259</v>
      </c>
      <c r="B467" s="9" t="str">
        <f>VLOOKUP(A467,[1]characters!$A:$C,3,FALSE)</f>
        <v>ウロボロス</v>
      </c>
      <c r="C467" s="3" t="s">
        <v>25</v>
      </c>
      <c r="D467" s="42" t="str">
        <f>A467&amp;+(COUNTIF(A$2:A467,A467)-1)</f>
        <v>2590</v>
      </c>
      <c r="E467" s="19" t="str">
        <f>VLOOKUP(D467,unit_serifs_i18n!C:E,3,FALSE)</f>
        <v>giza</v>
      </c>
      <c r="F467" s="19" t="str">
        <f>VLOOKUP(D467,unit_serifs_i18n!C:F,4,FALSE)</f>
        <v>目覚めなさい、龍の暴脈！</v>
      </c>
    </row>
    <row r="468" spans="1:6" x14ac:dyDescent="0.15">
      <c r="A468" s="39">
        <v>259</v>
      </c>
      <c r="B468" s="9" t="str">
        <f>VLOOKUP(A468,[1]characters!$A:$C,3,FALSE)</f>
        <v>ウロボロス</v>
      </c>
      <c r="C468" s="40" t="s">
        <v>26</v>
      </c>
      <c r="D468" s="42" t="str">
        <f>A468&amp;+(COUNTIF(A$2:A468,A468)-1)</f>
        <v>2591</v>
      </c>
      <c r="E468" s="19" t="str">
        <f>VLOOKUP(D468,unit_serifs_i18n!C:E,3,FALSE)</f>
        <v>maru</v>
      </c>
      <c r="F468" s="19" t="str">
        <f>VLOOKUP(D468,unit_serifs_i18n!C:F,4,FALSE)</f>
        <v>軽く一閃といくわね！</v>
      </c>
    </row>
    <row r="469" spans="1:6" x14ac:dyDescent="0.15">
      <c r="A469" s="11">
        <v>260</v>
      </c>
      <c r="B469" s="9" t="str">
        <f>VLOOKUP(A469,[1]characters!$A:$C,3,FALSE)</f>
        <v>輪廻 ウロボロス</v>
      </c>
      <c r="C469" s="3" t="s">
        <v>25</v>
      </c>
      <c r="D469" s="42" t="str">
        <f>A469&amp;+(COUNTIF(A$2:A469,A469)-1)</f>
        <v>2600</v>
      </c>
      <c r="E469" s="19" t="str">
        <f>VLOOKUP(D469,unit_serifs_i18n!C:E,3,FALSE)</f>
        <v>giza</v>
      </c>
      <c r="F469" s="19" t="str">
        <f>VLOOKUP(D469,unit_serifs_i18n!C:F,4,FALSE)</f>
        <v>私の声が聞こえる！？</v>
      </c>
    </row>
    <row r="470" spans="1:6" x14ac:dyDescent="0.15">
      <c r="A470" s="39">
        <v>260</v>
      </c>
      <c r="B470" s="9" t="str">
        <f>VLOOKUP(A470,[1]characters!$A:$C,3,FALSE)</f>
        <v>輪廻 ウロボロス</v>
      </c>
      <c r="C470" s="40" t="s">
        <v>26</v>
      </c>
      <c r="D470" s="42" t="str">
        <f>A470&amp;+(COUNTIF(A$2:A470,A470)-1)</f>
        <v>2601</v>
      </c>
      <c r="E470" s="19" t="str">
        <f>VLOOKUP(D470,unit_serifs_i18n!C:E,3,FALSE)</f>
        <v>giza</v>
      </c>
      <c r="F470" s="19" t="str">
        <f>VLOOKUP(D470,unit_serifs_i18n!C:F,4,FALSE)</f>
        <v>抜け出せないわよ！</v>
      </c>
    </row>
    <row r="471" spans="1:6" x14ac:dyDescent="0.15">
      <c r="A471" s="39">
        <v>260</v>
      </c>
      <c r="B471" s="9" t="str">
        <f>VLOOKUP(A471,[1]characters!$A:$C,3,FALSE)</f>
        <v>輪廻 ウロボロス</v>
      </c>
      <c r="C471" s="40" t="s">
        <v>26</v>
      </c>
      <c r="D471" s="42" t="str">
        <f>D468</f>
        <v>2591</v>
      </c>
      <c r="E471" s="19" t="str">
        <f>VLOOKUP(D471,unit_serifs_i18n!C:E,3,FALSE)</f>
        <v>maru</v>
      </c>
      <c r="F471" s="19" t="str">
        <f>VLOOKUP(D471,unit_serifs_i18n!C:F,4,FALSE)</f>
        <v>軽く一閃といくわね！</v>
      </c>
    </row>
    <row r="472" spans="1:6" x14ac:dyDescent="0.15">
      <c r="A472" s="11">
        <v>261</v>
      </c>
      <c r="B472" s="9" t="str">
        <f>VLOOKUP(A472,[1]characters!$A:$C,3,FALSE)</f>
        <v>輪廻の蛇龍 ウロボロス</v>
      </c>
      <c r="C472" s="3" t="s">
        <v>25</v>
      </c>
      <c r="D472" s="42" t="str">
        <f>A472&amp;+(COUNTIF(A$32:A472,A472)-1)</f>
        <v>2610</v>
      </c>
      <c r="E472" s="19" t="str">
        <f>VLOOKUP(D472,unit_serifs_i18n!C:E,3,FALSE)</f>
        <v>maru</v>
      </c>
      <c r="F472" s="19" t="str">
        <f>VLOOKUP(D472,unit_serifs_i18n!C:F,4,FALSE)</f>
        <v>力の目覚めを感じるわ…！</v>
      </c>
    </row>
    <row r="473" spans="1:6" x14ac:dyDescent="0.15">
      <c r="A473" s="39">
        <v>261</v>
      </c>
      <c r="B473" s="9" t="str">
        <f>VLOOKUP(A473,[1]characters!$A:$C,3,FALSE)</f>
        <v>輪廻の蛇龍 ウロボロス</v>
      </c>
      <c r="C473" s="40" t="s">
        <v>26</v>
      </c>
      <c r="D473" s="42" t="str">
        <f>A473&amp;+(COUNTIF(A$32:A473,A473)-1)</f>
        <v>2611</v>
      </c>
      <c r="E473" s="19" t="str">
        <f>VLOOKUP(D473,unit_serifs_i18n!C:E,3,FALSE)</f>
        <v>giza</v>
      </c>
      <c r="F473" s="19" t="str">
        <f>VLOOKUP(D473,unit_serifs_i18n!C:F,4,FALSE)</f>
        <v>目覚めたわ…邪龍が！</v>
      </c>
    </row>
    <row r="474" spans="1:6" x14ac:dyDescent="0.15">
      <c r="A474" s="39">
        <v>261</v>
      </c>
      <c r="B474" s="9" t="str">
        <f>VLOOKUP(A474,[1]characters!$A:$C,3,FALSE)</f>
        <v>輪廻の蛇龍 ウロボロス</v>
      </c>
      <c r="C474" s="40" t="s">
        <v>26</v>
      </c>
      <c r="D474" s="42" t="str">
        <f>D470</f>
        <v>2601</v>
      </c>
      <c r="E474" s="19" t="str">
        <f>VLOOKUP(D474,unit_serifs_i18n!C:E,3,FALSE)</f>
        <v>giza</v>
      </c>
      <c r="F474" s="19" t="str">
        <f>VLOOKUP(D474,unit_serifs_i18n!C:F,4,FALSE)</f>
        <v>抜け出せないわよ！</v>
      </c>
    </row>
    <row r="475" spans="1:6" x14ac:dyDescent="0.15">
      <c r="A475" s="39">
        <v>261</v>
      </c>
      <c r="B475" s="9" t="str">
        <f>VLOOKUP(A475,[1]characters!$A:$C,3,FALSE)</f>
        <v>輪廻の蛇龍 ウロボロス</v>
      </c>
      <c r="C475" s="40" t="s">
        <v>26</v>
      </c>
      <c r="D475" s="42" t="str">
        <f>D471</f>
        <v>2591</v>
      </c>
      <c r="E475" s="19" t="str">
        <f>VLOOKUP(D475,unit_serifs_i18n!C:E,3,FALSE)</f>
        <v>maru</v>
      </c>
      <c r="F475" s="19" t="str">
        <f>VLOOKUP(D475,unit_serifs_i18n!C:F,4,FALSE)</f>
        <v>軽く一閃といくわね！</v>
      </c>
    </row>
    <row r="476" spans="1:6" x14ac:dyDescent="0.15">
      <c r="A476" s="11">
        <v>262</v>
      </c>
      <c r="B476" s="9" t="str">
        <f>VLOOKUP(A476,[1]characters!$A:$C,3,FALSE)</f>
        <v>アシュリー</v>
      </c>
      <c r="C476" s="3" t="s">
        <v>25</v>
      </c>
      <c r="D476" s="42" t="str">
        <f>A476&amp;+(COUNTIF(A$2:A476,A476)-1)</f>
        <v>2620</v>
      </c>
      <c r="E476" s="19" t="str">
        <f>VLOOKUP(D476,unit_serifs_i18n!C:E,3,FALSE)</f>
        <v>giza</v>
      </c>
      <c r="F476" s="19" t="str">
        <f>VLOOKUP(D476,unit_serifs_i18n!C:F,4,FALSE)</f>
        <v>魂の解放！ハジけるわよ！</v>
      </c>
    </row>
    <row r="477" spans="1:6" x14ac:dyDescent="0.15">
      <c r="A477" s="39">
        <v>262</v>
      </c>
      <c r="B477" s="9" t="str">
        <f>VLOOKUP(A477,[1]characters!$A:$C,3,FALSE)</f>
        <v>アシュリー</v>
      </c>
      <c r="C477" s="40" t="s">
        <v>26</v>
      </c>
      <c r="D477" s="42" t="str">
        <f>A477&amp;+(COUNTIF(A$2:A477,A477)-1)</f>
        <v>2621</v>
      </c>
      <c r="E477" s="19" t="str">
        <f>VLOOKUP(D477,unit_serifs_i18n!C:E,3,FALSE)</f>
        <v>giza</v>
      </c>
      <c r="F477" s="19" t="str">
        <f>VLOOKUP(D477,unit_serifs_i18n!C:F,4,FALSE)</f>
        <v>癒えぬ傷を！</v>
      </c>
    </row>
    <row r="478" spans="1:6" x14ac:dyDescent="0.15">
      <c r="A478" s="11">
        <v>263</v>
      </c>
      <c r="B478" s="9" t="str">
        <f>VLOOKUP(A478,[1]characters!$A:$C,3,FALSE)</f>
        <v>鉤爪姫 アシュリー</v>
      </c>
      <c r="C478" s="3" t="s">
        <v>25</v>
      </c>
      <c r="D478" s="42" t="str">
        <f>A478&amp;+(COUNTIF(A$2:A478,A478)-1)</f>
        <v>2630</v>
      </c>
      <c r="E478" s="19" t="str">
        <f>VLOOKUP(D478,unit_serifs_i18n!C:E,3,FALSE)</f>
        <v>giza</v>
      </c>
      <c r="F478" s="19" t="str">
        <f>VLOOKUP(D478,unit_serifs_i18n!C:F,4,FALSE)</f>
        <v>盛り上がるのはこれから！</v>
      </c>
    </row>
    <row r="479" spans="1:6" x14ac:dyDescent="0.15">
      <c r="A479" s="39">
        <v>263</v>
      </c>
      <c r="B479" s="9" t="str">
        <f>VLOOKUP(A479,[1]characters!$A:$C,3,FALSE)</f>
        <v>鉤爪姫 アシュリー</v>
      </c>
      <c r="C479" s="40" t="s">
        <v>26</v>
      </c>
      <c r="D479" s="42" t="str">
        <f>A479&amp;+(COUNTIF(A$2:A479,A479)-1)</f>
        <v>2631</v>
      </c>
      <c r="E479" s="19" t="str">
        <f>VLOOKUP(D479,unit_serifs_i18n!C:E,3,FALSE)</f>
        <v>giza</v>
      </c>
      <c r="F479" s="19" t="str">
        <f>VLOOKUP(D479,unit_serifs_i18n!C:F,4,FALSE)</f>
        <v>鼓膜を裂いてあげる！</v>
      </c>
    </row>
    <row r="480" spans="1:6" x14ac:dyDescent="0.15">
      <c r="A480" s="39">
        <v>263</v>
      </c>
      <c r="B480" s="9" t="str">
        <f>VLOOKUP(A480,[1]characters!$A:$C,3,FALSE)</f>
        <v>鉤爪姫 アシュリー</v>
      </c>
      <c r="C480" s="40" t="s">
        <v>26</v>
      </c>
      <c r="D480" s="42" t="str">
        <f>D477</f>
        <v>2621</v>
      </c>
      <c r="E480" s="19" t="str">
        <f>VLOOKUP(D480,unit_serifs_i18n!C:E,3,FALSE)</f>
        <v>giza</v>
      </c>
      <c r="F480" s="19" t="str">
        <f>VLOOKUP(D480,unit_serifs_i18n!C:F,4,FALSE)</f>
        <v>癒えぬ傷を！</v>
      </c>
    </row>
    <row r="481" spans="1:6" x14ac:dyDescent="0.15">
      <c r="A481" s="11">
        <v>264</v>
      </c>
      <c r="B481" s="9" t="str">
        <f>VLOOKUP(A481,[1]characters!$A:$C,3,FALSE)</f>
        <v>ユニコーン</v>
      </c>
      <c r="C481" s="3" t="s">
        <v>25</v>
      </c>
      <c r="D481" s="42" t="str">
        <f>A481&amp;+(COUNTIF(A$2:A481,A481)-1)</f>
        <v>2640</v>
      </c>
      <c r="E481" s="19" t="str">
        <f>VLOOKUP(D481,unit_serifs_i18n!C:E,3,FALSE)</f>
        <v>kumo</v>
      </c>
      <c r="F481" s="19" t="str">
        <f>VLOOKUP(D481,unit_serifs_i18n!C:F,4,FALSE)</f>
        <v>我が一角、希望となれ…</v>
      </c>
    </row>
    <row r="482" spans="1:6" x14ac:dyDescent="0.15">
      <c r="A482" s="39">
        <v>264</v>
      </c>
      <c r="B482" s="9" t="str">
        <f>VLOOKUP(A482,[1]characters!$A:$C,3,FALSE)</f>
        <v>ユニコーン</v>
      </c>
      <c r="C482" s="40" t="s">
        <v>26</v>
      </c>
      <c r="D482" s="42" t="str">
        <f>A482&amp;+(COUNTIF(A$2:A482,A482)-1)</f>
        <v>2641</v>
      </c>
      <c r="E482" s="19" t="str">
        <f>VLOOKUP(D482,unit_serifs_i18n!C:E,3,FALSE)</f>
        <v>kumo</v>
      </c>
      <c r="F482" s="19" t="str">
        <f>VLOOKUP(D482,unit_serifs_i18n!C:F,4,FALSE)</f>
        <v>突破させてもらおうか</v>
      </c>
    </row>
    <row r="483" spans="1:6" x14ac:dyDescent="0.15">
      <c r="A483" s="11">
        <v>265</v>
      </c>
      <c r="B483" s="9" t="str">
        <f>VLOOKUP(A483,[1]characters!$A:$C,3,FALSE)</f>
        <v>翠角馬 ユニコーン</v>
      </c>
      <c r="C483" s="3" t="s">
        <v>25</v>
      </c>
      <c r="D483" s="42" t="str">
        <f>A483&amp;+(COUNTIF(A$2:A483,A483)-1)</f>
        <v>2650</v>
      </c>
      <c r="E483" s="19" t="str">
        <f>VLOOKUP(D483,unit_serifs_i18n!C:E,3,FALSE)</f>
        <v>kumo</v>
      </c>
      <c r="F483" s="19" t="str">
        <f>VLOOKUP(D483,unit_serifs_i18n!C:F,4,FALSE)</f>
        <v>障害こそ好機…だろう？</v>
      </c>
    </row>
    <row r="484" spans="1:6" x14ac:dyDescent="0.15">
      <c r="A484" s="39">
        <v>265</v>
      </c>
      <c r="B484" s="9" t="str">
        <f>VLOOKUP(A484,[1]characters!$A:$C,3,FALSE)</f>
        <v>翠角馬 ユニコーン</v>
      </c>
      <c r="C484" s="40" t="s">
        <v>26</v>
      </c>
      <c r="D484" s="42" t="str">
        <f>A484&amp;+(COUNTIF(A$2:A484,A484)-1)</f>
        <v>2651</v>
      </c>
      <c r="E484" s="19" t="str">
        <f>VLOOKUP(D484,unit_serifs_i18n!C:E,3,FALSE)</f>
        <v>kumo</v>
      </c>
      <c r="F484" s="19" t="str">
        <f>VLOOKUP(D484,unit_serifs_i18n!C:F,4,FALSE)</f>
        <v>止められるものか！</v>
      </c>
    </row>
    <row r="485" spans="1:6" x14ac:dyDescent="0.15">
      <c r="A485" s="39">
        <v>265</v>
      </c>
      <c r="B485" s="9" t="str">
        <f>VLOOKUP(A485,[1]characters!$A:$C,3,FALSE)</f>
        <v>翠角馬 ユニコーン</v>
      </c>
      <c r="C485" s="40" t="s">
        <v>26</v>
      </c>
      <c r="D485" s="42" t="str">
        <f>D482</f>
        <v>2641</v>
      </c>
      <c r="E485" s="19" t="str">
        <f>VLOOKUP(D485,unit_serifs_i18n!C:E,3,FALSE)</f>
        <v>kumo</v>
      </c>
      <c r="F485" s="19" t="str">
        <f>VLOOKUP(D485,unit_serifs_i18n!C:F,4,FALSE)</f>
        <v>突破させてもらおうか</v>
      </c>
    </row>
    <row r="486" spans="1:6" x14ac:dyDescent="0.15">
      <c r="A486" s="11">
        <v>266</v>
      </c>
      <c r="B486" s="9" t="str">
        <f>VLOOKUP(A486,[1]characters!$A:$C,3,FALSE)</f>
        <v>リリアンブルー</v>
      </c>
      <c r="C486" s="3" t="s">
        <v>25</v>
      </c>
      <c r="D486" s="42" t="str">
        <f>A486&amp;+(COUNTIF(A$2:A486,A486)-1)</f>
        <v>2660</v>
      </c>
      <c r="E486" s="19" t="str">
        <f>VLOOKUP(D486,unit_serifs_i18n!C:E,3,FALSE)</f>
        <v>maru</v>
      </c>
      <c r="F486" s="19" t="str">
        <f>VLOOKUP(D486,unit_serifs_i18n!C:F,4,FALSE)</f>
        <v>やれやれ…特別ですよ？</v>
      </c>
    </row>
    <row r="487" spans="1:6" x14ac:dyDescent="0.15">
      <c r="A487" s="39">
        <v>266</v>
      </c>
      <c r="B487" s="9" t="str">
        <f>VLOOKUP(A487,[1]characters!$A:$C,3,FALSE)</f>
        <v>リリアンブルー</v>
      </c>
      <c r="C487" s="40" t="s">
        <v>26</v>
      </c>
      <c r="D487" s="42" t="str">
        <f>A487&amp;+(COUNTIF(A$2:A487,A487)-1)</f>
        <v>2661</v>
      </c>
      <c r="E487" s="19" t="str">
        <f>VLOOKUP(D487,unit_serifs_i18n!C:E,3,FALSE)</f>
        <v>maru</v>
      </c>
      <c r="F487" s="19" t="str">
        <f>VLOOKUP(D487,unit_serifs_i18n!C:F,4,FALSE)</f>
        <v>野次は嫌いでしてね</v>
      </c>
    </row>
    <row r="488" spans="1:6" x14ac:dyDescent="0.15">
      <c r="A488" s="11">
        <v>267</v>
      </c>
      <c r="B488" s="9" t="str">
        <f>VLOOKUP(A488,[1]characters!$A:$C,3,FALSE)</f>
        <v>奇術猫 リリアンブルー</v>
      </c>
      <c r="C488" s="3" t="s">
        <v>25</v>
      </c>
      <c r="D488" s="42" t="str">
        <f>A488&amp;+(COUNTIF(A$2:A488,A488)-1)</f>
        <v>2670</v>
      </c>
      <c r="E488" s="19" t="str">
        <f>VLOOKUP(D488,unit_serifs_i18n!C:E,3,FALSE)</f>
        <v>maru</v>
      </c>
      <c r="F488" s="19" t="str">
        <f>VLOOKUP(D488,unit_serifs_i18n!C:F,4,FALSE)</f>
        <v>目で追っても無駄ですね</v>
      </c>
    </row>
    <row r="489" spans="1:6" x14ac:dyDescent="0.15">
      <c r="A489" s="39">
        <v>267</v>
      </c>
      <c r="B489" s="9" t="str">
        <f>VLOOKUP(A489,[1]characters!$A:$C,3,FALSE)</f>
        <v>奇術猫 リリアンブルー</v>
      </c>
      <c r="C489" s="40" t="s">
        <v>26</v>
      </c>
      <c r="D489" s="42" t="str">
        <f>A489&amp;+(COUNTIF(A$2:A489,A489)-1)</f>
        <v>2671</v>
      </c>
      <c r="E489" s="19" t="str">
        <f>VLOOKUP(D489,unit_serifs_i18n!C:E,3,FALSE)</f>
        <v>maru</v>
      </c>
      <c r="F489" s="19" t="str">
        <f>VLOOKUP(D489,unit_serifs_i18n!C:F,4,FALSE)</f>
        <v>しばしお黙りください</v>
      </c>
    </row>
    <row r="490" spans="1:6" x14ac:dyDescent="0.15">
      <c r="A490" s="39">
        <v>267</v>
      </c>
      <c r="B490" s="9" t="str">
        <f>VLOOKUP(A490,[1]characters!$A:$C,3,FALSE)</f>
        <v>奇術猫 リリアンブルー</v>
      </c>
      <c r="C490" s="40" t="s">
        <v>26</v>
      </c>
      <c r="D490" s="42" t="str">
        <f>D487</f>
        <v>2661</v>
      </c>
      <c r="E490" s="19" t="str">
        <f>VLOOKUP(D490,unit_serifs_i18n!C:E,3,FALSE)</f>
        <v>maru</v>
      </c>
      <c r="F490" s="19" t="str">
        <f>VLOOKUP(D490,unit_serifs_i18n!C:F,4,FALSE)</f>
        <v>野次は嫌いでしてね</v>
      </c>
    </row>
    <row r="491" spans="1:6" x14ac:dyDescent="0.15">
      <c r="A491" s="11">
        <v>268</v>
      </c>
      <c r="B491" s="9" t="str">
        <f>VLOOKUP(A491,[1]characters!$A:$C,3,FALSE)</f>
        <v>鵺</v>
      </c>
      <c r="C491" s="3" t="s">
        <v>25</v>
      </c>
      <c r="D491" s="42" t="str">
        <f>A491&amp;+(COUNTIF(A$2:A491,A491)-1)</f>
        <v>2680</v>
      </c>
      <c r="E491" s="19" t="str">
        <f>VLOOKUP(D491,unit_serifs_i18n!C:E,3,FALSE)</f>
        <v>maru</v>
      </c>
      <c r="F491" s="19" t="str">
        <f>VLOOKUP(D491,unit_serifs_i18n!C:F,4,FALSE)</f>
        <v>おもしれぇもん見せてやる</v>
      </c>
    </row>
    <row r="492" spans="1:6" x14ac:dyDescent="0.15">
      <c r="A492" s="39">
        <v>268</v>
      </c>
      <c r="B492" s="9" t="str">
        <f>VLOOKUP(A492,[1]characters!$A:$C,3,FALSE)</f>
        <v>鵺</v>
      </c>
      <c r="C492" s="40" t="s">
        <v>26</v>
      </c>
      <c r="D492" s="42" t="str">
        <f>A492&amp;+(COUNTIF(A$2:A492,A492)-1)</f>
        <v>2681</v>
      </c>
      <c r="E492" s="19" t="str">
        <f>VLOOKUP(D492,unit_serifs_i18n!C:E,3,FALSE)</f>
        <v>giza</v>
      </c>
      <c r="F492" s="19" t="str">
        <f>VLOOKUP(D492,unit_serifs_i18n!C:F,4,FALSE)</f>
        <v>隙だらけじゃねぇか！</v>
      </c>
    </row>
    <row r="493" spans="1:6" x14ac:dyDescent="0.15">
      <c r="A493" s="11">
        <v>269</v>
      </c>
      <c r="B493" s="9" t="str">
        <f>VLOOKUP(A493,[1]characters!$A:$C,3,FALSE)</f>
        <v>合雷獣 鵺</v>
      </c>
      <c r="C493" s="3" t="s">
        <v>25</v>
      </c>
      <c r="D493" s="42" t="str">
        <f>A493&amp;+(COUNTIF(A$2:A493,A493)-1)</f>
        <v>2690</v>
      </c>
      <c r="E493" s="19" t="str">
        <f>VLOOKUP(D493,unit_serifs_i18n!C:E,3,FALSE)</f>
        <v>giza</v>
      </c>
      <c r="F493" s="19" t="str">
        <f>VLOOKUP(D493,unit_serifs_i18n!C:F,4,FALSE)</f>
        <v>後先なんて知らねぇなぁ！</v>
      </c>
    </row>
    <row r="494" spans="1:6" x14ac:dyDescent="0.15">
      <c r="A494" s="39">
        <v>269</v>
      </c>
      <c r="B494" s="9" t="str">
        <f>VLOOKUP(A494,[1]characters!$A:$C,3,FALSE)</f>
        <v>合雷獣 鵺</v>
      </c>
      <c r="C494" s="40" t="s">
        <v>26</v>
      </c>
      <c r="D494" s="42" t="str">
        <f>A494&amp;+(COUNTIF(A$2:A494,A494)-1)</f>
        <v>2691</v>
      </c>
      <c r="E494" s="19" t="str">
        <f>VLOOKUP(D494,unit_serifs_i18n!C:E,3,FALSE)</f>
        <v>giza</v>
      </c>
      <c r="F494" s="19" t="str">
        <f>VLOOKUP(D494,unit_serifs_i18n!C:F,4,FALSE)</f>
        <v>そら！活目しやがれ！</v>
      </c>
    </row>
    <row r="495" spans="1:6" x14ac:dyDescent="0.15">
      <c r="A495" s="39">
        <v>269</v>
      </c>
      <c r="B495" s="9" t="str">
        <f>VLOOKUP(A495,[1]characters!$A:$C,3,FALSE)</f>
        <v>合雷獣 鵺</v>
      </c>
      <c r="C495" s="40" t="s">
        <v>26</v>
      </c>
      <c r="D495" s="42" t="str">
        <f>D492</f>
        <v>2681</v>
      </c>
      <c r="E495" s="19" t="str">
        <f>VLOOKUP(D495,unit_serifs_i18n!C:E,3,FALSE)</f>
        <v>giza</v>
      </c>
      <c r="F495" s="19" t="str">
        <f>VLOOKUP(D495,unit_serifs_i18n!C:F,4,FALSE)</f>
        <v>隙だらけじゃねぇか！</v>
      </c>
    </row>
    <row r="496" spans="1:6" x14ac:dyDescent="0.15">
      <c r="A496" s="11">
        <v>270</v>
      </c>
      <c r="B496" s="9" t="str">
        <f>VLOOKUP(A496,[1]characters!$A:$C,3,FALSE)</f>
        <v>風爪のミリー</v>
      </c>
      <c r="C496" s="3" t="s">
        <v>25</v>
      </c>
      <c r="D496" s="42" t="str">
        <f>A496&amp;+(COUNTIF(A$32:A496,A496)-1)</f>
        <v>2700</v>
      </c>
      <c r="E496" s="19" t="str">
        <f>VLOOKUP(D496,unit_serifs_i18n!C:E,3,FALSE)</f>
        <v>giza</v>
      </c>
      <c r="F496" s="19" t="str">
        <f>VLOOKUP(D496,unit_serifs_i18n!C:F,4,FALSE)</f>
        <v>狩るよ！私に続けェ！！</v>
      </c>
    </row>
    <row r="497" spans="1:20" x14ac:dyDescent="0.15">
      <c r="A497" s="39">
        <v>270</v>
      </c>
      <c r="B497" s="9" t="str">
        <f>VLOOKUP(A497,[1]characters!$A:$C,3,FALSE)</f>
        <v>風爪のミリー</v>
      </c>
      <c r="C497" s="40" t="s">
        <v>26</v>
      </c>
      <c r="D497" s="42" t="str">
        <f>A497&amp;+(COUNTIF(A$32:A497,A497)-1)</f>
        <v>2701</v>
      </c>
      <c r="E497" s="19" t="str">
        <f>VLOOKUP(D497,unit_serifs_i18n!C:E,3,FALSE)</f>
        <v>giza</v>
      </c>
      <c r="F497" s="19" t="str">
        <f>VLOOKUP(D497,unit_serifs_i18n!C:F,4,FALSE)</f>
        <v>既に四方は囲んだ！</v>
      </c>
    </row>
    <row r="498" spans="1:20" x14ac:dyDescent="0.15">
      <c r="A498" s="39">
        <v>270</v>
      </c>
      <c r="B498" s="9" t="str">
        <f>VLOOKUP(A498,[1]characters!$A:$C,3,FALSE)</f>
        <v>風爪のミリー</v>
      </c>
      <c r="C498" s="40" t="s">
        <v>26</v>
      </c>
      <c r="D498" s="42" t="str">
        <f>A498&amp;+(COUNTIF(A$32:A498,A498)-1)</f>
        <v>2702</v>
      </c>
      <c r="E498" s="19" t="str">
        <f>VLOOKUP(D498,unit_serifs_i18n!C:E,3,FALSE)</f>
        <v>giza</v>
      </c>
      <c r="F498" s="19" t="str">
        <f>VLOOKUP(D498,unit_serifs_i18n!C:F,4,FALSE)</f>
        <v>狩るのは私だよ！</v>
      </c>
    </row>
    <row r="499" spans="1:20" x14ac:dyDescent="0.15">
      <c r="A499" s="11">
        <v>271</v>
      </c>
      <c r="B499" s="9" t="str">
        <f>VLOOKUP(A499,[1]characters!$A:$C,3,FALSE)</f>
        <v>疾風五花 ミリー</v>
      </c>
      <c r="C499" s="3" t="s">
        <v>25</v>
      </c>
      <c r="D499" s="42" t="str">
        <f>A499&amp;+(COUNTIF(A$32:A499,A499)-1)</f>
        <v>2710</v>
      </c>
      <c r="E499" s="19" t="str">
        <f>VLOOKUP(D499,unit_serifs_i18n!C:E,3,FALSE)</f>
        <v>giza</v>
      </c>
      <c r="F499" s="19" t="str">
        <f>VLOOKUP(D499,unit_serifs_i18n!C:F,4,FALSE)</f>
        <v>獣の矜持を忘れるな！！</v>
      </c>
      <c r="G499" s="16"/>
      <c r="H499" s="16"/>
      <c r="I499" s="16"/>
      <c r="J499" s="16"/>
      <c r="K499" s="16"/>
      <c r="L499" s="17"/>
      <c r="M499" s="17"/>
      <c r="N499" s="18"/>
      <c r="O499" s="18"/>
      <c r="P499" s="18"/>
      <c r="Q499" s="18"/>
      <c r="R499" s="18"/>
      <c r="S499" s="69"/>
      <c r="T499" s="70"/>
    </row>
    <row r="500" spans="1:20" x14ac:dyDescent="0.15">
      <c r="A500" s="39">
        <v>271</v>
      </c>
      <c r="B500" s="9" t="str">
        <f>VLOOKUP(A500,[1]characters!$A:$C,3,FALSE)</f>
        <v>疾風五花 ミリー</v>
      </c>
      <c r="C500" s="40" t="s">
        <v>26</v>
      </c>
      <c r="D500" s="42" t="str">
        <f>A500&amp;+(COUNTIF(A$32:A500,A500)-1)</f>
        <v>2711</v>
      </c>
      <c r="E500" s="19" t="str">
        <f>VLOOKUP(D500,unit_serifs_i18n!C:E,3,FALSE)</f>
        <v>giza</v>
      </c>
      <c r="F500" s="19" t="str">
        <f>VLOOKUP(D500,unit_serifs_i18n!C:F,4,FALSE)</f>
        <v>獲物は逃がさない！</v>
      </c>
    </row>
    <row r="501" spans="1:20" x14ac:dyDescent="0.15">
      <c r="A501" s="39">
        <v>271</v>
      </c>
      <c r="B501" s="9" t="str">
        <f>VLOOKUP(A501,[1]characters!$A:$C,3,FALSE)</f>
        <v>疾風五花 ミリー</v>
      </c>
      <c r="C501" s="40" t="s">
        <v>26</v>
      </c>
      <c r="D501" s="46" t="str">
        <f>D497</f>
        <v>2701</v>
      </c>
      <c r="E501" s="19" t="str">
        <f>VLOOKUP(D501,unit_serifs_i18n!C:E,3,FALSE)</f>
        <v>giza</v>
      </c>
      <c r="F501" s="19" t="str">
        <f>VLOOKUP(D501,unit_serifs_i18n!C:F,4,FALSE)</f>
        <v>既に四方は囲んだ！</v>
      </c>
    </row>
    <row r="502" spans="1:20" x14ac:dyDescent="0.15">
      <c r="A502" s="39">
        <v>271</v>
      </c>
      <c r="B502" s="9" t="str">
        <f>VLOOKUP(A502,[1]characters!$A:$C,3,FALSE)</f>
        <v>疾風五花 ミリー</v>
      </c>
      <c r="C502" s="40" t="s">
        <v>26</v>
      </c>
      <c r="D502" s="46" t="str">
        <f>D498</f>
        <v>2702</v>
      </c>
      <c r="E502" s="19" t="str">
        <f>VLOOKUP(D502,unit_serifs_i18n!C:E,3,FALSE)</f>
        <v>giza</v>
      </c>
      <c r="F502" s="19" t="str">
        <f>VLOOKUP(D502,unit_serifs_i18n!C:F,4,FALSE)</f>
        <v>狩るのは私だよ！</v>
      </c>
    </row>
    <row r="503" spans="1:20" x14ac:dyDescent="0.15">
      <c r="A503" s="11">
        <v>272</v>
      </c>
      <c r="B503" s="9" t="str">
        <f>VLOOKUP(A503,[1]characters!$A:$C,3,FALSE)</f>
        <v>魔札のシルベール</v>
      </c>
      <c r="C503" s="3" t="s">
        <v>25</v>
      </c>
      <c r="D503" s="42" t="str">
        <f>A503&amp;+(COUNTIF(A$32:A503,A503)-1)</f>
        <v>2720</v>
      </c>
      <c r="E503" s="19" t="str">
        <f>VLOOKUP(D503,unit_serifs_i18n!C:E,3,FALSE)</f>
        <v>maru</v>
      </c>
      <c r="F503" s="19" t="str">
        <f>VLOOKUP(D503,unit_serifs_i18n!C:F,4,FALSE)</f>
        <v>楽しい夢を見てくれよ？</v>
      </c>
      <c r="G503" s="16"/>
      <c r="H503" s="16"/>
      <c r="I503" s="16"/>
      <c r="J503" s="16"/>
      <c r="K503" s="16"/>
      <c r="L503" s="17"/>
      <c r="M503" s="17"/>
      <c r="N503" s="18"/>
      <c r="O503" s="18"/>
      <c r="P503" s="18"/>
      <c r="Q503" s="18"/>
      <c r="R503" s="18"/>
      <c r="S503" s="69"/>
      <c r="T503" s="70"/>
    </row>
    <row r="504" spans="1:20" x14ac:dyDescent="0.15">
      <c r="A504" s="39">
        <v>272</v>
      </c>
      <c r="B504" s="9" t="str">
        <f>VLOOKUP(A504,[1]characters!$A:$C,3,FALSE)</f>
        <v>魔札のシルベール</v>
      </c>
      <c r="C504" s="40" t="s">
        <v>26</v>
      </c>
      <c r="D504" s="42" t="str">
        <f>A504&amp;+(COUNTIF(A$32:A504,A504)-1)</f>
        <v>2721</v>
      </c>
      <c r="E504" s="19" t="str">
        <f>VLOOKUP(D504,unit_serifs_i18n!C:E,3,FALSE)</f>
        <v>maru</v>
      </c>
      <c r="F504" s="19" t="str">
        <f>VLOOKUP(D504,unit_serifs_i18n!C:F,4,FALSE)</f>
        <v>催眠術は知ってるかい</v>
      </c>
    </row>
    <row r="505" spans="1:20" x14ac:dyDescent="0.15">
      <c r="A505" s="39">
        <v>272</v>
      </c>
      <c r="B505" s="9" t="str">
        <f>VLOOKUP(A505,[1]characters!$A:$C,3,FALSE)</f>
        <v>魔札のシルベール</v>
      </c>
      <c r="C505" s="40" t="s">
        <v>26</v>
      </c>
      <c r="D505" s="42" t="str">
        <f>A505&amp;+(COUNTIF(A$32:A505,A505)-1)</f>
        <v>2722</v>
      </c>
      <c r="E505" s="19" t="str">
        <f>VLOOKUP(D505,unit_serifs_i18n!C:E,3,FALSE)</f>
        <v>maru</v>
      </c>
      <c r="F505" s="19" t="str">
        <f>VLOOKUP(D505,unit_serifs_i18n!C:F,4,FALSE)</f>
        <v>大丈夫、痛くないさ</v>
      </c>
    </row>
    <row r="506" spans="1:20" x14ac:dyDescent="0.15">
      <c r="A506" s="11">
        <v>273</v>
      </c>
      <c r="B506" s="9" t="str">
        <f>VLOOKUP(A506,[1]characters!$A:$C,3,FALSE)</f>
        <v>円環魔道 シルベール</v>
      </c>
      <c r="C506" s="3" t="s">
        <v>25</v>
      </c>
      <c r="D506" s="42" t="str">
        <f>A506&amp;+(COUNTIF(A$32:A506,A506)-1)</f>
        <v>2730</v>
      </c>
      <c r="E506" s="19" t="str">
        <f>VLOOKUP(D506,unit_serifs_i18n!C:E,3,FALSE)</f>
        <v>maru</v>
      </c>
      <c r="F506" s="19" t="str">
        <f>VLOOKUP(D506,unit_serifs_i18n!C:F,4,FALSE)</f>
        <v>潜在能力を刺激するだけさ</v>
      </c>
    </row>
    <row r="507" spans="1:20" x14ac:dyDescent="0.15">
      <c r="A507" s="39">
        <v>273</v>
      </c>
      <c r="B507" s="9" t="str">
        <f>VLOOKUP(A507,[1]characters!$A:$C,3,FALSE)</f>
        <v>円環魔道 シルベール</v>
      </c>
      <c r="C507" s="40" t="s">
        <v>26</v>
      </c>
      <c r="D507" s="42" t="str">
        <f>A507&amp;+(COUNTIF(A$32:A507,A507)-1)</f>
        <v>2731</v>
      </c>
      <c r="E507" s="19" t="str">
        <f>VLOOKUP(D507,unit_serifs_i18n!C:E,3,FALSE)</f>
        <v>kumo</v>
      </c>
      <c r="F507" s="19" t="str">
        <f>VLOOKUP(D507,unit_serifs_i18n!C:F,4,FALSE)</f>
        <v>安らかな顔が見たいね</v>
      </c>
    </row>
    <row r="508" spans="1:20" x14ac:dyDescent="0.15">
      <c r="A508" s="39">
        <v>273</v>
      </c>
      <c r="B508" s="9" t="str">
        <f>VLOOKUP(A508,[1]characters!$A:$C,3,FALSE)</f>
        <v>円環魔道 シルベール</v>
      </c>
      <c r="C508" s="40" t="s">
        <v>26</v>
      </c>
      <c r="D508" s="46" t="str">
        <f>D504</f>
        <v>2721</v>
      </c>
      <c r="E508" s="19" t="str">
        <f>VLOOKUP(D508,unit_serifs_i18n!C:E,3,FALSE)</f>
        <v>maru</v>
      </c>
      <c r="F508" s="19" t="str">
        <f>VLOOKUP(D508,unit_serifs_i18n!C:F,4,FALSE)</f>
        <v>催眠術は知ってるかい</v>
      </c>
    </row>
    <row r="509" spans="1:20" x14ac:dyDescent="0.15">
      <c r="A509" s="39">
        <v>273</v>
      </c>
      <c r="B509" s="9" t="str">
        <f>VLOOKUP(A509,[1]characters!$A:$C,3,FALSE)</f>
        <v>円環魔道 シルベール</v>
      </c>
      <c r="C509" s="40" t="s">
        <v>26</v>
      </c>
      <c r="D509" s="46" t="str">
        <f>D505</f>
        <v>2722</v>
      </c>
      <c r="E509" s="19" t="str">
        <f>VLOOKUP(D509,unit_serifs_i18n!C:E,3,FALSE)</f>
        <v>maru</v>
      </c>
      <c r="F509" s="19" t="str">
        <f>VLOOKUP(D509,unit_serifs_i18n!C:F,4,FALSE)</f>
        <v>大丈夫、痛くないさ</v>
      </c>
    </row>
    <row r="510" spans="1:20" x14ac:dyDescent="0.15">
      <c r="A510" s="11">
        <v>274</v>
      </c>
      <c r="B510" s="9" t="str">
        <f>VLOOKUP(A510,[1]characters!$A:$C,3,FALSE)</f>
        <v>砕棒のガエル</v>
      </c>
      <c r="C510" s="3" t="s">
        <v>25</v>
      </c>
      <c r="D510" s="42" t="str">
        <f>A510&amp;+(COUNTIF(A$32:A510,A510)-1)</f>
        <v>2740</v>
      </c>
      <c r="E510" s="19" t="str">
        <f>VLOOKUP(D510,unit_serifs_i18n!C:E,3,FALSE)</f>
        <v>giza</v>
      </c>
      <c r="F510" s="19" t="str">
        <f>VLOOKUP(D510,unit_serifs_i18n!C:F,4,FALSE)</f>
        <v>野郎ども！吠えろ！！</v>
      </c>
    </row>
    <row r="511" spans="1:20" x14ac:dyDescent="0.15">
      <c r="A511" s="39">
        <v>274</v>
      </c>
      <c r="B511" s="9" t="str">
        <f>VLOOKUP(A511,[1]characters!$A:$C,3,FALSE)</f>
        <v>砕棒のガエル</v>
      </c>
      <c r="C511" s="40" t="s">
        <v>26</v>
      </c>
      <c r="D511" s="42" t="str">
        <f>A511&amp;+(COUNTIF(A$32:A511,A511)-1)</f>
        <v>2741</v>
      </c>
      <c r="E511" s="19" t="str">
        <f>VLOOKUP(D511,unit_serifs_i18n!C:E,3,FALSE)</f>
        <v>maru</v>
      </c>
      <c r="F511" s="19" t="str">
        <f>VLOOKUP(D511,unit_serifs_i18n!C:F,4,FALSE)</f>
        <v>こいつぁ重いぜ？</v>
      </c>
    </row>
    <row r="512" spans="1:20" x14ac:dyDescent="0.15">
      <c r="A512" s="39">
        <v>274</v>
      </c>
      <c r="B512" s="9" t="str">
        <f>VLOOKUP(A512,[1]characters!$A:$C,3,FALSE)</f>
        <v>砕棒のガエル</v>
      </c>
      <c r="C512" s="40" t="s">
        <v>26</v>
      </c>
      <c r="D512" s="42" t="str">
        <f>A512&amp;+(COUNTIF(A$32:A512,A512)-1)</f>
        <v>2742</v>
      </c>
      <c r="E512" s="19" t="str">
        <f>VLOOKUP(D512,unit_serifs_i18n!C:E,3,FALSE)</f>
        <v>giza</v>
      </c>
      <c r="F512" s="19" t="str">
        <f>VLOOKUP(D512,unit_serifs_i18n!C:F,4,FALSE)</f>
        <v>受け止めてみやがれ！</v>
      </c>
    </row>
    <row r="513" spans="1:6" x14ac:dyDescent="0.15">
      <c r="A513" s="11">
        <v>275</v>
      </c>
      <c r="B513" s="9" t="str">
        <f>VLOOKUP(A513,[1]characters!$A:$C,3,FALSE)</f>
        <v>轟雷砕棒 ガエル</v>
      </c>
      <c r="C513" s="3" t="s">
        <v>25</v>
      </c>
      <c r="D513" s="42" t="str">
        <f>A513&amp;+(COUNTIF(A$32:A513,A513)-1)</f>
        <v>2750</v>
      </c>
      <c r="E513" s="19" t="str">
        <f>VLOOKUP(D513,unit_serifs_i18n!C:E,3,FALSE)</f>
        <v>giza</v>
      </c>
      <c r="F513" s="19" t="str">
        <f>VLOOKUP(D513,unit_serifs_i18n!C:F,4,FALSE)</f>
        <v>本能を解放してやる！</v>
      </c>
    </row>
    <row r="514" spans="1:6" x14ac:dyDescent="0.15">
      <c r="A514" s="39">
        <v>275</v>
      </c>
      <c r="B514" s="9" t="str">
        <f>VLOOKUP(A514,[1]characters!$A:$C,3,FALSE)</f>
        <v>轟雷砕棒 ガエル</v>
      </c>
      <c r="C514" s="40" t="s">
        <v>26</v>
      </c>
      <c r="D514" s="42" t="str">
        <f>A514&amp;+(COUNTIF(A$32:A514,A514)-1)</f>
        <v>2751</v>
      </c>
      <c r="E514" s="19" t="str">
        <f>VLOOKUP(D514,unit_serifs_i18n!C:E,3,FALSE)</f>
        <v>giza</v>
      </c>
      <c r="F514" s="19" t="str">
        <f>VLOOKUP(D514,unit_serifs_i18n!C:F,4,FALSE)</f>
        <v>かっ飛ばしてやるぜ！</v>
      </c>
    </row>
    <row r="515" spans="1:6" x14ac:dyDescent="0.15">
      <c r="A515" s="39">
        <v>275</v>
      </c>
      <c r="B515" s="9" t="str">
        <f>VLOOKUP(A515,[1]characters!$A:$C,3,FALSE)</f>
        <v>轟雷砕棒 ガエル</v>
      </c>
      <c r="C515" s="40" t="s">
        <v>26</v>
      </c>
      <c r="D515" s="46" t="str">
        <f>D511</f>
        <v>2741</v>
      </c>
      <c r="E515" s="19" t="str">
        <f>VLOOKUP(D515,unit_serifs_i18n!C:E,3,FALSE)</f>
        <v>maru</v>
      </c>
      <c r="F515" s="19" t="str">
        <f>VLOOKUP(D515,unit_serifs_i18n!C:F,4,FALSE)</f>
        <v>こいつぁ重いぜ？</v>
      </c>
    </row>
    <row r="516" spans="1:6" x14ac:dyDescent="0.15">
      <c r="A516" s="39">
        <v>275</v>
      </c>
      <c r="B516" s="9" t="str">
        <f>VLOOKUP(A516,[1]characters!$A:$C,3,FALSE)</f>
        <v>轟雷砕棒 ガエル</v>
      </c>
      <c r="C516" s="40" t="s">
        <v>26</v>
      </c>
      <c r="D516" s="46" t="str">
        <f>D512</f>
        <v>2742</v>
      </c>
      <c r="E516" s="19" t="str">
        <f>VLOOKUP(D516,unit_serifs_i18n!C:E,3,FALSE)</f>
        <v>giza</v>
      </c>
      <c r="F516" s="19" t="str">
        <f>VLOOKUP(D516,unit_serifs_i18n!C:F,4,FALSE)</f>
        <v>受け止めてみやがれ！</v>
      </c>
    </row>
    <row r="517" spans="1:6" x14ac:dyDescent="0.15">
      <c r="A517" s="11">
        <v>276</v>
      </c>
      <c r="B517" s="9" t="str">
        <f>VLOOKUP(A517,[1]characters!$A:$C,3,FALSE)</f>
        <v>機拳のイリア</v>
      </c>
      <c r="C517" s="3" t="s">
        <v>25</v>
      </c>
      <c r="D517" s="42" t="str">
        <f>A517&amp;+(COUNTIF(A$32:A517,A517)-1)</f>
        <v>2760</v>
      </c>
      <c r="E517" s="19" t="str">
        <f>VLOOKUP(D517,unit_serifs_i18n!C:E,3,FALSE)</f>
        <v>maru</v>
      </c>
      <c r="F517" s="19" t="str">
        <f>VLOOKUP(D517,unit_serifs_i18n!C:F,4,FALSE)</f>
        <v>強度あげなきゃ！</v>
      </c>
    </row>
    <row r="518" spans="1:6" x14ac:dyDescent="0.15">
      <c r="A518" s="39">
        <v>276</v>
      </c>
      <c r="B518" s="9" t="str">
        <f>VLOOKUP(A518,[1]characters!$A:$C,3,FALSE)</f>
        <v>機拳のイリア</v>
      </c>
      <c r="C518" s="40" t="s">
        <v>26</v>
      </c>
      <c r="D518" s="42" t="str">
        <f>A518&amp;+(COUNTIF(A$32:A518,A518)-1)</f>
        <v>2761</v>
      </c>
      <c r="E518" s="19" t="str">
        <f>VLOOKUP(D518,unit_serifs_i18n!C:E,3,FALSE)</f>
        <v>maru</v>
      </c>
      <c r="F518" s="19" t="str">
        <f>VLOOKUP(D518,unit_serifs_i18n!C:F,4,FALSE)</f>
        <v>役に立たなきゃ！</v>
      </c>
    </row>
    <row r="519" spans="1:6" x14ac:dyDescent="0.15">
      <c r="A519" s="39">
        <v>276</v>
      </c>
      <c r="B519" s="9" t="str">
        <f>VLOOKUP(A519,[1]characters!$A:$C,3,FALSE)</f>
        <v>機拳のイリア</v>
      </c>
      <c r="C519" s="40" t="s">
        <v>26</v>
      </c>
      <c r="D519" s="42" t="str">
        <f>A519&amp;+(COUNTIF(A$32:A519,A519)-1)</f>
        <v>2762</v>
      </c>
      <c r="E519" s="19" t="str">
        <f>VLOOKUP(D519,unit_serifs_i18n!C:E,3,FALSE)</f>
        <v>giza</v>
      </c>
      <c r="F519" s="19" t="str">
        <f>VLOOKUP(D519,unit_serifs_i18n!C:F,4,FALSE)</f>
        <v>遠くまで飛んでいけ！</v>
      </c>
    </row>
    <row r="520" spans="1:6" x14ac:dyDescent="0.15">
      <c r="A520" s="11">
        <v>277</v>
      </c>
      <c r="B520" s="9" t="str">
        <f>VLOOKUP(A520,[1]characters!$A:$C,3,FALSE)</f>
        <v>機拳恐慌 イリア</v>
      </c>
      <c r="C520" s="3" t="s">
        <v>25</v>
      </c>
      <c r="D520" s="42" t="str">
        <f>A520&amp;+(COUNTIF(A$32:A520,A520)-1)</f>
        <v>2770</v>
      </c>
      <c r="E520" s="19" t="str">
        <f>VLOOKUP(D520,unit_serifs_i18n!C:E,3,FALSE)</f>
        <v>maru</v>
      </c>
      <c r="F520" s="19" t="str">
        <f>VLOOKUP(D520,unit_serifs_i18n!C:F,4,FALSE)</f>
        <v>本領発揮します！</v>
      </c>
    </row>
    <row r="521" spans="1:6" x14ac:dyDescent="0.15">
      <c r="A521" s="39">
        <v>277</v>
      </c>
      <c r="B521" s="9" t="str">
        <f>VLOOKUP(A521,[1]characters!$A:$C,3,FALSE)</f>
        <v>機拳恐慌 イリア</v>
      </c>
      <c r="C521" s="40" t="s">
        <v>26</v>
      </c>
      <c r="D521" s="42" t="str">
        <f>A521&amp;+(COUNTIF(A$32:A521,A521)-1)</f>
        <v>2771</v>
      </c>
      <c r="E521" s="19" t="str">
        <f>VLOOKUP(D521,unit_serifs_i18n!C:E,3,FALSE)</f>
        <v>giza</v>
      </c>
      <c r="F521" s="19" t="str">
        <f>VLOOKUP(D521,unit_serifs_i18n!C:F,4,FALSE)</f>
        <v>粉々にしなきゃ！</v>
      </c>
    </row>
    <row r="522" spans="1:6" x14ac:dyDescent="0.15">
      <c r="A522" s="39">
        <v>277</v>
      </c>
      <c r="B522" s="9" t="str">
        <f>VLOOKUP(A522,[1]characters!$A:$C,3,FALSE)</f>
        <v>機拳恐慌 イリア</v>
      </c>
      <c r="C522" s="40" t="s">
        <v>26</v>
      </c>
      <c r="D522" s="46" t="str">
        <f>D518</f>
        <v>2761</v>
      </c>
      <c r="E522" s="19" t="str">
        <f>VLOOKUP(D522,unit_serifs_i18n!C:E,3,FALSE)</f>
        <v>maru</v>
      </c>
      <c r="F522" s="19" t="str">
        <f>VLOOKUP(D522,unit_serifs_i18n!C:F,4,FALSE)</f>
        <v>役に立たなきゃ！</v>
      </c>
    </row>
    <row r="523" spans="1:6" x14ac:dyDescent="0.15">
      <c r="A523" s="39">
        <v>277</v>
      </c>
      <c r="B523" s="9" t="str">
        <f>VLOOKUP(A523,[1]characters!$A:$C,3,FALSE)</f>
        <v>機拳恐慌 イリア</v>
      </c>
      <c r="C523" s="40" t="s">
        <v>26</v>
      </c>
      <c r="D523" s="46" t="str">
        <f>D519</f>
        <v>2762</v>
      </c>
      <c r="E523" s="19" t="str">
        <f>VLOOKUP(D523,unit_serifs_i18n!C:E,3,FALSE)</f>
        <v>giza</v>
      </c>
      <c r="F523" s="19" t="str">
        <f>VLOOKUP(D523,unit_serifs_i18n!C:F,4,FALSE)</f>
        <v>遠くまで飛んでいけ！</v>
      </c>
    </row>
    <row r="524" spans="1:6" x14ac:dyDescent="0.15">
      <c r="A524" s="11">
        <v>278</v>
      </c>
      <c r="B524" s="9" t="str">
        <f>VLOOKUP(A524,[1]characters!$A:$C,3,FALSE)</f>
        <v>アマテラス</v>
      </c>
      <c r="C524" s="3" t="s">
        <v>25</v>
      </c>
      <c r="D524" s="42" t="str">
        <f>A524&amp;+(COUNTIF(A$32:A524,A524)-1)</f>
        <v>2780</v>
      </c>
      <c r="E524" s="19" t="str">
        <f>VLOOKUP(D524,unit_serifs_i18n!C:E,3,FALSE)</f>
        <v>kumo</v>
      </c>
      <c r="F524" s="19" t="str">
        <f>VLOOKUP(D524,unit_serifs_i18n!C:F,4,FALSE)</f>
        <v>身の程知らずですね…</v>
      </c>
    </row>
    <row r="525" spans="1:6" x14ac:dyDescent="0.15">
      <c r="A525" s="39">
        <v>278</v>
      </c>
      <c r="B525" s="9" t="str">
        <f>VLOOKUP(A525,[1]characters!$A:$C,3,FALSE)</f>
        <v>アマテラス</v>
      </c>
      <c r="C525" s="40" t="s">
        <v>26</v>
      </c>
      <c r="D525" s="42" t="str">
        <f>A525&amp;+(COUNTIF(A$32:A525,A525)-1)</f>
        <v>2781</v>
      </c>
      <c r="E525" s="19" t="str">
        <f>VLOOKUP(D525,unit_serifs_i18n!C:E,3,FALSE)</f>
        <v>maru</v>
      </c>
      <c r="F525" s="19" t="str">
        <f>VLOOKUP(D525,unit_serifs_i18n!C:F,4,FALSE)</f>
        <v>近づけるとでも？</v>
      </c>
    </row>
    <row r="526" spans="1:6" x14ac:dyDescent="0.15">
      <c r="A526" s="39">
        <v>278</v>
      </c>
      <c r="B526" s="9" t="str">
        <f>VLOOKUP(A526,[1]characters!$A:$C,3,FALSE)</f>
        <v>アマテラス</v>
      </c>
      <c r="C526" s="40" t="s">
        <v>26</v>
      </c>
      <c r="D526" s="42" t="str">
        <f>A526&amp;+(COUNTIF(A$32:A526,A526)-1)</f>
        <v>2782</v>
      </c>
      <c r="E526" s="19" t="str">
        <f>VLOOKUP(D526,unit_serifs_i18n!C:E,3,FALSE)</f>
        <v>kumo</v>
      </c>
      <c r="F526" s="19" t="str">
        <f>VLOOKUP(D526,unit_serifs_i18n!C:F,4,FALSE)</f>
        <v>なんと愚かな…</v>
      </c>
    </row>
    <row r="527" spans="1:6" x14ac:dyDescent="0.15">
      <c r="A527" s="11">
        <v>279</v>
      </c>
      <c r="B527" s="9" t="str">
        <f>VLOOKUP(A527,[1]characters!$A:$C,3,FALSE)</f>
        <v>統空大神 アマテラス</v>
      </c>
      <c r="C527" s="3" t="s">
        <v>25</v>
      </c>
      <c r="D527" s="42" t="str">
        <f>A527&amp;+(COUNTIF(A$32:A527,A527)-1)</f>
        <v>2790</v>
      </c>
      <c r="E527" s="19" t="str">
        <f>VLOOKUP(D527,unit_serifs_i18n!C:E,3,FALSE)</f>
        <v>maru</v>
      </c>
      <c r="F527" s="19" t="str">
        <f>VLOOKUP(D527,unit_serifs_i18n!C:F,4,FALSE)</f>
        <v>傷一つ…つけられませんよ</v>
      </c>
    </row>
    <row r="528" spans="1:6" x14ac:dyDescent="0.15">
      <c r="A528" s="39">
        <v>279</v>
      </c>
      <c r="B528" s="9" t="str">
        <f>VLOOKUP(A528,[1]characters!$A:$C,3,FALSE)</f>
        <v>統空大神 アマテラス</v>
      </c>
      <c r="C528" s="40" t="s">
        <v>26</v>
      </c>
      <c r="D528" s="42" t="str">
        <f>A528&amp;+(COUNTIF(A$32:A528,A528)-1)</f>
        <v>2791</v>
      </c>
      <c r="E528" s="19" t="str">
        <f>VLOOKUP(D528,unit_serifs_i18n!C:E,3,FALSE)</f>
        <v>giza</v>
      </c>
      <c r="F528" s="19" t="str">
        <f>VLOOKUP(D528,unit_serifs_i18n!C:F,4,FALSE)</f>
        <v>器が違うのです…！！</v>
      </c>
    </row>
    <row r="529" spans="1:6" x14ac:dyDescent="0.15">
      <c r="A529" s="39">
        <v>279</v>
      </c>
      <c r="B529" s="9" t="str">
        <f>VLOOKUP(A529,[1]characters!$A:$C,3,FALSE)</f>
        <v>統空大神 アマテラス</v>
      </c>
      <c r="C529" s="40" t="s">
        <v>26</v>
      </c>
      <c r="D529" s="46" t="str">
        <f>D525</f>
        <v>2781</v>
      </c>
      <c r="E529" s="19" t="str">
        <f>VLOOKUP(D529,unit_serifs_i18n!C:E,3,FALSE)</f>
        <v>maru</v>
      </c>
      <c r="F529" s="19" t="str">
        <f>VLOOKUP(D529,unit_serifs_i18n!C:F,4,FALSE)</f>
        <v>近づけるとでも？</v>
      </c>
    </row>
    <row r="530" spans="1:6" x14ac:dyDescent="0.15">
      <c r="A530" s="39">
        <v>279</v>
      </c>
      <c r="B530" s="9" t="str">
        <f>VLOOKUP(A530,[1]characters!$A:$C,3,FALSE)</f>
        <v>統空大神 アマテラス</v>
      </c>
      <c r="C530" s="40" t="s">
        <v>26</v>
      </c>
      <c r="D530" s="46" t="str">
        <f>D526</f>
        <v>2782</v>
      </c>
      <c r="E530" s="19" t="str">
        <f>VLOOKUP(D530,unit_serifs_i18n!C:E,3,FALSE)</f>
        <v>kumo</v>
      </c>
      <c r="F530" s="19" t="str">
        <f>VLOOKUP(D530,unit_serifs_i18n!C:F,4,FALSE)</f>
        <v>なんと愚かな…</v>
      </c>
    </row>
    <row r="531" spans="1:6" x14ac:dyDescent="0.15">
      <c r="A531" s="11">
        <v>280</v>
      </c>
      <c r="B531" s="9" t="str">
        <f>VLOOKUP(A531,[1]characters!$A:$C,3,FALSE)</f>
        <v>リンドブルム</v>
      </c>
      <c r="C531" s="3" t="s">
        <v>25</v>
      </c>
      <c r="D531" s="42" t="str">
        <f>A531&amp;+(COUNTIF(A$2:A531,A531)-1)</f>
        <v>2800</v>
      </c>
      <c r="E531" s="19" t="str">
        <f>VLOOKUP(D531,unit_serifs_i18n!C:E,3,FALSE)</f>
        <v>maru</v>
      </c>
      <c r="F531" s="19" t="str">
        <f>VLOOKUP(D531,unit_serifs_i18n!C:F,4,FALSE)</f>
        <v>ブルル！排除ブル！</v>
      </c>
    </row>
    <row r="532" spans="1:6" x14ac:dyDescent="0.15">
      <c r="A532" s="39">
        <v>280</v>
      </c>
      <c r="B532" s="9" t="str">
        <f>VLOOKUP(A532,[1]characters!$A:$C,3,FALSE)</f>
        <v>リンドブルム</v>
      </c>
      <c r="C532" s="40" t="s">
        <v>26</v>
      </c>
      <c r="D532" s="42" t="str">
        <f>A532&amp;+(COUNTIF(A$2:A532,A532)-1)</f>
        <v>2801</v>
      </c>
      <c r="E532" s="19" t="str">
        <f>VLOOKUP(D532,unit_serifs_i18n!C:E,3,FALSE)</f>
        <v>maru</v>
      </c>
      <c r="F532" s="19" t="str">
        <f>VLOOKUP(D532,unit_serifs_i18n!C:F,4,FALSE)</f>
        <v>ブル！近づくなブル！</v>
      </c>
    </row>
    <row r="533" spans="1:6" x14ac:dyDescent="0.15">
      <c r="A533" s="11">
        <v>281</v>
      </c>
      <c r="B533" s="9" t="str">
        <f>VLOOKUP(A533,[1]characters!$A:$C,3,FALSE)</f>
        <v>リンドブルム・コンデンス</v>
      </c>
      <c r="C533" s="3" t="s">
        <v>25</v>
      </c>
      <c r="D533" s="42" t="str">
        <f>A533&amp;+(COUNTIF(A$2:A533,A533)-1)</f>
        <v>2810</v>
      </c>
      <c r="E533" s="19" t="str">
        <f>VLOOKUP(D533,unit_serifs_i18n!C:E,3,FALSE)</f>
        <v>maru</v>
      </c>
      <c r="F533" s="19" t="str">
        <f>VLOOKUP(D533,unit_serifs_i18n!C:F,4,FALSE)</f>
        <v>構えたって無駄ブル！</v>
      </c>
    </row>
    <row r="534" spans="1:6" x14ac:dyDescent="0.15">
      <c r="A534" s="39">
        <v>281</v>
      </c>
      <c r="B534" s="9" t="str">
        <f>VLOOKUP(A534,[1]characters!$A:$C,3,FALSE)</f>
        <v>リンドブルム・コンデンス</v>
      </c>
      <c r="C534" s="40" t="s">
        <v>26</v>
      </c>
      <c r="D534" s="42" t="str">
        <f>A534&amp;+(COUNTIF(A$2:A534,A534)-1)</f>
        <v>2811</v>
      </c>
      <c r="E534" s="19" t="str">
        <f>VLOOKUP(D534,unit_serifs_i18n!C:E,3,FALSE)</f>
        <v>maru</v>
      </c>
      <c r="F534" s="19" t="str">
        <f>VLOOKUP(D534,unit_serifs_i18n!C:F,4,FALSE)</f>
        <v>吹き荒れるブル！</v>
      </c>
    </row>
    <row r="535" spans="1:6" x14ac:dyDescent="0.15">
      <c r="A535" s="39">
        <v>281</v>
      </c>
      <c r="B535" s="9" t="str">
        <f>VLOOKUP(A535,[1]characters!$A:$C,3,FALSE)</f>
        <v>リンドブルム・コンデンス</v>
      </c>
      <c r="C535" s="40" t="s">
        <v>26</v>
      </c>
      <c r="D535" s="42" t="str">
        <f>D532</f>
        <v>2801</v>
      </c>
      <c r="E535" s="19" t="str">
        <f>VLOOKUP(D535,unit_serifs_i18n!C:E,3,FALSE)</f>
        <v>maru</v>
      </c>
      <c r="F535" s="19" t="str">
        <f>VLOOKUP(D535,unit_serifs_i18n!C:F,4,FALSE)</f>
        <v>ブル！近づくなブル！</v>
      </c>
    </row>
    <row r="536" spans="1:6" x14ac:dyDescent="0.15">
      <c r="A536" s="11">
        <v>282</v>
      </c>
      <c r="B536" s="9" t="str">
        <f>VLOOKUP(A536,[1]characters!$A:$C,3,FALSE)</f>
        <v>ラーフ</v>
      </c>
      <c r="C536" s="3" t="s">
        <v>25</v>
      </c>
      <c r="D536" s="42" t="str">
        <f>A536&amp;+(COUNTIF(A$2:A536,A536)-1)</f>
        <v>2820</v>
      </c>
      <c r="E536" s="19" t="str">
        <f>VLOOKUP(D536,unit_serifs_i18n!C:E,3,FALSE)</f>
        <v>maru</v>
      </c>
      <c r="F536" s="19" t="str">
        <f>VLOOKUP(D536,unit_serifs_i18n!C:F,4,FALSE)</f>
        <v>オイ、ウゴクナ</v>
      </c>
    </row>
    <row r="537" spans="1:6" x14ac:dyDescent="0.15">
      <c r="A537" s="39">
        <v>282</v>
      </c>
      <c r="B537" s="9" t="str">
        <f>VLOOKUP(A537,[1]characters!$A:$C,3,FALSE)</f>
        <v>ラーフ</v>
      </c>
      <c r="C537" s="40" t="s">
        <v>26</v>
      </c>
      <c r="D537" s="42" t="str">
        <f>A537&amp;+(COUNTIF(A$2:A537,A537)-1)</f>
        <v>2821</v>
      </c>
      <c r="E537" s="19" t="str">
        <f>VLOOKUP(D537,unit_serifs_i18n!C:E,3,FALSE)</f>
        <v>maru</v>
      </c>
      <c r="F537" s="19" t="str">
        <f>VLOOKUP(D537,unit_serifs_i18n!C:F,4,FALSE)</f>
        <v>ニンゲン、カヨワイ</v>
      </c>
    </row>
    <row r="538" spans="1:6" x14ac:dyDescent="0.15">
      <c r="A538" s="11">
        <v>283</v>
      </c>
      <c r="B538" s="9" t="str">
        <f>VLOOKUP(A538,[1]characters!$A:$C,3,FALSE)</f>
        <v>ラーフ・メテオ</v>
      </c>
      <c r="C538" s="3" t="s">
        <v>25</v>
      </c>
      <c r="D538" s="42" t="str">
        <f>A538&amp;+(COUNTIF(A$2:A538,A538)-1)</f>
        <v>2830</v>
      </c>
      <c r="E538" s="19" t="str">
        <f>VLOOKUP(D538,unit_serifs_i18n!C:E,3,FALSE)</f>
        <v>maru</v>
      </c>
      <c r="F538" s="19" t="str">
        <f>VLOOKUP(D538,unit_serifs_i18n!C:F,4,FALSE)</f>
        <v>ソレ、キョカデキナイ</v>
      </c>
    </row>
    <row r="539" spans="1:6" x14ac:dyDescent="0.15">
      <c r="A539" s="39">
        <v>283</v>
      </c>
      <c r="B539" s="9" t="str">
        <f>VLOOKUP(A539,[1]characters!$A:$C,3,FALSE)</f>
        <v>ラーフ・メテオ</v>
      </c>
      <c r="C539" s="40" t="s">
        <v>26</v>
      </c>
      <c r="D539" s="42" t="str">
        <f>A539&amp;+(COUNTIF(A$2:A539,A539)-1)</f>
        <v>2831</v>
      </c>
      <c r="E539" s="19" t="str">
        <f>VLOOKUP(D539,unit_serifs_i18n!C:E,3,FALSE)</f>
        <v>maru</v>
      </c>
      <c r="F539" s="19" t="str">
        <f>VLOOKUP(D539,unit_serifs_i18n!C:F,4,FALSE)</f>
        <v>コレ、ニゲラレナイ</v>
      </c>
    </row>
    <row r="540" spans="1:6" x14ac:dyDescent="0.15">
      <c r="A540" s="39">
        <v>283</v>
      </c>
      <c r="B540" s="9" t="str">
        <f>VLOOKUP(A540,[1]characters!$A:$C,3,FALSE)</f>
        <v>ラーフ・メテオ</v>
      </c>
      <c r="C540" s="40" t="s">
        <v>26</v>
      </c>
      <c r="D540" s="42" t="str">
        <f>D537</f>
        <v>2821</v>
      </c>
      <c r="E540" s="19" t="str">
        <f>VLOOKUP(D540,unit_serifs_i18n!C:E,3,FALSE)</f>
        <v>maru</v>
      </c>
      <c r="F540" s="19" t="str">
        <f>VLOOKUP(D540,unit_serifs_i18n!C:F,4,FALSE)</f>
        <v>ニンゲン、カヨワイ</v>
      </c>
    </row>
    <row r="541" spans="1:6" x14ac:dyDescent="0.15">
      <c r="A541" s="11">
        <v>284</v>
      </c>
      <c r="B541" s="9" t="str">
        <f>VLOOKUP(A541,[1]characters!$A:$C,3,FALSE)</f>
        <v>フェルニゲシュ</v>
      </c>
      <c r="C541" s="3" t="s">
        <v>25</v>
      </c>
      <c r="D541" s="42" t="str">
        <f>A541&amp;+(COUNTIF(A$2:A541,A541)-1)</f>
        <v>2840</v>
      </c>
      <c r="E541" s="19" t="str">
        <f>VLOOKUP(D541,unit_serifs_i18n!C:E,3,FALSE)</f>
        <v>giza</v>
      </c>
      <c r="F541" s="19" t="str">
        <f>VLOOKUP(D541,unit_serifs_i18n!C:F,4,FALSE)</f>
        <v>ケキャ！お邪魔虫ケキャ！</v>
      </c>
    </row>
    <row r="542" spans="1:6" x14ac:dyDescent="0.15">
      <c r="A542" s="39">
        <v>284</v>
      </c>
      <c r="B542" s="9" t="str">
        <f>VLOOKUP(A542,[1]characters!$A:$C,3,FALSE)</f>
        <v>フェルニゲシュ</v>
      </c>
      <c r="C542" s="40" t="s">
        <v>26</v>
      </c>
      <c r="D542" s="42" t="str">
        <f>A542&amp;+(COUNTIF(A$2:A542,A542)-1)</f>
        <v>2841</v>
      </c>
      <c r="E542" s="19" t="str">
        <f>VLOOKUP(D542,unit_serifs_i18n!C:E,3,FALSE)</f>
        <v>giza</v>
      </c>
      <c r="F542" s="19" t="str">
        <f>VLOOKUP(D542,unit_serifs_i18n!C:F,4,FALSE)</f>
        <v>刺すぞケキャキャ！</v>
      </c>
    </row>
    <row r="543" spans="1:6" x14ac:dyDescent="0.15">
      <c r="A543" s="11">
        <v>285</v>
      </c>
      <c r="B543" s="9" t="str">
        <f>VLOOKUP(A543,[1]characters!$A:$C,3,FALSE)</f>
        <v>フェルニゲシュ・オーバードライヴ</v>
      </c>
      <c r="C543" s="3" t="s">
        <v>25</v>
      </c>
      <c r="D543" s="42" t="str">
        <f>A543&amp;+(COUNTIF(A$2:A543,A543)-1)</f>
        <v>2850</v>
      </c>
      <c r="E543" s="19" t="str">
        <f>VLOOKUP(D543,unit_serifs_i18n!C:E,3,FALSE)</f>
        <v>giza</v>
      </c>
      <c r="F543" s="19" t="str">
        <f>VLOOKUP(D543,unit_serifs_i18n!C:F,4,FALSE)</f>
        <v>青いキライ！ケキャキャ！</v>
      </c>
    </row>
    <row r="544" spans="1:6" x14ac:dyDescent="0.15">
      <c r="A544" s="39">
        <v>285</v>
      </c>
      <c r="B544" s="9" t="str">
        <f>VLOOKUP(A544,[1]characters!$A:$C,3,FALSE)</f>
        <v>フェルニゲシュ・オーバードライヴ</v>
      </c>
      <c r="C544" s="40" t="s">
        <v>26</v>
      </c>
      <c r="D544" s="42" t="str">
        <f>A544&amp;+(COUNTIF(A$2:A544,A544)-1)</f>
        <v>2851</v>
      </c>
      <c r="E544" s="19" t="str">
        <f>VLOOKUP(D544,unit_serifs_i18n!C:E,3,FALSE)</f>
        <v>giza</v>
      </c>
      <c r="F544" s="19" t="str">
        <f>VLOOKUP(D544,unit_serifs_i18n!C:F,4,FALSE)</f>
        <v>ケキャ！動物ヤダ！</v>
      </c>
    </row>
    <row r="545" spans="1:6" x14ac:dyDescent="0.15">
      <c r="A545" s="39">
        <v>285</v>
      </c>
      <c r="B545" s="9" t="str">
        <f>VLOOKUP(A545,[1]characters!$A:$C,3,FALSE)</f>
        <v>フェルニゲシュ・オーバードライヴ</v>
      </c>
      <c r="C545" s="40" t="s">
        <v>26</v>
      </c>
      <c r="D545" s="42" t="str">
        <f>D542</f>
        <v>2841</v>
      </c>
      <c r="E545" s="19" t="str">
        <f>VLOOKUP(D545,unit_serifs_i18n!C:E,3,FALSE)</f>
        <v>giza</v>
      </c>
      <c r="F545" s="19" t="str">
        <f>VLOOKUP(D545,unit_serifs_i18n!C:F,4,FALSE)</f>
        <v>刺すぞケキャキャ！</v>
      </c>
    </row>
    <row r="546" spans="1:6" x14ac:dyDescent="0.15">
      <c r="A546" s="11">
        <v>286</v>
      </c>
      <c r="B546" s="9" t="str">
        <f>VLOOKUP(A546,[1]characters!$A:$C,3,FALSE)</f>
        <v>ヒュドラ</v>
      </c>
      <c r="C546" s="3" t="s">
        <v>25</v>
      </c>
      <c r="D546" s="42" t="str">
        <f>A546&amp;+(COUNTIF(A$2:A546,A546)-1)</f>
        <v>2860</v>
      </c>
      <c r="E546" s="19" t="str">
        <f>VLOOKUP(D546,unit_serifs_i18n!C:E,3,FALSE)</f>
        <v>maru</v>
      </c>
      <c r="F546" s="19" t="str">
        <f>VLOOKUP(D546,unit_serifs_i18n!C:F,4,FALSE)</f>
        <v>ムゥ？壊していいのか？</v>
      </c>
    </row>
    <row r="547" spans="1:6" x14ac:dyDescent="0.15">
      <c r="A547" s="39">
        <v>286</v>
      </c>
      <c r="B547" s="9" t="str">
        <f>VLOOKUP(A547,[1]characters!$A:$C,3,FALSE)</f>
        <v>ヒュドラ</v>
      </c>
      <c r="C547" s="40" t="s">
        <v>26</v>
      </c>
      <c r="D547" s="42" t="str">
        <f>A547&amp;+(COUNTIF(A$2:A547,A547)-1)</f>
        <v>2861</v>
      </c>
      <c r="E547" s="19" t="str">
        <f>VLOOKUP(D547,unit_serifs_i18n!C:E,3,FALSE)</f>
        <v>maru</v>
      </c>
      <c r="F547" s="19" t="str">
        <f>VLOOKUP(D547,unit_serifs_i18n!C:F,4,FALSE)</f>
        <v>アイツだな？ムゥ？</v>
      </c>
    </row>
    <row r="548" spans="1:6" x14ac:dyDescent="0.15">
      <c r="A548" s="11">
        <v>287</v>
      </c>
      <c r="B548" s="9" t="str">
        <f>VLOOKUP(A548,[1]characters!$A:$C,3,FALSE)</f>
        <v>ヒュドラ・フルオープン</v>
      </c>
      <c r="C548" s="3" t="s">
        <v>25</v>
      </c>
      <c r="D548" s="42" t="str">
        <f>A548&amp;+(COUNTIF(A$2:A548,A548)-1)</f>
        <v>2870</v>
      </c>
      <c r="E548" s="19" t="str">
        <f>VLOOKUP(D548,unit_serifs_i18n!C:E,3,FALSE)</f>
        <v>maru</v>
      </c>
      <c r="F548" s="19" t="str">
        <f>VLOOKUP(D548,unit_serifs_i18n!C:F,4,FALSE)</f>
        <v>フムゥ、ドカンといくぞ？</v>
      </c>
    </row>
    <row r="549" spans="1:6" x14ac:dyDescent="0.15">
      <c r="A549" s="39">
        <v>287</v>
      </c>
      <c r="B549" s="9" t="str">
        <f>VLOOKUP(A549,[1]characters!$A:$C,3,FALSE)</f>
        <v>ヒュドラ・フルオープン</v>
      </c>
      <c r="C549" s="40" t="s">
        <v>26</v>
      </c>
      <c r="D549" s="42" t="str">
        <f>A549&amp;+(COUNTIF(A$2:A549,A549)-1)</f>
        <v>2871</v>
      </c>
      <c r="E549" s="19" t="str">
        <f>VLOOKUP(D549,unit_serifs_i18n!C:E,3,FALSE)</f>
        <v>maru</v>
      </c>
      <c r="F549" s="19" t="str">
        <f>VLOOKUP(D549,unit_serifs_i18n!C:F,4,FALSE)</f>
        <v>フムゥ、少し揺れるぞ</v>
      </c>
    </row>
    <row r="550" spans="1:6" x14ac:dyDescent="0.15">
      <c r="A550" s="39">
        <v>287</v>
      </c>
      <c r="B550" s="9" t="str">
        <f>VLOOKUP(A550,[1]characters!$A:$C,3,FALSE)</f>
        <v>ヒュドラ・フルオープン</v>
      </c>
      <c r="C550" s="40" t="s">
        <v>26</v>
      </c>
      <c r="D550" s="42" t="str">
        <f>D547</f>
        <v>2861</v>
      </c>
      <c r="E550" s="19" t="str">
        <f>VLOOKUP(D550,unit_serifs_i18n!C:E,3,FALSE)</f>
        <v>maru</v>
      </c>
      <c r="F550" s="19" t="str">
        <f>VLOOKUP(D550,unit_serifs_i18n!C:F,4,FALSE)</f>
        <v>アイツだな？ムゥ？</v>
      </c>
    </row>
    <row r="551" spans="1:6" x14ac:dyDescent="0.15">
      <c r="A551" s="11">
        <v>288</v>
      </c>
      <c r="B551" s="9" t="str">
        <f>VLOOKUP(A551,[1]characters!$A:$C,3,FALSE)</f>
        <v>ミカド</v>
      </c>
      <c r="C551" s="3" t="s">
        <v>25</v>
      </c>
      <c r="D551" s="42" t="str">
        <f>A551&amp;+(COUNTIF(A$32:A551,A551)-1)</f>
        <v>2880</v>
      </c>
      <c r="E551" s="19" t="str">
        <f>VLOOKUP(D551,unit_serifs_i18n!C:E,3,FALSE)</f>
        <v>maru</v>
      </c>
      <c r="F551" s="19" t="str">
        <f>VLOOKUP(D551,unit_serifs_i18n!C:F,4,FALSE)</f>
        <v>お目覚めの時間だ！</v>
      </c>
    </row>
    <row r="552" spans="1:6" x14ac:dyDescent="0.15">
      <c r="A552" s="39">
        <v>288</v>
      </c>
      <c r="B552" s="9" t="str">
        <f>VLOOKUP(A552,[1]characters!$A:$C,3,FALSE)</f>
        <v>ミカド</v>
      </c>
      <c r="C552" s="40" t="s">
        <v>26</v>
      </c>
      <c r="D552" s="42" t="str">
        <f>A552&amp;+(COUNTIF(A$32:A552,A552)-1)</f>
        <v>2881</v>
      </c>
      <c r="E552" s="19" t="str">
        <f>VLOOKUP(D552,unit_serifs_i18n!C:E,3,FALSE)</f>
        <v>giza</v>
      </c>
      <c r="F552" s="19" t="str">
        <f>VLOOKUP(D552,unit_serifs_i18n!C:F,4,FALSE)</f>
        <v>派手に弾けろ！</v>
      </c>
    </row>
    <row r="553" spans="1:6" x14ac:dyDescent="0.15">
      <c r="A553" s="39">
        <v>288</v>
      </c>
      <c r="B553" s="9" t="str">
        <f>VLOOKUP(A553,[1]characters!$A:$C,3,FALSE)</f>
        <v>ミカド</v>
      </c>
      <c r="C553" s="40" t="s">
        <v>26</v>
      </c>
      <c r="D553" s="42" t="str">
        <f>A553&amp;+(COUNTIF(A$32:A553,A553)-1)</f>
        <v>2882</v>
      </c>
      <c r="E553" s="19" t="str">
        <f>VLOOKUP(D553,unit_serifs_i18n!C:E,3,FALSE)</f>
        <v>giza</v>
      </c>
      <c r="F553" s="19" t="str">
        <f>VLOOKUP(D553,unit_serifs_i18n!C:F,4,FALSE)</f>
        <v>貧弱な！ハッハァー！</v>
      </c>
    </row>
    <row r="554" spans="1:6" x14ac:dyDescent="0.15">
      <c r="A554" s="11">
        <v>289</v>
      </c>
      <c r="B554" s="9" t="str">
        <f>VLOOKUP(A554,[1]characters!$A:$C,3,FALSE)</f>
        <v>高圧なるミカド</v>
      </c>
      <c r="C554" s="3" t="s">
        <v>25</v>
      </c>
      <c r="D554" s="42" t="str">
        <f>A554&amp;+(COUNTIF(A$32:A554,A554)-1)</f>
        <v>2890</v>
      </c>
      <c r="E554" s="19" t="str">
        <f>VLOOKUP(D554,unit_serifs_i18n!C:E,3,FALSE)</f>
        <v>giza</v>
      </c>
      <c r="F554" s="19" t="str">
        <f>VLOOKUP(D554,unit_serifs_i18n!C:F,4,FALSE)</f>
        <v>ハァーッハッハッハ！！</v>
      </c>
    </row>
    <row r="555" spans="1:6" x14ac:dyDescent="0.15">
      <c r="A555" s="39">
        <v>289</v>
      </c>
      <c r="B555" s="9" t="str">
        <f>VLOOKUP(A555,[1]characters!$A:$C,3,FALSE)</f>
        <v>高圧なるミカド</v>
      </c>
      <c r="C555" s="40" t="s">
        <v>26</v>
      </c>
      <c r="D555" s="42" t="str">
        <f>A555&amp;+(COUNTIF(A$32:A555,A555)-1)</f>
        <v>2891</v>
      </c>
      <c r="E555" s="19" t="str">
        <f>VLOOKUP(D555,unit_serifs_i18n!C:E,3,FALSE)</f>
        <v>giza</v>
      </c>
      <c r="F555" s="19" t="str">
        <f>VLOOKUP(D555,unit_serifs_i18n!C:F,4,FALSE)</f>
        <v>無礼者どもめ！散れ！</v>
      </c>
    </row>
    <row r="556" spans="1:6" x14ac:dyDescent="0.15">
      <c r="A556" s="39">
        <v>289</v>
      </c>
      <c r="B556" s="9" t="str">
        <f>VLOOKUP(A556,[1]characters!$A:$C,3,FALSE)</f>
        <v>高圧なるミカド</v>
      </c>
      <c r="C556" s="40" t="s">
        <v>26</v>
      </c>
      <c r="D556" s="46" t="str">
        <f>D552</f>
        <v>2881</v>
      </c>
      <c r="E556" s="19" t="str">
        <f>VLOOKUP(D556,unit_serifs_i18n!C:E,3,FALSE)</f>
        <v>giza</v>
      </c>
      <c r="F556" s="19" t="str">
        <f>VLOOKUP(D556,unit_serifs_i18n!C:F,4,FALSE)</f>
        <v>派手に弾けろ！</v>
      </c>
    </row>
    <row r="557" spans="1:6" x14ac:dyDescent="0.15">
      <c r="A557" s="39">
        <v>289</v>
      </c>
      <c r="B557" s="9" t="str">
        <f>VLOOKUP(A557,[1]characters!$A:$C,3,FALSE)</f>
        <v>高圧なるミカド</v>
      </c>
      <c r="C557" s="40" t="s">
        <v>26</v>
      </c>
      <c r="D557" s="46" t="str">
        <f>D553</f>
        <v>2882</v>
      </c>
      <c r="E557" s="19" t="str">
        <f>VLOOKUP(D557,unit_serifs_i18n!C:E,3,FALSE)</f>
        <v>giza</v>
      </c>
      <c r="F557" s="19" t="str">
        <f>VLOOKUP(D557,unit_serifs_i18n!C:F,4,FALSE)</f>
        <v>貧弱な！ハッハァー！</v>
      </c>
    </row>
    <row r="558" spans="1:6" x14ac:dyDescent="0.15">
      <c r="A558" s="11">
        <v>290</v>
      </c>
      <c r="B558" s="9" t="str">
        <f>VLOOKUP(A558,[1]characters!$A:$C,3,FALSE)</f>
        <v>ウィッチ・オクトパス</v>
      </c>
      <c r="C558" s="3" t="s">
        <v>25</v>
      </c>
      <c r="D558" s="42" t="str">
        <f>A558&amp;+(COUNTIF(A$32:A558,A558)-1)</f>
        <v>2900</v>
      </c>
      <c r="E558" s="19" t="str">
        <f>VLOOKUP(D558,unit_serifs_i18n!C:E,3,FALSE)</f>
        <v>kumo</v>
      </c>
      <c r="F558" s="19" t="str">
        <f>VLOOKUP(D558,unit_serifs_i18n!C:F,4,FALSE)</f>
        <v>フフ、いじらせてもらうわ</v>
      </c>
    </row>
    <row r="559" spans="1:6" x14ac:dyDescent="0.15">
      <c r="A559" s="39">
        <v>290</v>
      </c>
      <c r="B559" s="9" t="str">
        <f>VLOOKUP(A559,[1]characters!$A:$C,3,FALSE)</f>
        <v>ウィッチ・オクトパス</v>
      </c>
      <c r="C559" s="40" t="s">
        <v>26</v>
      </c>
      <c r="D559" s="42" t="str">
        <f>A559&amp;+(COUNTIF(A$32:A559,A559)-1)</f>
        <v>2901</v>
      </c>
      <c r="E559" s="19" t="str">
        <f>VLOOKUP(D559,unit_serifs_i18n!C:E,3,FALSE)</f>
        <v>maru</v>
      </c>
      <c r="F559" s="19" t="str">
        <f>VLOOKUP(D559,unit_serifs_i18n!C:F,4,FALSE)</f>
        <v>これはほんの挨拶よ</v>
      </c>
    </row>
    <row r="560" spans="1:6" x14ac:dyDescent="0.15">
      <c r="A560" s="39">
        <v>290</v>
      </c>
      <c r="B560" s="9" t="str">
        <f>VLOOKUP(A560,[1]characters!$A:$C,3,FALSE)</f>
        <v>ウィッチ・オクトパス</v>
      </c>
      <c r="C560" s="40" t="s">
        <v>26</v>
      </c>
      <c r="D560" s="42" t="str">
        <f>A560&amp;+(COUNTIF(A$32:A560,A560)-1)</f>
        <v>2902</v>
      </c>
      <c r="E560" s="19" t="str">
        <f>VLOOKUP(D560,unit_serifs_i18n!C:E,3,FALSE)</f>
        <v>maru</v>
      </c>
      <c r="F560" s="19" t="str">
        <f>VLOOKUP(D560,unit_serifs_i18n!C:F,4,FALSE)</f>
        <v>いたぶるのって大好き</v>
      </c>
    </row>
    <row r="561" spans="1:6" x14ac:dyDescent="0.15">
      <c r="A561" s="11">
        <v>291</v>
      </c>
      <c r="B561" s="9" t="str">
        <f>VLOOKUP(A561,[1]characters!$A:$C,3,FALSE)</f>
        <v>魔改造のウィッチ・オクトパス</v>
      </c>
      <c r="C561" s="3" t="s">
        <v>25</v>
      </c>
      <c r="D561" s="42" t="str">
        <f>A561&amp;+(COUNTIF(A$32:A561,A561)-1)</f>
        <v>2910</v>
      </c>
      <c r="E561" s="19" t="str">
        <f>VLOOKUP(D561,unit_serifs_i18n!C:E,3,FALSE)</f>
        <v>maru</v>
      </c>
      <c r="F561" s="19" t="str">
        <f>VLOOKUP(D561,unit_serifs_i18n!C:F,4,FALSE)</f>
        <v>危ないものは没収よ？</v>
      </c>
    </row>
    <row r="562" spans="1:6" x14ac:dyDescent="0.15">
      <c r="A562" s="39">
        <v>291</v>
      </c>
      <c r="B562" s="9" t="str">
        <f>VLOOKUP(A562,[1]characters!$A:$C,3,FALSE)</f>
        <v>魔改造のウィッチ・オクトパス</v>
      </c>
      <c r="C562" s="40" t="s">
        <v>26</v>
      </c>
      <c r="D562" s="42" t="str">
        <f>A562&amp;+(COUNTIF(A$32:A562,A562)-1)</f>
        <v>2911</v>
      </c>
      <c r="E562" s="19" t="str">
        <f>VLOOKUP(D562,unit_serifs_i18n!C:E,3,FALSE)</f>
        <v>maru</v>
      </c>
      <c r="F562" s="19" t="str">
        <f>VLOOKUP(D562,unit_serifs_i18n!C:F,4,FALSE)</f>
        <v>フフ、遊んであげるわ</v>
      </c>
    </row>
    <row r="563" spans="1:6" x14ac:dyDescent="0.15">
      <c r="A563" s="39">
        <v>291</v>
      </c>
      <c r="B563" s="9" t="str">
        <f>VLOOKUP(A563,[1]characters!$A:$C,3,FALSE)</f>
        <v>魔改造のウィッチ・オクトパス</v>
      </c>
      <c r="C563" s="40" t="s">
        <v>26</v>
      </c>
      <c r="D563" s="46" t="str">
        <f>D559</f>
        <v>2901</v>
      </c>
      <c r="E563" s="19" t="str">
        <f>VLOOKUP(D563,unit_serifs_i18n!C:E,3,FALSE)</f>
        <v>maru</v>
      </c>
      <c r="F563" s="19" t="str">
        <f>VLOOKUP(D563,unit_serifs_i18n!C:F,4,FALSE)</f>
        <v>これはほんの挨拶よ</v>
      </c>
    </row>
    <row r="564" spans="1:6" x14ac:dyDescent="0.15">
      <c r="A564" s="39">
        <v>291</v>
      </c>
      <c r="B564" s="9" t="str">
        <f>VLOOKUP(A564,[1]characters!$A:$C,3,FALSE)</f>
        <v>魔改造のウィッチ・オクトパス</v>
      </c>
      <c r="C564" s="40" t="s">
        <v>26</v>
      </c>
      <c r="D564" s="46" t="str">
        <f>D560</f>
        <v>2902</v>
      </c>
      <c r="E564" s="19" t="str">
        <f>VLOOKUP(D564,unit_serifs_i18n!C:E,3,FALSE)</f>
        <v>maru</v>
      </c>
      <c r="F564" s="19" t="str">
        <f>VLOOKUP(D564,unit_serifs_i18n!C:F,4,FALSE)</f>
        <v>いたぶるのって大好き</v>
      </c>
    </row>
    <row r="565" spans="1:6" x14ac:dyDescent="0.15">
      <c r="A565" s="11">
        <v>292</v>
      </c>
      <c r="B565" s="9" t="str">
        <f>VLOOKUP(A565,[1]characters!$A:$C,3,FALSE)</f>
        <v>アナスタシア</v>
      </c>
      <c r="C565" s="3" t="s">
        <v>25</v>
      </c>
      <c r="D565" s="42" t="str">
        <f>A565&amp;+(COUNTIF(A$32:A565,A565)-1)</f>
        <v>2920</v>
      </c>
      <c r="E565" s="19" t="str">
        <f>VLOOKUP(D565,unit_serifs_i18n!C:E,3,FALSE)</f>
        <v>maru</v>
      </c>
      <c r="F565" s="19" t="str">
        <f>VLOOKUP(D565,unit_serifs_i18n!C:F,4,FALSE)</f>
        <v>この掌は鋼より硬いッ…！</v>
      </c>
    </row>
    <row r="566" spans="1:6" x14ac:dyDescent="0.15">
      <c r="A566" s="39">
        <v>292</v>
      </c>
      <c r="B566" s="9" t="str">
        <f>VLOOKUP(A566,[1]characters!$A:$C,3,FALSE)</f>
        <v>アナスタシア</v>
      </c>
      <c r="C566" s="40" t="s">
        <v>26</v>
      </c>
      <c r="D566" s="42" t="str">
        <f>A566&amp;+(COUNTIF(A$32:A566,A566)-1)</f>
        <v>2921</v>
      </c>
      <c r="E566" s="19" t="str">
        <f>VLOOKUP(D566,unit_serifs_i18n!C:E,3,FALSE)</f>
        <v>giza</v>
      </c>
      <c r="F566" s="19" t="str">
        <f>VLOOKUP(D566,unit_serifs_i18n!C:F,4,FALSE)</f>
        <v>ガードなんて無駄！！</v>
      </c>
    </row>
    <row r="567" spans="1:6" x14ac:dyDescent="0.15">
      <c r="A567" s="39">
        <v>292</v>
      </c>
      <c r="B567" s="9" t="str">
        <f>VLOOKUP(A567,[1]characters!$A:$C,3,FALSE)</f>
        <v>アナスタシア</v>
      </c>
      <c r="C567" s="40" t="s">
        <v>26</v>
      </c>
      <c r="D567" s="42" t="str">
        <f>A567&amp;+(COUNTIF(A$32:A567,A567)-1)</f>
        <v>2922</v>
      </c>
      <c r="E567" s="19" t="str">
        <f>VLOOKUP(D567,unit_serifs_i18n!C:E,3,FALSE)</f>
        <v>maru</v>
      </c>
      <c r="F567" s="19" t="str">
        <f>VLOOKUP(D567,unit_serifs_i18n!C:F,4,FALSE)</f>
        <v>叩き潰すと言ってる！</v>
      </c>
    </row>
    <row r="568" spans="1:6" x14ac:dyDescent="0.15">
      <c r="A568" s="11">
        <v>293</v>
      </c>
      <c r="B568" s="9" t="str">
        <f>VLOOKUP(A568,[1]characters!$A:$C,3,FALSE)</f>
        <v>激流拳技を極めし者 アナスタシア</v>
      </c>
      <c r="C568" s="3" t="s">
        <v>25</v>
      </c>
      <c r="D568" s="42" t="str">
        <f>A568&amp;+(COUNTIF(A$32:A568,A568)-1)</f>
        <v>2930</v>
      </c>
      <c r="E568" s="19" t="str">
        <f>VLOOKUP(D568,unit_serifs_i18n!C:E,3,FALSE)</f>
        <v>giza</v>
      </c>
      <c r="F568" s="19" t="str">
        <f>VLOOKUP(D568,unit_serifs_i18n!C:F,4,FALSE)</f>
        <v>私の全力たたきこむ！</v>
      </c>
    </row>
    <row r="569" spans="1:6" x14ac:dyDescent="0.15">
      <c r="A569" s="39">
        <v>293</v>
      </c>
      <c r="B569" s="9" t="str">
        <f>VLOOKUP(A569,[1]characters!$A:$C,3,FALSE)</f>
        <v>激流拳技を極めし者 アナスタシア</v>
      </c>
      <c r="C569" s="40" t="s">
        <v>26</v>
      </c>
      <c r="D569" s="42" t="str">
        <f>A569&amp;+(COUNTIF(A$32:A569,A569)-1)</f>
        <v>2931</v>
      </c>
      <c r="E569" s="19" t="str">
        <f>VLOOKUP(D569,unit_serifs_i18n!C:E,3,FALSE)</f>
        <v>giza</v>
      </c>
      <c r="F569" s="19" t="str">
        <f>VLOOKUP(D569,unit_serifs_i18n!C:F,4,FALSE)</f>
        <v>間違いなくブっ壊す！</v>
      </c>
    </row>
    <row r="570" spans="1:6" x14ac:dyDescent="0.15">
      <c r="A570" s="39">
        <v>293</v>
      </c>
      <c r="B570" s="9" t="str">
        <f>VLOOKUP(A570,[1]characters!$A:$C,3,FALSE)</f>
        <v>激流拳技を極めし者 アナスタシア</v>
      </c>
      <c r="C570" s="40" t="s">
        <v>26</v>
      </c>
      <c r="D570" s="46" t="str">
        <f>D566</f>
        <v>2921</v>
      </c>
      <c r="E570" s="19" t="str">
        <f>VLOOKUP(D570,unit_serifs_i18n!C:E,3,FALSE)</f>
        <v>giza</v>
      </c>
      <c r="F570" s="19" t="str">
        <f>VLOOKUP(D570,unit_serifs_i18n!C:F,4,FALSE)</f>
        <v>ガードなんて無駄！！</v>
      </c>
    </row>
    <row r="571" spans="1:6" x14ac:dyDescent="0.15">
      <c r="A571" s="39">
        <v>293</v>
      </c>
      <c r="B571" s="9" t="str">
        <f>VLOOKUP(A571,[1]characters!$A:$C,3,FALSE)</f>
        <v>激流拳技を極めし者 アナスタシア</v>
      </c>
      <c r="C571" s="40" t="s">
        <v>26</v>
      </c>
      <c r="D571" s="46" t="str">
        <f>D567</f>
        <v>2922</v>
      </c>
      <c r="E571" s="19" t="str">
        <f>VLOOKUP(D571,unit_serifs_i18n!C:E,3,FALSE)</f>
        <v>maru</v>
      </c>
      <c r="F571" s="19" t="str">
        <f>VLOOKUP(D571,unit_serifs_i18n!C:F,4,FALSE)</f>
        <v>叩き潰すと言ってる！</v>
      </c>
    </row>
    <row r="572" spans="1:6" x14ac:dyDescent="0.15">
      <c r="A572" s="11">
        <v>294</v>
      </c>
      <c r="B572" s="9" t="str">
        <f>VLOOKUP(A572,[1]characters!$A:$C,3,FALSE)</f>
        <v>ウルフ・ザ・レッドイーター</v>
      </c>
      <c r="C572" s="3" t="s">
        <v>25</v>
      </c>
      <c r="D572" s="42" t="str">
        <f>A572&amp;+(COUNTIF(A$32:A572,A572)-1)</f>
        <v>2940</v>
      </c>
      <c r="E572" s="19" t="str">
        <f>VLOOKUP(D572,unit_serifs_i18n!C:E,3,FALSE)</f>
        <v>maru</v>
      </c>
      <c r="F572" s="19" t="str">
        <f>VLOOKUP(D572,unit_serifs_i18n!C:F,4,FALSE)</f>
        <v>オレサマはフェアじゃない</v>
      </c>
    </row>
    <row r="573" spans="1:6" x14ac:dyDescent="0.15">
      <c r="A573" s="39">
        <v>294</v>
      </c>
      <c r="B573" s="9" t="str">
        <f>VLOOKUP(A573,[1]characters!$A:$C,3,FALSE)</f>
        <v>ウルフ・ザ・レッドイーター</v>
      </c>
      <c r="C573" s="40" t="s">
        <v>26</v>
      </c>
      <c r="D573" s="42" t="str">
        <f>A573&amp;+(COUNTIF(A$32:A573,A573)-1)</f>
        <v>2941</v>
      </c>
      <c r="E573" s="19" t="str">
        <f>VLOOKUP(D573,unit_serifs_i18n!C:E,3,FALSE)</f>
        <v>maru</v>
      </c>
      <c r="F573" s="19" t="str">
        <f>VLOOKUP(D573,unit_serifs_i18n!C:F,4,FALSE)</f>
        <v>悲鳴が好物でな</v>
      </c>
    </row>
    <row r="574" spans="1:6" x14ac:dyDescent="0.15">
      <c r="A574" s="39">
        <v>294</v>
      </c>
      <c r="B574" s="9" t="str">
        <f>VLOOKUP(A574,[1]characters!$A:$C,3,FALSE)</f>
        <v>ウルフ・ザ・レッドイーター</v>
      </c>
      <c r="C574" s="40" t="s">
        <v>26</v>
      </c>
      <c r="D574" s="42" t="str">
        <f>A574&amp;+(COUNTIF(A$32:A574,A574)-1)</f>
        <v>2942</v>
      </c>
      <c r="E574" s="19" t="str">
        <f>VLOOKUP(D574,unit_serifs_i18n!C:E,3,FALSE)</f>
        <v>maru</v>
      </c>
      <c r="F574" s="19" t="str">
        <f>VLOOKUP(D574,unit_serifs_i18n!C:F,4,FALSE)</f>
        <v>お前は美味そうだな？</v>
      </c>
    </row>
    <row r="575" spans="1:6" x14ac:dyDescent="0.15">
      <c r="A575" s="11">
        <v>295</v>
      </c>
      <c r="B575" s="9" t="str">
        <f>VLOOKUP(A575,[1]characters!$A:$C,3,FALSE)</f>
        <v>ウルフ・ザ・レッドクラッシャー</v>
      </c>
      <c r="C575" s="3" t="s">
        <v>25</v>
      </c>
      <c r="D575" s="42" t="str">
        <f>A575&amp;+(COUNTIF(A$32:A575,A575)-1)</f>
        <v>2950</v>
      </c>
      <c r="E575" s="19" t="str">
        <f>VLOOKUP(D575,unit_serifs_i18n!C:E,3,FALSE)</f>
        <v>maru</v>
      </c>
      <c r="F575" s="19" t="str">
        <f>VLOOKUP(D575,unit_serifs_i18n!C:F,4,FALSE)</f>
        <v>喰いちぎるとするか</v>
      </c>
    </row>
    <row r="576" spans="1:6" x14ac:dyDescent="0.15">
      <c r="A576" s="39">
        <v>295</v>
      </c>
      <c r="B576" s="9" t="str">
        <f>VLOOKUP(A576,[1]characters!$A:$C,3,FALSE)</f>
        <v>ウルフ・ザ・レッドクラッシャー</v>
      </c>
      <c r="C576" s="40" t="s">
        <v>26</v>
      </c>
      <c r="D576" s="42" t="str">
        <f>A576&amp;+(COUNTIF(A$32:A576,A576)-1)</f>
        <v>2951</v>
      </c>
      <c r="E576" s="19" t="str">
        <f>VLOOKUP(D576,unit_serifs_i18n!C:E,3,FALSE)</f>
        <v>kumo</v>
      </c>
      <c r="F576" s="19" t="str">
        <f>VLOOKUP(D576,unit_serifs_i18n!C:F,4,FALSE)</f>
        <v>腹ごしらえとするか</v>
      </c>
    </row>
    <row r="577" spans="1:6" x14ac:dyDescent="0.15">
      <c r="A577" s="39">
        <v>295</v>
      </c>
      <c r="B577" s="9" t="str">
        <f>VLOOKUP(A577,[1]characters!$A:$C,3,FALSE)</f>
        <v>ウルフ・ザ・レッドクラッシャー</v>
      </c>
      <c r="C577" s="40" t="s">
        <v>26</v>
      </c>
      <c r="D577" s="46" t="str">
        <f>D573</f>
        <v>2941</v>
      </c>
      <c r="E577" s="19" t="str">
        <f>VLOOKUP(D577,unit_serifs_i18n!C:E,3,FALSE)</f>
        <v>maru</v>
      </c>
      <c r="F577" s="19" t="str">
        <f>VLOOKUP(D577,unit_serifs_i18n!C:F,4,FALSE)</f>
        <v>悲鳴が好物でな</v>
      </c>
    </row>
    <row r="578" spans="1:6" x14ac:dyDescent="0.15">
      <c r="A578" s="39">
        <v>295</v>
      </c>
      <c r="B578" s="9" t="str">
        <f>VLOOKUP(A578,[1]characters!$A:$C,3,FALSE)</f>
        <v>ウルフ・ザ・レッドクラッシャー</v>
      </c>
      <c r="C578" s="40" t="s">
        <v>26</v>
      </c>
      <c r="D578" s="46" t="str">
        <f>D574</f>
        <v>2942</v>
      </c>
      <c r="E578" s="19" t="str">
        <f>VLOOKUP(D578,unit_serifs_i18n!C:E,3,FALSE)</f>
        <v>maru</v>
      </c>
      <c r="F578" s="19" t="str">
        <f>VLOOKUP(D578,unit_serifs_i18n!C:F,4,FALSE)</f>
        <v>お前は美味そうだな？</v>
      </c>
    </row>
    <row r="579" spans="1:6" x14ac:dyDescent="0.15">
      <c r="A579" s="11">
        <v>296</v>
      </c>
      <c r="B579" s="9" t="str">
        <f>VLOOKUP(A579,[1]characters!$A:$C,3,FALSE)</f>
        <v>アザゼル</v>
      </c>
      <c r="C579" s="3" t="s">
        <v>25</v>
      </c>
      <c r="D579" s="42" t="str">
        <f>A579&amp;+(COUNTIF(A$32:A579,A579)-1)</f>
        <v>2960</v>
      </c>
      <c r="E579" s="19" t="str">
        <f>VLOOKUP(D579,unit_serifs_i18n!C:E,3,FALSE)</f>
        <v>giza</v>
      </c>
      <c r="F579" s="19" t="str">
        <f>VLOOKUP(D579,unit_serifs_i18n!C:F,4,FALSE)</f>
        <v>絶望を見せてやる！</v>
      </c>
    </row>
    <row r="580" spans="1:6" x14ac:dyDescent="0.15">
      <c r="A580" s="39">
        <v>296</v>
      </c>
      <c r="B580" s="9" t="str">
        <f>VLOOKUP(A580,[1]characters!$A:$C,3,FALSE)</f>
        <v>アザゼル</v>
      </c>
      <c r="C580" s="40" t="s">
        <v>26</v>
      </c>
      <c r="D580" s="42" t="str">
        <f>A580&amp;+(COUNTIF(A$32:A580,A580)-1)</f>
        <v>2961</v>
      </c>
      <c r="E580" s="19" t="str">
        <f>VLOOKUP(D580,unit_serifs_i18n!C:E,3,FALSE)</f>
        <v>giza</v>
      </c>
      <c r="F580" s="19" t="str">
        <f>VLOOKUP(D580,unit_serifs_i18n!C:F,4,FALSE)</f>
        <v>目障りだ家畜ども！</v>
      </c>
    </row>
    <row r="581" spans="1:6" x14ac:dyDescent="0.15">
      <c r="A581" s="39">
        <v>296</v>
      </c>
      <c r="B581" s="9" t="str">
        <f>VLOOKUP(A581,[1]characters!$A:$C,3,FALSE)</f>
        <v>アザゼル</v>
      </c>
      <c r="C581" s="40" t="s">
        <v>26</v>
      </c>
      <c r="D581" s="42" t="str">
        <f>A581&amp;+(COUNTIF(A$32:A581,A581)-1)</f>
        <v>2962</v>
      </c>
      <c r="E581" s="19" t="str">
        <f>VLOOKUP(D581,unit_serifs_i18n!C:E,3,FALSE)</f>
        <v>maru</v>
      </c>
      <c r="F581" s="19" t="str">
        <f>VLOOKUP(D581,unit_serifs_i18n!C:F,4,FALSE)</f>
        <v>根絶やしにしてやろう</v>
      </c>
    </row>
    <row r="582" spans="1:6" x14ac:dyDescent="0.15">
      <c r="A582" s="11">
        <v>297</v>
      </c>
      <c r="B582" s="9" t="str">
        <f>VLOOKUP(A582,[1]characters!$A:$C,3,FALSE)</f>
        <v>狂靭なる双撃 アザゼル</v>
      </c>
      <c r="C582" s="3" t="s">
        <v>25</v>
      </c>
      <c r="D582" s="42" t="str">
        <f>A582&amp;+(COUNTIF(A$32:A582,A582)-1)</f>
        <v>2970</v>
      </c>
      <c r="E582" s="19" t="str">
        <f>VLOOKUP(D582,unit_serifs_i18n!C:E,3,FALSE)</f>
        <v>giza</v>
      </c>
      <c r="F582" s="19" t="str">
        <f>VLOOKUP(D582,unit_serifs_i18n!C:F,4,FALSE)</f>
        <v>鳴け、豚どもが！</v>
      </c>
    </row>
    <row r="583" spans="1:6" x14ac:dyDescent="0.15">
      <c r="A583" s="39">
        <v>297</v>
      </c>
      <c r="B583" s="9" t="str">
        <f>VLOOKUP(A583,[1]characters!$A:$C,3,FALSE)</f>
        <v>狂靭なる双撃 アザゼル</v>
      </c>
      <c r="C583" s="40" t="s">
        <v>26</v>
      </c>
      <c r="D583" s="42" t="str">
        <f>A583&amp;+(COUNTIF(A$32:A583,A583)-1)</f>
        <v>2971</v>
      </c>
      <c r="E583" s="19" t="str">
        <f>VLOOKUP(D583,unit_serifs_i18n!C:E,3,FALSE)</f>
        <v>maru</v>
      </c>
      <c r="F583" s="19" t="str">
        <f>VLOOKUP(D583,unit_serifs_i18n!C:F,4,FALSE)</f>
        <v>貴様らに未来など無い</v>
      </c>
    </row>
    <row r="584" spans="1:6" x14ac:dyDescent="0.15">
      <c r="A584" s="39">
        <v>297</v>
      </c>
      <c r="B584" s="9" t="str">
        <f>VLOOKUP(A584,[1]characters!$A:$C,3,FALSE)</f>
        <v>狂靭なる双撃 アザゼル</v>
      </c>
      <c r="C584" s="40" t="s">
        <v>26</v>
      </c>
      <c r="D584" s="46" t="str">
        <f>D580</f>
        <v>2961</v>
      </c>
      <c r="E584" s="19" t="str">
        <f>VLOOKUP(D584,unit_serifs_i18n!C:E,3,FALSE)</f>
        <v>giza</v>
      </c>
      <c r="F584" s="19" t="str">
        <f>VLOOKUP(D584,unit_serifs_i18n!C:F,4,FALSE)</f>
        <v>目障りだ家畜ども！</v>
      </c>
    </row>
    <row r="585" spans="1:6" x14ac:dyDescent="0.15">
      <c r="A585" s="39">
        <v>297</v>
      </c>
      <c r="B585" s="9" t="str">
        <f>VLOOKUP(A585,[1]characters!$A:$C,3,FALSE)</f>
        <v>狂靭なる双撃 アザゼル</v>
      </c>
      <c r="C585" s="40" t="s">
        <v>26</v>
      </c>
      <c r="D585" s="46" t="str">
        <f>D581</f>
        <v>2962</v>
      </c>
      <c r="E585" s="19" t="str">
        <f>VLOOKUP(D585,unit_serifs_i18n!C:E,3,FALSE)</f>
        <v>maru</v>
      </c>
      <c r="F585" s="19" t="str">
        <f>VLOOKUP(D585,unit_serifs_i18n!C:F,4,FALSE)</f>
        <v>根絶やしにしてやろう</v>
      </c>
    </row>
    <row r="586" spans="1:6" x14ac:dyDescent="0.15">
      <c r="A586" s="11">
        <v>298</v>
      </c>
      <c r="B586" s="9" t="str">
        <f>VLOOKUP(A586,[1]characters!$A:$C,3,FALSE)</f>
        <v>炎殺のミサコ</v>
      </c>
      <c r="C586" s="3" t="s">
        <v>25</v>
      </c>
      <c r="D586" s="42" t="str">
        <f>A586&amp;+(COUNTIF(A$2:A586,A586)-1)</f>
        <v>2980</v>
      </c>
      <c r="E586" s="19" t="str">
        <f>VLOOKUP(D586,unit_serifs_i18n!C:E,3,FALSE)</f>
        <v>giza</v>
      </c>
      <c r="F586" s="19" t="str">
        <f>VLOOKUP(D586,unit_serifs_i18n!C:F,4,FALSE)</f>
        <v>見たい！炎が見たいのッ！</v>
      </c>
    </row>
    <row r="587" spans="1:6" x14ac:dyDescent="0.15">
      <c r="A587" s="39">
        <v>298</v>
      </c>
      <c r="B587" s="9" t="str">
        <f>VLOOKUP(A587,[1]characters!$A:$C,3,FALSE)</f>
        <v>炎殺のミサコ</v>
      </c>
      <c r="C587" s="40" t="s">
        <v>26</v>
      </c>
      <c r="D587" s="42" t="str">
        <f>A587&amp;+(COUNTIF(A$2:A587,A587)-1)</f>
        <v>2981</v>
      </c>
      <c r="E587" s="19" t="str">
        <f>VLOOKUP(D587,unit_serifs_i18n!C:E,3,FALSE)</f>
        <v>giza</v>
      </c>
      <c r="F587" s="19" t="str">
        <f>VLOOKUP(D587,unit_serifs_i18n!C:F,4,FALSE)</f>
        <v>逃げないで！燃えて！</v>
      </c>
    </row>
    <row r="588" spans="1:6" x14ac:dyDescent="0.15">
      <c r="A588" s="11">
        <v>299</v>
      </c>
      <c r="B588" s="9" t="str">
        <f>VLOOKUP(A588,[1]characters!$A:$C,3,FALSE)</f>
        <v>狂気の炎風 ミサコ</v>
      </c>
      <c r="C588" s="3" t="s">
        <v>25</v>
      </c>
      <c r="D588" s="42" t="str">
        <f>A588&amp;+(COUNTIF(A$2:A588,A588)-1)</f>
        <v>2990</v>
      </c>
      <c r="E588" s="19" t="str">
        <f>VLOOKUP(D588,unit_serifs_i18n!C:E,3,FALSE)</f>
        <v>giza</v>
      </c>
      <c r="F588" s="19" t="str">
        <f>VLOOKUP(D588,unit_serifs_i18n!C:F,4,FALSE)</f>
        <v>アハッ！よーく燃えそう！</v>
      </c>
    </row>
    <row r="589" spans="1:6" x14ac:dyDescent="0.15">
      <c r="A589" s="39">
        <v>299</v>
      </c>
      <c r="B589" s="9" t="str">
        <f>VLOOKUP(A589,[1]characters!$A:$C,3,FALSE)</f>
        <v>狂気の炎風 ミサコ</v>
      </c>
      <c r="C589" s="40" t="s">
        <v>26</v>
      </c>
      <c r="D589" s="42" t="str">
        <f>A589&amp;+(COUNTIF(A$2:A589,A589)-1)</f>
        <v>2991</v>
      </c>
      <c r="E589" s="19" t="str">
        <f>VLOOKUP(D589,unit_serifs_i18n!C:E,3,FALSE)</f>
        <v>giza</v>
      </c>
      <c r="F589" s="19" t="str">
        <f>VLOOKUP(D589,unit_serifs_i18n!C:F,4,FALSE)</f>
        <v>全部焼けてほしいの！</v>
      </c>
    </row>
    <row r="590" spans="1:6" x14ac:dyDescent="0.15">
      <c r="A590" s="39">
        <v>299</v>
      </c>
      <c r="B590" s="9" t="str">
        <f>VLOOKUP(A590,[1]characters!$A:$C,3,FALSE)</f>
        <v>狂気の炎風 ミサコ</v>
      </c>
      <c r="C590" s="40" t="s">
        <v>26</v>
      </c>
      <c r="D590" s="42" t="str">
        <f>D587</f>
        <v>2981</v>
      </c>
      <c r="E590" s="19" t="str">
        <f>VLOOKUP(D590,unit_serifs_i18n!C:E,3,FALSE)</f>
        <v>giza</v>
      </c>
      <c r="F590" s="19" t="str">
        <f>VLOOKUP(D590,unit_serifs_i18n!C:F,4,FALSE)</f>
        <v>逃げないで！燃えて！</v>
      </c>
    </row>
    <row r="591" spans="1:6" x14ac:dyDescent="0.15">
      <c r="A591" s="11">
        <v>300</v>
      </c>
      <c r="B591" s="9" t="str">
        <f>VLOOKUP(A591,[1]characters!$A:$C,3,FALSE)</f>
        <v>毒殺のチカ</v>
      </c>
      <c r="C591" s="3" t="s">
        <v>25</v>
      </c>
      <c r="D591" s="42" t="str">
        <f>A591&amp;+(COUNTIF(A$2:A591,A591)-1)</f>
        <v>3000</v>
      </c>
      <c r="E591" s="19" t="str">
        <f>VLOOKUP(D591,unit_serifs_i18n!C:E,3,FALSE)</f>
        <v>kumo</v>
      </c>
      <c r="F591" s="19" t="str">
        <f>VLOOKUP(D591,unit_serifs_i18n!C:F,4,FALSE)</f>
        <v>腐食の過程が楽しみだな</v>
      </c>
    </row>
    <row r="592" spans="1:6" x14ac:dyDescent="0.15">
      <c r="A592" s="39">
        <v>300</v>
      </c>
      <c r="B592" s="9" t="str">
        <f>VLOOKUP(A592,[1]characters!$A:$C,3,FALSE)</f>
        <v>毒殺のチカ</v>
      </c>
      <c r="C592" s="40" t="s">
        <v>26</v>
      </c>
      <c r="D592" s="42" t="str">
        <f>A592&amp;+(COUNTIF(A$2:A592,A592)-1)</f>
        <v>3001</v>
      </c>
      <c r="E592" s="19" t="str">
        <f>VLOOKUP(D592,unit_serifs_i18n!C:E,3,FALSE)</f>
        <v>maru</v>
      </c>
      <c r="F592" s="19" t="str">
        <f>VLOOKUP(D592,unit_serifs_i18n!C:F,4,FALSE)</f>
        <v>ちょっとした実験だ…</v>
      </c>
    </row>
    <row r="593" spans="1:6" x14ac:dyDescent="0.15">
      <c r="A593" s="11">
        <v>301</v>
      </c>
      <c r="B593" s="9" t="str">
        <f>VLOOKUP(A593,[1]characters!$A:$C,3,FALSE)</f>
        <v>宿痾の葬送 チカ</v>
      </c>
      <c r="C593" s="3" t="s">
        <v>25</v>
      </c>
      <c r="D593" s="42" t="str">
        <f>A593&amp;+(COUNTIF(A$2:A593,A593)-1)</f>
        <v>3010</v>
      </c>
      <c r="E593" s="19" t="str">
        <f>VLOOKUP(D593,unit_serifs_i18n!C:E,3,FALSE)</f>
        <v>maru</v>
      </c>
      <c r="F593" s="19" t="str">
        <f>VLOOKUP(D593,unit_serifs_i18n!C:F,4,FALSE)</f>
        <v>生きのいい実験体は歓迎だ</v>
      </c>
    </row>
    <row r="594" spans="1:6" x14ac:dyDescent="0.15">
      <c r="A594" s="39">
        <v>301</v>
      </c>
      <c r="B594" s="9" t="str">
        <f>VLOOKUP(A594,[1]characters!$A:$C,3,FALSE)</f>
        <v>宿痾の葬送 チカ</v>
      </c>
      <c r="C594" s="40" t="s">
        <v>26</v>
      </c>
      <c r="D594" s="42" t="str">
        <f>A594&amp;+(COUNTIF(A$2:A594,A594)-1)</f>
        <v>3011</v>
      </c>
      <c r="E594" s="19" t="str">
        <f>VLOOKUP(D594,unit_serifs_i18n!C:E,3,FALSE)</f>
        <v>kumo</v>
      </c>
      <c r="F594" s="19" t="str">
        <f>VLOOKUP(D594,unit_serifs_i18n!C:F,4,FALSE)</f>
        <v>致死量を調べねばな</v>
      </c>
    </row>
    <row r="595" spans="1:6" x14ac:dyDescent="0.15">
      <c r="A595" s="39">
        <v>301</v>
      </c>
      <c r="B595" s="9" t="str">
        <f>VLOOKUP(A595,[1]characters!$A:$C,3,FALSE)</f>
        <v>宿痾の葬送 チカ</v>
      </c>
      <c r="C595" s="40" t="s">
        <v>26</v>
      </c>
      <c r="D595" s="42" t="str">
        <f>D592</f>
        <v>3001</v>
      </c>
      <c r="E595" s="19" t="str">
        <f>VLOOKUP(D595,unit_serifs_i18n!C:E,3,FALSE)</f>
        <v>maru</v>
      </c>
      <c r="F595" s="19" t="str">
        <f>VLOOKUP(D595,unit_serifs_i18n!C:F,4,FALSE)</f>
        <v>ちょっとした実験だ…</v>
      </c>
    </row>
    <row r="596" spans="1:6" x14ac:dyDescent="0.15">
      <c r="A596" s="11">
        <v>302</v>
      </c>
      <c r="B596" s="9" t="str">
        <f>VLOOKUP(A596,[1]characters!$A:$C,3,FALSE)</f>
        <v>絞殺のリサ</v>
      </c>
      <c r="C596" s="3" t="s">
        <v>25</v>
      </c>
      <c r="D596" s="42" t="str">
        <f>A596&amp;+(COUNTIF(A$2:A596,A596)-1)</f>
        <v>3020</v>
      </c>
      <c r="E596" s="19" t="str">
        <f>VLOOKUP(D596,unit_serifs_i18n!C:E,3,FALSE)</f>
        <v>giza</v>
      </c>
      <c r="F596" s="19" t="str">
        <f>VLOOKUP(D596,unit_serifs_i18n!C:F,4,FALSE)</f>
        <v>守るから！私が守るから！</v>
      </c>
    </row>
    <row r="597" spans="1:6" x14ac:dyDescent="0.15">
      <c r="A597" s="39">
        <v>302</v>
      </c>
      <c r="B597" s="9" t="str">
        <f>VLOOKUP(A597,[1]characters!$A:$C,3,FALSE)</f>
        <v>絞殺のリサ</v>
      </c>
      <c r="C597" s="40" t="s">
        <v>26</v>
      </c>
      <c r="D597" s="42" t="str">
        <f>A597&amp;+(COUNTIF(A$2:A597,A597)-1)</f>
        <v>3021</v>
      </c>
      <c r="E597" s="19" t="str">
        <f>VLOOKUP(D597,unit_serifs_i18n!C:E,3,FALSE)</f>
        <v>giza</v>
      </c>
      <c r="F597" s="19" t="str">
        <f>VLOOKUP(D597,unit_serifs_i18n!C:F,4,FALSE)</f>
        <v>お願い！黙っててッ！</v>
      </c>
    </row>
    <row r="598" spans="1:6" x14ac:dyDescent="0.15">
      <c r="A598" s="11">
        <v>303</v>
      </c>
      <c r="B598" s="9" t="str">
        <f>VLOOKUP(A598,[1]characters!$A:$C,3,FALSE)</f>
        <v>哄笑の禁縛 リサ</v>
      </c>
      <c r="C598" s="3" t="s">
        <v>25</v>
      </c>
      <c r="D598" s="42" t="str">
        <f>A598&amp;+(COUNTIF(A$2:A598,A598)-1)</f>
        <v>3030</v>
      </c>
      <c r="E598" s="19" t="str">
        <f>VLOOKUP(D598,unit_serifs_i18n!C:E,3,FALSE)</f>
        <v>maru</v>
      </c>
      <c r="F598" s="19" t="str">
        <f>VLOOKUP(D598,unit_serifs_i18n!C:F,4,FALSE)</f>
        <v>私の手が役に立つなら…！</v>
      </c>
    </row>
    <row r="599" spans="1:6" x14ac:dyDescent="0.15">
      <c r="A599" s="39">
        <v>303</v>
      </c>
      <c r="B599" s="9" t="str">
        <f>VLOOKUP(A599,[1]characters!$A:$C,3,FALSE)</f>
        <v>哄笑の禁縛 リサ</v>
      </c>
      <c r="C599" s="40" t="s">
        <v>26</v>
      </c>
      <c r="D599" s="42" t="str">
        <f>A599&amp;+(COUNTIF(A$2:A599,A599)-1)</f>
        <v>3031</v>
      </c>
      <c r="E599" s="19" t="str">
        <f>VLOOKUP(D599,unit_serifs_i18n!C:E,3,FALSE)</f>
        <v>maru</v>
      </c>
      <c r="F599" s="19" t="str">
        <f>VLOOKUP(D599,unit_serifs_i18n!C:F,4,FALSE)</f>
        <v>声…出せないでしょ？</v>
      </c>
    </row>
    <row r="600" spans="1:6" x14ac:dyDescent="0.15">
      <c r="A600" s="39">
        <v>303</v>
      </c>
      <c r="B600" s="9" t="str">
        <f>VLOOKUP(A600,[1]characters!$A:$C,3,FALSE)</f>
        <v>哄笑の禁縛 リサ</v>
      </c>
      <c r="C600" s="40" t="s">
        <v>26</v>
      </c>
      <c r="D600" s="42" t="str">
        <f>D597</f>
        <v>3021</v>
      </c>
      <c r="E600" s="19" t="str">
        <f>VLOOKUP(D600,unit_serifs_i18n!C:E,3,FALSE)</f>
        <v>giza</v>
      </c>
      <c r="F600" s="19" t="str">
        <f>VLOOKUP(D600,unit_serifs_i18n!C:F,4,FALSE)</f>
        <v>お願い！黙っててッ！</v>
      </c>
    </row>
    <row r="601" spans="1:6" x14ac:dyDescent="0.15">
      <c r="A601" s="11">
        <v>304</v>
      </c>
      <c r="B601" s="9" t="str">
        <f>VLOOKUP(A601,[1]characters!$A:$C,3,FALSE)</f>
        <v>電殺のチエミ</v>
      </c>
      <c r="C601" s="3" t="s">
        <v>25</v>
      </c>
      <c r="D601" s="42" t="str">
        <f>A601&amp;+(COUNTIF(A$2:A601,A601)-1)</f>
        <v>3040</v>
      </c>
      <c r="E601" s="19" t="str">
        <f>VLOOKUP(D601,unit_serifs_i18n!C:E,3,FALSE)</f>
        <v>maru</v>
      </c>
      <c r="F601" s="19" t="str">
        <f>VLOOKUP(D601,unit_serifs_i18n!C:F,4,FALSE)</f>
        <v>眩しすぎるかもっ！</v>
      </c>
    </row>
    <row r="602" spans="1:6" x14ac:dyDescent="0.15">
      <c r="A602" s="39">
        <v>304</v>
      </c>
      <c r="B602" s="9" t="str">
        <f>VLOOKUP(A602,[1]characters!$A:$C,3,FALSE)</f>
        <v>電殺のチエミ</v>
      </c>
      <c r="C602" s="40" t="s">
        <v>26</v>
      </c>
      <c r="D602" s="42" t="str">
        <f>A602&amp;+(COUNTIF(A$2:A602,A602)-1)</f>
        <v>3041</v>
      </c>
      <c r="E602" s="19" t="str">
        <f>VLOOKUP(D602,unit_serifs_i18n!C:E,3,FALSE)</f>
        <v>giza</v>
      </c>
      <c r="F602" s="19" t="str">
        <f>VLOOKUP(D602,unit_serifs_i18n!C:F,4,FALSE)</f>
        <v>キュンキュンしてっ！</v>
      </c>
    </row>
    <row r="603" spans="1:6" x14ac:dyDescent="0.15">
      <c r="A603" s="11">
        <v>305</v>
      </c>
      <c r="B603" s="9" t="str">
        <f>VLOOKUP(A603,[1]characters!$A:$C,3,FALSE)</f>
        <v>螺旋の雷電 チエミ</v>
      </c>
      <c r="C603" s="3" t="s">
        <v>25</v>
      </c>
      <c r="D603" s="42" t="str">
        <f>A603&amp;+(COUNTIF(A$2:A603,A603)-1)</f>
        <v>3050</v>
      </c>
      <c r="E603" s="19" t="str">
        <f>VLOOKUP(D603,unit_serifs_i18n!C:E,3,FALSE)</f>
        <v>maru</v>
      </c>
      <c r="F603" s="19" t="str">
        <f>VLOOKUP(D603,unit_serifs_i18n!C:F,4,FALSE)</f>
        <v>あたしのことよく見てっ♪</v>
      </c>
    </row>
    <row r="604" spans="1:6" x14ac:dyDescent="0.15">
      <c r="A604" s="39">
        <v>305</v>
      </c>
      <c r="B604" s="9" t="str">
        <f>VLOOKUP(A604,[1]characters!$A:$C,3,FALSE)</f>
        <v>螺旋の雷電 チエミ</v>
      </c>
      <c r="C604" s="40" t="s">
        <v>26</v>
      </c>
      <c r="D604" s="42" t="str">
        <f>A604&amp;+(COUNTIF(A$2:A604,A604)-1)</f>
        <v>3051</v>
      </c>
      <c r="E604" s="19" t="str">
        <f>VLOOKUP(D604,unit_serifs_i18n!C:E,3,FALSE)</f>
        <v>maru</v>
      </c>
      <c r="F604" s="19" t="str">
        <f>VLOOKUP(D604,unit_serifs_i18n!C:F,4,FALSE)</f>
        <v>痺れ死んじゃうかも♪</v>
      </c>
    </row>
    <row r="605" spans="1:6" x14ac:dyDescent="0.15">
      <c r="A605" s="39">
        <v>305</v>
      </c>
      <c r="B605" s="9" t="str">
        <f>VLOOKUP(A605,[1]characters!$A:$C,3,FALSE)</f>
        <v>螺旋の雷電 チエミ</v>
      </c>
      <c r="C605" s="40" t="s">
        <v>26</v>
      </c>
      <c r="D605" s="42" t="str">
        <f>D602</f>
        <v>3041</v>
      </c>
      <c r="E605" s="19" t="str">
        <f>VLOOKUP(D605,unit_serifs_i18n!C:E,3,FALSE)</f>
        <v>giza</v>
      </c>
      <c r="F605" s="19" t="str">
        <f>VLOOKUP(D605,unit_serifs_i18n!C:F,4,FALSE)</f>
        <v>キュンキュンしてっ！</v>
      </c>
    </row>
    <row r="606" spans="1:6" x14ac:dyDescent="0.15">
      <c r="A606" s="11">
        <v>306</v>
      </c>
      <c r="B606" s="9" t="str">
        <f>VLOOKUP(A606,[1]characters!$A:$C,3,FALSE)</f>
        <v>メガロドン</v>
      </c>
      <c r="C606" s="3" t="s">
        <v>25</v>
      </c>
      <c r="D606" s="42" t="str">
        <f>A606&amp;+(COUNTIF(A$32:A606,A606)-1)</f>
        <v>3060</v>
      </c>
      <c r="E606" s="19" t="str">
        <f>VLOOKUP(D606,unit_serifs_i18n!C:E,3,FALSE)</f>
        <v>maru</v>
      </c>
      <c r="F606" s="19" t="str">
        <f>VLOOKUP(D606,unit_serifs_i18n!C:F,4,FALSE)</f>
        <v>決闘大歓迎！燃えるね！</v>
      </c>
    </row>
    <row r="607" spans="1:6" x14ac:dyDescent="0.15">
      <c r="A607" s="39">
        <v>306</v>
      </c>
      <c r="B607" s="9" t="str">
        <f>VLOOKUP(A607,[1]characters!$A:$C,3,FALSE)</f>
        <v>メガロドン</v>
      </c>
      <c r="C607" s="40" t="s">
        <v>26</v>
      </c>
      <c r="D607" s="42" t="str">
        <f>A607&amp;+(COUNTIF(A$32:A607,A607)-1)</f>
        <v>3061</v>
      </c>
      <c r="E607" s="19" t="str">
        <f>VLOOKUP(D607,unit_serifs_i18n!C:E,3,FALSE)</f>
        <v>kumo</v>
      </c>
      <c r="F607" s="19" t="str">
        <f>VLOOKUP(D607,unit_serifs_i18n!C:F,4,FALSE)</f>
        <v>拳がうずいてる！</v>
      </c>
    </row>
    <row r="608" spans="1:6" x14ac:dyDescent="0.15">
      <c r="A608" s="39">
        <v>306</v>
      </c>
      <c r="B608" s="9" t="str">
        <f>VLOOKUP(A608,[1]characters!$A:$C,3,FALSE)</f>
        <v>メガロドン</v>
      </c>
      <c r="C608" s="40" t="s">
        <v>26</v>
      </c>
      <c r="D608" s="42" t="str">
        <f>A608&amp;+(COUNTIF(A$32:A608,A608)-1)</f>
        <v>3062</v>
      </c>
      <c r="E608" s="19" t="str">
        <f>VLOOKUP(D608,unit_serifs_i18n!C:E,3,FALSE)</f>
        <v>maru</v>
      </c>
      <c r="F608" s="19" t="str">
        <f>VLOOKUP(D608,unit_serifs_i18n!C:F,4,FALSE)</f>
        <v>そのケンカ買った！</v>
      </c>
    </row>
    <row r="609" spans="1:6" x14ac:dyDescent="0.15">
      <c r="A609" s="11">
        <v>307</v>
      </c>
      <c r="B609" s="9" t="str">
        <f>VLOOKUP(A609,[1]characters!$A:$C,3,FALSE)</f>
        <v>古の鋼拳 メガロドン</v>
      </c>
      <c r="C609" s="3" t="s">
        <v>25</v>
      </c>
      <c r="D609" s="42" t="str">
        <f>A609&amp;+(COUNTIF(A$32:A609,A609)-1)</f>
        <v>3070</v>
      </c>
      <c r="E609" s="19" t="str">
        <f>VLOOKUP(D609,unit_serifs_i18n!C:E,3,FALSE)</f>
        <v>giza</v>
      </c>
      <c r="F609" s="19" t="str">
        <f>VLOOKUP(D609,unit_serifs_i18n!C:F,4,FALSE)</f>
        <v>もう遅い！射程距離だ！</v>
      </c>
    </row>
    <row r="610" spans="1:6" x14ac:dyDescent="0.15">
      <c r="A610" s="39">
        <v>307</v>
      </c>
      <c r="B610" s="9" t="str">
        <f>VLOOKUP(A610,[1]characters!$A:$C,3,FALSE)</f>
        <v>古の鋼拳 メガロドン</v>
      </c>
      <c r="C610" s="40" t="s">
        <v>26</v>
      </c>
      <c r="D610" s="42" t="str">
        <f>A610&amp;+(COUNTIF(A$32:A610,A610)-1)</f>
        <v>3071</v>
      </c>
      <c r="E610" s="19" t="str">
        <f>VLOOKUP(D610,unit_serifs_i18n!C:E,3,FALSE)</f>
        <v>giza</v>
      </c>
      <c r="F610" s="19" t="str">
        <f>VLOOKUP(D610,unit_serifs_i18n!C:F,4,FALSE)</f>
        <v>内蔵ごと焼き壊す！！</v>
      </c>
    </row>
    <row r="611" spans="1:6" x14ac:dyDescent="0.15">
      <c r="A611" s="39">
        <v>307</v>
      </c>
      <c r="B611" s="9" t="str">
        <f>VLOOKUP(A611,[1]characters!$A:$C,3,FALSE)</f>
        <v>古の鋼拳 メガロドン</v>
      </c>
      <c r="C611" s="40" t="s">
        <v>26</v>
      </c>
      <c r="D611" s="46" t="str">
        <f>D607</f>
        <v>3061</v>
      </c>
      <c r="E611" s="19" t="str">
        <f>VLOOKUP(D611,unit_serifs_i18n!C:E,3,FALSE)</f>
        <v>kumo</v>
      </c>
      <c r="F611" s="19" t="str">
        <f>VLOOKUP(D611,unit_serifs_i18n!C:F,4,FALSE)</f>
        <v>拳がうずいてる！</v>
      </c>
    </row>
    <row r="612" spans="1:6" x14ac:dyDescent="0.15">
      <c r="A612" s="39">
        <v>307</v>
      </c>
      <c r="B612" s="9" t="str">
        <f>VLOOKUP(A612,[1]characters!$A:$C,3,FALSE)</f>
        <v>古の鋼拳 メガロドン</v>
      </c>
      <c r="C612" s="40" t="s">
        <v>26</v>
      </c>
      <c r="D612" s="46" t="str">
        <f>D608</f>
        <v>3062</v>
      </c>
      <c r="E612" s="19" t="str">
        <f>VLOOKUP(D612,unit_serifs_i18n!C:E,3,FALSE)</f>
        <v>maru</v>
      </c>
      <c r="F612" s="19" t="str">
        <f>VLOOKUP(D612,unit_serifs_i18n!C:F,4,FALSE)</f>
        <v>そのケンカ買った！</v>
      </c>
    </row>
    <row r="613" spans="1:6" x14ac:dyDescent="0.15">
      <c r="A613" s="11">
        <v>308</v>
      </c>
      <c r="B613" s="9" t="str">
        <f>VLOOKUP(A613,[1]characters!$A:$C,3,FALSE)</f>
        <v>アーケロン</v>
      </c>
      <c r="C613" s="3" t="s">
        <v>25</v>
      </c>
      <c r="D613" s="42" t="str">
        <f>A613&amp;+(COUNTIF(A$32:A613,A613)-1)</f>
        <v>3080</v>
      </c>
      <c r="E613" s="19" t="str">
        <f>VLOOKUP(D613,unit_serifs_i18n!C:E,3,FALSE)</f>
        <v>kumo</v>
      </c>
      <c r="F613" s="19" t="str">
        <f>VLOOKUP(D613,unit_serifs_i18n!C:F,4,FALSE)</f>
        <v>うるさいったらないわ…</v>
      </c>
    </row>
    <row r="614" spans="1:6" x14ac:dyDescent="0.15">
      <c r="A614" s="39">
        <v>308</v>
      </c>
      <c r="B614" s="9" t="str">
        <f>VLOOKUP(A614,[1]characters!$A:$C,3,FALSE)</f>
        <v>アーケロン</v>
      </c>
      <c r="C614" s="40" t="s">
        <v>26</v>
      </c>
      <c r="D614" s="42" t="str">
        <f>A614&amp;+(COUNTIF(A$32:A614,A614)-1)</f>
        <v>3081</v>
      </c>
      <c r="E614" s="19" t="str">
        <f>VLOOKUP(D614,unit_serifs_i18n!C:E,3,FALSE)</f>
        <v>maru</v>
      </c>
      <c r="F614" s="19" t="str">
        <f>VLOOKUP(D614,unit_serifs_i18n!C:F,4,FALSE)</f>
        <v>面白い本があるのよ？</v>
      </c>
    </row>
    <row r="615" spans="1:6" x14ac:dyDescent="0.15">
      <c r="A615" s="39">
        <v>308</v>
      </c>
      <c r="B615" s="9" t="str">
        <f>VLOOKUP(A615,[1]characters!$A:$C,3,FALSE)</f>
        <v>アーケロン</v>
      </c>
      <c r="C615" s="40" t="s">
        <v>26</v>
      </c>
      <c r="D615" s="42" t="str">
        <f>A615&amp;+(COUNTIF(A$32:A615,A615)-1)</f>
        <v>3082</v>
      </c>
      <c r="E615" s="19" t="str">
        <f>VLOOKUP(D615,unit_serifs_i18n!C:E,3,FALSE)</f>
        <v>maru</v>
      </c>
      <c r="F615" s="19" t="str">
        <f>VLOOKUP(D615,unit_serifs_i18n!C:F,4,FALSE)</f>
        <v>イラッと来たわ</v>
      </c>
    </row>
    <row r="616" spans="1:6" x14ac:dyDescent="0.15">
      <c r="A616" s="11">
        <v>309</v>
      </c>
      <c r="B616" s="9" t="str">
        <f>VLOOKUP(A616,[1]characters!$A:$C,3,FALSE)</f>
        <v>古の博学 アーケロン</v>
      </c>
      <c r="C616" s="3" t="s">
        <v>25</v>
      </c>
      <c r="D616" s="42" t="str">
        <f>A616&amp;+(COUNTIF(A$32:A616,A616)-1)</f>
        <v>3090</v>
      </c>
      <c r="E616" s="19" t="str">
        <f>VLOOKUP(D616,unit_serifs_i18n!C:E,3,FALSE)</f>
        <v>maru</v>
      </c>
      <c r="F616" s="19" t="str">
        <f>VLOOKUP(D616,unit_serifs_i18n!C:F,4,FALSE)</f>
        <v>さっさと追い払ってよ</v>
      </c>
    </row>
    <row r="617" spans="1:6" x14ac:dyDescent="0.15">
      <c r="A617" s="39">
        <v>309</v>
      </c>
      <c r="B617" s="9" t="str">
        <f>VLOOKUP(A617,[1]characters!$A:$C,3,FALSE)</f>
        <v>古の博学 アーケロン</v>
      </c>
      <c r="C617" s="40" t="s">
        <v>26</v>
      </c>
      <c r="D617" s="42" t="str">
        <f>A617&amp;+(COUNTIF(A$32:A617,A617)-1)</f>
        <v>3091</v>
      </c>
      <c r="E617" s="19" t="str">
        <f>VLOOKUP(D617,unit_serifs_i18n!C:E,3,FALSE)</f>
        <v>kumo</v>
      </c>
      <c r="F617" s="19" t="str">
        <f>VLOOKUP(D617,unit_serifs_i18n!C:F,4,FALSE)</f>
        <v>どうなっても知らない</v>
      </c>
    </row>
    <row r="618" spans="1:6" x14ac:dyDescent="0.15">
      <c r="A618" s="39">
        <v>309</v>
      </c>
      <c r="B618" s="9" t="str">
        <f>VLOOKUP(A618,[1]characters!$A:$C,3,FALSE)</f>
        <v>古の博学 アーケロン</v>
      </c>
      <c r="C618" s="40" t="s">
        <v>26</v>
      </c>
      <c r="D618" s="46" t="str">
        <f>D614</f>
        <v>3081</v>
      </c>
      <c r="E618" s="19" t="str">
        <f>VLOOKUP(D618,unit_serifs_i18n!C:E,3,FALSE)</f>
        <v>maru</v>
      </c>
      <c r="F618" s="19" t="str">
        <f>VLOOKUP(D618,unit_serifs_i18n!C:F,4,FALSE)</f>
        <v>面白い本があるのよ？</v>
      </c>
    </row>
    <row r="619" spans="1:6" x14ac:dyDescent="0.15">
      <c r="A619" s="39">
        <v>309</v>
      </c>
      <c r="B619" s="9" t="str">
        <f>VLOOKUP(A619,[1]characters!$A:$C,3,FALSE)</f>
        <v>古の博学 アーケロン</v>
      </c>
      <c r="C619" s="40" t="s">
        <v>26</v>
      </c>
      <c r="D619" s="46" t="str">
        <f>D615</f>
        <v>3082</v>
      </c>
      <c r="E619" s="19" t="str">
        <f>VLOOKUP(D619,unit_serifs_i18n!C:E,3,FALSE)</f>
        <v>maru</v>
      </c>
      <c r="F619" s="19" t="str">
        <f>VLOOKUP(D619,unit_serifs_i18n!C:F,4,FALSE)</f>
        <v>イラッと来たわ</v>
      </c>
    </row>
    <row r="620" spans="1:6" x14ac:dyDescent="0.15">
      <c r="A620" s="11">
        <v>310</v>
      </c>
      <c r="B620" s="9" t="str">
        <f>VLOOKUP(A620,[1]characters!$A:$C,3,FALSE)</f>
        <v>リードシクティス</v>
      </c>
      <c r="C620" s="3" t="s">
        <v>25</v>
      </c>
      <c r="D620" s="42" t="str">
        <f>A620&amp;+(COUNTIF(A$32:A620,A620)-1)</f>
        <v>3100</v>
      </c>
      <c r="E620" s="19" t="str">
        <f>VLOOKUP(D620,unit_serifs_i18n!C:E,3,FALSE)</f>
        <v>maru</v>
      </c>
      <c r="F620" s="19" t="str">
        <f>VLOOKUP(D620,unit_serifs_i18n!C:F,4,FALSE)</f>
        <v>ぜんぶいただきまーっす！</v>
      </c>
    </row>
    <row r="621" spans="1:6" x14ac:dyDescent="0.15">
      <c r="A621" s="39">
        <v>310</v>
      </c>
      <c r="B621" s="9" t="str">
        <f>VLOOKUP(A621,[1]characters!$A:$C,3,FALSE)</f>
        <v>リードシクティス</v>
      </c>
      <c r="C621" s="40" t="s">
        <v>26</v>
      </c>
      <c r="D621" s="42" t="str">
        <f>A621&amp;+(COUNTIF(A$32:A621,A621)-1)</f>
        <v>3101</v>
      </c>
      <c r="E621" s="19" t="str">
        <f>VLOOKUP(D621,unit_serifs_i18n!C:E,3,FALSE)</f>
        <v>kumo</v>
      </c>
      <c r="F621" s="19" t="str">
        <f>VLOOKUP(D621,unit_serifs_i18n!C:F,4,FALSE)</f>
        <v>…じゅるりん</v>
      </c>
    </row>
    <row r="622" spans="1:6" x14ac:dyDescent="0.15">
      <c r="A622" s="39">
        <v>310</v>
      </c>
      <c r="B622" s="9" t="str">
        <f>VLOOKUP(A622,[1]characters!$A:$C,3,FALSE)</f>
        <v>リードシクティス</v>
      </c>
      <c r="C622" s="40" t="s">
        <v>26</v>
      </c>
      <c r="D622" s="42" t="str">
        <f>A622&amp;+(COUNTIF(A$32:A622,A622)-1)</f>
        <v>3102</v>
      </c>
      <c r="E622" s="19" t="str">
        <f>VLOOKUP(D622,unit_serifs_i18n!C:E,3,FALSE)</f>
        <v>giza</v>
      </c>
      <c r="F622" s="19" t="str">
        <f>VLOOKUP(D622,unit_serifs_i18n!C:F,4,FALSE)</f>
        <v>タンパク質不足だっ！</v>
      </c>
    </row>
    <row r="623" spans="1:6" x14ac:dyDescent="0.15">
      <c r="A623" s="11">
        <v>311</v>
      </c>
      <c r="B623" s="9" t="str">
        <f>VLOOKUP(A623,[1]characters!$A:$C,3,FALSE)</f>
        <v>古の暴食 リードシクティス</v>
      </c>
      <c r="C623" s="3" t="s">
        <v>25</v>
      </c>
      <c r="D623" s="42" t="str">
        <f>A623&amp;+(COUNTIF(A$32:A623,A623)-1)</f>
        <v>3110</v>
      </c>
      <c r="E623" s="19" t="str">
        <f>VLOOKUP(D623,unit_serifs_i18n!C:E,3,FALSE)</f>
        <v>maru</v>
      </c>
      <c r="F623" s="19" t="str">
        <f>VLOOKUP(D623,unit_serifs_i18n!C:F,4,FALSE)</f>
        <v>おいしそうだなぁ君たち！</v>
      </c>
    </row>
    <row r="624" spans="1:6" x14ac:dyDescent="0.15">
      <c r="A624" s="39">
        <v>311</v>
      </c>
      <c r="B624" s="9" t="str">
        <f>VLOOKUP(A624,[1]characters!$A:$C,3,FALSE)</f>
        <v>古の暴食 リードシクティス</v>
      </c>
      <c r="C624" s="40" t="s">
        <v>26</v>
      </c>
      <c r="D624" s="42" t="str">
        <f>A624&amp;+(COUNTIF(A$32:A624,A624)-1)</f>
        <v>3111</v>
      </c>
      <c r="E624" s="19" t="str">
        <f>VLOOKUP(D624,unit_serifs_i18n!C:E,3,FALSE)</f>
        <v>giza</v>
      </c>
      <c r="F624" s="19" t="str">
        <f>VLOOKUP(D624,unit_serifs_i18n!C:F,4,FALSE)</f>
        <v>ガッツリいくよっ！</v>
      </c>
    </row>
    <row r="625" spans="1:6" x14ac:dyDescent="0.15">
      <c r="A625" s="39">
        <v>311</v>
      </c>
      <c r="B625" s="9" t="str">
        <f>VLOOKUP(A625,[1]characters!$A:$C,3,FALSE)</f>
        <v>古の暴食 リードシクティス</v>
      </c>
      <c r="C625" s="40" t="s">
        <v>26</v>
      </c>
      <c r="D625" s="46" t="str">
        <f>D621</f>
        <v>3101</v>
      </c>
      <c r="E625" s="19" t="str">
        <f>VLOOKUP(D625,unit_serifs_i18n!C:E,3,FALSE)</f>
        <v>kumo</v>
      </c>
      <c r="F625" s="19" t="str">
        <f>VLOOKUP(D625,unit_serifs_i18n!C:F,4,FALSE)</f>
        <v>…じゅるりん</v>
      </c>
    </row>
    <row r="626" spans="1:6" x14ac:dyDescent="0.15">
      <c r="A626" s="39">
        <v>311</v>
      </c>
      <c r="B626" s="9" t="str">
        <f>VLOOKUP(A626,[1]characters!$A:$C,3,FALSE)</f>
        <v>古の暴食 リードシクティス</v>
      </c>
      <c r="C626" s="40" t="s">
        <v>26</v>
      </c>
      <c r="D626" s="46" t="str">
        <f>D622</f>
        <v>3102</v>
      </c>
      <c r="E626" s="19" t="str">
        <f>VLOOKUP(D626,unit_serifs_i18n!C:E,3,FALSE)</f>
        <v>giza</v>
      </c>
      <c r="F626" s="19" t="str">
        <f>VLOOKUP(D626,unit_serifs_i18n!C:F,4,FALSE)</f>
        <v>タンパク質不足だっ！</v>
      </c>
    </row>
    <row r="627" spans="1:6" x14ac:dyDescent="0.15">
      <c r="A627" s="11">
        <v>312</v>
      </c>
      <c r="B627" s="9" t="str">
        <f>VLOOKUP(A627,[1]characters!$A:$C,3,FALSE)</f>
        <v>アノマロカリス</v>
      </c>
      <c r="C627" s="3" t="s">
        <v>25</v>
      </c>
      <c r="D627" s="42" t="str">
        <f>A627&amp;+(COUNTIF(A$32:A627,A627)-1)</f>
        <v>3120</v>
      </c>
      <c r="E627" s="19" t="str">
        <f>VLOOKUP(D627,unit_serifs_i18n!C:E,3,FALSE)</f>
        <v>maru</v>
      </c>
      <c r="F627" s="19" t="str">
        <f>VLOOKUP(D627,unit_serifs_i18n!C:F,4,FALSE)</f>
        <v>ワルい大人はわかるの！</v>
      </c>
    </row>
    <row r="628" spans="1:6" x14ac:dyDescent="0.15">
      <c r="A628" s="39">
        <v>312</v>
      </c>
      <c r="B628" s="9" t="str">
        <f>VLOOKUP(A628,[1]characters!$A:$C,3,FALSE)</f>
        <v>アノマロカリス</v>
      </c>
      <c r="C628" s="40" t="s">
        <v>26</v>
      </c>
      <c r="D628" s="42" t="str">
        <f>A628&amp;+(COUNTIF(A$32:A628,A628)-1)</f>
        <v>3121</v>
      </c>
      <c r="E628" s="19" t="str">
        <f>VLOOKUP(D628,unit_serifs_i18n!C:E,3,FALSE)</f>
        <v>maru</v>
      </c>
      <c r="F628" s="19" t="str">
        <f>VLOOKUP(D628,unit_serifs_i18n!C:F,4,FALSE)</f>
        <v>ペットにしちゃうぞ！</v>
      </c>
    </row>
    <row r="629" spans="1:6" x14ac:dyDescent="0.15">
      <c r="A629" s="39">
        <v>312</v>
      </c>
      <c r="B629" s="9" t="str">
        <f>VLOOKUP(A629,[1]characters!$A:$C,3,FALSE)</f>
        <v>アノマロカリス</v>
      </c>
      <c r="C629" s="40" t="s">
        <v>26</v>
      </c>
      <c r="D629" s="42" t="str">
        <f>A629&amp;+(COUNTIF(A$32:A629,A629)-1)</f>
        <v>3122</v>
      </c>
      <c r="E629" s="19" t="str">
        <f>VLOOKUP(D629,unit_serifs_i18n!C:E,3,FALSE)</f>
        <v>maru</v>
      </c>
      <c r="F629" s="19" t="str">
        <f>VLOOKUP(D629,unit_serifs_i18n!C:F,4,FALSE)</f>
        <v>かわいくないわねー！</v>
      </c>
    </row>
    <row r="630" spans="1:6" x14ac:dyDescent="0.15">
      <c r="A630" s="11">
        <v>313</v>
      </c>
      <c r="B630" s="9" t="str">
        <f>VLOOKUP(A630,[1]characters!$A:$C,3,FALSE)</f>
        <v>古の先鋭 アノマロカリス</v>
      </c>
      <c r="C630" s="3" t="s">
        <v>25</v>
      </c>
      <c r="D630" s="42" t="str">
        <f>A630&amp;+(COUNTIF(A$32:A630,A630)-1)</f>
        <v>3130</v>
      </c>
      <c r="E630" s="19" t="str">
        <f>VLOOKUP(D630,unit_serifs_i18n!C:E,3,FALSE)</f>
        <v>maru</v>
      </c>
      <c r="F630" s="19" t="str">
        <f>VLOOKUP(D630,unit_serifs_i18n!C:F,4,FALSE)</f>
        <v>キミたち食べていい？</v>
      </c>
    </row>
    <row r="631" spans="1:6" x14ac:dyDescent="0.15">
      <c r="A631" s="39">
        <v>313</v>
      </c>
      <c r="B631" s="9" t="str">
        <f>VLOOKUP(A631,[1]characters!$A:$C,3,FALSE)</f>
        <v>古の先鋭 アノマロカリス</v>
      </c>
      <c r="C631" s="40" t="s">
        <v>26</v>
      </c>
      <c r="D631" s="42" t="str">
        <f>A631&amp;+(COUNTIF(A$32:A631,A631)-1)</f>
        <v>3131</v>
      </c>
      <c r="E631" s="19" t="str">
        <f>VLOOKUP(D631,unit_serifs_i18n!C:E,3,FALSE)</f>
        <v>giza</v>
      </c>
      <c r="F631" s="19" t="str">
        <f>VLOOKUP(D631,unit_serifs_i18n!C:F,4,FALSE)</f>
        <v>噛み付いていい？</v>
      </c>
    </row>
    <row r="632" spans="1:6" x14ac:dyDescent="0.15">
      <c r="A632" s="39">
        <v>313</v>
      </c>
      <c r="B632" s="9" t="str">
        <f>VLOOKUP(A632,[1]characters!$A:$C,3,FALSE)</f>
        <v>古の先鋭 アノマロカリス</v>
      </c>
      <c r="C632" s="40" t="s">
        <v>26</v>
      </c>
      <c r="D632" s="46" t="str">
        <f>D628</f>
        <v>3121</v>
      </c>
      <c r="E632" s="19" t="str">
        <f>VLOOKUP(D632,unit_serifs_i18n!C:E,3,FALSE)</f>
        <v>maru</v>
      </c>
      <c r="F632" s="19" t="str">
        <f>VLOOKUP(D632,unit_serifs_i18n!C:F,4,FALSE)</f>
        <v>ペットにしちゃうぞ！</v>
      </c>
    </row>
    <row r="633" spans="1:6" x14ac:dyDescent="0.15">
      <c r="A633" s="39">
        <v>313</v>
      </c>
      <c r="B633" s="9" t="str">
        <f>VLOOKUP(A633,[1]characters!$A:$C,3,FALSE)</f>
        <v>古の先鋭 アノマロカリス</v>
      </c>
      <c r="C633" s="40" t="s">
        <v>26</v>
      </c>
      <c r="D633" s="46" t="str">
        <f>D629</f>
        <v>3122</v>
      </c>
      <c r="E633" s="19" t="str">
        <f>VLOOKUP(D633,unit_serifs_i18n!C:E,3,FALSE)</f>
        <v>maru</v>
      </c>
      <c r="F633" s="19" t="str">
        <f>VLOOKUP(D633,unit_serifs_i18n!C:F,4,FALSE)</f>
        <v>かわいくないわねー！</v>
      </c>
    </row>
    <row r="634" spans="1:6" x14ac:dyDescent="0.15">
      <c r="A634" s="11">
        <v>314</v>
      </c>
      <c r="B634" s="9" t="str">
        <f>VLOOKUP(A634,[1]characters!$A:$C,3,FALSE)</f>
        <v>ジャンヌ</v>
      </c>
      <c r="C634" s="3" t="s">
        <v>25</v>
      </c>
      <c r="D634" s="42" t="str">
        <f>A634&amp;+(COUNTIF(A$32:A634,A634)-1)</f>
        <v>3140</v>
      </c>
      <c r="E634" s="19" t="str">
        <f>VLOOKUP(D634,unit_serifs_i18n!C:E,3,FALSE)</f>
        <v>maru</v>
      </c>
      <c r="F634" s="19" t="str">
        <f>VLOOKUP(D634,unit_serifs_i18n!C:F,4,FALSE)</f>
        <v>道は私が切り開く！</v>
      </c>
    </row>
    <row r="635" spans="1:6" x14ac:dyDescent="0.15">
      <c r="A635" s="39">
        <v>314</v>
      </c>
      <c r="B635" s="9" t="str">
        <f>VLOOKUP(A635,[1]characters!$A:$C,3,FALSE)</f>
        <v>ジャンヌ</v>
      </c>
      <c r="C635" s="40" t="s">
        <v>26</v>
      </c>
      <c r="D635" s="42" t="str">
        <f>A635&amp;+(COUNTIF(A$32:A635,A635)-1)</f>
        <v>3141</v>
      </c>
      <c r="E635" s="19" t="str">
        <f>VLOOKUP(D635,unit_serifs_i18n!C:E,3,FALSE)</f>
        <v>giza</v>
      </c>
      <c r="F635" s="19" t="str">
        <f>VLOOKUP(D635,unit_serifs_i18n!C:F,4,FALSE)</f>
        <v>神に代わって裁く！</v>
      </c>
    </row>
    <row r="636" spans="1:6" x14ac:dyDescent="0.15">
      <c r="A636" s="39">
        <v>314</v>
      </c>
      <c r="B636" s="9" t="str">
        <f>VLOOKUP(A636,[1]characters!$A:$C,3,FALSE)</f>
        <v>ジャンヌ</v>
      </c>
      <c r="C636" s="40" t="s">
        <v>26</v>
      </c>
      <c r="D636" s="42" t="str">
        <f>A636&amp;+(COUNTIF(A$32:A636,A636)-1)</f>
        <v>3142</v>
      </c>
      <c r="E636" s="19" t="str">
        <f>VLOOKUP(D636,unit_serifs_i18n!C:E,3,FALSE)</f>
        <v>maru</v>
      </c>
      <c r="F636" s="19" t="str">
        <f>VLOOKUP(D636,unit_serifs_i18n!C:F,4,FALSE)</f>
        <v>祝福をこの手に！</v>
      </c>
    </row>
    <row r="637" spans="1:6" x14ac:dyDescent="0.15">
      <c r="A637" s="11">
        <v>315</v>
      </c>
      <c r="B637" s="9" t="str">
        <f>VLOOKUP(A637,[1]characters!$A:$C,3,FALSE)</f>
        <v>鉄馬駆る聖女 ジャンヌ</v>
      </c>
      <c r="C637" s="3" t="s">
        <v>25</v>
      </c>
      <c r="D637" s="42" t="str">
        <f>A637&amp;+(COUNTIF(A$32:A637,A637)-1)</f>
        <v>3150</v>
      </c>
      <c r="E637" s="19" t="str">
        <f>VLOOKUP(D637,unit_serifs_i18n!C:E,3,FALSE)</f>
        <v>giza</v>
      </c>
      <c r="F637" s="19" t="str">
        <f>VLOOKUP(D637,unit_serifs_i18n!C:F,4,FALSE)</f>
        <v>時は来た！私に続け！！</v>
      </c>
    </row>
    <row r="638" spans="1:6" x14ac:dyDescent="0.15">
      <c r="A638" s="39">
        <v>315</v>
      </c>
      <c r="B638" s="9" t="str">
        <f>VLOOKUP(A638,[1]characters!$A:$C,3,FALSE)</f>
        <v>鉄馬駆る聖女 ジャンヌ</v>
      </c>
      <c r="C638" s="40" t="s">
        <v>26</v>
      </c>
      <c r="D638" s="42" t="str">
        <f>A638&amp;+(COUNTIF(A$32:A638,A638)-1)</f>
        <v>3151</v>
      </c>
      <c r="E638" s="19" t="str">
        <f>VLOOKUP(D638,unit_serifs_i18n!C:E,3,FALSE)</f>
        <v>maru</v>
      </c>
      <c r="F638" s="19" t="str">
        <f>VLOOKUP(D638,unit_serifs_i18n!C:F,4,FALSE)</f>
        <v>皆、私を信じてくれ！</v>
      </c>
    </row>
    <row r="639" spans="1:6" x14ac:dyDescent="0.15">
      <c r="A639" s="39">
        <v>315</v>
      </c>
      <c r="B639" s="9" t="str">
        <f>VLOOKUP(A639,[1]characters!$A:$C,3,FALSE)</f>
        <v>鉄馬駆る聖女 ジャンヌ</v>
      </c>
      <c r="C639" s="40" t="s">
        <v>26</v>
      </c>
      <c r="D639" s="46" t="str">
        <f>D635</f>
        <v>3141</v>
      </c>
      <c r="E639" s="19" t="str">
        <f>VLOOKUP(D639,unit_serifs_i18n!C:E,3,FALSE)</f>
        <v>giza</v>
      </c>
      <c r="F639" s="19" t="str">
        <f>VLOOKUP(D639,unit_serifs_i18n!C:F,4,FALSE)</f>
        <v>神に代わって裁く！</v>
      </c>
    </row>
    <row r="640" spans="1:6" x14ac:dyDescent="0.15">
      <c r="A640" s="39">
        <v>315</v>
      </c>
      <c r="B640" s="9" t="str">
        <f>VLOOKUP(A640,[1]characters!$A:$C,3,FALSE)</f>
        <v>鉄馬駆る聖女 ジャンヌ</v>
      </c>
      <c r="C640" s="40" t="s">
        <v>26</v>
      </c>
      <c r="D640" s="46" t="str">
        <f>D636</f>
        <v>3142</v>
      </c>
      <c r="E640" s="19" t="str">
        <f>VLOOKUP(D640,unit_serifs_i18n!C:E,3,FALSE)</f>
        <v>maru</v>
      </c>
      <c r="F640" s="19" t="str">
        <f>VLOOKUP(D640,unit_serifs_i18n!C:F,4,FALSE)</f>
        <v>祝福をこの手に！</v>
      </c>
    </row>
    <row r="641" spans="1:6" x14ac:dyDescent="0.15">
      <c r="A641" s="11">
        <v>316</v>
      </c>
      <c r="B641" s="9" t="str">
        <f>VLOOKUP(A641,[1]characters!$A:$C,3,FALSE)</f>
        <v>テスラ</v>
      </c>
      <c r="C641" s="3" t="s">
        <v>25</v>
      </c>
      <c r="D641" s="42" t="str">
        <f>A641&amp;+(COUNTIF(A$32:A641,A641)-1)</f>
        <v>3160</v>
      </c>
      <c r="E641" s="19" t="str">
        <f>VLOOKUP(D641,unit_serifs_i18n!C:E,3,FALSE)</f>
        <v>maru</v>
      </c>
      <c r="F641" s="19" t="str">
        <f>VLOOKUP(D641,unit_serifs_i18n!C:F,4,FALSE)</f>
        <v>ビビらないで大丈夫っ！</v>
      </c>
    </row>
    <row r="642" spans="1:6" x14ac:dyDescent="0.15">
      <c r="A642" s="39">
        <v>316</v>
      </c>
      <c r="B642" s="9" t="str">
        <f>VLOOKUP(A642,[1]characters!$A:$C,3,FALSE)</f>
        <v>テスラ</v>
      </c>
      <c r="C642" s="40" t="s">
        <v>26</v>
      </c>
      <c r="D642" s="42" t="str">
        <f>A642&amp;+(COUNTIF(A$32:A642,A642)-1)</f>
        <v>3161</v>
      </c>
      <c r="E642" s="19" t="str">
        <f>VLOOKUP(D642,unit_serifs_i18n!C:E,3,FALSE)</f>
        <v>maru</v>
      </c>
      <c r="F642" s="19" t="str">
        <f>VLOOKUP(D642,unit_serifs_i18n!C:F,4,FALSE)</f>
        <v>ぜんぶお見通しだよ！</v>
      </c>
    </row>
    <row r="643" spans="1:6" x14ac:dyDescent="0.15">
      <c r="A643" s="39">
        <v>316</v>
      </c>
      <c r="B643" s="9" t="str">
        <f>VLOOKUP(A643,[1]characters!$A:$C,3,FALSE)</f>
        <v>テスラ</v>
      </c>
      <c r="C643" s="40" t="s">
        <v>26</v>
      </c>
      <c r="D643" s="42" t="str">
        <f>A643&amp;+(COUNTIF(A$32:A643,A643)-1)</f>
        <v>3162</v>
      </c>
      <c r="E643" s="19" t="str">
        <f>VLOOKUP(D643,unit_serifs_i18n!C:E,3,FALSE)</f>
        <v>maru</v>
      </c>
      <c r="F643" s="19" t="str">
        <f>VLOOKUP(D643,unit_serifs_i18n!C:F,4,FALSE)</f>
        <v>ほらほらー遅いよー！</v>
      </c>
    </row>
    <row r="644" spans="1:6" x14ac:dyDescent="0.15">
      <c r="A644" s="11">
        <v>317</v>
      </c>
      <c r="B644" s="9" t="str">
        <f>VLOOKUP(A644,[1]characters!$A:$C,3,FALSE)</f>
        <v>異能の電気師 テスラ</v>
      </c>
      <c r="C644" s="3" t="s">
        <v>25</v>
      </c>
      <c r="D644" s="42" t="str">
        <f>A644&amp;+(COUNTIF(A$32:A644,A644)-1)</f>
        <v>3170</v>
      </c>
      <c r="E644" s="19" t="str">
        <f>VLOOKUP(D644,unit_serifs_i18n!C:E,3,FALSE)</f>
        <v>maru</v>
      </c>
      <c r="F644" s="19" t="str">
        <f>VLOOKUP(D644,unit_serifs_i18n!C:F,4,FALSE)</f>
        <v>こんなの朝飯前だよね！</v>
      </c>
    </row>
    <row r="645" spans="1:6" x14ac:dyDescent="0.15">
      <c r="A645" s="39">
        <v>317</v>
      </c>
      <c r="B645" s="9" t="str">
        <f>VLOOKUP(A645,[1]characters!$A:$C,3,FALSE)</f>
        <v>異能の電気師 テスラ</v>
      </c>
      <c r="C645" s="40" t="s">
        <v>26</v>
      </c>
      <c r="D645" s="42" t="str">
        <f>A645&amp;+(COUNTIF(A$32:A645,A645)-1)</f>
        <v>3171</v>
      </c>
      <c r="E645" s="19" t="str">
        <f>VLOOKUP(D645,unit_serifs_i18n!C:E,3,FALSE)</f>
        <v>giza</v>
      </c>
      <c r="F645" s="19" t="str">
        <f>VLOOKUP(D645,unit_serifs_i18n!C:F,4,FALSE)</f>
        <v>頭の作りがちがうの！</v>
      </c>
    </row>
    <row r="646" spans="1:6" x14ac:dyDescent="0.15">
      <c r="A646" s="39">
        <v>317</v>
      </c>
      <c r="B646" s="9" t="str">
        <f>VLOOKUP(A646,[1]characters!$A:$C,3,FALSE)</f>
        <v>異能の電気師 テスラ</v>
      </c>
      <c r="C646" s="40" t="s">
        <v>26</v>
      </c>
      <c r="D646" s="46" t="str">
        <f>D642</f>
        <v>3161</v>
      </c>
      <c r="E646" s="19" t="str">
        <f>VLOOKUP(D646,unit_serifs_i18n!C:E,3,FALSE)</f>
        <v>maru</v>
      </c>
      <c r="F646" s="19" t="str">
        <f>VLOOKUP(D646,unit_serifs_i18n!C:F,4,FALSE)</f>
        <v>ぜんぶお見通しだよ！</v>
      </c>
    </row>
    <row r="647" spans="1:6" x14ac:dyDescent="0.15">
      <c r="A647" s="39">
        <v>317</v>
      </c>
      <c r="B647" s="9" t="str">
        <f>VLOOKUP(A647,[1]characters!$A:$C,3,FALSE)</f>
        <v>異能の電気師 テスラ</v>
      </c>
      <c r="C647" s="40" t="s">
        <v>26</v>
      </c>
      <c r="D647" s="46" t="str">
        <f>D643</f>
        <v>3162</v>
      </c>
      <c r="E647" s="19" t="str">
        <f>VLOOKUP(D647,unit_serifs_i18n!C:E,3,FALSE)</f>
        <v>maru</v>
      </c>
      <c r="F647" s="19" t="str">
        <f>VLOOKUP(D647,unit_serifs_i18n!C:F,4,FALSE)</f>
        <v>ほらほらー遅いよー！</v>
      </c>
    </row>
    <row r="648" spans="1:6" x14ac:dyDescent="0.15">
      <c r="A648" s="11">
        <v>318</v>
      </c>
      <c r="B648" s="9" t="str">
        <f>VLOOKUP(A648,[1]characters!$A:$C,3,FALSE)</f>
        <v>シャルル</v>
      </c>
      <c r="C648" s="3" t="s">
        <v>25</v>
      </c>
      <c r="D648" s="42" t="str">
        <f>A648&amp;+(COUNTIF(A$32:A648,A648)-1)</f>
        <v>3180</v>
      </c>
      <c r="E648" s="19" t="str">
        <f>VLOOKUP(D648,unit_serifs_i18n!C:E,3,FALSE)</f>
        <v>maru</v>
      </c>
      <c r="F648" s="19" t="str">
        <f>VLOOKUP(D648,unit_serifs_i18n!C:F,4,FALSE)</f>
        <v>良いこと思いついたよぉ〜</v>
      </c>
    </row>
    <row r="649" spans="1:6" x14ac:dyDescent="0.15">
      <c r="A649" s="39">
        <v>318</v>
      </c>
      <c r="B649" s="9" t="str">
        <f>VLOOKUP(A649,[1]characters!$A:$C,3,FALSE)</f>
        <v>シャルル</v>
      </c>
      <c r="C649" s="40" t="s">
        <v>26</v>
      </c>
      <c r="D649" s="42" t="str">
        <f>A649&amp;+(COUNTIF(A$32:A649,A649)-1)</f>
        <v>3181</v>
      </c>
      <c r="E649" s="19" t="str">
        <f>VLOOKUP(D649,unit_serifs_i18n!C:E,3,FALSE)</f>
        <v>maru</v>
      </c>
      <c r="F649" s="19" t="str">
        <f>VLOOKUP(D649,unit_serifs_i18n!C:F,4,FALSE)</f>
        <v>アイディアが溢れるぅ</v>
      </c>
    </row>
    <row r="650" spans="1:6" x14ac:dyDescent="0.15">
      <c r="A650" s="39">
        <v>318</v>
      </c>
      <c r="B650" s="9" t="str">
        <f>VLOOKUP(A650,[1]characters!$A:$C,3,FALSE)</f>
        <v>シャルル</v>
      </c>
      <c r="C650" s="40" t="s">
        <v>26</v>
      </c>
      <c r="D650" s="42" t="str">
        <f>A650&amp;+(COUNTIF(A$32:A650,A650)-1)</f>
        <v>3182</v>
      </c>
      <c r="E650" s="19" t="str">
        <f>VLOOKUP(D650,unit_serifs_i18n!C:E,3,FALSE)</f>
        <v>kumo</v>
      </c>
      <c r="F650" s="19" t="str">
        <f>VLOOKUP(D650,unit_serifs_i18n!C:F,4,FALSE)</f>
        <v>んもぅ…邪魔だなぁ〜</v>
      </c>
    </row>
    <row r="651" spans="1:6" x14ac:dyDescent="0.15">
      <c r="A651" s="11">
        <v>319</v>
      </c>
      <c r="B651" s="9" t="str">
        <f>VLOOKUP(A651,[1]characters!$A:$C,3,FALSE)</f>
        <v>夢想の学士 シャルル</v>
      </c>
      <c r="C651" s="3" t="s">
        <v>25</v>
      </c>
      <c r="D651" s="42" t="str">
        <f>A651&amp;+(COUNTIF(A$32:A651,A651)-1)</f>
        <v>3190</v>
      </c>
      <c r="E651" s="19" t="str">
        <f>VLOOKUP(D651,unit_serifs_i18n!C:E,3,FALSE)</f>
        <v>maru</v>
      </c>
      <c r="F651" s="19" t="str">
        <f>VLOOKUP(D651,unit_serifs_i18n!C:F,4,FALSE)</f>
        <v>焦らないでも大丈夫〜</v>
      </c>
    </row>
    <row r="652" spans="1:6" x14ac:dyDescent="0.15">
      <c r="A652" s="39">
        <v>319</v>
      </c>
      <c r="B652" s="9" t="str">
        <f>VLOOKUP(A652,[1]characters!$A:$C,3,FALSE)</f>
        <v>夢想の学士 シャルル</v>
      </c>
      <c r="C652" s="40" t="s">
        <v>26</v>
      </c>
      <c r="D652" s="42" t="str">
        <f>A652&amp;+(COUNTIF(A$32:A652,A652)-1)</f>
        <v>3191</v>
      </c>
      <c r="E652" s="19" t="str">
        <f>VLOOKUP(D652,unit_serifs_i18n!C:E,3,FALSE)</f>
        <v>maru</v>
      </c>
      <c r="F652" s="19" t="str">
        <f>VLOOKUP(D652,unit_serifs_i18n!C:F,4,FALSE)</f>
        <v>閃いちゃったよぉ〜</v>
      </c>
    </row>
    <row r="653" spans="1:6" x14ac:dyDescent="0.15">
      <c r="A653" s="39">
        <v>319</v>
      </c>
      <c r="B653" s="9" t="str">
        <f>VLOOKUP(A653,[1]characters!$A:$C,3,FALSE)</f>
        <v>夢想の学士 シャルル</v>
      </c>
      <c r="C653" s="40" t="s">
        <v>26</v>
      </c>
      <c r="D653" s="46" t="str">
        <f>D649</f>
        <v>3181</v>
      </c>
      <c r="E653" s="19" t="str">
        <f>VLOOKUP(D653,unit_serifs_i18n!C:E,3,FALSE)</f>
        <v>maru</v>
      </c>
      <c r="F653" s="19" t="str">
        <f>VLOOKUP(D653,unit_serifs_i18n!C:F,4,FALSE)</f>
        <v>アイディアが溢れるぅ</v>
      </c>
    </row>
    <row r="654" spans="1:6" x14ac:dyDescent="0.15">
      <c r="A654" s="39">
        <v>319</v>
      </c>
      <c r="B654" s="9" t="str">
        <f>VLOOKUP(A654,[1]characters!$A:$C,3,FALSE)</f>
        <v>夢想の学士 シャルル</v>
      </c>
      <c r="C654" s="40" t="s">
        <v>26</v>
      </c>
      <c r="D654" s="46" t="str">
        <f>D650</f>
        <v>3182</v>
      </c>
      <c r="E654" s="19" t="str">
        <f>VLOOKUP(D654,unit_serifs_i18n!C:E,3,FALSE)</f>
        <v>kumo</v>
      </c>
      <c r="F654" s="19" t="str">
        <f>VLOOKUP(D654,unit_serifs_i18n!C:F,4,FALSE)</f>
        <v>んもぅ…邪魔だなぁ〜</v>
      </c>
    </row>
    <row r="655" spans="1:6" x14ac:dyDescent="0.15">
      <c r="A655" s="11">
        <v>320</v>
      </c>
      <c r="B655" s="9" t="str">
        <f>VLOOKUP(A655,[1]characters!$A:$C,3,FALSE)</f>
        <v>烈志士 近藤勇</v>
      </c>
      <c r="C655" s="3" t="s">
        <v>25</v>
      </c>
      <c r="D655" s="42" t="str">
        <f>A655&amp;+(COUNTIF(A$32:A655,A655)-1)</f>
        <v>3200</v>
      </c>
      <c r="E655" s="19" t="str">
        <f>VLOOKUP(D655,unit_serifs_i18n!C:E,3,FALSE)</f>
        <v>kumo</v>
      </c>
      <c r="F655" s="19" t="str">
        <f>VLOOKUP(D655,unit_serifs_i18n!C:F,4,FALSE)</f>
        <v>俺を甘く見ないことだ…</v>
      </c>
    </row>
    <row r="656" spans="1:6" x14ac:dyDescent="0.15">
      <c r="A656" s="39">
        <v>320</v>
      </c>
      <c r="B656" s="9" t="str">
        <f>VLOOKUP(A656,[1]characters!$A:$C,3,FALSE)</f>
        <v>烈志士 近藤勇</v>
      </c>
      <c r="C656" s="40" t="s">
        <v>26</v>
      </c>
      <c r="D656" s="42" t="str">
        <f>A656&amp;+(COUNTIF(A$32:A656,A656)-1)</f>
        <v>3201</v>
      </c>
      <c r="E656" s="19" t="str">
        <f>VLOOKUP(D656,unit_serifs_i18n!C:E,3,FALSE)</f>
        <v>maru</v>
      </c>
      <c r="F656" s="19" t="str">
        <f>VLOOKUP(D656,unit_serifs_i18n!C:F,4,FALSE)</f>
        <v>斬り伏せるッ…！</v>
      </c>
    </row>
    <row r="657" spans="1:6" x14ac:dyDescent="0.15">
      <c r="A657" s="39">
        <v>320</v>
      </c>
      <c r="B657" s="9" t="str">
        <f>VLOOKUP(A657,[1]characters!$A:$C,3,FALSE)</f>
        <v>烈志士 近藤勇</v>
      </c>
      <c r="C657" s="40" t="s">
        <v>26</v>
      </c>
      <c r="D657" s="42" t="str">
        <f>A657&amp;+(COUNTIF(A$32:A657,A657)-1)</f>
        <v>3202</v>
      </c>
      <c r="E657" s="19" t="str">
        <f>VLOOKUP(D657,unit_serifs_i18n!C:E,3,FALSE)</f>
        <v>kumo</v>
      </c>
      <c r="F657" s="19" t="str">
        <f>VLOOKUP(D657,unit_serifs_i18n!C:F,4,FALSE)</f>
        <v>御免…！</v>
      </c>
    </row>
    <row r="658" spans="1:6" x14ac:dyDescent="0.15">
      <c r="A658" s="11">
        <v>321</v>
      </c>
      <c r="B658" s="9" t="str">
        <f>VLOOKUP(A658,[1]characters!$A:$C,3,FALSE)</f>
        <v>巌鉄の烈志士 近藤勇</v>
      </c>
      <c r="C658" s="3" t="s">
        <v>25</v>
      </c>
      <c r="D658" s="42" t="str">
        <f>A658&amp;+(COUNTIF(A$32:A658,A658)-1)</f>
        <v>3210</v>
      </c>
      <c r="E658" s="19" t="str">
        <f>VLOOKUP(D658,unit_serifs_i18n!C:E,3,FALSE)</f>
        <v>giza</v>
      </c>
      <c r="F658" s="19" t="str">
        <f>VLOOKUP(D658,unit_serifs_i18n!C:F,4,FALSE)</f>
        <v>この死合、俺が預かる…！</v>
      </c>
    </row>
    <row r="659" spans="1:6" x14ac:dyDescent="0.15">
      <c r="A659" s="39">
        <v>321</v>
      </c>
      <c r="B659" s="9" t="str">
        <f>VLOOKUP(A659,[1]characters!$A:$C,3,FALSE)</f>
        <v>巌鉄の烈志士 近藤勇</v>
      </c>
      <c r="C659" s="40" t="s">
        <v>26</v>
      </c>
      <c r="D659" s="42" t="str">
        <f>A659&amp;+(COUNTIF(A$32:A659,A659)-1)</f>
        <v>3211</v>
      </c>
      <c r="E659" s="19" t="str">
        <f>VLOOKUP(D659,unit_serifs_i18n!C:E,3,FALSE)</f>
        <v>giza</v>
      </c>
      <c r="F659" s="19" t="str">
        <f>VLOOKUP(D659,unit_serifs_i18n!C:F,4,FALSE)</f>
        <v>我らの邪魔はさせん！</v>
      </c>
    </row>
    <row r="660" spans="1:6" x14ac:dyDescent="0.15">
      <c r="A660" s="39">
        <v>321</v>
      </c>
      <c r="B660" s="9" t="str">
        <f>VLOOKUP(A660,[1]characters!$A:$C,3,FALSE)</f>
        <v>巌鉄の烈志士 近藤勇</v>
      </c>
      <c r="C660" s="40" t="s">
        <v>26</v>
      </c>
      <c r="D660" s="46" t="str">
        <f>D656</f>
        <v>3201</v>
      </c>
      <c r="E660" s="19" t="str">
        <f>VLOOKUP(D660,unit_serifs_i18n!C:E,3,FALSE)</f>
        <v>maru</v>
      </c>
      <c r="F660" s="19" t="str">
        <f>VLOOKUP(D660,unit_serifs_i18n!C:F,4,FALSE)</f>
        <v>斬り伏せるッ…！</v>
      </c>
    </row>
    <row r="661" spans="1:6" x14ac:dyDescent="0.15">
      <c r="A661" s="39">
        <v>321</v>
      </c>
      <c r="B661" s="9" t="str">
        <f>VLOOKUP(A661,[1]characters!$A:$C,3,FALSE)</f>
        <v>巌鉄の烈志士 近藤勇</v>
      </c>
      <c r="C661" s="40" t="s">
        <v>26</v>
      </c>
      <c r="D661" s="46" t="str">
        <f>D657</f>
        <v>3202</v>
      </c>
      <c r="E661" s="19" t="str">
        <f>VLOOKUP(D661,unit_serifs_i18n!C:E,3,FALSE)</f>
        <v>kumo</v>
      </c>
      <c r="F661" s="19" t="str">
        <f>VLOOKUP(D661,unit_serifs_i18n!C:F,4,FALSE)</f>
        <v>御免…！</v>
      </c>
    </row>
    <row r="662" spans="1:6" x14ac:dyDescent="0.15">
      <c r="A662" s="11">
        <v>322</v>
      </c>
      <c r="B662" s="9" t="str">
        <f>VLOOKUP(A662,[1]characters!$A:$C,3,FALSE)</f>
        <v>愛志士 土方歳三</v>
      </c>
      <c r="C662" s="3" t="s">
        <v>25</v>
      </c>
      <c r="D662" s="42" t="str">
        <f>A662&amp;+(COUNTIF(A$32:A662,A662)-1)</f>
        <v>3220</v>
      </c>
      <c r="E662" s="19" t="str">
        <f>VLOOKUP(D662,unit_serifs_i18n!C:E,3,FALSE)</f>
        <v>maru</v>
      </c>
      <c r="F662" s="19" t="str">
        <f>VLOOKUP(D662,unit_serifs_i18n!C:F,4,FALSE)</f>
        <v>何度でもお相手しましょう</v>
      </c>
    </row>
    <row r="663" spans="1:6" x14ac:dyDescent="0.15">
      <c r="A663" s="39">
        <v>322</v>
      </c>
      <c r="B663" s="9" t="str">
        <f>VLOOKUP(A663,[1]characters!$A:$C,3,FALSE)</f>
        <v>愛志士 土方歳三</v>
      </c>
      <c r="C663" s="40" t="s">
        <v>26</v>
      </c>
      <c r="D663" s="42" t="str">
        <f>A663&amp;+(COUNTIF(A$32:A663,A663)-1)</f>
        <v>3221</v>
      </c>
      <c r="E663" s="19" t="str">
        <f>VLOOKUP(D663,unit_serifs_i18n!C:E,3,FALSE)</f>
        <v>giza</v>
      </c>
      <c r="F663" s="19" t="str">
        <f>VLOOKUP(D663,unit_serifs_i18n!C:F,4,FALSE)</f>
        <v>斬れぬものなどない！</v>
      </c>
    </row>
    <row r="664" spans="1:6" x14ac:dyDescent="0.15">
      <c r="A664" s="39">
        <v>322</v>
      </c>
      <c r="B664" s="9" t="str">
        <f>VLOOKUP(A664,[1]characters!$A:$C,3,FALSE)</f>
        <v>愛志士 土方歳三</v>
      </c>
      <c r="C664" s="40" t="s">
        <v>26</v>
      </c>
      <c r="D664" s="42" t="str">
        <f>A664&amp;+(COUNTIF(A$32:A664,A664)-1)</f>
        <v>3222</v>
      </c>
      <c r="E664" s="19" t="str">
        <f>VLOOKUP(D664,unit_serifs_i18n!C:E,3,FALSE)</f>
        <v>giza</v>
      </c>
      <c r="F664" s="19" t="str">
        <f>VLOOKUP(D664,unit_serifs_i18n!C:F,4,FALSE)</f>
        <v>私の剣は無限！</v>
      </c>
    </row>
    <row r="665" spans="1:6" x14ac:dyDescent="0.15">
      <c r="A665" s="11">
        <v>323</v>
      </c>
      <c r="B665" s="9" t="str">
        <f>VLOOKUP(A665,[1]characters!$A:$C,3,FALSE)</f>
        <v>流麗の愛志士 土方歳三</v>
      </c>
      <c r="C665" s="3" t="s">
        <v>25</v>
      </c>
      <c r="D665" s="42" t="str">
        <f>A665&amp;+(COUNTIF(A$32:A665,A665)-1)</f>
        <v>3230</v>
      </c>
      <c r="E665" s="19" t="str">
        <f>VLOOKUP(D665,unit_serifs_i18n!C:E,3,FALSE)</f>
        <v>maru</v>
      </c>
      <c r="F665" s="19" t="str">
        <f>VLOOKUP(D665,unit_serifs_i18n!C:F,4,FALSE)</f>
        <v>鬼の土方が見たいと…？</v>
      </c>
    </row>
    <row r="666" spans="1:6" x14ac:dyDescent="0.15">
      <c r="A666" s="39">
        <v>323</v>
      </c>
      <c r="B666" s="9" t="str">
        <f>VLOOKUP(A666,[1]characters!$A:$C,3,FALSE)</f>
        <v>流麗の愛志士 土方歳三</v>
      </c>
      <c r="C666" s="40" t="s">
        <v>26</v>
      </c>
      <c r="D666" s="42" t="str">
        <f>A666&amp;+(COUNTIF(A$32:A666,A666)-1)</f>
        <v>3231</v>
      </c>
      <c r="E666" s="19" t="str">
        <f>VLOOKUP(D666,unit_serifs_i18n!C:E,3,FALSE)</f>
        <v>maru</v>
      </c>
      <c r="F666" s="19" t="str">
        <f>VLOOKUP(D666,unit_serifs_i18n!C:F,4,FALSE)</f>
        <v>隠れたつもりですか？</v>
      </c>
    </row>
    <row r="667" spans="1:6" x14ac:dyDescent="0.15">
      <c r="A667" s="39">
        <v>323</v>
      </c>
      <c r="B667" s="9" t="str">
        <f>VLOOKUP(A667,[1]characters!$A:$C,3,FALSE)</f>
        <v>流麗の愛志士 土方歳三</v>
      </c>
      <c r="C667" s="40" t="s">
        <v>26</v>
      </c>
      <c r="D667" s="46" t="str">
        <f>D663</f>
        <v>3221</v>
      </c>
      <c r="E667" s="19" t="str">
        <f>VLOOKUP(D667,unit_serifs_i18n!C:E,3,FALSE)</f>
        <v>giza</v>
      </c>
      <c r="F667" s="19" t="str">
        <f>VLOOKUP(D667,unit_serifs_i18n!C:F,4,FALSE)</f>
        <v>斬れぬものなどない！</v>
      </c>
    </row>
    <row r="668" spans="1:6" x14ac:dyDescent="0.15">
      <c r="A668" s="39">
        <v>323</v>
      </c>
      <c r="B668" s="9" t="str">
        <f>VLOOKUP(A668,[1]characters!$A:$C,3,FALSE)</f>
        <v>流麗の愛志士 土方歳三</v>
      </c>
      <c r="C668" s="40" t="s">
        <v>26</v>
      </c>
      <c r="D668" s="46" t="str">
        <f>D664</f>
        <v>3222</v>
      </c>
      <c r="E668" s="19" t="str">
        <f>VLOOKUP(D668,unit_serifs_i18n!C:E,3,FALSE)</f>
        <v>giza</v>
      </c>
      <c r="F668" s="19" t="str">
        <f>VLOOKUP(D668,unit_serifs_i18n!C:F,4,FALSE)</f>
        <v>私の剣は無限！</v>
      </c>
    </row>
    <row r="669" spans="1:6" x14ac:dyDescent="0.15">
      <c r="A669" s="11">
        <v>324</v>
      </c>
      <c r="B669" s="9" t="str">
        <f>VLOOKUP(A669,[1]characters!$A:$C,3,FALSE)</f>
        <v>凛志士 沖田総司</v>
      </c>
      <c r="C669" s="3" t="s">
        <v>25</v>
      </c>
      <c r="D669" s="42" t="str">
        <f>A669&amp;+(COUNTIF(A$32:A669,A669)-1)</f>
        <v>3240</v>
      </c>
      <c r="E669" s="19" t="str">
        <f>VLOOKUP(D669,unit_serifs_i18n!C:E,3,FALSE)</f>
        <v>giza</v>
      </c>
      <c r="F669" s="19" t="str">
        <f>VLOOKUP(D669,unit_serifs_i18n!C:F,4,FALSE)</f>
        <v>あたしが対処します！</v>
      </c>
    </row>
    <row r="670" spans="1:6" x14ac:dyDescent="0.15">
      <c r="A670" s="39">
        <v>324</v>
      </c>
      <c r="B670" s="9" t="str">
        <f>VLOOKUP(A670,[1]characters!$A:$C,3,FALSE)</f>
        <v>凛志士 沖田総司</v>
      </c>
      <c r="C670" s="40" t="s">
        <v>26</v>
      </c>
      <c r="D670" s="42" t="str">
        <f>A670&amp;+(COUNTIF(A$32:A670,A670)-1)</f>
        <v>3241</v>
      </c>
      <c r="E670" s="19" t="str">
        <f>VLOOKUP(D670,unit_serifs_i18n!C:E,3,FALSE)</f>
        <v>kumo</v>
      </c>
      <c r="F670" s="19" t="str">
        <f>VLOOKUP(D670,unit_serifs_i18n!C:F,4,FALSE)</f>
        <v>死んだ気になれば…！</v>
      </c>
    </row>
    <row r="671" spans="1:6" x14ac:dyDescent="0.15">
      <c r="A671" s="39">
        <v>324</v>
      </c>
      <c r="B671" s="9" t="str">
        <f>VLOOKUP(A671,[1]characters!$A:$C,3,FALSE)</f>
        <v>凛志士 沖田総司</v>
      </c>
      <c r="C671" s="40" t="s">
        <v>26</v>
      </c>
      <c r="D671" s="42" t="str">
        <f>A671&amp;+(COUNTIF(A$32:A671,A671)-1)</f>
        <v>3242</v>
      </c>
      <c r="E671" s="19" t="str">
        <f>VLOOKUP(D671,unit_serifs_i18n!C:E,3,FALSE)</f>
        <v>giza</v>
      </c>
      <c r="F671" s="19" t="str">
        <f>VLOOKUP(D671,unit_serifs_i18n!C:F,4,FALSE)</f>
        <v>最期まで勝機はある！</v>
      </c>
    </row>
    <row r="672" spans="1:6" x14ac:dyDescent="0.15">
      <c r="A672" s="11">
        <v>325</v>
      </c>
      <c r="B672" s="9" t="str">
        <f>VLOOKUP(A672,[1]characters!$A:$C,3,FALSE)</f>
        <v>天賦の凛志士 沖田総司</v>
      </c>
      <c r="C672" s="3" t="s">
        <v>25</v>
      </c>
      <c r="D672" s="42" t="str">
        <f>A672&amp;+(COUNTIF(A$32:A672,A672)-1)</f>
        <v>3250</v>
      </c>
      <c r="E672" s="19" t="str">
        <f>VLOOKUP(D672,unit_serifs_i18n!C:E,3,FALSE)</f>
        <v>kumo</v>
      </c>
      <c r="F672" s="19" t="str">
        <f>VLOOKUP(D672,unit_serifs_i18n!C:F,4,FALSE)</f>
        <v>卑怯者は許さないから！！</v>
      </c>
    </row>
    <row r="673" spans="1:6" x14ac:dyDescent="0.15">
      <c r="A673" s="39">
        <v>325</v>
      </c>
      <c r="B673" s="9" t="str">
        <f>VLOOKUP(A673,[1]characters!$A:$C,3,FALSE)</f>
        <v>天賦の凛志士 沖田総司</v>
      </c>
      <c r="C673" s="40" t="s">
        <v>26</v>
      </c>
      <c r="D673" s="42" t="str">
        <f>A673&amp;+(COUNTIF(A$32:A673,A673)-1)</f>
        <v>3251</v>
      </c>
      <c r="E673" s="19" t="str">
        <f>VLOOKUP(D673,unit_serifs_i18n!C:E,3,FALSE)</f>
        <v>giza</v>
      </c>
      <c r="F673" s="19" t="str">
        <f>VLOOKUP(D673,unit_serifs_i18n!C:F,4,FALSE)</f>
        <v>倒れていられないの！</v>
      </c>
    </row>
    <row r="674" spans="1:6" x14ac:dyDescent="0.15">
      <c r="A674" s="39">
        <v>325</v>
      </c>
      <c r="B674" s="9" t="str">
        <f>VLOOKUP(A674,[1]characters!$A:$C,3,FALSE)</f>
        <v>天賦の凛志士 沖田総司</v>
      </c>
      <c r="C674" s="40" t="s">
        <v>26</v>
      </c>
      <c r="D674" s="46" t="str">
        <f>D670</f>
        <v>3241</v>
      </c>
      <c r="E674" s="19" t="str">
        <f>VLOOKUP(D674,unit_serifs_i18n!C:E,3,FALSE)</f>
        <v>kumo</v>
      </c>
      <c r="F674" s="19" t="str">
        <f>VLOOKUP(D674,unit_serifs_i18n!C:F,4,FALSE)</f>
        <v>死んだ気になれば…！</v>
      </c>
    </row>
    <row r="675" spans="1:6" x14ac:dyDescent="0.15">
      <c r="A675" s="39">
        <v>325</v>
      </c>
      <c r="B675" s="9" t="str">
        <f>VLOOKUP(A675,[1]characters!$A:$C,3,FALSE)</f>
        <v>天賦の凛志士 沖田総司</v>
      </c>
      <c r="C675" s="40" t="s">
        <v>26</v>
      </c>
      <c r="D675" s="46" t="str">
        <f>D671</f>
        <v>3242</v>
      </c>
      <c r="E675" s="19" t="str">
        <f>VLOOKUP(D675,unit_serifs_i18n!C:E,3,FALSE)</f>
        <v>giza</v>
      </c>
      <c r="F675" s="19" t="str">
        <f>VLOOKUP(D675,unit_serifs_i18n!C:F,4,FALSE)</f>
        <v>最期まで勝機はある！</v>
      </c>
    </row>
    <row r="676" spans="1:6" x14ac:dyDescent="0.15">
      <c r="A676" s="11">
        <v>326</v>
      </c>
      <c r="B676" s="9" t="str">
        <f>VLOOKUP(A676,[1]characters!$A:$C,3,FALSE)</f>
        <v>妖志士 斎藤一</v>
      </c>
      <c r="C676" s="3" t="s">
        <v>25</v>
      </c>
      <c r="D676" s="42" t="str">
        <f>A676&amp;+(COUNTIF(A$32:A676,A676)-1)</f>
        <v>3260</v>
      </c>
      <c r="E676" s="19" t="str">
        <f>VLOOKUP(D676,unit_serifs_i18n!C:E,3,FALSE)</f>
        <v>maru</v>
      </c>
      <c r="F676" s="19" t="str">
        <f>VLOOKUP(D676,unit_serifs_i18n!C:F,4,FALSE)</f>
        <v>…手品は好きかい？</v>
      </c>
    </row>
    <row r="677" spans="1:6" x14ac:dyDescent="0.15">
      <c r="A677" s="39">
        <v>326</v>
      </c>
      <c r="B677" s="9" t="str">
        <f>VLOOKUP(A677,[1]characters!$A:$C,3,FALSE)</f>
        <v>妖志士 斎藤一</v>
      </c>
      <c r="C677" s="40" t="s">
        <v>26</v>
      </c>
      <c r="D677" s="42" t="str">
        <f>A677&amp;+(COUNTIF(A$32:A677,A677)-1)</f>
        <v>3261</v>
      </c>
      <c r="E677" s="19" t="str">
        <f>VLOOKUP(D677,unit_serifs_i18n!C:E,3,FALSE)</f>
        <v>kumo</v>
      </c>
      <c r="F677" s="19" t="str">
        <f>VLOOKUP(D677,unit_serifs_i18n!C:F,4,FALSE)</f>
        <v>屍になるのは早いか</v>
      </c>
    </row>
    <row r="678" spans="1:6" x14ac:dyDescent="0.15">
      <c r="A678" s="39">
        <v>326</v>
      </c>
      <c r="B678" s="9" t="str">
        <f>VLOOKUP(A678,[1]characters!$A:$C,3,FALSE)</f>
        <v>妖志士 斎藤一</v>
      </c>
      <c r="C678" s="40" t="s">
        <v>26</v>
      </c>
      <c r="D678" s="42" t="str">
        <f>A678&amp;+(COUNTIF(A$32:A678,A678)-1)</f>
        <v>3262</v>
      </c>
      <c r="E678" s="19" t="str">
        <f>VLOOKUP(D678,unit_serifs_i18n!C:E,3,FALSE)</f>
        <v>maru</v>
      </c>
      <c r="F678" s="19" t="str">
        <f>VLOOKUP(D678,unit_serifs_i18n!C:F,4,FALSE)</f>
        <v>めでたい奴らだな</v>
      </c>
    </row>
    <row r="679" spans="1:6" x14ac:dyDescent="0.15">
      <c r="A679" s="11">
        <v>327</v>
      </c>
      <c r="B679" s="9" t="str">
        <f>VLOOKUP(A679,[1]characters!$A:$C,3,FALSE)</f>
        <v>千殺の妖志士 斎藤一</v>
      </c>
      <c r="C679" s="3" t="s">
        <v>25</v>
      </c>
      <c r="D679" s="42" t="str">
        <f>A679&amp;+(COUNTIF(A$32:A679,A679)-1)</f>
        <v>3270</v>
      </c>
      <c r="E679" s="19" t="str">
        <f>VLOOKUP(D679,unit_serifs_i18n!C:E,3,FALSE)</f>
        <v>kumo</v>
      </c>
      <c r="F679" s="19" t="str">
        <f>VLOOKUP(D679,unit_serifs_i18n!C:F,4,FALSE)</f>
        <v>手加減はしない主義でね</v>
      </c>
    </row>
    <row r="680" spans="1:6" x14ac:dyDescent="0.15">
      <c r="A680" s="39">
        <v>327</v>
      </c>
      <c r="B680" s="9" t="str">
        <f>VLOOKUP(A680,[1]characters!$A:$C,3,FALSE)</f>
        <v>千殺の妖志士 斎藤一</v>
      </c>
      <c r="C680" s="40" t="s">
        <v>26</v>
      </c>
      <c r="D680" s="42" t="str">
        <f>A680&amp;+(COUNTIF(A$32:A680,A680)-1)</f>
        <v>3271</v>
      </c>
      <c r="E680" s="19" t="str">
        <f>VLOOKUP(D680,unit_serifs_i18n!C:E,3,FALSE)</f>
        <v>giza</v>
      </c>
      <c r="F680" s="19" t="str">
        <f>VLOOKUP(D680,unit_serifs_i18n!C:F,4,FALSE)</f>
        <v>ほら、冥土の土産だ</v>
      </c>
    </row>
    <row r="681" spans="1:6" x14ac:dyDescent="0.15">
      <c r="A681" s="39">
        <v>327</v>
      </c>
      <c r="B681" s="9" t="str">
        <f>VLOOKUP(A681,[1]characters!$A:$C,3,FALSE)</f>
        <v>千殺の妖志士 斎藤一</v>
      </c>
      <c r="C681" s="40" t="s">
        <v>26</v>
      </c>
      <c r="D681" s="46" t="str">
        <f>D677</f>
        <v>3261</v>
      </c>
      <c r="E681" s="19" t="str">
        <f>VLOOKUP(D681,unit_serifs_i18n!C:E,3,FALSE)</f>
        <v>kumo</v>
      </c>
      <c r="F681" s="19" t="str">
        <f>VLOOKUP(D681,unit_serifs_i18n!C:F,4,FALSE)</f>
        <v>屍になるのは早いか</v>
      </c>
    </row>
    <row r="682" spans="1:6" x14ac:dyDescent="0.15">
      <c r="A682" s="39">
        <v>327</v>
      </c>
      <c r="B682" s="9" t="str">
        <f>VLOOKUP(A682,[1]characters!$A:$C,3,FALSE)</f>
        <v>千殺の妖志士 斎藤一</v>
      </c>
      <c r="C682" s="40" t="s">
        <v>26</v>
      </c>
      <c r="D682" s="46" t="str">
        <f>D678</f>
        <v>3262</v>
      </c>
      <c r="E682" s="19" t="str">
        <f>VLOOKUP(D682,unit_serifs_i18n!C:E,3,FALSE)</f>
        <v>maru</v>
      </c>
      <c r="F682" s="19" t="str">
        <f>VLOOKUP(D682,unit_serifs_i18n!C:F,4,FALSE)</f>
        <v>めでたい奴らだな</v>
      </c>
    </row>
    <row r="683" spans="1:6" x14ac:dyDescent="0.15">
      <c r="A683" s="11">
        <v>368</v>
      </c>
      <c r="B683" s="9" t="str">
        <f>VLOOKUP(A683,[1]characters!$A:$C,3,FALSE)</f>
        <v>ボイル</v>
      </c>
      <c r="C683" s="3" t="s">
        <v>25</v>
      </c>
      <c r="D683" s="42" t="str">
        <f>A683&amp;+(COUNTIF(A$32:A683,A683)-1)</f>
        <v>3680</v>
      </c>
      <c r="E683" s="19" t="str">
        <f>VLOOKUP(D683,unit_serifs_i18n!C:E,3,FALSE)</f>
        <v>giza</v>
      </c>
      <c r="F683" s="19" t="str">
        <f>VLOOKUP(D683,unit_serifs_i18n!C:F,4,FALSE)</f>
        <v>この腕で照らしてやるよ！</v>
      </c>
    </row>
    <row r="684" spans="1:6" x14ac:dyDescent="0.15">
      <c r="A684" s="39">
        <v>368</v>
      </c>
      <c r="B684" s="9" t="str">
        <f>VLOOKUP(A684,[1]characters!$A:$C,3,FALSE)</f>
        <v>ボイル</v>
      </c>
      <c r="C684" s="40" t="s">
        <v>26</v>
      </c>
      <c r="D684" s="42" t="str">
        <f>A684&amp;+(COUNTIF(A$32:A684,A684)-1)</f>
        <v>3681</v>
      </c>
      <c r="E684" s="19" t="str">
        <f>VLOOKUP(D684,unit_serifs_i18n!C:E,3,FALSE)</f>
        <v>maru</v>
      </c>
      <c r="F684" s="19" t="str">
        <f>VLOOKUP(D684,unit_serifs_i18n!C:F,4,FALSE)</f>
        <v>弾なら無尽蔵さ！</v>
      </c>
    </row>
    <row r="685" spans="1:6" x14ac:dyDescent="0.15">
      <c r="A685" s="39">
        <v>368</v>
      </c>
      <c r="B685" s="9" t="str">
        <f>VLOOKUP(A685,[1]characters!$A:$C,3,FALSE)</f>
        <v>ボイル</v>
      </c>
      <c r="C685" s="40" t="s">
        <v>26</v>
      </c>
      <c r="D685" s="42" t="str">
        <f>A685&amp;+(COUNTIF(A$32:A685,A685)-1)</f>
        <v>3682</v>
      </c>
      <c r="E685" s="19" t="str">
        <f>VLOOKUP(D685,unit_serifs_i18n!C:E,3,FALSE)</f>
        <v>giza</v>
      </c>
      <c r="F685" s="19" t="str">
        <f>VLOOKUP(D685,unit_serifs_i18n!C:F,4,FALSE)</f>
        <v>腕一本で相手だよ！</v>
      </c>
    </row>
    <row r="686" spans="1:6" x14ac:dyDescent="0.15">
      <c r="A686" s="11">
        <v>369</v>
      </c>
      <c r="B686" s="9" t="str">
        <f>VLOOKUP(A686,[1]characters!$A:$C,3,FALSE)</f>
        <v>赫熱の重腕 ボイル</v>
      </c>
      <c r="C686" s="3" t="s">
        <v>25</v>
      </c>
      <c r="D686" s="42" t="str">
        <f>A686&amp;+(COUNTIF(A$32:A686,A686)-1)</f>
        <v>3690</v>
      </c>
      <c r="E686" s="19" t="str">
        <f>VLOOKUP(D686,unit_serifs_i18n!C:E,3,FALSE)</f>
        <v>giza</v>
      </c>
      <c r="F686" s="19" t="str">
        <f>VLOOKUP(D686,unit_serifs_i18n!C:F,4,FALSE)</f>
        <v>目が眩んでも知らないよ！</v>
      </c>
    </row>
    <row r="687" spans="1:6" x14ac:dyDescent="0.15">
      <c r="A687" s="39">
        <v>369</v>
      </c>
      <c r="B687" s="9" t="str">
        <f>VLOOKUP(A687,[1]characters!$A:$C,3,FALSE)</f>
        <v>赫熱の重腕 ボイル</v>
      </c>
      <c r="C687" s="40" t="s">
        <v>26</v>
      </c>
      <c r="D687" s="42" t="str">
        <f>A687&amp;+(COUNTIF(A$32:A687,A687)-1)</f>
        <v>3691</v>
      </c>
      <c r="E687" s="19" t="str">
        <f>VLOOKUP(D687,unit_serifs_i18n!C:E,3,FALSE)</f>
        <v>maru</v>
      </c>
      <c r="F687" s="19" t="str">
        <f>VLOOKUP(D687,unit_serifs_i18n!C:F,4,FALSE)</f>
        <v>十分熱したからさ…！</v>
      </c>
    </row>
    <row r="688" spans="1:6" x14ac:dyDescent="0.15">
      <c r="A688" s="39">
        <v>369</v>
      </c>
      <c r="B688" s="9" t="str">
        <f>VLOOKUP(A688,[1]characters!$A:$C,3,FALSE)</f>
        <v>赫熱の重腕 ボイル</v>
      </c>
      <c r="C688" s="40" t="s">
        <v>26</v>
      </c>
      <c r="D688" s="46" t="str">
        <f>D684</f>
        <v>3681</v>
      </c>
      <c r="E688" s="19" t="str">
        <f>VLOOKUP(D688,unit_serifs_i18n!C:E,3,FALSE)</f>
        <v>maru</v>
      </c>
      <c r="F688" s="19" t="str">
        <f>VLOOKUP(D688,unit_serifs_i18n!C:F,4,FALSE)</f>
        <v>弾なら無尽蔵さ！</v>
      </c>
    </row>
    <row r="689" spans="1:6" x14ac:dyDescent="0.15">
      <c r="A689" s="39">
        <v>369</v>
      </c>
      <c r="B689" s="9" t="str">
        <f>VLOOKUP(A689,[1]characters!$A:$C,3,FALSE)</f>
        <v>赫熱の重腕 ボイル</v>
      </c>
      <c r="C689" s="40" t="s">
        <v>26</v>
      </c>
      <c r="D689" s="46" t="str">
        <f>D685</f>
        <v>3682</v>
      </c>
      <c r="E689" s="19" t="str">
        <f>VLOOKUP(D689,unit_serifs_i18n!C:E,3,FALSE)</f>
        <v>giza</v>
      </c>
      <c r="F689" s="19" t="str">
        <f>VLOOKUP(D689,unit_serifs_i18n!C:F,4,FALSE)</f>
        <v>腕一本で相手だよ！</v>
      </c>
    </row>
    <row r="690" spans="1:6" x14ac:dyDescent="0.15">
      <c r="A690" s="11">
        <v>376</v>
      </c>
      <c r="B690" s="9" t="str">
        <f>VLOOKUP(A690,[1]characters!$A:$C,3,FALSE)</f>
        <v>勘兵衛</v>
      </c>
      <c r="C690" s="73" t="s">
        <v>25</v>
      </c>
      <c r="D690" s="42" t="str">
        <f>A690&amp;+(COUNTIF(A$32:A690,A690)-1)</f>
        <v>3760</v>
      </c>
      <c r="E690" s="19" t="str">
        <f>VLOOKUP(D690,unit_serifs_i18n!C:E,3,FALSE)</f>
        <v>giza</v>
      </c>
      <c r="F690" s="19" t="str">
        <f>VLOOKUP(D690,unit_serifs_i18n!C:F,4,FALSE)</f>
        <v>こいこいでござる！</v>
      </c>
    </row>
    <row r="691" spans="1:6" x14ac:dyDescent="0.15">
      <c r="A691" s="11">
        <v>376</v>
      </c>
      <c r="B691" s="9" t="str">
        <f>VLOOKUP(A691,[1]characters!$A:$C,3,FALSE)</f>
        <v>勘兵衛</v>
      </c>
      <c r="C691" s="40" t="s">
        <v>26</v>
      </c>
      <c r="D691" s="42" t="str">
        <f>A691&amp;+(COUNTIF(A$32:A691,A691)-1)</f>
        <v>3761</v>
      </c>
      <c r="E691" s="19" t="str">
        <f>VLOOKUP(D691,unit_serifs_i18n!C:E,3,FALSE)</f>
        <v>giza</v>
      </c>
      <c r="F691" s="19" t="str">
        <f>VLOOKUP(D691,unit_serifs_i18n!C:F,4,FALSE)</f>
        <v>紅葉に鹿！</v>
      </c>
    </row>
    <row r="692" spans="1:6" x14ac:dyDescent="0.15">
      <c r="A692" s="11">
        <v>377</v>
      </c>
      <c r="B692" s="9" t="str">
        <f>VLOOKUP(A692,[1]characters!$A:$C,3,FALSE)</f>
        <v>光明鹿剣 勘兵衛</v>
      </c>
      <c r="C692" s="73" t="s">
        <v>25</v>
      </c>
      <c r="D692" s="42" t="str">
        <f>A692&amp;+(COUNTIF(A$32:A692,A692)-1)</f>
        <v>3770</v>
      </c>
      <c r="E692" s="19" t="str">
        <f>VLOOKUP(D692,unit_serifs_i18n!C:E,3,FALSE)</f>
        <v>giza</v>
      </c>
      <c r="F692" s="19" t="str">
        <f>VLOOKUP(D692,unit_serifs_i18n!C:F,4,FALSE)</f>
        <v>猪鹿蝶！揃ったでござる！</v>
      </c>
    </row>
    <row r="693" spans="1:6" x14ac:dyDescent="0.15">
      <c r="A693" s="11">
        <v>377</v>
      </c>
      <c r="B693" s="9" t="str">
        <f>VLOOKUP(A693,[1]characters!$A:$C,3,FALSE)</f>
        <v>光明鹿剣 勘兵衛</v>
      </c>
      <c r="C693" s="40" t="s">
        <v>26</v>
      </c>
      <c r="D693" s="42" t="str">
        <f>A693&amp;+(COUNTIF(A$32:A693,A693)-1)</f>
        <v>3771</v>
      </c>
      <c r="E693" s="19" t="str">
        <f>VLOOKUP(D693,unit_serifs_i18n!C:E,3,FALSE)</f>
        <v>giza</v>
      </c>
      <c r="F693" s="19" t="str">
        <f>VLOOKUP(D693,unit_serifs_i18n!C:F,4,FALSE)</f>
        <v>牡丹に蝶！</v>
      </c>
    </row>
    <row r="694" spans="1:6" x14ac:dyDescent="0.15">
      <c r="A694" s="11">
        <v>377</v>
      </c>
      <c r="B694" s="9" t="str">
        <f>VLOOKUP(A694,[1]characters!$A:$C,3,FALSE)</f>
        <v>光明鹿剣 勘兵衛</v>
      </c>
      <c r="C694" s="40" t="s">
        <v>26</v>
      </c>
      <c r="D694" s="42" t="str">
        <f>A694&amp;+(COUNTIF(A$32:A694,A694)-1)</f>
        <v>3772</v>
      </c>
      <c r="E694" s="19" t="str">
        <f>VLOOKUP(D694,unit_serifs_i18n!C:E,3,FALSE)</f>
        <v>giza</v>
      </c>
      <c r="F694" s="19" t="str">
        <f>VLOOKUP(D694,unit_serifs_i18n!C:F,4,FALSE)</f>
        <v>萩に猪！</v>
      </c>
    </row>
    <row r="695" spans="1:6" x14ac:dyDescent="0.15">
      <c r="A695" s="11">
        <v>377</v>
      </c>
      <c r="B695" s="9" t="str">
        <f>VLOOKUP(A695,[1]characters!$A:$C,3,FALSE)</f>
        <v>光明鹿剣 勘兵衛</v>
      </c>
      <c r="C695" s="40" t="s">
        <v>26</v>
      </c>
      <c r="D695" s="46" t="str">
        <f>D691</f>
        <v>3761</v>
      </c>
      <c r="E695" s="19" t="str">
        <f>VLOOKUP(D695,unit_serifs_i18n!C:E,3,FALSE)</f>
        <v>giza</v>
      </c>
      <c r="F695" s="19" t="str">
        <f>VLOOKUP(D695,unit_serifs_i18n!C:F,4,FALSE)</f>
        <v>紅葉に鹿！</v>
      </c>
    </row>
    <row r="696" spans="1:6" x14ac:dyDescent="0.15">
      <c r="A696" s="11">
        <v>378</v>
      </c>
      <c r="B696" s="9" t="str">
        <f>VLOOKUP(A696,[1]characters!$A:$C,3,FALSE)</f>
        <v>オイラー</v>
      </c>
      <c r="C696" s="3" t="s">
        <v>25</v>
      </c>
      <c r="D696" s="42" t="str">
        <f>A696&amp;+(COUNTIF(A$32:A696,A696)-1)</f>
        <v>3780</v>
      </c>
      <c r="E696" s="19" t="str">
        <f>VLOOKUP(D696,unit_serifs_i18n!C:E,3,FALSE)</f>
        <v>maru</v>
      </c>
      <c r="F696" s="19" t="str">
        <f>VLOOKUP(D696,unit_serifs_i18n!C:F,4,FALSE)</f>
        <v>戦いは楽しまなくちゃね？</v>
      </c>
    </row>
    <row r="697" spans="1:6" x14ac:dyDescent="0.15">
      <c r="A697" s="39">
        <v>378</v>
      </c>
      <c r="B697" s="9" t="str">
        <f>VLOOKUP(A697,[1]characters!$A:$C,3,FALSE)</f>
        <v>オイラー</v>
      </c>
      <c r="C697" s="40" t="s">
        <v>26</v>
      </c>
      <c r="D697" s="42" t="str">
        <f>A697&amp;+(COUNTIF(A$32:A697,A697)-1)</f>
        <v>3781</v>
      </c>
      <c r="E697" s="19" t="str">
        <f>VLOOKUP(D697,unit_serifs_i18n!C:E,3,FALSE)</f>
        <v>maru</v>
      </c>
      <c r="F697" s="19" t="str">
        <f>VLOOKUP(D697,unit_serifs_i18n!C:F,4,FALSE)</f>
        <v>全員そこに並びなさい</v>
      </c>
    </row>
    <row r="698" spans="1:6" x14ac:dyDescent="0.15">
      <c r="A698" s="39">
        <v>378</v>
      </c>
      <c r="B698" s="9" t="str">
        <f>VLOOKUP(A698,[1]characters!$A:$C,3,FALSE)</f>
        <v>オイラー</v>
      </c>
      <c r="C698" s="40" t="s">
        <v>26</v>
      </c>
      <c r="D698" s="42" t="str">
        <f>A698&amp;+(COUNTIF(A$32:A698,A698)-1)</f>
        <v>3782</v>
      </c>
      <c r="E698" s="19" t="str">
        <f>VLOOKUP(D698,unit_serifs_i18n!C:E,3,FALSE)</f>
        <v>maru</v>
      </c>
      <c r="F698" s="19" t="str">
        <f>VLOOKUP(D698,unit_serifs_i18n!C:F,4,FALSE)</f>
        <v>耐えてごらんなさい</v>
      </c>
    </row>
    <row r="699" spans="1:6" x14ac:dyDescent="0.15">
      <c r="A699" s="11">
        <v>379</v>
      </c>
      <c r="B699" s="9" t="str">
        <f>VLOOKUP(A699,[1]characters!$A:$C,3,FALSE)</f>
        <v>幾何の機刃 オイラー</v>
      </c>
      <c r="C699" s="3" t="s">
        <v>25</v>
      </c>
      <c r="D699" s="42" t="str">
        <f>A699&amp;+(COUNTIF(A$32:A699,A699)-1)</f>
        <v>3790</v>
      </c>
      <c r="E699" s="19" t="str">
        <f>VLOOKUP(D699,unit_serifs_i18n!C:E,3,FALSE)</f>
        <v>maru</v>
      </c>
      <c r="F699" s="19" t="str">
        <f>VLOOKUP(D699,unit_serifs_i18n!C:F,4,FALSE)</f>
        <v>さぁ、派手にかますわよ！</v>
      </c>
    </row>
    <row r="700" spans="1:6" x14ac:dyDescent="0.15">
      <c r="A700" s="39">
        <v>379</v>
      </c>
      <c r="B700" s="9" t="str">
        <f>VLOOKUP(A700,[1]characters!$A:$C,3,FALSE)</f>
        <v>幾何の機刃 オイラー</v>
      </c>
      <c r="C700" s="40" t="s">
        <v>26</v>
      </c>
      <c r="D700" s="42" t="str">
        <f>A700&amp;+(COUNTIF(A$32:A700,A700)-1)</f>
        <v>3791</v>
      </c>
      <c r="E700" s="19" t="str">
        <f>VLOOKUP(D700,unit_serifs_i18n!C:E,3,FALSE)</f>
        <v>kumo</v>
      </c>
      <c r="F700" s="19" t="str">
        <f>VLOOKUP(D700,unit_serifs_i18n!C:F,4,FALSE)</f>
        <v>手加減できないのよね</v>
      </c>
    </row>
    <row r="701" spans="1:6" x14ac:dyDescent="0.15">
      <c r="A701" s="39">
        <v>379</v>
      </c>
      <c r="B701" s="9" t="str">
        <f>VLOOKUP(A701,[1]characters!$A:$C,3,FALSE)</f>
        <v>幾何の機刃 オイラー</v>
      </c>
      <c r="C701" s="40" t="s">
        <v>26</v>
      </c>
      <c r="D701" s="46" t="str">
        <f>D697</f>
        <v>3781</v>
      </c>
      <c r="E701" s="19" t="str">
        <f>VLOOKUP(D701,unit_serifs_i18n!C:E,3,FALSE)</f>
        <v>maru</v>
      </c>
      <c r="F701" s="19" t="str">
        <f>VLOOKUP(D701,unit_serifs_i18n!C:F,4,FALSE)</f>
        <v>全員そこに並びなさい</v>
      </c>
    </row>
    <row r="702" spans="1:6" x14ac:dyDescent="0.15">
      <c r="A702" s="39">
        <v>379</v>
      </c>
      <c r="B702" s="9" t="str">
        <f>VLOOKUP(A702,[1]characters!$A:$C,3,FALSE)</f>
        <v>幾何の機刃 オイラー</v>
      </c>
      <c r="C702" s="40" t="s">
        <v>26</v>
      </c>
      <c r="D702" s="46" t="str">
        <f>D698</f>
        <v>3782</v>
      </c>
      <c r="E702" s="19" t="str">
        <f>VLOOKUP(D702,unit_serifs_i18n!C:E,3,FALSE)</f>
        <v>maru</v>
      </c>
      <c r="F702" s="19" t="str">
        <f>VLOOKUP(D702,unit_serifs_i18n!C:F,4,FALSE)</f>
        <v>耐えてごらんなさい</v>
      </c>
    </row>
    <row r="703" spans="1:6" x14ac:dyDescent="0.15">
      <c r="A703" s="11">
        <v>798</v>
      </c>
      <c r="B703" s="9" t="str">
        <f>VLOOKUP(A703,[1]characters!$A:$C,3,FALSE)</f>
        <v>煌式の大機刃 オイラー</v>
      </c>
      <c r="C703" s="3" t="s">
        <v>25</v>
      </c>
      <c r="D703" s="42" t="str">
        <f>A703&amp;+(COUNTIF(A$32:A703,A703)-1)</f>
        <v>7980</v>
      </c>
      <c r="E703" s="19" t="str">
        <f>VLOOKUP(D703,unit_serifs_i18n!C:E,3,FALSE)</f>
        <v>maru</v>
      </c>
      <c r="F703" s="19" t="str">
        <f>VLOOKUP(D703,unit_serifs_i18n!C:F,4,FALSE)</f>
        <v>パーティタイム…開始よ！</v>
      </c>
    </row>
    <row r="704" spans="1:6" x14ac:dyDescent="0.15">
      <c r="A704" s="11">
        <v>798</v>
      </c>
      <c r="B704" s="9" t="str">
        <f>VLOOKUP(A704,[1]characters!$A:$C,3,FALSE)</f>
        <v>煌式の大機刃 オイラー</v>
      </c>
      <c r="C704" s="40" t="s">
        <v>26</v>
      </c>
      <c r="D704" s="42" t="str">
        <f>A704&amp;+(COUNTIF(A$32:A704,A704)-1)</f>
        <v>7981</v>
      </c>
      <c r="E704" s="19" t="str">
        <f>VLOOKUP(D704,unit_serifs_i18n!C:E,3,FALSE)</f>
        <v>maru</v>
      </c>
      <c r="F704" s="19" t="str">
        <f>VLOOKUP(D704,unit_serifs_i18n!C:F,4,FALSE)</f>
        <v>耐えたら褒めてあげる</v>
      </c>
    </row>
    <row r="705" spans="1:6" x14ac:dyDescent="0.15">
      <c r="A705" s="11">
        <v>798</v>
      </c>
      <c r="B705" s="9" t="str">
        <f>VLOOKUP(A705,[1]characters!$A:$C,3,FALSE)</f>
        <v>煌式の大機刃 オイラー</v>
      </c>
      <c r="C705" s="40" t="s">
        <v>990</v>
      </c>
      <c r="D705" s="46" t="str">
        <f>D701</f>
        <v>3781</v>
      </c>
      <c r="E705" s="19" t="str">
        <f>VLOOKUP(D705,unit_serifs_i18n!C:E,3,FALSE)</f>
        <v>maru</v>
      </c>
      <c r="F705" s="19" t="str">
        <f>VLOOKUP(D705,unit_serifs_i18n!C:F,4,FALSE)</f>
        <v>全員そこに並びなさい</v>
      </c>
    </row>
    <row r="706" spans="1:6" x14ac:dyDescent="0.15">
      <c r="A706" s="11">
        <v>798</v>
      </c>
      <c r="B706" s="9" t="str">
        <f>VLOOKUP(A706,[1]characters!$A:$C,3,FALSE)</f>
        <v>煌式の大機刃 オイラー</v>
      </c>
      <c r="C706" s="40" t="s">
        <v>26</v>
      </c>
      <c r="D706" s="46" t="str">
        <f>D702</f>
        <v>3782</v>
      </c>
      <c r="E706" s="19" t="str">
        <f>VLOOKUP(D706,unit_serifs_i18n!C:E,3,FALSE)</f>
        <v>maru</v>
      </c>
      <c r="F706" s="19" t="str">
        <f>VLOOKUP(D706,unit_serifs_i18n!C:F,4,FALSE)</f>
        <v>耐えてごらんなさい</v>
      </c>
    </row>
    <row r="707" spans="1:6" x14ac:dyDescent="0.15">
      <c r="A707" s="11">
        <v>798</v>
      </c>
      <c r="B707" s="9" t="str">
        <f>VLOOKUP(A707,[1]characters!$A:$C,3,FALSE)</f>
        <v>煌式の大機刃 オイラー</v>
      </c>
      <c r="C707" s="40" t="s">
        <v>26</v>
      </c>
      <c r="D707" s="46" t="str">
        <f>D700</f>
        <v>3791</v>
      </c>
      <c r="E707" s="19" t="str">
        <f>VLOOKUP(D707,unit_serifs_i18n!C:E,3,FALSE)</f>
        <v>kumo</v>
      </c>
      <c r="F707" s="19" t="str">
        <f>VLOOKUP(D707,unit_serifs_i18n!C:F,4,FALSE)</f>
        <v>手加減できないのよね</v>
      </c>
    </row>
    <row r="708" spans="1:6" x14ac:dyDescent="0.15">
      <c r="A708" s="11">
        <v>374</v>
      </c>
      <c r="B708" s="9" t="str">
        <f>VLOOKUP(A708,[1]characters!$A:$C,3,FALSE)</f>
        <v>影丸</v>
      </c>
      <c r="C708" s="3" t="s">
        <v>25</v>
      </c>
      <c r="D708" s="42" t="str">
        <f>A708&amp;+(COUNTIF(A$32:A708,A708)-1)</f>
        <v>3740</v>
      </c>
      <c r="E708" s="19" t="str">
        <f>VLOOKUP(D708,unit_serifs_i18n!C:E,3,FALSE)</f>
        <v>maru</v>
      </c>
      <c r="F708" s="19" t="str">
        <f>VLOOKUP(D708,unit_serifs_i18n!C:F,4,FALSE)</f>
        <v>この動き…見切れるか？</v>
      </c>
    </row>
    <row r="709" spans="1:6" x14ac:dyDescent="0.15">
      <c r="A709" s="11">
        <v>374</v>
      </c>
      <c r="B709" s="9" t="str">
        <f>VLOOKUP(A709,[1]characters!$A:$C,3,FALSE)</f>
        <v>影丸</v>
      </c>
      <c r="C709" s="40" t="s">
        <v>26</v>
      </c>
      <c r="D709" s="42" t="str">
        <f>A709&amp;+(COUNTIF(A$32:A709,A709)-1)</f>
        <v>3741</v>
      </c>
      <c r="E709" s="19" t="str">
        <f>VLOOKUP(D709,unit_serifs_i18n!C:E,3,FALSE)</f>
        <v>giza</v>
      </c>
      <c r="F709" s="19" t="str">
        <f>VLOOKUP(D709,unit_serifs_i18n!C:F,4,FALSE)</f>
        <v>隙ありだ！</v>
      </c>
    </row>
    <row r="710" spans="1:6" x14ac:dyDescent="0.15">
      <c r="A710" s="11">
        <v>375</v>
      </c>
      <c r="B710" s="9" t="str">
        <f>VLOOKUP(A710,[1]characters!$A:$C,3,FALSE)</f>
        <v>蒼術兎忍 影丸</v>
      </c>
      <c r="C710" s="3" t="s">
        <v>25</v>
      </c>
      <c r="D710" s="42" t="str">
        <f>A710&amp;+(COUNTIF(A$32:A710,A710)-1)</f>
        <v>3750</v>
      </c>
      <c r="E710" s="19" t="str">
        <f>VLOOKUP(D710,unit_serifs_i18n!C:E,3,FALSE)</f>
        <v>maru</v>
      </c>
      <c r="F710" s="19" t="str">
        <f>VLOOKUP(D710,unit_serifs_i18n!C:F,4,FALSE)</f>
        <v>忍びの力…舐めるなよ！</v>
      </c>
    </row>
    <row r="711" spans="1:6" x14ac:dyDescent="0.15">
      <c r="A711" s="11">
        <v>375</v>
      </c>
      <c r="B711" s="9" t="str">
        <f>VLOOKUP(A711,[1]characters!$A:$C,3,FALSE)</f>
        <v>蒼術兎忍 影丸</v>
      </c>
      <c r="C711" s="40" t="s">
        <v>26</v>
      </c>
      <c r="D711" s="42" t="str">
        <f>A711&amp;+(COUNTIF(A$32:A711,A711)-1)</f>
        <v>3751</v>
      </c>
      <c r="E711" s="19" t="str">
        <f>VLOOKUP(D711,unit_serifs_i18n!C:E,3,FALSE)</f>
        <v>giza</v>
      </c>
      <c r="F711" s="19" t="str">
        <f>VLOOKUP(D711,unit_serifs_i18n!C:F,4,FALSE)</f>
        <v>水よ、轟け！！</v>
      </c>
    </row>
    <row r="712" spans="1:6" x14ac:dyDescent="0.15">
      <c r="A712" s="11">
        <v>375</v>
      </c>
      <c r="B712" s="9" t="str">
        <f>VLOOKUP(A712,[1]characters!$A:$C,3,FALSE)</f>
        <v>蒼術兎忍 影丸</v>
      </c>
      <c r="C712" s="40" t="s">
        <v>26</v>
      </c>
      <c r="D712" s="46" t="str">
        <f>D709</f>
        <v>3741</v>
      </c>
      <c r="E712" s="19" t="str">
        <f>VLOOKUP(D712,unit_serifs_i18n!C:E,3,FALSE)</f>
        <v>giza</v>
      </c>
      <c r="F712" s="19" t="str">
        <f>VLOOKUP(D712,unit_serifs_i18n!C:F,4,FALSE)</f>
        <v>隙ありだ！</v>
      </c>
    </row>
    <row r="713" spans="1:6" x14ac:dyDescent="0.15">
      <c r="A713" s="11">
        <v>380</v>
      </c>
      <c r="B713" s="9" t="str">
        <f>VLOOKUP(A713,[1]characters!$A:$C,3,FALSE)</f>
        <v>バハムート</v>
      </c>
      <c r="C713" s="3" t="s">
        <v>25</v>
      </c>
      <c r="D713" s="42" t="str">
        <f>A713&amp;+(COUNTIF(A$32:A713,A713)-1)</f>
        <v>3800</v>
      </c>
      <c r="E713" s="19" t="str">
        <f>VLOOKUP(D713,unit_serifs_i18n!C:E,3,FALSE)</f>
        <v>giza</v>
      </c>
      <c r="F713" s="19" t="str">
        <f>VLOOKUP(D713,unit_serifs_i18n!C:F,4,FALSE)</f>
        <v>恋愛成分が足りないのっ！</v>
      </c>
    </row>
    <row r="714" spans="1:6" x14ac:dyDescent="0.15">
      <c r="A714" s="39">
        <v>380</v>
      </c>
      <c r="B714" s="9" t="str">
        <f>VLOOKUP(A714,[1]characters!$A:$C,3,FALSE)</f>
        <v>バハムート</v>
      </c>
      <c r="C714" s="40" t="s">
        <v>26</v>
      </c>
      <c r="D714" s="42" t="str">
        <f>A714&amp;+(COUNTIF(A$32:A714,A714)-1)</f>
        <v>3801</v>
      </c>
      <c r="E714" s="19" t="str">
        <f>VLOOKUP(D714,unit_serifs_i18n!C:E,3,FALSE)</f>
        <v>maru</v>
      </c>
      <c r="F714" s="19" t="str">
        <f>VLOOKUP(D714,unit_serifs_i18n!C:F,4,FALSE)</f>
        <v>ぎゅってしてあげる♪</v>
      </c>
    </row>
    <row r="715" spans="1:6" x14ac:dyDescent="0.15">
      <c r="A715" s="11">
        <v>381</v>
      </c>
      <c r="B715" s="9" t="str">
        <f>VLOOKUP(A715,[1]characters!$A:$C,3,FALSE)</f>
        <v>肉食の恋火 バハムート</v>
      </c>
      <c r="C715" s="3" t="s">
        <v>25</v>
      </c>
      <c r="D715" s="42" t="str">
        <f>A715&amp;+(COUNTIF(A$32:A715,A715)-1)</f>
        <v>3810</v>
      </c>
      <c r="E715" s="19" t="str">
        <f>VLOOKUP(D715,unit_serifs_i18n!C:E,3,FALSE)</f>
        <v>giza</v>
      </c>
      <c r="F715" s="19" t="str">
        <f>VLOOKUP(D715,unit_serifs_i18n!C:F,4,FALSE)</f>
        <v>ハートひとりじめっ！</v>
      </c>
    </row>
    <row r="716" spans="1:6" x14ac:dyDescent="0.15">
      <c r="A716" s="39">
        <v>381</v>
      </c>
      <c r="B716" s="9" t="str">
        <f>VLOOKUP(A716,[1]characters!$A:$C,3,FALSE)</f>
        <v>肉食の恋火 バハムート</v>
      </c>
      <c r="C716" s="40" t="s">
        <v>26</v>
      </c>
      <c r="D716" s="42" t="str">
        <f>A716&amp;+(COUNTIF(A$32:A716,A716)-1)</f>
        <v>3811</v>
      </c>
      <c r="E716" s="19" t="str">
        <f>VLOOKUP(D716,unit_serifs_i18n!C:E,3,FALSE)</f>
        <v>maru</v>
      </c>
      <c r="F716" s="19" t="str">
        <f>VLOOKUP(D716,unit_serifs_i18n!C:F,4,FALSE)</f>
        <v>人間って可愛いぃ♪</v>
      </c>
    </row>
    <row r="717" spans="1:6" x14ac:dyDescent="0.15">
      <c r="A717" s="39">
        <v>381</v>
      </c>
      <c r="B717" s="9" t="str">
        <f>VLOOKUP(A717,[1]characters!$A:$C,3,FALSE)</f>
        <v>肉食の恋火 バハムート</v>
      </c>
      <c r="C717" s="40" t="s">
        <v>26</v>
      </c>
      <c r="D717" s="46" t="str">
        <f>D714</f>
        <v>3801</v>
      </c>
      <c r="E717" s="19" t="str">
        <f>VLOOKUP(D717,unit_serifs_i18n!C:E,3,FALSE)</f>
        <v>maru</v>
      </c>
      <c r="F717" s="19" t="str">
        <f>VLOOKUP(D717,unit_serifs_i18n!C:F,4,FALSE)</f>
        <v>ぎゅってしてあげる♪</v>
      </c>
    </row>
    <row r="718" spans="1:6" x14ac:dyDescent="0.15">
      <c r="A718" s="11">
        <v>382</v>
      </c>
      <c r="B718" s="9" t="str">
        <f>VLOOKUP(A718,[1]characters!$A:$C,3,FALSE)</f>
        <v>激情の愛炎 バハムート</v>
      </c>
      <c r="C718" s="3" t="s">
        <v>25</v>
      </c>
      <c r="D718" s="42" t="str">
        <f>A718&amp;+(COUNTIF(A$32:A718,A718)-1)</f>
        <v>3820</v>
      </c>
      <c r="E718" s="19" t="str">
        <f>VLOOKUP(D718,unit_serifs_i18n!C:E,3,FALSE)</f>
        <v>giza</v>
      </c>
      <c r="F718" s="19" t="str">
        <f>VLOOKUP(D718,unit_serifs_i18n!C:F,4,FALSE)</f>
        <v>愛して愛して食べちゃう！</v>
      </c>
    </row>
    <row r="719" spans="1:6" x14ac:dyDescent="0.15">
      <c r="A719" s="39">
        <v>382</v>
      </c>
      <c r="B719" s="9" t="str">
        <f>VLOOKUP(A719,[1]characters!$A:$C,3,FALSE)</f>
        <v>激情の愛炎 バハムート</v>
      </c>
      <c r="C719" s="40" t="s">
        <v>26</v>
      </c>
      <c r="D719" s="42" t="str">
        <f>A719&amp;+(COUNTIF(A$32:A719,A719)-1)</f>
        <v>3821</v>
      </c>
      <c r="E719" s="19" t="str">
        <f>VLOOKUP(D719,unit_serifs_i18n!C:E,3,FALSE)</f>
        <v>maru</v>
      </c>
      <c r="F719" s="19" t="str">
        <f>VLOOKUP(D719,unit_serifs_i18n!C:F,4,FALSE)</f>
        <v>激しいのが好きなの♪</v>
      </c>
    </row>
    <row r="720" spans="1:6" x14ac:dyDescent="0.15">
      <c r="A720" s="39">
        <v>382</v>
      </c>
      <c r="B720" s="9" t="str">
        <f>VLOOKUP(A720,[1]characters!$A:$C,3,FALSE)</f>
        <v>激情の愛炎 バハムート</v>
      </c>
      <c r="C720" s="40" t="s">
        <v>26</v>
      </c>
      <c r="D720" s="46" t="str">
        <f>D717</f>
        <v>3801</v>
      </c>
      <c r="E720" s="19" t="str">
        <f>VLOOKUP(D720,unit_serifs_i18n!C:E,3,FALSE)</f>
        <v>maru</v>
      </c>
      <c r="F720" s="19" t="str">
        <f>VLOOKUP(D720,unit_serifs_i18n!C:F,4,FALSE)</f>
        <v>ぎゅってしてあげる♪</v>
      </c>
    </row>
    <row r="721" spans="1:6" x14ac:dyDescent="0.15">
      <c r="A721" s="39">
        <v>382</v>
      </c>
      <c r="B721" s="9" t="str">
        <f>VLOOKUP(A721,[1]characters!$A:$C,3,FALSE)</f>
        <v>激情の愛炎 バハムート</v>
      </c>
      <c r="C721" s="40" t="s">
        <v>26</v>
      </c>
      <c r="D721" s="46" t="str">
        <f>D716</f>
        <v>3811</v>
      </c>
      <c r="E721" s="19" t="str">
        <f>VLOOKUP(D721,unit_serifs_i18n!C:E,3,FALSE)</f>
        <v>maru</v>
      </c>
      <c r="F721" s="19" t="str">
        <f>VLOOKUP(D721,unit_serifs_i18n!C:F,4,FALSE)</f>
        <v>人間って可愛いぃ♪</v>
      </c>
    </row>
    <row r="722" spans="1:6" x14ac:dyDescent="0.15">
      <c r="A722" s="11">
        <v>383</v>
      </c>
      <c r="B722" s="9" t="str">
        <f>VLOOKUP(A722,[1]characters!$A:$C,3,FALSE)</f>
        <v>酒宴の蟒蛇 ヤマタノオロチ</v>
      </c>
      <c r="C722" s="3" t="s">
        <v>25</v>
      </c>
      <c r="D722" s="42" t="str">
        <f>A722&amp;+(COUNTIF(A$32:A722,A722)-1)</f>
        <v>3830</v>
      </c>
      <c r="E722" s="19" t="str">
        <f>VLOOKUP(D722,unit_serifs_i18n!C:E,3,FALSE)</f>
        <v>kumo</v>
      </c>
      <c r="F722" s="19" t="str">
        <f>VLOOKUP(D722,unit_serifs_i18n!C:F,4,FALSE)</f>
        <v>全然呑みたりないわよぉ…</v>
      </c>
    </row>
    <row r="723" spans="1:6" x14ac:dyDescent="0.15">
      <c r="A723" s="39">
        <v>383</v>
      </c>
      <c r="B723" s="9" t="str">
        <f>VLOOKUP(A723,[1]characters!$A:$C,3,FALSE)</f>
        <v>酒宴の蟒蛇 ヤマタノオロチ</v>
      </c>
      <c r="C723" s="40" t="s">
        <v>26</v>
      </c>
      <c r="D723" s="42" t="str">
        <f>A723&amp;+(COUNTIF(A$32:A723,A723)-1)</f>
        <v>3831</v>
      </c>
      <c r="E723" s="19" t="str">
        <f>VLOOKUP(D723,unit_serifs_i18n!C:E,3,FALSE)</f>
        <v>maru</v>
      </c>
      <c r="F723" s="19" t="str">
        <f>VLOOKUP(D723,unit_serifs_i18n!C:F,4,FALSE)</f>
        <v>ほーら呑んで呑んでぇ</v>
      </c>
    </row>
    <row r="724" spans="1:6" x14ac:dyDescent="0.15">
      <c r="A724" s="39">
        <v>383</v>
      </c>
      <c r="B724" s="9" t="str">
        <f>VLOOKUP(A724,[1]characters!$A:$C,3,FALSE)</f>
        <v>酒宴の蟒蛇 ヤマタノオロチ</v>
      </c>
      <c r="C724" s="40" t="s">
        <v>26</v>
      </c>
      <c r="D724" s="42" t="str">
        <f>A724&amp;+(COUNTIF(A$32:A724,A724)-1)</f>
        <v>3832</v>
      </c>
      <c r="E724" s="19" t="str">
        <f>VLOOKUP(D724,unit_serifs_i18n!C:E,3,FALSE)</f>
        <v>maru</v>
      </c>
      <c r="F724" s="19" t="str">
        <f>VLOOKUP(D724,unit_serifs_i18n!C:F,4,FALSE)</f>
        <v>気持よくなってきたぁ</v>
      </c>
    </row>
    <row r="725" spans="1:6" x14ac:dyDescent="0.15">
      <c r="A725" s="11">
        <v>384</v>
      </c>
      <c r="B725" s="9" t="str">
        <f>VLOOKUP(A725,[1]characters!$A:$C,3,FALSE)</f>
        <v>破国の呑龍 ヤマタノオロチ</v>
      </c>
      <c r="C725" s="3" t="s">
        <v>25</v>
      </c>
      <c r="D725" s="42" t="str">
        <f>A725&amp;+(COUNTIF(A$32:A725,A725)-1)</f>
        <v>3840</v>
      </c>
      <c r="E725" s="19" t="str">
        <f>VLOOKUP(D725,unit_serifs_i18n!C:E,3,FALSE)</f>
        <v>maru</v>
      </c>
      <c r="F725" s="19" t="str">
        <f>VLOOKUP(D725,unit_serifs_i18n!C:F,4,FALSE)</f>
        <v>朝まで付き合ってよねぇ？</v>
      </c>
    </row>
    <row r="726" spans="1:6" x14ac:dyDescent="0.15">
      <c r="A726" s="39">
        <v>384</v>
      </c>
      <c r="B726" s="9" t="str">
        <f>VLOOKUP(A726,[1]characters!$A:$C,3,FALSE)</f>
        <v>破国の呑龍 ヤマタノオロチ</v>
      </c>
      <c r="C726" s="40" t="s">
        <v>26</v>
      </c>
      <c r="D726" s="42" t="str">
        <f>A726&amp;+(COUNTIF(A$32:A726,A726)-1)</f>
        <v>3841</v>
      </c>
      <c r="E726" s="19" t="str">
        <f>VLOOKUP(D726,unit_serifs_i18n!C:E,3,FALSE)</f>
        <v>maru</v>
      </c>
      <c r="F726" s="19" t="str">
        <f>VLOOKUP(D726,unit_serifs_i18n!C:F,4,FALSE)</f>
        <v>とっておきのお酒よぉ</v>
      </c>
    </row>
    <row r="727" spans="1:6" x14ac:dyDescent="0.15">
      <c r="A727" s="39">
        <v>384</v>
      </c>
      <c r="B727" s="9" t="str">
        <f>VLOOKUP(A727,[1]characters!$A:$C,3,FALSE)</f>
        <v>破国の呑龍 ヤマタノオロチ</v>
      </c>
      <c r="C727" s="40" t="s">
        <v>26</v>
      </c>
      <c r="D727" s="46" t="str">
        <f>D723</f>
        <v>3831</v>
      </c>
      <c r="E727" s="19" t="str">
        <f>VLOOKUP(D727,unit_serifs_i18n!C:E,3,FALSE)</f>
        <v>maru</v>
      </c>
      <c r="F727" s="19" t="str">
        <f>VLOOKUP(D727,unit_serifs_i18n!C:F,4,FALSE)</f>
        <v>ほーら呑んで呑んでぇ</v>
      </c>
    </row>
    <row r="728" spans="1:6" x14ac:dyDescent="0.15">
      <c r="A728" s="39">
        <v>384</v>
      </c>
      <c r="B728" s="9" t="str">
        <f>VLOOKUP(A728,[1]characters!$A:$C,3,FALSE)</f>
        <v>破国の呑龍 ヤマタノオロチ</v>
      </c>
      <c r="C728" s="40" t="s">
        <v>26</v>
      </c>
      <c r="D728" s="46" t="str">
        <f>D724</f>
        <v>3832</v>
      </c>
      <c r="E728" s="19" t="str">
        <f>VLOOKUP(D728,unit_serifs_i18n!C:E,3,FALSE)</f>
        <v>maru</v>
      </c>
      <c r="F728" s="19" t="str">
        <f>VLOOKUP(D728,unit_serifs_i18n!C:F,4,FALSE)</f>
        <v>気持よくなってきたぁ</v>
      </c>
    </row>
    <row r="729" spans="1:6" x14ac:dyDescent="0.15">
      <c r="A729" s="11">
        <v>385</v>
      </c>
      <c r="B729" s="9" t="str">
        <f>VLOOKUP(A729,[1]characters!$A:$C,3,FALSE)</f>
        <v>波烈の出奔 リヴァイアサン</v>
      </c>
      <c r="C729" s="3" t="s">
        <v>25</v>
      </c>
      <c r="D729" s="42" t="str">
        <f>A729&amp;+(COUNTIF(A$32:A729,A729)-1)</f>
        <v>3850</v>
      </c>
      <c r="E729" s="19" t="str">
        <f>VLOOKUP(D729,unit_serifs_i18n!C:E,3,FALSE)</f>
        <v>giza</v>
      </c>
      <c r="F729" s="19" t="str">
        <f>VLOOKUP(D729,unit_serifs_i18n!C:F,4,FALSE)</f>
        <v>まどろっこしいのは嫌い！</v>
      </c>
    </row>
    <row r="730" spans="1:6" x14ac:dyDescent="0.15">
      <c r="A730" s="39">
        <v>385</v>
      </c>
      <c r="B730" s="9" t="str">
        <f>VLOOKUP(A730,[1]characters!$A:$C,3,FALSE)</f>
        <v>波烈の出奔 リヴァイアサン</v>
      </c>
      <c r="C730" s="40" t="s">
        <v>26</v>
      </c>
      <c r="D730" s="42" t="str">
        <f>A730&amp;+(COUNTIF(A$32:A730,A730)-1)</f>
        <v>3851</v>
      </c>
      <c r="E730" s="19" t="str">
        <f>VLOOKUP(D730,unit_serifs_i18n!C:E,3,FALSE)</f>
        <v>maru</v>
      </c>
      <c r="F730" s="19" t="str">
        <f>VLOOKUP(D730,unit_serifs_i18n!C:F,4,FALSE)</f>
        <v>大雨注意報だよっ！</v>
      </c>
    </row>
    <row r="731" spans="1:6" x14ac:dyDescent="0.15">
      <c r="A731" s="39">
        <v>385</v>
      </c>
      <c r="B731" s="9" t="str">
        <f>VLOOKUP(A731,[1]characters!$A:$C,3,FALSE)</f>
        <v>波烈の出奔 リヴァイアサン</v>
      </c>
      <c r="C731" s="40" t="s">
        <v>26</v>
      </c>
      <c r="D731" s="42" t="str">
        <f>A731&amp;+(COUNTIF(A$32:A731,A731)-1)</f>
        <v>3852</v>
      </c>
      <c r="E731" s="19" t="str">
        <f>VLOOKUP(D731,unit_serifs_i18n!C:E,3,FALSE)</f>
        <v>giza</v>
      </c>
      <c r="F731" s="19" t="str">
        <f>VLOOKUP(D731,unit_serifs_i18n!C:F,4,FALSE)</f>
        <v>水浸しだよ！全員ね！</v>
      </c>
    </row>
    <row r="732" spans="1:6" x14ac:dyDescent="0.15">
      <c r="A732" s="11">
        <v>386</v>
      </c>
      <c r="B732" s="9" t="str">
        <f>VLOOKUP(A732,[1]characters!$A:$C,3,FALSE)</f>
        <v>氾乱の海龍 リヴァイアサン</v>
      </c>
      <c r="C732" s="3" t="s">
        <v>25</v>
      </c>
      <c r="D732" s="42" t="str">
        <f>A732&amp;+(COUNTIF(A$32:A732,A732)-1)</f>
        <v>3860</v>
      </c>
      <c r="E732" s="19" t="str">
        <f>VLOOKUP(D732,unit_serifs_i18n!C:E,3,FALSE)</f>
        <v>maru</v>
      </c>
      <c r="F732" s="19" t="str">
        <f>VLOOKUP(D732,unit_serifs_i18n!C:F,4,FALSE)</f>
        <v>一発逆転が醍醐味だよね！</v>
      </c>
    </row>
    <row r="733" spans="1:6" x14ac:dyDescent="0.15">
      <c r="A733" s="39">
        <v>386</v>
      </c>
      <c r="B733" s="9" t="str">
        <f>VLOOKUP(A733,[1]characters!$A:$C,3,FALSE)</f>
        <v>氾乱の海龍 リヴァイアサン</v>
      </c>
      <c r="C733" s="40" t="s">
        <v>26</v>
      </c>
      <c r="D733" s="42" t="str">
        <f>A733&amp;+(COUNTIF(A$32:A733,A733)-1)</f>
        <v>3861</v>
      </c>
      <c r="E733" s="19" t="str">
        <f>VLOOKUP(D733,unit_serifs_i18n!C:E,3,FALSE)</f>
        <v>maru</v>
      </c>
      <c r="F733" s="19" t="str">
        <f>VLOOKUP(D733,unit_serifs_i18n!C:F,4,FALSE)</f>
        <v>傘が無い？そりゃ残念</v>
      </c>
    </row>
    <row r="734" spans="1:6" x14ac:dyDescent="0.15">
      <c r="A734" s="39">
        <v>386</v>
      </c>
      <c r="B734" s="9" t="str">
        <f>VLOOKUP(A734,[1]characters!$A:$C,3,FALSE)</f>
        <v>氾乱の海龍 リヴァイアサン</v>
      </c>
      <c r="C734" s="40" t="s">
        <v>26</v>
      </c>
      <c r="D734" s="46" t="str">
        <f>D730</f>
        <v>3851</v>
      </c>
      <c r="E734" s="19" t="str">
        <f>VLOOKUP(D734,unit_serifs_i18n!C:E,3,FALSE)</f>
        <v>maru</v>
      </c>
      <c r="F734" s="19" t="str">
        <f>VLOOKUP(D734,unit_serifs_i18n!C:F,4,FALSE)</f>
        <v>大雨注意報だよっ！</v>
      </c>
    </row>
    <row r="735" spans="1:6" x14ac:dyDescent="0.15">
      <c r="A735" s="39">
        <v>386</v>
      </c>
      <c r="B735" s="9" t="str">
        <f>VLOOKUP(A735,[1]characters!$A:$C,3,FALSE)</f>
        <v>氾乱の海龍 リヴァイアサン</v>
      </c>
      <c r="C735" s="40" t="s">
        <v>26</v>
      </c>
      <c r="D735" s="46" t="str">
        <f>D731</f>
        <v>3852</v>
      </c>
      <c r="E735" s="19" t="str">
        <f>VLOOKUP(D735,unit_serifs_i18n!C:E,3,FALSE)</f>
        <v>giza</v>
      </c>
      <c r="F735" s="19" t="str">
        <f>VLOOKUP(D735,unit_serifs_i18n!C:F,4,FALSE)</f>
        <v>水浸しだよ！全員ね！</v>
      </c>
    </row>
    <row r="736" spans="1:6" x14ac:dyDescent="0.15">
      <c r="A736" s="11">
        <v>387</v>
      </c>
      <c r="B736" s="9" t="str">
        <f>VLOOKUP(A736,[1]characters!$A:$C,3,FALSE)</f>
        <v>スフィンクス</v>
      </c>
      <c r="C736" s="3" t="s">
        <v>25</v>
      </c>
      <c r="D736" s="42" t="str">
        <f>A736&amp;+(COUNTIF(A$32:A736,A736)-1)</f>
        <v>3870</v>
      </c>
      <c r="E736" s="19" t="str">
        <f>VLOOKUP(D736,unit_serifs_i18n!C:E,3,FALSE)</f>
        <v>maru</v>
      </c>
      <c r="F736" s="19" t="str">
        <f>VLOOKUP(D736,unit_serifs_i18n!C:F,4,FALSE)</f>
        <v>あたしはみんなの味方だよ</v>
      </c>
    </row>
    <row r="737" spans="1:6" x14ac:dyDescent="0.15">
      <c r="A737" s="39">
        <v>387</v>
      </c>
      <c r="B737" s="9" t="str">
        <f>VLOOKUP(A737,[1]characters!$A:$C,3,FALSE)</f>
        <v>スフィンクス</v>
      </c>
      <c r="C737" s="40" t="s">
        <v>26</v>
      </c>
      <c r="D737" s="42" t="str">
        <f>A737&amp;+(COUNTIF(A$32:A737,A737)-1)</f>
        <v>3871</v>
      </c>
      <c r="E737" s="19" t="str">
        <f>VLOOKUP(D737,unit_serifs_i18n!C:E,3,FALSE)</f>
        <v>maru</v>
      </c>
      <c r="F737" s="19" t="str">
        <f>VLOOKUP(D737,unit_serifs_i18n!C:F,4,FALSE)</f>
        <v>えーるをおくるよ！</v>
      </c>
    </row>
    <row r="738" spans="1:6" x14ac:dyDescent="0.15">
      <c r="A738" s="11">
        <v>388</v>
      </c>
      <c r="B738" s="9" t="str">
        <f>VLOOKUP(A738,[1]characters!$A:$C,3,FALSE)</f>
        <v>神円の恋姫 スフィンクス</v>
      </c>
      <c r="C738" s="3" t="s">
        <v>25</v>
      </c>
      <c r="D738" s="42" t="str">
        <f>A738&amp;+(COUNTIF(A$32:A738,A738)-1)</f>
        <v>3880</v>
      </c>
      <c r="E738" s="19" t="str">
        <f>VLOOKUP(D738,unit_serifs_i18n!C:E,3,FALSE)</f>
        <v>maru</v>
      </c>
      <c r="F738" s="19" t="str">
        <f>VLOOKUP(D738,unit_serifs_i18n!C:F,4,FALSE)</f>
        <v>みんなだいすきだよっ☆</v>
      </c>
    </row>
    <row r="739" spans="1:6" x14ac:dyDescent="0.15">
      <c r="A739" s="39">
        <v>388</v>
      </c>
      <c r="B739" s="9" t="str">
        <f>VLOOKUP(A739,[1]characters!$A:$C,3,FALSE)</f>
        <v>神円の恋姫 スフィンクス</v>
      </c>
      <c r="C739" s="40" t="s">
        <v>26</v>
      </c>
      <c r="D739" s="42" t="str">
        <f>A739&amp;+(COUNTIF(A$32:A739,A739)-1)</f>
        <v>3881</v>
      </c>
      <c r="E739" s="19" t="str">
        <f>VLOOKUP(D739,unit_serifs_i18n!C:E,3,FALSE)</f>
        <v>maru</v>
      </c>
      <c r="F739" s="19" t="str">
        <f>VLOOKUP(D739,unit_serifs_i18n!C:F,4,FALSE)</f>
        <v>ふぁいと！ふぁいと！</v>
      </c>
    </row>
    <row r="740" spans="1:6" x14ac:dyDescent="0.15">
      <c r="A740" s="39">
        <v>388</v>
      </c>
      <c r="B740" s="9" t="str">
        <f>VLOOKUP(A740,[1]characters!$A:$C,3,FALSE)</f>
        <v>神円の恋姫 スフィンクス</v>
      </c>
      <c r="C740" s="40" t="s">
        <v>26</v>
      </c>
      <c r="D740" s="46" t="str">
        <f>D737</f>
        <v>3871</v>
      </c>
      <c r="E740" s="19" t="str">
        <f>VLOOKUP(D740,unit_serifs_i18n!C:E,3,FALSE)</f>
        <v>maru</v>
      </c>
      <c r="F740" s="19" t="str">
        <f>VLOOKUP(D740,unit_serifs_i18n!C:F,4,FALSE)</f>
        <v>えーるをおくるよ！</v>
      </c>
    </row>
    <row r="741" spans="1:6" x14ac:dyDescent="0.15">
      <c r="A741" s="11">
        <v>389</v>
      </c>
      <c r="B741" s="9" t="str">
        <f>VLOOKUP(A741,[1]characters!$A:$C,3,FALSE)</f>
        <v>操神の愛姫 スフィンクス</v>
      </c>
      <c r="C741" s="3" t="s">
        <v>25</v>
      </c>
      <c r="D741" s="42" t="str">
        <f>A741&amp;+(COUNTIF(A$32:A741,A741)-1)</f>
        <v>3890</v>
      </c>
      <c r="E741" s="19" t="str">
        <f>VLOOKUP(D741,unit_serifs_i18n!C:E,3,FALSE)</f>
        <v>kumo</v>
      </c>
      <c r="F741" s="19" t="str">
        <f>VLOOKUP(D741,unit_serifs_i18n!C:F,4,FALSE)</f>
        <v>みんな☆応援してるよ☆</v>
      </c>
    </row>
    <row r="742" spans="1:6" x14ac:dyDescent="0.15">
      <c r="A742" s="39">
        <v>389</v>
      </c>
      <c r="B742" s="9" t="str">
        <f>VLOOKUP(A742,[1]characters!$A:$C,3,FALSE)</f>
        <v>操神の愛姫 スフィンクス</v>
      </c>
      <c r="C742" s="40" t="s">
        <v>26</v>
      </c>
      <c r="D742" s="42" t="str">
        <f>A742&amp;+(COUNTIF(A$32:A742,A742)-1)</f>
        <v>3891</v>
      </c>
      <c r="E742" s="19" t="str">
        <f>VLOOKUP(D742,unit_serifs_i18n!C:E,3,FALSE)</f>
        <v>maru</v>
      </c>
      <c r="F742" s="19" t="str">
        <f>VLOOKUP(D742,unit_serifs_i18n!C:F,4,FALSE)</f>
        <v>勝てたらご褒美あげる</v>
      </c>
    </row>
    <row r="743" spans="1:6" x14ac:dyDescent="0.15">
      <c r="A743" s="39">
        <v>389</v>
      </c>
      <c r="B743" s="9" t="str">
        <f>VLOOKUP(A743,[1]characters!$A:$C,3,FALSE)</f>
        <v>操神の愛姫 スフィンクス</v>
      </c>
      <c r="C743" s="40" t="s">
        <v>26</v>
      </c>
      <c r="D743" s="46" t="str">
        <f>D740</f>
        <v>3871</v>
      </c>
      <c r="E743" s="19" t="str">
        <f>VLOOKUP(D743,unit_serifs_i18n!C:E,3,FALSE)</f>
        <v>maru</v>
      </c>
      <c r="F743" s="19" t="str">
        <f>VLOOKUP(D743,unit_serifs_i18n!C:F,4,FALSE)</f>
        <v>えーるをおくるよ！</v>
      </c>
    </row>
    <row r="744" spans="1:6" x14ac:dyDescent="0.15">
      <c r="A744" s="39">
        <v>389</v>
      </c>
      <c r="B744" s="9" t="str">
        <f>VLOOKUP(A744,[1]characters!$A:$C,3,FALSE)</f>
        <v>操神の愛姫 スフィンクス</v>
      </c>
      <c r="C744" s="40" t="s">
        <v>26</v>
      </c>
      <c r="D744" s="46" t="str">
        <f>D739</f>
        <v>3881</v>
      </c>
      <c r="E744" s="19" t="str">
        <f>VLOOKUP(D744,unit_serifs_i18n!C:E,3,FALSE)</f>
        <v>maru</v>
      </c>
      <c r="F744" s="19" t="str">
        <f>VLOOKUP(D744,unit_serifs_i18n!C:F,4,FALSE)</f>
        <v>ふぁいと！ふぁいと！</v>
      </c>
    </row>
    <row r="745" spans="1:6" x14ac:dyDescent="0.15">
      <c r="A745" s="11">
        <v>390</v>
      </c>
      <c r="B745" s="9" t="str">
        <f>VLOOKUP(A745,[1]characters!$A:$C,3,FALSE)</f>
        <v>華環の旅客 親指姫</v>
      </c>
      <c r="C745" s="3" t="s">
        <v>25</v>
      </c>
      <c r="D745" s="42" t="str">
        <f>A745&amp;+(COUNTIF(A$32:A745,A745)-1)</f>
        <v>3900</v>
      </c>
      <c r="E745" s="19" t="str">
        <f>VLOOKUP(D745,unit_serifs_i18n!C:E,3,FALSE)</f>
        <v>giza</v>
      </c>
      <c r="F745" s="19" t="str">
        <f>VLOOKUP(D745,unit_serifs_i18n!C:F,4,FALSE)</f>
        <v>諦めるのはまだ早い！</v>
      </c>
    </row>
    <row r="746" spans="1:6" x14ac:dyDescent="0.15">
      <c r="A746" s="39">
        <v>390</v>
      </c>
      <c r="B746" s="9" t="str">
        <f>VLOOKUP(A746,[1]characters!$A:$C,3,FALSE)</f>
        <v>華環の旅客 親指姫</v>
      </c>
      <c r="C746" s="40" t="s">
        <v>26</v>
      </c>
      <c r="D746" s="42" t="str">
        <f>A746&amp;+(COUNTIF(A$32:A746,A746)-1)</f>
        <v>3901</v>
      </c>
      <c r="E746" s="19" t="str">
        <f>VLOOKUP(D746,unit_serifs_i18n!C:E,3,FALSE)</f>
        <v>giza</v>
      </c>
      <c r="F746" s="19" t="str">
        <f>VLOOKUP(D746,unit_serifs_i18n!C:F,4,FALSE)</f>
        <v>養分になんなさい！</v>
      </c>
    </row>
    <row r="747" spans="1:6" x14ac:dyDescent="0.15">
      <c r="A747" s="39">
        <v>390</v>
      </c>
      <c r="B747" s="9" t="str">
        <f>VLOOKUP(A747,[1]characters!$A:$C,3,FALSE)</f>
        <v>華環の旅客 親指姫</v>
      </c>
      <c r="C747" s="40" t="s">
        <v>26</v>
      </c>
      <c r="D747" s="42" t="str">
        <f>A747&amp;+(COUNTIF(A$32:A747,A747)-1)</f>
        <v>3902</v>
      </c>
      <c r="E747" s="19" t="str">
        <f>VLOOKUP(D747,unit_serifs_i18n!C:E,3,FALSE)</f>
        <v>giza</v>
      </c>
      <c r="F747" s="19" t="str">
        <f>VLOOKUP(D747,unit_serifs_i18n!C:F,4,FALSE)</f>
        <v>咲かせてみせる！</v>
      </c>
    </row>
    <row r="748" spans="1:6" x14ac:dyDescent="0.15">
      <c r="A748" s="11">
        <v>391</v>
      </c>
      <c r="B748" s="9" t="str">
        <f>VLOOKUP(A748,[1]characters!$A:$C,3,FALSE)</f>
        <v>燕翼の旅人 親指姫</v>
      </c>
      <c r="C748" s="3" t="s">
        <v>25</v>
      </c>
      <c r="D748" s="42" t="str">
        <f>A748&amp;+(COUNTIF(A$32:A748,A748)-1)</f>
        <v>3910</v>
      </c>
      <c r="E748" s="19" t="str">
        <f>VLOOKUP(D748,unit_serifs_i18n!C:E,3,FALSE)</f>
        <v>maru</v>
      </c>
      <c r="F748" s="19" t="str">
        <f>VLOOKUP(D748,unit_serifs_i18n!C:F,4,FALSE)</f>
        <v>さぁテイクオフの時間よ！</v>
      </c>
    </row>
    <row r="749" spans="1:6" x14ac:dyDescent="0.15">
      <c r="A749" s="39">
        <v>391</v>
      </c>
      <c r="B749" s="9" t="str">
        <f>VLOOKUP(A749,[1]characters!$A:$C,3,FALSE)</f>
        <v>燕翼の旅人 親指姫</v>
      </c>
      <c r="C749" s="40" t="s">
        <v>26</v>
      </c>
      <c r="D749" s="42" t="str">
        <f>A749&amp;+(COUNTIF(A$32:A749,A749)-1)</f>
        <v>3911</v>
      </c>
      <c r="E749" s="19" t="str">
        <f>VLOOKUP(D749,unit_serifs_i18n!C:E,3,FALSE)</f>
        <v>giza</v>
      </c>
      <c r="F749" s="19" t="str">
        <f>VLOOKUP(D749,unit_serifs_i18n!C:F,4,FALSE)</f>
        <v>まだ飛べるはず！</v>
      </c>
    </row>
    <row r="750" spans="1:6" x14ac:dyDescent="0.15">
      <c r="A750" s="39">
        <v>391</v>
      </c>
      <c r="B750" s="9" t="str">
        <f>VLOOKUP(A750,[1]characters!$A:$C,3,FALSE)</f>
        <v>燕翼の旅人 親指姫</v>
      </c>
      <c r="C750" s="40" t="s">
        <v>26</v>
      </c>
      <c r="D750" s="46" t="str">
        <f>D746</f>
        <v>3901</v>
      </c>
      <c r="E750" s="19" t="str">
        <f>VLOOKUP(D750,unit_serifs_i18n!C:E,3,FALSE)</f>
        <v>giza</v>
      </c>
      <c r="F750" s="19" t="str">
        <f>VLOOKUP(D750,unit_serifs_i18n!C:F,4,FALSE)</f>
        <v>養分になんなさい！</v>
      </c>
    </row>
    <row r="751" spans="1:6" x14ac:dyDescent="0.15">
      <c r="A751" s="39">
        <v>391</v>
      </c>
      <c r="B751" s="9" t="str">
        <f>VLOOKUP(A751,[1]characters!$A:$C,3,FALSE)</f>
        <v>燕翼の旅人 親指姫</v>
      </c>
      <c r="C751" s="40" t="s">
        <v>26</v>
      </c>
      <c r="D751" s="46" t="str">
        <f>D747</f>
        <v>3902</v>
      </c>
      <c r="E751" s="19" t="str">
        <f>VLOOKUP(D751,unit_serifs_i18n!C:E,3,FALSE)</f>
        <v>giza</v>
      </c>
      <c r="F751" s="19" t="str">
        <f>VLOOKUP(D751,unit_serifs_i18n!C:F,4,FALSE)</f>
        <v>咲かせてみせる！</v>
      </c>
    </row>
    <row r="752" spans="1:6" x14ac:dyDescent="0.15">
      <c r="A752" s="11">
        <v>392</v>
      </c>
      <c r="B752" s="9" t="str">
        <f>VLOOKUP(A752,[1]characters!$A:$C,3,FALSE)</f>
        <v>ピーターパン</v>
      </c>
      <c r="C752" s="3" t="s">
        <v>25</v>
      </c>
      <c r="D752" s="42" t="str">
        <f>A752&amp;+(COUNTIF(A$32:A752,A752)-1)</f>
        <v>3920</v>
      </c>
      <c r="E752" s="19" t="str">
        <f>VLOOKUP(D752,unit_serifs_i18n!C:E,3,FALSE)</f>
        <v>maru</v>
      </c>
      <c r="F752" s="19" t="str">
        <f>VLOOKUP(D752,unit_serifs_i18n!C:F,4,FALSE)</f>
        <v>夢ばっか見やがって</v>
      </c>
    </row>
    <row r="753" spans="1:6" x14ac:dyDescent="0.15">
      <c r="A753" s="39">
        <v>392</v>
      </c>
      <c r="B753" s="9" t="str">
        <f>VLOOKUP(A753,[1]characters!$A:$C,3,FALSE)</f>
        <v>ピーターパン</v>
      </c>
      <c r="C753" s="40" t="s">
        <v>26</v>
      </c>
      <c r="D753" s="42" t="str">
        <f>A753&amp;+(COUNTIF(A$32:A753,A753)-1)</f>
        <v>3921</v>
      </c>
      <c r="E753" s="19" t="str">
        <f>VLOOKUP(D753,unit_serifs_i18n!C:E,3,FALSE)</f>
        <v>kumo</v>
      </c>
      <c r="F753" s="19" t="str">
        <f>VLOOKUP(D753,unit_serifs_i18n!C:F,4,FALSE)</f>
        <v>掻っ切ってやるぜ</v>
      </c>
    </row>
    <row r="754" spans="1:6" x14ac:dyDescent="0.15">
      <c r="A754" s="11">
        <v>393</v>
      </c>
      <c r="B754" s="9" t="str">
        <f>VLOOKUP(A754,[1]characters!$A:$C,3,FALSE)</f>
        <v>影縫い ピーターパン</v>
      </c>
      <c r="C754" s="3" t="s">
        <v>25</v>
      </c>
      <c r="D754" s="42" t="str">
        <f>A754&amp;+(COUNTIF(A$32:A754,A754)-1)</f>
        <v>3930</v>
      </c>
      <c r="E754" s="19" t="str">
        <f>VLOOKUP(D754,unit_serifs_i18n!C:E,3,FALSE)</f>
        <v>kumo</v>
      </c>
      <c r="F754" s="19" t="str">
        <f>VLOOKUP(D754,unit_serifs_i18n!C:F,4,FALSE)</f>
        <v>ただのガキじゃねぇんだよ</v>
      </c>
    </row>
    <row r="755" spans="1:6" x14ac:dyDescent="0.15">
      <c r="A755" s="39">
        <v>393</v>
      </c>
      <c r="B755" s="9" t="str">
        <f>VLOOKUP(A755,[1]characters!$A:$C,3,FALSE)</f>
        <v>影縫い ピーターパン</v>
      </c>
      <c r="C755" s="40" t="s">
        <v>26</v>
      </c>
      <c r="D755" s="42" t="str">
        <f>A755&amp;+(COUNTIF(A$32:A755,A755)-1)</f>
        <v>3931</v>
      </c>
      <c r="E755" s="19" t="str">
        <f>VLOOKUP(D755,unit_serifs_i18n!C:E,3,FALSE)</f>
        <v>kumo</v>
      </c>
      <c r="F755" s="19" t="str">
        <f>VLOOKUP(D755,unit_serifs_i18n!C:F,4,FALSE)</f>
        <v>その影いただくぜ</v>
      </c>
    </row>
    <row r="756" spans="1:6" x14ac:dyDescent="0.15">
      <c r="A756" s="39">
        <v>393</v>
      </c>
      <c r="B756" s="9" t="str">
        <f>VLOOKUP(A756,[1]characters!$A:$C,3,FALSE)</f>
        <v>影縫い ピーターパン</v>
      </c>
      <c r="C756" s="40" t="s">
        <v>26</v>
      </c>
      <c r="D756" s="46" t="str">
        <f>D753</f>
        <v>3921</v>
      </c>
      <c r="E756" s="19" t="str">
        <f>VLOOKUP(D756,unit_serifs_i18n!C:E,3,FALSE)</f>
        <v>kumo</v>
      </c>
      <c r="F756" s="19" t="str">
        <f>VLOOKUP(D756,unit_serifs_i18n!C:F,4,FALSE)</f>
        <v>掻っ切ってやるぜ</v>
      </c>
    </row>
    <row r="757" spans="1:6" x14ac:dyDescent="0.15">
      <c r="A757" s="11">
        <v>394</v>
      </c>
      <c r="B757" s="9" t="str">
        <f>VLOOKUP(A757,[1]characters!$A:$C,3,FALSE)</f>
        <v>影求の悪童 ピーターパン</v>
      </c>
      <c r="C757" s="3" t="s">
        <v>25</v>
      </c>
      <c r="D757" s="42" t="str">
        <f>A757&amp;+(COUNTIF(A$32:A757,A757)-1)</f>
        <v>3940</v>
      </c>
      <c r="E757" s="19" t="str">
        <f>VLOOKUP(D757,unit_serifs_i18n!C:E,3,FALSE)</f>
        <v>giza</v>
      </c>
      <c r="F757" s="19" t="str">
        <f>VLOOKUP(D757,unit_serifs_i18n!C:F,4,FALSE)</f>
        <v>屈辱に震えやがれ！</v>
      </c>
    </row>
    <row r="758" spans="1:6" x14ac:dyDescent="0.15">
      <c r="A758" s="39">
        <v>394</v>
      </c>
      <c r="B758" s="9" t="str">
        <f>VLOOKUP(A758,[1]characters!$A:$C,3,FALSE)</f>
        <v>影求の悪童 ピーターパン</v>
      </c>
      <c r="C758" s="40" t="s">
        <v>26</v>
      </c>
      <c r="D758" s="42" t="str">
        <f>A758&amp;+(COUNTIF(A$32:A758,A758)-1)</f>
        <v>3941</v>
      </c>
      <c r="E758" s="19" t="str">
        <f>VLOOKUP(D758,unit_serifs_i18n!C:E,3,FALSE)</f>
        <v>maru</v>
      </c>
      <c r="F758" s="19" t="str">
        <f>VLOOKUP(D758,unit_serifs_i18n!C:F,4,FALSE)</f>
        <v>ワニの飯にしてやんぜ</v>
      </c>
    </row>
    <row r="759" spans="1:6" x14ac:dyDescent="0.15">
      <c r="A759" s="39">
        <v>394</v>
      </c>
      <c r="B759" s="9" t="str">
        <f>VLOOKUP(A759,[1]characters!$A:$C,3,FALSE)</f>
        <v>影求の悪童 ピーターパン</v>
      </c>
      <c r="C759" s="40" t="s">
        <v>26</v>
      </c>
      <c r="D759" s="46" t="str">
        <f>D756</f>
        <v>3921</v>
      </c>
      <c r="E759" s="19" t="str">
        <f>VLOOKUP(D759,unit_serifs_i18n!C:E,3,FALSE)</f>
        <v>kumo</v>
      </c>
      <c r="F759" s="19" t="str">
        <f>VLOOKUP(D759,unit_serifs_i18n!C:F,4,FALSE)</f>
        <v>掻っ切ってやるぜ</v>
      </c>
    </row>
    <row r="760" spans="1:6" x14ac:dyDescent="0.15">
      <c r="A760" s="39">
        <v>394</v>
      </c>
      <c r="B760" s="9" t="str">
        <f>VLOOKUP(A760,[1]characters!$A:$C,3,FALSE)</f>
        <v>影求の悪童 ピーターパン</v>
      </c>
      <c r="C760" s="40" t="s">
        <v>26</v>
      </c>
      <c r="D760" s="46" t="str">
        <f>D755</f>
        <v>3931</v>
      </c>
      <c r="E760" s="19" t="str">
        <f>VLOOKUP(D760,unit_serifs_i18n!C:E,3,FALSE)</f>
        <v>kumo</v>
      </c>
      <c r="F760" s="19" t="str">
        <f>VLOOKUP(D760,unit_serifs_i18n!C:F,4,FALSE)</f>
        <v>その影いただくぜ</v>
      </c>
    </row>
    <row r="761" spans="1:6" x14ac:dyDescent="0.15">
      <c r="A761" s="11">
        <v>395</v>
      </c>
      <c r="B761" s="9" t="str">
        <f>VLOOKUP(A761,[1]characters!$A:$C,3,FALSE)</f>
        <v>乙姫</v>
      </c>
      <c r="C761" s="3" t="s">
        <v>25</v>
      </c>
      <c r="D761" s="42" t="str">
        <f>A761&amp;+(COUNTIF(A$32:A761,A761)-1)</f>
        <v>3950</v>
      </c>
      <c r="E761" s="19" t="str">
        <f>VLOOKUP(D761,unit_serifs_i18n!C:E,3,FALSE)</f>
        <v>maru</v>
      </c>
      <c r="F761" s="19" t="str">
        <f>VLOOKUP(D761,unit_serifs_i18n!C:F,4,FALSE)</f>
        <v>しっかり目を開けてなさい</v>
      </c>
    </row>
    <row r="762" spans="1:6" x14ac:dyDescent="0.15">
      <c r="A762" s="39">
        <v>395</v>
      </c>
      <c r="B762" s="9" t="str">
        <f>VLOOKUP(A762,[1]characters!$A:$C,3,FALSE)</f>
        <v>乙姫</v>
      </c>
      <c r="C762" s="40" t="s">
        <v>26</v>
      </c>
      <c r="D762" s="42" t="str">
        <f>A762&amp;+(COUNTIF(A$32:A762,A762)-1)</f>
        <v>3951</v>
      </c>
      <c r="E762" s="19" t="str">
        <f>VLOOKUP(D762,unit_serifs_i18n!C:E,3,FALSE)</f>
        <v>maru</v>
      </c>
      <c r="F762" s="19" t="str">
        <f>VLOOKUP(D762,unit_serifs_i18n!C:F,4,FALSE)</f>
        <v>これでも城主なのよね</v>
      </c>
    </row>
    <row r="763" spans="1:6" x14ac:dyDescent="0.15">
      <c r="A763" s="11">
        <v>396</v>
      </c>
      <c r="B763" s="9" t="str">
        <f>VLOOKUP(A763,[1]characters!$A:$C,3,FALSE)</f>
        <v>竜宮の水雷 乙姫</v>
      </c>
      <c r="C763" s="3" t="s">
        <v>25</v>
      </c>
      <c r="D763" s="42" t="str">
        <f>A763&amp;+(COUNTIF(A$32:A763,A763)-1)</f>
        <v>3960</v>
      </c>
      <c r="E763" s="19" t="str">
        <f>VLOOKUP(D763,unit_serifs_i18n!C:E,3,FALSE)</f>
        <v>giza</v>
      </c>
      <c r="F763" s="19" t="str">
        <f>VLOOKUP(D763,unit_serifs_i18n!C:F,4,FALSE)</f>
        <v>さっさとケリつけるわよ！</v>
      </c>
    </row>
    <row r="764" spans="1:6" x14ac:dyDescent="0.15">
      <c r="A764" s="39">
        <v>396</v>
      </c>
      <c r="B764" s="9" t="str">
        <f>VLOOKUP(A764,[1]characters!$A:$C,3,FALSE)</f>
        <v>竜宮の水雷 乙姫</v>
      </c>
      <c r="C764" s="40" t="s">
        <v>26</v>
      </c>
      <c r="D764" s="42" t="str">
        <f>A764&amp;+(COUNTIF(A$32:A764,A764)-1)</f>
        <v>3961</v>
      </c>
      <c r="E764" s="19" t="str">
        <f>VLOOKUP(D764,unit_serifs_i18n!C:E,3,FALSE)</f>
        <v>giza</v>
      </c>
      <c r="F764" s="19" t="str">
        <f>VLOOKUP(D764,unit_serifs_i18n!C:F,4,FALSE)</f>
        <v>沈みなさい無礼者！</v>
      </c>
    </row>
    <row r="765" spans="1:6" x14ac:dyDescent="0.15">
      <c r="A765" s="39">
        <v>396</v>
      </c>
      <c r="B765" s="9" t="str">
        <f>VLOOKUP(A765,[1]characters!$A:$C,3,FALSE)</f>
        <v>竜宮の水雷 乙姫</v>
      </c>
      <c r="C765" s="40" t="s">
        <v>26</v>
      </c>
      <c r="D765" s="46" t="str">
        <f>D762</f>
        <v>3951</v>
      </c>
      <c r="E765" s="19" t="str">
        <f>VLOOKUP(D765,unit_serifs_i18n!C:E,3,FALSE)</f>
        <v>maru</v>
      </c>
      <c r="F765" s="19" t="str">
        <f>VLOOKUP(D765,unit_serifs_i18n!C:F,4,FALSE)</f>
        <v>これでも城主なのよね</v>
      </c>
    </row>
    <row r="766" spans="1:6" x14ac:dyDescent="0.15">
      <c r="A766" s="11">
        <v>397</v>
      </c>
      <c r="B766" s="9" t="str">
        <f>VLOOKUP(A766,[1]characters!$A:$C,3,FALSE)</f>
        <v>禁断の追箱 乙姫</v>
      </c>
      <c r="C766" s="3" t="s">
        <v>25</v>
      </c>
      <c r="D766" s="42" t="str">
        <f>A766&amp;+(COUNTIF(A$32:A766,A766)-1)</f>
        <v>3970</v>
      </c>
      <c r="E766" s="19" t="str">
        <f>VLOOKUP(D766,unit_serifs_i18n!C:E,3,FALSE)</f>
        <v>giza</v>
      </c>
      <c r="F766" s="19" t="str">
        <f>VLOOKUP(D766,unit_serifs_i18n!C:F,4,FALSE)</f>
        <v>小細工は通じないわ！！</v>
      </c>
    </row>
    <row r="767" spans="1:6" x14ac:dyDescent="0.15">
      <c r="A767" s="39">
        <v>397</v>
      </c>
      <c r="B767" s="9" t="str">
        <f>VLOOKUP(A767,[1]characters!$A:$C,3,FALSE)</f>
        <v>禁断の追箱 乙姫</v>
      </c>
      <c r="C767" s="40" t="s">
        <v>26</v>
      </c>
      <c r="D767" s="42" t="str">
        <f>A767&amp;+(COUNTIF(A$32:A767,A767)-1)</f>
        <v>3971</v>
      </c>
      <c r="E767" s="19" t="str">
        <f>VLOOKUP(D767,unit_serifs_i18n!C:E,3,FALSE)</f>
        <v>giza</v>
      </c>
      <c r="F767" s="19" t="str">
        <f>VLOOKUP(D767,unit_serifs_i18n!C:F,4,FALSE)</f>
        <v>洗い流してあげるわ！</v>
      </c>
    </row>
    <row r="768" spans="1:6" x14ac:dyDescent="0.15">
      <c r="A768" s="39">
        <v>397</v>
      </c>
      <c r="B768" s="9" t="str">
        <f>VLOOKUP(A768,[1]characters!$A:$C,3,FALSE)</f>
        <v>禁断の追箱 乙姫</v>
      </c>
      <c r="C768" s="40" t="s">
        <v>26</v>
      </c>
      <c r="D768" s="46" t="str">
        <f>D765</f>
        <v>3951</v>
      </c>
      <c r="E768" s="19" t="str">
        <f>VLOOKUP(D768,unit_serifs_i18n!C:E,3,FALSE)</f>
        <v>maru</v>
      </c>
      <c r="F768" s="19" t="str">
        <f>VLOOKUP(D768,unit_serifs_i18n!C:F,4,FALSE)</f>
        <v>これでも城主なのよね</v>
      </c>
    </row>
    <row r="769" spans="1:6" x14ac:dyDescent="0.15">
      <c r="A769" s="39">
        <v>397</v>
      </c>
      <c r="B769" s="9" t="str">
        <f>VLOOKUP(A769,[1]characters!$A:$C,3,FALSE)</f>
        <v>禁断の追箱 乙姫</v>
      </c>
      <c r="C769" s="40" t="s">
        <v>26</v>
      </c>
      <c r="D769" s="46" t="str">
        <f>D764</f>
        <v>3961</v>
      </c>
      <c r="E769" s="19" t="str">
        <f>VLOOKUP(D769,unit_serifs_i18n!C:E,3,FALSE)</f>
        <v>giza</v>
      </c>
      <c r="F769" s="19" t="str">
        <f>VLOOKUP(D769,unit_serifs_i18n!C:F,4,FALSE)</f>
        <v>沈みなさい無礼者！</v>
      </c>
    </row>
    <row r="770" spans="1:6" x14ac:dyDescent="0.15">
      <c r="A770" s="11">
        <v>398</v>
      </c>
      <c r="B770" s="9" t="str">
        <f>VLOOKUP(A770,[1]characters!$A:$C,3,FALSE)</f>
        <v>ヘンゼル＆グレーテル</v>
      </c>
      <c r="C770" s="3" t="s">
        <v>25</v>
      </c>
      <c r="D770" s="42" t="str">
        <f>A770&amp;+(COUNTIF(A$32:A770,A770)-1)</f>
        <v>3980</v>
      </c>
      <c r="E770" s="19" t="str">
        <f>VLOOKUP(D770,unit_serifs_i18n!C:E,3,FALSE)</f>
        <v>maru</v>
      </c>
      <c r="F770" s="19" t="str">
        <f>VLOOKUP(D770,unit_serifs_i18n!C:F,4,FALSE)</f>
        <v>うん！ガードしてみる！</v>
      </c>
    </row>
    <row r="771" spans="1:6" x14ac:dyDescent="0.15">
      <c r="A771" s="39">
        <v>398</v>
      </c>
      <c r="B771" s="9" t="str">
        <f>VLOOKUP(A771,[1]characters!$A:$C,3,FALSE)</f>
        <v>ヘンゼル＆グレーテル</v>
      </c>
      <c r="C771" s="40" t="s">
        <v>26</v>
      </c>
      <c r="D771" s="42" t="str">
        <f>A771&amp;+(COUNTIF(A$32:A771,A771)-1)</f>
        <v>3981</v>
      </c>
      <c r="E771" s="19" t="str">
        <f>VLOOKUP(D771,unit_serifs_i18n!C:E,3,FALSE)</f>
        <v>giza</v>
      </c>
      <c r="F771" s="19" t="str">
        <f>VLOOKUP(D771,unit_serifs_i18n!C:F,4,FALSE)</f>
        <v>子どもじゃないもん！</v>
      </c>
    </row>
    <row r="772" spans="1:6" x14ac:dyDescent="0.15">
      <c r="A772" s="39">
        <v>398</v>
      </c>
      <c r="B772" s="9" t="str">
        <f>VLOOKUP(A772,[1]characters!$A:$C,3,FALSE)</f>
        <v>ヘンゼル＆グレーテル</v>
      </c>
      <c r="C772" s="40" t="s">
        <v>26</v>
      </c>
      <c r="D772" s="42" t="str">
        <f>A772&amp;+(COUNTIF(A$32:A772,A772)-1)</f>
        <v>3982</v>
      </c>
      <c r="E772" s="19" t="str">
        <f>VLOOKUP(D772,unit_serifs_i18n!C:E,3,FALSE)</f>
        <v>giza</v>
      </c>
      <c r="F772" s="19" t="str">
        <f>VLOOKUP(D772,unit_serifs_i18n!C:F,4,FALSE)</f>
        <v>あたしだってできる！</v>
      </c>
    </row>
    <row r="773" spans="1:6" x14ac:dyDescent="0.15">
      <c r="A773" s="11">
        <v>399</v>
      </c>
      <c r="B773" s="9" t="str">
        <f>VLOOKUP(A773,[1]characters!$A:$C,3,FALSE)</f>
        <v>信愛の兄妹 ヘンゼル＆グレーテル</v>
      </c>
      <c r="C773" s="3" t="s">
        <v>25</v>
      </c>
      <c r="D773" s="42" t="str">
        <f>A773&amp;+(COUNTIF(A$32:A773,A773)-1)</f>
        <v>3990</v>
      </c>
      <c r="E773" s="19" t="str">
        <f>VLOOKUP(D773,unit_serifs_i18n!C:E,3,FALSE)</f>
        <v>giza</v>
      </c>
      <c r="F773" s="19" t="str">
        <f>VLOOKUP(D773,unit_serifs_i18n!C:F,4,FALSE)</f>
        <v>お兄ちゃん！鉄壁モード！</v>
      </c>
    </row>
    <row r="774" spans="1:6" x14ac:dyDescent="0.15">
      <c r="A774" s="39">
        <v>399</v>
      </c>
      <c r="B774" s="9" t="str">
        <f>VLOOKUP(A774,[1]characters!$A:$C,3,FALSE)</f>
        <v>信愛の兄妹 ヘンゼル＆グレーテル</v>
      </c>
      <c r="C774" s="40" t="s">
        <v>26</v>
      </c>
      <c r="D774" s="42" t="str">
        <f>A774&amp;+(COUNTIF(A$32:A774,A774)-1)</f>
        <v>3991</v>
      </c>
      <c r="E774" s="19" t="str">
        <f>VLOOKUP(D774,unit_serifs_i18n!C:E,3,FALSE)</f>
        <v>giza</v>
      </c>
      <c r="F774" s="19" t="str">
        <f>VLOOKUP(D774,unit_serifs_i18n!C:F,4,FALSE)</f>
        <v>たっぐ攻撃いくよー！</v>
      </c>
    </row>
    <row r="775" spans="1:6" x14ac:dyDescent="0.15">
      <c r="A775" s="39">
        <v>399</v>
      </c>
      <c r="B775" s="9" t="str">
        <f>VLOOKUP(A775,[1]characters!$A:$C,3,FALSE)</f>
        <v>信愛の兄妹 ヘンゼル＆グレーテル</v>
      </c>
      <c r="C775" s="40" t="s">
        <v>26</v>
      </c>
      <c r="D775" s="46" t="str">
        <f>D771</f>
        <v>3981</v>
      </c>
      <c r="E775" s="19" t="str">
        <f>VLOOKUP(D775,unit_serifs_i18n!C:E,3,FALSE)</f>
        <v>giza</v>
      </c>
      <c r="F775" s="19" t="str">
        <f>VLOOKUP(D775,unit_serifs_i18n!C:F,4,FALSE)</f>
        <v>子どもじゃないもん！</v>
      </c>
    </row>
    <row r="776" spans="1:6" x14ac:dyDescent="0.15">
      <c r="A776" s="39">
        <v>399</v>
      </c>
      <c r="B776" s="9" t="str">
        <f>VLOOKUP(A776,[1]characters!$A:$C,3,FALSE)</f>
        <v>信愛の兄妹 ヘンゼル＆グレーテル</v>
      </c>
      <c r="C776" s="40" t="s">
        <v>26</v>
      </c>
      <c r="D776" s="46" t="str">
        <f>D772</f>
        <v>3982</v>
      </c>
      <c r="E776" s="19" t="str">
        <f>VLOOKUP(D776,unit_serifs_i18n!C:E,3,FALSE)</f>
        <v>giza</v>
      </c>
      <c r="F776" s="19" t="str">
        <f>VLOOKUP(D776,unit_serifs_i18n!C:F,4,FALSE)</f>
        <v>あたしだってできる！</v>
      </c>
    </row>
    <row r="777" spans="1:6" x14ac:dyDescent="0.15">
      <c r="A777" s="11">
        <v>400</v>
      </c>
      <c r="B777" s="9" t="str">
        <f>VLOOKUP(A777,[1]characters!$A:$C,3,FALSE)</f>
        <v>フェンリル</v>
      </c>
      <c r="C777" s="3" t="s">
        <v>25</v>
      </c>
      <c r="D777" s="42" t="str">
        <f>A777&amp;+(COUNTIF(A$32:A777,A777)-1)</f>
        <v>4000</v>
      </c>
      <c r="E777" s="19" t="str">
        <f>VLOOKUP(D777,unit_serifs_i18n!C:E,3,FALSE)</f>
        <v>maru</v>
      </c>
      <c r="F777" s="19" t="str">
        <f>VLOOKUP(D777,unit_serifs_i18n!C:F,4,FALSE)</f>
        <v>燃えていこうよ！</v>
      </c>
    </row>
    <row r="778" spans="1:6" x14ac:dyDescent="0.15">
      <c r="A778" s="39">
        <v>400</v>
      </c>
      <c r="B778" s="9" t="str">
        <f>VLOOKUP(A778,[1]characters!$A:$C,3,FALSE)</f>
        <v>フェンリル</v>
      </c>
      <c r="C778" s="40" t="s">
        <v>26</v>
      </c>
      <c r="D778" s="42" t="str">
        <f>A778&amp;+(COUNTIF(A$32:A778,A778)-1)</f>
        <v>4001</v>
      </c>
      <c r="E778" s="19" t="str">
        <f>VLOOKUP(D778,unit_serifs_i18n!C:E,3,FALSE)</f>
        <v>giza</v>
      </c>
      <c r="F778" s="19" t="str">
        <f>VLOOKUP(D778,unit_serifs_i18n!C:F,4,FALSE)</f>
        <v>近寄らないで！</v>
      </c>
    </row>
    <row r="779" spans="1:6" x14ac:dyDescent="0.15">
      <c r="A779" s="11">
        <v>401</v>
      </c>
      <c r="B779" s="9" t="str">
        <f>VLOOKUP(A779,[1]characters!$A:$C,3,FALSE)</f>
        <v>紅銀の孤狼 フェンリル</v>
      </c>
      <c r="C779" s="3" t="s">
        <v>25</v>
      </c>
      <c r="D779" s="42" t="str">
        <f>A779&amp;+(COUNTIF(A$32:A779,A779)-1)</f>
        <v>4010</v>
      </c>
      <c r="E779" s="19" t="str">
        <f>VLOOKUP(D779,unit_serifs_i18n!C:E,3,FALSE)</f>
        <v>maru</v>
      </c>
      <c r="F779" s="19" t="str">
        <f>VLOOKUP(D779,unit_serifs_i18n!C:F,4,FALSE)</f>
        <v>まだまだ燃えたりないね！</v>
      </c>
    </row>
    <row r="780" spans="1:6" x14ac:dyDescent="0.15">
      <c r="A780" s="39">
        <v>401</v>
      </c>
      <c r="B780" s="9" t="str">
        <f>VLOOKUP(A780,[1]characters!$A:$C,3,FALSE)</f>
        <v>紅銀の孤狼 フェンリル</v>
      </c>
      <c r="C780" s="40" t="s">
        <v>26</v>
      </c>
      <c r="D780" s="42" t="str">
        <f>A780&amp;+(COUNTIF(A$32:A780,A780)-1)</f>
        <v>4011</v>
      </c>
      <c r="E780" s="19" t="str">
        <f>VLOOKUP(D780,unit_serifs_i18n!C:E,3,FALSE)</f>
        <v>giza</v>
      </c>
      <c r="F780" s="19" t="str">
        <f>VLOOKUP(D780,unit_serifs_i18n!C:F,4,FALSE)</f>
        <v>私の方が格上だよ！</v>
      </c>
    </row>
    <row r="781" spans="1:6" x14ac:dyDescent="0.15">
      <c r="A781" s="39">
        <v>401</v>
      </c>
      <c r="B781" s="9" t="str">
        <f>VLOOKUP(A781,[1]characters!$A:$C,3,FALSE)</f>
        <v>紅銀の孤狼 フェンリル</v>
      </c>
      <c r="C781" s="40" t="s">
        <v>26</v>
      </c>
      <c r="D781" s="46" t="str">
        <f>D778</f>
        <v>4001</v>
      </c>
      <c r="E781" s="19" t="str">
        <f>VLOOKUP(D781,unit_serifs_i18n!C:E,3,FALSE)</f>
        <v>giza</v>
      </c>
      <c r="F781" s="19" t="str">
        <f>VLOOKUP(D781,unit_serifs_i18n!C:F,4,FALSE)</f>
        <v>近寄らないで！</v>
      </c>
    </row>
    <row r="782" spans="1:6" x14ac:dyDescent="0.15">
      <c r="A782" s="11">
        <v>402</v>
      </c>
      <c r="B782" s="9" t="str">
        <f>VLOOKUP(A782,[1]characters!$A:$C,3,FALSE)</f>
        <v>天災の神狼 フェンリル</v>
      </c>
      <c r="C782" s="3" t="s">
        <v>25</v>
      </c>
      <c r="D782" s="42" t="str">
        <f>A782&amp;+(COUNTIF(A$32:A782,A782)-1)</f>
        <v>4020</v>
      </c>
      <c r="E782" s="19" t="str">
        <f>VLOOKUP(D782,unit_serifs_i18n!C:E,3,FALSE)</f>
        <v>giza</v>
      </c>
      <c r="F782" s="19" t="str">
        <f>VLOOKUP(D782,unit_serifs_i18n!C:F,4,FALSE)</f>
        <v>燃え尽きても知らないよ！</v>
      </c>
    </row>
    <row r="783" spans="1:6" x14ac:dyDescent="0.15">
      <c r="A783" s="39">
        <v>402</v>
      </c>
      <c r="B783" s="9" t="str">
        <f>VLOOKUP(A783,[1]characters!$A:$C,3,FALSE)</f>
        <v>天災の神狼 フェンリル</v>
      </c>
      <c r="C783" s="40" t="s">
        <v>26</v>
      </c>
      <c r="D783" s="42" t="str">
        <f>A783&amp;+(COUNTIF(A$32:A783,A783)-1)</f>
        <v>4021</v>
      </c>
      <c r="E783" s="19" t="str">
        <f>VLOOKUP(D783,unit_serifs_i18n!C:E,3,FALSE)</f>
        <v>giza</v>
      </c>
      <c r="F783" s="19" t="str">
        <f>VLOOKUP(D783,unit_serifs_i18n!C:F,4,FALSE)</f>
        <v>狩猟本能全開っ！！</v>
      </c>
    </row>
    <row r="784" spans="1:6" x14ac:dyDescent="0.15">
      <c r="A784" s="39">
        <v>402</v>
      </c>
      <c r="B784" s="9" t="str">
        <f>VLOOKUP(A784,[1]characters!$A:$C,3,FALSE)</f>
        <v>天災の神狼 フェンリル</v>
      </c>
      <c r="C784" s="40" t="s">
        <v>26</v>
      </c>
      <c r="D784" s="46" t="str">
        <f>D781</f>
        <v>4001</v>
      </c>
      <c r="E784" s="19" t="str">
        <f>VLOOKUP(D784,unit_serifs_i18n!C:E,3,FALSE)</f>
        <v>giza</v>
      </c>
      <c r="F784" s="19" t="str">
        <f>VLOOKUP(D784,unit_serifs_i18n!C:F,4,FALSE)</f>
        <v>近寄らないで！</v>
      </c>
    </row>
    <row r="785" spans="1:6" x14ac:dyDescent="0.15">
      <c r="A785" s="39">
        <v>402</v>
      </c>
      <c r="B785" s="9" t="str">
        <f>VLOOKUP(A785,[1]characters!$A:$C,3,FALSE)</f>
        <v>天災の神狼 フェンリル</v>
      </c>
      <c r="C785" s="40" t="s">
        <v>26</v>
      </c>
      <c r="D785" s="46" t="str">
        <f>D780</f>
        <v>4011</v>
      </c>
      <c r="E785" s="19" t="str">
        <f>VLOOKUP(D785,unit_serifs_i18n!C:E,3,FALSE)</f>
        <v>giza</v>
      </c>
      <c r="F785" s="19" t="str">
        <f>VLOOKUP(D785,unit_serifs_i18n!C:F,4,FALSE)</f>
        <v>私の方が格上だよ！</v>
      </c>
    </row>
    <row r="786" spans="1:6" x14ac:dyDescent="0.15">
      <c r="A786" s="11">
        <v>403</v>
      </c>
      <c r="B786" s="9" t="str">
        <f>VLOOKUP(A786,[1]characters!$A:$C,3,FALSE)</f>
        <v>静撃の翠眼 八咫烏</v>
      </c>
      <c r="C786" s="3" t="s">
        <v>25</v>
      </c>
      <c r="D786" s="42" t="str">
        <f>A786&amp;+(COUNTIF(A$32:A786,A786)-1)</f>
        <v>4030</v>
      </c>
      <c r="E786" s="19" t="str">
        <f>VLOOKUP(D786,unit_serifs_i18n!C:E,3,FALSE)</f>
        <v>giza</v>
      </c>
      <c r="F786" s="19" t="str">
        <f>VLOOKUP(D786,unit_serifs_i18n!C:F,4,FALSE)</f>
        <v>迎撃なんて無駄なんだよ！</v>
      </c>
    </row>
    <row r="787" spans="1:6" x14ac:dyDescent="0.15">
      <c r="A787" s="39">
        <v>403</v>
      </c>
      <c r="B787" s="9" t="str">
        <f>VLOOKUP(A787,[1]characters!$A:$C,3,FALSE)</f>
        <v>静撃の翠眼 八咫烏</v>
      </c>
      <c r="C787" s="40" t="s">
        <v>26</v>
      </c>
      <c r="D787" s="42" t="str">
        <f>A787&amp;+(COUNTIF(A$32:A787,A787)-1)</f>
        <v>4031</v>
      </c>
      <c r="E787" s="19" t="str">
        <f>VLOOKUP(D787,unit_serifs_i18n!C:E,3,FALSE)</f>
        <v>maru</v>
      </c>
      <c r="F787" s="19" t="str">
        <f>VLOOKUP(D787,unit_serifs_i18n!C:F,4,FALSE)</f>
        <v>くっ！片目が疼く！</v>
      </c>
    </row>
    <row r="788" spans="1:6" x14ac:dyDescent="0.15">
      <c r="A788" s="39">
        <v>403</v>
      </c>
      <c r="B788" s="9" t="str">
        <f>VLOOKUP(A788,[1]characters!$A:$C,3,FALSE)</f>
        <v>静撃の翠眼 八咫烏</v>
      </c>
      <c r="C788" s="40" t="s">
        <v>26</v>
      </c>
      <c r="D788" s="42" t="str">
        <f>A788&amp;+(COUNTIF(A$32:A788,A788)-1)</f>
        <v>4032</v>
      </c>
      <c r="E788" s="19" t="str">
        <f>VLOOKUP(D788,unit_serifs_i18n!C:E,3,FALSE)</f>
        <v>giza</v>
      </c>
      <c r="F788" s="19" t="str">
        <f>VLOOKUP(D788,unit_serifs_i18n!C:F,4,FALSE)</f>
        <v>私に近づかないことね</v>
      </c>
    </row>
    <row r="789" spans="1:6" x14ac:dyDescent="0.15">
      <c r="A789" s="11">
        <v>404</v>
      </c>
      <c r="B789" s="9" t="str">
        <f>VLOOKUP(A789,[1]characters!$A:$C,3,FALSE)</f>
        <v>空襲の神眼 八咫烏</v>
      </c>
      <c r="C789" s="3" t="s">
        <v>25</v>
      </c>
      <c r="D789" s="42" t="str">
        <f>A789&amp;+(COUNTIF(A$32:A789,A789)-1)</f>
        <v>4040</v>
      </c>
      <c r="E789" s="19" t="str">
        <f>VLOOKUP(D789,unit_serifs_i18n!C:E,3,FALSE)</f>
        <v>giza</v>
      </c>
      <c r="F789" s="19" t="str">
        <f>VLOOKUP(D789,unit_serifs_i18n!C:F,4,FALSE)</f>
        <v>It’a true wolrd．</v>
      </c>
    </row>
    <row r="790" spans="1:6" x14ac:dyDescent="0.15">
      <c r="A790" s="39">
        <v>404</v>
      </c>
      <c r="B790" s="9" t="str">
        <f>VLOOKUP(A790,[1]characters!$A:$C,3,FALSE)</f>
        <v>空襲の神眼 八咫烏</v>
      </c>
      <c r="C790" s="40" t="s">
        <v>26</v>
      </c>
      <c r="D790" s="42" t="str">
        <f>A790&amp;+(COUNTIF(A$32:A790,A790)-1)</f>
        <v>4041</v>
      </c>
      <c r="E790" s="19" t="str">
        <f>VLOOKUP(D790,unit_serifs_i18n!C:E,3,FALSE)</f>
        <v>giza</v>
      </c>
      <c r="F790" s="19" t="str">
        <f>VLOOKUP(D790,unit_serifs_i18n!C:F,4,FALSE)</f>
        <v>聞こえる？闇の咆哮が</v>
      </c>
    </row>
    <row r="791" spans="1:6" x14ac:dyDescent="0.15">
      <c r="A791" s="39">
        <v>404</v>
      </c>
      <c r="B791" s="9" t="str">
        <f>VLOOKUP(A791,[1]characters!$A:$C,3,FALSE)</f>
        <v>空襲の神眼 八咫烏</v>
      </c>
      <c r="C791" s="40" t="s">
        <v>26</v>
      </c>
      <c r="D791" s="46" t="str">
        <f>D787</f>
        <v>4031</v>
      </c>
      <c r="E791" s="19" t="str">
        <f>VLOOKUP(D791,unit_serifs_i18n!C:E,3,FALSE)</f>
        <v>maru</v>
      </c>
      <c r="F791" s="19" t="str">
        <f>VLOOKUP(D791,unit_serifs_i18n!C:F,4,FALSE)</f>
        <v>くっ！片目が疼く！</v>
      </c>
    </row>
    <row r="792" spans="1:6" x14ac:dyDescent="0.15">
      <c r="A792" s="39">
        <v>404</v>
      </c>
      <c r="B792" s="9" t="str">
        <f>VLOOKUP(A792,[1]characters!$A:$C,3,FALSE)</f>
        <v>空襲の神眼 八咫烏</v>
      </c>
      <c r="C792" s="40" t="s">
        <v>26</v>
      </c>
      <c r="D792" s="46" t="str">
        <f>D788</f>
        <v>4032</v>
      </c>
      <c r="E792" s="19" t="str">
        <f>VLOOKUP(D792,unit_serifs_i18n!C:E,3,FALSE)</f>
        <v>giza</v>
      </c>
      <c r="F792" s="19" t="str">
        <f>VLOOKUP(D792,unit_serifs_i18n!C:F,4,FALSE)</f>
        <v>私に近づかないことね</v>
      </c>
    </row>
    <row r="793" spans="1:6" x14ac:dyDescent="0.15">
      <c r="A793" s="11">
        <v>405</v>
      </c>
      <c r="B793" s="9" t="str">
        <f>VLOOKUP(A793,[1]characters!$A:$C,3,FALSE)</f>
        <v>エキドナ</v>
      </c>
      <c r="C793" s="3" t="s">
        <v>25</v>
      </c>
      <c r="D793" s="42" t="str">
        <f>A793&amp;+(COUNTIF(A$32:A793,A793)-1)</f>
        <v>4050</v>
      </c>
      <c r="E793" s="19" t="str">
        <f>VLOOKUP(D793,unit_serifs_i18n!C:E,3,FALSE)</f>
        <v>maru</v>
      </c>
      <c r="F793" s="19" t="str">
        <f>VLOOKUP(D793,unit_serifs_i18n!C:F,4,FALSE)</f>
        <v>お風呂にしましょ？</v>
      </c>
    </row>
    <row r="794" spans="1:6" x14ac:dyDescent="0.15">
      <c r="A794" s="39">
        <v>405</v>
      </c>
      <c r="B794" s="9" t="str">
        <f>VLOOKUP(A794,[1]characters!$A:$C,3,FALSE)</f>
        <v>エキドナ</v>
      </c>
      <c r="C794" s="40" t="s">
        <v>26</v>
      </c>
      <c r="D794" s="42" t="str">
        <f>A794&amp;+(COUNTIF(A$32:A794,A794)-1)</f>
        <v>4051</v>
      </c>
      <c r="E794" s="19" t="str">
        <f>VLOOKUP(D794,unit_serifs_i18n!C:E,3,FALSE)</f>
        <v>maru</v>
      </c>
      <c r="F794" s="19" t="str">
        <f>VLOOKUP(D794,unit_serifs_i18n!C:F,4,FALSE)</f>
        <v>私たちの邪魔しないで</v>
      </c>
    </row>
    <row r="795" spans="1:6" x14ac:dyDescent="0.15">
      <c r="A795" s="11">
        <v>406</v>
      </c>
      <c r="B795" s="9" t="str">
        <f>VLOOKUP(A795,[1]characters!$A:$C,3,FALSE)</f>
        <v>美笑の蒼蛇 エキドナ</v>
      </c>
      <c r="C795" s="3" t="s">
        <v>25</v>
      </c>
      <c r="D795" s="42" t="str">
        <f>A795&amp;+(COUNTIF(A$32:A795,A795)-1)</f>
        <v>4060</v>
      </c>
      <c r="E795" s="19" t="str">
        <f>VLOOKUP(D795,unit_serifs_i18n!C:E,3,FALSE)</f>
        <v>kumo</v>
      </c>
      <c r="F795" s="19" t="str">
        <f>VLOOKUP(D795,unit_serifs_i18n!C:F,4,FALSE)</f>
        <v>スイッチ…入っちゃった</v>
      </c>
    </row>
    <row r="796" spans="1:6" x14ac:dyDescent="0.15">
      <c r="A796" s="39">
        <v>406</v>
      </c>
      <c r="B796" s="9" t="str">
        <f>VLOOKUP(A796,[1]characters!$A:$C,3,FALSE)</f>
        <v>美笑の蒼蛇 エキドナ</v>
      </c>
      <c r="C796" s="40" t="s">
        <v>26</v>
      </c>
      <c r="D796" s="42" t="str">
        <f>A796&amp;+(COUNTIF(A$32:A796,A796)-1)</f>
        <v>4061</v>
      </c>
      <c r="E796" s="19" t="str">
        <f>VLOOKUP(D796,unit_serifs_i18n!C:E,3,FALSE)</f>
        <v>kumo</v>
      </c>
      <c r="F796" s="19" t="str">
        <f>VLOOKUP(D796,unit_serifs_i18n!C:F,4,FALSE)</f>
        <v>失礼な方々ですね…</v>
      </c>
    </row>
    <row r="797" spans="1:6" x14ac:dyDescent="0.15">
      <c r="A797" s="39">
        <v>406</v>
      </c>
      <c r="B797" s="9" t="str">
        <f>VLOOKUP(A797,[1]characters!$A:$C,3,FALSE)</f>
        <v>美笑の蒼蛇 エキドナ</v>
      </c>
      <c r="C797" s="40" t="s">
        <v>26</v>
      </c>
      <c r="D797" s="46" t="str">
        <f>D794</f>
        <v>4051</v>
      </c>
      <c r="E797" s="19" t="str">
        <f>VLOOKUP(D797,unit_serifs_i18n!C:E,3,FALSE)</f>
        <v>maru</v>
      </c>
      <c r="F797" s="19" t="str">
        <f>VLOOKUP(D797,unit_serifs_i18n!C:F,4,FALSE)</f>
        <v>私たちの邪魔しないで</v>
      </c>
    </row>
    <row r="798" spans="1:6" x14ac:dyDescent="0.15">
      <c r="A798" s="11">
        <v>407</v>
      </c>
      <c r="B798" s="9" t="str">
        <f>VLOOKUP(A798,[1]characters!$A:$C,3,FALSE)</f>
        <v>蠱惑の飛刀 エキドナ</v>
      </c>
      <c r="C798" s="3" t="s">
        <v>25</v>
      </c>
      <c r="D798" s="42" t="str">
        <f>A798&amp;+(COUNTIF(A$32:A798,A798)-1)</f>
        <v>4070</v>
      </c>
      <c r="E798" s="19" t="str">
        <f>VLOOKUP(D798,unit_serifs_i18n!C:E,3,FALSE)</f>
        <v>kumo</v>
      </c>
      <c r="F798" s="19" t="str">
        <f>VLOOKUP(D798,unit_serifs_i18n!C:F,4,FALSE)</f>
        <v>死ぬまで愛しちゃいます…</v>
      </c>
    </row>
    <row r="799" spans="1:6" x14ac:dyDescent="0.15">
      <c r="A799" s="39">
        <v>407</v>
      </c>
      <c r="B799" s="9" t="str">
        <f>VLOOKUP(A799,[1]characters!$A:$C,3,FALSE)</f>
        <v>蠱惑の飛刀 エキドナ</v>
      </c>
      <c r="C799" s="40" t="s">
        <v>26</v>
      </c>
      <c r="D799" s="42" t="str">
        <f>A799&amp;+(COUNTIF(A$32:A799,A799)-1)</f>
        <v>4071</v>
      </c>
      <c r="E799" s="19" t="str">
        <f>VLOOKUP(D799,unit_serifs_i18n!C:E,3,FALSE)</f>
        <v>maru</v>
      </c>
      <c r="F799" s="19" t="str">
        <f>VLOOKUP(D799,unit_serifs_i18n!C:F,4,FALSE)</f>
        <v>怒らせないで…ね</v>
      </c>
    </row>
    <row r="800" spans="1:6" x14ac:dyDescent="0.15">
      <c r="A800" s="39">
        <v>407</v>
      </c>
      <c r="B800" s="9" t="str">
        <f>VLOOKUP(A800,[1]characters!$A:$C,3,FALSE)</f>
        <v>蠱惑の飛刀 エキドナ</v>
      </c>
      <c r="C800" s="40" t="s">
        <v>26</v>
      </c>
      <c r="D800" s="46" t="str">
        <f>D797</f>
        <v>4051</v>
      </c>
      <c r="E800" s="19" t="str">
        <f>VLOOKUP(D800,unit_serifs_i18n!C:E,3,FALSE)</f>
        <v>maru</v>
      </c>
      <c r="F800" s="19" t="str">
        <f>VLOOKUP(D800,unit_serifs_i18n!C:F,4,FALSE)</f>
        <v>私たちの邪魔しないで</v>
      </c>
    </row>
    <row r="801" spans="1:6" x14ac:dyDescent="0.15">
      <c r="A801" s="39">
        <v>407</v>
      </c>
      <c r="B801" s="9" t="str">
        <f>VLOOKUP(A801,[1]characters!$A:$C,3,FALSE)</f>
        <v>蠱惑の飛刀 エキドナ</v>
      </c>
      <c r="C801" s="40" t="s">
        <v>26</v>
      </c>
      <c r="D801" s="46" t="str">
        <f>D796</f>
        <v>4061</v>
      </c>
      <c r="E801" s="19" t="str">
        <f>VLOOKUP(D801,unit_serifs_i18n!C:E,3,FALSE)</f>
        <v>kumo</v>
      </c>
      <c r="F801" s="19" t="str">
        <f>VLOOKUP(D801,unit_serifs_i18n!C:F,4,FALSE)</f>
        <v>失礼な方々ですね…</v>
      </c>
    </row>
    <row r="802" spans="1:6" x14ac:dyDescent="0.15">
      <c r="A802" s="11">
        <v>408</v>
      </c>
      <c r="B802" s="9" t="str">
        <f>VLOOKUP(A802,[1]characters!$A:$C,3,FALSE)</f>
        <v>皇魔 アスタロト</v>
      </c>
      <c r="C802" s="3" t="s">
        <v>25</v>
      </c>
      <c r="D802" s="42" t="str">
        <f>A802&amp;+(COUNTIF(A$32:A802,A802)-1)</f>
        <v>4080</v>
      </c>
      <c r="E802" s="19" t="str">
        <f>VLOOKUP(D802,unit_serifs_i18n!C:E,3,FALSE)</f>
        <v>maru</v>
      </c>
      <c r="F802" s="19" t="str">
        <f>VLOOKUP(D802,unit_serifs_i18n!C:F,4,FALSE)</f>
        <v>痛打…とだけ言っておく</v>
      </c>
    </row>
    <row r="803" spans="1:6" x14ac:dyDescent="0.15">
      <c r="A803" s="39">
        <v>408</v>
      </c>
      <c r="B803" s="9" t="str">
        <f>VLOOKUP(A803,[1]characters!$A:$C,3,FALSE)</f>
        <v>皇魔 アスタロト</v>
      </c>
      <c r="C803" s="40" t="s">
        <v>26</v>
      </c>
      <c r="D803" s="42" t="str">
        <f>A803&amp;+(COUNTIF(A$32:A803,A803)-1)</f>
        <v>4081</v>
      </c>
      <c r="E803" s="19" t="str">
        <f>VLOOKUP(D803,unit_serifs_i18n!C:E,3,FALSE)</f>
        <v>maru</v>
      </c>
      <c r="F803" s="19" t="str">
        <f>VLOOKUP(D803,unit_serifs_i18n!C:F,4,FALSE)</f>
        <v>お手合わせ願おうか…</v>
      </c>
    </row>
    <row r="804" spans="1:6" x14ac:dyDescent="0.15">
      <c r="A804" s="39">
        <v>408</v>
      </c>
      <c r="B804" s="9" t="str">
        <f>VLOOKUP(A804,[1]characters!$A:$C,3,FALSE)</f>
        <v>皇魔 アスタロト</v>
      </c>
      <c r="C804" s="40" t="s">
        <v>26</v>
      </c>
      <c r="D804" s="42" t="str">
        <f>A804&amp;+(COUNTIF(A$32:A804,A804)-1)</f>
        <v>4082</v>
      </c>
      <c r="E804" s="19" t="str">
        <f>VLOOKUP(D804,unit_serifs_i18n!C:E,3,FALSE)</f>
        <v>kumo</v>
      </c>
      <c r="F804" s="19" t="str">
        <f>VLOOKUP(D804,unit_serifs_i18n!C:F,4,FALSE)</f>
        <v>少し…楽しくなってきた</v>
      </c>
    </row>
    <row r="805" spans="1:6" x14ac:dyDescent="0.15">
      <c r="A805" s="11">
        <v>409</v>
      </c>
      <c r="B805" s="9" t="str">
        <f>VLOOKUP(A805,[1]characters!$A:$C,3,FALSE)</f>
        <v>天眼の皇貴魔 アスタロト</v>
      </c>
      <c r="C805" s="3" t="s">
        <v>25</v>
      </c>
      <c r="D805" s="42" t="str">
        <f>A805&amp;+(COUNTIF(A$32:A805,A805)-1)</f>
        <v>4090</v>
      </c>
      <c r="E805" s="19" t="str">
        <f>VLOOKUP(D805,unit_serifs_i18n!C:E,3,FALSE)</f>
        <v>maru</v>
      </c>
      <c r="F805" s="19" t="str">
        <f>VLOOKUP(D805,unit_serifs_i18n!C:F,4,FALSE)</f>
        <v>ガードなど一切関係ない</v>
      </c>
    </row>
    <row r="806" spans="1:6" x14ac:dyDescent="0.15">
      <c r="A806" s="39">
        <v>409</v>
      </c>
      <c r="B806" s="9" t="str">
        <f>VLOOKUP(A806,[1]characters!$A:$C,3,FALSE)</f>
        <v>天眼の皇貴魔 アスタロト</v>
      </c>
      <c r="C806" s="40" t="s">
        <v>26</v>
      </c>
      <c r="D806" s="42" t="str">
        <f>A806&amp;+(COUNTIF(A$32:A806,A806)-1)</f>
        <v>4091</v>
      </c>
      <c r="E806" s="19" t="str">
        <f>VLOOKUP(D806,unit_serifs_i18n!C:E,3,FALSE)</f>
        <v>maru</v>
      </c>
      <c r="F806" s="19" t="str">
        <f>VLOOKUP(D806,unit_serifs_i18n!C:F,4,FALSE)</f>
        <v>執行する、一瞬でな</v>
      </c>
    </row>
    <row r="807" spans="1:6" x14ac:dyDescent="0.15">
      <c r="A807" s="39">
        <v>409</v>
      </c>
      <c r="B807" s="9" t="str">
        <f>VLOOKUP(A807,[1]characters!$A:$C,3,FALSE)</f>
        <v>天眼の皇貴魔 アスタロト</v>
      </c>
      <c r="C807" s="40" t="s">
        <v>26</v>
      </c>
      <c r="D807" s="46" t="str">
        <f>D803</f>
        <v>4081</v>
      </c>
      <c r="E807" s="19" t="str">
        <f>VLOOKUP(D807,unit_serifs_i18n!C:E,3,FALSE)</f>
        <v>maru</v>
      </c>
      <c r="F807" s="19" t="str">
        <f>VLOOKUP(D807,unit_serifs_i18n!C:F,4,FALSE)</f>
        <v>お手合わせ願おうか…</v>
      </c>
    </row>
    <row r="808" spans="1:6" x14ac:dyDescent="0.15">
      <c r="A808" s="39">
        <v>409</v>
      </c>
      <c r="B808" s="9" t="str">
        <f>VLOOKUP(A808,[1]characters!$A:$C,3,FALSE)</f>
        <v>天眼の皇貴魔 アスタロト</v>
      </c>
      <c r="C808" s="40" t="s">
        <v>26</v>
      </c>
      <c r="D808" s="46" t="str">
        <f>D804</f>
        <v>4082</v>
      </c>
      <c r="E808" s="19" t="str">
        <f>VLOOKUP(D808,unit_serifs_i18n!C:E,3,FALSE)</f>
        <v>kumo</v>
      </c>
      <c r="F808" s="19" t="str">
        <f>VLOOKUP(D808,unit_serifs_i18n!C:F,4,FALSE)</f>
        <v>少し…楽しくなってきた</v>
      </c>
    </row>
    <row r="809" spans="1:6" x14ac:dyDescent="0.15">
      <c r="A809" s="11">
        <v>410</v>
      </c>
      <c r="B809" s="9" t="str">
        <f>VLOOKUP(A809,[1]characters!$A:$C,3,FALSE)</f>
        <v>ファラデー</v>
      </c>
      <c r="C809" s="55" t="s">
        <v>25</v>
      </c>
      <c r="D809" s="42" t="str">
        <f>A809&amp;+(COUNTIF(A$32:A809,A809)-1)</f>
        <v>4100</v>
      </c>
      <c r="E809" s="19" t="str">
        <f>VLOOKUP(D809,unit_serifs_i18n!C:E,3,FALSE)</f>
        <v>kumo</v>
      </c>
      <c r="F809" s="19" t="str">
        <f>VLOOKUP(D809,unit_serifs_i18n!C:F,4,FALSE)</f>
        <v>実験を始めましょう！</v>
      </c>
    </row>
    <row r="810" spans="1:6" x14ac:dyDescent="0.15">
      <c r="A810" s="11">
        <v>410</v>
      </c>
      <c r="B810" s="9" t="str">
        <f>VLOOKUP(A810,[1]characters!$A:$C,3,FALSE)</f>
        <v>ファラデー</v>
      </c>
      <c r="C810" s="55" t="s">
        <v>26</v>
      </c>
      <c r="D810" s="42" t="str">
        <f>A810&amp;+(COUNTIF(A$32:A810,A810)-1)</f>
        <v>4101</v>
      </c>
      <c r="E810" s="19" t="str">
        <f>VLOOKUP(D810,unit_serifs_i18n!C:E,3,FALSE)</f>
        <v>kumo</v>
      </c>
      <c r="F810" s="19" t="str">
        <f>VLOOKUP(D810,unit_serifs_i18n!C:F,4,FALSE)</f>
        <v>分解しちゃうぞー！</v>
      </c>
    </row>
    <row r="811" spans="1:6" x14ac:dyDescent="0.15">
      <c r="A811" s="11">
        <v>410</v>
      </c>
      <c r="B811" s="9" t="str">
        <f>VLOOKUP(A811,[1]characters!$A:$C,3,FALSE)</f>
        <v>ファラデー</v>
      </c>
      <c r="C811" s="55" t="s">
        <v>26</v>
      </c>
      <c r="D811" s="42" t="str">
        <f>A811&amp;+(COUNTIF(A$32:A811,A811)-1)</f>
        <v>4102</v>
      </c>
      <c r="E811" s="19" t="str">
        <f>VLOOKUP(D811,unit_serifs_i18n!C:E,3,FALSE)</f>
        <v>giza</v>
      </c>
      <c r="F811" s="19" t="str">
        <f>VLOOKUP(D811,unit_serifs_i18n!C:F,4,FALSE)</f>
        <v>電力最大！</v>
      </c>
    </row>
    <row r="812" spans="1:6" x14ac:dyDescent="0.15">
      <c r="A812" s="11">
        <v>411</v>
      </c>
      <c r="B812" s="9" t="str">
        <f>VLOOKUP(A812,[1]characters!$A:$C,3,FALSE)</f>
        <v>電隷の始祖 ファラデー</v>
      </c>
      <c r="C812" s="55" t="s">
        <v>25</v>
      </c>
      <c r="D812" s="42" t="str">
        <f>A812&amp;+(COUNTIF(A$32:A812,A812)-1)</f>
        <v>4110</v>
      </c>
      <c r="E812" s="19" t="str">
        <f>VLOOKUP(D812,unit_serifs_i18n!C:E,3,FALSE)</f>
        <v>maru</v>
      </c>
      <c r="F812" s="19" t="str">
        <f>VLOOKUP(D812,unit_serifs_i18n!C:F,4,FALSE)</f>
        <v>スイッチオン！覚悟して！</v>
      </c>
    </row>
    <row r="813" spans="1:6" x14ac:dyDescent="0.15">
      <c r="A813" s="11">
        <v>411</v>
      </c>
      <c r="B813" s="9" t="str">
        <f>VLOOKUP(A813,[1]characters!$A:$C,3,FALSE)</f>
        <v>電隷の始祖 ファラデー</v>
      </c>
      <c r="C813" s="55" t="s">
        <v>26</v>
      </c>
      <c r="D813" s="42" t="str">
        <f>A813&amp;+(COUNTIF(A$32:A813,A813)-1)</f>
        <v>4111</v>
      </c>
      <c r="E813" s="19" t="str">
        <f>VLOOKUP(D813,unit_serifs_i18n!C:E,3,FALSE)</f>
        <v>giza</v>
      </c>
      <c r="F813" s="19" t="str">
        <f>VLOOKUP(D813,unit_serifs_i18n!C:F,4,FALSE)</f>
        <v>回転数MAX！</v>
      </c>
    </row>
    <row r="814" spans="1:6" x14ac:dyDescent="0.15">
      <c r="A814" s="11">
        <v>411</v>
      </c>
      <c r="B814" s="9" t="str">
        <f>VLOOKUP(A814,[1]characters!$A:$C,3,FALSE)</f>
        <v>電隷の始祖 ファラデー</v>
      </c>
      <c r="C814" s="55" t="s">
        <v>26</v>
      </c>
      <c r="D814" s="46" t="str">
        <f>D810</f>
        <v>4101</v>
      </c>
      <c r="E814" s="19" t="str">
        <f>VLOOKUP(D814,unit_serifs_i18n!C:E,3,FALSE)</f>
        <v>kumo</v>
      </c>
      <c r="F814" s="19" t="str">
        <f>VLOOKUP(D814,unit_serifs_i18n!C:F,4,FALSE)</f>
        <v>分解しちゃうぞー！</v>
      </c>
    </row>
    <row r="815" spans="1:6" x14ac:dyDescent="0.15">
      <c r="A815" s="11">
        <v>411</v>
      </c>
      <c r="B815" s="9" t="str">
        <f>VLOOKUP(A815,[1]characters!$A:$C,3,FALSE)</f>
        <v>電隷の始祖 ファラデー</v>
      </c>
      <c r="C815" s="55" t="s">
        <v>26</v>
      </c>
      <c r="D815" s="46" t="str">
        <f>D811</f>
        <v>4102</v>
      </c>
      <c r="E815" s="19" t="str">
        <f>VLOOKUP(D815,unit_serifs_i18n!C:E,3,FALSE)</f>
        <v>giza</v>
      </c>
      <c r="F815" s="19" t="str">
        <f>VLOOKUP(D815,unit_serifs_i18n!C:F,4,FALSE)</f>
        <v>電力最大！</v>
      </c>
    </row>
    <row r="816" spans="1:6" x14ac:dyDescent="0.15">
      <c r="A816" s="11">
        <v>804</v>
      </c>
      <c r="B816" s="9" t="str">
        <f>VLOOKUP(A816,[1]characters!$A:$C,3,FALSE)</f>
        <v>豪電の守護芯 ファラデー</v>
      </c>
      <c r="C816" s="55" t="s">
        <v>25</v>
      </c>
      <c r="D816" s="42" t="str">
        <f>A816&amp;+(COUNTIF(A$32:A816,A816)-1)</f>
        <v>8040</v>
      </c>
      <c r="E816" s="19" t="str">
        <f>VLOOKUP(D816,unit_serifs_i18n!C:E,3,FALSE)</f>
        <v>giza</v>
      </c>
      <c r="F816" s="19" t="str">
        <f>VLOOKUP(D816,unit_serifs_i18n!C:F,4,FALSE)</f>
        <v>限界ギリギリまでっ！！</v>
      </c>
    </row>
    <row r="817" spans="1:6" x14ac:dyDescent="0.15">
      <c r="A817" s="11">
        <v>804</v>
      </c>
      <c r="B817" s="9" t="str">
        <f>VLOOKUP(A817,[1]characters!$A:$C,3,FALSE)</f>
        <v>豪電の守護芯 ファラデー</v>
      </c>
      <c r="C817" s="55" t="s">
        <v>26</v>
      </c>
      <c r="D817" s="42" t="str">
        <f>A817&amp;+(COUNTIF(A$32:A817,A817)-1)</f>
        <v>8041</v>
      </c>
      <c r="E817" s="19" t="str">
        <f>VLOOKUP(D817,unit_serifs_i18n!C:E,3,FALSE)</f>
        <v>giza</v>
      </c>
      <c r="F817" s="19" t="str">
        <f>VLOOKUP(D817,unit_serifs_i18n!C:F,4,FALSE)</f>
        <v>記録には残してあげる！</v>
      </c>
    </row>
    <row r="818" spans="1:6" x14ac:dyDescent="0.15">
      <c r="A818" s="11">
        <v>804</v>
      </c>
      <c r="B818" s="9" t="str">
        <f>VLOOKUP(A818,[1]characters!$A:$C,3,FALSE)</f>
        <v>豪電の守護芯 ファラデー</v>
      </c>
      <c r="C818" s="55" t="s">
        <v>26</v>
      </c>
      <c r="D818" s="46" t="str">
        <f>D814</f>
        <v>4101</v>
      </c>
      <c r="E818" s="19" t="str">
        <f>VLOOKUP(D818,unit_serifs_i18n!C:E,3,FALSE)</f>
        <v>kumo</v>
      </c>
      <c r="F818" s="19" t="str">
        <f>VLOOKUP(D818,unit_serifs_i18n!C:F,4,FALSE)</f>
        <v>分解しちゃうぞー！</v>
      </c>
    </row>
    <row r="819" spans="1:6" x14ac:dyDescent="0.15">
      <c r="A819" s="11">
        <v>804</v>
      </c>
      <c r="B819" s="9" t="str">
        <f>VLOOKUP(A819,[1]characters!$A:$C,3,FALSE)</f>
        <v>豪電の守護芯 ファラデー</v>
      </c>
      <c r="C819" s="55" t="s">
        <v>26</v>
      </c>
      <c r="D819" s="46" t="str">
        <f>D815</f>
        <v>4102</v>
      </c>
      <c r="E819" s="19" t="str">
        <f>VLOOKUP(D819,unit_serifs_i18n!C:E,3,FALSE)</f>
        <v>giza</v>
      </c>
      <c r="F819" s="19" t="str">
        <f>VLOOKUP(D819,unit_serifs_i18n!C:F,4,FALSE)</f>
        <v>電力最大！</v>
      </c>
    </row>
    <row r="820" spans="1:6" x14ac:dyDescent="0.15">
      <c r="A820" s="11">
        <v>804</v>
      </c>
      <c r="B820" s="9" t="str">
        <f>VLOOKUP(A820,[1]characters!$A:$C,3,FALSE)</f>
        <v>豪電の守護芯 ファラデー</v>
      </c>
      <c r="C820" s="55" t="s">
        <v>26</v>
      </c>
      <c r="D820" s="46" t="str">
        <f>D813</f>
        <v>4111</v>
      </c>
      <c r="E820" s="19" t="str">
        <f>VLOOKUP(D820,unit_serifs_i18n!C:E,3,FALSE)</f>
        <v>giza</v>
      </c>
      <c r="F820" s="19" t="str">
        <f>VLOOKUP(D820,unit_serifs_i18n!C:F,4,FALSE)</f>
        <v>回転数MAX！</v>
      </c>
    </row>
    <row r="821" spans="1:6" x14ac:dyDescent="0.15">
      <c r="A821" s="11">
        <v>418</v>
      </c>
      <c r="B821" s="9" t="str">
        <f>VLOOKUP(A821,[1]characters!$A:$C,3,FALSE)</f>
        <v>ウラシマ</v>
      </c>
      <c r="C821" s="3" t="s">
        <v>25</v>
      </c>
      <c r="D821" s="42" t="str">
        <f>A821&amp;+(COUNTIF(A$32:A821,A821)-1)</f>
        <v>4180</v>
      </c>
      <c r="E821" s="19" t="str">
        <f>VLOOKUP(D821,unit_serifs_i18n!C:E,3,FALSE)</f>
        <v>giza</v>
      </c>
      <c r="F821" s="19" t="str">
        <f>VLOOKUP(D821,unit_serifs_i18n!C:F,4,FALSE)</f>
        <v>なにしてもムダだっての！</v>
      </c>
    </row>
    <row r="822" spans="1:6" x14ac:dyDescent="0.15">
      <c r="A822" s="39">
        <v>418</v>
      </c>
      <c r="B822" s="9" t="str">
        <f>VLOOKUP(A822,[1]characters!$A:$C,3,FALSE)</f>
        <v>ウラシマ</v>
      </c>
      <c r="C822" s="40" t="s">
        <v>26</v>
      </c>
      <c r="D822" s="42" t="str">
        <f>A822&amp;+(COUNTIF(A$32:A822,A822)-1)</f>
        <v>4181</v>
      </c>
      <c r="E822" s="19" t="str">
        <f>VLOOKUP(D822,unit_serifs_i18n!C:E,3,FALSE)</f>
        <v>maru</v>
      </c>
      <c r="F822" s="19" t="str">
        <f>VLOOKUP(D822,unit_serifs_i18n!C:F,4,FALSE)</f>
        <v>脆弱だな機械ってのは</v>
      </c>
    </row>
    <row r="823" spans="1:6" x14ac:dyDescent="0.15">
      <c r="A823" s="39">
        <v>418</v>
      </c>
      <c r="B823" s="9" t="str">
        <f>VLOOKUP(A823,[1]characters!$A:$C,3,FALSE)</f>
        <v>ウラシマ</v>
      </c>
      <c r="C823" s="40" t="s">
        <v>26</v>
      </c>
      <c r="D823" s="42" t="str">
        <f>A823&amp;+(COUNTIF(A$32:A823,A823)-1)</f>
        <v>4182</v>
      </c>
      <c r="E823" s="19" t="str">
        <f>VLOOKUP(D823,unit_serifs_i18n!C:E,3,FALSE)</f>
        <v>kumo</v>
      </c>
      <c r="F823" s="19" t="str">
        <f>VLOOKUP(D823,unit_serifs_i18n!C:F,4,FALSE)</f>
        <v>全部オレの手の内だぜ</v>
      </c>
    </row>
    <row r="824" spans="1:6" x14ac:dyDescent="0.15">
      <c r="A824" s="11">
        <v>419</v>
      </c>
      <c r="B824" s="9" t="str">
        <f>VLOOKUP(A824,[1]characters!$A:$C,3,FALSE)</f>
        <v>宣戦の解城 ウラシマ</v>
      </c>
      <c r="C824" s="3" t="s">
        <v>25</v>
      </c>
      <c r="D824" s="42" t="str">
        <f>A824&amp;+(COUNTIF(A$32:A824,A824)-1)</f>
        <v>4190</v>
      </c>
      <c r="E824" s="19" t="str">
        <f>VLOOKUP(D824,unit_serifs_i18n!C:E,3,FALSE)</f>
        <v>giza</v>
      </c>
      <c r="F824" s="19" t="str">
        <f>VLOOKUP(D824,unit_serifs_i18n!C:F,4,FALSE)</f>
        <v>たっぷりオマケつけてやる</v>
      </c>
    </row>
    <row r="825" spans="1:6" x14ac:dyDescent="0.15">
      <c r="A825" s="39">
        <v>419</v>
      </c>
      <c r="B825" s="9" t="str">
        <f>VLOOKUP(A825,[1]characters!$A:$C,3,FALSE)</f>
        <v>宣戦の解城 ウラシマ</v>
      </c>
      <c r="C825" s="40" t="s">
        <v>26</v>
      </c>
      <c r="D825" s="42" t="str">
        <f>A825&amp;+(COUNTIF(A$32:A825,A825)-1)</f>
        <v>4191</v>
      </c>
      <c r="E825" s="19" t="str">
        <f>VLOOKUP(D825,unit_serifs_i18n!C:E,3,FALSE)</f>
        <v>giza</v>
      </c>
      <c r="F825" s="19" t="str">
        <f>VLOOKUP(D825,unit_serifs_i18n!C:F,4,FALSE)</f>
        <v>壊れなガラクタども！</v>
      </c>
    </row>
    <row r="826" spans="1:6" x14ac:dyDescent="0.15">
      <c r="A826" s="39">
        <v>419</v>
      </c>
      <c r="B826" s="9" t="str">
        <f>VLOOKUP(A826,[1]characters!$A:$C,3,FALSE)</f>
        <v>宣戦の解城 ウラシマ</v>
      </c>
      <c r="C826" s="40" t="s">
        <v>26</v>
      </c>
      <c r="D826" s="46" t="str">
        <f>D822</f>
        <v>4181</v>
      </c>
      <c r="E826" s="19" t="str">
        <f>VLOOKUP(D826,unit_serifs_i18n!C:E,3,FALSE)</f>
        <v>maru</v>
      </c>
      <c r="F826" s="19" t="str">
        <f>VLOOKUP(D826,unit_serifs_i18n!C:F,4,FALSE)</f>
        <v>脆弱だな機械ってのは</v>
      </c>
    </row>
    <row r="827" spans="1:6" x14ac:dyDescent="0.15">
      <c r="A827" s="39">
        <v>419</v>
      </c>
      <c r="B827" s="9" t="str">
        <f>VLOOKUP(A827,[1]characters!$A:$C,3,FALSE)</f>
        <v>宣戦の解城 ウラシマ</v>
      </c>
      <c r="C827" s="40" t="s">
        <v>26</v>
      </c>
      <c r="D827" s="46" t="str">
        <f>D823</f>
        <v>4182</v>
      </c>
      <c r="E827" s="19" t="str">
        <f>VLOOKUP(D827,unit_serifs_i18n!C:E,3,FALSE)</f>
        <v>kumo</v>
      </c>
      <c r="F827" s="19" t="str">
        <f>VLOOKUP(D827,unit_serifs_i18n!C:F,4,FALSE)</f>
        <v>全部オレの手の内だぜ</v>
      </c>
    </row>
    <row r="828" spans="1:6" x14ac:dyDescent="0.15">
      <c r="A828" s="11">
        <v>420</v>
      </c>
      <c r="B828" s="9" t="str">
        <f>VLOOKUP(A828,[1]characters!$A:$C,3,FALSE)</f>
        <v>カエデ</v>
      </c>
      <c r="C828" s="3" t="s">
        <v>25</v>
      </c>
      <c r="D828" s="42" t="str">
        <f>A828&amp;+(COUNTIF(A$32:A828,A828)-1)</f>
        <v>4200</v>
      </c>
      <c r="E828" s="19" t="str">
        <f>VLOOKUP(D828,unit_serifs_i18n!C:E,3,FALSE)</f>
        <v>giza</v>
      </c>
      <c r="F828" s="19" t="str">
        <f>VLOOKUP(D828,unit_serifs_i18n!C:F,4,FALSE)</f>
        <v>俺のシマに入ってくんな！</v>
      </c>
    </row>
    <row r="829" spans="1:6" x14ac:dyDescent="0.15">
      <c r="A829" s="39">
        <v>420</v>
      </c>
      <c r="B829" s="9" t="str">
        <f>VLOOKUP(A829,[1]characters!$A:$C,3,FALSE)</f>
        <v>カエデ</v>
      </c>
      <c r="C829" s="40" t="s">
        <v>26</v>
      </c>
      <c r="D829" s="42" t="str">
        <f>A829&amp;+(COUNTIF(A$32:A829,A829)-1)</f>
        <v>4201</v>
      </c>
      <c r="E829" s="19" t="str">
        <f>VLOOKUP(D829,unit_serifs_i18n!C:E,3,FALSE)</f>
        <v>maru</v>
      </c>
      <c r="F829" s="19" t="str">
        <f>VLOOKUP(D829,unit_serifs_i18n!C:F,4,FALSE)</f>
        <v>ったく…手の焼ける</v>
      </c>
    </row>
    <row r="830" spans="1:6" x14ac:dyDescent="0.15">
      <c r="A830" s="39">
        <v>420</v>
      </c>
      <c r="B830" s="9" t="str">
        <f>VLOOKUP(A830,[1]characters!$A:$C,3,FALSE)</f>
        <v>カエデ</v>
      </c>
      <c r="C830" s="40" t="s">
        <v>26</v>
      </c>
      <c r="D830" s="42" t="str">
        <f>A830&amp;+(COUNTIF(A$32:A830,A830)-1)</f>
        <v>4202</v>
      </c>
      <c r="E830" s="19" t="str">
        <f>VLOOKUP(D830,unit_serifs_i18n!C:E,3,FALSE)</f>
        <v>giza</v>
      </c>
      <c r="F830" s="19" t="str">
        <f>VLOOKUP(D830,unit_serifs_i18n!C:F,4,FALSE)</f>
        <v>助けるわけじゃねぇ！</v>
      </c>
    </row>
    <row r="831" spans="1:6" x14ac:dyDescent="0.15">
      <c r="A831" s="11">
        <v>421</v>
      </c>
      <c r="B831" s="9" t="str">
        <f>VLOOKUP(A831,[1]characters!$A:$C,3,FALSE)</f>
        <v>反親の彩壁 カエデ</v>
      </c>
      <c r="C831" s="3" t="s">
        <v>25</v>
      </c>
      <c r="D831" s="42" t="str">
        <f>A831&amp;+(COUNTIF(A$32:A831,A831)-1)</f>
        <v>4210</v>
      </c>
      <c r="E831" s="19" t="str">
        <f>VLOOKUP(D831,unit_serifs_i18n!C:E,3,FALSE)</f>
        <v>maru</v>
      </c>
      <c r="F831" s="19" t="str">
        <f>VLOOKUP(D831,unit_serifs_i18n!C:F,4,FALSE)</f>
        <v>くそ…塗りつぶしてやる！</v>
      </c>
    </row>
    <row r="832" spans="1:6" x14ac:dyDescent="0.15">
      <c r="A832" s="39">
        <v>421</v>
      </c>
      <c r="B832" s="9" t="str">
        <f>VLOOKUP(A832,[1]characters!$A:$C,3,FALSE)</f>
        <v>反親の彩壁 カエデ</v>
      </c>
      <c r="C832" s="40" t="s">
        <v>26</v>
      </c>
      <c r="D832" s="42" t="str">
        <f>A832&amp;+(COUNTIF(A$32:A832,A832)-1)</f>
        <v>4211</v>
      </c>
      <c r="E832" s="19" t="str">
        <f>VLOOKUP(D832,unit_serifs_i18n!C:E,3,FALSE)</f>
        <v>maru</v>
      </c>
      <c r="F832" s="19" t="str">
        <f>VLOOKUP(D832,unit_serifs_i18n!C:F,4,FALSE)</f>
        <v>この貸しは高くつくぜ</v>
      </c>
    </row>
    <row r="833" spans="1:6" x14ac:dyDescent="0.15">
      <c r="A833" s="39">
        <v>421</v>
      </c>
      <c r="B833" s="9" t="str">
        <f>VLOOKUP(A833,[1]characters!$A:$C,3,FALSE)</f>
        <v>反親の彩壁 カエデ</v>
      </c>
      <c r="C833" s="40" t="s">
        <v>26</v>
      </c>
      <c r="D833" s="46" t="str">
        <f>D829</f>
        <v>4201</v>
      </c>
      <c r="E833" s="19" t="str">
        <f>VLOOKUP(D833,unit_serifs_i18n!C:E,3,FALSE)</f>
        <v>maru</v>
      </c>
      <c r="F833" s="19" t="str">
        <f>VLOOKUP(D833,unit_serifs_i18n!C:F,4,FALSE)</f>
        <v>ったく…手の焼ける</v>
      </c>
    </row>
    <row r="834" spans="1:6" x14ac:dyDescent="0.15">
      <c r="A834" s="39">
        <v>421</v>
      </c>
      <c r="B834" s="9" t="str">
        <f>VLOOKUP(A834,[1]characters!$A:$C,3,FALSE)</f>
        <v>反親の彩壁 カエデ</v>
      </c>
      <c r="C834" s="40" t="s">
        <v>26</v>
      </c>
      <c r="D834" s="46" t="str">
        <f>D830</f>
        <v>4202</v>
      </c>
      <c r="E834" s="19" t="str">
        <f>VLOOKUP(D834,unit_serifs_i18n!C:E,3,FALSE)</f>
        <v>giza</v>
      </c>
      <c r="F834" s="19" t="str">
        <f>VLOOKUP(D834,unit_serifs_i18n!C:F,4,FALSE)</f>
        <v>助けるわけじゃねぇ！</v>
      </c>
    </row>
    <row r="835" spans="1:6" x14ac:dyDescent="0.15">
      <c r="A835" s="11">
        <v>422</v>
      </c>
      <c r="B835" s="9" t="str">
        <f>VLOOKUP(A835,[1]characters!$A:$C,3,FALSE)</f>
        <v>シュガフル</v>
      </c>
      <c r="C835" s="3" t="s">
        <v>25</v>
      </c>
      <c r="D835" s="42" t="str">
        <f>A835&amp;+(COUNTIF(A$32:A835,A835)-1)</f>
        <v>4220</v>
      </c>
      <c r="E835" s="19" t="str">
        <f>VLOOKUP(D835,unit_serifs_i18n!C:E,3,FALSE)</f>
        <v>kumo</v>
      </c>
      <c r="F835" s="19" t="str">
        <f>VLOOKUP(D835,unit_serifs_i18n!C:F,4,FALSE)</f>
        <v>あたしも遊んでほしいの！</v>
      </c>
    </row>
    <row r="836" spans="1:6" x14ac:dyDescent="0.15">
      <c r="A836" s="39">
        <v>422</v>
      </c>
      <c r="B836" s="9" t="str">
        <f>VLOOKUP(A836,[1]characters!$A:$C,3,FALSE)</f>
        <v>シュガフル</v>
      </c>
      <c r="C836" s="40" t="s">
        <v>26</v>
      </c>
      <c r="D836" s="42" t="str">
        <f>A836&amp;+(COUNTIF(A$32:A836,A836)-1)</f>
        <v>4221</v>
      </c>
      <c r="E836" s="19" t="str">
        <f>VLOOKUP(D836,unit_serifs_i18n!C:E,3,FALSE)</f>
        <v>maru</v>
      </c>
      <c r="F836" s="19" t="str">
        <f>VLOOKUP(D836,unit_serifs_i18n!C:F,4,FALSE)</f>
        <v>甘いの分けてあげるね</v>
      </c>
    </row>
    <row r="837" spans="1:6" x14ac:dyDescent="0.15">
      <c r="A837" s="39">
        <v>422</v>
      </c>
      <c r="B837" s="9" t="str">
        <f>VLOOKUP(A837,[1]characters!$A:$C,3,FALSE)</f>
        <v>シュガフル</v>
      </c>
      <c r="C837" s="40" t="s">
        <v>26</v>
      </c>
      <c r="D837" s="42" t="str">
        <f>A837&amp;+(COUNTIF(A$32:A837,A837)-1)</f>
        <v>4222</v>
      </c>
      <c r="E837" s="19" t="str">
        <f>VLOOKUP(D837,unit_serifs_i18n!C:E,3,FALSE)</f>
        <v>giza</v>
      </c>
      <c r="F837" s="19" t="str">
        <f>VLOOKUP(D837,unit_serifs_i18n!C:F,4,FALSE)</f>
        <v>虫歯になっちゃえ！</v>
      </c>
    </row>
    <row r="838" spans="1:6" x14ac:dyDescent="0.15">
      <c r="A838" s="11">
        <v>423</v>
      </c>
      <c r="B838" s="9" t="str">
        <f>VLOOKUP(A838,[1]characters!$A:$C,3,FALSE)</f>
        <v>甘罠の魔女 シュガフル</v>
      </c>
      <c r="C838" s="3" t="s">
        <v>25</v>
      </c>
      <c r="D838" s="42" t="str">
        <f>A838&amp;+(COUNTIF(A$32:A838,A838)-1)</f>
        <v>4230</v>
      </c>
      <c r="E838" s="19" t="str">
        <f>VLOOKUP(D838,unit_serifs_i18n!C:E,3,FALSE)</f>
        <v>maru</v>
      </c>
      <c r="F838" s="19" t="str">
        <f>VLOOKUP(D838,unit_serifs_i18n!C:F,4,FALSE)</f>
        <v>お兄ちゃん見ててね？</v>
      </c>
    </row>
    <row r="839" spans="1:6" x14ac:dyDescent="0.15">
      <c r="A839" s="39">
        <v>423</v>
      </c>
      <c r="B839" s="9" t="str">
        <f>VLOOKUP(A839,[1]characters!$A:$C,3,FALSE)</f>
        <v>甘罠の魔女 シュガフル</v>
      </c>
      <c r="C839" s="40" t="s">
        <v>26</v>
      </c>
      <c r="D839" s="42" t="str">
        <f>A839&amp;+(COUNTIF(A$32:A839,A839)-1)</f>
        <v>4231</v>
      </c>
      <c r="E839" s="19" t="str">
        <f>VLOOKUP(D839,unit_serifs_i18n!C:E,3,FALSE)</f>
        <v>maru</v>
      </c>
      <c r="F839" s="19" t="str">
        <f>VLOOKUP(D839,unit_serifs_i18n!C:F,4,FALSE)</f>
        <v>ハジケてもしーらない</v>
      </c>
    </row>
    <row r="840" spans="1:6" x14ac:dyDescent="0.15">
      <c r="A840" s="39">
        <v>423</v>
      </c>
      <c r="B840" s="9" t="str">
        <f>VLOOKUP(A840,[1]characters!$A:$C,3,FALSE)</f>
        <v>甘罠の魔女 シュガフル</v>
      </c>
      <c r="C840" s="40" t="s">
        <v>26</v>
      </c>
      <c r="D840" s="46" t="str">
        <f>D836</f>
        <v>4221</v>
      </c>
      <c r="E840" s="19" t="str">
        <f>VLOOKUP(D840,unit_serifs_i18n!C:E,3,FALSE)</f>
        <v>maru</v>
      </c>
      <c r="F840" s="19" t="str">
        <f>VLOOKUP(D840,unit_serifs_i18n!C:F,4,FALSE)</f>
        <v>甘いの分けてあげるね</v>
      </c>
    </row>
    <row r="841" spans="1:6" x14ac:dyDescent="0.15">
      <c r="A841" s="39">
        <v>423</v>
      </c>
      <c r="B841" s="9" t="str">
        <f>VLOOKUP(A841,[1]characters!$A:$C,3,FALSE)</f>
        <v>甘罠の魔女 シュガフル</v>
      </c>
      <c r="C841" s="40" t="s">
        <v>26</v>
      </c>
      <c r="D841" s="46" t="str">
        <f>D837</f>
        <v>4222</v>
      </c>
      <c r="E841" s="19" t="str">
        <f>VLOOKUP(D841,unit_serifs_i18n!C:E,3,FALSE)</f>
        <v>giza</v>
      </c>
      <c r="F841" s="19" t="str">
        <f>VLOOKUP(D841,unit_serifs_i18n!C:F,4,FALSE)</f>
        <v>虫歯になっちゃえ！</v>
      </c>
    </row>
    <row r="842" spans="1:6" x14ac:dyDescent="0.15">
      <c r="A842" s="11">
        <v>424</v>
      </c>
      <c r="B842" s="9" t="str">
        <f>VLOOKUP(A842,[1]characters!$A:$C,3,FALSE)</f>
        <v>フック</v>
      </c>
      <c r="C842" s="3" t="s">
        <v>25</v>
      </c>
      <c r="D842" s="42" t="str">
        <f>A842&amp;+(COUNTIF(A$32:A842,A842)-1)</f>
        <v>4240</v>
      </c>
      <c r="E842" s="19" t="str">
        <f>VLOOKUP(D842,unit_serifs_i18n!C:E,3,FALSE)</f>
        <v>maru</v>
      </c>
      <c r="F842" s="19" t="str">
        <f>VLOOKUP(D842,unit_serifs_i18n!C:F,4,FALSE)</f>
        <v>教育的指導です！</v>
      </c>
    </row>
    <row r="843" spans="1:6" x14ac:dyDescent="0.15">
      <c r="A843" s="39">
        <v>424</v>
      </c>
      <c r="B843" s="9" t="str">
        <f>VLOOKUP(A843,[1]characters!$A:$C,3,FALSE)</f>
        <v>フック</v>
      </c>
      <c r="C843" s="40" t="s">
        <v>26</v>
      </c>
      <c r="D843" s="42" t="str">
        <f>A843&amp;+(COUNTIF(A$32:A843,A843)-1)</f>
        <v>4241</v>
      </c>
      <c r="E843" s="19" t="str">
        <f>VLOOKUP(D843,unit_serifs_i18n!C:E,3,FALSE)</f>
        <v>maru</v>
      </c>
      <c r="F843" s="19" t="str">
        <f>VLOOKUP(D843,unit_serifs_i18n!C:F,4,FALSE)</f>
        <v>船員のみなさーん！</v>
      </c>
    </row>
    <row r="844" spans="1:6" x14ac:dyDescent="0.15">
      <c r="A844" s="39">
        <v>424</v>
      </c>
      <c r="B844" s="9" t="str">
        <f>VLOOKUP(A844,[1]characters!$A:$C,3,FALSE)</f>
        <v>フック</v>
      </c>
      <c r="C844" s="40" t="s">
        <v>26</v>
      </c>
      <c r="D844" s="42" t="str">
        <f>A844&amp;+(COUNTIF(A$32:A844,A844)-1)</f>
        <v>4242</v>
      </c>
      <c r="E844" s="19" t="str">
        <f>VLOOKUP(D844,unit_serifs_i18n!C:E,3,FALSE)</f>
        <v>maru</v>
      </c>
      <c r="F844" s="19" t="str">
        <f>VLOOKUP(D844,unit_serifs_i18n!C:F,4,FALSE)</f>
        <v>とりあえず撃退です！</v>
      </c>
    </row>
    <row r="845" spans="1:6" x14ac:dyDescent="0.15">
      <c r="A845" s="11">
        <v>425</v>
      </c>
      <c r="B845" s="9" t="str">
        <f>VLOOKUP(A845,[1]characters!$A:$C,3,FALSE)</f>
        <v>怒髪の海賊 フック</v>
      </c>
      <c r="C845" s="3" t="s">
        <v>25</v>
      </c>
      <c r="D845" s="42" t="str">
        <f>A845&amp;+(COUNTIF(A$32:A845,A845)-1)</f>
        <v>4250</v>
      </c>
      <c r="E845" s="19" t="str">
        <f>VLOOKUP(D845,unit_serifs_i18n!C:E,3,FALSE)</f>
        <v>giza</v>
      </c>
      <c r="F845" s="19" t="str">
        <f>VLOOKUP(D845,unit_serifs_i18n!C:F,4,FALSE)</f>
        <v>先生もう怒ったからー！！</v>
      </c>
    </row>
    <row r="846" spans="1:6" x14ac:dyDescent="0.15">
      <c r="A846" s="39">
        <v>425</v>
      </c>
      <c r="B846" s="9" t="str">
        <f>VLOOKUP(A846,[1]characters!$A:$C,3,FALSE)</f>
        <v>怒髪の海賊 フック</v>
      </c>
      <c r="C846" s="40" t="s">
        <v>26</v>
      </c>
      <c r="D846" s="42" t="str">
        <f>A846&amp;+(COUNTIF(A$32:A846,A846)-1)</f>
        <v>4251</v>
      </c>
      <c r="E846" s="19" t="str">
        <f>VLOOKUP(D846,unit_serifs_i18n!C:E,3,FALSE)</f>
        <v>giza</v>
      </c>
      <c r="F846" s="19" t="str">
        <f>VLOOKUP(D846,unit_serifs_i18n!C:F,4,FALSE)</f>
        <v>全員正座なさーい！</v>
      </c>
    </row>
    <row r="847" spans="1:6" x14ac:dyDescent="0.15">
      <c r="A847" s="39">
        <v>425</v>
      </c>
      <c r="B847" s="9" t="str">
        <f>VLOOKUP(A847,[1]characters!$A:$C,3,FALSE)</f>
        <v>怒髪の海賊 フック</v>
      </c>
      <c r="C847" s="40" t="s">
        <v>26</v>
      </c>
      <c r="D847" s="46" t="str">
        <f>D843</f>
        <v>4241</v>
      </c>
      <c r="E847" s="19" t="str">
        <f>VLOOKUP(D847,unit_serifs_i18n!C:E,3,FALSE)</f>
        <v>maru</v>
      </c>
      <c r="F847" s="19" t="str">
        <f>VLOOKUP(D847,unit_serifs_i18n!C:F,4,FALSE)</f>
        <v>船員のみなさーん！</v>
      </c>
    </row>
    <row r="848" spans="1:6" x14ac:dyDescent="0.15">
      <c r="A848" s="39">
        <v>425</v>
      </c>
      <c r="B848" s="9" t="str">
        <f>VLOOKUP(A848,[1]characters!$A:$C,3,FALSE)</f>
        <v>怒髪の海賊 フック</v>
      </c>
      <c r="C848" s="40" t="s">
        <v>26</v>
      </c>
      <c r="D848" s="46" t="str">
        <f>D844</f>
        <v>4242</v>
      </c>
      <c r="E848" s="19" t="str">
        <f>VLOOKUP(D848,unit_serifs_i18n!C:E,3,FALSE)</f>
        <v>maru</v>
      </c>
      <c r="F848" s="19" t="str">
        <f>VLOOKUP(D848,unit_serifs_i18n!C:F,4,FALSE)</f>
        <v>とりあえず撃退です！</v>
      </c>
    </row>
    <row r="849" spans="1:6" x14ac:dyDescent="0.15">
      <c r="A849" s="11">
        <v>426</v>
      </c>
      <c r="B849" s="9" t="str">
        <f>VLOOKUP(A849,[1]characters!$A:$C,3,FALSE)</f>
        <v>宮本武蔵</v>
      </c>
      <c r="C849" s="3" t="s">
        <v>25</v>
      </c>
      <c r="D849" s="42" t="str">
        <f>A849&amp;+(COUNTIF(A$32:A849,A849)-1)</f>
        <v>4260</v>
      </c>
      <c r="E849" s="19" t="str">
        <f>VLOOKUP(D849,unit_serifs_i18n!C:E,3,FALSE)</f>
        <v>maru</v>
      </c>
      <c r="F849" s="19" t="str">
        <f>VLOOKUP(D849,unit_serifs_i18n!C:F,4,FALSE)</f>
        <v>…見せよう</v>
      </c>
    </row>
    <row r="850" spans="1:6" x14ac:dyDescent="0.15">
      <c r="A850" s="39">
        <v>426</v>
      </c>
      <c r="B850" s="9" t="str">
        <f>VLOOKUP(A850,[1]characters!$A:$C,3,FALSE)</f>
        <v>宮本武蔵</v>
      </c>
      <c r="C850" s="40" t="s">
        <v>26</v>
      </c>
      <c r="D850" s="42" t="str">
        <f>A850&amp;+(COUNTIF(A$32:A850,A850)-1)</f>
        <v>4261</v>
      </c>
      <c r="E850" s="19" t="str">
        <f>VLOOKUP(D850,unit_serifs_i18n!C:E,3,FALSE)</f>
        <v>maru</v>
      </c>
      <c r="F850" s="19" t="str">
        <f>VLOOKUP(D850,unit_serifs_i18n!C:F,4,FALSE)</f>
        <v>…仕留める</v>
      </c>
    </row>
    <row r="851" spans="1:6" x14ac:dyDescent="0.15">
      <c r="A851" s="39">
        <v>426</v>
      </c>
      <c r="B851" s="9" t="str">
        <f>VLOOKUP(A851,[1]characters!$A:$C,3,FALSE)</f>
        <v>宮本武蔵</v>
      </c>
      <c r="C851" s="40" t="s">
        <v>26</v>
      </c>
      <c r="D851" s="42" t="str">
        <f>A851&amp;+(COUNTIF(A$32:A851,A851)-1)</f>
        <v>4262</v>
      </c>
      <c r="E851" s="19" t="str">
        <f>VLOOKUP(D851,unit_serifs_i18n!C:E,3,FALSE)</f>
        <v>giza</v>
      </c>
      <c r="F851" s="19" t="str">
        <f>VLOOKUP(D851,unit_serifs_i18n!C:F,4,FALSE)</f>
        <v>…斬！</v>
      </c>
    </row>
    <row r="852" spans="1:6" x14ac:dyDescent="0.15">
      <c r="A852" s="11">
        <v>427</v>
      </c>
      <c r="B852" s="9" t="str">
        <f>VLOOKUP(A852,[1]characters!$A:$C,3,FALSE)</f>
        <v>極・剣豪 宮本武蔵</v>
      </c>
      <c r="C852" s="3" t="s">
        <v>25</v>
      </c>
      <c r="D852" s="42" t="str">
        <f>A852&amp;+(COUNTIF(A$32:A852,A852)-1)</f>
        <v>4270</v>
      </c>
      <c r="E852" s="19" t="str">
        <f>VLOOKUP(D852,unit_serifs_i18n!C:E,3,FALSE)</f>
        <v>maru</v>
      </c>
      <c r="F852" s="19" t="str">
        <f>VLOOKUP(D852,unit_serifs_i18n!C:F,4,FALSE)</f>
        <v>…終わりだ</v>
      </c>
    </row>
    <row r="853" spans="1:6" x14ac:dyDescent="0.15">
      <c r="A853" s="39">
        <v>427</v>
      </c>
      <c r="B853" s="9" t="str">
        <f>VLOOKUP(A853,[1]characters!$A:$C,3,FALSE)</f>
        <v>極・剣豪 宮本武蔵</v>
      </c>
      <c r="C853" s="40" t="s">
        <v>26</v>
      </c>
      <c r="D853" s="42" t="str">
        <f>A853&amp;+(COUNTIF(A$32:A853,A853)-1)</f>
        <v>4271</v>
      </c>
      <c r="E853" s="19" t="str">
        <f>VLOOKUP(D853,unit_serifs_i18n!C:E,3,FALSE)</f>
        <v>kumo</v>
      </c>
      <c r="F853" s="19" t="str">
        <f>VLOOKUP(D853,unit_serifs_i18n!C:F,4,FALSE)</f>
        <v>…これも宿命か</v>
      </c>
    </row>
    <row r="854" spans="1:6" x14ac:dyDescent="0.15">
      <c r="A854" s="39">
        <v>427</v>
      </c>
      <c r="B854" s="9" t="str">
        <f>VLOOKUP(A854,[1]characters!$A:$C,3,FALSE)</f>
        <v>極・剣豪 宮本武蔵</v>
      </c>
      <c r="C854" s="40" t="s">
        <v>26</v>
      </c>
      <c r="D854" s="46" t="str">
        <f>D850</f>
        <v>4261</v>
      </c>
      <c r="E854" s="19" t="str">
        <f>VLOOKUP(D854,unit_serifs_i18n!C:E,3,FALSE)</f>
        <v>maru</v>
      </c>
      <c r="F854" s="19" t="str">
        <f>VLOOKUP(D854,unit_serifs_i18n!C:F,4,FALSE)</f>
        <v>…仕留める</v>
      </c>
    </row>
    <row r="855" spans="1:6" x14ac:dyDescent="0.15">
      <c r="A855" s="39">
        <v>427</v>
      </c>
      <c r="B855" s="9" t="str">
        <f>VLOOKUP(A855,[1]characters!$A:$C,3,FALSE)</f>
        <v>極・剣豪 宮本武蔵</v>
      </c>
      <c r="C855" s="40" t="s">
        <v>26</v>
      </c>
      <c r="D855" s="46" t="str">
        <f>D851</f>
        <v>4262</v>
      </c>
      <c r="E855" s="19" t="str">
        <f>VLOOKUP(D855,unit_serifs_i18n!C:E,3,FALSE)</f>
        <v>giza</v>
      </c>
      <c r="F855" s="19" t="str">
        <f>VLOOKUP(D855,unit_serifs_i18n!C:F,4,FALSE)</f>
        <v>…斬！</v>
      </c>
    </row>
    <row r="856" spans="1:6" x14ac:dyDescent="0.15">
      <c r="A856" s="11">
        <v>432</v>
      </c>
      <c r="B856" s="9" t="str">
        <f>VLOOKUP(A856,[1]characters!$A:$C,3,FALSE)</f>
        <v>麒麟</v>
      </c>
      <c r="C856" s="3" t="s">
        <v>25</v>
      </c>
      <c r="D856" s="42" t="str">
        <f>A856&amp;+(COUNTIF(A$32:A856,A856)-1)</f>
        <v>4320</v>
      </c>
      <c r="E856" s="19" t="str">
        <f>VLOOKUP(D856,unit_serifs_i18n!C:E,3,FALSE)</f>
        <v>giza</v>
      </c>
      <c r="F856" s="19" t="str">
        <f>VLOOKUP(D856,unit_serifs_i18n!C:F,4,FALSE)</f>
        <v>妾を見たか…帰せぬな！</v>
      </c>
    </row>
    <row r="857" spans="1:6" x14ac:dyDescent="0.15">
      <c r="A857" s="39">
        <v>432</v>
      </c>
      <c r="B857" s="9" t="str">
        <f>VLOOKUP(A857,[1]characters!$A:$C,3,FALSE)</f>
        <v>麒麟</v>
      </c>
      <c r="C857" s="40" t="s">
        <v>26</v>
      </c>
      <c r="D857" s="42" t="str">
        <f>A857&amp;+(COUNTIF(A$32:A857,A857)-1)</f>
        <v>4321</v>
      </c>
      <c r="E857" s="19" t="str">
        <f>VLOOKUP(D857,unit_serifs_i18n!C:E,3,FALSE)</f>
        <v>maru</v>
      </c>
      <c r="F857" s="19" t="str">
        <f>VLOOKUP(D857,unit_serifs_i18n!C:F,4,FALSE)</f>
        <v>妾の角は荒いぞ…？</v>
      </c>
    </row>
    <row r="858" spans="1:6" x14ac:dyDescent="0.15">
      <c r="A858" s="39">
        <v>432</v>
      </c>
      <c r="B858" s="9" t="str">
        <f>VLOOKUP(A858,[1]characters!$A:$C,3,FALSE)</f>
        <v>麒麟</v>
      </c>
      <c r="C858" s="40" t="s">
        <v>26</v>
      </c>
      <c r="D858" s="42" t="str">
        <f>A858&amp;+(COUNTIF(A$32:A858,A858)-1)</f>
        <v>4322</v>
      </c>
      <c r="E858" s="19" t="str">
        <f>VLOOKUP(D858,unit_serifs_i18n!C:E,3,FALSE)</f>
        <v>giza</v>
      </c>
      <c r="F858" s="19" t="str">
        <f>VLOOKUP(D858,unit_serifs_i18n!C:F,4,FALSE)</f>
        <v>見たことを後悔せよ！</v>
      </c>
    </row>
    <row r="859" spans="1:6" x14ac:dyDescent="0.15">
      <c r="A859" s="11">
        <v>433</v>
      </c>
      <c r="B859" s="9" t="str">
        <f>VLOOKUP(A859,[1]characters!$A:$C,3,FALSE)</f>
        <v>世稀の現獣 麒麟</v>
      </c>
      <c r="C859" s="3" t="s">
        <v>25</v>
      </c>
      <c r="D859" s="42" t="str">
        <f>A859&amp;+(COUNTIF(A$32:A859,A859)-1)</f>
        <v>4330</v>
      </c>
      <c r="E859" s="19" t="str">
        <f>VLOOKUP(D859,unit_serifs_i18n!C:E,3,FALSE)</f>
        <v>maru</v>
      </c>
      <c r="F859" s="19" t="str">
        <f>VLOOKUP(D859,unit_serifs_i18n!C:F,4,FALSE)</f>
        <v>格の差もわからんか？</v>
      </c>
    </row>
    <row r="860" spans="1:6" x14ac:dyDescent="0.15">
      <c r="A860" s="39">
        <v>433</v>
      </c>
      <c r="B860" s="9" t="str">
        <f>VLOOKUP(A860,[1]characters!$A:$C,3,FALSE)</f>
        <v>世稀の現獣 麒麟</v>
      </c>
      <c r="C860" s="40" t="s">
        <v>26</v>
      </c>
      <c r="D860" s="42" t="str">
        <f>A860&amp;+(COUNTIF(A$32:A860,A860)-1)</f>
        <v>4331</v>
      </c>
      <c r="E860" s="19" t="str">
        <f>VLOOKUP(D860,unit_serifs_i18n!C:E,3,FALSE)</f>
        <v>giza</v>
      </c>
      <c r="F860" s="19" t="str">
        <f>VLOOKUP(D860,unit_serifs_i18n!C:F,4,FALSE)</f>
        <v>怒らせたか…妾を！！</v>
      </c>
    </row>
    <row r="861" spans="1:6" x14ac:dyDescent="0.15">
      <c r="A861" s="39">
        <v>433</v>
      </c>
      <c r="B861" s="9" t="str">
        <f>VLOOKUP(A861,[1]characters!$A:$C,3,FALSE)</f>
        <v>世稀の現獣 麒麟</v>
      </c>
      <c r="C861" s="40" t="s">
        <v>26</v>
      </c>
      <c r="D861" s="46" t="str">
        <f>D857</f>
        <v>4321</v>
      </c>
      <c r="E861" s="19" t="str">
        <f>VLOOKUP(D861,unit_serifs_i18n!C:E,3,FALSE)</f>
        <v>maru</v>
      </c>
      <c r="F861" s="19" t="str">
        <f>VLOOKUP(D861,unit_serifs_i18n!C:F,4,FALSE)</f>
        <v>妾の角は荒いぞ…？</v>
      </c>
    </row>
    <row r="862" spans="1:6" x14ac:dyDescent="0.15">
      <c r="A862" s="39">
        <v>433</v>
      </c>
      <c r="B862" s="9" t="str">
        <f>VLOOKUP(A862,[1]characters!$A:$C,3,FALSE)</f>
        <v>世稀の現獣 麒麟</v>
      </c>
      <c r="C862" s="40" t="s">
        <v>26</v>
      </c>
      <c r="D862" s="46" t="str">
        <f>D858</f>
        <v>4322</v>
      </c>
      <c r="E862" s="19" t="str">
        <f>VLOOKUP(D862,unit_serifs_i18n!C:E,3,FALSE)</f>
        <v>giza</v>
      </c>
      <c r="F862" s="19" t="str">
        <f>VLOOKUP(D862,unit_serifs_i18n!C:F,4,FALSE)</f>
        <v>見たことを後悔せよ！</v>
      </c>
    </row>
    <row r="863" spans="1:6" x14ac:dyDescent="0.15">
      <c r="A863" s="11">
        <v>802</v>
      </c>
      <c r="B863" s="9" t="str">
        <f>VLOOKUP(A863,[1]characters!$A:$C,3,FALSE)</f>
        <v>四聖結終の超獣 麒麟</v>
      </c>
      <c r="C863" s="3" t="s">
        <v>25</v>
      </c>
      <c r="D863" s="42" t="str">
        <f>A863&amp;+(COUNTIF(A$32:A863,A863)-1)</f>
        <v>8020</v>
      </c>
      <c r="E863" s="19" t="str">
        <f>VLOOKUP(D863,unit_serifs_i18n!C:E,3,FALSE)</f>
        <v>giza</v>
      </c>
      <c r="F863" s="19" t="str">
        <f>VLOOKUP(D863,unit_serifs_i18n!C:F,4,FALSE)</f>
        <v>全ては妾の元へ収束する！</v>
      </c>
    </row>
    <row r="864" spans="1:6" x14ac:dyDescent="0.15">
      <c r="A864" s="11">
        <v>802</v>
      </c>
      <c r="B864" s="9" t="str">
        <f>VLOOKUP(A864,[1]characters!$A:$C,3,FALSE)</f>
        <v>四聖結終の超獣 麒麟</v>
      </c>
      <c r="C864" s="40" t="s">
        <v>26</v>
      </c>
      <c r="D864" s="42" t="str">
        <f>A864&amp;+(COUNTIF(A$32:A864,A864)-1)</f>
        <v>8021</v>
      </c>
      <c r="E864" s="19" t="str">
        <f>VLOOKUP(D864,unit_serifs_i18n!C:E,3,FALSE)</f>
        <v>giza</v>
      </c>
      <c r="F864" s="19" t="str">
        <f>VLOOKUP(D864,unit_serifs_i18n!C:F,4,FALSE)</f>
        <v>妾の角は天をも貫く…！</v>
      </c>
    </row>
    <row r="865" spans="1:6" x14ac:dyDescent="0.15">
      <c r="A865" s="11">
        <v>802</v>
      </c>
      <c r="B865" s="9" t="str">
        <f>VLOOKUP(A865,[1]characters!$A:$C,3,FALSE)</f>
        <v>四聖結終の超獣 麒麟</v>
      </c>
      <c r="C865" s="40" t="s">
        <v>26</v>
      </c>
      <c r="D865" s="46" t="str">
        <f>D861</f>
        <v>4321</v>
      </c>
      <c r="E865" s="19" t="str">
        <f>VLOOKUP(D865,unit_serifs_i18n!C:E,3,FALSE)</f>
        <v>maru</v>
      </c>
      <c r="F865" s="19" t="str">
        <f>VLOOKUP(D865,unit_serifs_i18n!C:F,4,FALSE)</f>
        <v>妾の角は荒いぞ…？</v>
      </c>
    </row>
    <row r="866" spans="1:6" x14ac:dyDescent="0.15">
      <c r="A866" s="11">
        <v>802</v>
      </c>
      <c r="B866" s="9" t="str">
        <f>VLOOKUP(A866,[1]characters!$A:$C,3,FALSE)</f>
        <v>四聖結終の超獣 麒麟</v>
      </c>
      <c r="C866" s="40" t="s">
        <v>26</v>
      </c>
      <c r="D866" s="46" t="str">
        <f>D862</f>
        <v>4322</v>
      </c>
      <c r="E866" s="19" t="str">
        <f>VLOOKUP(D866,unit_serifs_i18n!C:E,3,FALSE)</f>
        <v>giza</v>
      </c>
      <c r="F866" s="19" t="str">
        <f>VLOOKUP(D866,unit_serifs_i18n!C:F,4,FALSE)</f>
        <v>見たことを後悔せよ！</v>
      </c>
    </row>
    <row r="867" spans="1:6" x14ac:dyDescent="0.15">
      <c r="A867" s="11">
        <v>802</v>
      </c>
      <c r="B867" s="9" t="str">
        <f>VLOOKUP(A867,[1]characters!$A:$C,3,FALSE)</f>
        <v>四聖結終の超獣 麒麟</v>
      </c>
      <c r="C867" s="40" t="s">
        <v>26</v>
      </c>
      <c r="D867" s="46" t="str">
        <f>D860</f>
        <v>4331</v>
      </c>
      <c r="E867" s="19" t="str">
        <f>VLOOKUP(D867,unit_serifs_i18n!C:E,3,FALSE)</f>
        <v>giza</v>
      </c>
      <c r="F867" s="19" t="str">
        <f>VLOOKUP(D867,unit_serifs_i18n!C:F,4,FALSE)</f>
        <v>怒らせたか…妾を！！</v>
      </c>
    </row>
    <row r="868" spans="1:6" x14ac:dyDescent="0.15">
      <c r="A868" s="11">
        <v>434</v>
      </c>
      <c r="B868" s="9" t="str">
        <f>VLOOKUP(A868,[1]characters!$A:$C,3,FALSE)</f>
        <v>D.R.T.H.</v>
      </c>
      <c r="C868" s="3" t="s">
        <v>25</v>
      </c>
      <c r="D868" s="42" t="str">
        <f>A868&amp;+(COUNTIF(A$32:A868,A868)-1)</f>
        <v>4340</v>
      </c>
      <c r="E868" s="19" t="str">
        <f>VLOOKUP(D868,unit_serifs_i18n!C:E,3,FALSE)</f>
        <v>maru</v>
      </c>
      <c r="F868" s="19" t="str">
        <f>VLOOKUP(D868,unit_serifs_i18n!C:F,4,FALSE)</f>
        <v>既に手は打ってあるのよね</v>
      </c>
    </row>
    <row r="869" spans="1:6" x14ac:dyDescent="0.15">
      <c r="A869" s="39">
        <v>434</v>
      </c>
      <c r="B869" s="9" t="str">
        <f>VLOOKUP(A869,[1]characters!$A:$C,3,FALSE)</f>
        <v>D.R.T.H.</v>
      </c>
      <c r="C869" s="40" t="s">
        <v>26</v>
      </c>
      <c r="D869" s="42" t="str">
        <f>A869&amp;+(COUNTIF(A$32:A869,A869)-1)</f>
        <v>4341</v>
      </c>
      <c r="E869" s="19" t="str">
        <f>VLOOKUP(D869,unit_serifs_i18n!C:E,3,FALSE)</f>
        <v>maru</v>
      </c>
      <c r="F869" s="19" t="str">
        <f>VLOOKUP(D869,unit_serifs_i18n!C:F,4,FALSE)</f>
        <v>あたしはだまされない</v>
      </c>
    </row>
    <row r="870" spans="1:6" x14ac:dyDescent="0.15">
      <c r="A870" s="39">
        <v>434</v>
      </c>
      <c r="B870" s="9" t="str">
        <f>VLOOKUP(A870,[1]characters!$A:$C,3,FALSE)</f>
        <v>D.R.T.H.</v>
      </c>
      <c r="C870" s="40" t="s">
        <v>26</v>
      </c>
      <c r="D870" s="42" t="str">
        <f>A870&amp;+(COUNTIF(A$32:A870,A870)-1)</f>
        <v>4342</v>
      </c>
      <c r="E870" s="19" t="str">
        <f>VLOOKUP(D870,unit_serifs_i18n!C:E,3,FALSE)</f>
        <v>giza</v>
      </c>
      <c r="F870" s="19" t="str">
        <f>VLOOKUP(D870,unit_serifs_i18n!C:F,4,FALSE)</f>
        <v>正体見せてもらうわ！</v>
      </c>
    </row>
    <row r="871" spans="1:6" x14ac:dyDescent="0.15">
      <c r="A871" s="11">
        <v>435</v>
      </c>
      <c r="B871" s="9" t="str">
        <f>VLOOKUP(A871,[1]characters!$A:$C,3,FALSE)</f>
        <v>曝弾の密偵 D.R.T.H.</v>
      </c>
      <c r="C871" s="3" t="s">
        <v>25</v>
      </c>
      <c r="D871" s="42" t="str">
        <f>A871&amp;+(COUNTIF(A$32:A871,A871)-1)</f>
        <v>4350</v>
      </c>
      <c r="E871" s="19" t="str">
        <f>VLOOKUP(D871,unit_serifs_i18n!C:E,3,FALSE)</f>
        <v>maru</v>
      </c>
      <c r="F871" s="19" t="str">
        <f>VLOOKUP(D871,unit_serifs_i18n!C:F,4,FALSE)</f>
        <v>卑怯？それ褒め言葉だわ</v>
      </c>
    </row>
    <row r="872" spans="1:6" x14ac:dyDescent="0.15">
      <c r="A872" s="39">
        <v>435</v>
      </c>
      <c r="B872" s="9" t="str">
        <f>VLOOKUP(A872,[1]characters!$A:$C,3,FALSE)</f>
        <v>曝弾の密偵 D.R.T.H.</v>
      </c>
      <c r="C872" s="40" t="s">
        <v>26</v>
      </c>
      <c r="D872" s="42" t="str">
        <f>A872&amp;+(COUNTIF(A$32:A872,A872)-1)</f>
        <v>4351</v>
      </c>
      <c r="E872" s="19" t="str">
        <f>VLOOKUP(D872,unit_serifs_i18n!C:E,3,FALSE)</f>
        <v>giza</v>
      </c>
      <c r="F872" s="19" t="str">
        <f>VLOOKUP(D872,unit_serifs_i18n!C:F,4,FALSE)</f>
        <v>虚勢もそこまでよ！</v>
      </c>
    </row>
    <row r="873" spans="1:6" x14ac:dyDescent="0.15">
      <c r="A873" s="39">
        <v>435</v>
      </c>
      <c r="B873" s="9" t="str">
        <f>VLOOKUP(A873,[1]characters!$A:$C,3,FALSE)</f>
        <v>曝弾の密偵 D.R.T.H.</v>
      </c>
      <c r="C873" s="40" t="s">
        <v>26</v>
      </c>
      <c r="D873" s="46" t="str">
        <f>D869</f>
        <v>4341</v>
      </c>
      <c r="E873" s="19" t="str">
        <f>VLOOKUP(D873,unit_serifs_i18n!C:E,3,FALSE)</f>
        <v>maru</v>
      </c>
      <c r="F873" s="19" t="str">
        <f>VLOOKUP(D873,unit_serifs_i18n!C:F,4,FALSE)</f>
        <v>あたしはだまされない</v>
      </c>
    </row>
    <row r="874" spans="1:6" x14ac:dyDescent="0.15">
      <c r="A874" s="39">
        <v>435</v>
      </c>
      <c r="B874" s="9" t="str">
        <f>VLOOKUP(A874,[1]characters!$A:$C,3,FALSE)</f>
        <v>曝弾の密偵 D.R.T.H.</v>
      </c>
      <c r="C874" s="40" t="s">
        <v>26</v>
      </c>
      <c r="D874" s="46" t="str">
        <f>D870</f>
        <v>4342</v>
      </c>
      <c r="E874" s="19" t="str">
        <f>VLOOKUP(D874,unit_serifs_i18n!C:E,3,FALSE)</f>
        <v>giza</v>
      </c>
      <c r="F874" s="19" t="str">
        <f>VLOOKUP(D874,unit_serifs_i18n!C:F,4,FALSE)</f>
        <v>正体見せてもらうわ！</v>
      </c>
    </row>
    <row r="875" spans="1:6" x14ac:dyDescent="0.15">
      <c r="A875" s="11">
        <v>817</v>
      </c>
      <c r="B875" s="9" t="str">
        <f>VLOOKUP(A875,[1]characters!$A:$C,3,FALSE)</f>
        <v>決戦の抗弾 D.R.T.H.</v>
      </c>
      <c r="C875" s="3" t="s">
        <v>25</v>
      </c>
      <c r="D875" s="42" t="str">
        <f>A875&amp;+(COUNTIF(A$32:A875,A875)-1)</f>
        <v>8170</v>
      </c>
      <c r="E875" s="19" t="str">
        <f>VLOOKUP(D875,unit_serifs_i18n!C:E,3,FALSE)</f>
        <v>giza</v>
      </c>
      <c r="F875" s="19" t="str">
        <f>VLOOKUP(D875,unit_serifs_i18n!C:F,4,FALSE)</f>
        <v>盛り上がってきたのよね！</v>
      </c>
    </row>
    <row r="876" spans="1:6" x14ac:dyDescent="0.15">
      <c r="A876" s="11">
        <v>817</v>
      </c>
      <c r="B876" s="9" t="str">
        <f>VLOOKUP(A876,[1]characters!$A:$C,3,FALSE)</f>
        <v>決戦の抗弾 D.R.T.H.</v>
      </c>
      <c r="C876" s="40" t="s">
        <v>26</v>
      </c>
      <c r="D876" s="42" t="str">
        <f>A876&amp;+(COUNTIF(A$32:A876,A876)-1)</f>
        <v>8171</v>
      </c>
      <c r="E876" s="19" t="str">
        <f>VLOOKUP(D876,unit_serifs_i18n!C:E,3,FALSE)</f>
        <v>maru</v>
      </c>
      <c r="F876" s="19" t="str">
        <f>VLOOKUP(D876,unit_serifs_i18n!C:F,4,FALSE)</f>
        <v>追いかけっこは終わりよ</v>
      </c>
    </row>
    <row r="877" spans="1:6" x14ac:dyDescent="0.15">
      <c r="A877" s="11">
        <v>817</v>
      </c>
      <c r="B877" s="9" t="str">
        <f>VLOOKUP(A877,[1]characters!$A:$C,3,FALSE)</f>
        <v>決戦の抗弾 D.R.T.H.</v>
      </c>
      <c r="C877" s="40" t="s">
        <v>26</v>
      </c>
      <c r="D877" s="46" t="str">
        <f>D873</f>
        <v>4341</v>
      </c>
      <c r="E877" s="19" t="str">
        <f>VLOOKUP(D877,unit_serifs_i18n!C:E,3,FALSE)</f>
        <v>maru</v>
      </c>
      <c r="F877" s="19" t="str">
        <f>VLOOKUP(D877,unit_serifs_i18n!C:F,4,FALSE)</f>
        <v>あたしはだまされない</v>
      </c>
    </row>
    <row r="878" spans="1:6" x14ac:dyDescent="0.15">
      <c r="A878" s="11">
        <v>817</v>
      </c>
      <c r="B878" s="9" t="str">
        <f>VLOOKUP(A878,[1]characters!$A:$C,3,FALSE)</f>
        <v>決戦の抗弾 D.R.T.H.</v>
      </c>
      <c r="C878" s="40" t="s">
        <v>26</v>
      </c>
      <c r="D878" s="46" t="str">
        <f>D874</f>
        <v>4342</v>
      </c>
      <c r="E878" s="19" t="str">
        <f>VLOOKUP(D878,unit_serifs_i18n!C:E,3,FALSE)</f>
        <v>giza</v>
      </c>
      <c r="F878" s="19" t="str">
        <f>VLOOKUP(D878,unit_serifs_i18n!C:F,4,FALSE)</f>
        <v>正体見せてもらうわ！</v>
      </c>
    </row>
    <row r="879" spans="1:6" x14ac:dyDescent="0.15">
      <c r="A879" s="11">
        <v>817</v>
      </c>
      <c r="B879" s="9" t="str">
        <f>VLOOKUP(A879,[1]characters!$A:$C,3,FALSE)</f>
        <v>決戦の抗弾 D.R.T.H.</v>
      </c>
      <c r="C879" s="40" t="s">
        <v>26</v>
      </c>
      <c r="D879" s="46" t="str">
        <f>D872</f>
        <v>4351</v>
      </c>
      <c r="E879" s="19" t="str">
        <f>VLOOKUP(D879,unit_serifs_i18n!C:E,3,FALSE)</f>
        <v>giza</v>
      </c>
      <c r="F879" s="19" t="str">
        <f>VLOOKUP(D879,unit_serifs_i18n!C:F,4,FALSE)</f>
        <v>虚勢もそこまでよ！</v>
      </c>
    </row>
    <row r="880" spans="1:6" x14ac:dyDescent="0.15">
      <c r="A880" s="11">
        <v>436</v>
      </c>
      <c r="B880" s="9" t="str">
        <f>VLOOKUP(A880,[1]characters!$A:$C,3,FALSE)</f>
        <v>カカシ</v>
      </c>
      <c r="C880" s="3" t="s">
        <v>25</v>
      </c>
      <c r="D880" s="42" t="str">
        <f>A880&amp;+(COUNTIF(A$32:A880,A880)-1)</f>
        <v>4360</v>
      </c>
      <c r="E880" s="19" t="str">
        <f>VLOOKUP(D880,unit_serifs_i18n!C:E,3,FALSE)</f>
        <v>maru</v>
      </c>
      <c r="F880" s="19" t="str">
        <f>VLOOKUP(D880,unit_serifs_i18n!C:F,4,FALSE)</f>
        <v>オレも力を見せてやるか！</v>
      </c>
    </row>
    <row r="881" spans="1:6" x14ac:dyDescent="0.15">
      <c r="A881" s="39">
        <v>436</v>
      </c>
      <c r="B881" s="9" t="str">
        <f>VLOOKUP(A881,[1]characters!$A:$C,3,FALSE)</f>
        <v>カカシ</v>
      </c>
      <c r="C881" s="40" t="s">
        <v>26</v>
      </c>
      <c r="D881" s="42" t="str">
        <f>A881&amp;+(COUNTIF(A$32:A881,A881)-1)</f>
        <v>4361</v>
      </c>
      <c r="E881" s="19" t="str">
        <f>VLOOKUP(D881,unit_serifs_i18n!C:E,3,FALSE)</f>
        <v>maru</v>
      </c>
      <c r="F881" s="19" t="str">
        <f>VLOOKUP(D881,unit_serifs_i18n!C:F,4,FALSE)</f>
        <v>ちょっかい出すゼ！</v>
      </c>
    </row>
    <row r="882" spans="1:6" x14ac:dyDescent="0.15">
      <c r="A882" s="11">
        <v>437</v>
      </c>
      <c r="B882" s="9" t="str">
        <f>VLOOKUP(A882,[1]characters!$A:$C,3,FALSE)</f>
        <v>忘却者 カカシ</v>
      </c>
      <c r="C882" s="3" t="s">
        <v>25</v>
      </c>
      <c r="D882" s="42" t="str">
        <f>A882&amp;+(COUNTIF(A$32:A882,A882)-1)</f>
        <v>4370</v>
      </c>
      <c r="E882" s="19" t="str">
        <f>VLOOKUP(D882,unit_serifs_i18n!C:E,3,FALSE)</f>
        <v>maru</v>
      </c>
      <c r="F882" s="19" t="str">
        <f>VLOOKUP(D882,unit_serifs_i18n!C:F,4,FALSE)</f>
        <v>オトリになるのは得意だゼ</v>
      </c>
    </row>
    <row r="883" spans="1:6" x14ac:dyDescent="0.15">
      <c r="A883" s="39">
        <v>437</v>
      </c>
      <c r="B883" s="9" t="str">
        <f>VLOOKUP(A883,[1]characters!$A:$C,3,FALSE)</f>
        <v>忘却者 カカシ</v>
      </c>
      <c r="C883" s="40" t="s">
        <v>26</v>
      </c>
      <c r="D883" s="42" t="str">
        <f>A883&amp;+(COUNTIF(A$32:A883,A883)-1)</f>
        <v>4371</v>
      </c>
      <c r="E883" s="19" t="str">
        <f>VLOOKUP(D883,unit_serifs_i18n!C:E,3,FALSE)</f>
        <v>maru</v>
      </c>
      <c r="F883" s="19" t="str">
        <f>VLOOKUP(D883,unit_serifs_i18n!C:F,4,FALSE)</f>
        <v>からかってやるか！</v>
      </c>
    </row>
    <row r="884" spans="1:6" x14ac:dyDescent="0.15">
      <c r="A884" s="61">
        <v>437</v>
      </c>
      <c r="B884" s="9" t="str">
        <f>VLOOKUP(A884,[1]characters!$A:$C,3,FALSE)</f>
        <v>忘却者 カカシ</v>
      </c>
      <c r="C884" s="40" t="s">
        <v>26</v>
      </c>
      <c r="D884" s="46" t="str">
        <f>D881</f>
        <v>4361</v>
      </c>
      <c r="E884" s="19" t="str">
        <f>VLOOKUP(D884,unit_serifs_i18n!C:E,3,FALSE)</f>
        <v>maru</v>
      </c>
      <c r="F884" s="19" t="str">
        <f>VLOOKUP(D884,unit_serifs_i18n!C:F,4,FALSE)</f>
        <v>ちょっかい出すゼ！</v>
      </c>
    </row>
    <row r="885" spans="1:6" x14ac:dyDescent="0.15">
      <c r="A885" s="38">
        <v>438</v>
      </c>
      <c r="B885" s="9" t="str">
        <f>VLOOKUP(A885,[1]characters!$A:$C,3,FALSE)</f>
        <v>記憶の奪還 カカシ</v>
      </c>
      <c r="C885" s="58" t="s">
        <v>25</v>
      </c>
      <c r="D885" s="42" t="str">
        <f>A885&amp;+(COUNTIF(A$32:A885,A885)-1)</f>
        <v>4380</v>
      </c>
      <c r="E885" s="19" t="str">
        <f>VLOOKUP(D885,unit_serifs_i18n!C:E,3,FALSE)</f>
        <v>giza</v>
      </c>
      <c r="F885" s="19" t="str">
        <f>VLOOKUP(D885,unit_serifs_i18n!C:F,4,FALSE)</f>
        <v>お膳立ては済んだゼェ！</v>
      </c>
    </row>
    <row r="886" spans="1:6" x14ac:dyDescent="0.15">
      <c r="A886" s="61">
        <v>438</v>
      </c>
      <c r="B886" s="9" t="str">
        <f>VLOOKUP(A886,[1]characters!$A:$C,3,FALSE)</f>
        <v>記憶の奪還 カカシ</v>
      </c>
      <c r="C886" s="64" t="s">
        <v>26</v>
      </c>
      <c r="D886" s="42" t="str">
        <f>A886&amp;+(COUNTIF(A$32:A886,A886)-1)</f>
        <v>4381</v>
      </c>
      <c r="E886" s="19" t="str">
        <f>VLOOKUP(D886,unit_serifs_i18n!C:E,3,FALSE)</f>
        <v>kumo</v>
      </c>
      <c r="F886" s="19" t="str">
        <f>VLOOKUP(D886,unit_serifs_i18n!C:F,4,FALSE)</f>
        <v>へっ…思い出したゼ！</v>
      </c>
    </row>
    <row r="887" spans="1:6" x14ac:dyDescent="0.15">
      <c r="A887" s="61">
        <v>438</v>
      </c>
      <c r="B887" s="9" t="str">
        <f>VLOOKUP(A887,[1]characters!$A:$C,3,FALSE)</f>
        <v>記憶の奪還 カカシ</v>
      </c>
      <c r="C887" s="64" t="s">
        <v>26</v>
      </c>
      <c r="D887" s="46" t="str">
        <f>D884</f>
        <v>4361</v>
      </c>
      <c r="E887" s="19" t="str">
        <f>VLOOKUP(D887,unit_serifs_i18n!C:E,3,FALSE)</f>
        <v>maru</v>
      </c>
      <c r="F887" s="19" t="str">
        <f>VLOOKUP(D887,unit_serifs_i18n!C:F,4,FALSE)</f>
        <v>ちょっかい出すゼ！</v>
      </c>
    </row>
    <row r="888" spans="1:6" x14ac:dyDescent="0.15">
      <c r="A888" s="61">
        <v>438</v>
      </c>
      <c r="B888" s="9" t="str">
        <f>VLOOKUP(A888,[1]characters!$A:$C,3,FALSE)</f>
        <v>記憶の奪還 カカシ</v>
      </c>
      <c r="C888" s="64" t="s">
        <v>26</v>
      </c>
      <c r="D888" s="46" t="str">
        <f>D883</f>
        <v>4371</v>
      </c>
      <c r="E888" s="19" t="str">
        <f>VLOOKUP(D888,unit_serifs_i18n!C:E,3,FALSE)</f>
        <v>maru</v>
      </c>
      <c r="F888" s="19" t="str">
        <f>VLOOKUP(D888,unit_serifs_i18n!C:F,4,FALSE)</f>
        <v>からかってやるか！</v>
      </c>
    </row>
    <row r="889" spans="1:6" x14ac:dyDescent="0.15">
      <c r="A889" s="38">
        <v>439</v>
      </c>
      <c r="B889" s="9" t="str">
        <f>VLOOKUP(A889,[1]characters!$A:$C,3,FALSE)</f>
        <v>ブリキロガー</v>
      </c>
      <c r="C889" s="58" t="s">
        <v>25</v>
      </c>
      <c r="D889" s="42" t="str">
        <f>A889&amp;+(COUNTIF(A$32:A889,A889)-1)</f>
        <v>4390</v>
      </c>
      <c r="E889" s="19" t="str">
        <f>VLOOKUP(D889,unit_serifs_i18n!C:E,3,FALSE)</f>
        <v>giza</v>
      </c>
      <c r="F889" s="19" t="str">
        <f>VLOOKUP(D889,unit_serifs_i18n!C:F,4,FALSE)</f>
        <v>殴ル…強ク殴ル…！！</v>
      </c>
    </row>
    <row r="890" spans="1:6" x14ac:dyDescent="0.15">
      <c r="A890" s="61">
        <v>439</v>
      </c>
      <c r="B890" s="9" t="str">
        <f>VLOOKUP(A890,[1]characters!$A:$C,3,FALSE)</f>
        <v>ブリキロガー</v>
      </c>
      <c r="C890" s="64" t="s">
        <v>26</v>
      </c>
      <c r="D890" s="42" t="str">
        <f>A890&amp;+(COUNTIF(A$32:A890,A890)-1)</f>
        <v>4391</v>
      </c>
      <c r="E890" s="19" t="str">
        <f>VLOOKUP(D890,unit_serifs_i18n!C:E,3,FALSE)</f>
        <v>maru</v>
      </c>
      <c r="F890" s="19" t="str">
        <f>VLOOKUP(D890,unit_serifs_i18n!C:F,4,FALSE)</f>
        <v>リミッター解除命令ダ</v>
      </c>
    </row>
    <row r="891" spans="1:6" x14ac:dyDescent="0.15">
      <c r="A891" s="11">
        <v>440</v>
      </c>
      <c r="B891" s="9" t="str">
        <f>VLOOKUP(A891,[1]characters!$A:$C,3,FALSE)</f>
        <v>改良型 ブリキロガー</v>
      </c>
      <c r="C891" s="3" t="s">
        <v>25</v>
      </c>
      <c r="D891" s="42" t="str">
        <f>A891&amp;+(COUNTIF(A$32:A891,A891)-1)</f>
        <v>4400</v>
      </c>
      <c r="E891" s="19" t="str">
        <f>VLOOKUP(D891,unit_serifs_i18n!C:E,3,FALSE)</f>
        <v>giza</v>
      </c>
      <c r="F891" s="19" t="str">
        <f>VLOOKUP(D891,unit_serifs_i18n!C:F,4,FALSE)</f>
        <v>壊セバ…褒メラレル…！</v>
      </c>
    </row>
    <row r="892" spans="1:6" x14ac:dyDescent="0.15">
      <c r="A892" s="39">
        <v>440</v>
      </c>
      <c r="B892" s="9" t="str">
        <f>VLOOKUP(A892,[1]characters!$A:$C,3,FALSE)</f>
        <v>改良型 ブリキロガー</v>
      </c>
      <c r="C892" s="40" t="s">
        <v>26</v>
      </c>
      <c r="D892" s="42" t="str">
        <f>A892&amp;+(COUNTIF(A$32:A892,A892)-1)</f>
        <v>4401</v>
      </c>
      <c r="E892" s="19" t="str">
        <f>VLOOKUP(D892,unit_serifs_i18n!C:E,3,FALSE)</f>
        <v>giza</v>
      </c>
      <c r="F892" s="19" t="str">
        <f>VLOOKUP(D892,unit_serifs_i18n!C:F,4,FALSE)</f>
        <v>照準確定！カクテイ！</v>
      </c>
    </row>
    <row r="893" spans="1:6" x14ac:dyDescent="0.15">
      <c r="A893" s="39">
        <v>440</v>
      </c>
      <c r="B893" s="9" t="str">
        <f>VLOOKUP(A893,[1]characters!$A:$C,3,FALSE)</f>
        <v>改良型 ブリキロガー</v>
      </c>
      <c r="C893" s="40" t="s">
        <v>26</v>
      </c>
      <c r="D893" s="46" t="str">
        <f>D890</f>
        <v>4391</v>
      </c>
      <c r="E893" s="19" t="str">
        <f>VLOOKUP(D893,unit_serifs_i18n!C:E,3,FALSE)</f>
        <v>maru</v>
      </c>
      <c r="F893" s="19" t="str">
        <f>VLOOKUP(D893,unit_serifs_i18n!C:F,4,FALSE)</f>
        <v>リミッター解除命令ダ</v>
      </c>
    </row>
    <row r="894" spans="1:6" x14ac:dyDescent="0.15">
      <c r="A894" s="11">
        <v>441</v>
      </c>
      <c r="B894" s="9" t="str">
        <f>VLOOKUP(A894,[1]characters!$A:$C,3,FALSE)</f>
        <v>求心の錻装 ブリキロガー</v>
      </c>
      <c r="C894" s="3" t="s">
        <v>25</v>
      </c>
      <c r="D894" s="42" t="str">
        <f>A894&amp;+(COUNTIF(A$32:A894,A894)-1)</f>
        <v>4410</v>
      </c>
      <c r="E894" s="19" t="str">
        <f>VLOOKUP(D894,unit_serifs_i18n!C:E,3,FALSE)</f>
        <v>giza</v>
      </c>
      <c r="F894" s="19" t="str">
        <f>VLOOKUP(D894,unit_serifs_i18n!C:F,4,FALSE)</f>
        <v>衝撃計算不能！フノウ！！</v>
      </c>
    </row>
    <row r="895" spans="1:6" x14ac:dyDescent="0.15">
      <c r="A895" s="39">
        <v>441</v>
      </c>
      <c r="B895" s="9" t="str">
        <f>VLOOKUP(A895,[1]characters!$A:$C,3,FALSE)</f>
        <v>求心の錻装 ブリキロガー</v>
      </c>
      <c r="C895" s="40" t="s">
        <v>26</v>
      </c>
      <c r="D895" s="42" t="str">
        <f>A895&amp;+(COUNTIF(A$32:A895,A895)-1)</f>
        <v>4411</v>
      </c>
      <c r="E895" s="19" t="str">
        <f>VLOOKUP(D895,unit_serifs_i18n!C:E,3,FALSE)</f>
        <v>giza</v>
      </c>
      <c r="F895" s="19" t="str">
        <f>VLOOKUP(D895,unit_serifs_i18n!C:F,4,FALSE)</f>
        <v>全動力開放！ガァァ！</v>
      </c>
    </row>
    <row r="896" spans="1:6" x14ac:dyDescent="0.15">
      <c r="A896" s="39">
        <v>441</v>
      </c>
      <c r="B896" s="9" t="str">
        <f>VLOOKUP(A896,[1]characters!$A:$C,3,FALSE)</f>
        <v>求心の錻装 ブリキロガー</v>
      </c>
      <c r="C896" s="40" t="s">
        <v>26</v>
      </c>
      <c r="D896" s="46" t="str">
        <f>D893</f>
        <v>4391</v>
      </c>
      <c r="E896" s="19" t="str">
        <f>VLOOKUP(D896,unit_serifs_i18n!C:E,3,FALSE)</f>
        <v>maru</v>
      </c>
      <c r="F896" s="19" t="str">
        <f>VLOOKUP(D896,unit_serifs_i18n!C:F,4,FALSE)</f>
        <v>リミッター解除命令ダ</v>
      </c>
    </row>
    <row r="897" spans="1:6" x14ac:dyDescent="0.15">
      <c r="A897" s="39">
        <v>441</v>
      </c>
      <c r="B897" s="9" t="str">
        <f>VLOOKUP(A897,[1]characters!$A:$C,3,FALSE)</f>
        <v>求心の錻装 ブリキロガー</v>
      </c>
      <c r="C897" s="40" t="s">
        <v>26</v>
      </c>
      <c r="D897" s="46" t="str">
        <f>D892</f>
        <v>4401</v>
      </c>
      <c r="E897" s="19" t="str">
        <f>VLOOKUP(D897,unit_serifs_i18n!C:E,3,FALSE)</f>
        <v>giza</v>
      </c>
      <c r="F897" s="19" t="str">
        <f>VLOOKUP(D897,unit_serifs_i18n!C:F,4,FALSE)</f>
        <v>照準確定！カクテイ！</v>
      </c>
    </row>
    <row r="898" spans="1:6" x14ac:dyDescent="0.15">
      <c r="A898" s="11">
        <v>442</v>
      </c>
      <c r="B898" s="9" t="str">
        <f>VLOOKUP(A898,[1]characters!$A:$C,3,FALSE)</f>
        <v>ブレイブリー・ライオン</v>
      </c>
      <c r="C898" s="3" t="s">
        <v>25</v>
      </c>
      <c r="D898" s="42" t="str">
        <f>A898&amp;+(COUNTIF(A$32:A898,A898)-1)</f>
        <v>4420</v>
      </c>
      <c r="E898" s="19" t="str">
        <f>VLOOKUP(D898,unit_serifs_i18n!C:E,3,FALSE)</f>
        <v>maru</v>
      </c>
      <c r="F898" s="19" t="str">
        <f>VLOOKUP(D898,unit_serifs_i18n!C:F,4,FALSE)</f>
        <v>私が皆を守るのだ…！</v>
      </c>
    </row>
    <row r="899" spans="1:6" x14ac:dyDescent="0.15">
      <c r="A899" s="39">
        <v>442</v>
      </c>
      <c r="B899" s="9" t="str">
        <f>VLOOKUP(A899,[1]characters!$A:$C,3,FALSE)</f>
        <v>ブレイブリー・ライオン</v>
      </c>
      <c r="C899" s="40" t="s">
        <v>26</v>
      </c>
      <c r="D899" s="42" t="str">
        <f>A899&amp;+(COUNTIF(A$32:A899,A899)-1)</f>
        <v>4421</v>
      </c>
      <c r="E899" s="19" t="str">
        <f>VLOOKUP(D899,unit_serifs_i18n!C:E,3,FALSE)</f>
        <v>maru</v>
      </c>
      <c r="F899" s="19" t="str">
        <f>VLOOKUP(D899,unit_serifs_i18n!C:F,4,FALSE)</f>
        <v>この爪は飾りではない</v>
      </c>
    </row>
    <row r="900" spans="1:6" x14ac:dyDescent="0.15">
      <c r="A900" s="39">
        <v>442</v>
      </c>
      <c r="B900" s="9" t="str">
        <f>VLOOKUP(A900,[1]characters!$A:$C,3,FALSE)</f>
        <v>ブレイブリー・ライオン</v>
      </c>
      <c r="C900" s="40" t="s">
        <v>26</v>
      </c>
      <c r="D900" s="42" t="str">
        <f>A900&amp;+(COUNTIF(A$32:A900,A900)-1)</f>
        <v>4422</v>
      </c>
      <c r="E900" s="19" t="str">
        <f>VLOOKUP(D900,unit_serifs_i18n!C:E,3,FALSE)</f>
        <v>giza</v>
      </c>
      <c r="F900" s="19" t="str">
        <f>VLOOKUP(D900,unit_serifs_i18n!C:F,4,FALSE)</f>
        <v>立ちはだかるならば！</v>
      </c>
    </row>
    <row r="901" spans="1:6" x14ac:dyDescent="0.15">
      <c r="A901" s="11">
        <v>443</v>
      </c>
      <c r="B901" s="9" t="str">
        <f>VLOOKUP(A901,[1]characters!$A:$C,3,FALSE)</f>
        <v>勇機結集 ブレイブリー・ライオン</v>
      </c>
      <c r="C901" s="3" t="s">
        <v>25</v>
      </c>
      <c r="D901" s="42" t="str">
        <f>A901&amp;+(COUNTIF(A$32:A901,A901)-1)</f>
        <v>4430</v>
      </c>
      <c r="E901" s="19" t="str">
        <f>VLOOKUP(D901,unit_serifs_i18n!C:E,3,FALSE)</f>
        <v>giza</v>
      </c>
      <c r="F901" s="19" t="str">
        <f>VLOOKUP(D901,unit_serifs_i18n!C:F,4,FALSE)</f>
        <v>さぁ私を越えて行くのだ！</v>
      </c>
    </row>
    <row r="902" spans="1:6" x14ac:dyDescent="0.15">
      <c r="A902" s="39">
        <v>443</v>
      </c>
      <c r="B902" s="9" t="str">
        <f>VLOOKUP(A902,[1]characters!$A:$C,3,FALSE)</f>
        <v>勇機結集 ブレイブリー・ライオン</v>
      </c>
      <c r="C902" s="40" t="s">
        <v>26</v>
      </c>
      <c r="D902" s="42" t="str">
        <f>A902&amp;+(COUNTIF(A$32:A902,A902)-1)</f>
        <v>4431</v>
      </c>
      <c r="E902" s="19" t="str">
        <f>VLOOKUP(D902,unit_serifs_i18n!C:E,3,FALSE)</f>
        <v>giza</v>
      </c>
      <c r="F902" s="19" t="str">
        <f>VLOOKUP(D902,unit_serifs_i18n!C:F,4,FALSE)</f>
        <v>私も猛獣なのだよ！</v>
      </c>
    </row>
    <row r="903" spans="1:6" x14ac:dyDescent="0.15">
      <c r="A903" s="39">
        <v>443</v>
      </c>
      <c r="B903" s="9" t="str">
        <f>VLOOKUP(A903,[1]characters!$A:$C,3,FALSE)</f>
        <v>勇機結集 ブレイブリー・ライオン</v>
      </c>
      <c r="C903" s="40" t="s">
        <v>26</v>
      </c>
      <c r="D903" s="46" t="str">
        <f>D899</f>
        <v>4421</v>
      </c>
      <c r="E903" s="19" t="str">
        <f>VLOOKUP(D903,unit_serifs_i18n!C:E,3,FALSE)</f>
        <v>maru</v>
      </c>
      <c r="F903" s="19" t="str">
        <f>VLOOKUP(D903,unit_serifs_i18n!C:F,4,FALSE)</f>
        <v>この爪は飾りではない</v>
      </c>
    </row>
    <row r="904" spans="1:6" x14ac:dyDescent="0.15">
      <c r="A904" s="39">
        <v>443</v>
      </c>
      <c r="B904" s="9" t="str">
        <f>VLOOKUP(A904,[1]characters!$A:$C,3,FALSE)</f>
        <v>勇機結集 ブレイブリー・ライオン</v>
      </c>
      <c r="C904" s="40" t="s">
        <v>26</v>
      </c>
      <c r="D904" s="46" t="str">
        <f>D900</f>
        <v>4422</v>
      </c>
      <c r="E904" s="19" t="str">
        <f>VLOOKUP(D904,unit_serifs_i18n!C:E,3,FALSE)</f>
        <v>giza</v>
      </c>
      <c r="F904" s="19" t="str">
        <f>VLOOKUP(D904,unit_serifs_i18n!C:F,4,FALSE)</f>
        <v>立ちはだかるならば！</v>
      </c>
    </row>
    <row r="905" spans="1:6" x14ac:dyDescent="0.15">
      <c r="A905" s="11">
        <v>452</v>
      </c>
      <c r="B905" s="9" t="str">
        <f>VLOOKUP(A905,[1]characters!$A:$C,3,FALSE)</f>
        <v>猛狐 エゾ</v>
      </c>
      <c r="C905" s="3" t="s">
        <v>25</v>
      </c>
      <c r="D905" s="42" t="str">
        <f>A905&amp;+(COUNTIF(A$32:A905,A905)-1)</f>
        <v>4520</v>
      </c>
      <c r="E905" s="19" t="str">
        <f>VLOOKUP(D905,unit_serifs_i18n!C:E,3,FALSE)</f>
        <v>giza</v>
      </c>
      <c r="F905" s="19" t="str">
        <f>VLOOKUP(D905,unit_serifs_i18n!C:F,4,FALSE)</f>
        <v>この剣に魂を灯すッ…！</v>
      </c>
    </row>
    <row r="906" spans="1:6" x14ac:dyDescent="0.15">
      <c r="A906" s="39">
        <v>452</v>
      </c>
      <c r="B906" s="9" t="str">
        <f>VLOOKUP(A906,[1]characters!$A:$C,3,FALSE)</f>
        <v>猛狐 エゾ</v>
      </c>
      <c r="C906" s="40" t="s">
        <v>26</v>
      </c>
      <c r="D906" s="42" t="str">
        <f>A906&amp;+(COUNTIF(A$32:A906,A906)-1)</f>
        <v>4521</v>
      </c>
      <c r="E906" s="19" t="str">
        <f>VLOOKUP(D906,unit_serifs_i18n!C:E,3,FALSE)</f>
        <v>giza</v>
      </c>
      <c r="F906" s="19" t="str">
        <f>VLOOKUP(D906,unit_serifs_i18n!C:F,4,FALSE)</f>
        <v>生き残るのは俺だ！</v>
      </c>
    </row>
    <row r="907" spans="1:6" x14ac:dyDescent="0.15">
      <c r="A907" s="39">
        <v>452</v>
      </c>
      <c r="B907" s="9" t="str">
        <f>VLOOKUP(A907,[1]characters!$A:$C,3,FALSE)</f>
        <v>猛狐 エゾ</v>
      </c>
      <c r="C907" s="40" t="s">
        <v>26</v>
      </c>
      <c r="D907" s="42" t="str">
        <f>A907&amp;+(COUNTIF(A$32:A907,A907)-1)</f>
        <v>4522</v>
      </c>
      <c r="E907" s="19" t="str">
        <f>VLOOKUP(D907,unit_serifs_i18n!C:E,3,FALSE)</f>
        <v>maru</v>
      </c>
      <c r="F907" s="19" t="str">
        <f>VLOOKUP(D907,unit_serifs_i18n!C:F,4,FALSE)</f>
        <v>命のやりとり…面白い</v>
      </c>
    </row>
    <row r="908" spans="1:6" x14ac:dyDescent="0.15">
      <c r="A908" s="11">
        <v>453</v>
      </c>
      <c r="B908" s="9" t="str">
        <f>VLOOKUP(A908,[1]characters!$A:$C,3,FALSE)</f>
        <v>急尾の猛狐 エゾ</v>
      </c>
      <c r="C908" s="3" t="s">
        <v>25</v>
      </c>
      <c r="D908" s="42" t="str">
        <f>A908&amp;+(COUNTIF(A$32:A908,A908)-1)</f>
        <v>4530</v>
      </c>
      <c r="E908" s="19" t="str">
        <f>VLOOKUP(D908,unit_serifs_i18n!C:E,3,FALSE)</f>
        <v>giza</v>
      </c>
      <c r="F908" s="19" t="str">
        <f>VLOOKUP(D908,unit_serifs_i18n!C:F,4,FALSE)</f>
        <v>最期まで…諦めるかぁッ！</v>
      </c>
    </row>
    <row r="909" spans="1:6" x14ac:dyDescent="0.15">
      <c r="A909" s="39">
        <v>453</v>
      </c>
      <c r="B909" s="9" t="str">
        <f>VLOOKUP(A909,[1]characters!$A:$C,3,FALSE)</f>
        <v>急尾の猛狐 エゾ</v>
      </c>
      <c r="C909" s="40" t="s">
        <v>26</v>
      </c>
      <c r="D909" s="42" t="str">
        <f>A909&amp;+(COUNTIF(A$32:A909,A909)-1)</f>
        <v>4531</v>
      </c>
      <c r="E909" s="19" t="str">
        <f>VLOOKUP(D909,unit_serifs_i18n!C:E,3,FALSE)</f>
        <v>giza</v>
      </c>
      <c r="F909" s="19" t="str">
        <f>VLOOKUP(D909,unit_serifs_i18n!C:F,4,FALSE)</f>
        <v>見せるぜ、生き様を！</v>
      </c>
    </row>
    <row r="910" spans="1:6" x14ac:dyDescent="0.15">
      <c r="A910" s="39">
        <v>453</v>
      </c>
      <c r="B910" s="9" t="str">
        <f>VLOOKUP(A910,[1]characters!$A:$C,3,FALSE)</f>
        <v>急尾の猛狐 エゾ</v>
      </c>
      <c r="C910" s="40" t="s">
        <v>26</v>
      </c>
      <c r="D910" s="46" t="str">
        <f>D906</f>
        <v>4521</v>
      </c>
      <c r="E910" s="19" t="str">
        <f>VLOOKUP(D910,unit_serifs_i18n!C:E,3,FALSE)</f>
        <v>giza</v>
      </c>
      <c r="F910" s="19" t="str">
        <f>VLOOKUP(D910,unit_serifs_i18n!C:F,4,FALSE)</f>
        <v>生き残るのは俺だ！</v>
      </c>
    </row>
    <row r="911" spans="1:6" x14ac:dyDescent="0.15">
      <c r="A911" s="39">
        <v>453</v>
      </c>
      <c r="B911" s="9" t="str">
        <f>VLOOKUP(A911,[1]characters!$A:$C,3,FALSE)</f>
        <v>急尾の猛狐 エゾ</v>
      </c>
      <c r="C911" s="40" t="s">
        <v>26</v>
      </c>
      <c r="D911" s="46" t="str">
        <f>D907</f>
        <v>4522</v>
      </c>
      <c r="E911" s="19" t="str">
        <f>VLOOKUP(D911,unit_serifs_i18n!C:E,3,FALSE)</f>
        <v>maru</v>
      </c>
      <c r="F911" s="19" t="str">
        <f>VLOOKUP(D911,unit_serifs_i18n!C:F,4,FALSE)</f>
        <v>命のやりとり…面白い</v>
      </c>
    </row>
    <row r="912" spans="1:6" x14ac:dyDescent="0.15">
      <c r="A912" s="11">
        <v>454</v>
      </c>
      <c r="B912" s="9" t="str">
        <f>VLOOKUP(A912,[1]characters!$A:$C,3,FALSE)</f>
        <v>二闘 レッサとギガン</v>
      </c>
      <c r="C912" s="3" t="s">
        <v>25</v>
      </c>
      <c r="D912" s="42" t="str">
        <f>A912&amp;+(COUNTIF(A$32:A912,A912)-1)</f>
        <v>4540</v>
      </c>
      <c r="E912" s="19" t="str">
        <f>VLOOKUP(D912,unit_serifs_i18n!C:E,3,FALSE)</f>
        <v>giza</v>
      </c>
      <c r="F912" s="19" t="str">
        <f>VLOOKUP(D912,unit_serifs_i18n!C:F,4,FALSE)</f>
        <v>ケンカの場数がちげぇよ！</v>
      </c>
    </row>
    <row r="913" spans="1:6" x14ac:dyDescent="0.15">
      <c r="A913" s="39">
        <v>454</v>
      </c>
      <c r="B913" s="9" t="str">
        <f>VLOOKUP(A913,[1]characters!$A:$C,3,FALSE)</f>
        <v>二闘 レッサとギガン</v>
      </c>
      <c r="C913" s="40" t="s">
        <v>26</v>
      </c>
      <c r="D913" s="42" t="str">
        <f>A913&amp;+(COUNTIF(A$32:A913,A913)-1)</f>
        <v>4541</v>
      </c>
      <c r="E913" s="19" t="str">
        <f>VLOOKUP(D913,unit_serifs_i18n!C:E,3,FALSE)</f>
        <v>giza</v>
      </c>
      <c r="F913" s="19" t="str">
        <f>VLOOKUP(D913,unit_serifs_i18n!C:F,4,FALSE)</f>
        <v>ボコられたい奴は！？</v>
      </c>
    </row>
    <row r="914" spans="1:6" x14ac:dyDescent="0.15">
      <c r="A914" s="39">
        <v>454</v>
      </c>
      <c r="B914" s="9" t="str">
        <f>VLOOKUP(A914,[1]characters!$A:$C,3,FALSE)</f>
        <v>二闘 レッサとギガン</v>
      </c>
      <c r="C914" s="40" t="s">
        <v>26</v>
      </c>
      <c r="D914" s="42" t="str">
        <f>A914&amp;+(COUNTIF(A$32:A914,A914)-1)</f>
        <v>4542</v>
      </c>
      <c r="E914" s="19" t="str">
        <f>VLOOKUP(D914,unit_serifs_i18n!C:E,3,FALSE)</f>
        <v>giza</v>
      </c>
      <c r="F914" s="19" t="str">
        <f>VLOOKUP(D914,unit_serifs_i18n!C:F,4,FALSE)</f>
        <v>オラァ！ぶっ倒すぜ！</v>
      </c>
    </row>
    <row r="915" spans="1:6" x14ac:dyDescent="0.15">
      <c r="A915" s="11">
        <v>455</v>
      </c>
      <c r="B915" s="9" t="str">
        <f>VLOOKUP(A915,[1]characters!$A:$C,3,FALSE)</f>
        <v>廃街の二闘 レッサとギガン</v>
      </c>
      <c r="C915" s="3" t="s">
        <v>25</v>
      </c>
      <c r="D915" s="42" t="str">
        <f>A915&amp;+(COUNTIF(A$32:A915,A915)-1)</f>
        <v>4550</v>
      </c>
      <c r="E915" s="19" t="str">
        <f>VLOOKUP(D915,unit_serifs_i18n!C:E,3,FALSE)</f>
        <v>giza</v>
      </c>
      <c r="F915" s="19" t="str">
        <f>VLOOKUP(D915,unit_serifs_i18n!C:F,4,FALSE)</f>
        <v>ギガン！根性見せろよ！</v>
      </c>
    </row>
    <row r="916" spans="1:6" x14ac:dyDescent="0.15">
      <c r="A916" s="39">
        <v>455</v>
      </c>
      <c r="B916" s="9" t="str">
        <f>VLOOKUP(A916,[1]characters!$A:$C,3,FALSE)</f>
        <v>廃街の二闘 レッサとギガン</v>
      </c>
      <c r="C916" s="40" t="s">
        <v>26</v>
      </c>
      <c r="D916" s="42" t="str">
        <f>A916&amp;+(COUNTIF(A$32:A916,A916)-1)</f>
        <v>4551</v>
      </c>
      <c r="E916" s="19" t="str">
        <f>VLOOKUP(D916,unit_serifs_i18n!C:E,3,FALSE)</f>
        <v>maru</v>
      </c>
      <c r="F916" s="19" t="str">
        <f>VLOOKUP(D916,unit_serifs_i18n!C:F,4,FALSE)</f>
        <v>へっ…マジにさせたな</v>
      </c>
    </row>
    <row r="917" spans="1:6" x14ac:dyDescent="0.15">
      <c r="A917" s="39">
        <v>455</v>
      </c>
      <c r="B917" s="9" t="str">
        <f>VLOOKUP(A917,[1]characters!$A:$C,3,FALSE)</f>
        <v>廃街の二闘 レッサとギガン</v>
      </c>
      <c r="C917" s="40" t="s">
        <v>26</v>
      </c>
      <c r="D917" s="46" t="str">
        <f>D913</f>
        <v>4541</v>
      </c>
      <c r="E917" s="19" t="str">
        <f>VLOOKUP(D917,unit_serifs_i18n!C:E,3,FALSE)</f>
        <v>giza</v>
      </c>
      <c r="F917" s="19" t="str">
        <f>VLOOKUP(D917,unit_serifs_i18n!C:F,4,FALSE)</f>
        <v>ボコられたい奴は！？</v>
      </c>
    </row>
    <row r="918" spans="1:6" x14ac:dyDescent="0.15">
      <c r="A918" s="39">
        <v>455</v>
      </c>
      <c r="B918" s="9" t="str">
        <f>VLOOKUP(A918,[1]characters!$A:$C,3,FALSE)</f>
        <v>廃街の二闘 レッサとギガン</v>
      </c>
      <c r="C918" s="40" t="s">
        <v>26</v>
      </c>
      <c r="D918" s="46" t="str">
        <f>D914</f>
        <v>4542</v>
      </c>
      <c r="E918" s="19" t="str">
        <f>VLOOKUP(D918,unit_serifs_i18n!C:E,3,FALSE)</f>
        <v>giza</v>
      </c>
      <c r="F918" s="19" t="str">
        <f>VLOOKUP(D918,unit_serifs_i18n!C:F,4,FALSE)</f>
        <v>オラァ！ぶっ倒すぜ！</v>
      </c>
    </row>
    <row r="919" spans="1:6" x14ac:dyDescent="0.15">
      <c r="A919" s="11">
        <v>456</v>
      </c>
      <c r="B919" s="9" t="str">
        <f>VLOOKUP(A919,[1]characters!$A:$C,3,FALSE)</f>
        <v>射絶 ユヅル</v>
      </c>
      <c r="C919" s="3" t="s">
        <v>25</v>
      </c>
      <c r="D919" s="42" t="str">
        <f>A919&amp;+(COUNTIF(A$32:A919,A919)-1)</f>
        <v>4560</v>
      </c>
      <c r="E919" s="19" t="str">
        <f>VLOOKUP(D919,unit_serifs_i18n!C:E,3,FALSE)</f>
        <v>maru</v>
      </c>
      <c r="F919" s="19" t="str">
        <f>VLOOKUP(D919,unit_serifs_i18n!C:F,4,FALSE)</f>
        <v>好機です…参りましょう！</v>
      </c>
    </row>
    <row r="920" spans="1:6" x14ac:dyDescent="0.15">
      <c r="A920" s="39">
        <v>456</v>
      </c>
      <c r="B920" s="9" t="str">
        <f>VLOOKUP(A920,[1]characters!$A:$C,3,FALSE)</f>
        <v>射絶 ユヅル</v>
      </c>
      <c r="C920" s="40" t="s">
        <v>26</v>
      </c>
      <c r="D920" s="42" t="str">
        <f>A920&amp;+(COUNTIF(A$32:A920,A920)-1)</f>
        <v>4561</v>
      </c>
      <c r="E920" s="19" t="str">
        <f>VLOOKUP(D920,unit_serifs_i18n!C:E,3,FALSE)</f>
        <v>maru</v>
      </c>
      <c r="F920" s="19" t="str">
        <f>VLOOKUP(D920,unit_serifs_i18n!C:F,4,FALSE)</f>
        <v>急所は算出済みです！</v>
      </c>
    </row>
    <row r="921" spans="1:6" x14ac:dyDescent="0.15">
      <c r="A921" s="39">
        <v>456</v>
      </c>
      <c r="B921" s="9" t="str">
        <f>VLOOKUP(A921,[1]characters!$A:$C,3,FALSE)</f>
        <v>射絶 ユヅル</v>
      </c>
      <c r="C921" s="40" t="s">
        <v>26</v>
      </c>
      <c r="D921" s="42" t="str">
        <f>A921&amp;+(COUNTIF(A$32:A921,A921)-1)</f>
        <v>4562</v>
      </c>
      <c r="E921" s="19" t="str">
        <f>VLOOKUP(D921,unit_serifs_i18n!C:E,3,FALSE)</f>
        <v>kumo</v>
      </c>
      <c r="F921" s="19" t="str">
        <f>VLOOKUP(D921,unit_serifs_i18n!C:F,4,FALSE)</f>
        <v>射線に迷いはない…！</v>
      </c>
    </row>
    <row r="922" spans="1:6" x14ac:dyDescent="0.15">
      <c r="A922" s="11">
        <v>457</v>
      </c>
      <c r="B922" s="9" t="str">
        <f>VLOOKUP(A922,[1]characters!$A:$C,3,FALSE)</f>
        <v>京速射絶 ユヅル</v>
      </c>
      <c r="C922" s="3" t="s">
        <v>25</v>
      </c>
      <c r="D922" s="42" t="str">
        <f>A922&amp;+(COUNTIF(A$32:A922,A922)-1)</f>
        <v>4570</v>
      </c>
      <c r="E922" s="19" t="str">
        <f>VLOOKUP(D922,unit_serifs_i18n!C:E,3,FALSE)</f>
        <v>giza</v>
      </c>
      <c r="F922" s="19" t="str">
        <f>VLOOKUP(D922,unit_serifs_i18n!C:F,4,FALSE)</f>
        <v>矢羽の雨嵐…降らせます！</v>
      </c>
    </row>
    <row r="923" spans="1:6" x14ac:dyDescent="0.15">
      <c r="A923" s="39">
        <v>457</v>
      </c>
      <c r="B923" s="9" t="str">
        <f>VLOOKUP(A923,[1]characters!$A:$C,3,FALSE)</f>
        <v>京速射絶 ユヅル</v>
      </c>
      <c r="C923" s="40" t="s">
        <v>26</v>
      </c>
      <c r="D923" s="42" t="str">
        <f>A923&amp;+(COUNTIF(A$32:A923,A923)-1)</f>
        <v>4571</v>
      </c>
      <c r="E923" s="19" t="str">
        <f>VLOOKUP(D923,unit_serifs_i18n!C:E,3,FALSE)</f>
        <v>giza</v>
      </c>
      <c r="F923" s="19" t="str">
        <f>VLOOKUP(D923,unit_serifs_i18n!C:F,4,FALSE)</f>
        <v>中心を捉えました…！</v>
      </c>
    </row>
    <row r="924" spans="1:6" x14ac:dyDescent="0.15">
      <c r="A924" s="39">
        <v>457</v>
      </c>
      <c r="B924" s="9" t="str">
        <f>VLOOKUP(A924,[1]characters!$A:$C,3,FALSE)</f>
        <v>京速射絶 ユヅル</v>
      </c>
      <c r="C924" s="40" t="s">
        <v>26</v>
      </c>
      <c r="D924" s="46" t="str">
        <f>D920</f>
        <v>4561</v>
      </c>
      <c r="E924" s="19" t="str">
        <f>VLOOKUP(D924,unit_serifs_i18n!C:E,3,FALSE)</f>
        <v>maru</v>
      </c>
      <c r="F924" s="19" t="str">
        <f>VLOOKUP(D924,unit_serifs_i18n!C:F,4,FALSE)</f>
        <v>急所は算出済みです！</v>
      </c>
    </row>
    <row r="925" spans="1:6" x14ac:dyDescent="0.15">
      <c r="A925" s="39">
        <v>457</v>
      </c>
      <c r="B925" s="9" t="str">
        <f>VLOOKUP(A925,[1]characters!$A:$C,3,FALSE)</f>
        <v>京速射絶 ユヅル</v>
      </c>
      <c r="C925" s="40" t="s">
        <v>26</v>
      </c>
      <c r="D925" s="46" t="str">
        <f>D921</f>
        <v>4562</v>
      </c>
      <c r="E925" s="19" t="str">
        <f>VLOOKUP(D925,unit_serifs_i18n!C:E,3,FALSE)</f>
        <v>kumo</v>
      </c>
      <c r="F925" s="19" t="str">
        <f>VLOOKUP(D925,unit_serifs_i18n!C:F,4,FALSE)</f>
        <v>射線に迷いはない…！</v>
      </c>
    </row>
    <row r="926" spans="1:6" x14ac:dyDescent="0.15">
      <c r="A926" s="11">
        <v>458</v>
      </c>
      <c r="B926" s="9" t="str">
        <f>VLOOKUP(A926,[1]characters!$A:$C,3,FALSE)</f>
        <v>嵐龍 スガル</v>
      </c>
      <c r="C926" s="3" t="s">
        <v>25</v>
      </c>
      <c r="D926" s="42" t="str">
        <f>A926&amp;+(COUNTIF(A$32:A926,A926)-1)</f>
        <v>4580</v>
      </c>
      <c r="E926" s="19" t="str">
        <f>VLOOKUP(D926,unit_serifs_i18n!C:E,3,FALSE)</f>
        <v>giza</v>
      </c>
      <c r="F926" s="19" t="str">
        <f>VLOOKUP(D926,unit_serifs_i18n!C:F,4,FALSE)</f>
        <v>龍の力、見せてやろう！</v>
      </c>
    </row>
    <row r="927" spans="1:6" x14ac:dyDescent="0.15">
      <c r="A927" s="39">
        <v>458</v>
      </c>
      <c r="B927" s="9" t="str">
        <f>VLOOKUP(A927,[1]characters!$A:$C,3,FALSE)</f>
        <v>嵐龍 スガル</v>
      </c>
      <c r="C927" s="40" t="s">
        <v>26</v>
      </c>
      <c r="D927" s="42" t="str">
        <f>A927&amp;+(COUNTIF(A$32:A927,A927)-1)</f>
        <v>4581</v>
      </c>
      <c r="E927" s="19" t="str">
        <f>VLOOKUP(D927,unit_serifs_i18n!C:E,3,FALSE)</f>
        <v>giza</v>
      </c>
      <c r="F927" s="19" t="str">
        <f>VLOOKUP(D927,unit_serifs_i18n!C:F,4,FALSE)</f>
        <v>食ろうてやるわ！</v>
      </c>
    </row>
    <row r="928" spans="1:6" x14ac:dyDescent="0.15">
      <c r="A928" s="39">
        <v>458</v>
      </c>
      <c r="B928" s="9" t="str">
        <f>VLOOKUP(A928,[1]characters!$A:$C,3,FALSE)</f>
        <v>嵐龍 スガル</v>
      </c>
      <c r="C928" s="40" t="s">
        <v>26</v>
      </c>
      <c r="D928" s="42" t="str">
        <f>A928&amp;+(COUNTIF(A$32:A928,A928)-1)</f>
        <v>4582</v>
      </c>
      <c r="E928" s="19" t="str">
        <f>VLOOKUP(D928,unit_serifs_i18n!C:E,3,FALSE)</f>
        <v>giza</v>
      </c>
      <c r="F928" s="19" t="str">
        <f>VLOOKUP(D928,unit_serifs_i18n!C:F,4,FALSE)</f>
        <v>喝ッ！！</v>
      </c>
    </row>
    <row r="929" spans="1:6" x14ac:dyDescent="0.15">
      <c r="A929" s="11">
        <v>459</v>
      </c>
      <c r="B929" s="9" t="str">
        <f>VLOOKUP(A929,[1]characters!$A:$C,3,FALSE)</f>
        <v>威喝の嵐龍 スガル</v>
      </c>
      <c r="C929" s="3" t="s">
        <v>25</v>
      </c>
      <c r="D929" s="42" t="str">
        <f>A929&amp;+(COUNTIF(A$32:A929,A929)-1)</f>
        <v>4590</v>
      </c>
      <c r="E929" s="19" t="str">
        <f>VLOOKUP(D929,unit_serifs_i18n!C:E,3,FALSE)</f>
        <v>giza</v>
      </c>
      <c r="F929" s="19" t="str">
        <f>VLOOKUP(D929,unit_serifs_i18n!C:F,4,FALSE)</f>
        <v>若造ども、これが龍だ！</v>
      </c>
    </row>
    <row r="930" spans="1:6" x14ac:dyDescent="0.15">
      <c r="A930" s="39">
        <v>459</v>
      </c>
      <c r="B930" s="9" t="str">
        <f>VLOOKUP(A930,[1]characters!$A:$C,3,FALSE)</f>
        <v>威喝の嵐龍 スガル</v>
      </c>
      <c r="C930" s="40" t="s">
        <v>26</v>
      </c>
      <c r="D930" s="42" t="str">
        <f>A930&amp;+(COUNTIF(A$32:A930,A930)-1)</f>
        <v>4591</v>
      </c>
      <c r="E930" s="19" t="str">
        <f>VLOOKUP(D930,unit_serifs_i18n!C:E,3,FALSE)</f>
        <v>giza</v>
      </c>
      <c r="F930" s="19" t="str">
        <f>VLOOKUP(D930,unit_serifs_i18n!C:F,4,FALSE)</f>
        <v>神をも呑もうぞ！</v>
      </c>
    </row>
    <row r="931" spans="1:6" x14ac:dyDescent="0.15">
      <c r="A931" s="39">
        <v>459</v>
      </c>
      <c r="B931" s="9" t="str">
        <f>VLOOKUP(A931,[1]characters!$A:$C,3,FALSE)</f>
        <v>威喝の嵐龍 スガル</v>
      </c>
      <c r="C931" s="40" t="s">
        <v>26</v>
      </c>
      <c r="D931" s="46" t="str">
        <f>D927</f>
        <v>4581</v>
      </c>
      <c r="E931" s="19" t="str">
        <f>VLOOKUP(D931,unit_serifs_i18n!C:E,3,FALSE)</f>
        <v>giza</v>
      </c>
      <c r="F931" s="19" t="str">
        <f>VLOOKUP(D931,unit_serifs_i18n!C:F,4,FALSE)</f>
        <v>食ろうてやるわ！</v>
      </c>
    </row>
    <row r="932" spans="1:6" x14ac:dyDescent="0.15">
      <c r="A932" s="39">
        <v>459</v>
      </c>
      <c r="B932" s="9" t="str">
        <f>VLOOKUP(A932,[1]characters!$A:$C,3,FALSE)</f>
        <v>威喝の嵐龍 スガル</v>
      </c>
      <c r="C932" s="40" t="s">
        <v>26</v>
      </c>
      <c r="D932" s="46" t="str">
        <f>D928</f>
        <v>4582</v>
      </c>
      <c r="E932" s="19" t="str">
        <f>VLOOKUP(D932,unit_serifs_i18n!C:E,3,FALSE)</f>
        <v>giza</v>
      </c>
      <c r="F932" s="19" t="str">
        <f>VLOOKUP(D932,unit_serifs_i18n!C:F,4,FALSE)</f>
        <v>喝ッ！！</v>
      </c>
    </row>
    <row r="933" spans="1:6" x14ac:dyDescent="0.15">
      <c r="A933" s="11">
        <v>460</v>
      </c>
      <c r="B933" s="9" t="str">
        <f>VLOOKUP(A933,[1]characters!$A:$C,3,FALSE)</f>
        <v>オズ</v>
      </c>
      <c r="C933" s="3" t="s">
        <v>25</v>
      </c>
      <c r="D933" s="42" t="str">
        <f>A933&amp;+(COUNTIF(A$32:A933,A933)-1)</f>
        <v>4600</v>
      </c>
      <c r="E933" s="19" t="str">
        <f>VLOOKUP(D933,unit_serifs_i18n!C:E,3,FALSE)</f>
        <v>maru</v>
      </c>
      <c r="F933" s="19" t="str">
        <f>VLOOKUP(D933,unit_serifs_i18n!C:F,4,FALSE)</f>
        <v>遊び心も必要だろう…？</v>
      </c>
    </row>
    <row r="934" spans="1:6" x14ac:dyDescent="0.15">
      <c r="A934" s="39">
        <v>460</v>
      </c>
      <c r="B934" s="9" t="str">
        <f>VLOOKUP(A934,[1]characters!$A:$C,3,FALSE)</f>
        <v>オズ</v>
      </c>
      <c r="C934" s="40" t="s">
        <v>26</v>
      </c>
      <c r="D934" s="42" t="str">
        <f>A934&amp;+(COUNTIF(A$32:A934,A934)-1)</f>
        <v>4601</v>
      </c>
      <c r="E934" s="19" t="str">
        <f>VLOOKUP(D934,unit_serifs_i18n!C:E,3,FALSE)</f>
        <v>maru</v>
      </c>
      <c r="F934" s="19" t="str">
        <f>VLOOKUP(D934,unit_serifs_i18n!C:F,4,FALSE)</f>
        <v>何度でも歓迎しよう…</v>
      </c>
    </row>
    <row r="935" spans="1:6" x14ac:dyDescent="0.15">
      <c r="A935" s="39">
        <v>460</v>
      </c>
      <c r="B935" s="9" t="str">
        <f>VLOOKUP(A935,[1]characters!$A:$C,3,FALSE)</f>
        <v>オズ</v>
      </c>
      <c r="C935" s="40" t="s">
        <v>26</v>
      </c>
      <c r="D935" s="42" t="str">
        <f>A935&amp;+(COUNTIF(A$32:A935,A935)-1)</f>
        <v>4602</v>
      </c>
      <c r="E935" s="19" t="str">
        <f>VLOOKUP(D935,unit_serifs_i18n!C:E,3,FALSE)</f>
        <v>maru</v>
      </c>
      <c r="F935" s="19" t="str">
        <f>VLOOKUP(D935,unit_serifs_i18n!C:F,4,FALSE)</f>
        <v>偉大さを知るがいい…</v>
      </c>
    </row>
    <row r="936" spans="1:6" x14ac:dyDescent="0.15">
      <c r="A936" s="11">
        <v>461</v>
      </c>
      <c r="B936" s="9" t="str">
        <f>VLOOKUP(A936,[1]characters!$A:$C,3,FALSE)</f>
        <v>大いなる虚像 オズ</v>
      </c>
      <c r="C936" s="3" t="s">
        <v>25</v>
      </c>
      <c r="D936" s="42" t="str">
        <f>A936&amp;+(COUNTIF(A$32:A936,A936)-1)</f>
        <v>4610</v>
      </c>
      <c r="E936" s="19" t="str">
        <f>VLOOKUP(D936,unit_serifs_i18n!C:E,3,FALSE)</f>
        <v>maru</v>
      </c>
      <c r="F936" s="19" t="str">
        <f>VLOOKUP(D936,unit_serifs_i18n!C:F,4,FALSE)</f>
        <v>約束通り、力は貸してやる</v>
      </c>
    </row>
    <row r="937" spans="1:6" x14ac:dyDescent="0.15">
      <c r="A937" s="39">
        <v>461</v>
      </c>
      <c r="B937" s="9" t="str">
        <f>VLOOKUP(A937,[1]characters!$A:$C,3,FALSE)</f>
        <v>大いなる虚像 オズ</v>
      </c>
      <c r="C937" s="40" t="s">
        <v>26</v>
      </c>
      <c r="D937" s="42" t="str">
        <f>A937&amp;+(COUNTIF(A$32:A937,A937)-1)</f>
        <v>4611</v>
      </c>
      <c r="E937" s="19" t="str">
        <f>VLOOKUP(D937,unit_serifs_i18n!C:E,3,FALSE)</f>
        <v>maru</v>
      </c>
      <c r="F937" s="19" t="str">
        <f>VLOOKUP(D937,unit_serifs_i18n!C:F,4,FALSE)</f>
        <v>わたしからは逃げれぬ</v>
      </c>
    </row>
    <row r="938" spans="1:6" x14ac:dyDescent="0.15">
      <c r="A938" s="39">
        <v>461</v>
      </c>
      <c r="B938" s="9" t="str">
        <f>VLOOKUP(A938,[1]characters!$A:$C,3,FALSE)</f>
        <v>大いなる虚像 オズ</v>
      </c>
      <c r="C938" s="40" t="s">
        <v>26</v>
      </c>
      <c r="D938" s="46" t="str">
        <f>D934</f>
        <v>4601</v>
      </c>
      <c r="E938" s="19" t="str">
        <f>VLOOKUP(D938,unit_serifs_i18n!C:E,3,FALSE)</f>
        <v>maru</v>
      </c>
      <c r="F938" s="19" t="str">
        <f>VLOOKUP(D938,unit_serifs_i18n!C:F,4,FALSE)</f>
        <v>何度でも歓迎しよう…</v>
      </c>
    </row>
    <row r="939" spans="1:6" x14ac:dyDescent="0.15">
      <c r="A939" s="39">
        <v>461</v>
      </c>
      <c r="B939" s="9" t="str">
        <f>VLOOKUP(A939,[1]characters!$A:$C,3,FALSE)</f>
        <v>大いなる虚像 オズ</v>
      </c>
      <c r="C939" s="40" t="s">
        <v>26</v>
      </c>
      <c r="D939" s="46" t="str">
        <f>D935</f>
        <v>4602</v>
      </c>
      <c r="E939" s="19" t="str">
        <f>VLOOKUP(D939,unit_serifs_i18n!C:E,3,FALSE)</f>
        <v>maru</v>
      </c>
      <c r="F939" s="19" t="str">
        <f>VLOOKUP(D939,unit_serifs_i18n!C:F,4,FALSE)</f>
        <v>偉大さを知るがいい…</v>
      </c>
    </row>
    <row r="940" spans="1:6" x14ac:dyDescent="0.15">
      <c r="A940" s="11">
        <v>818</v>
      </c>
      <c r="B940" s="9" t="str">
        <f>VLOOKUP(A940,[1]characters!$A:$C,3,FALSE)</f>
        <v>虚空を飾る大輪 オズ</v>
      </c>
      <c r="C940" s="3" t="s">
        <v>25</v>
      </c>
      <c r="D940" s="42" t="str">
        <f>A940&amp;+(COUNTIF(A$32:A940,A940)-1)</f>
        <v>8180</v>
      </c>
      <c r="E940" s="19" t="str">
        <f>VLOOKUP(D940,unit_serifs_i18n!C:E,3,FALSE)</f>
        <v>maru</v>
      </c>
      <c r="F940" s="19" t="str">
        <f>VLOOKUP(D940,unit_serifs_i18n!C:F,4,FALSE)</f>
        <v>わたしがいつ嘘をついた？</v>
      </c>
    </row>
    <row r="941" spans="1:6" x14ac:dyDescent="0.15">
      <c r="A941" s="11">
        <v>818</v>
      </c>
      <c r="B941" s="9" t="str">
        <f>VLOOKUP(A941,[1]characters!$A:$C,3,FALSE)</f>
        <v>虚空を飾る大輪 オズ</v>
      </c>
      <c r="C941" s="40" t="s">
        <v>26</v>
      </c>
      <c r="D941" s="42" t="str">
        <f>A941&amp;+(COUNTIF(A$32:A941,A941)-1)</f>
        <v>8181</v>
      </c>
      <c r="E941" s="19" t="str">
        <f>VLOOKUP(D941,unit_serifs_i18n!C:E,3,FALSE)</f>
        <v>giza</v>
      </c>
      <c r="F941" s="19" t="str">
        <f>VLOOKUP(D941,unit_serifs_i18n!C:F,4,FALSE)</f>
        <v>散り際は賑やかに…な！</v>
      </c>
    </row>
    <row r="942" spans="1:6" x14ac:dyDescent="0.15">
      <c r="A942" s="11">
        <v>818</v>
      </c>
      <c r="B942" s="9" t="str">
        <f>VLOOKUP(A942,[1]characters!$A:$C,3,FALSE)</f>
        <v>虚空を飾る大輪 オズ</v>
      </c>
      <c r="C942" s="40" t="s">
        <v>26</v>
      </c>
      <c r="D942" s="46" t="str">
        <f>D938</f>
        <v>4601</v>
      </c>
      <c r="E942" s="19" t="str">
        <f>VLOOKUP(D942,unit_serifs_i18n!C:E,3,FALSE)</f>
        <v>maru</v>
      </c>
      <c r="F942" s="19" t="str">
        <f>VLOOKUP(D942,unit_serifs_i18n!C:F,4,FALSE)</f>
        <v>何度でも歓迎しよう…</v>
      </c>
    </row>
    <row r="943" spans="1:6" x14ac:dyDescent="0.15">
      <c r="A943" s="11">
        <v>818</v>
      </c>
      <c r="B943" s="9" t="str">
        <f>VLOOKUP(A943,[1]characters!$A:$C,3,FALSE)</f>
        <v>虚空を飾る大輪 オズ</v>
      </c>
      <c r="C943" s="40" t="s">
        <v>26</v>
      </c>
      <c r="D943" s="46" t="str">
        <f>D939</f>
        <v>4602</v>
      </c>
      <c r="E943" s="19" t="str">
        <f>VLOOKUP(D943,unit_serifs_i18n!C:E,3,FALSE)</f>
        <v>maru</v>
      </c>
      <c r="F943" s="19" t="str">
        <f>VLOOKUP(D943,unit_serifs_i18n!C:F,4,FALSE)</f>
        <v>偉大さを知るがいい…</v>
      </c>
    </row>
    <row r="944" spans="1:6" x14ac:dyDescent="0.15">
      <c r="A944" s="11">
        <v>818</v>
      </c>
      <c r="B944" s="9" t="str">
        <f>VLOOKUP(A944,[1]characters!$A:$C,3,FALSE)</f>
        <v>虚空を飾る大輪 オズ</v>
      </c>
      <c r="C944" s="40" t="s">
        <v>26</v>
      </c>
      <c r="D944" s="46" t="str">
        <f>D937</f>
        <v>4611</v>
      </c>
      <c r="E944" s="19" t="str">
        <f>VLOOKUP(D944,unit_serifs_i18n!C:E,3,FALSE)</f>
        <v>maru</v>
      </c>
      <c r="F944" s="19" t="str">
        <f>VLOOKUP(D944,unit_serifs_i18n!C:F,4,FALSE)</f>
        <v>わたしからは逃げれぬ</v>
      </c>
    </row>
    <row r="945" spans="1:6" x14ac:dyDescent="0.15">
      <c r="A945" s="11">
        <v>462</v>
      </c>
      <c r="B945" s="9" t="str">
        <f>VLOOKUP(A945,[1]characters!$A:$C,3,FALSE)</f>
        <v>ガウェイン</v>
      </c>
      <c r="C945" s="3" t="s">
        <v>25</v>
      </c>
      <c r="D945" s="42" t="str">
        <f>A945&amp;+(COUNTIF(A$32:A945,A945)-1)</f>
        <v>4620</v>
      </c>
      <c r="E945" s="19" t="str">
        <f>VLOOKUP(D945,unit_serifs_i18n!C:E,3,FALSE)</f>
        <v>maru</v>
      </c>
      <c r="F945" s="19" t="str">
        <f>VLOOKUP(D945,unit_serifs_i18n!C:F,4,FALSE)</f>
        <v>経験の差、ってやつだな…</v>
      </c>
    </row>
    <row r="946" spans="1:6" x14ac:dyDescent="0.15">
      <c r="A946" s="39">
        <v>462</v>
      </c>
      <c r="B946" s="9" t="str">
        <f>VLOOKUP(A946,[1]characters!$A:$C,3,FALSE)</f>
        <v>ガウェイン</v>
      </c>
      <c r="C946" s="40" t="s">
        <v>26</v>
      </c>
      <c r="D946" s="42" t="str">
        <f>A946&amp;+(COUNTIF(A$32:A946,A946)-1)</f>
        <v>4621</v>
      </c>
      <c r="E946" s="19" t="str">
        <f>VLOOKUP(D946,unit_serifs_i18n!C:E,3,FALSE)</f>
        <v>maru</v>
      </c>
      <c r="F946" s="19" t="str">
        <f>VLOOKUP(D946,unit_serifs_i18n!C:F,4,FALSE)</f>
        <v>これが硝煙の匂いだぜ</v>
      </c>
    </row>
    <row r="947" spans="1:6" x14ac:dyDescent="0.15">
      <c r="A947" s="11">
        <v>463</v>
      </c>
      <c r="B947" s="9" t="str">
        <f>VLOOKUP(A947,[1]characters!$A:$C,3,FALSE)</f>
        <v>燻銀 ガウェイン</v>
      </c>
      <c r="C947" s="3" t="s">
        <v>25</v>
      </c>
      <c r="D947" s="42" t="str">
        <f>A947&amp;+(COUNTIF(A$32:A947,A947)-1)</f>
        <v>4630</v>
      </c>
      <c r="E947" s="19" t="str">
        <f>VLOOKUP(D947,unit_serifs_i18n!C:E,3,FALSE)</f>
        <v>maru</v>
      </c>
      <c r="F947" s="19" t="str">
        <f>VLOOKUP(D947,unit_serifs_i18n!C:F,4,FALSE)</f>
        <v>フゥ…熱くなっちまったな</v>
      </c>
    </row>
    <row r="948" spans="1:6" x14ac:dyDescent="0.15">
      <c r="A948" s="39">
        <v>463</v>
      </c>
      <c r="B948" s="9" t="str">
        <f>VLOOKUP(A948,[1]characters!$A:$C,3,FALSE)</f>
        <v>燻銀 ガウェイン</v>
      </c>
      <c r="C948" s="40" t="s">
        <v>26</v>
      </c>
      <c r="D948" s="42" t="str">
        <f>A948&amp;+(COUNTIF(A$32:A948,A948)-1)</f>
        <v>4631</v>
      </c>
      <c r="E948" s="19" t="str">
        <f>VLOOKUP(D948,unit_serifs_i18n!C:E,3,FALSE)</f>
        <v>kumo</v>
      </c>
      <c r="F948" s="19" t="str">
        <f>VLOOKUP(D948,unit_serifs_i18n!C:F,4,FALSE)</f>
        <v>昔からの悪いクセだ…</v>
      </c>
    </row>
    <row r="949" spans="1:6" x14ac:dyDescent="0.15">
      <c r="A949" s="39">
        <v>463</v>
      </c>
      <c r="B949" s="9" t="str">
        <f>VLOOKUP(A949,[1]characters!$A:$C,3,FALSE)</f>
        <v>燻銀 ガウェイン</v>
      </c>
      <c r="C949" s="40" t="s">
        <v>26</v>
      </c>
      <c r="D949" s="46" t="str">
        <f>D946</f>
        <v>4621</v>
      </c>
      <c r="E949" s="19" t="str">
        <f>VLOOKUP(D949,unit_serifs_i18n!C:E,3,FALSE)</f>
        <v>maru</v>
      </c>
      <c r="F949" s="19" t="str">
        <f>VLOOKUP(D949,unit_serifs_i18n!C:F,4,FALSE)</f>
        <v>これが硝煙の匂いだぜ</v>
      </c>
    </row>
    <row r="950" spans="1:6" x14ac:dyDescent="0.15">
      <c r="A950" s="11">
        <v>464</v>
      </c>
      <c r="B950" s="9" t="str">
        <f>VLOOKUP(A950,[1]characters!$A:$C,3,FALSE)</f>
        <v>円熟の弾導 ガウェイン</v>
      </c>
      <c r="C950" s="3" t="s">
        <v>25</v>
      </c>
      <c r="D950" s="42" t="str">
        <f>A950&amp;+(COUNTIF(A$32:A950,A950)-1)</f>
        <v>4640</v>
      </c>
      <c r="E950" s="19" t="str">
        <f>VLOOKUP(D950,unit_serifs_i18n!C:E,3,FALSE)</f>
        <v>kumo</v>
      </c>
      <c r="F950" s="19" t="str">
        <f>VLOOKUP(D950,unit_serifs_i18n!C:F,4,FALSE)</f>
        <v>久々だぜ、この感じは…！</v>
      </c>
    </row>
    <row r="951" spans="1:6" x14ac:dyDescent="0.15">
      <c r="A951" s="39">
        <v>464</v>
      </c>
      <c r="B951" s="9" t="str">
        <f>VLOOKUP(A951,[1]characters!$A:$C,3,FALSE)</f>
        <v>円熟の弾導 ガウェイン</v>
      </c>
      <c r="C951" s="40" t="s">
        <v>26</v>
      </c>
      <c r="D951" s="42" t="str">
        <f>A951&amp;+(COUNTIF(A$32:A951,A951)-1)</f>
        <v>4641</v>
      </c>
      <c r="E951" s="19" t="str">
        <f>VLOOKUP(D951,unit_serifs_i18n!C:E,3,FALSE)</f>
        <v>giza</v>
      </c>
      <c r="F951" s="19" t="str">
        <f>VLOOKUP(D951,unit_serifs_i18n!C:F,4,FALSE)</f>
        <v>灰皿用意しときな…！</v>
      </c>
    </row>
    <row r="952" spans="1:6" x14ac:dyDescent="0.15">
      <c r="A952" s="39">
        <v>464</v>
      </c>
      <c r="B952" s="9" t="str">
        <f>VLOOKUP(A952,[1]characters!$A:$C,3,FALSE)</f>
        <v>円熟の弾導 ガウェイン</v>
      </c>
      <c r="C952" s="40" t="s">
        <v>26</v>
      </c>
      <c r="D952" s="46" t="str">
        <f>D949</f>
        <v>4621</v>
      </c>
      <c r="E952" s="19" t="str">
        <f>VLOOKUP(D952,unit_serifs_i18n!C:E,3,FALSE)</f>
        <v>maru</v>
      </c>
      <c r="F952" s="19" t="str">
        <f>VLOOKUP(D952,unit_serifs_i18n!C:F,4,FALSE)</f>
        <v>これが硝煙の匂いだぜ</v>
      </c>
    </row>
    <row r="953" spans="1:6" x14ac:dyDescent="0.15">
      <c r="A953" s="39">
        <v>464</v>
      </c>
      <c r="B953" s="9" t="str">
        <f>VLOOKUP(A953,[1]characters!$A:$C,3,FALSE)</f>
        <v>円熟の弾導 ガウェイン</v>
      </c>
      <c r="C953" s="40" t="s">
        <v>26</v>
      </c>
      <c r="D953" s="46" t="str">
        <f>D948</f>
        <v>4631</v>
      </c>
      <c r="E953" s="19" t="str">
        <f>VLOOKUP(D953,unit_serifs_i18n!C:E,3,FALSE)</f>
        <v>kumo</v>
      </c>
      <c r="F953" s="19" t="str">
        <f>VLOOKUP(D953,unit_serifs_i18n!C:F,4,FALSE)</f>
        <v>昔からの悪いクセだ…</v>
      </c>
    </row>
    <row r="954" spans="1:6" x14ac:dyDescent="0.15">
      <c r="A954" s="11">
        <v>465</v>
      </c>
      <c r="B954" s="9" t="str">
        <f>VLOOKUP(A954,[1]characters!$A:$C,3,FALSE)</f>
        <v>真撃 ランスロット</v>
      </c>
      <c r="C954" s="3" t="s">
        <v>25</v>
      </c>
      <c r="D954" s="42" t="str">
        <f>A954&amp;+(COUNTIF(A$32:A954,A954)-1)</f>
        <v>4650</v>
      </c>
      <c r="E954" s="19" t="str">
        <f>VLOOKUP(D954,unit_serifs_i18n!C:E,3,FALSE)</f>
        <v>maru</v>
      </c>
      <c r="F954" s="19" t="str">
        <f>VLOOKUP(D954,unit_serifs_i18n!C:F,4,FALSE)</f>
        <v>さぁ猛攻撃といこう！</v>
      </c>
    </row>
    <row r="955" spans="1:6" x14ac:dyDescent="0.15">
      <c r="A955" s="39">
        <v>465</v>
      </c>
      <c r="B955" s="9" t="str">
        <f>VLOOKUP(A955,[1]characters!$A:$C,3,FALSE)</f>
        <v>真撃 ランスロット</v>
      </c>
      <c r="C955" s="40" t="s">
        <v>26</v>
      </c>
      <c r="D955" s="42" t="str">
        <f>A955&amp;+(COUNTIF(A$32:A955,A955)-1)</f>
        <v>4651</v>
      </c>
      <c r="E955" s="19" t="str">
        <f>VLOOKUP(D955,unit_serifs_i18n!C:E,3,FALSE)</f>
        <v>giza</v>
      </c>
      <c r="F955" s="19" t="str">
        <f>VLOOKUP(D955,unit_serifs_i18n!C:F,4,FALSE)</f>
        <v>腕のみせどころだ！</v>
      </c>
    </row>
    <row r="956" spans="1:6" x14ac:dyDescent="0.15">
      <c r="A956" s="39">
        <v>465</v>
      </c>
      <c r="B956" s="9" t="str">
        <f>VLOOKUP(A956,[1]characters!$A:$C,3,FALSE)</f>
        <v>真撃 ランスロット</v>
      </c>
      <c r="C956" s="40" t="s">
        <v>26</v>
      </c>
      <c r="D956" s="42" t="str">
        <f>A956&amp;+(COUNTIF(A$32:A956,A956)-1)</f>
        <v>4652</v>
      </c>
      <c r="E956" s="19" t="str">
        <f>VLOOKUP(D956,unit_serifs_i18n!C:E,3,FALSE)</f>
        <v>giza</v>
      </c>
      <c r="F956" s="19" t="str">
        <f>VLOOKUP(D956,unit_serifs_i18n!C:F,4,FALSE)</f>
        <v>一刀両断！！</v>
      </c>
    </row>
    <row r="957" spans="1:6" x14ac:dyDescent="0.15">
      <c r="A957" s="11">
        <v>466</v>
      </c>
      <c r="B957" s="9" t="str">
        <f>VLOOKUP(A957,[1]characters!$A:$C,3,FALSE)</f>
        <v>真断の勇覇 ランスロット</v>
      </c>
      <c r="C957" s="3" t="s">
        <v>25</v>
      </c>
      <c r="D957" s="42" t="str">
        <f>A957&amp;+(COUNTIF(A$32:A957,A957)-1)</f>
        <v>4660</v>
      </c>
      <c r="E957" s="19" t="str">
        <f>VLOOKUP(D957,unit_serifs_i18n!C:E,3,FALSE)</f>
        <v>giza</v>
      </c>
      <c r="F957" s="19" t="str">
        <f>VLOOKUP(D957,unit_serifs_i18n!C:F,4,FALSE)</f>
        <v>魔剣の力を見せてやる！</v>
      </c>
    </row>
    <row r="958" spans="1:6" x14ac:dyDescent="0.15">
      <c r="A958" s="39">
        <v>466</v>
      </c>
      <c r="B958" s="9" t="str">
        <f>VLOOKUP(A958,[1]characters!$A:$C,3,FALSE)</f>
        <v>真断の勇覇 ランスロット</v>
      </c>
      <c r="C958" s="40" t="s">
        <v>26</v>
      </c>
      <c r="D958" s="42" t="str">
        <f>A958&amp;+(COUNTIF(A$32:A958,A958)-1)</f>
        <v>4661</v>
      </c>
      <c r="E958" s="19" t="str">
        <f>VLOOKUP(D958,unit_serifs_i18n!C:E,3,FALSE)</f>
        <v>giza</v>
      </c>
      <c r="F958" s="19" t="str">
        <f>VLOOKUP(D958,unit_serifs_i18n!C:F,4,FALSE)</f>
        <v>これが俺の全力だ！</v>
      </c>
    </row>
    <row r="959" spans="1:6" x14ac:dyDescent="0.15">
      <c r="A959" s="39">
        <v>466</v>
      </c>
      <c r="B959" s="9" t="str">
        <f>VLOOKUP(A959,[1]characters!$A:$C,3,FALSE)</f>
        <v>真断の勇覇 ランスロット</v>
      </c>
      <c r="C959" s="40" t="s">
        <v>26</v>
      </c>
      <c r="D959" s="46" t="str">
        <f>D955</f>
        <v>4651</v>
      </c>
      <c r="E959" s="19" t="str">
        <f>VLOOKUP(D959,unit_serifs_i18n!C:E,3,FALSE)</f>
        <v>giza</v>
      </c>
      <c r="F959" s="19" t="str">
        <f>VLOOKUP(D959,unit_serifs_i18n!C:F,4,FALSE)</f>
        <v>腕のみせどころだ！</v>
      </c>
    </row>
    <row r="960" spans="1:6" x14ac:dyDescent="0.15">
      <c r="A960" s="39">
        <v>466</v>
      </c>
      <c r="B960" s="9" t="str">
        <f>VLOOKUP(A960,[1]characters!$A:$C,3,FALSE)</f>
        <v>真断の勇覇 ランスロット</v>
      </c>
      <c r="C960" s="40" t="s">
        <v>26</v>
      </c>
      <c r="D960" s="46" t="str">
        <f>D956</f>
        <v>4652</v>
      </c>
      <c r="E960" s="19" t="str">
        <f>VLOOKUP(D960,unit_serifs_i18n!C:E,3,FALSE)</f>
        <v>giza</v>
      </c>
      <c r="F960" s="19" t="str">
        <f>VLOOKUP(D960,unit_serifs_i18n!C:F,4,FALSE)</f>
        <v>一刀両断！！</v>
      </c>
    </row>
    <row r="961" spans="1:6" x14ac:dyDescent="0.15">
      <c r="A961" s="11">
        <v>467</v>
      </c>
      <c r="B961" s="9" t="str">
        <f>VLOOKUP(A961,[1]characters!$A:$C,3,FALSE)</f>
        <v>報復 モルドレッド</v>
      </c>
      <c r="C961" s="3" t="s">
        <v>25</v>
      </c>
      <c r="D961" s="42" t="str">
        <f>A961&amp;+(COUNTIF(A$32:A961,A961)-1)</f>
        <v>4670</v>
      </c>
      <c r="E961" s="19" t="str">
        <f>VLOOKUP(D961,unit_serifs_i18n!C:E,3,FALSE)</f>
        <v>kumo</v>
      </c>
      <c r="F961" s="19" t="str">
        <f>VLOOKUP(D961,unit_serifs_i18n!C:F,4,FALSE)</f>
        <v>希望があるから絶望するの</v>
      </c>
    </row>
    <row r="962" spans="1:6" x14ac:dyDescent="0.15">
      <c r="A962" s="39">
        <v>467</v>
      </c>
      <c r="B962" s="9" t="str">
        <f>VLOOKUP(A962,[1]characters!$A:$C,3,FALSE)</f>
        <v>報復 モルドレッド</v>
      </c>
      <c r="C962" s="40" t="s">
        <v>26</v>
      </c>
      <c r="D962" s="42" t="str">
        <f>A962&amp;+(COUNTIF(A$32:A962,A962)-1)</f>
        <v>4671</v>
      </c>
      <c r="E962" s="19" t="str">
        <f>VLOOKUP(D962,unit_serifs_i18n!C:E,3,FALSE)</f>
        <v>maru</v>
      </c>
      <c r="F962" s="19" t="str">
        <f>VLOOKUP(D962,unit_serifs_i18n!C:F,4,FALSE)</f>
        <v>ただ、斬るだけだわ</v>
      </c>
    </row>
    <row r="963" spans="1:6" x14ac:dyDescent="0.15">
      <c r="A963" s="39">
        <v>467</v>
      </c>
      <c r="B963" s="9" t="str">
        <f>VLOOKUP(A963,[1]characters!$A:$C,3,FALSE)</f>
        <v>報復 モルドレッド</v>
      </c>
      <c r="C963" s="40" t="s">
        <v>26</v>
      </c>
      <c r="D963" s="42" t="str">
        <f>A963&amp;+(COUNTIF(A$32:A963,A963)-1)</f>
        <v>4672</v>
      </c>
      <c r="E963" s="19" t="str">
        <f>VLOOKUP(D963,unit_serifs_i18n!C:E,3,FALSE)</f>
        <v>maru</v>
      </c>
      <c r="F963" s="19" t="str">
        <f>VLOOKUP(D963,unit_serifs_i18n!C:F,4,FALSE)</f>
        <v>泣きわめくと思った？</v>
      </c>
    </row>
    <row r="964" spans="1:6" x14ac:dyDescent="0.15">
      <c r="A964" s="11">
        <v>468</v>
      </c>
      <c r="B964" s="9" t="str">
        <f>VLOOKUP(A964,[1]characters!$A:$C,3,FALSE)</f>
        <v>憎愛の尖鋒 モルドレッド</v>
      </c>
      <c r="C964" s="3" t="s">
        <v>25</v>
      </c>
      <c r="D964" s="42" t="str">
        <f>A964&amp;+(COUNTIF(A$32:A964,A964)-1)</f>
        <v>4680</v>
      </c>
      <c r="E964" s="19" t="str">
        <f>VLOOKUP(D964,unit_serifs_i18n!C:E,3,FALSE)</f>
        <v>giza</v>
      </c>
      <c r="F964" s="19" t="str">
        <f>VLOOKUP(D964,unit_serifs_i18n!C:F,4,FALSE)</f>
        <v>死はいつも隣にいるものよ</v>
      </c>
    </row>
    <row r="965" spans="1:6" x14ac:dyDescent="0.15">
      <c r="A965" s="39">
        <v>468</v>
      </c>
      <c r="B965" s="9" t="str">
        <f>VLOOKUP(A965,[1]characters!$A:$C,3,FALSE)</f>
        <v>憎愛の尖鋒 モルドレッド</v>
      </c>
      <c r="C965" s="40" t="s">
        <v>26</v>
      </c>
      <c r="D965" s="42" t="str">
        <f>A965&amp;+(COUNTIF(A$32:A965,A965)-1)</f>
        <v>4681</v>
      </c>
      <c r="E965" s="19" t="str">
        <f>VLOOKUP(D965,unit_serifs_i18n!C:E,3,FALSE)</f>
        <v>giza</v>
      </c>
      <c r="F965" s="19" t="str">
        <f>VLOOKUP(D965,unit_serifs_i18n!C:F,4,FALSE)</f>
        <v>人生を返してよっ！</v>
      </c>
    </row>
    <row r="966" spans="1:6" x14ac:dyDescent="0.15">
      <c r="A966" s="39">
        <v>468</v>
      </c>
      <c r="B966" s="9" t="str">
        <f>VLOOKUP(A966,[1]characters!$A:$C,3,FALSE)</f>
        <v>憎愛の尖鋒 モルドレッド</v>
      </c>
      <c r="C966" s="40" t="s">
        <v>26</v>
      </c>
      <c r="D966" s="46" t="str">
        <f>D962</f>
        <v>4671</v>
      </c>
      <c r="E966" s="19" t="str">
        <f>VLOOKUP(D966,unit_serifs_i18n!C:E,3,FALSE)</f>
        <v>maru</v>
      </c>
      <c r="F966" s="19" t="str">
        <f>VLOOKUP(D966,unit_serifs_i18n!C:F,4,FALSE)</f>
        <v>ただ、斬るだけだわ</v>
      </c>
    </row>
    <row r="967" spans="1:6" x14ac:dyDescent="0.15">
      <c r="A967" s="39">
        <v>468</v>
      </c>
      <c r="B967" s="9" t="str">
        <f>VLOOKUP(A967,[1]characters!$A:$C,3,FALSE)</f>
        <v>憎愛の尖鋒 モルドレッド</v>
      </c>
      <c r="C967" s="40" t="s">
        <v>26</v>
      </c>
      <c r="D967" s="46" t="str">
        <f>D963</f>
        <v>4672</v>
      </c>
      <c r="E967" s="19" t="str">
        <f>VLOOKUP(D967,unit_serifs_i18n!C:E,3,FALSE)</f>
        <v>maru</v>
      </c>
      <c r="F967" s="19" t="str">
        <f>VLOOKUP(D967,unit_serifs_i18n!C:F,4,FALSE)</f>
        <v>泣きわめくと思った？</v>
      </c>
    </row>
    <row r="968" spans="1:6" x14ac:dyDescent="0.15">
      <c r="A968" s="11">
        <v>819</v>
      </c>
      <c r="B968" s="9" t="str">
        <f>VLOOKUP(A968,[1]characters!$A:$C,3,FALSE)</f>
        <v>讐命の我突 モルドレッド</v>
      </c>
      <c r="C968" s="3" t="s">
        <v>25</v>
      </c>
      <c r="D968" s="42" t="str">
        <f>A968&amp;+(COUNTIF(A$32:A968,A968)-1)</f>
        <v>8190</v>
      </c>
      <c r="E968" s="19" t="str">
        <f>VLOOKUP(D968,unit_serifs_i18n!C:E,3,FALSE)</f>
        <v>giza</v>
      </c>
      <c r="F968" s="19" t="str">
        <f>VLOOKUP(D968,unit_serifs_i18n!C:F,4,FALSE)</f>
        <v>この運命…貫いてみせる！</v>
      </c>
    </row>
    <row r="969" spans="1:6" x14ac:dyDescent="0.15">
      <c r="A969" s="11">
        <v>819</v>
      </c>
      <c r="B969" s="9" t="str">
        <f>VLOOKUP(A969,[1]characters!$A:$C,3,FALSE)</f>
        <v>讐命の我突 モルドレッド</v>
      </c>
      <c r="C969" s="40" t="s">
        <v>26</v>
      </c>
      <c r="D969" s="42" t="str">
        <f>A969&amp;+(COUNTIF(A$32:A969,A969)-1)</f>
        <v>8191</v>
      </c>
      <c r="E969" s="19" t="str">
        <f>VLOOKUP(D969,unit_serifs_i18n!C:E,3,FALSE)</f>
        <v>giza</v>
      </c>
      <c r="F969" s="19" t="str">
        <f>VLOOKUP(D969,unit_serifs_i18n!C:F,4,FALSE)</f>
        <v>まだ終われないのよ！！</v>
      </c>
    </row>
    <row r="970" spans="1:6" x14ac:dyDescent="0.15">
      <c r="A970" s="11">
        <v>819</v>
      </c>
      <c r="B970" s="9" t="str">
        <f>VLOOKUP(A970,[1]characters!$A:$C,3,FALSE)</f>
        <v>讐命の我突 モルドレッド</v>
      </c>
      <c r="C970" s="40" t="s">
        <v>26</v>
      </c>
      <c r="D970" s="46" t="str">
        <f>D966</f>
        <v>4671</v>
      </c>
      <c r="E970" s="19" t="str">
        <f>VLOOKUP(D970,unit_serifs_i18n!C:E,3,FALSE)</f>
        <v>maru</v>
      </c>
      <c r="F970" s="19" t="str">
        <f>VLOOKUP(D970,unit_serifs_i18n!C:F,4,FALSE)</f>
        <v>ただ、斬るだけだわ</v>
      </c>
    </row>
    <row r="971" spans="1:6" x14ac:dyDescent="0.15">
      <c r="A971" s="11">
        <v>819</v>
      </c>
      <c r="B971" s="9" t="str">
        <f>VLOOKUP(A971,[1]characters!$A:$C,3,FALSE)</f>
        <v>讐命の我突 モルドレッド</v>
      </c>
      <c r="C971" s="40" t="s">
        <v>26</v>
      </c>
      <c r="D971" s="46" t="str">
        <f>D967</f>
        <v>4672</v>
      </c>
      <c r="E971" s="19" t="str">
        <f>VLOOKUP(D971,unit_serifs_i18n!C:E,3,FALSE)</f>
        <v>maru</v>
      </c>
      <c r="F971" s="19" t="str">
        <f>VLOOKUP(D971,unit_serifs_i18n!C:F,4,FALSE)</f>
        <v>泣きわめくと思った？</v>
      </c>
    </row>
    <row r="972" spans="1:6" x14ac:dyDescent="0.15">
      <c r="A972" s="11">
        <v>819</v>
      </c>
      <c r="B972" s="9" t="str">
        <f>VLOOKUP(A972,[1]characters!$A:$C,3,FALSE)</f>
        <v>讐命の我突 モルドレッド</v>
      </c>
      <c r="C972" s="40" t="s">
        <v>26</v>
      </c>
      <c r="D972" s="46" t="str">
        <f>D965</f>
        <v>4681</v>
      </c>
      <c r="E972" s="19" t="str">
        <f>VLOOKUP(D972,unit_serifs_i18n!C:E,3,FALSE)</f>
        <v>giza</v>
      </c>
      <c r="F972" s="19" t="str">
        <f>VLOOKUP(D972,unit_serifs_i18n!C:F,4,FALSE)</f>
        <v>人生を返してよっ！</v>
      </c>
    </row>
    <row r="973" spans="1:6" x14ac:dyDescent="0.15">
      <c r="A973" s="11">
        <v>469</v>
      </c>
      <c r="B973" s="9" t="str">
        <f>VLOOKUP(A973,[1]characters!$A:$C,3,FALSE)</f>
        <v>トリスタン</v>
      </c>
      <c r="C973" s="3" t="s">
        <v>25</v>
      </c>
      <c r="D973" s="42" t="str">
        <f>A973&amp;+(COUNTIF(A$32:A973,A973)-1)</f>
        <v>4690</v>
      </c>
      <c r="E973" s="19" t="str">
        <f>VLOOKUP(D973,unit_serifs_i18n!C:E,3,FALSE)</f>
        <v>giza</v>
      </c>
      <c r="F973" s="19" t="str">
        <f>VLOOKUP(D973,unit_serifs_i18n!C:F,4,FALSE)</f>
        <v>巻き添え気をつけてっ！</v>
      </c>
    </row>
    <row r="974" spans="1:6" x14ac:dyDescent="0.15">
      <c r="A974" s="39">
        <v>469</v>
      </c>
      <c r="B974" s="9" t="str">
        <f>VLOOKUP(A974,[1]characters!$A:$C,3,FALSE)</f>
        <v>トリスタン</v>
      </c>
      <c r="C974" s="40" t="s">
        <v>26</v>
      </c>
      <c r="D974" s="42" t="str">
        <f>A974&amp;+(COUNTIF(A$32:A974,A974)-1)</f>
        <v>4691</v>
      </c>
      <c r="E974" s="19" t="str">
        <f>VLOOKUP(D974,unit_serifs_i18n!C:E,3,FALSE)</f>
        <v>maru</v>
      </c>
      <c r="F974" s="19" t="str">
        <f>VLOOKUP(D974,unit_serifs_i18n!C:F,4,FALSE)</f>
        <v>一番簡単な解決方法♪</v>
      </c>
    </row>
    <row r="975" spans="1:6" x14ac:dyDescent="0.15">
      <c r="A975" s="11">
        <v>470</v>
      </c>
      <c r="B975" s="9" t="str">
        <f>VLOOKUP(A975,[1]characters!$A:$C,3,FALSE)</f>
        <v>純心 トリスタン</v>
      </c>
      <c r="C975" s="3" t="s">
        <v>25</v>
      </c>
      <c r="D975" s="42" t="str">
        <f>A975&amp;+(COUNTIF(A$32:A975,A975)-1)</f>
        <v>4700</v>
      </c>
      <c r="E975" s="19" t="str">
        <f>VLOOKUP(D975,unit_serifs_i18n!C:E,3,FALSE)</f>
        <v>maru</v>
      </c>
      <c r="F975" s="19" t="str">
        <f>VLOOKUP(D975,unit_serifs_i18n!C:F,4,FALSE)</f>
        <v>ボクにやらせてくれるの？</v>
      </c>
    </row>
    <row r="976" spans="1:6" x14ac:dyDescent="0.15">
      <c r="A976" s="39">
        <v>470</v>
      </c>
      <c r="B976" s="9" t="str">
        <f>VLOOKUP(A976,[1]characters!$A:$C,3,FALSE)</f>
        <v>純心 トリスタン</v>
      </c>
      <c r="C976" s="40" t="s">
        <v>26</v>
      </c>
      <c r="D976" s="42" t="str">
        <f>A976&amp;+(COUNTIF(A$32:A976,A976)-1)</f>
        <v>4701</v>
      </c>
      <c r="E976" s="19" t="str">
        <f>VLOOKUP(D976,unit_serifs_i18n!C:E,3,FALSE)</f>
        <v>maru</v>
      </c>
      <c r="F976" s="19" t="str">
        <f>VLOOKUP(D976,unit_serifs_i18n!C:F,4,FALSE)</f>
        <v>まとめてBBQだね！</v>
      </c>
    </row>
    <row r="977" spans="1:6" x14ac:dyDescent="0.15">
      <c r="A977" s="39">
        <v>470</v>
      </c>
      <c r="B977" s="9" t="str">
        <f>VLOOKUP(A977,[1]characters!$A:$C,3,FALSE)</f>
        <v>純心 トリスタン</v>
      </c>
      <c r="C977" s="40" t="s">
        <v>26</v>
      </c>
      <c r="D977" s="46" t="str">
        <f>D974</f>
        <v>4691</v>
      </c>
      <c r="E977" s="19" t="str">
        <f>VLOOKUP(D977,unit_serifs_i18n!C:E,3,FALSE)</f>
        <v>maru</v>
      </c>
      <c r="F977" s="19" t="str">
        <f>VLOOKUP(D977,unit_serifs_i18n!C:F,4,FALSE)</f>
        <v>一番簡単な解決方法♪</v>
      </c>
    </row>
    <row r="978" spans="1:6" x14ac:dyDescent="0.15">
      <c r="A978" s="11">
        <v>471</v>
      </c>
      <c r="B978" s="9" t="str">
        <f>VLOOKUP(A978,[1]characters!$A:$C,3,FALSE)</f>
        <v>不可避の爆激 トリスタン</v>
      </c>
      <c r="C978" s="3" t="s">
        <v>25</v>
      </c>
      <c r="D978" s="42" t="str">
        <f>A978&amp;+(COUNTIF(A$32:A978,A978)-1)</f>
        <v>4710</v>
      </c>
      <c r="E978" s="19" t="str">
        <f>VLOOKUP(D978,unit_serifs_i18n!C:E,3,FALSE)</f>
        <v>giza</v>
      </c>
      <c r="F978" s="19" t="str">
        <f>VLOOKUP(D978,unit_serifs_i18n!C:F,4,FALSE)</f>
        <v>オッケーふっとばすよっ！</v>
      </c>
    </row>
    <row r="979" spans="1:6" x14ac:dyDescent="0.15">
      <c r="A979" s="39">
        <v>471</v>
      </c>
      <c r="B979" s="9" t="str">
        <f>VLOOKUP(A979,[1]characters!$A:$C,3,FALSE)</f>
        <v>不可避の爆激 トリスタン</v>
      </c>
      <c r="C979" s="40" t="s">
        <v>26</v>
      </c>
      <c r="D979" s="42" t="str">
        <f>A979&amp;+(COUNTIF(A$32:A979,A979)-1)</f>
        <v>4711</v>
      </c>
      <c r="E979" s="19" t="str">
        <f>VLOOKUP(D979,unit_serifs_i18n!C:E,3,FALSE)</f>
        <v>giza</v>
      </c>
      <c r="F979" s="19" t="str">
        <f>VLOOKUP(D979,unit_serifs_i18n!C:F,4,FALSE)</f>
        <v>こんがり焼けてよね！</v>
      </c>
    </row>
    <row r="980" spans="1:6" x14ac:dyDescent="0.15">
      <c r="A980" s="39">
        <v>471</v>
      </c>
      <c r="B980" s="9" t="str">
        <f>VLOOKUP(A980,[1]characters!$A:$C,3,FALSE)</f>
        <v>不可避の爆激 トリスタン</v>
      </c>
      <c r="C980" s="40" t="s">
        <v>26</v>
      </c>
      <c r="D980" s="46" t="str">
        <f>D977</f>
        <v>4691</v>
      </c>
      <c r="E980" s="19" t="str">
        <f>VLOOKUP(D980,unit_serifs_i18n!C:E,3,FALSE)</f>
        <v>maru</v>
      </c>
      <c r="F980" s="19" t="str">
        <f>VLOOKUP(D980,unit_serifs_i18n!C:F,4,FALSE)</f>
        <v>一番簡単な解決方法♪</v>
      </c>
    </row>
    <row r="981" spans="1:6" x14ac:dyDescent="0.15">
      <c r="A981" s="39">
        <v>471</v>
      </c>
      <c r="B981" s="9" t="str">
        <f>VLOOKUP(A981,[1]characters!$A:$C,3,FALSE)</f>
        <v>不可避の爆激 トリスタン</v>
      </c>
      <c r="C981" s="40" t="s">
        <v>26</v>
      </c>
      <c r="D981" s="46" t="str">
        <f>D976</f>
        <v>4701</v>
      </c>
      <c r="E981" s="19" t="str">
        <f>VLOOKUP(D981,unit_serifs_i18n!C:E,3,FALSE)</f>
        <v>maru</v>
      </c>
      <c r="F981" s="19" t="str">
        <f>VLOOKUP(D981,unit_serifs_i18n!C:F,4,FALSE)</f>
        <v>まとめてBBQだね！</v>
      </c>
    </row>
    <row r="982" spans="1:6" x14ac:dyDescent="0.15">
      <c r="A982" s="11">
        <v>472</v>
      </c>
      <c r="B982" s="9" t="str">
        <f>VLOOKUP(A982,[1]characters!$A:$C,3,FALSE)</f>
        <v>アーサー</v>
      </c>
      <c r="C982" s="3" t="s">
        <v>25</v>
      </c>
      <c r="D982" s="42" t="str">
        <f>A982&amp;+(COUNTIF(A$32:A982,A982)-1)</f>
        <v>4720</v>
      </c>
      <c r="E982" s="19" t="str">
        <f>VLOOKUP(D982,unit_serifs_i18n!C:E,3,FALSE)</f>
        <v>maru</v>
      </c>
      <c r="F982" s="19" t="str">
        <f>VLOOKUP(D982,unit_serifs_i18n!C:F,4,FALSE)</f>
        <v>秩序のために・・・！</v>
      </c>
    </row>
    <row r="983" spans="1:6" x14ac:dyDescent="0.15">
      <c r="A983" s="39">
        <v>472</v>
      </c>
      <c r="B983" s="9" t="str">
        <f>VLOOKUP(A983,[1]characters!$A:$C,3,FALSE)</f>
        <v>アーサー</v>
      </c>
      <c r="C983" s="40" t="s">
        <v>26</v>
      </c>
      <c r="D983" s="42" t="str">
        <f>A983&amp;+(COUNTIF(A$32:A983,A983)-1)</f>
        <v>4721</v>
      </c>
      <c r="E983" s="19" t="str">
        <f>VLOOKUP(D983,unit_serifs_i18n!C:E,3,FALSE)</f>
        <v>giza</v>
      </c>
      <c r="F983" s="19" t="str">
        <f>VLOOKUP(D983,unit_serifs_i18n!C:F,4,FALSE)</f>
        <v>必要な犠牲だ！</v>
      </c>
    </row>
    <row r="984" spans="1:6" x14ac:dyDescent="0.15">
      <c r="A984" s="39">
        <v>472</v>
      </c>
      <c r="B984" s="9" t="str">
        <f>VLOOKUP(A984,[1]characters!$A:$C,3,FALSE)</f>
        <v>アーサー</v>
      </c>
      <c r="C984" s="40" t="s">
        <v>26</v>
      </c>
      <c r="D984" s="42" t="str">
        <f>A984&amp;+(COUNTIF(A$32:A984,A984)-1)</f>
        <v>4722</v>
      </c>
      <c r="E984" s="19" t="str">
        <f>VLOOKUP(D984,unit_serifs_i18n!C:E,3,FALSE)</f>
        <v>giza</v>
      </c>
      <c r="F984" s="19" t="str">
        <f>VLOOKUP(D984,unit_serifs_i18n!C:F,4,FALSE)</f>
        <v>俺が正義だ！</v>
      </c>
    </row>
    <row r="985" spans="1:6" x14ac:dyDescent="0.15">
      <c r="A985" s="11">
        <v>473</v>
      </c>
      <c r="B985" s="9" t="str">
        <f>VLOOKUP(A985,[1]characters!$A:$C,3,FALSE)</f>
        <v>凶堅なる正義 アーサー</v>
      </c>
      <c r="C985" s="3" t="s">
        <v>25</v>
      </c>
      <c r="D985" s="42" t="str">
        <f>A985&amp;+(COUNTIF(A$32:A985,A985)-1)</f>
        <v>4730</v>
      </c>
      <c r="E985" s="19" t="str">
        <f>VLOOKUP(D985,unit_serifs_i18n!C:E,3,FALSE)</f>
        <v>giza</v>
      </c>
      <c r="F985" s="19" t="str">
        <f>VLOOKUP(D985,unit_serifs_i18n!C:F,4,FALSE)</f>
        <v>これが正義だ！</v>
      </c>
    </row>
    <row r="986" spans="1:6" x14ac:dyDescent="0.15">
      <c r="A986" s="39">
        <v>473</v>
      </c>
      <c r="B986" s="9" t="str">
        <f>VLOOKUP(A986,[1]characters!$A:$C,3,FALSE)</f>
        <v>凶堅なる正義 アーサー</v>
      </c>
      <c r="C986" s="40" t="s">
        <v>26</v>
      </c>
      <c r="D986" s="42" t="str">
        <f>A986&amp;+(COUNTIF(A$32:A986,A986)-1)</f>
        <v>4731</v>
      </c>
      <c r="E986" s="19" t="str">
        <f>VLOOKUP(D986,unit_serifs_i18n!C:E,3,FALSE)</f>
        <v>giza</v>
      </c>
      <c r="F986" s="19" t="str">
        <f>VLOOKUP(D986,unit_serifs_i18n!C:F,4,FALSE)</f>
        <v>この正義を守るために！</v>
      </c>
    </row>
    <row r="987" spans="1:6" x14ac:dyDescent="0.15">
      <c r="A987" s="39">
        <v>473</v>
      </c>
      <c r="B987" s="9" t="str">
        <f>VLOOKUP(A987,[1]characters!$A:$C,3,FALSE)</f>
        <v>凶堅なる正義 アーサー</v>
      </c>
      <c r="C987" s="40" t="s">
        <v>26</v>
      </c>
      <c r="D987" s="46" t="str">
        <f>D983</f>
        <v>4721</v>
      </c>
      <c r="E987" s="19" t="str">
        <f>VLOOKUP(D987,unit_serifs_i18n!C:E,3,FALSE)</f>
        <v>giza</v>
      </c>
      <c r="F987" s="19" t="str">
        <f>VLOOKUP(D987,unit_serifs_i18n!C:F,4,FALSE)</f>
        <v>必要な犠牲だ！</v>
      </c>
    </row>
    <row r="988" spans="1:6" x14ac:dyDescent="0.15">
      <c r="A988" s="39">
        <v>473</v>
      </c>
      <c r="B988" s="9" t="str">
        <f>VLOOKUP(A988,[1]characters!$A:$C,3,FALSE)</f>
        <v>凶堅なる正義 アーサー</v>
      </c>
      <c r="C988" s="40" t="s">
        <v>26</v>
      </c>
      <c r="D988" s="46" t="str">
        <f>D984</f>
        <v>4722</v>
      </c>
      <c r="E988" s="19" t="str">
        <f>VLOOKUP(D988,unit_serifs_i18n!C:E,3,FALSE)</f>
        <v>giza</v>
      </c>
      <c r="F988" s="19" t="str">
        <f>VLOOKUP(D988,unit_serifs_i18n!C:F,4,FALSE)</f>
        <v>俺が正義だ！</v>
      </c>
    </row>
    <row r="989" spans="1:6" x14ac:dyDescent="0.15">
      <c r="A989" s="11">
        <v>820</v>
      </c>
      <c r="B989" s="9" t="str">
        <f>VLOOKUP(A989,[1]characters!$A:$C,3,FALSE)</f>
        <v>凶心者の聖儀 アーサー</v>
      </c>
      <c r="C989" s="3" t="s">
        <v>25</v>
      </c>
      <c r="D989" s="42" t="str">
        <f>A989&amp;+(COUNTIF(A$32:A989,A989)-1)</f>
        <v>8200</v>
      </c>
      <c r="E989" s="19" t="str">
        <f>VLOOKUP(D989,unit_serifs_i18n!C:E,3,FALSE)</f>
        <v>maru</v>
      </c>
      <c r="F989" s="19" t="str">
        <f>VLOOKUP(D989,unit_serifs_i18n!C:F,4,FALSE)</f>
        <v>俺に逆らうか…つまり悪だな</v>
      </c>
    </row>
    <row r="990" spans="1:6" x14ac:dyDescent="0.15">
      <c r="A990" s="11">
        <v>820</v>
      </c>
      <c r="B990" s="9" t="str">
        <f>VLOOKUP(A990,[1]characters!$A:$C,3,FALSE)</f>
        <v>凶心者の聖儀 アーサー</v>
      </c>
      <c r="C990" s="40" t="s">
        <v>26</v>
      </c>
      <c r="D990" s="42" t="str">
        <f>A990&amp;+(COUNTIF(A$32:A990,A990)-1)</f>
        <v>8201</v>
      </c>
      <c r="E990" s="19" t="str">
        <f>VLOOKUP(D990,unit_serifs_i18n!C:E,3,FALSE)</f>
        <v>giza</v>
      </c>
      <c r="F990" s="19" t="str">
        <f>VLOOKUP(D990,unit_serifs_i18n!C:F,4,FALSE)</f>
        <v>刻め！俺の力こそ正義！</v>
      </c>
    </row>
    <row r="991" spans="1:6" x14ac:dyDescent="0.15">
      <c r="A991" s="11">
        <v>820</v>
      </c>
      <c r="B991" s="9" t="str">
        <f>VLOOKUP(A991,[1]characters!$A:$C,3,FALSE)</f>
        <v>凶心者の聖儀 アーサー</v>
      </c>
      <c r="C991" s="40" t="s">
        <v>26</v>
      </c>
      <c r="D991" s="46" t="str">
        <f>D987</f>
        <v>4721</v>
      </c>
      <c r="E991" s="19" t="str">
        <f>VLOOKUP(D991,unit_serifs_i18n!C:E,3,FALSE)</f>
        <v>giza</v>
      </c>
      <c r="F991" s="19" t="str">
        <f>VLOOKUP(D991,unit_serifs_i18n!C:F,4,FALSE)</f>
        <v>必要な犠牲だ！</v>
      </c>
    </row>
    <row r="992" spans="1:6" x14ac:dyDescent="0.15">
      <c r="A992" s="11">
        <v>820</v>
      </c>
      <c r="B992" s="9" t="str">
        <f>VLOOKUP(A992,[1]characters!$A:$C,3,FALSE)</f>
        <v>凶心者の聖儀 アーサー</v>
      </c>
      <c r="C992" s="40" t="s">
        <v>26</v>
      </c>
      <c r="D992" s="46" t="str">
        <f>D988</f>
        <v>4722</v>
      </c>
      <c r="E992" s="19" t="str">
        <f>VLOOKUP(D992,unit_serifs_i18n!C:E,3,FALSE)</f>
        <v>giza</v>
      </c>
      <c r="F992" s="19" t="str">
        <f>VLOOKUP(D992,unit_serifs_i18n!C:F,4,FALSE)</f>
        <v>俺が正義だ！</v>
      </c>
    </row>
    <row r="993" spans="1:6" x14ac:dyDescent="0.15">
      <c r="A993" s="11">
        <v>820</v>
      </c>
      <c r="B993" s="9" t="str">
        <f>VLOOKUP(A993,[1]characters!$A:$C,3,FALSE)</f>
        <v>凶心者の聖儀 アーサー</v>
      </c>
      <c r="C993" s="40" t="s">
        <v>26</v>
      </c>
      <c r="D993" s="46" t="str">
        <f>D986</f>
        <v>4731</v>
      </c>
      <c r="E993" s="19" t="str">
        <f>VLOOKUP(D993,unit_serifs_i18n!C:E,3,FALSE)</f>
        <v>giza</v>
      </c>
      <c r="F993" s="19" t="str">
        <f>VLOOKUP(D993,unit_serifs_i18n!C:F,4,FALSE)</f>
        <v>この正義を守るために！</v>
      </c>
    </row>
    <row r="994" spans="1:6" x14ac:dyDescent="0.15">
      <c r="A994" s="11">
        <v>474</v>
      </c>
      <c r="B994" s="9" t="str">
        <f>VLOOKUP(A994,[1]characters!$A:$C,3,FALSE)</f>
        <v>キング・ドライグ</v>
      </c>
      <c r="C994" s="3" t="s">
        <v>25</v>
      </c>
      <c r="D994" s="42" t="str">
        <f>A994&amp;+(COUNTIF(A$32:A994,A994)-1)</f>
        <v>4740</v>
      </c>
      <c r="E994" s="19" t="str">
        <f>VLOOKUP(D994,unit_serifs_i18n!C:E,3,FALSE)</f>
        <v>giza</v>
      </c>
      <c r="F994" s="19" t="str">
        <f>VLOOKUP(D994,unit_serifs_i18n!C:F,4,FALSE)</f>
        <v>我が力、刮目して見よ！</v>
      </c>
    </row>
    <row r="995" spans="1:6" x14ac:dyDescent="0.15">
      <c r="A995" s="11">
        <v>474</v>
      </c>
      <c r="B995" s="9" t="str">
        <f>VLOOKUP(A995,[1]characters!$A:$C,3,FALSE)</f>
        <v>キング・ドライグ</v>
      </c>
      <c r="C995" s="40" t="s">
        <v>26</v>
      </c>
      <c r="D995" s="42" t="str">
        <f>A995&amp;+(COUNTIF(A$32:A995,A995)-1)</f>
        <v>4741</v>
      </c>
      <c r="E995" s="19" t="str">
        <f>VLOOKUP(D995,unit_serifs_i18n!C:E,3,FALSE)</f>
        <v>giza</v>
      </c>
      <c r="F995" s="19" t="str">
        <f>VLOOKUP(D995,unit_serifs_i18n!C:F,4,FALSE)</f>
        <v>燃えつきろ！</v>
      </c>
    </row>
    <row r="996" spans="1:6" x14ac:dyDescent="0.15">
      <c r="A996" s="11">
        <v>474</v>
      </c>
      <c r="B996" s="9" t="str">
        <f>VLOOKUP(A996,[1]characters!$A:$C,3,FALSE)</f>
        <v>キング・ドライグ</v>
      </c>
      <c r="C996" s="40" t="s">
        <v>26</v>
      </c>
      <c r="D996" s="42" t="str">
        <f>A996&amp;+(COUNTIF(A$32:A996,A996)-1)</f>
        <v>4742</v>
      </c>
      <c r="E996" s="19" t="str">
        <f>VLOOKUP(D996,unit_serifs_i18n!C:E,3,FALSE)</f>
        <v>maru</v>
      </c>
      <c r="F996" s="19" t="str">
        <f>VLOOKUP(D996,unit_serifs_i18n!C:F,4,FALSE)</f>
        <v>灰にしてやろう</v>
      </c>
    </row>
    <row r="997" spans="1:6" x14ac:dyDescent="0.15">
      <c r="A997" s="11">
        <v>475</v>
      </c>
      <c r="B997" s="9" t="str">
        <f>VLOOKUP(A997,[1]characters!$A:$C,3,FALSE)</f>
        <v>緋王 キング・ドライグ</v>
      </c>
      <c r="C997" s="3" t="s">
        <v>25</v>
      </c>
      <c r="D997" s="42" t="str">
        <f>A997&amp;+(COUNTIF(A$32:A997,A997)-1)</f>
        <v>4750</v>
      </c>
      <c r="E997" s="19" t="str">
        <f>VLOOKUP(D997,unit_serifs_i18n!C:E,3,FALSE)</f>
        <v>giza</v>
      </c>
      <c r="F997" s="19" t="str">
        <f>VLOOKUP(D997,unit_serifs_i18n!C:F,4,FALSE)</f>
        <v>我に続け！殲滅するぞ！</v>
      </c>
    </row>
    <row r="998" spans="1:6" x14ac:dyDescent="0.15">
      <c r="A998" s="11">
        <v>475</v>
      </c>
      <c r="B998" s="9" t="str">
        <f>VLOOKUP(A998,[1]characters!$A:$C,3,FALSE)</f>
        <v>緋王 キング・ドライグ</v>
      </c>
      <c r="C998" s="40" t="s">
        <v>26</v>
      </c>
      <c r="D998" s="42" t="str">
        <f>A998&amp;+(COUNTIF(A$32:A998,A998)-1)</f>
        <v>4751</v>
      </c>
      <c r="E998" s="19" t="str">
        <f>VLOOKUP(D998,unit_serifs_i18n!C:E,3,FALSE)</f>
        <v>giza</v>
      </c>
      <c r="F998" s="19" t="str">
        <f>VLOOKUP(D998,unit_serifs_i18n!C:F,4,FALSE)</f>
        <v>王の一撃だ！</v>
      </c>
    </row>
    <row r="999" spans="1:6" x14ac:dyDescent="0.15">
      <c r="A999" s="11">
        <v>475</v>
      </c>
      <c r="B999" s="9" t="str">
        <f>VLOOKUP(A999,[1]characters!$A:$C,3,FALSE)</f>
        <v>緋王 キング・ドライグ</v>
      </c>
      <c r="C999" s="40" t="s">
        <v>26</v>
      </c>
      <c r="D999" s="46" t="str">
        <f>D995</f>
        <v>4741</v>
      </c>
      <c r="E999" s="19" t="str">
        <f>VLOOKUP(D999,unit_serifs_i18n!C:E,3,FALSE)</f>
        <v>giza</v>
      </c>
      <c r="F999" s="19" t="str">
        <f>VLOOKUP(D999,unit_serifs_i18n!C:F,4,FALSE)</f>
        <v>燃えつきろ！</v>
      </c>
    </row>
    <row r="1000" spans="1:6" x14ac:dyDescent="0.15">
      <c r="A1000" s="11">
        <v>475</v>
      </c>
      <c r="B1000" s="9" t="str">
        <f>VLOOKUP(A1000,[1]characters!$A:$C,3,FALSE)</f>
        <v>緋王 キング・ドライグ</v>
      </c>
      <c r="C1000" s="40" t="s">
        <v>26</v>
      </c>
      <c r="D1000" s="46" t="str">
        <f>D996</f>
        <v>4742</v>
      </c>
      <c r="E1000" s="19" t="str">
        <f>VLOOKUP(D1000,unit_serifs_i18n!C:E,3,FALSE)</f>
        <v>maru</v>
      </c>
      <c r="F1000" s="19" t="str">
        <f>VLOOKUP(D1000,unit_serifs_i18n!C:F,4,FALSE)</f>
        <v>灰にしてやろう</v>
      </c>
    </row>
    <row r="1001" spans="1:6" x14ac:dyDescent="0.15">
      <c r="A1001" s="11">
        <v>476</v>
      </c>
      <c r="B1001" s="9" t="str">
        <f>VLOOKUP(A1001,[1]characters!$A:$C,3,FALSE)</f>
        <v>ファータ</v>
      </c>
      <c r="C1001" s="3" t="s">
        <v>25</v>
      </c>
      <c r="D1001" s="42" t="str">
        <f>A1001&amp;+(COUNTIF(A$32:A1001,A1001)-1)</f>
        <v>4760</v>
      </c>
      <c r="E1001" s="19" t="str">
        <f>VLOOKUP(D1001,unit_serifs_i18n!C:E,3,FALSE)</f>
        <v>maru</v>
      </c>
      <c r="F1001" s="19" t="str">
        <f>VLOOKUP(D1001,unit_serifs_i18n!C:F,4,FALSE)</f>
        <v>癒してあげる☆</v>
      </c>
    </row>
    <row r="1002" spans="1:6" x14ac:dyDescent="0.15">
      <c r="A1002" s="11">
        <v>476</v>
      </c>
      <c r="B1002" s="9" t="str">
        <f>VLOOKUP(A1002,[1]characters!$A:$C,3,FALSE)</f>
        <v>ファータ</v>
      </c>
      <c r="C1002" s="40" t="s">
        <v>26</v>
      </c>
      <c r="D1002" s="42" t="str">
        <f>A1002&amp;+(COUNTIF(A$32:A1002,A1002)-1)</f>
        <v>4761</v>
      </c>
      <c r="E1002" s="19" t="str">
        <f>VLOOKUP(D1002,unit_serifs_i18n!C:E,3,FALSE)</f>
        <v>kumo</v>
      </c>
      <c r="F1002" s="19" t="str">
        <f>VLOOKUP(D1002,unit_serifs_i18n!C:F,4,FALSE)</f>
        <v>えいっ☆</v>
      </c>
    </row>
    <row r="1003" spans="1:6" x14ac:dyDescent="0.15">
      <c r="A1003" s="11">
        <v>477</v>
      </c>
      <c r="B1003" s="9" t="str">
        <f>VLOOKUP(A1003,[1]characters!$A:$C,3,FALSE)</f>
        <v>愛羽妖精 ファータ</v>
      </c>
      <c r="C1003" s="3" t="s">
        <v>25</v>
      </c>
      <c r="D1003" s="42" t="str">
        <f>A1003&amp;+(COUNTIF(A$32:A1003,A1003)-1)</f>
        <v>4770</v>
      </c>
      <c r="E1003" s="19" t="str">
        <f>VLOOKUP(D1003,unit_serifs_i18n!C:E,3,FALSE)</f>
        <v>maru</v>
      </c>
      <c r="F1003" s="19" t="str">
        <f>VLOOKUP(D1003,unit_serifs_i18n!C:F,4,FALSE)</f>
        <v>お怪我を治すお祈りだよ！</v>
      </c>
    </row>
    <row r="1004" spans="1:6" x14ac:dyDescent="0.15">
      <c r="A1004" s="11">
        <v>477</v>
      </c>
      <c r="B1004" s="9" t="str">
        <f>VLOOKUP(A1004,[1]characters!$A:$C,3,FALSE)</f>
        <v>愛羽妖精 ファータ</v>
      </c>
      <c r="C1004" s="40" t="s">
        <v>26</v>
      </c>
      <c r="D1004" s="42" t="str">
        <f>A1004&amp;+(COUNTIF(A$32:A1004,A1004)-1)</f>
        <v>4771</v>
      </c>
      <c r="E1004" s="19" t="str">
        <f>VLOOKUP(D1004,unit_serifs_i18n!C:E,3,FALSE)</f>
        <v>maru</v>
      </c>
      <c r="F1004" s="19" t="str">
        <f>VLOOKUP(D1004,unit_serifs_i18n!C:F,4,FALSE)</f>
        <v>みんな頑張ろっ！</v>
      </c>
    </row>
    <row r="1005" spans="1:6" x14ac:dyDescent="0.15">
      <c r="A1005" s="11">
        <v>477</v>
      </c>
      <c r="B1005" s="9" t="str">
        <f>VLOOKUP(A1005,[1]characters!$A:$C,3,FALSE)</f>
        <v>愛羽妖精 ファータ</v>
      </c>
      <c r="C1005" s="40" t="s">
        <v>26</v>
      </c>
      <c r="D1005" s="46" t="str">
        <f>D1002</f>
        <v>4761</v>
      </c>
      <c r="E1005" s="19" t="str">
        <f>VLOOKUP(D1005,unit_serifs_i18n!C:E,3,FALSE)</f>
        <v>kumo</v>
      </c>
      <c r="F1005" s="19" t="str">
        <f>VLOOKUP(D1005,unit_serifs_i18n!C:F,4,FALSE)</f>
        <v>えいっ☆</v>
      </c>
    </row>
    <row r="1006" spans="1:6" x14ac:dyDescent="0.15">
      <c r="A1006" s="11">
        <v>478</v>
      </c>
      <c r="B1006" s="9" t="str">
        <f>VLOOKUP(A1006,[1]characters!$A:$C,3,FALSE)</f>
        <v>時計仕掛けの愛羽妖精 ファータ</v>
      </c>
      <c r="C1006" s="3" t="s">
        <v>25</v>
      </c>
      <c r="D1006" s="42" t="str">
        <f>A1006&amp;+(COUNTIF(A$32:A1006,A1006)-1)</f>
        <v>4780</v>
      </c>
      <c r="E1006" s="19" t="str">
        <f>VLOOKUP(D1006,unit_serifs_i18n!C:E,3,FALSE)</f>
        <v>maru</v>
      </c>
      <c r="F1006" s="19" t="str">
        <f>VLOOKUP(D1006,unit_serifs_i18n!C:F,4,FALSE)</f>
        <v>傷は治るよ！諦めないで！</v>
      </c>
    </row>
    <row r="1007" spans="1:6" x14ac:dyDescent="0.15">
      <c r="A1007" s="11">
        <v>478</v>
      </c>
      <c r="B1007" s="9" t="str">
        <f>VLOOKUP(A1007,[1]characters!$A:$C,3,FALSE)</f>
        <v>時計仕掛けの愛羽妖精 ファータ</v>
      </c>
      <c r="C1007" s="40" t="s">
        <v>26</v>
      </c>
      <c r="D1007" s="42" t="str">
        <f>A1007&amp;+(COUNTIF(A$32:A1007,A1007)-1)</f>
        <v>4781</v>
      </c>
      <c r="E1007" s="19" t="str">
        <f>VLOOKUP(D1007,unit_serifs_i18n!C:E,3,FALSE)</f>
        <v>kumo</v>
      </c>
      <c r="F1007" s="19" t="str">
        <f>VLOOKUP(D1007,unit_serifs_i18n!C:F,4,FALSE)</f>
        <v>さあ、私の手をとって！</v>
      </c>
    </row>
    <row r="1008" spans="1:6" x14ac:dyDescent="0.15">
      <c r="A1008" s="11">
        <v>478</v>
      </c>
      <c r="B1008" s="9" t="str">
        <f>VLOOKUP(A1008,[1]characters!$A:$C,3,FALSE)</f>
        <v>時計仕掛けの愛羽妖精 ファータ</v>
      </c>
      <c r="C1008" s="40" t="s">
        <v>26</v>
      </c>
      <c r="D1008" s="46" t="str">
        <f>D1005</f>
        <v>4761</v>
      </c>
      <c r="E1008" s="19" t="str">
        <f>VLOOKUP(D1008,unit_serifs_i18n!C:E,3,FALSE)</f>
        <v>kumo</v>
      </c>
      <c r="F1008" s="19" t="str">
        <f>VLOOKUP(D1008,unit_serifs_i18n!C:F,4,FALSE)</f>
        <v>えいっ☆</v>
      </c>
    </row>
    <row r="1009" spans="1:6" x14ac:dyDescent="0.15">
      <c r="A1009" s="11">
        <v>478</v>
      </c>
      <c r="B1009" s="9" t="str">
        <f>VLOOKUP(A1009,[1]characters!$A:$C,3,FALSE)</f>
        <v>時計仕掛けの愛羽妖精 ファータ</v>
      </c>
      <c r="C1009" s="40" t="s">
        <v>26</v>
      </c>
      <c r="D1009" s="46" t="str">
        <f>D1004</f>
        <v>4771</v>
      </c>
      <c r="E1009" s="19" t="str">
        <f>VLOOKUP(D1009,unit_serifs_i18n!C:E,3,FALSE)</f>
        <v>maru</v>
      </c>
      <c r="F1009" s="19" t="str">
        <f>VLOOKUP(D1009,unit_serifs_i18n!C:F,4,FALSE)</f>
        <v>みんな頑張ろっ！</v>
      </c>
    </row>
    <row r="1010" spans="1:6" x14ac:dyDescent="0.15">
      <c r="A1010" s="11">
        <v>479</v>
      </c>
      <c r="B1010" s="9" t="str">
        <f>VLOOKUP(A1010,[1]characters!$A:$C,3,FALSE)</f>
        <v>フール</v>
      </c>
      <c r="C1010" s="3" t="s">
        <v>25</v>
      </c>
      <c r="D1010" s="42" t="str">
        <f>A1010&amp;+(COUNTIF(A$32:A1010,A1010)-1)</f>
        <v>4790</v>
      </c>
      <c r="E1010" s="19" t="str">
        <f>VLOOKUP(D1010,unit_serifs_i18n!C:E,3,FALSE)</f>
        <v>maru</v>
      </c>
      <c r="F1010" s="19" t="str">
        <f>VLOOKUP(D1010,unit_serifs_i18n!C:F,4,FALSE)</f>
        <v>パーティーの始まりだ</v>
      </c>
    </row>
    <row r="1011" spans="1:6" x14ac:dyDescent="0.15">
      <c r="A1011" s="11">
        <v>479</v>
      </c>
      <c r="B1011" s="9" t="str">
        <f>VLOOKUP(A1011,[1]characters!$A:$C,3,FALSE)</f>
        <v>フール</v>
      </c>
      <c r="C1011" s="40" t="s">
        <v>26</v>
      </c>
      <c r="D1011" s="42" t="str">
        <f>A1011&amp;+(COUNTIF(A$32:A1011,A1011)-1)</f>
        <v>4791</v>
      </c>
      <c r="E1011" s="19" t="str">
        <f>VLOOKUP(D1011,unit_serifs_i18n!C:E,3,FALSE)</f>
        <v>maru</v>
      </c>
      <c r="F1011" s="19" t="str">
        <f>VLOOKUP(D1011,unit_serifs_i18n!C:F,4,FALSE)</f>
        <v>熱いね。キミ</v>
      </c>
    </row>
    <row r="1012" spans="1:6" x14ac:dyDescent="0.15">
      <c r="A1012" s="11">
        <v>479</v>
      </c>
      <c r="B1012" s="9" t="str">
        <f>VLOOKUP(A1012,[1]characters!$A:$C,3,FALSE)</f>
        <v>フール</v>
      </c>
      <c r="C1012" s="40" t="s">
        <v>26</v>
      </c>
      <c r="D1012" s="42" t="str">
        <f>A1012&amp;+(COUNTIF(A$32:A1012,A1012)-1)</f>
        <v>4792</v>
      </c>
      <c r="E1012" s="19" t="str">
        <f>VLOOKUP(D1012,unit_serifs_i18n!C:E,3,FALSE)</f>
        <v>maru</v>
      </c>
      <c r="F1012" s="19" t="str">
        <f>VLOOKUP(D1012,unit_serifs_i18n!C:F,4,FALSE)</f>
        <v>それで本気かい？</v>
      </c>
    </row>
    <row r="1013" spans="1:6" x14ac:dyDescent="0.15">
      <c r="A1013" s="11">
        <v>480</v>
      </c>
      <c r="B1013" s="9" t="str">
        <f>VLOOKUP(A1013,[1]characters!$A:$C,3,FALSE)</f>
        <v>夢幻の愚者フール</v>
      </c>
      <c r="C1013" s="3" t="s">
        <v>25</v>
      </c>
      <c r="D1013" s="42" t="str">
        <f>A1013&amp;+(COUNTIF(A$32:A1013,A1013)-1)</f>
        <v>4800</v>
      </c>
      <c r="E1013" s="19" t="str">
        <f>VLOOKUP(D1013,unit_serifs_i18n!C:E,3,FALSE)</f>
        <v>maru</v>
      </c>
      <c r="F1013" s="19" t="str">
        <f>VLOOKUP(D1013,unit_serifs_i18n!C:F,4,FALSE)</f>
        <v>It's Show Time!!</v>
      </c>
    </row>
    <row r="1014" spans="1:6" x14ac:dyDescent="0.15">
      <c r="A1014" s="11">
        <v>480</v>
      </c>
      <c r="B1014" s="9" t="str">
        <f>VLOOKUP(A1014,[1]characters!$A:$C,3,FALSE)</f>
        <v>夢幻の愚者フール</v>
      </c>
      <c r="C1014" s="40" t="s">
        <v>26</v>
      </c>
      <c r="D1014" s="42" t="str">
        <f>A1014&amp;+(COUNTIF(A$32:A1014,A1014)-1)</f>
        <v>4801</v>
      </c>
      <c r="E1014" s="19" t="str">
        <f>VLOOKUP(D1014,unit_serifs_i18n!C:E,3,FALSE)</f>
        <v>maru</v>
      </c>
      <c r="F1014" s="19" t="str">
        <f>VLOOKUP(D1014,unit_serifs_i18n!C:F,4,FALSE)</f>
        <v>お疲れ様。終わりだよ</v>
      </c>
    </row>
    <row r="1015" spans="1:6" x14ac:dyDescent="0.15">
      <c r="A1015" s="11">
        <v>480</v>
      </c>
      <c r="B1015" s="9" t="str">
        <f>VLOOKUP(A1015,[1]characters!$A:$C,3,FALSE)</f>
        <v>夢幻の愚者フール</v>
      </c>
      <c r="C1015" s="40" t="s">
        <v>26</v>
      </c>
      <c r="D1015" s="46" t="str">
        <f>D1011</f>
        <v>4791</v>
      </c>
      <c r="E1015" s="19" t="str">
        <f>VLOOKUP(D1015,unit_serifs_i18n!C:E,3,FALSE)</f>
        <v>maru</v>
      </c>
      <c r="F1015" s="19" t="str">
        <f>VLOOKUP(D1015,unit_serifs_i18n!C:F,4,FALSE)</f>
        <v>熱いね。キミ</v>
      </c>
    </row>
    <row r="1016" spans="1:6" x14ac:dyDescent="0.15">
      <c r="A1016" s="11">
        <v>480</v>
      </c>
      <c r="B1016" s="9" t="str">
        <f>VLOOKUP(A1016,[1]characters!$A:$C,3,FALSE)</f>
        <v>夢幻の愚者フール</v>
      </c>
      <c r="C1016" s="40" t="s">
        <v>26</v>
      </c>
      <c r="D1016" s="46" t="str">
        <f>D1012</f>
        <v>4792</v>
      </c>
      <c r="E1016" s="19" t="str">
        <f>VLOOKUP(D1016,unit_serifs_i18n!C:E,3,FALSE)</f>
        <v>maru</v>
      </c>
      <c r="F1016" s="19" t="str">
        <f>VLOOKUP(D1016,unit_serifs_i18n!C:F,4,FALSE)</f>
        <v>それで本気かい？</v>
      </c>
    </row>
    <row r="1017" spans="1:6" x14ac:dyDescent="0.15">
      <c r="A1017" s="11">
        <v>481</v>
      </c>
      <c r="B1017" s="9" t="str">
        <f>VLOOKUP(A1017,[1]characters!$A:$C,3,FALSE)</f>
        <v>沢庵宗彭</v>
      </c>
      <c r="C1017" s="3" t="s">
        <v>25</v>
      </c>
      <c r="D1017" s="42" t="str">
        <f>A1017&amp;+(COUNTIF(A$32:A1017,A1017)-1)</f>
        <v>4810</v>
      </c>
      <c r="E1017" s="19" t="str">
        <f>VLOOKUP(D1017,unit_serifs_i18n!C:E,3,FALSE)</f>
        <v>giza</v>
      </c>
      <c r="F1017" s="19" t="str">
        <f>VLOOKUP(D1017,unit_serifs_i18n!C:F,4,FALSE)</f>
        <v>儂が応えよう！</v>
      </c>
    </row>
    <row r="1018" spans="1:6" x14ac:dyDescent="0.15">
      <c r="A1018" s="11">
        <v>481</v>
      </c>
      <c r="B1018" s="9" t="str">
        <f>VLOOKUP(A1018,[1]characters!$A:$C,3,FALSE)</f>
        <v>沢庵宗彭</v>
      </c>
      <c r="C1018" s="40" t="s">
        <v>26</v>
      </c>
      <c r="D1018" s="42" t="str">
        <f>A1018&amp;+(COUNTIF(A$32:A1018,A1018)-1)</f>
        <v>4811</v>
      </c>
      <c r="E1018" s="19" t="str">
        <f>VLOOKUP(D1018,unit_serifs_i18n!C:E,3,FALSE)</f>
        <v>giza</v>
      </c>
      <c r="F1018" s="19" t="str">
        <f>VLOOKUP(D1018,unit_serifs_i18n!C:F,4,FALSE)</f>
        <v>迷わず斬る！</v>
      </c>
    </row>
    <row r="1019" spans="1:6" x14ac:dyDescent="0.15">
      <c r="A1019" s="11">
        <v>482</v>
      </c>
      <c r="B1019" s="9" t="str">
        <f>VLOOKUP(A1019,[1]characters!$A:$C,3,FALSE)</f>
        <v>魁僧 沢庵宗彭</v>
      </c>
      <c r="C1019" s="3" t="s">
        <v>25</v>
      </c>
      <c r="D1019" s="42" t="str">
        <f>A1019&amp;+(COUNTIF(A$32:A1019,A1019)-1)</f>
        <v>4820</v>
      </c>
      <c r="E1019" s="19" t="str">
        <f>VLOOKUP(D1019,unit_serifs_i18n!C:E,3,FALSE)</f>
        <v>maru</v>
      </c>
      <c r="F1019" s="19" t="str">
        <f>VLOOKUP(D1019,unit_serifs_i18n!C:F,4,FALSE)</f>
        <v>禅を説いてやろう</v>
      </c>
    </row>
    <row r="1020" spans="1:6" x14ac:dyDescent="0.15">
      <c r="A1020" s="11">
        <v>482</v>
      </c>
      <c r="B1020" s="9" t="str">
        <f>VLOOKUP(A1020,[1]characters!$A:$C,3,FALSE)</f>
        <v>魁僧 沢庵宗彭</v>
      </c>
      <c r="C1020" s="40" t="s">
        <v>26</v>
      </c>
      <c r="D1020" s="42" t="str">
        <f>A1020&amp;+(COUNTIF(A$32:A1020,A1020)-1)</f>
        <v>4821</v>
      </c>
      <c r="E1020" s="19" t="str">
        <f>VLOOKUP(D1020,unit_serifs_i18n!C:E,3,FALSE)</f>
        <v>giza</v>
      </c>
      <c r="F1020" s="19" t="str">
        <f>VLOOKUP(D1020,unit_serifs_i18n!C:F,4,FALSE)</f>
        <v>応ッ！</v>
      </c>
    </row>
    <row r="1021" spans="1:6" x14ac:dyDescent="0.15">
      <c r="A1021" s="11">
        <v>482</v>
      </c>
      <c r="B1021" s="9" t="str">
        <f>VLOOKUP(A1021,[1]characters!$A:$C,3,FALSE)</f>
        <v>魁僧 沢庵宗彭</v>
      </c>
      <c r="C1021" s="40" t="s">
        <v>26</v>
      </c>
      <c r="D1021" s="46" t="str">
        <f>D1018</f>
        <v>4811</v>
      </c>
      <c r="E1021" s="19" t="str">
        <f>VLOOKUP(D1021,unit_serifs_i18n!C:E,3,FALSE)</f>
        <v>giza</v>
      </c>
      <c r="F1021" s="19" t="str">
        <f>VLOOKUP(D1021,unit_serifs_i18n!C:F,4,FALSE)</f>
        <v>迷わず斬る！</v>
      </c>
    </row>
    <row r="1022" spans="1:6" x14ac:dyDescent="0.15">
      <c r="A1022" s="11">
        <v>483</v>
      </c>
      <c r="B1022" s="9" t="str">
        <f>VLOOKUP(A1022,[1]characters!$A:$C,3,FALSE)</f>
        <v xml:space="preserve">命経死遂 沢庵宗彭 </v>
      </c>
      <c r="C1022" s="3" t="s">
        <v>25</v>
      </c>
      <c r="D1022" s="42" t="str">
        <f>A1022&amp;+(COUNTIF(A$32:A1022,A1022)-1)</f>
        <v>4830</v>
      </c>
      <c r="E1022" s="19" t="str">
        <f>VLOOKUP(D1022,unit_serifs_i18n!C:E,3,FALSE)</f>
        <v>maru</v>
      </c>
      <c r="F1022" s="19" t="str">
        <f>VLOOKUP(D1022,unit_serifs_i18n!C:F,4,FALSE)</f>
        <v>問答の時間だ…！</v>
      </c>
    </row>
    <row r="1023" spans="1:6" x14ac:dyDescent="0.15">
      <c r="A1023" s="11">
        <v>483</v>
      </c>
      <c r="B1023" s="9" t="str">
        <f>VLOOKUP(A1023,[1]characters!$A:$C,3,FALSE)</f>
        <v xml:space="preserve">命経死遂 沢庵宗彭 </v>
      </c>
      <c r="C1023" s="40" t="s">
        <v>26</v>
      </c>
      <c r="D1023" s="42" t="str">
        <f>A1023&amp;+(COUNTIF(A$32:A1023,A1023)-1)</f>
        <v>4831</v>
      </c>
      <c r="E1023" s="19" t="str">
        <f>VLOOKUP(D1023,unit_serifs_i18n!C:E,3,FALSE)</f>
        <v>maru</v>
      </c>
      <c r="F1023" s="19" t="str">
        <f>VLOOKUP(D1023,unit_serifs_i18n!C:F,4,FALSE)</f>
        <v>禅は剣に通ずる</v>
      </c>
    </row>
    <row r="1024" spans="1:6" x14ac:dyDescent="0.15">
      <c r="A1024" s="11">
        <v>483</v>
      </c>
      <c r="B1024" s="9" t="str">
        <f>VLOOKUP(A1024,[1]characters!$A:$C,3,FALSE)</f>
        <v xml:space="preserve">命経死遂 沢庵宗彭 </v>
      </c>
      <c r="C1024" s="40" t="s">
        <v>26</v>
      </c>
      <c r="D1024" s="46" t="str">
        <f>D1021</f>
        <v>4811</v>
      </c>
      <c r="E1024" s="19" t="str">
        <f>VLOOKUP(D1024,unit_serifs_i18n!C:E,3,FALSE)</f>
        <v>giza</v>
      </c>
      <c r="F1024" s="19" t="str">
        <f>VLOOKUP(D1024,unit_serifs_i18n!C:F,4,FALSE)</f>
        <v>迷わず斬る！</v>
      </c>
    </row>
    <row r="1025" spans="1:6" x14ac:dyDescent="0.15">
      <c r="A1025" s="11">
        <v>483</v>
      </c>
      <c r="B1025" s="9" t="str">
        <f>VLOOKUP(A1025,[1]characters!$A:$C,3,FALSE)</f>
        <v xml:space="preserve">命経死遂 沢庵宗彭 </v>
      </c>
      <c r="C1025" s="40" t="s">
        <v>26</v>
      </c>
      <c r="D1025" s="46" t="str">
        <f>D1020</f>
        <v>4821</v>
      </c>
      <c r="E1025" s="19" t="str">
        <f>VLOOKUP(D1025,unit_serifs_i18n!C:E,3,FALSE)</f>
        <v>giza</v>
      </c>
      <c r="F1025" s="19" t="str">
        <f>VLOOKUP(D1025,unit_serifs_i18n!C:F,4,FALSE)</f>
        <v>応ッ！</v>
      </c>
    </row>
    <row r="1026" spans="1:6" x14ac:dyDescent="0.15">
      <c r="A1026" s="11">
        <v>484</v>
      </c>
      <c r="B1026" s="9" t="str">
        <f>VLOOKUP(A1026,[1]characters!$A:$C,3,FALSE)</f>
        <v>ラグランジュ</v>
      </c>
      <c r="C1026" s="3" t="s">
        <v>25</v>
      </c>
      <c r="D1026" s="42" t="str">
        <f>A1026&amp;+(COUNTIF(A$32:A1026,A1026)-1)</f>
        <v>4840</v>
      </c>
      <c r="E1026" s="19" t="str">
        <f>VLOOKUP(D1026,unit_serifs_i18n!C:E,3,FALSE)</f>
        <v>maru</v>
      </c>
      <c r="F1026" s="19" t="str">
        <f>VLOOKUP(D1026,unit_serifs_i18n!C:F,4,FALSE)</f>
        <v>解析結果、出たわ</v>
      </c>
    </row>
    <row r="1027" spans="1:6" x14ac:dyDescent="0.15">
      <c r="A1027" s="47">
        <v>484</v>
      </c>
      <c r="B1027" s="9" t="str">
        <f>VLOOKUP(A1027,[1]characters!$A:$C,3,FALSE)</f>
        <v>ラグランジュ</v>
      </c>
      <c r="C1027" s="40" t="s">
        <v>26</v>
      </c>
      <c r="D1027" s="42" t="str">
        <f>A1027&amp;+(COUNTIF(A$32:A1027,A1027)-1)</f>
        <v>4841</v>
      </c>
      <c r="E1027" s="19" t="str">
        <f>VLOOKUP(D1027,unit_serifs_i18n!C:E,3,FALSE)</f>
        <v>maru</v>
      </c>
      <c r="F1027" s="19" t="str">
        <f>VLOOKUP(D1027,unit_serifs_i18n!C:F,4,FALSE)</f>
        <v>星の声が聞こえる？</v>
      </c>
    </row>
    <row r="1028" spans="1:6" x14ac:dyDescent="0.15">
      <c r="A1028" s="47">
        <v>484</v>
      </c>
      <c r="B1028" s="9" t="str">
        <f>VLOOKUP(A1028,[1]characters!$A:$C,3,FALSE)</f>
        <v>ラグランジュ</v>
      </c>
      <c r="C1028" s="40" t="s">
        <v>26</v>
      </c>
      <c r="D1028" s="42" t="str">
        <f>A1028&amp;+(COUNTIF(A$32:A1028,A1028)-1)</f>
        <v>4842</v>
      </c>
      <c r="E1028" s="19" t="str">
        <f>VLOOKUP(D1028,unit_serifs_i18n!C:E,3,FALSE)</f>
        <v>maru</v>
      </c>
      <c r="F1028" s="19" t="str">
        <f>VLOOKUP(D1028,unit_serifs_i18n!C:F,4,FALSE)</f>
        <v>燃え尽きなさい</v>
      </c>
    </row>
    <row r="1029" spans="1:6" x14ac:dyDescent="0.15">
      <c r="A1029" s="11">
        <v>485</v>
      </c>
      <c r="B1029" s="9" t="str">
        <f>VLOOKUP(A1029,[1]characters!$A:$C,3,FALSE)</f>
        <v>超越自我 ラグランジュ</v>
      </c>
      <c r="C1029" s="3" t="s">
        <v>25</v>
      </c>
      <c r="D1029" s="42" t="str">
        <f>A1029&amp;+(COUNTIF(A$32:A1029,A1029)-1)</f>
        <v>4850</v>
      </c>
      <c r="E1029" s="19" t="str">
        <f>VLOOKUP(D1029,unit_serifs_i18n!C:E,3,FALSE)</f>
        <v>maru</v>
      </c>
      <c r="F1029" s="19" t="str">
        <f>VLOOKUP(D1029,unit_serifs_i18n!C:F,4,FALSE)</f>
        <v>解析完了、始めるわ</v>
      </c>
    </row>
    <row r="1030" spans="1:6" x14ac:dyDescent="0.15">
      <c r="A1030" s="47">
        <v>485</v>
      </c>
      <c r="B1030" s="9" t="str">
        <f>VLOOKUP(A1030,[1]characters!$A:$C,3,FALSE)</f>
        <v>超越自我 ラグランジュ</v>
      </c>
      <c r="C1030" s="40" t="s">
        <v>26</v>
      </c>
      <c r="D1030" s="42" t="str">
        <f>A1030&amp;+(COUNTIF(A$32:A1030,A1030)-1)</f>
        <v>4851</v>
      </c>
      <c r="E1030" s="19" t="str">
        <f>VLOOKUP(D1030,unit_serifs_i18n!C:E,3,FALSE)</f>
        <v>maru</v>
      </c>
      <c r="F1030" s="19" t="str">
        <f>VLOOKUP(D1030,unit_serifs_i18n!C:F,4,FALSE)</f>
        <v>これがエントロピーの最大</v>
      </c>
    </row>
    <row r="1031" spans="1:6" x14ac:dyDescent="0.15">
      <c r="A1031" s="47">
        <v>485</v>
      </c>
      <c r="B1031" s="9" t="str">
        <f>VLOOKUP(A1031,[1]characters!$A:$C,3,FALSE)</f>
        <v>超越自我 ラグランジュ</v>
      </c>
      <c r="C1031" s="40" t="s">
        <v>26</v>
      </c>
      <c r="D1031" s="46" t="str">
        <f>D1027</f>
        <v>4841</v>
      </c>
      <c r="E1031" s="19" t="str">
        <f>VLOOKUP(D1031,unit_serifs_i18n!C:E,3,FALSE)</f>
        <v>maru</v>
      </c>
      <c r="F1031" s="19" t="str">
        <f>VLOOKUP(D1031,unit_serifs_i18n!C:F,4,FALSE)</f>
        <v>星の声が聞こえる？</v>
      </c>
    </row>
    <row r="1032" spans="1:6" x14ac:dyDescent="0.15">
      <c r="A1032" s="47">
        <v>485</v>
      </c>
      <c r="B1032" s="9" t="str">
        <f>VLOOKUP(A1032,[1]characters!$A:$C,3,FALSE)</f>
        <v>超越自我 ラグランジュ</v>
      </c>
      <c r="C1032" s="40" t="s">
        <v>26</v>
      </c>
      <c r="D1032" s="46" t="str">
        <f>D1028</f>
        <v>4842</v>
      </c>
      <c r="E1032" s="19" t="str">
        <f>VLOOKUP(D1032,unit_serifs_i18n!C:E,3,FALSE)</f>
        <v>maru</v>
      </c>
      <c r="F1032" s="19" t="str">
        <f>VLOOKUP(D1032,unit_serifs_i18n!C:F,4,FALSE)</f>
        <v>燃え尽きなさい</v>
      </c>
    </row>
    <row r="1033" spans="1:6" x14ac:dyDescent="0.15">
      <c r="A1033" s="11">
        <v>486</v>
      </c>
      <c r="B1033" s="9" t="str">
        <f>VLOOKUP(A1033,[1]characters!$A:$C,3,FALSE)</f>
        <v>重なる世解 シュレディンガー</v>
      </c>
      <c r="C1033" s="3" t="s">
        <v>25</v>
      </c>
      <c r="D1033" s="42" t="str">
        <f>A1033&amp;+(COUNTIF(A$32:A1033,A1033)-1)</f>
        <v>4860</v>
      </c>
      <c r="E1033" s="19" t="str">
        <f>VLOOKUP(D1033,unit_serifs_i18n!C:E,3,FALSE)</f>
        <v>maru</v>
      </c>
      <c r="F1033" s="19" t="str">
        <f>VLOOKUP(D1033,unit_serifs_i18n!C:F,4,FALSE)</f>
        <v>さあ、矛盾を指摘するよ</v>
      </c>
    </row>
    <row r="1034" spans="1:6" x14ac:dyDescent="0.15">
      <c r="A1034" s="47">
        <v>486</v>
      </c>
      <c r="B1034" s="9" t="str">
        <f>VLOOKUP(A1034,[1]characters!$A:$C,3,FALSE)</f>
        <v>重なる世解 シュレディンガー</v>
      </c>
      <c r="C1034" s="40" t="s">
        <v>26</v>
      </c>
      <c r="D1034" s="42" t="str">
        <f>A1034&amp;+(COUNTIF(A$32:A1034,A1034)-1)</f>
        <v>4861</v>
      </c>
      <c r="E1034" s="19" t="str">
        <f>VLOOKUP(D1034,unit_serifs_i18n!C:E,3,FALSE)</f>
        <v>maru</v>
      </c>
      <c r="F1034" s="19" t="str">
        <f>VLOOKUP(D1034,unit_serifs_i18n!C:F,4,FALSE)</f>
        <v>生きてると思う？</v>
      </c>
    </row>
    <row r="1035" spans="1:6" x14ac:dyDescent="0.15">
      <c r="A1035" s="47">
        <v>486</v>
      </c>
      <c r="B1035" s="9" t="str">
        <f>VLOOKUP(A1035,[1]characters!$A:$C,3,FALSE)</f>
        <v>重なる世解 シュレディンガー</v>
      </c>
      <c r="C1035" s="40" t="s">
        <v>26</v>
      </c>
      <c r="D1035" s="42" t="str">
        <f>A1035&amp;+(COUNTIF(A$32:A1035,A1035)-1)</f>
        <v>4862</v>
      </c>
      <c r="E1035" s="19" t="str">
        <f>VLOOKUP(D1035,unit_serifs_i18n!C:E,3,FALSE)</f>
        <v>maru</v>
      </c>
      <c r="F1035" s="19" t="str">
        <f>VLOOKUP(D1035,unit_serifs_i18n!C:F,4,FALSE)</f>
        <v>死んでるのかな？</v>
      </c>
    </row>
    <row r="1036" spans="1:6" x14ac:dyDescent="0.15">
      <c r="A1036" s="47">
        <v>486</v>
      </c>
      <c r="B1036" s="9" t="str">
        <f>VLOOKUP(A1036,[1]characters!$A:$C,3,FALSE)</f>
        <v>重なる世解 シュレディンガー</v>
      </c>
      <c r="C1036" s="40" t="s">
        <v>26</v>
      </c>
      <c r="D1036" s="42" t="str">
        <f>A1036&amp;+(COUNTIF(A$32:A1036,A1036)-1)</f>
        <v>4863</v>
      </c>
      <c r="E1036" s="19" t="str">
        <f>VLOOKUP(D1036,unit_serifs_i18n!C:E,3,FALSE)</f>
        <v>maru</v>
      </c>
      <c r="F1036" s="19" t="str">
        <f>VLOOKUP(D1036,unit_serifs_i18n!C:F,4,FALSE)</f>
        <v>どっちだろうね</v>
      </c>
    </row>
    <row r="1037" spans="1:6" x14ac:dyDescent="0.15">
      <c r="A1037" s="11">
        <v>797</v>
      </c>
      <c r="B1037" s="9" t="str">
        <f>VLOOKUP(A1037,[1]characters!$A:$C,3,FALSE)</f>
        <v>崩烙の世解 シュレディンガー</v>
      </c>
      <c r="C1037" s="3" t="s">
        <v>25</v>
      </c>
      <c r="D1037" s="42" t="str">
        <f>A1037&amp;+(COUNTIF(A$32:A1037,A1037)-1)</f>
        <v>7970</v>
      </c>
      <c r="E1037" s="19" t="str">
        <f>VLOOKUP(D1037,unit_serifs_i18n!C:E,3,FALSE)</f>
        <v>maru</v>
      </c>
      <c r="F1037" s="19" t="str">
        <f>VLOOKUP(D1037,unit_serifs_i18n!C:F,4,FALSE)</f>
        <v>君の「状態」はどうだい？</v>
      </c>
    </row>
    <row r="1038" spans="1:6" x14ac:dyDescent="0.15">
      <c r="A1038" s="11">
        <v>797</v>
      </c>
      <c r="B1038" s="9" t="str">
        <f>VLOOKUP(A1038,[1]characters!$A:$C,3,FALSE)</f>
        <v>崩烙の世解 シュレディンガー</v>
      </c>
      <c r="C1038" s="40" t="s">
        <v>26</v>
      </c>
      <c r="D1038" s="42" t="str">
        <f>A1038&amp;+(COUNTIF(A$32:A1038,A1038)-1)</f>
        <v>7971</v>
      </c>
      <c r="E1038" s="19" t="str">
        <f>VLOOKUP(D1038,unit_serifs_i18n!C:E,3,FALSE)</f>
        <v>maru</v>
      </c>
      <c r="F1038" s="19" t="str">
        <f>VLOOKUP(D1038,unit_serifs_i18n!C:F,4,FALSE)</f>
        <v>どちらにせよ、凄惨だよ</v>
      </c>
    </row>
    <row r="1039" spans="1:6" x14ac:dyDescent="0.15">
      <c r="A1039" s="11">
        <v>797</v>
      </c>
      <c r="B1039" s="9" t="str">
        <f>VLOOKUP(A1039,[1]characters!$A:$C,3,FALSE)</f>
        <v>崩烙の世解 シュレディンガー</v>
      </c>
      <c r="C1039" s="40" t="s">
        <v>26</v>
      </c>
      <c r="D1039" s="42" t="str">
        <f>D1034</f>
        <v>4861</v>
      </c>
      <c r="E1039" s="19" t="str">
        <f>VLOOKUP(D1039,unit_serifs_i18n!C:E,3,FALSE)</f>
        <v>maru</v>
      </c>
      <c r="F1039" s="19" t="str">
        <f>VLOOKUP(D1039,unit_serifs_i18n!C:F,4,FALSE)</f>
        <v>生きてると思う？</v>
      </c>
    </row>
    <row r="1040" spans="1:6" x14ac:dyDescent="0.15">
      <c r="A1040" s="11">
        <v>797</v>
      </c>
      <c r="B1040" s="9" t="str">
        <f>VLOOKUP(A1040,[1]characters!$A:$C,3,FALSE)</f>
        <v>崩烙の世解 シュレディンガー</v>
      </c>
      <c r="C1040" s="40" t="s">
        <v>26</v>
      </c>
      <c r="D1040" s="42" t="str">
        <f t="shared" ref="D1040:D1041" si="0">D1035</f>
        <v>4862</v>
      </c>
      <c r="E1040" s="19" t="str">
        <f>VLOOKUP(D1040,unit_serifs_i18n!C:E,3,FALSE)</f>
        <v>maru</v>
      </c>
      <c r="F1040" s="19" t="str">
        <f>VLOOKUP(D1040,unit_serifs_i18n!C:F,4,FALSE)</f>
        <v>死んでるのかな？</v>
      </c>
    </row>
    <row r="1041" spans="1:6" x14ac:dyDescent="0.15">
      <c r="A1041" s="11">
        <v>797</v>
      </c>
      <c r="B1041" s="9" t="str">
        <f>VLOOKUP(A1041,[1]characters!$A:$C,3,FALSE)</f>
        <v>崩烙の世解 シュレディンガー</v>
      </c>
      <c r="C1041" s="40" t="s">
        <v>26</v>
      </c>
      <c r="D1041" s="42" t="str">
        <f t="shared" si="0"/>
        <v>4863</v>
      </c>
      <c r="E1041" s="19" t="str">
        <f>VLOOKUP(D1041,unit_serifs_i18n!C:E,3,FALSE)</f>
        <v>maru</v>
      </c>
      <c r="F1041" s="19" t="str">
        <f>VLOOKUP(D1041,unit_serifs_i18n!C:F,4,FALSE)</f>
        <v>どっちだろうね</v>
      </c>
    </row>
    <row r="1042" spans="1:6" x14ac:dyDescent="0.15">
      <c r="A1042" s="47">
        <v>487</v>
      </c>
      <c r="B1042" s="9" t="str">
        <f>VLOOKUP(A1042,[1]characters!$A:$C,3,FALSE)</f>
        <v>暴創の造物 チューリング</v>
      </c>
      <c r="C1042" s="74" t="s">
        <v>25</v>
      </c>
      <c r="D1042" s="42" t="str">
        <f>A1042&amp;+(COUNTIF(A$32:A1042,A1042)-1)</f>
        <v>4870</v>
      </c>
      <c r="E1042" s="19" t="str">
        <f>VLOOKUP(D1042,unit_serifs_i18n!C:E,3,FALSE)</f>
        <v>maru</v>
      </c>
      <c r="F1042" s="19" t="str">
        <f>VLOOKUP(D1042,unit_serifs_i18n!C:F,4,FALSE)</f>
        <v>戦況を解読します…</v>
      </c>
    </row>
    <row r="1043" spans="1:6" x14ac:dyDescent="0.15">
      <c r="A1043" s="47">
        <v>487</v>
      </c>
      <c r="B1043" s="9" t="str">
        <f>VLOOKUP(A1043,[1]characters!$A:$C,3,FALSE)</f>
        <v>暴創の造物 チューリング</v>
      </c>
      <c r="C1043" s="55" t="s">
        <v>26</v>
      </c>
      <c r="D1043" s="42" t="str">
        <f>A1043&amp;+(COUNTIF(A$32:A1043,A1043)-1)</f>
        <v>4871</v>
      </c>
      <c r="E1043" s="19" t="str">
        <f>VLOOKUP(D1043,unit_serifs_i18n!C:E,3,FALSE)</f>
        <v>maru</v>
      </c>
      <c r="F1043" s="19" t="str">
        <f>VLOOKUP(D1043,unit_serifs_i18n!C:F,4,FALSE)</f>
        <v>対象を処理します…</v>
      </c>
    </row>
    <row r="1044" spans="1:6" x14ac:dyDescent="0.15">
      <c r="A1044" s="47">
        <v>487</v>
      </c>
      <c r="B1044" s="9" t="str">
        <f>VLOOKUP(A1044,[1]characters!$A:$C,3,FALSE)</f>
        <v>暴創の造物 チューリング</v>
      </c>
      <c r="C1044" s="55" t="s">
        <v>26</v>
      </c>
      <c r="D1044" s="42" t="str">
        <f>A1044&amp;+(COUNTIF(A$32:A1044,A1044)-1)</f>
        <v>4872</v>
      </c>
      <c r="E1044" s="19" t="str">
        <f>VLOOKUP(D1044,unit_serifs_i18n!C:E,3,FALSE)</f>
        <v>maru</v>
      </c>
      <c r="F1044" s="19" t="str">
        <f>VLOOKUP(D1044,unit_serifs_i18n!C:F,4,FALSE)</f>
        <v>デコード…</v>
      </c>
    </row>
    <row r="1045" spans="1:6" x14ac:dyDescent="0.15">
      <c r="A1045" s="47">
        <v>487</v>
      </c>
      <c r="B1045" s="9" t="str">
        <f>VLOOKUP(A1045,[1]characters!$A:$C,3,FALSE)</f>
        <v>暴創の造物 チューリング</v>
      </c>
      <c r="C1045" s="55" t="s">
        <v>26</v>
      </c>
      <c r="D1045" s="42" t="str">
        <f>A1045&amp;+(COUNTIF(A$32:A1045,A1045)-1)</f>
        <v>4873</v>
      </c>
      <c r="E1045" s="19" t="str">
        <f>VLOOKUP(D1045,unit_serifs_i18n!C:E,3,FALSE)</f>
        <v>maru</v>
      </c>
      <c r="F1045" s="19" t="str">
        <f>VLOOKUP(D1045,unit_serifs_i18n!C:F,4,FALSE)</f>
        <v>実行します…</v>
      </c>
    </row>
    <row r="1046" spans="1:6" x14ac:dyDescent="0.15">
      <c r="A1046" s="47">
        <v>799</v>
      </c>
      <c r="B1046" s="9" t="str">
        <f>VLOOKUP(A1046,[1]characters!$A:$C,3,FALSE)</f>
        <v>電讃の魔機 チューリング</v>
      </c>
      <c r="C1046" s="74" t="s">
        <v>25</v>
      </c>
      <c r="D1046" s="42" t="str">
        <f>A1046&amp;+(COUNTIF(A$32:A1046,A1046)-1)</f>
        <v>7990</v>
      </c>
      <c r="E1046" s="19" t="str">
        <f>VLOOKUP(D1046,unit_serifs_i18n!C:E,3,FALSE)</f>
        <v>maru</v>
      </c>
      <c r="F1046" s="19" t="str">
        <f>VLOOKUP(D1046,unit_serifs_i18n!C:F,4,FALSE)</f>
        <v>最終計算結果です…</v>
      </c>
    </row>
    <row r="1047" spans="1:6" x14ac:dyDescent="0.15">
      <c r="A1047" s="47">
        <v>799</v>
      </c>
      <c r="B1047" s="9" t="str">
        <f>VLOOKUP(A1047,[1]characters!$A:$C,3,FALSE)</f>
        <v>電讃の魔機 チューリング</v>
      </c>
      <c r="C1047" s="55" t="s">
        <v>26</v>
      </c>
      <c r="D1047" s="42" t="str">
        <f>A1047&amp;+(COUNTIF(A$32:A1047,A1047)-1)</f>
        <v>7991</v>
      </c>
      <c r="E1047" s="19" t="str">
        <f>VLOOKUP(D1047,unit_serifs_i18n!C:E,3,FALSE)</f>
        <v>maru</v>
      </c>
      <c r="F1047" s="19" t="str">
        <f>VLOOKUP(D1047,unit_serifs_i18n!C:F,4,FALSE)</f>
        <v>完全に破壊します…</v>
      </c>
    </row>
    <row r="1048" spans="1:6" x14ac:dyDescent="0.15">
      <c r="A1048" s="47">
        <v>799</v>
      </c>
      <c r="B1048" s="9" t="str">
        <f>VLOOKUP(A1048,[1]characters!$A:$C,3,FALSE)</f>
        <v>電讃の魔機 チューリング</v>
      </c>
      <c r="C1048" s="55" t="s">
        <v>26</v>
      </c>
      <c r="D1048" s="42" t="str">
        <f>D1043</f>
        <v>4871</v>
      </c>
      <c r="E1048" s="19" t="str">
        <f>VLOOKUP(D1048,unit_serifs_i18n!C:E,3,FALSE)</f>
        <v>maru</v>
      </c>
      <c r="F1048" s="19" t="str">
        <f>VLOOKUP(D1048,unit_serifs_i18n!C:F,4,FALSE)</f>
        <v>対象を処理します…</v>
      </c>
    </row>
    <row r="1049" spans="1:6" x14ac:dyDescent="0.15">
      <c r="A1049" s="47">
        <v>799</v>
      </c>
      <c r="B1049" s="9" t="str">
        <f>VLOOKUP(A1049,[1]characters!$A:$C,3,FALSE)</f>
        <v>電讃の魔機 チューリング</v>
      </c>
      <c r="C1049" s="55" t="s">
        <v>26</v>
      </c>
      <c r="D1049" s="42" t="str">
        <f>D1044</f>
        <v>4872</v>
      </c>
      <c r="E1049" s="19" t="str">
        <f>VLOOKUP(D1049,unit_serifs_i18n!C:E,3,FALSE)</f>
        <v>maru</v>
      </c>
      <c r="F1049" s="19" t="str">
        <f>VLOOKUP(D1049,unit_serifs_i18n!C:F,4,FALSE)</f>
        <v>デコード…</v>
      </c>
    </row>
    <row r="1050" spans="1:6" x14ac:dyDescent="0.15">
      <c r="A1050" s="47">
        <v>799</v>
      </c>
      <c r="B1050" s="9" t="str">
        <f>VLOOKUP(A1050,[1]characters!$A:$C,3,FALSE)</f>
        <v>電讃の魔機 チューリング</v>
      </c>
      <c r="C1050" s="55" t="s">
        <v>26</v>
      </c>
      <c r="D1050" s="42" t="str">
        <f>D1045</f>
        <v>4873</v>
      </c>
      <c r="E1050" s="19" t="str">
        <f>VLOOKUP(D1050,unit_serifs_i18n!C:E,3,FALSE)</f>
        <v>maru</v>
      </c>
      <c r="F1050" s="19" t="str">
        <f>VLOOKUP(D1050,unit_serifs_i18n!C:F,4,FALSE)</f>
        <v>実行します…</v>
      </c>
    </row>
    <row r="1051" spans="1:6" x14ac:dyDescent="0.15">
      <c r="A1051" s="11">
        <v>488</v>
      </c>
      <c r="B1051" s="9" t="str">
        <f>VLOOKUP(A1051,[1]characters!$A:$C,3,FALSE)</f>
        <v>直観の異論 ヘンペル</v>
      </c>
      <c r="C1051" s="3" t="s">
        <v>25</v>
      </c>
      <c r="D1051" s="42" t="str">
        <f>A1051&amp;+(COUNTIF(A$32:A1051,A1051)-1)</f>
        <v>4880</v>
      </c>
      <c r="E1051" s="19" t="str">
        <f>VLOOKUP(D1051,unit_serifs_i18n!C:E,3,FALSE)</f>
        <v>maru</v>
      </c>
      <c r="F1051" s="19" t="str">
        <f>VLOOKUP(D1051,unit_serifs_i18n!C:F,4,FALSE)</f>
        <v>ふふ…観点を変えようか</v>
      </c>
    </row>
    <row r="1052" spans="1:6" x14ac:dyDescent="0.15">
      <c r="A1052" s="39">
        <v>488</v>
      </c>
      <c r="B1052" s="9" t="str">
        <f>VLOOKUP(A1052,[1]characters!$A:$C,3,FALSE)</f>
        <v>直観の異論 ヘンペル</v>
      </c>
      <c r="C1052" s="40" t="s">
        <v>26</v>
      </c>
      <c r="D1052" s="42" t="str">
        <f>A1052&amp;+(COUNTIF(A$32:A1052,A1052)-1)</f>
        <v>4881</v>
      </c>
      <c r="E1052" s="19" t="str">
        <f>VLOOKUP(D1052,unit_serifs_i18n!C:E,3,FALSE)</f>
        <v>maru</v>
      </c>
      <c r="F1052" s="19" t="str">
        <f>VLOOKUP(D1052,unit_serifs_i18n!C:F,4,FALSE)</f>
        <v>見る必要はない</v>
      </c>
    </row>
    <row r="1053" spans="1:6" x14ac:dyDescent="0.15">
      <c r="A1053" s="39">
        <v>488</v>
      </c>
      <c r="B1053" s="9" t="str">
        <f>VLOOKUP(A1053,[1]characters!$A:$C,3,FALSE)</f>
        <v>直観の異論 ヘンペル</v>
      </c>
      <c r="C1053" s="40" t="s">
        <v>26</v>
      </c>
      <c r="D1053" s="42" t="str">
        <f>A1053&amp;+(COUNTIF(A$32:A1053,A1053)-1)</f>
        <v>4882</v>
      </c>
      <c r="E1053" s="19" t="str">
        <f>VLOOKUP(D1053,unit_serifs_i18n!C:E,3,FALSE)</f>
        <v>maru</v>
      </c>
      <c r="F1053" s="19" t="str">
        <f>VLOOKUP(D1053,unit_serifs_i18n!C:F,4,FALSE)</f>
        <v>数えきれるかい？</v>
      </c>
    </row>
    <row r="1054" spans="1:6" x14ac:dyDescent="0.15">
      <c r="A1054" s="39">
        <v>488</v>
      </c>
      <c r="B1054" s="9" t="str">
        <f>VLOOKUP(A1054,[1]characters!$A:$C,3,FALSE)</f>
        <v>直観の異論 ヘンペル</v>
      </c>
      <c r="C1054" s="40" t="s">
        <v>26</v>
      </c>
      <c r="D1054" s="42" t="str">
        <f>A1054&amp;+(COUNTIF(A$32:A1054,A1054)-1)</f>
        <v>4883</v>
      </c>
      <c r="E1054" s="19" t="str">
        <f>VLOOKUP(D1054,unit_serifs_i18n!C:E,3,FALSE)</f>
        <v>maru</v>
      </c>
      <c r="F1054" s="19" t="str">
        <f>VLOOKUP(D1054,unit_serifs_i18n!C:F,4,FALSE)</f>
        <v>証明終了だね</v>
      </c>
    </row>
    <row r="1055" spans="1:6" x14ac:dyDescent="0.15">
      <c r="A1055" s="11">
        <v>800</v>
      </c>
      <c r="B1055" s="9" t="str">
        <f>VLOOKUP(A1055,[1]characters!$A:$C,3,FALSE)</f>
        <v>蒼穹包む命題 ヘンペル</v>
      </c>
      <c r="C1055" s="3" t="s">
        <v>25</v>
      </c>
      <c r="D1055" s="42" t="str">
        <f>A1055&amp;+(COUNTIF(A$32:A1055,A1055)-1)</f>
        <v>8000</v>
      </c>
      <c r="E1055" s="19" t="str">
        <f>VLOOKUP(D1055,unit_serifs_i18n!C:E,3,FALSE)</f>
        <v>maru</v>
      </c>
      <c r="F1055" s="19" t="str">
        <f>VLOOKUP(D1055,unit_serifs_i18n!C:F,4,FALSE)</f>
        <v>さて…何色に見えるかな？</v>
      </c>
    </row>
    <row r="1056" spans="1:6" x14ac:dyDescent="0.15">
      <c r="A1056" s="11">
        <v>800</v>
      </c>
      <c r="B1056" s="9" t="str">
        <f>VLOOKUP(A1056,[1]characters!$A:$C,3,FALSE)</f>
        <v>蒼穹包む命題 ヘンペル</v>
      </c>
      <c r="C1056" s="40" t="s">
        <v>26</v>
      </c>
      <c r="D1056" s="42" t="str">
        <f>A1056&amp;+(COUNTIF(A$32:A1056,A1056)-1)</f>
        <v>8001</v>
      </c>
      <c r="E1056" s="19" t="str">
        <f>VLOOKUP(D1056,unit_serifs_i18n!C:E,3,FALSE)</f>
        <v>maru</v>
      </c>
      <c r="F1056" s="19" t="str">
        <f>VLOOKUP(D1056,unit_serifs_i18n!C:F,4,FALSE)</f>
        <v>見る必要はない</v>
      </c>
    </row>
    <row r="1057" spans="1:6" x14ac:dyDescent="0.15">
      <c r="A1057" s="11">
        <v>800</v>
      </c>
      <c r="B1057" s="9" t="str">
        <f>VLOOKUP(A1057,[1]characters!$A:$C,3,FALSE)</f>
        <v>蒼穹包む命題 ヘンペル</v>
      </c>
      <c r="C1057" s="40" t="s">
        <v>26</v>
      </c>
      <c r="D1057" s="42" t="str">
        <f>A1057&amp;+(COUNTIF(A$32:A1057,A1057)-1)</f>
        <v>8002</v>
      </c>
      <c r="E1057" s="19" t="str">
        <f>VLOOKUP(D1057,unit_serifs_i18n!C:E,3,FALSE)</f>
        <v>maru</v>
      </c>
      <c r="F1057" s="19" t="str">
        <f>VLOOKUP(D1057,unit_serifs_i18n!C:F,4,FALSE)</f>
        <v>数えきれるかい？</v>
      </c>
    </row>
    <row r="1058" spans="1:6" x14ac:dyDescent="0.15">
      <c r="A1058" s="11">
        <v>800</v>
      </c>
      <c r="B1058" s="9" t="str">
        <f>VLOOKUP(A1058,[1]characters!$A:$C,3,FALSE)</f>
        <v>蒼穹包む命題 ヘンペル</v>
      </c>
      <c r="C1058" s="40" t="s">
        <v>26</v>
      </c>
      <c r="D1058" s="42" t="str">
        <f>A1058&amp;+(COUNTIF(A$32:A1058,A1058)-1)</f>
        <v>8003</v>
      </c>
      <c r="E1058" s="19" t="str">
        <f>VLOOKUP(D1058,unit_serifs_i18n!C:E,3,FALSE)</f>
        <v>maru</v>
      </c>
      <c r="F1058" s="19" t="str">
        <f>VLOOKUP(D1058,unit_serifs_i18n!C:F,4,FALSE)</f>
        <v>証明終了だね</v>
      </c>
    </row>
    <row r="1059" spans="1:6" x14ac:dyDescent="0.15">
      <c r="A1059" s="11">
        <v>800</v>
      </c>
      <c r="B1059" s="9" t="str">
        <f>VLOOKUP(A1059,[1]characters!$A:$C,3,FALSE)</f>
        <v>蒼穹包む命題 ヘンペル</v>
      </c>
      <c r="C1059" s="40" t="s">
        <v>26</v>
      </c>
      <c r="D1059" s="42" t="str">
        <f>A1059&amp;+(COUNTIF(A$32:A1059,A1059)-1)</f>
        <v>8004</v>
      </c>
      <c r="E1059" s="19" t="str">
        <f>VLOOKUP(D1059,unit_serifs_i18n!C:E,3,FALSE)</f>
        <v>maru</v>
      </c>
      <c r="F1059" s="19" t="str">
        <f>VLOOKUP(D1059,unit_serifs_i18n!C:F,4,FALSE)</f>
        <v>真実を受け入れるんだね</v>
      </c>
    </row>
    <row r="1060" spans="1:6" x14ac:dyDescent="0.15">
      <c r="A1060" s="11">
        <v>489</v>
      </c>
      <c r="B1060" s="9" t="str">
        <f>VLOOKUP(A1060,[1]characters!$A:$C,3,FALSE)</f>
        <v>宇宙の拡超 ハップル</v>
      </c>
      <c r="C1060" s="74" t="s">
        <v>1029</v>
      </c>
      <c r="D1060" s="42" t="str">
        <f>A1060&amp;+(COUNTIF(A$32:A1060,A1060)-1)</f>
        <v>4890</v>
      </c>
      <c r="E1060" s="19" t="str">
        <f>VLOOKUP(D1060,unit_serifs_i18n!C:E,3,FALSE)</f>
        <v>maru</v>
      </c>
      <c r="F1060" s="19" t="str">
        <f>VLOOKUP(D1060,unit_serifs_i18n!C:F,4,FALSE)</f>
        <v>銀河の輝き、見せてあげるわ！</v>
      </c>
    </row>
    <row r="1061" spans="1:6" x14ac:dyDescent="0.15">
      <c r="A1061" s="11">
        <v>489</v>
      </c>
      <c r="B1061" s="9" t="str">
        <f>VLOOKUP(A1061,[1]characters!$A:$C,3,FALSE)</f>
        <v>宇宙の拡超 ハップル</v>
      </c>
      <c r="C1061" s="55" t="s">
        <v>26</v>
      </c>
      <c r="D1061" s="42" t="str">
        <f>A1061&amp;+(COUNTIF(A$32:A1061,A1061)-1)</f>
        <v>4891</v>
      </c>
      <c r="E1061" s="19" t="str">
        <f>VLOOKUP(D1061,unit_serifs_i18n!C:E,3,FALSE)</f>
        <v>maru</v>
      </c>
      <c r="F1061" s="19" t="str">
        <f>VLOOKUP(D1061,unit_serifs_i18n!C:F,4,FALSE)</f>
        <v>輝く銀河のように！</v>
      </c>
    </row>
    <row r="1062" spans="1:6" x14ac:dyDescent="0.15">
      <c r="A1062" s="11">
        <v>489</v>
      </c>
      <c r="B1062" s="9" t="str">
        <f>VLOOKUP(A1062,[1]characters!$A:$C,3,FALSE)</f>
        <v>宇宙の拡超 ハップル</v>
      </c>
      <c r="C1062" s="55" t="s">
        <v>26</v>
      </c>
      <c r="D1062" s="42" t="str">
        <f>A1062&amp;+(COUNTIF(A$32:A1062,A1062)-1)</f>
        <v>4892</v>
      </c>
      <c r="E1062" s="19" t="str">
        <f>VLOOKUP(D1062,unit_serifs_i18n!C:E,3,FALSE)</f>
        <v>maru</v>
      </c>
      <c r="F1062" s="19" t="str">
        <f>VLOOKUP(D1062,unit_serifs_i18n!C:F,4,FALSE)</f>
        <v>あの星まで届け！</v>
      </c>
    </row>
    <row r="1063" spans="1:6" x14ac:dyDescent="0.15">
      <c r="A1063" s="11">
        <v>489</v>
      </c>
      <c r="B1063" s="9" t="str">
        <f>VLOOKUP(A1063,[1]characters!$A:$C,3,FALSE)</f>
        <v>宇宙の拡超 ハップル</v>
      </c>
      <c r="C1063" s="55" t="s">
        <v>26</v>
      </c>
      <c r="D1063" s="42" t="str">
        <f>A1063&amp;+(COUNTIF(A$32:A1063,A1063)-1)</f>
        <v>4893</v>
      </c>
      <c r="E1063" s="19" t="str">
        <f>VLOOKUP(D1063,unit_serifs_i18n!C:E,3,FALSE)</f>
        <v>maru</v>
      </c>
      <c r="F1063" s="19" t="str">
        <f>VLOOKUP(D1063,unit_serifs_i18n!C:F,4,FALSE)</f>
        <v>宇宙を感じなさい！</v>
      </c>
    </row>
    <row r="1064" spans="1:6" x14ac:dyDescent="0.15">
      <c r="A1064" s="11">
        <v>803</v>
      </c>
      <c r="B1064" s="9" t="str">
        <f>VLOOKUP(A1064,[1]characters!$A:$C,3,FALSE)</f>
        <v>大宇宙の膨超 ハップル</v>
      </c>
      <c r="C1064" s="74" t="s">
        <v>1029</v>
      </c>
      <c r="D1064" s="42" t="str">
        <f>A1064&amp;+(COUNTIF(A$32:A1064,A1064)-1)</f>
        <v>8030</v>
      </c>
      <c r="E1064" s="19" t="str">
        <f>VLOOKUP(D1064,unit_serifs_i18n!C:E,3,FALSE)</f>
        <v>giza</v>
      </c>
      <c r="F1064" s="19" t="str">
        <f>VLOOKUP(D1064,unit_serifs_i18n!C:F,4,FALSE)</f>
        <v>見上げてみれば解るわ…！</v>
      </c>
    </row>
    <row r="1065" spans="1:6" x14ac:dyDescent="0.15">
      <c r="A1065" s="11">
        <v>803</v>
      </c>
      <c r="B1065" s="9" t="str">
        <f>VLOOKUP(A1065,[1]characters!$A:$C,3,FALSE)</f>
        <v>大宇宙の膨超 ハップル</v>
      </c>
      <c r="C1065" s="55" t="s">
        <v>26</v>
      </c>
      <c r="D1065" s="42" t="str">
        <f>A1065&amp;+(COUNTIF(A$32:A1065,A1065)-1)</f>
        <v>8031</v>
      </c>
      <c r="E1065" s="19" t="str">
        <f>VLOOKUP(D1065,unit_serifs_i18n!C:E,3,FALSE)</f>
        <v>giza</v>
      </c>
      <c r="F1065" s="19" t="str">
        <f>VLOOKUP(D1065,unit_serifs_i18n!C:F,4,FALSE)</f>
        <v>残念！もう掴んだわ！</v>
      </c>
    </row>
    <row r="1066" spans="1:6" x14ac:dyDescent="0.15">
      <c r="A1066" s="11">
        <v>803</v>
      </c>
      <c r="B1066" s="9" t="str">
        <f>VLOOKUP(A1066,[1]characters!$A:$C,3,FALSE)</f>
        <v>大宇宙の膨超 ハップル</v>
      </c>
      <c r="C1066" s="55" t="s">
        <v>26</v>
      </c>
      <c r="D1066" s="42" t="str">
        <f>D1061</f>
        <v>4891</v>
      </c>
      <c r="E1066" s="19" t="str">
        <f>VLOOKUP(D1066,unit_serifs_i18n!C:E,3,FALSE)</f>
        <v>maru</v>
      </c>
      <c r="F1066" s="19" t="str">
        <f>VLOOKUP(D1066,unit_serifs_i18n!C:F,4,FALSE)</f>
        <v>輝く銀河のように！</v>
      </c>
    </row>
    <row r="1067" spans="1:6" x14ac:dyDescent="0.15">
      <c r="A1067" s="11">
        <v>803</v>
      </c>
      <c r="B1067" s="9" t="str">
        <f>VLOOKUP(A1067,[1]characters!$A:$C,3,FALSE)</f>
        <v>大宇宙の膨超 ハップル</v>
      </c>
      <c r="C1067" s="55" t="s">
        <v>26</v>
      </c>
      <c r="D1067" s="42" t="str">
        <f>D1062</f>
        <v>4892</v>
      </c>
      <c r="E1067" s="19" t="str">
        <f>VLOOKUP(D1067,unit_serifs_i18n!C:E,3,FALSE)</f>
        <v>maru</v>
      </c>
      <c r="F1067" s="19" t="str">
        <f>VLOOKUP(D1067,unit_serifs_i18n!C:F,4,FALSE)</f>
        <v>あの星まで届け！</v>
      </c>
    </row>
    <row r="1068" spans="1:6" x14ac:dyDescent="0.15">
      <c r="A1068" s="11">
        <v>803</v>
      </c>
      <c r="B1068" s="9" t="str">
        <f>VLOOKUP(A1068,[1]characters!$A:$C,3,FALSE)</f>
        <v>大宇宙の膨超 ハップル</v>
      </c>
      <c r="C1068" s="55" t="s">
        <v>26</v>
      </c>
      <c r="D1068" s="42" t="str">
        <f>D1063</f>
        <v>4893</v>
      </c>
      <c r="E1068" s="19" t="str">
        <f>VLOOKUP(D1068,unit_serifs_i18n!C:E,3,FALSE)</f>
        <v>maru</v>
      </c>
      <c r="F1068" s="19" t="str">
        <f>VLOOKUP(D1068,unit_serifs_i18n!C:F,4,FALSE)</f>
        <v>宇宙を感じなさい！</v>
      </c>
    </row>
    <row r="1069" spans="1:6" x14ac:dyDescent="0.15">
      <c r="A1069" s="11">
        <v>490</v>
      </c>
      <c r="B1069" s="9" t="str">
        <f>VLOOKUP(A1069,[1]characters!$A:$C,3,FALSE)</f>
        <v>グリム</v>
      </c>
      <c r="C1069" s="73" t="s">
        <v>951</v>
      </c>
      <c r="D1069" s="42" t="str">
        <f>A1069&amp;+(COUNTIF(A$32:A1069,A1069)-1)</f>
        <v>4900</v>
      </c>
      <c r="E1069" s="19" t="str">
        <f>VLOOKUP(D1069,unit_serifs_i18n!C:E,3,FALSE)</f>
        <v>maru</v>
      </c>
      <c r="F1069" s="19" t="str">
        <f>VLOOKUP(D1069,unit_serifs_i18n!C:F,4,FALSE)</f>
        <v>コレクションにしてやろう…！</v>
      </c>
    </row>
    <row r="1070" spans="1:6" x14ac:dyDescent="0.15">
      <c r="A1070" s="11">
        <v>490</v>
      </c>
      <c r="B1070" s="9" t="str">
        <f>VLOOKUP(A1070,[1]characters!$A:$C,3,FALSE)</f>
        <v>グリム</v>
      </c>
      <c r="C1070" s="40" t="s">
        <v>26</v>
      </c>
      <c r="D1070" s="42" t="str">
        <f>A1070&amp;+(COUNTIF(A$32:A1070,A1070)-1)</f>
        <v>4901</v>
      </c>
      <c r="E1070" s="19" t="str">
        <f>VLOOKUP(D1070,unit_serifs_i18n!C:E,3,FALSE)</f>
        <v>giza</v>
      </c>
      <c r="F1070" s="19" t="str">
        <f>VLOOKUP(D1070,unit_serifs_i18n!C:F,4,FALSE)</f>
        <v>興味が湧いたぞ！</v>
      </c>
    </row>
    <row r="1071" spans="1:6" x14ac:dyDescent="0.15">
      <c r="A1071" s="11">
        <v>490</v>
      </c>
      <c r="B1071" s="9" t="str">
        <f>VLOOKUP(A1071,[1]characters!$A:$C,3,FALSE)</f>
        <v>グリム</v>
      </c>
      <c r="C1071" s="40" t="s">
        <v>26</v>
      </c>
      <c r="D1071" s="42" t="str">
        <f>A1071&amp;+(COUNTIF(A$32:A1071,A1071)-1)</f>
        <v>4902</v>
      </c>
      <c r="E1071" s="19" t="str">
        <f>VLOOKUP(D1071,unit_serifs_i18n!C:E,3,FALSE)</f>
        <v>maru</v>
      </c>
      <c r="F1071" s="19" t="str">
        <f>VLOOKUP(D1071,unit_serifs_i18n!C:F,4,FALSE)</f>
        <v>新たな１ページだ</v>
      </c>
    </row>
    <row r="1072" spans="1:6" x14ac:dyDescent="0.15">
      <c r="A1072" s="11">
        <v>491</v>
      </c>
      <c r="B1072" s="9" t="str">
        <f>VLOOKUP(A1072,[1]characters!$A:$C,3,FALSE)</f>
        <v>収魂の群影 グリム</v>
      </c>
      <c r="C1072" s="73" t="s">
        <v>989</v>
      </c>
      <c r="D1072" s="42" t="str">
        <f>A1072&amp;+(COUNTIF(A$32:A1072,A1072)-1)</f>
        <v>4910</v>
      </c>
      <c r="E1072" s="19" t="str">
        <f>VLOOKUP(D1072,unit_serifs_i18n!C:E,3,FALSE)</f>
        <v>maru</v>
      </c>
      <c r="F1072" s="19" t="str">
        <f>VLOOKUP(D1072,unit_serifs_i18n!C:F,4,FALSE)</f>
        <v>これで僕の思い通りだ…！</v>
      </c>
    </row>
    <row r="1073" spans="1:6" x14ac:dyDescent="0.15">
      <c r="A1073" s="11">
        <v>491</v>
      </c>
      <c r="B1073" s="9" t="str">
        <f>VLOOKUP(A1073,[1]characters!$A:$C,3,FALSE)</f>
        <v>収魂の群影 グリム</v>
      </c>
      <c r="C1073" s="40" t="s">
        <v>26</v>
      </c>
      <c r="D1073" s="42" t="str">
        <f>A1073&amp;+(COUNTIF(A$32:A1073,A1073)-1)</f>
        <v>4911</v>
      </c>
      <c r="E1073" s="19" t="str">
        <f>VLOOKUP(D1073,unit_serifs_i18n!C:E,3,FALSE)</f>
        <v>giza</v>
      </c>
      <c r="F1073" s="19" t="str">
        <f>VLOOKUP(D1073,unit_serifs_i18n!C:F,4,FALSE)</f>
        <v>キャッチ＆コレクション！</v>
      </c>
    </row>
    <row r="1074" spans="1:6" x14ac:dyDescent="0.15">
      <c r="A1074" s="11">
        <v>491</v>
      </c>
      <c r="B1074" s="9" t="str">
        <f>VLOOKUP(A1074,[1]characters!$A:$C,3,FALSE)</f>
        <v>収魂の群影 グリム</v>
      </c>
      <c r="C1074" s="40" t="s">
        <v>26</v>
      </c>
      <c r="D1074" s="46" t="str">
        <f>D1070</f>
        <v>4901</v>
      </c>
      <c r="E1074" s="19" t="str">
        <f>VLOOKUP(D1074,unit_serifs_i18n!C:E,3,FALSE)</f>
        <v>giza</v>
      </c>
      <c r="F1074" s="19" t="str">
        <f>VLOOKUP(D1074,unit_serifs_i18n!C:F,4,FALSE)</f>
        <v>興味が湧いたぞ！</v>
      </c>
    </row>
    <row r="1075" spans="1:6" x14ac:dyDescent="0.15">
      <c r="A1075" s="11">
        <v>491</v>
      </c>
      <c r="B1075" s="9" t="str">
        <f>VLOOKUP(A1075,[1]characters!$A:$C,3,FALSE)</f>
        <v>収魂の群影 グリム</v>
      </c>
      <c r="C1075" s="40" t="s">
        <v>26</v>
      </c>
      <c r="D1075" s="46" t="str">
        <f>D1071</f>
        <v>4902</v>
      </c>
      <c r="E1075" s="19" t="str">
        <f>VLOOKUP(D1075,unit_serifs_i18n!C:E,3,FALSE)</f>
        <v>maru</v>
      </c>
      <c r="F1075" s="19" t="str">
        <f>VLOOKUP(D1075,unit_serifs_i18n!C:F,4,FALSE)</f>
        <v>新たな１ページだ</v>
      </c>
    </row>
    <row r="1076" spans="1:6" x14ac:dyDescent="0.15">
      <c r="A1076" s="11">
        <v>822</v>
      </c>
      <c r="B1076" s="9" t="str">
        <f>VLOOKUP(A1076,[1]characters!$A:$C,3,FALSE)</f>
        <v>操魂の蒐集家 グリム</v>
      </c>
      <c r="C1076" s="73" t="s">
        <v>951</v>
      </c>
      <c r="D1076" s="42" t="str">
        <f>A1076&amp;+(COUNTIF(A$32:A1076,A1076)-1)</f>
        <v>8220</v>
      </c>
      <c r="E1076" s="19" t="str">
        <f>VLOOKUP(D1076,unit_serifs_i18n!C:E,3,FALSE)</f>
        <v>maru</v>
      </c>
      <c r="F1076" s="19" t="str">
        <f>VLOOKUP(D1076,unit_serifs_i18n!C:F,4,FALSE)</f>
        <v>悪いようにはしないさ…！</v>
      </c>
    </row>
    <row r="1077" spans="1:6" x14ac:dyDescent="0.15">
      <c r="A1077" s="11">
        <v>822</v>
      </c>
      <c r="B1077" s="9" t="str">
        <f>VLOOKUP(A1077,[1]characters!$A:$C,3,FALSE)</f>
        <v>操魂の蒐集家 グリム</v>
      </c>
      <c r="C1077" s="40" t="s">
        <v>26</v>
      </c>
      <c r="D1077" s="42" t="str">
        <f>A1077&amp;+(COUNTIF(A$32:A1077,A1077)-1)</f>
        <v>8221</v>
      </c>
      <c r="E1077" s="19" t="str">
        <f>VLOOKUP(D1077,unit_serifs_i18n!C:E,3,FALSE)</f>
        <v>giza</v>
      </c>
      <c r="F1077" s="19" t="str">
        <f>VLOOKUP(D1077,unit_serifs_i18n!C:F,4,FALSE)</f>
        <v>特別だ！全部見せよう！</v>
      </c>
    </row>
    <row r="1078" spans="1:6" x14ac:dyDescent="0.15">
      <c r="A1078" s="11">
        <v>822</v>
      </c>
      <c r="B1078" s="9" t="str">
        <f>VLOOKUP(A1078,[1]characters!$A:$C,3,FALSE)</f>
        <v>操魂の蒐集家 グリム</v>
      </c>
      <c r="C1078" s="40" t="s">
        <v>26</v>
      </c>
      <c r="D1078" s="46" t="str">
        <f>D1074</f>
        <v>4901</v>
      </c>
      <c r="E1078" s="19" t="str">
        <f>VLOOKUP(D1078,unit_serifs_i18n!C:E,3,FALSE)</f>
        <v>giza</v>
      </c>
      <c r="F1078" s="19" t="str">
        <f>VLOOKUP(D1078,unit_serifs_i18n!C:F,4,FALSE)</f>
        <v>興味が湧いたぞ！</v>
      </c>
    </row>
    <row r="1079" spans="1:6" x14ac:dyDescent="0.15">
      <c r="A1079" s="11">
        <v>822</v>
      </c>
      <c r="B1079" s="9" t="str">
        <f>VLOOKUP(A1079,[1]characters!$A:$C,3,FALSE)</f>
        <v>操魂の蒐集家 グリム</v>
      </c>
      <c r="C1079" s="40" t="s">
        <v>26</v>
      </c>
      <c r="D1079" s="46" t="str">
        <f>D1075</f>
        <v>4902</v>
      </c>
      <c r="E1079" s="19" t="str">
        <f>VLOOKUP(D1079,unit_serifs_i18n!C:E,3,FALSE)</f>
        <v>maru</v>
      </c>
      <c r="F1079" s="19" t="str">
        <f>VLOOKUP(D1079,unit_serifs_i18n!C:F,4,FALSE)</f>
        <v>新たな１ページだ</v>
      </c>
    </row>
    <row r="1080" spans="1:6" x14ac:dyDescent="0.15">
      <c r="A1080" s="11">
        <v>822</v>
      </c>
      <c r="B1080" s="9" t="str">
        <f>VLOOKUP(A1080,[1]characters!$A:$C,3,FALSE)</f>
        <v>操魂の蒐集家 グリム</v>
      </c>
      <c r="C1080" s="40" t="s">
        <v>26</v>
      </c>
      <c r="D1080" s="46" t="str">
        <f>D1073</f>
        <v>4911</v>
      </c>
      <c r="E1080" s="19" t="str">
        <f>VLOOKUP(D1080,unit_serifs_i18n!C:E,3,FALSE)</f>
        <v>giza</v>
      </c>
      <c r="F1080" s="19" t="str">
        <f>VLOOKUP(D1080,unit_serifs_i18n!C:F,4,FALSE)</f>
        <v>キャッチ＆コレクション！</v>
      </c>
    </row>
    <row r="1081" spans="1:6" x14ac:dyDescent="0.15">
      <c r="A1081" s="11">
        <v>492</v>
      </c>
      <c r="B1081" s="9" t="str">
        <f>VLOOKUP(A1081,[1]characters!$A:$C,3,FALSE)</f>
        <v>ブートレグ・ペロー</v>
      </c>
      <c r="C1081" s="73" t="s">
        <v>951</v>
      </c>
      <c r="D1081" s="42" t="str">
        <f>A1081&amp;+(COUNTIF(A$32:A1081,A1081)-1)</f>
        <v>4920</v>
      </c>
      <c r="E1081" s="19" t="str">
        <f>VLOOKUP(D1081,unit_serifs_i18n!C:E,3,FALSE)</f>
        <v>maru</v>
      </c>
      <c r="F1081" s="19" t="str">
        <f>VLOOKUP(D1081,unit_serifs_i18n!C:F,4,FALSE)</f>
        <v>ひっかき回してやるニャ！</v>
      </c>
    </row>
    <row r="1082" spans="1:6" x14ac:dyDescent="0.15">
      <c r="A1082" s="11">
        <v>492</v>
      </c>
      <c r="B1082" s="9" t="str">
        <f>VLOOKUP(A1082,[1]characters!$A:$C,3,FALSE)</f>
        <v>ブートレグ・ペロー</v>
      </c>
      <c r="C1082" s="40" t="s">
        <v>26</v>
      </c>
      <c r="D1082" s="42" t="str">
        <f>A1082&amp;+(COUNTIF(A$32:A1082,A1082)-1)</f>
        <v>4921</v>
      </c>
      <c r="E1082" s="19" t="str">
        <f>VLOOKUP(D1082,unit_serifs_i18n!C:E,3,FALSE)</f>
        <v>giza</v>
      </c>
      <c r="F1082" s="19" t="str">
        <f>VLOOKUP(D1082,unit_serifs_i18n!C:F,4,FALSE)</f>
        <v>めざわりだニャ−！</v>
      </c>
    </row>
    <row r="1083" spans="1:6" x14ac:dyDescent="0.15">
      <c r="A1083" s="11">
        <v>492</v>
      </c>
      <c r="B1083" s="9" t="str">
        <f>VLOOKUP(A1083,[1]characters!$A:$C,3,FALSE)</f>
        <v>ブートレグ・ペロー</v>
      </c>
      <c r="C1083" s="40" t="s">
        <v>26</v>
      </c>
      <c r="D1083" s="42" t="str">
        <f>A1083&amp;+(COUNTIF(A$32:A1083,A1083)-1)</f>
        <v>4922</v>
      </c>
      <c r="E1083" s="19" t="str">
        <f>VLOOKUP(D1083,unit_serifs_i18n!C:E,3,FALSE)</f>
        <v>maru</v>
      </c>
      <c r="F1083" s="19" t="str">
        <f>VLOOKUP(D1083,unit_serifs_i18n!C:F,4,FALSE)</f>
        <v>からかってやるかニャ</v>
      </c>
    </row>
    <row r="1084" spans="1:6" x14ac:dyDescent="0.15">
      <c r="A1084" s="11">
        <v>493</v>
      </c>
      <c r="B1084" s="9" t="str">
        <f>VLOOKUP(A1084,[1]characters!$A:$C,3,FALSE)</f>
        <v>跋扈の機脚 ブートレグ・ペロー</v>
      </c>
      <c r="C1084" s="73" t="s">
        <v>989</v>
      </c>
      <c r="D1084" s="42" t="str">
        <f>A1084&amp;+(COUNTIF(A$32:A1084,A1084)-1)</f>
        <v>4930</v>
      </c>
      <c r="E1084" s="19" t="str">
        <f>VLOOKUP(D1084,unit_serifs_i18n!C:E,3,FALSE)</f>
        <v>maru</v>
      </c>
      <c r="F1084" s="19" t="str">
        <f>VLOOKUP(D1084,unit_serifs_i18n!C:F,4,FALSE)</f>
        <v>ボクの本領発揮だニャ！？</v>
      </c>
    </row>
    <row r="1085" spans="1:6" x14ac:dyDescent="0.15">
      <c r="A1085" s="11">
        <v>493</v>
      </c>
      <c r="B1085" s="9" t="str">
        <f>VLOOKUP(A1085,[1]characters!$A:$C,3,FALSE)</f>
        <v>跋扈の機脚 ブートレグ・ペロー</v>
      </c>
      <c r="C1085" s="40" t="s">
        <v>26</v>
      </c>
      <c r="D1085" s="42" t="str">
        <f>A1085&amp;+(COUNTIF(A$32:A1085,A1085)-1)</f>
        <v>4931</v>
      </c>
      <c r="E1085" s="19" t="str">
        <f>VLOOKUP(D1085,unit_serifs_i18n!C:E,3,FALSE)</f>
        <v>giza</v>
      </c>
      <c r="F1085" s="19" t="str">
        <f>VLOOKUP(D1085,unit_serifs_i18n!C:F,4,FALSE)</f>
        <v>ボクの縄張りニャ！</v>
      </c>
    </row>
    <row r="1086" spans="1:6" x14ac:dyDescent="0.15">
      <c r="A1086" s="11">
        <v>493</v>
      </c>
      <c r="B1086" s="9" t="str">
        <f>VLOOKUP(A1086,[1]characters!$A:$C,3,FALSE)</f>
        <v>跋扈の機脚 ブートレグ・ペロー</v>
      </c>
      <c r="C1086" s="40" t="s">
        <v>26</v>
      </c>
      <c r="D1086" s="46" t="str">
        <f>D1082</f>
        <v>4921</v>
      </c>
      <c r="E1086" s="19" t="str">
        <f>VLOOKUP(D1086,unit_serifs_i18n!C:E,3,FALSE)</f>
        <v>giza</v>
      </c>
      <c r="F1086" s="19" t="str">
        <f>VLOOKUP(D1086,unit_serifs_i18n!C:F,4,FALSE)</f>
        <v>めざわりだニャ−！</v>
      </c>
    </row>
    <row r="1087" spans="1:6" x14ac:dyDescent="0.15">
      <c r="A1087" s="11">
        <v>493</v>
      </c>
      <c r="B1087" s="9" t="str">
        <f>VLOOKUP(A1087,[1]characters!$A:$C,3,FALSE)</f>
        <v>跋扈の機脚 ブートレグ・ペロー</v>
      </c>
      <c r="C1087" s="40" t="s">
        <v>26</v>
      </c>
      <c r="D1087" s="46" t="str">
        <f>D1083</f>
        <v>4922</v>
      </c>
      <c r="E1087" s="19" t="str">
        <f>VLOOKUP(D1087,unit_serifs_i18n!C:E,3,FALSE)</f>
        <v>maru</v>
      </c>
      <c r="F1087" s="19" t="str">
        <f>VLOOKUP(D1087,unit_serifs_i18n!C:F,4,FALSE)</f>
        <v>からかってやるかニャ</v>
      </c>
    </row>
    <row r="1088" spans="1:6" x14ac:dyDescent="0.15">
      <c r="A1088" s="11">
        <v>821</v>
      </c>
      <c r="B1088" s="9" t="str">
        <f>VLOOKUP(A1088,[1]characters!$A:$C,3,FALSE)</f>
        <v>急蹴の硬機脚 ブートレグ・ペロー</v>
      </c>
      <c r="C1088" s="73" t="s">
        <v>989</v>
      </c>
      <c r="D1088" s="42" t="str">
        <f>A1088&amp;+(COUNTIF(A$32:A1088,A1088)-1)</f>
        <v>8210</v>
      </c>
      <c r="E1088" s="19" t="str">
        <f>VLOOKUP(D1088,unit_serifs_i18n!C:E,3,FALSE)</f>
        <v>maru</v>
      </c>
      <c r="F1088" s="19" t="str">
        <f>VLOOKUP(D1088,unit_serifs_i18n!C:F,4,FALSE)</f>
        <v>ここから巻き返しだニャ！</v>
      </c>
    </row>
    <row r="1089" spans="1:6" x14ac:dyDescent="0.15">
      <c r="A1089" s="11">
        <v>821</v>
      </c>
      <c r="B1089" s="9" t="str">
        <f>VLOOKUP(A1089,[1]characters!$A:$C,3,FALSE)</f>
        <v>急蹴の硬機脚 ブートレグ・ペロー</v>
      </c>
      <c r="C1089" s="40" t="s">
        <v>26</v>
      </c>
      <c r="D1089" s="42" t="str">
        <f>A1089&amp;+(COUNTIF(A$32:A1089,A1089)-1)</f>
        <v>8211</v>
      </c>
      <c r="E1089" s="19" t="str">
        <f>VLOOKUP(D1089,unit_serifs_i18n!C:E,3,FALSE)</f>
        <v>giza</v>
      </c>
      <c r="F1089" s="19" t="str">
        <f>VLOOKUP(D1089,unit_serifs_i18n!C:F,4,FALSE)</f>
        <v>倒れてもらうニャー！</v>
      </c>
    </row>
    <row r="1090" spans="1:6" x14ac:dyDescent="0.15">
      <c r="A1090" s="11">
        <v>821</v>
      </c>
      <c r="B1090" s="9" t="str">
        <f>VLOOKUP(A1090,[1]characters!$A:$C,3,FALSE)</f>
        <v>急蹴の硬機脚 ブートレグ・ペロー</v>
      </c>
      <c r="C1090" s="40" t="s">
        <v>26</v>
      </c>
      <c r="D1090" s="46" t="str">
        <f>D1086</f>
        <v>4921</v>
      </c>
      <c r="E1090" s="19" t="str">
        <f>VLOOKUP(D1090,unit_serifs_i18n!C:E,3,FALSE)</f>
        <v>giza</v>
      </c>
      <c r="F1090" s="19" t="str">
        <f>VLOOKUP(D1090,unit_serifs_i18n!C:F,4,FALSE)</f>
        <v>めざわりだニャ−！</v>
      </c>
    </row>
    <row r="1091" spans="1:6" x14ac:dyDescent="0.15">
      <c r="A1091" s="11">
        <v>821</v>
      </c>
      <c r="B1091" s="9" t="str">
        <f>VLOOKUP(A1091,[1]characters!$A:$C,3,FALSE)</f>
        <v>急蹴の硬機脚 ブートレグ・ペロー</v>
      </c>
      <c r="C1091" s="40" t="s">
        <v>26</v>
      </c>
      <c r="D1091" s="46" t="str">
        <f>D1087</f>
        <v>4922</v>
      </c>
      <c r="E1091" s="19" t="str">
        <f>VLOOKUP(D1091,unit_serifs_i18n!C:E,3,FALSE)</f>
        <v>maru</v>
      </c>
      <c r="F1091" s="19" t="str">
        <f>VLOOKUP(D1091,unit_serifs_i18n!C:F,4,FALSE)</f>
        <v>からかってやるかニャ</v>
      </c>
    </row>
    <row r="1092" spans="1:6" x14ac:dyDescent="0.15">
      <c r="A1092" s="11">
        <v>821</v>
      </c>
      <c r="B1092" s="9" t="str">
        <f>VLOOKUP(A1092,[1]characters!$A:$C,3,FALSE)</f>
        <v>急蹴の硬機脚 ブートレグ・ペロー</v>
      </c>
      <c r="C1092" s="40" t="s">
        <v>26</v>
      </c>
      <c r="D1092" s="46" t="str">
        <f>D1085</f>
        <v>4931</v>
      </c>
      <c r="E1092" s="19" t="str">
        <f>VLOOKUP(D1092,unit_serifs_i18n!C:E,3,FALSE)</f>
        <v>giza</v>
      </c>
      <c r="F1092" s="19" t="str">
        <f>VLOOKUP(D1092,unit_serifs_i18n!C:F,4,FALSE)</f>
        <v>ボクの縄張りニャ！</v>
      </c>
    </row>
    <row r="1093" spans="1:6" x14ac:dyDescent="0.15">
      <c r="A1093" s="11">
        <v>494</v>
      </c>
      <c r="B1093" s="9" t="str">
        <f>VLOOKUP(A1093,[1]characters!$A:$C,3,FALSE)</f>
        <v>ハーメルン</v>
      </c>
      <c r="C1093" s="73" t="s">
        <v>951</v>
      </c>
      <c r="D1093" s="42" t="str">
        <f>A1093&amp;+(COUNTIF(A$32:A1093,A1093)-1)</f>
        <v>4940</v>
      </c>
      <c r="E1093" s="19" t="str">
        <f>VLOOKUP(D1093,unit_serifs_i18n!C:E,3,FALSE)</f>
        <v>maru</v>
      </c>
      <c r="F1093" s="19" t="str">
        <f>VLOOKUP(D1093,unit_serifs_i18n!C:F,4,FALSE)</f>
        <v>笛の音に酔いしれてくれよ</v>
      </c>
    </row>
    <row r="1094" spans="1:6" x14ac:dyDescent="0.15">
      <c r="A1094" s="11">
        <v>494</v>
      </c>
      <c r="B1094" s="9" t="str">
        <f>VLOOKUP(A1094,[1]characters!$A:$C,3,FALSE)</f>
        <v>ハーメルン</v>
      </c>
      <c r="C1094" s="40" t="s">
        <v>26</v>
      </c>
      <c r="D1094" s="42" t="str">
        <f>A1094&amp;+(COUNTIF(A$32:A1094,A1094)-1)</f>
        <v>4941</v>
      </c>
      <c r="E1094" s="19" t="str">
        <f>VLOOKUP(D1094,unit_serifs_i18n!C:E,3,FALSE)</f>
        <v>kumo</v>
      </c>
      <c r="F1094" s="19" t="str">
        <f>VLOOKUP(D1094,unit_serifs_i18n!C:F,4,FALSE)</f>
        <v>悪意よ、鎮まれ…</v>
      </c>
    </row>
    <row r="1095" spans="1:6" x14ac:dyDescent="0.15">
      <c r="A1095" s="11">
        <v>494</v>
      </c>
      <c r="B1095" s="9" t="str">
        <f>VLOOKUP(A1095,[1]characters!$A:$C,3,FALSE)</f>
        <v>ハーメルン</v>
      </c>
      <c r="C1095" s="40" t="s">
        <v>26</v>
      </c>
      <c r="D1095" s="42" t="str">
        <f>A1095&amp;+(COUNTIF(A$32:A1095,A1095)-1)</f>
        <v>4942</v>
      </c>
      <c r="E1095" s="19" t="str">
        <f>VLOOKUP(D1095,unit_serifs_i18n!C:E,3,FALSE)</f>
        <v>maru</v>
      </c>
      <c r="F1095" s="19" t="str">
        <f>VLOOKUP(D1095,unit_serifs_i18n!C:F,4,FALSE)</f>
        <v>悪い夢を見てくれよ？</v>
      </c>
    </row>
    <row r="1096" spans="1:6" x14ac:dyDescent="0.15">
      <c r="A1096" s="11">
        <v>495</v>
      </c>
      <c r="B1096" s="9" t="str">
        <f>VLOOKUP(A1096,[1]characters!$A:$C,3,FALSE)</f>
        <v>鼠災呼ぶ笛音 ハーメルン</v>
      </c>
      <c r="C1096" s="73" t="s">
        <v>989</v>
      </c>
      <c r="D1096" s="42" t="str">
        <f>A1096&amp;+(COUNTIF(A$32:A1096,A1096)-1)</f>
        <v>4950</v>
      </c>
      <c r="E1096" s="19" t="str">
        <f>VLOOKUP(D1096,unit_serifs_i18n!C:E,3,FALSE)</f>
        <v>giza</v>
      </c>
      <c r="F1096" s="19" t="str">
        <f>VLOOKUP(D1096,unit_serifs_i18n!C:F,4,FALSE)</f>
        <v>災さ…彼らにとってのね！</v>
      </c>
    </row>
    <row r="1097" spans="1:6" x14ac:dyDescent="0.15">
      <c r="A1097" s="11">
        <v>495</v>
      </c>
      <c r="B1097" s="9" t="str">
        <f>VLOOKUP(A1097,[1]characters!$A:$C,3,FALSE)</f>
        <v>鼠災呼ぶ笛音 ハーメルン</v>
      </c>
      <c r="C1097" s="40" t="s">
        <v>26</v>
      </c>
      <c r="D1097" s="42" t="str">
        <f>A1097&amp;+(COUNTIF(A$32:A1097,A1097)-1)</f>
        <v>4951</v>
      </c>
      <c r="E1097" s="19" t="str">
        <f>VLOOKUP(D1097,unit_serifs_i18n!C:E,3,FALSE)</f>
        <v>maru</v>
      </c>
      <c r="F1097" s="19" t="str">
        <f>VLOOKUP(D1097,unit_serifs_i18n!C:F,4,FALSE)</f>
        <v>子どもは寝る時間だ…</v>
      </c>
    </row>
    <row r="1098" spans="1:6" x14ac:dyDescent="0.15">
      <c r="A1098" s="11">
        <v>495</v>
      </c>
      <c r="B1098" s="9" t="str">
        <f>VLOOKUP(A1098,[1]characters!$A:$C,3,FALSE)</f>
        <v>鼠災呼ぶ笛音 ハーメルン</v>
      </c>
      <c r="C1098" s="40" t="s">
        <v>26</v>
      </c>
      <c r="D1098" s="46" t="str">
        <f>D1094</f>
        <v>4941</v>
      </c>
      <c r="E1098" s="19" t="str">
        <f>VLOOKUP(D1098,unit_serifs_i18n!C:E,3,FALSE)</f>
        <v>kumo</v>
      </c>
      <c r="F1098" s="19" t="str">
        <f>VLOOKUP(D1098,unit_serifs_i18n!C:F,4,FALSE)</f>
        <v>悪意よ、鎮まれ…</v>
      </c>
    </row>
    <row r="1099" spans="1:6" x14ac:dyDescent="0.15">
      <c r="A1099" s="11">
        <v>495</v>
      </c>
      <c r="B1099" s="9" t="str">
        <f>VLOOKUP(A1099,[1]characters!$A:$C,3,FALSE)</f>
        <v>鼠災呼ぶ笛音 ハーメルン</v>
      </c>
      <c r="C1099" s="40" t="s">
        <v>26</v>
      </c>
      <c r="D1099" s="46" t="str">
        <f>D1095</f>
        <v>4942</v>
      </c>
      <c r="E1099" s="19" t="str">
        <f>VLOOKUP(D1099,unit_serifs_i18n!C:E,3,FALSE)</f>
        <v>maru</v>
      </c>
      <c r="F1099" s="19" t="str">
        <f>VLOOKUP(D1099,unit_serifs_i18n!C:F,4,FALSE)</f>
        <v>悪い夢を見てくれよ？</v>
      </c>
    </row>
    <row r="1100" spans="1:6" x14ac:dyDescent="0.15">
      <c r="A1100" s="11">
        <v>823</v>
      </c>
      <c r="B1100" s="9" t="str">
        <f>VLOOKUP(A1100,[1]characters!$A:$C,3,FALSE)</f>
        <v>跳鼠の睡奏楽 ハーメルン</v>
      </c>
      <c r="C1100" s="73" t="s">
        <v>989</v>
      </c>
      <c r="D1100" s="42" t="str">
        <f>A1100&amp;+(COUNTIF(A$32:A1100,A1100)-1)</f>
        <v>8230</v>
      </c>
      <c r="E1100" s="19" t="str">
        <f>VLOOKUP(D1100,unit_serifs_i18n!C:E,3,FALSE)</f>
        <v>giza</v>
      </c>
      <c r="F1100" s="19" t="str">
        <f>VLOOKUP(D1100,unit_serifs_i18n!C:F,4,FALSE)</f>
        <v>響かせよう…弾けるほど！</v>
      </c>
    </row>
    <row r="1101" spans="1:6" x14ac:dyDescent="0.15">
      <c r="A1101" s="11">
        <v>823</v>
      </c>
      <c r="B1101" s="9" t="str">
        <f>VLOOKUP(A1101,[1]characters!$A:$C,3,FALSE)</f>
        <v>跳鼠の睡奏楽 ハーメルン</v>
      </c>
      <c r="C1101" s="40" t="s">
        <v>26</v>
      </c>
      <c r="D1101" s="42" t="str">
        <f>A1101&amp;+(COUNTIF(A$32:A1101,A1101)-1)</f>
        <v>8231</v>
      </c>
      <c r="E1101" s="19" t="str">
        <f>VLOOKUP(D1101,unit_serifs_i18n!C:E,3,FALSE)</f>
        <v>maru</v>
      </c>
      <c r="F1101" s="19" t="str">
        <f>VLOOKUP(D1101,unit_serifs_i18n!C:F,4,FALSE)</f>
        <v>さぁ…いい子だね……</v>
      </c>
    </row>
    <row r="1102" spans="1:6" x14ac:dyDescent="0.15">
      <c r="A1102" s="11">
        <v>823</v>
      </c>
      <c r="B1102" s="9" t="str">
        <f>VLOOKUP(A1102,[1]characters!$A:$C,3,FALSE)</f>
        <v>跳鼠の睡奏楽 ハーメルン</v>
      </c>
      <c r="C1102" s="40" t="s">
        <v>26</v>
      </c>
      <c r="D1102" s="46" t="str">
        <f>D1098</f>
        <v>4941</v>
      </c>
      <c r="E1102" s="19" t="str">
        <f>VLOOKUP(D1102,unit_serifs_i18n!C:E,3,FALSE)</f>
        <v>kumo</v>
      </c>
      <c r="F1102" s="19" t="str">
        <f>VLOOKUP(D1102,unit_serifs_i18n!C:F,4,FALSE)</f>
        <v>悪意よ、鎮まれ…</v>
      </c>
    </row>
    <row r="1103" spans="1:6" x14ac:dyDescent="0.15">
      <c r="A1103" s="11">
        <v>823</v>
      </c>
      <c r="B1103" s="9" t="str">
        <f>VLOOKUP(A1103,[1]characters!$A:$C,3,FALSE)</f>
        <v>跳鼠の睡奏楽 ハーメルン</v>
      </c>
      <c r="C1103" s="40" t="s">
        <v>26</v>
      </c>
      <c r="D1103" s="46" t="str">
        <f>D1099</f>
        <v>4942</v>
      </c>
      <c r="E1103" s="19" t="str">
        <f>VLOOKUP(D1103,unit_serifs_i18n!C:E,3,FALSE)</f>
        <v>maru</v>
      </c>
      <c r="F1103" s="19" t="str">
        <f>VLOOKUP(D1103,unit_serifs_i18n!C:F,4,FALSE)</f>
        <v>悪い夢を見てくれよ？</v>
      </c>
    </row>
    <row r="1104" spans="1:6" x14ac:dyDescent="0.15">
      <c r="A1104" s="11">
        <v>823</v>
      </c>
      <c r="B1104" s="9" t="str">
        <f>VLOOKUP(A1104,[1]characters!$A:$C,3,FALSE)</f>
        <v>跳鼠の睡奏楽 ハーメルン</v>
      </c>
      <c r="C1104" s="40" t="s">
        <v>26</v>
      </c>
      <c r="D1104" s="46" t="str">
        <f>D1097</f>
        <v>4951</v>
      </c>
      <c r="E1104" s="19" t="str">
        <f>VLOOKUP(D1104,unit_serifs_i18n!C:E,3,FALSE)</f>
        <v>maru</v>
      </c>
      <c r="F1104" s="19" t="str">
        <f>VLOOKUP(D1104,unit_serifs_i18n!C:F,4,FALSE)</f>
        <v>子どもは寝る時間だ…</v>
      </c>
    </row>
    <row r="1105" spans="1:6" x14ac:dyDescent="0.15">
      <c r="A1105" s="11">
        <v>496</v>
      </c>
      <c r="B1105" s="9" t="str">
        <f>VLOOKUP(A1105,[1]characters!$A:$C,3,FALSE)</f>
        <v>エスタブ</v>
      </c>
      <c r="C1105" s="73" t="s">
        <v>989</v>
      </c>
      <c r="D1105" s="42" t="str">
        <f>A1105&amp;+(COUNTIF(A$32:A1105,A1105)-1)</f>
        <v>4960</v>
      </c>
      <c r="E1105" s="19" t="str">
        <f>VLOOKUP(D1105,unit_serifs_i18n!C:E,3,FALSE)</f>
        <v>maru</v>
      </c>
      <c r="F1105" s="19" t="str">
        <f>VLOOKUP(D1105,unit_serifs_i18n!C:F,4,FALSE)</f>
        <v>熱苦しいのは好きじゃない</v>
      </c>
    </row>
    <row r="1106" spans="1:6" x14ac:dyDescent="0.15">
      <c r="A1106" s="11">
        <v>496</v>
      </c>
      <c r="B1106" s="9" t="str">
        <f>VLOOKUP(A1106,[1]characters!$A:$C,3,FALSE)</f>
        <v>エスタブ</v>
      </c>
      <c r="C1106" s="40" t="s">
        <v>990</v>
      </c>
      <c r="D1106" s="42" t="str">
        <f>A1106&amp;+(COUNTIF(A$32:A1106,A1106)-1)</f>
        <v>4961</v>
      </c>
      <c r="E1106" s="19" t="str">
        <f>VLOOKUP(D1106,unit_serifs_i18n!C:E,3,FALSE)</f>
        <v>maru</v>
      </c>
      <c r="F1106" s="19" t="str">
        <f>VLOOKUP(D1106,unit_serifs_i18n!C:F,4,FALSE)</f>
        <v>見かけ倒しばかりだな</v>
      </c>
    </row>
    <row r="1107" spans="1:6" x14ac:dyDescent="0.15">
      <c r="A1107" s="11">
        <v>497</v>
      </c>
      <c r="B1107" s="9" t="str">
        <f>VLOOKUP(A1107,[1]characters!$A:$C,3,FALSE)</f>
        <v>偏愛の野獣 エスタブ</v>
      </c>
      <c r="C1107" s="73" t="s">
        <v>989</v>
      </c>
      <c r="D1107" s="42" t="str">
        <f>A1107&amp;+(COUNTIF(A$32:A1107,A1107)-1)</f>
        <v>4970</v>
      </c>
      <c r="E1107" s="19" t="str">
        <f>VLOOKUP(D1107,unit_serifs_i18n!C:E,3,FALSE)</f>
        <v>giza</v>
      </c>
      <c r="F1107" s="19" t="str">
        <f>VLOOKUP(D1107,unit_serifs_i18n!C:F,4,FALSE)</f>
        <v>俺の邪魔は決してさせん！</v>
      </c>
    </row>
    <row r="1108" spans="1:6" x14ac:dyDescent="0.15">
      <c r="A1108" s="11">
        <v>497</v>
      </c>
      <c r="B1108" s="9" t="str">
        <f>VLOOKUP(A1108,[1]characters!$A:$C,3,FALSE)</f>
        <v>偏愛の野獣 エスタブ</v>
      </c>
      <c r="C1108" s="40" t="s">
        <v>26</v>
      </c>
      <c r="D1108" s="42" t="str">
        <f>A1108&amp;+(COUNTIF(A$32:A1108,A1108)-1)</f>
        <v>4971</v>
      </c>
      <c r="E1108" s="19" t="str">
        <f>VLOOKUP(D1108,unit_serifs_i18n!C:E,3,FALSE)</f>
        <v>kumo</v>
      </c>
      <c r="F1108" s="19" t="str">
        <f>VLOOKUP(D1108,unit_serifs_i18n!C:F,4,FALSE)</f>
        <v>気に入らんな…その目</v>
      </c>
    </row>
    <row r="1109" spans="1:6" x14ac:dyDescent="0.15">
      <c r="A1109" s="11">
        <v>497</v>
      </c>
      <c r="B1109" s="9" t="str">
        <f>VLOOKUP(A1109,[1]characters!$A:$C,3,FALSE)</f>
        <v>偏愛の野獣 エスタブ</v>
      </c>
      <c r="C1109" s="40" t="s">
        <v>26</v>
      </c>
      <c r="D1109" s="46" t="str">
        <f>D1106</f>
        <v>4961</v>
      </c>
      <c r="E1109" s="19" t="str">
        <f>VLOOKUP(D1109,unit_serifs_i18n!C:E,3,FALSE)</f>
        <v>maru</v>
      </c>
      <c r="F1109" s="19" t="str">
        <f>VLOOKUP(D1109,unit_serifs_i18n!C:F,4,FALSE)</f>
        <v>見かけ倒しばかりだな</v>
      </c>
    </row>
    <row r="1110" spans="1:6" x14ac:dyDescent="0.15">
      <c r="A1110" s="11">
        <v>498</v>
      </c>
      <c r="B1110" s="9" t="str">
        <f>VLOOKUP(A1110,[1]characters!$A:$C,3,FALSE)</f>
        <v>自愛の高魔 エスタブ</v>
      </c>
      <c r="C1110" s="73" t="s">
        <v>989</v>
      </c>
      <c r="D1110" s="42" t="str">
        <f>A1110&amp;+(COUNTIF(A$32:A1110,A1110)-1)</f>
        <v>4980</v>
      </c>
      <c r="E1110" s="19" t="str">
        <f>VLOOKUP(D1110,unit_serifs_i18n!C:E,3,FALSE)</f>
        <v>maru</v>
      </c>
      <c r="F1110" s="19" t="str">
        <f>VLOOKUP(D1110,unit_serifs_i18n!C:F,4,FALSE)</f>
        <v>力が戻ってきたようだぞ？</v>
      </c>
    </row>
    <row r="1111" spans="1:6" x14ac:dyDescent="0.15">
      <c r="A1111" s="11">
        <v>498</v>
      </c>
      <c r="B1111" s="9" t="str">
        <f>VLOOKUP(A1111,[1]characters!$A:$C,3,FALSE)</f>
        <v>自愛の高魔 エスタブ</v>
      </c>
      <c r="C1111" s="40" t="s">
        <v>26</v>
      </c>
      <c r="D1111" s="42" t="str">
        <f>A1111&amp;+(COUNTIF(A$32:A1111,A1111)-1)</f>
        <v>4981</v>
      </c>
      <c r="E1111" s="19" t="str">
        <f>VLOOKUP(D1111,unit_serifs_i18n!C:E,3,FALSE)</f>
        <v>giza</v>
      </c>
      <c r="F1111" s="19" t="str">
        <f>VLOOKUP(D1111,unit_serifs_i18n!C:F,4,FALSE)</f>
        <v>拒絶してみるがいい！</v>
      </c>
    </row>
    <row r="1112" spans="1:6" x14ac:dyDescent="0.15">
      <c r="A1112" s="11">
        <v>498</v>
      </c>
      <c r="B1112" s="9" t="str">
        <f>VLOOKUP(A1112,[1]characters!$A:$C,3,FALSE)</f>
        <v>自愛の高魔 エスタブ</v>
      </c>
      <c r="C1112" s="40" t="s">
        <v>26</v>
      </c>
      <c r="D1112" s="46" t="str">
        <f>D1106</f>
        <v>4961</v>
      </c>
      <c r="E1112" s="19" t="str">
        <f>VLOOKUP(D1112,unit_serifs_i18n!C:E,3,FALSE)</f>
        <v>maru</v>
      </c>
      <c r="F1112" s="19" t="str">
        <f>VLOOKUP(D1112,unit_serifs_i18n!C:F,4,FALSE)</f>
        <v>見かけ倒しばかりだな</v>
      </c>
    </row>
    <row r="1113" spans="1:6" x14ac:dyDescent="0.15">
      <c r="A1113" s="11">
        <v>498</v>
      </c>
      <c r="B1113" s="9" t="str">
        <f>VLOOKUP(A1113,[1]characters!$A:$C,3,FALSE)</f>
        <v>自愛の高魔 エスタブ</v>
      </c>
      <c r="C1113" s="40" t="s">
        <v>26</v>
      </c>
      <c r="D1113" s="46" t="str">
        <f>D1108</f>
        <v>4971</v>
      </c>
      <c r="E1113" s="19" t="str">
        <f>VLOOKUP(D1113,unit_serifs_i18n!C:E,3,FALSE)</f>
        <v>kumo</v>
      </c>
      <c r="F1113" s="19" t="str">
        <f>VLOOKUP(D1113,unit_serifs_i18n!C:F,4,FALSE)</f>
        <v>気に入らんな…その目</v>
      </c>
    </row>
    <row r="1114" spans="1:6" x14ac:dyDescent="0.15">
      <c r="A1114" s="11">
        <v>499</v>
      </c>
      <c r="B1114" s="9" t="str">
        <f>VLOOKUP(A1114,[1]characters!$A:$C,3,FALSE)</f>
        <v>ラプンツェル</v>
      </c>
      <c r="C1114" s="73" t="s">
        <v>951</v>
      </c>
      <c r="D1114" s="42" t="str">
        <f>A1114&amp;+(COUNTIF(A$32:A1114,A1114)-1)</f>
        <v>4990</v>
      </c>
      <c r="E1114" s="19" t="str">
        <f>VLOOKUP(D1114,unit_serifs_i18n!C:E,3,FALSE)</f>
        <v>maru</v>
      </c>
      <c r="F1114" s="19" t="str">
        <f>VLOOKUP(D1114,unit_serifs_i18n!C:F,4,FALSE)</f>
        <v>未来は…切り開かなきゃ</v>
      </c>
    </row>
    <row r="1115" spans="1:6" x14ac:dyDescent="0.15">
      <c r="A1115" s="11">
        <v>499</v>
      </c>
      <c r="B1115" s="9" t="str">
        <f>VLOOKUP(A1115,[1]characters!$A:$C,3,FALSE)</f>
        <v>ラプンツェル</v>
      </c>
      <c r="C1115" s="40" t="s">
        <v>26</v>
      </c>
      <c r="D1115" s="42" t="str">
        <f>A1115&amp;+(COUNTIF(A$32:A1115,A1115)-1)</f>
        <v>4991</v>
      </c>
      <c r="E1115" s="19" t="str">
        <f>VLOOKUP(D1115,unit_serifs_i18n!C:E,3,FALSE)</f>
        <v>kumo</v>
      </c>
      <c r="F1115" s="19" t="str">
        <f>VLOOKUP(D1115,unit_serifs_i18n!C:F,4,FALSE)</f>
        <v>髪が…ビリビリする…</v>
      </c>
    </row>
    <row r="1116" spans="1:6" x14ac:dyDescent="0.15">
      <c r="A1116" s="11">
        <v>499</v>
      </c>
      <c r="B1116" s="9" t="str">
        <f>VLOOKUP(A1116,[1]characters!$A:$C,3,FALSE)</f>
        <v>ラプンツェル</v>
      </c>
      <c r="C1116" s="40" t="s">
        <v>26</v>
      </c>
      <c r="D1116" s="42" t="str">
        <f>A1116&amp;+(COUNTIF(A$32:A1116,A1116)-1)</f>
        <v>4992</v>
      </c>
      <c r="E1116" s="19" t="str">
        <f>VLOOKUP(D1116,unit_serifs_i18n!C:E,3,FALSE)</f>
        <v>maru</v>
      </c>
      <c r="F1116" s="19" t="str">
        <f>VLOOKUP(D1116,unit_serifs_i18n!C:F,4,FALSE)</f>
        <v>近寄ると…感電します</v>
      </c>
    </row>
    <row r="1117" spans="1:6" x14ac:dyDescent="0.15">
      <c r="A1117" s="11">
        <v>500</v>
      </c>
      <c r="B1117" s="9" t="str">
        <f>VLOOKUP(A1117,[1]characters!$A:$C,3,FALSE)</f>
        <v>脈動の禁髪 ラプンツェル</v>
      </c>
      <c r="C1117" s="73" t="s">
        <v>989</v>
      </c>
      <c r="D1117" s="42" t="str">
        <f>A1117&amp;+(COUNTIF(A$32:A1117,A1117)-1)</f>
        <v>5000</v>
      </c>
      <c r="E1117" s="19" t="str">
        <f>VLOOKUP(D1117,unit_serifs_i18n!C:E,3,FALSE)</f>
        <v>giza</v>
      </c>
      <c r="F1117" s="19" t="str">
        <f>VLOOKUP(D1117,unit_serifs_i18n!C:F,4,FALSE)</f>
        <v>この苦境抜け出します…！</v>
      </c>
    </row>
    <row r="1118" spans="1:6" x14ac:dyDescent="0.15">
      <c r="A1118" s="11">
        <v>500</v>
      </c>
      <c r="B1118" s="9" t="str">
        <f>VLOOKUP(A1118,[1]characters!$A:$C,3,FALSE)</f>
        <v>脈動の禁髪 ラプンツェル</v>
      </c>
      <c r="C1118" s="40" t="s">
        <v>26</v>
      </c>
      <c r="D1118" s="42" t="str">
        <f>A1118&amp;+(COUNTIF(A$32:A1118,A1118)-1)</f>
        <v>5001</v>
      </c>
      <c r="E1118" s="19" t="str">
        <f>VLOOKUP(D1118,unit_serifs_i18n!C:E,3,FALSE)</f>
        <v>giza</v>
      </c>
      <c r="F1118" s="19" t="str">
        <f>VLOOKUP(D1118,unit_serifs_i18n!C:F,4,FALSE)</f>
        <v>雷光よ…私を導いて！</v>
      </c>
    </row>
    <row r="1119" spans="1:6" x14ac:dyDescent="0.15">
      <c r="A1119" s="11">
        <v>500</v>
      </c>
      <c r="B1119" s="9" t="str">
        <f>VLOOKUP(A1119,[1]characters!$A:$C,3,FALSE)</f>
        <v>脈動の禁髪 ラプンツェル</v>
      </c>
      <c r="C1119" s="40" t="s">
        <v>26</v>
      </c>
      <c r="D1119" s="46" t="str">
        <f>D1115</f>
        <v>4991</v>
      </c>
      <c r="E1119" s="19" t="str">
        <f>VLOOKUP(D1119,unit_serifs_i18n!C:E,3,FALSE)</f>
        <v>kumo</v>
      </c>
      <c r="F1119" s="19" t="str">
        <f>VLOOKUP(D1119,unit_serifs_i18n!C:F,4,FALSE)</f>
        <v>髪が…ビリビリする…</v>
      </c>
    </row>
    <row r="1120" spans="1:6" x14ac:dyDescent="0.15">
      <c r="A1120" s="11">
        <v>500</v>
      </c>
      <c r="B1120" s="9" t="str">
        <f>VLOOKUP(A1120,[1]characters!$A:$C,3,FALSE)</f>
        <v>脈動の禁髪 ラプンツェル</v>
      </c>
      <c r="C1120" s="40" t="s">
        <v>26</v>
      </c>
      <c r="D1120" s="46" t="str">
        <f>D1116</f>
        <v>4992</v>
      </c>
      <c r="E1120" s="19" t="str">
        <f>VLOOKUP(D1120,unit_serifs_i18n!C:E,3,FALSE)</f>
        <v>maru</v>
      </c>
      <c r="F1120" s="19" t="str">
        <f>VLOOKUP(D1120,unit_serifs_i18n!C:F,4,FALSE)</f>
        <v>近寄ると…感電します</v>
      </c>
    </row>
    <row r="1121" spans="1:6" x14ac:dyDescent="0.15">
      <c r="A1121" s="11">
        <v>970</v>
      </c>
      <c r="B1121" s="9" t="str">
        <f>VLOOKUP(A1121,[1]characters!$A:$C,3,FALSE)</f>
        <v>目醒の鋏牙 ラプンツェル</v>
      </c>
      <c r="C1121" s="73" t="s">
        <v>989</v>
      </c>
      <c r="D1121" s="42" t="str">
        <f>A1121&amp;+(COUNTIF(A$32:A1121,A1121)-1)</f>
        <v>9700</v>
      </c>
      <c r="E1121" s="19" t="str">
        <f>VLOOKUP(D1121,unit_serifs_i18n!C:E,3,FALSE)</f>
        <v>giza</v>
      </c>
      <c r="F1121" s="19" t="str">
        <f>VLOOKUP(D1121,unit_serifs_i18n!C:F,4,FALSE)</f>
        <v>私が輝く時が来たようです！</v>
      </c>
    </row>
    <row r="1122" spans="1:6" x14ac:dyDescent="0.15">
      <c r="A1122" s="11">
        <v>970</v>
      </c>
      <c r="B1122" s="9" t="str">
        <f>VLOOKUP(A1122,[1]characters!$A:$C,3,FALSE)</f>
        <v>目醒の鋏牙 ラプンツェル</v>
      </c>
      <c r="C1122" s="40" t="s">
        <v>26</v>
      </c>
      <c r="D1122" s="42" t="str">
        <f>A1122&amp;+(COUNTIF(A$32:A1122,A1122)-1)</f>
        <v>9701</v>
      </c>
      <c r="E1122" s="19" t="str">
        <f>VLOOKUP(D1122,unit_serifs_i18n!C:E,3,FALSE)</f>
        <v>giza</v>
      </c>
      <c r="F1122" s="19" t="str">
        <f>VLOOKUP(D1122,unit_serifs_i18n!C:F,4,FALSE)</f>
        <v>これが私の決意の証…！</v>
      </c>
    </row>
    <row r="1123" spans="1:6" x14ac:dyDescent="0.15">
      <c r="A1123" s="11">
        <v>970</v>
      </c>
      <c r="B1123" s="9" t="str">
        <f>VLOOKUP(A1123,[1]characters!$A:$C,3,FALSE)</f>
        <v>目醒の鋏牙 ラプンツェル</v>
      </c>
      <c r="C1123" s="40" t="s">
        <v>26</v>
      </c>
      <c r="D1123" s="46" t="str">
        <f>D1119</f>
        <v>4991</v>
      </c>
      <c r="E1123" s="19" t="str">
        <f>VLOOKUP(D1123,unit_serifs_i18n!C:E,3,FALSE)</f>
        <v>kumo</v>
      </c>
      <c r="F1123" s="19" t="str">
        <f>VLOOKUP(D1123,unit_serifs_i18n!C:F,4,FALSE)</f>
        <v>髪が…ビリビリする…</v>
      </c>
    </row>
    <row r="1124" spans="1:6" x14ac:dyDescent="0.15">
      <c r="A1124" s="11">
        <v>970</v>
      </c>
      <c r="B1124" s="9" t="str">
        <f>VLOOKUP(A1124,[1]characters!$A:$C,3,FALSE)</f>
        <v>目醒の鋏牙 ラプンツェル</v>
      </c>
      <c r="C1124" s="40" t="s">
        <v>26</v>
      </c>
      <c r="D1124" s="46" t="str">
        <f>D1120</f>
        <v>4992</v>
      </c>
      <c r="E1124" s="19" t="str">
        <f>VLOOKUP(D1124,unit_serifs_i18n!C:E,3,FALSE)</f>
        <v>maru</v>
      </c>
      <c r="F1124" s="19" t="str">
        <f>VLOOKUP(D1124,unit_serifs_i18n!C:F,4,FALSE)</f>
        <v>近寄ると…感電します</v>
      </c>
    </row>
    <row r="1125" spans="1:6" x14ac:dyDescent="0.15">
      <c r="A1125" s="11">
        <v>970</v>
      </c>
      <c r="B1125" s="9" t="str">
        <f>VLOOKUP(A1125,[1]characters!$A:$C,3,FALSE)</f>
        <v>目醒の鋏牙 ラプンツェル</v>
      </c>
      <c r="C1125" s="40" t="s">
        <v>26</v>
      </c>
      <c r="D1125" s="46" t="str">
        <f>D1118</f>
        <v>5001</v>
      </c>
      <c r="E1125" s="19" t="str">
        <f>VLOOKUP(D1125,unit_serifs_i18n!C:E,3,FALSE)</f>
        <v>giza</v>
      </c>
      <c r="F1125" s="19" t="str">
        <f>VLOOKUP(D1125,unit_serifs_i18n!C:F,4,FALSE)</f>
        <v>雷光よ…私を導いて！</v>
      </c>
    </row>
    <row r="1126" spans="1:6" x14ac:dyDescent="0.15">
      <c r="A1126" s="11">
        <v>502</v>
      </c>
      <c r="B1126" s="9" t="str">
        <f>VLOOKUP(A1126,[1]characters!$A:$C,3,FALSE)</f>
        <v>テラベル</v>
      </c>
      <c r="C1126" s="73" t="s">
        <v>951</v>
      </c>
      <c r="D1126" s="42" t="str">
        <f>A1126&amp;+(COUNTIF(A$32:A1126,A1126)-1)</f>
        <v>5020</v>
      </c>
      <c r="E1126" s="19" t="str">
        <f>VLOOKUP(D1126,unit_serifs_i18n!C:E,3,FALSE)</f>
        <v>giza</v>
      </c>
      <c r="F1126" s="19" t="str">
        <f>VLOOKUP(D1126,unit_serifs_i18n!C:F,4,FALSE)</f>
        <v>補給OK！ぶっぱなすわ！</v>
      </c>
    </row>
    <row r="1127" spans="1:6" x14ac:dyDescent="0.15">
      <c r="A1127" s="11">
        <v>502</v>
      </c>
      <c r="B1127" s="9" t="str">
        <f>VLOOKUP(A1127,[1]characters!$A:$C,3,FALSE)</f>
        <v>テラベル</v>
      </c>
      <c r="C1127" s="40" t="s">
        <v>26</v>
      </c>
      <c r="D1127" s="42" t="str">
        <f>A1127&amp;+(COUNTIF(A$32:A1127,A1127)-1)</f>
        <v>5021</v>
      </c>
      <c r="E1127" s="19" t="str">
        <f>VLOOKUP(D1127,unit_serifs_i18n!C:E,3,FALSE)</f>
        <v>maru</v>
      </c>
      <c r="F1127" s="19" t="str">
        <f>VLOOKUP(D1127,unit_serifs_i18n!C:F,4,FALSE)</f>
        <v>至近距離でいくわよ？</v>
      </c>
    </row>
    <row r="1128" spans="1:6" x14ac:dyDescent="0.15">
      <c r="A1128" s="11">
        <v>502</v>
      </c>
      <c r="B1128" s="9" t="str">
        <f>VLOOKUP(A1128,[1]characters!$A:$C,3,FALSE)</f>
        <v>テラベル</v>
      </c>
      <c r="C1128" s="40" t="s">
        <v>26</v>
      </c>
      <c r="D1128" s="42" t="str">
        <f>A1128&amp;+(COUNTIF(A$32:A1128,A1128)-1)</f>
        <v>5022</v>
      </c>
      <c r="E1128" s="19" t="str">
        <f>VLOOKUP(D1128,unit_serifs_i18n!C:E,3,FALSE)</f>
        <v>giza</v>
      </c>
      <c r="F1128" s="19" t="str">
        <f>VLOOKUP(D1128,unit_serifs_i18n!C:F,4,FALSE)</f>
        <v>無防備すぎるのよね！</v>
      </c>
    </row>
    <row r="1129" spans="1:6" x14ac:dyDescent="0.15">
      <c r="A1129" s="11">
        <v>503</v>
      </c>
      <c r="B1129" s="9" t="str">
        <f>VLOOKUP(A1129,[1]characters!$A:$C,3,FALSE)</f>
        <v>破獣の爆姫 テラベル</v>
      </c>
      <c r="C1129" s="73" t="s">
        <v>989</v>
      </c>
      <c r="D1129" s="42" t="str">
        <f>A1129&amp;+(COUNTIF(A$32:A1129,A1129)-1)</f>
        <v>5030</v>
      </c>
      <c r="E1129" s="19" t="str">
        <f>VLOOKUP(D1129,unit_serifs_i18n!C:E,3,FALSE)</f>
        <v>giza</v>
      </c>
      <c r="F1129" s="19" t="str">
        <f>VLOOKUP(D1129,unit_serifs_i18n!C:F,4,FALSE)</f>
        <v>前線まで突っ走るわよっ！</v>
      </c>
    </row>
    <row r="1130" spans="1:6" x14ac:dyDescent="0.15">
      <c r="A1130" s="11">
        <v>503</v>
      </c>
      <c r="B1130" s="9" t="str">
        <f>VLOOKUP(A1130,[1]characters!$A:$C,3,FALSE)</f>
        <v>破獣の爆姫 テラベル</v>
      </c>
      <c r="C1130" s="40" t="s">
        <v>26</v>
      </c>
      <c r="D1130" s="42" t="str">
        <f>A1130&amp;+(COUNTIF(A$32:A1130,A1130)-1)</f>
        <v>5031</v>
      </c>
      <c r="E1130" s="19" t="str">
        <f>VLOOKUP(D1130,unit_serifs_i18n!C:E,3,FALSE)</f>
        <v>giza</v>
      </c>
      <c r="F1130" s="19" t="str">
        <f>VLOOKUP(D1130,unit_serifs_i18n!C:F,4,FALSE)</f>
        <v>これがフルオートよ！</v>
      </c>
    </row>
    <row r="1131" spans="1:6" x14ac:dyDescent="0.15">
      <c r="A1131" s="11">
        <v>503</v>
      </c>
      <c r="B1131" s="9" t="str">
        <f>VLOOKUP(A1131,[1]characters!$A:$C,3,FALSE)</f>
        <v>破獣の爆姫 テラベル</v>
      </c>
      <c r="C1131" s="40" t="s">
        <v>26</v>
      </c>
      <c r="D1131" s="46" t="str">
        <f>D1127</f>
        <v>5021</v>
      </c>
      <c r="E1131" s="19" t="str">
        <f>VLOOKUP(D1131,unit_serifs_i18n!C:E,3,FALSE)</f>
        <v>maru</v>
      </c>
      <c r="F1131" s="19" t="str">
        <f>VLOOKUP(D1131,unit_serifs_i18n!C:F,4,FALSE)</f>
        <v>至近距離でいくわよ？</v>
      </c>
    </row>
    <row r="1132" spans="1:6" x14ac:dyDescent="0.15">
      <c r="A1132" s="11">
        <v>503</v>
      </c>
      <c r="B1132" s="9" t="str">
        <f>VLOOKUP(A1132,[1]characters!$A:$C,3,FALSE)</f>
        <v>破獣の爆姫 テラベル</v>
      </c>
      <c r="C1132" s="40" t="s">
        <v>26</v>
      </c>
      <c r="D1132" s="46" t="str">
        <f>D1128</f>
        <v>5022</v>
      </c>
      <c r="E1132" s="19" t="str">
        <f>VLOOKUP(D1132,unit_serifs_i18n!C:E,3,FALSE)</f>
        <v>giza</v>
      </c>
      <c r="F1132" s="19" t="str">
        <f>VLOOKUP(D1132,unit_serifs_i18n!C:F,4,FALSE)</f>
        <v>無防備すぎるのよね！</v>
      </c>
    </row>
    <row r="1133" spans="1:6" x14ac:dyDescent="0.15">
      <c r="A1133" s="38">
        <v>504</v>
      </c>
      <c r="B1133" s="9" t="str">
        <f>VLOOKUP(A1133,[1]characters!$A:$C,3,FALSE)</f>
        <v>ハイディン・オーガ</v>
      </c>
      <c r="C1133" s="73" t="s">
        <v>951</v>
      </c>
      <c r="D1133" s="42" t="str">
        <f>A1133&amp;+(COUNTIF(A$32:A1133,A1133)-1)</f>
        <v>5040</v>
      </c>
      <c r="E1133" s="19" t="str">
        <f>VLOOKUP(D1133,unit_serifs_i18n!C:E,3,FALSE)</f>
        <v>giza</v>
      </c>
      <c r="F1133" s="19" t="str">
        <f>VLOOKUP(D1133,unit_serifs_i18n!C:F,4,FALSE)</f>
        <v>クキキ…フクシュウ…ダ！</v>
      </c>
    </row>
    <row r="1134" spans="1:6" x14ac:dyDescent="0.15">
      <c r="A1134" s="38">
        <v>504</v>
      </c>
      <c r="B1134" s="9" t="str">
        <f>VLOOKUP(A1134,[1]characters!$A:$C,3,FALSE)</f>
        <v>ハイディン・オーガ</v>
      </c>
      <c r="C1134" s="40" t="s">
        <v>26</v>
      </c>
      <c r="D1134" s="42" t="str">
        <f>A1134&amp;+(COUNTIF(A$32:A1134,A1134)-1)</f>
        <v>5041</v>
      </c>
      <c r="E1134" s="19" t="str">
        <f>VLOOKUP(D1134,unit_serifs_i18n!C:E,3,FALSE)</f>
        <v>maru</v>
      </c>
      <c r="F1134" s="19" t="str">
        <f>VLOOKUP(D1134,unit_serifs_i18n!C:F,4,FALSE)</f>
        <v>モロソウダ…クキキ</v>
      </c>
    </row>
    <row r="1135" spans="1:6" x14ac:dyDescent="0.15">
      <c r="A1135" s="38">
        <v>504</v>
      </c>
      <c r="B1135" s="9" t="str">
        <f>VLOOKUP(A1135,[1]characters!$A:$C,3,FALSE)</f>
        <v>ハイディン・オーガ</v>
      </c>
      <c r="C1135" s="40" t="s">
        <v>26</v>
      </c>
      <c r="D1135" s="42" t="str">
        <f>A1135&amp;+(COUNTIF(A$32:A1135,A1135)-1)</f>
        <v>5042</v>
      </c>
      <c r="E1135" s="19" t="str">
        <f>VLOOKUP(D1135,unit_serifs_i18n!C:E,3,FALSE)</f>
        <v>maru</v>
      </c>
      <c r="F1135" s="19" t="str">
        <f>VLOOKUP(D1135,unit_serifs_i18n!C:F,4,FALSE)</f>
        <v>カミツイテ…ヤル…</v>
      </c>
    </row>
    <row r="1136" spans="1:6" x14ac:dyDescent="0.15">
      <c r="A1136" s="38">
        <v>505</v>
      </c>
      <c r="B1136" s="9" t="str">
        <f>VLOOKUP(A1136,[1]characters!$A:$C,3,FALSE)</f>
        <v>暴虐の漏洩 ハイディン・オーガ</v>
      </c>
      <c r="C1136" s="73" t="s">
        <v>989</v>
      </c>
      <c r="D1136" s="42" t="str">
        <f>A1136&amp;+(COUNTIF(A$32:A1136,A1136)-1)</f>
        <v>5050</v>
      </c>
      <c r="E1136" s="19" t="str">
        <f>VLOOKUP(D1136,unit_serifs_i18n!C:E,3,FALSE)</f>
        <v>giza</v>
      </c>
      <c r="F1136" s="19" t="str">
        <f>VLOOKUP(D1136,unit_serifs_i18n!C:F,4,FALSE)</f>
        <v>オーガ…ガ…サイキョウ！</v>
      </c>
    </row>
    <row r="1137" spans="1:6" x14ac:dyDescent="0.15">
      <c r="A1137" s="38">
        <v>505</v>
      </c>
      <c r="B1137" s="9" t="str">
        <f>VLOOKUP(A1137,[1]characters!$A:$C,3,FALSE)</f>
        <v>暴虐の漏洩 ハイディン・オーガ</v>
      </c>
      <c r="C1137" s="40" t="s">
        <v>26</v>
      </c>
      <c r="D1137" s="42" t="str">
        <f>A1137&amp;+(COUNTIF(A$32:A1137,A1137)-1)</f>
        <v>5051</v>
      </c>
      <c r="E1137" s="19" t="str">
        <f>VLOOKUP(D1137,unit_serifs_i18n!C:E,3,FALSE)</f>
        <v>giza</v>
      </c>
      <c r="F1137" s="19" t="str">
        <f>VLOOKUP(D1137,unit_serifs_i18n!C:F,4,FALSE)</f>
        <v>ニンゲン…クラウ！！</v>
      </c>
    </row>
    <row r="1138" spans="1:6" x14ac:dyDescent="0.15">
      <c r="A1138" s="38">
        <v>505</v>
      </c>
      <c r="B1138" s="9" t="str">
        <f>VLOOKUP(A1138,[1]characters!$A:$C,3,FALSE)</f>
        <v>暴虐の漏洩 ハイディン・オーガ</v>
      </c>
      <c r="C1138" s="40" t="s">
        <v>26</v>
      </c>
      <c r="D1138" s="46" t="str">
        <f>D1134</f>
        <v>5041</v>
      </c>
      <c r="E1138" s="19" t="str">
        <f>VLOOKUP(D1138,unit_serifs_i18n!C:E,3,FALSE)</f>
        <v>maru</v>
      </c>
      <c r="F1138" s="19" t="str">
        <f>VLOOKUP(D1138,unit_serifs_i18n!C:F,4,FALSE)</f>
        <v>モロソウダ…クキキ</v>
      </c>
    </row>
    <row r="1139" spans="1:6" x14ac:dyDescent="0.15">
      <c r="A1139" s="38">
        <v>505</v>
      </c>
      <c r="B1139" s="9" t="str">
        <f>VLOOKUP(A1139,[1]characters!$A:$C,3,FALSE)</f>
        <v>暴虐の漏洩 ハイディン・オーガ</v>
      </c>
      <c r="C1139" s="40" t="s">
        <v>26</v>
      </c>
      <c r="D1139" s="46" t="str">
        <f>D1135</f>
        <v>5042</v>
      </c>
      <c r="E1139" s="19" t="str">
        <f>VLOOKUP(D1139,unit_serifs_i18n!C:E,3,FALSE)</f>
        <v>maru</v>
      </c>
      <c r="F1139" s="19" t="str">
        <f>VLOOKUP(D1139,unit_serifs_i18n!C:F,4,FALSE)</f>
        <v>カミツイテ…ヤル…</v>
      </c>
    </row>
    <row r="1140" spans="1:6" x14ac:dyDescent="0.15">
      <c r="A1140" s="38">
        <v>506</v>
      </c>
      <c r="B1140" s="9" t="str">
        <f>VLOOKUP(A1140,[1]characters!$A:$C,3,FALSE)</f>
        <v>ゴーテル</v>
      </c>
      <c r="C1140" s="73" t="s">
        <v>951</v>
      </c>
      <c r="D1140" s="42" t="str">
        <f>A1140&amp;+(COUNTIF(A$32:A1140,A1140)-1)</f>
        <v>5060</v>
      </c>
      <c r="E1140" s="19" t="str">
        <f>VLOOKUP(D1140,unit_serifs_i18n!C:E,3,FALSE)</f>
        <v>maru</v>
      </c>
      <c r="F1140" s="19" t="str">
        <f>VLOOKUP(D1140,unit_serifs_i18n!C:F,4,FALSE)</f>
        <v>はいみんな、迎撃準備よ！</v>
      </c>
    </row>
    <row r="1141" spans="1:6" x14ac:dyDescent="0.15">
      <c r="A1141" s="38">
        <v>506</v>
      </c>
      <c r="B1141" s="9" t="str">
        <f>VLOOKUP(A1141,[1]characters!$A:$C,3,FALSE)</f>
        <v>ゴーテル</v>
      </c>
      <c r="C1141" s="40" t="s">
        <v>26</v>
      </c>
      <c r="D1141" s="42" t="str">
        <f>A1141&amp;+(COUNTIF(A$32:A1141,A1141)-1)</f>
        <v>5061</v>
      </c>
      <c r="E1141" s="19" t="str">
        <f>VLOOKUP(D1141,unit_serifs_i18n!C:E,3,FALSE)</f>
        <v>maru</v>
      </c>
      <c r="F1141" s="19" t="str">
        <f>VLOOKUP(D1141,unit_serifs_i18n!C:F,4,FALSE)</f>
        <v>およびじゃないわ！</v>
      </c>
    </row>
    <row r="1142" spans="1:6" x14ac:dyDescent="0.15">
      <c r="A1142" s="38">
        <v>506</v>
      </c>
      <c r="B1142" s="9" t="str">
        <f>VLOOKUP(A1142,[1]characters!$A:$C,3,FALSE)</f>
        <v>ゴーテル</v>
      </c>
      <c r="C1142" s="40" t="s">
        <v>26</v>
      </c>
      <c r="D1142" s="42" t="str">
        <f>A1142&amp;+(COUNTIF(A$32:A1142,A1142)-1)</f>
        <v>5062</v>
      </c>
      <c r="E1142" s="19" t="str">
        <f>VLOOKUP(D1142,unit_serifs_i18n!C:E,3,FALSE)</f>
        <v>giza</v>
      </c>
      <c r="F1142" s="19" t="str">
        <f>VLOOKUP(D1142,unit_serifs_i18n!C:F,4,FALSE)</f>
        <v>近付かないで！</v>
      </c>
    </row>
    <row r="1143" spans="1:6" x14ac:dyDescent="0.15">
      <c r="A1143" s="38">
        <v>507</v>
      </c>
      <c r="B1143" s="9" t="str">
        <f>VLOOKUP(A1143,[1]characters!$A:$C,3,FALSE)</f>
        <v>過保護な幽閉者 ゴーテル</v>
      </c>
      <c r="C1143" s="73" t="s">
        <v>989</v>
      </c>
      <c r="D1143" s="42" t="str">
        <f>A1143&amp;+(COUNTIF(A$32:A1143,A1143)-1)</f>
        <v>5070</v>
      </c>
      <c r="E1143" s="19" t="str">
        <f>VLOOKUP(D1143,unit_serifs_i18n!C:E,3,FALSE)</f>
        <v>giza</v>
      </c>
      <c r="F1143" s="19" t="str">
        <f>VLOOKUP(D1143,unit_serifs_i18n!C:F,4,FALSE)</f>
        <v>触ったらぶっ飛ばすわよ！</v>
      </c>
    </row>
    <row r="1144" spans="1:6" x14ac:dyDescent="0.15">
      <c r="A1144" s="38">
        <v>507</v>
      </c>
      <c r="B1144" s="9" t="str">
        <f>VLOOKUP(A1144,[1]characters!$A:$C,3,FALSE)</f>
        <v>過保護な幽閉者 ゴーテル</v>
      </c>
      <c r="C1144" s="40" t="s">
        <v>26</v>
      </c>
      <c r="D1144" s="42" t="str">
        <f>A1144&amp;+(COUNTIF(A$32:A1144,A1144)-1)</f>
        <v>5071</v>
      </c>
      <c r="E1144" s="19" t="str">
        <f>VLOOKUP(D1144,unit_serifs_i18n!C:E,3,FALSE)</f>
        <v>maru</v>
      </c>
      <c r="F1144" s="19" t="str">
        <f>VLOOKUP(D1144,unit_serifs_i18n!C:F,4,FALSE)</f>
        <v>閉じ込めようかしら？</v>
      </c>
    </row>
    <row r="1145" spans="1:6" x14ac:dyDescent="0.15">
      <c r="A1145" s="38">
        <v>507</v>
      </c>
      <c r="B1145" s="9" t="str">
        <f>VLOOKUP(A1145,[1]characters!$A:$C,3,FALSE)</f>
        <v>過保護な幽閉者 ゴーテル</v>
      </c>
      <c r="C1145" s="40" t="s">
        <v>26</v>
      </c>
      <c r="D1145" s="46" t="str">
        <f>D1141</f>
        <v>5061</v>
      </c>
      <c r="E1145" s="19" t="str">
        <f>VLOOKUP(D1145,unit_serifs_i18n!C:E,3,FALSE)</f>
        <v>maru</v>
      </c>
      <c r="F1145" s="19" t="str">
        <f>VLOOKUP(D1145,unit_serifs_i18n!C:F,4,FALSE)</f>
        <v>およびじゃないわ！</v>
      </c>
    </row>
    <row r="1146" spans="1:6" x14ac:dyDescent="0.15">
      <c r="A1146" s="38">
        <v>507</v>
      </c>
      <c r="B1146" s="9" t="str">
        <f>VLOOKUP(A1146,[1]characters!$A:$C,3,FALSE)</f>
        <v>過保護な幽閉者 ゴーテル</v>
      </c>
      <c r="C1146" s="40" t="s">
        <v>26</v>
      </c>
      <c r="D1146" s="46" t="str">
        <f>D1142</f>
        <v>5062</v>
      </c>
      <c r="E1146" s="19" t="str">
        <f>VLOOKUP(D1146,unit_serifs_i18n!C:E,3,FALSE)</f>
        <v>giza</v>
      </c>
      <c r="F1146" s="19" t="str">
        <f>VLOOKUP(D1146,unit_serifs_i18n!C:F,4,FALSE)</f>
        <v>近付かないで！</v>
      </c>
    </row>
    <row r="1147" spans="1:6" x14ac:dyDescent="0.15">
      <c r="A1147" s="38">
        <v>508</v>
      </c>
      <c r="B1147" s="9" t="str">
        <f>VLOOKUP(A1147,[1]characters!$A:$C,3,FALSE)</f>
        <v>Gスター・チルドレン</v>
      </c>
      <c r="C1147" s="73" t="s">
        <v>951</v>
      </c>
      <c r="D1147" s="42" t="str">
        <f>A1147&amp;+(COUNTIF(A$32:A1147,A1147)-1)</f>
        <v>5080</v>
      </c>
      <c r="E1147" s="19" t="str">
        <f>VLOOKUP(D1147,unit_serifs_i18n!C:E,3,FALSE)</f>
        <v>maru</v>
      </c>
      <c r="F1147" s="19" t="str">
        <f>VLOOKUP(D1147,unit_serifs_i18n!C:F,4,FALSE)</f>
        <v>一緒に遊ぼ！</v>
      </c>
    </row>
    <row r="1148" spans="1:6" x14ac:dyDescent="0.15">
      <c r="A1148" s="38">
        <v>508</v>
      </c>
      <c r="B1148" s="9" t="str">
        <f>VLOOKUP(A1148,[1]characters!$A:$C,3,FALSE)</f>
        <v>Gスター・チルドレン</v>
      </c>
      <c r="C1148" s="40" t="s">
        <v>26</v>
      </c>
      <c r="D1148" s="42" t="str">
        <f>A1148&amp;+(COUNTIF(A$32:A1148,A1148)-1)</f>
        <v>5081</v>
      </c>
      <c r="E1148" s="19" t="str">
        <f>VLOOKUP(D1148,unit_serifs_i18n!C:E,3,FALSE)</f>
        <v>giza</v>
      </c>
      <c r="F1148" s="19" t="str">
        <f>VLOOKUP(D1148,unit_serifs_i18n!C:F,4,FALSE)</f>
        <v>ネズミのおもちゃだー！</v>
      </c>
    </row>
    <row r="1149" spans="1:6" x14ac:dyDescent="0.15">
      <c r="A1149" s="38">
        <v>508</v>
      </c>
      <c r="B1149" s="9" t="str">
        <f>VLOOKUP(A1149,[1]characters!$A:$C,3,FALSE)</f>
        <v>Gスター・チルドレン</v>
      </c>
      <c r="C1149" s="40" t="s">
        <v>26</v>
      </c>
      <c r="D1149" s="42" t="str">
        <f>A1149&amp;+(COUNTIF(A$32:A1149,A1149)-1)</f>
        <v>5082</v>
      </c>
      <c r="E1149" s="19" t="str">
        <f>VLOOKUP(D1149,unit_serifs_i18n!C:E,3,FALSE)</f>
        <v>giza</v>
      </c>
      <c r="F1149" s="19" t="str">
        <f>VLOOKUP(D1149,unit_serifs_i18n!C:F,4,FALSE)</f>
        <v>じたばたしないでー！</v>
      </c>
    </row>
    <row r="1150" spans="1:6" x14ac:dyDescent="0.15">
      <c r="A1150" s="38">
        <v>509</v>
      </c>
      <c r="B1150" s="9" t="str">
        <f>VLOOKUP(A1150,[1]characters!$A:$C,3,FALSE)</f>
        <v>純粋悪意 Gスター・チルドレン</v>
      </c>
      <c r="C1150" s="73" t="s">
        <v>989</v>
      </c>
      <c r="D1150" s="42" t="str">
        <f>A1150&amp;+(COUNTIF(A$32:A1150,A1150)-1)</f>
        <v>5090</v>
      </c>
      <c r="E1150" s="19" t="str">
        <f>VLOOKUP(D1150,unit_serifs_i18n!C:E,3,FALSE)</f>
        <v>giza</v>
      </c>
      <c r="F1150" s="19" t="str">
        <f>VLOOKUP(D1150,unit_serifs_i18n!C:F,4,FALSE)</f>
        <v>もっと遊ぼうよ！</v>
      </c>
    </row>
    <row r="1151" spans="1:6" x14ac:dyDescent="0.15">
      <c r="A1151" s="38">
        <v>509</v>
      </c>
      <c r="B1151" s="9" t="str">
        <f>VLOOKUP(A1151,[1]characters!$A:$C,3,FALSE)</f>
        <v>純粋悪意 Gスター・チルドレン</v>
      </c>
      <c r="C1151" s="40" t="s">
        <v>26</v>
      </c>
      <c r="D1151" s="42" t="str">
        <f>A1151&amp;+(COUNTIF(A$32:A1151,A1151)-1)</f>
        <v>5091</v>
      </c>
      <c r="E1151" s="19" t="str">
        <f>VLOOKUP(D1151,unit_serifs_i18n!C:E,3,FALSE)</f>
        <v>giza</v>
      </c>
      <c r="F1151" s="19" t="str">
        <f>VLOOKUP(D1151,unit_serifs_i18n!C:F,4,FALSE)</f>
        <v>新しいおもちゃまだかなー</v>
      </c>
    </row>
    <row r="1152" spans="1:6" x14ac:dyDescent="0.15">
      <c r="A1152" s="38">
        <v>509</v>
      </c>
      <c r="B1152" s="9" t="str">
        <f>VLOOKUP(A1152,[1]characters!$A:$C,3,FALSE)</f>
        <v>純粋悪意 Gスター・チルドレン</v>
      </c>
      <c r="C1152" s="40" t="s">
        <v>26</v>
      </c>
      <c r="D1152" s="46" t="str">
        <f>D1148</f>
        <v>5081</v>
      </c>
      <c r="E1152" s="19" t="str">
        <f>VLOOKUP(D1152,unit_serifs_i18n!C:E,3,FALSE)</f>
        <v>giza</v>
      </c>
      <c r="F1152" s="19" t="str">
        <f>VLOOKUP(D1152,unit_serifs_i18n!C:F,4,FALSE)</f>
        <v>ネズミのおもちゃだー！</v>
      </c>
    </row>
    <row r="1153" spans="1:6" x14ac:dyDescent="0.15">
      <c r="A1153" s="38">
        <v>509</v>
      </c>
      <c r="B1153" s="9" t="str">
        <f>VLOOKUP(A1153,[1]characters!$A:$C,3,FALSE)</f>
        <v>純粋悪意 Gスター・チルドレン</v>
      </c>
      <c r="C1153" s="40" t="s">
        <v>26</v>
      </c>
      <c r="D1153" s="46" t="str">
        <f>D1149</f>
        <v>5082</v>
      </c>
      <c r="E1153" s="19" t="str">
        <f>VLOOKUP(D1153,unit_serifs_i18n!C:E,3,FALSE)</f>
        <v>giza</v>
      </c>
      <c r="F1153" s="19" t="str">
        <f>VLOOKUP(D1153,unit_serifs_i18n!C:F,4,FALSE)</f>
        <v>じたばたしないでー！</v>
      </c>
    </row>
    <row r="1154" spans="1:6" x14ac:dyDescent="0.15">
      <c r="A1154" s="38">
        <v>824</v>
      </c>
      <c r="B1154" s="9" t="str">
        <f>VLOOKUP(A1154,[1]characters!$A:$C,3,FALSE)</f>
        <v>悪意の団塊  Gスター・チルドレン</v>
      </c>
      <c r="C1154" s="73" t="s">
        <v>951</v>
      </c>
      <c r="D1154" s="42" t="str">
        <f>A1154&amp;+(COUNTIF(A$32:A1154,A1154)-1)</f>
        <v>8240</v>
      </c>
      <c r="E1154" s="19" t="str">
        <f>VLOOKUP(D1154,unit_serifs_i18n!C:E,3,FALSE)</f>
        <v>giza</v>
      </c>
      <c r="F1154" s="19" t="str">
        <f>VLOOKUP(D1154,unit_serifs_i18n!C:F,4,FALSE)</f>
        <v>最期まで遊ぶ約束でしょ！</v>
      </c>
    </row>
    <row r="1155" spans="1:6" x14ac:dyDescent="0.15">
      <c r="A1155" s="38">
        <v>824</v>
      </c>
      <c r="B1155" s="9" t="str">
        <f>VLOOKUP(A1155,[1]characters!$A:$C,3,FALSE)</f>
        <v>悪意の団塊  Gスター・チルドレン</v>
      </c>
      <c r="C1155" s="40" t="s">
        <v>26</v>
      </c>
      <c r="D1155" s="42" t="str">
        <f>A1155&amp;+(COUNTIF(A$32:A1155,A1155)-1)</f>
        <v>8241</v>
      </c>
      <c r="E1155" s="19" t="str">
        <f>VLOOKUP(D1155,unit_serifs_i18n!C:E,3,FALSE)</f>
        <v>giza</v>
      </c>
      <c r="F1155" s="19" t="str">
        <f>VLOOKUP(D1155,unit_serifs_i18n!C:F,4,FALSE)</f>
        <v>次は追いかけっこだよ！</v>
      </c>
    </row>
    <row r="1156" spans="1:6" x14ac:dyDescent="0.15">
      <c r="A1156" s="38">
        <v>824</v>
      </c>
      <c r="B1156" s="9" t="str">
        <f>VLOOKUP(A1156,[1]characters!$A:$C,3,FALSE)</f>
        <v>悪意の団塊  Gスター・チルドレン</v>
      </c>
      <c r="C1156" s="40" t="s">
        <v>26</v>
      </c>
      <c r="D1156" s="46" t="str">
        <f>D1152</f>
        <v>5081</v>
      </c>
      <c r="E1156" s="19" t="str">
        <f>VLOOKUP(D1156,unit_serifs_i18n!C:E,3,FALSE)</f>
        <v>giza</v>
      </c>
      <c r="F1156" s="19" t="str">
        <f>VLOOKUP(D1156,unit_serifs_i18n!C:F,4,FALSE)</f>
        <v>ネズミのおもちゃだー！</v>
      </c>
    </row>
    <row r="1157" spans="1:6" x14ac:dyDescent="0.15">
      <c r="A1157" s="38">
        <v>824</v>
      </c>
      <c r="B1157" s="9" t="str">
        <f>VLOOKUP(A1157,[1]characters!$A:$C,3,FALSE)</f>
        <v>悪意の団塊  Gスター・チルドレン</v>
      </c>
      <c r="C1157" s="40" t="s">
        <v>26</v>
      </c>
      <c r="D1157" s="46" t="str">
        <f>D1153</f>
        <v>5082</v>
      </c>
      <c r="E1157" s="19" t="str">
        <f>VLOOKUP(D1157,unit_serifs_i18n!C:E,3,FALSE)</f>
        <v>giza</v>
      </c>
      <c r="F1157" s="19" t="str">
        <f>VLOOKUP(D1157,unit_serifs_i18n!C:F,4,FALSE)</f>
        <v>じたばたしないでー！</v>
      </c>
    </row>
    <row r="1158" spans="1:6" x14ac:dyDescent="0.15">
      <c r="A1158" s="38">
        <v>824</v>
      </c>
      <c r="B1158" s="9" t="str">
        <f>VLOOKUP(A1158,[1]characters!$A:$C,3,FALSE)</f>
        <v>悪意の団塊  Gスター・チルドレン</v>
      </c>
      <c r="C1158" s="40" t="s">
        <v>26</v>
      </c>
      <c r="D1158" s="42" t="s">
        <v>1197</v>
      </c>
      <c r="E1158" s="19" t="str">
        <f>VLOOKUP(D1158,unit_serifs_i18n!C:E,3,FALSE)</f>
        <v>giza</v>
      </c>
      <c r="F1158" s="19" t="str">
        <f>VLOOKUP(D1158,unit_serifs_i18n!C:F,4,FALSE)</f>
        <v>新しいおもちゃまだかなー</v>
      </c>
    </row>
    <row r="1159" spans="1:6" x14ac:dyDescent="0.15">
      <c r="A1159" s="63">
        <v>510</v>
      </c>
      <c r="B1159" s="9" t="str">
        <f>VLOOKUP(A1159,[1]characters!$A:$C,3,FALSE)</f>
        <v>燃えさかる豪息 ヒュウガ</v>
      </c>
      <c r="C1159" s="73" t="s">
        <v>951</v>
      </c>
      <c r="D1159" s="42" t="str">
        <f>A1159&amp;+(COUNTIF(A$32:A1159,A1159)-1)</f>
        <v>5100</v>
      </c>
      <c r="E1159" s="19" t="str">
        <f>VLOOKUP(D1159,unit_serifs_i18n!C:E,3,FALSE)</f>
        <v>giza</v>
      </c>
      <c r="F1159" s="19" t="str">
        <f>VLOOKUP(D1159,unit_serifs_i18n!C:F,4,FALSE)</f>
        <v>燃やし尽くすぜッ!!</v>
      </c>
    </row>
    <row r="1160" spans="1:6" x14ac:dyDescent="0.15">
      <c r="A1160" s="63">
        <v>510</v>
      </c>
      <c r="B1160" s="9" t="str">
        <f>VLOOKUP(A1160,[1]characters!$A:$C,3,FALSE)</f>
        <v>燃えさかる豪息 ヒュウガ</v>
      </c>
      <c r="C1160" s="40" t="s">
        <v>26</v>
      </c>
      <c r="D1160" s="42" t="str">
        <f>A1160&amp;+(COUNTIF(A$32:A1160,A1160)-1)</f>
        <v>5101</v>
      </c>
      <c r="E1160" s="19" t="str">
        <f>VLOOKUP(D1160,unit_serifs_i18n!C:E,3,FALSE)</f>
        <v>giza</v>
      </c>
      <c r="F1160" s="19" t="str">
        <f>VLOOKUP(D1160,unit_serifs_i18n!C:F,4,FALSE)</f>
        <v>吹き飛べッ!!</v>
      </c>
    </row>
    <row r="1161" spans="1:6" x14ac:dyDescent="0.15">
      <c r="A1161" s="63">
        <v>510</v>
      </c>
      <c r="B1161" s="9" t="str">
        <f>VLOOKUP(A1161,[1]characters!$A:$C,3,FALSE)</f>
        <v>燃えさかる豪息 ヒュウガ</v>
      </c>
      <c r="C1161" s="40" t="s">
        <v>26</v>
      </c>
      <c r="D1161" s="42" t="str">
        <f>A1161&amp;+(COUNTIF(A$32:A1161,A1161)-1)</f>
        <v>5102</v>
      </c>
      <c r="E1161" s="19" t="str">
        <f>VLOOKUP(D1161,unit_serifs_i18n!C:E,3,FALSE)</f>
        <v>giza</v>
      </c>
      <c r="F1161" s="19" t="str">
        <f>VLOOKUP(D1161,unit_serifs_i18n!C:F,4,FALSE)</f>
        <v>覚悟しろッ!!</v>
      </c>
    </row>
    <row r="1162" spans="1:6" x14ac:dyDescent="0.15">
      <c r="A1162" s="63">
        <v>511</v>
      </c>
      <c r="B1162" s="9" t="str">
        <f>VLOOKUP(A1162,[1]characters!$A:$C,3,FALSE)</f>
        <v>灼き尽くす紅息 ヒュウガ・レアル</v>
      </c>
      <c r="C1162" s="73" t="s">
        <v>989</v>
      </c>
      <c r="D1162" s="42" t="str">
        <f>A1162&amp;+(COUNTIF(A$32:A1162,A1162)-1)</f>
        <v>5110</v>
      </c>
      <c r="E1162" s="19" t="str">
        <f>VLOOKUP(D1162,unit_serifs_i18n!C:E,3,FALSE)</f>
        <v>maru</v>
      </c>
      <c r="F1162" s="19" t="str">
        <f>VLOOKUP(D1162,unit_serifs_i18n!C:F,4,FALSE)</f>
        <v>爆炎に呑まれろ…</v>
      </c>
    </row>
    <row r="1163" spans="1:6" x14ac:dyDescent="0.15">
      <c r="A1163" s="63">
        <v>511</v>
      </c>
      <c r="B1163" s="9" t="str">
        <f>VLOOKUP(A1163,[1]characters!$A:$C,3,FALSE)</f>
        <v>灼き尽くす紅息 ヒュウガ・レアル</v>
      </c>
      <c r="C1163" s="40" t="s">
        <v>26</v>
      </c>
      <c r="D1163" s="42" t="str">
        <f>A1163&amp;+(COUNTIF(A$32:A1163,A1163)-1)</f>
        <v>5111</v>
      </c>
      <c r="E1163" s="19" t="str">
        <f>VLOOKUP(D1163,unit_serifs_i18n!C:E,3,FALSE)</f>
        <v>giza</v>
      </c>
      <c r="F1163" s="19" t="str">
        <f>VLOOKUP(D1163,unit_serifs_i18n!C:F,4,FALSE)</f>
        <v>焼き払うぞッ!!</v>
      </c>
    </row>
    <row r="1164" spans="1:6" x14ac:dyDescent="0.15">
      <c r="A1164" s="63">
        <v>511</v>
      </c>
      <c r="B1164" s="9" t="str">
        <f>VLOOKUP(A1164,[1]characters!$A:$C,3,FALSE)</f>
        <v>灼き尽くす紅息 ヒュウガ・レアル</v>
      </c>
      <c r="C1164" s="40" t="s">
        <v>26</v>
      </c>
      <c r="D1164" s="46" t="str">
        <f>D1160</f>
        <v>5101</v>
      </c>
      <c r="E1164" s="19" t="str">
        <f>VLOOKUP(D1164,unit_serifs_i18n!C:E,3,FALSE)</f>
        <v>giza</v>
      </c>
      <c r="F1164" s="19" t="str">
        <f>VLOOKUP(D1164,unit_serifs_i18n!C:F,4,FALSE)</f>
        <v>吹き飛べッ!!</v>
      </c>
    </row>
    <row r="1165" spans="1:6" x14ac:dyDescent="0.15">
      <c r="A1165" s="63">
        <v>511</v>
      </c>
      <c r="B1165" s="9" t="str">
        <f>VLOOKUP(A1165,[1]characters!$A:$C,3,FALSE)</f>
        <v>灼き尽くす紅息 ヒュウガ・レアル</v>
      </c>
      <c r="C1165" s="40" t="s">
        <v>26</v>
      </c>
      <c r="D1165" s="46" t="str">
        <f>D1161</f>
        <v>5102</v>
      </c>
      <c r="E1165" s="19" t="str">
        <f>VLOOKUP(D1165,unit_serifs_i18n!C:E,3,FALSE)</f>
        <v>giza</v>
      </c>
      <c r="F1165" s="19" t="str">
        <f>VLOOKUP(D1165,unit_serifs_i18n!C:F,4,FALSE)</f>
        <v>覚悟しろッ!!</v>
      </c>
    </row>
    <row r="1166" spans="1:6" x14ac:dyDescent="0.15">
      <c r="A1166" s="38">
        <v>512</v>
      </c>
      <c r="B1166" s="9" t="str">
        <f>VLOOKUP(A1166,[1]characters!$A:$C,3,FALSE)</f>
        <v>聖火の逆徒 クリスマス・ベリアル</v>
      </c>
      <c r="C1166" s="73" t="s">
        <v>951</v>
      </c>
      <c r="D1166" s="42" t="str">
        <f>A1166&amp;+(COUNTIF(A$32:A1166,A1166)-1)</f>
        <v>5120</v>
      </c>
      <c r="E1166" s="19" t="str">
        <f>VLOOKUP(D1166,unit_serifs_i18n!C:E,3,FALSE)</f>
        <v>giza</v>
      </c>
      <c r="F1166" s="19" t="str">
        <f>VLOOKUP(D1166,unit_serifs_i18n!C:F,4,FALSE)</f>
        <v>邪魔されちゃ困るぜッ！</v>
      </c>
    </row>
    <row r="1167" spans="1:6" x14ac:dyDescent="0.15">
      <c r="A1167" s="61">
        <v>512</v>
      </c>
      <c r="B1167" s="9" t="str">
        <f>VLOOKUP(A1167,[1]characters!$A:$C,3,FALSE)</f>
        <v>聖火の逆徒 クリスマス・ベリアル</v>
      </c>
      <c r="C1167" s="40" t="s">
        <v>26</v>
      </c>
      <c r="D1167" s="42" t="str">
        <f>A1167&amp;+(COUNTIF(A$32:A1167,A1167)-1)</f>
        <v>5121</v>
      </c>
      <c r="E1167" s="19" t="str">
        <f>VLOOKUP(D1167,unit_serifs_i18n!C:E,3,FALSE)</f>
        <v>maru</v>
      </c>
      <c r="F1167" s="19" t="str">
        <f>VLOOKUP(D1167,unit_serifs_i18n!C:F,4,FALSE)</f>
        <v>ほらよ受け取りなッ！</v>
      </c>
    </row>
    <row r="1168" spans="1:6" x14ac:dyDescent="0.15">
      <c r="A1168" s="61">
        <v>512</v>
      </c>
      <c r="B1168" s="9" t="str">
        <f>VLOOKUP(A1168,[1]characters!$A:$C,3,FALSE)</f>
        <v>聖火の逆徒 クリスマス・ベリアル</v>
      </c>
      <c r="C1168" s="40" t="s">
        <v>26</v>
      </c>
      <c r="D1168" s="42" t="str">
        <f>A1168&amp;+(COUNTIF(A$32:A1168,A1168)-1)</f>
        <v>5122</v>
      </c>
      <c r="E1168" s="19" t="str">
        <f>VLOOKUP(D1168,unit_serifs_i18n!C:E,3,FALSE)</f>
        <v>maru</v>
      </c>
      <c r="F1168" s="19" t="str">
        <f>VLOOKUP(D1168,unit_serifs_i18n!C:F,4,FALSE)</f>
        <v>この箱はハズレかもな</v>
      </c>
    </row>
    <row r="1169" spans="1:6" x14ac:dyDescent="0.15">
      <c r="A1169" s="38">
        <v>513</v>
      </c>
      <c r="B1169" s="9" t="str">
        <f>VLOOKUP(A1169,[1]characters!$A:$C,3,FALSE)</f>
        <v>爆進の荷炎 クリスマス・ベリアル</v>
      </c>
      <c r="C1169" s="73" t="s">
        <v>989</v>
      </c>
      <c r="D1169" s="42" t="str">
        <f>A1169&amp;+(COUNTIF(A$32:A1169,A1169)-1)</f>
        <v>5130</v>
      </c>
      <c r="E1169" s="19" t="str">
        <f>VLOOKUP(D1169,unit_serifs_i18n!C:E,3,FALSE)</f>
        <v>giza</v>
      </c>
      <c r="F1169" s="19" t="str">
        <f>VLOOKUP(D1169,unit_serifs_i18n!C:F,4,FALSE)</f>
        <v>悪ぃな、急いでるんだッ！</v>
      </c>
    </row>
    <row r="1170" spans="1:6" x14ac:dyDescent="0.15">
      <c r="A1170" s="61">
        <v>513</v>
      </c>
      <c r="B1170" s="9" t="str">
        <f>VLOOKUP(A1170,[1]characters!$A:$C,3,FALSE)</f>
        <v>爆進の荷炎 クリスマス・ベリアル</v>
      </c>
      <c r="C1170" s="40" t="s">
        <v>26</v>
      </c>
      <c r="D1170" s="42" t="str">
        <f>A1170&amp;+(COUNTIF(A$32:A1170,A1170)-1)</f>
        <v>5131</v>
      </c>
      <c r="E1170" s="19" t="str">
        <f>VLOOKUP(D1170,unit_serifs_i18n!C:E,3,FALSE)</f>
        <v>giza</v>
      </c>
      <c r="F1170" s="19" t="str">
        <f>VLOOKUP(D1170,unit_serifs_i18n!C:F,4,FALSE)</f>
        <v>開けて驚きなッ！！</v>
      </c>
    </row>
    <row r="1171" spans="1:6" x14ac:dyDescent="0.15">
      <c r="A1171" s="61">
        <v>513</v>
      </c>
      <c r="B1171" s="9" t="str">
        <f>VLOOKUP(A1171,[1]characters!$A:$C,3,FALSE)</f>
        <v>爆進の荷炎 クリスマス・ベリアル</v>
      </c>
      <c r="C1171" s="40" t="s">
        <v>26</v>
      </c>
      <c r="D1171" s="46" t="str">
        <f>D1167</f>
        <v>5121</v>
      </c>
      <c r="E1171" s="19" t="str">
        <f>VLOOKUP(D1171,unit_serifs_i18n!C:E,3,FALSE)</f>
        <v>maru</v>
      </c>
      <c r="F1171" s="19" t="str">
        <f>VLOOKUP(D1171,unit_serifs_i18n!C:F,4,FALSE)</f>
        <v>ほらよ受け取りなッ！</v>
      </c>
    </row>
    <row r="1172" spans="1:6" x14ac:dyDescent="0.15">
      <c r="A1172" s="61">
        <v>513</v>
      </c>
      <c r="B1172" s="9" t="str">
        <f>VLOOKUP(A1172,[1]characters!$A:$C,3,FALSE)</f>
        <v>爆進の荷炎 クリスマス・ベリアル</v>
      </c>
      <c r="C1172" s="40" t="s">
        <v>26</v>
      </c>
      <c r="D1172" s="46" t="str">
        <f>D1168</f>
        <v>5122</v>
      </c>
      <c r="E1172" s="19" t="str">
        <f>VLOOKUP(D1172,unit_serifs_i18n!C:E,3,FALSE)</f>
        <v>maru</v>
      </c>
      <c r="F1172" s="19" t="str">
        <f>VLOOKUP(D1172,unit_serifs_i18n!C:F,4,FALSE)</f>
        <v>この箱はハズレかもな</v>
      </c>
    </row>
    <row r="1173" spans="1:6" x14ac:dyDescent="0.15">
      <c r="A1173" s="38">
        <v>514</v>
      </c>
      <c r="B1173" s="9" t="str">
        <f>VLOOKUP(A1173,[1]characters!$A:$C,3,FALSE)</f>
        <v>祝宴の識徒 サンタクロース・オセ</v>
      </c>
      <c r="C1173" s="73" t="s">
        <v>951</v>
      </c>
      <c r="D1173" s="42" t="str">
        <f>A1173&amp;+(COUNTIF(A$32:A1173,A1173)-1)</f>
        <v>5140</v>
      </c>
      <c r="E1173" s="19" t="str">
        <f>VLOOKUP(D1173,unit_serifs_i18n!C:E,3,FALSE)</f>
        <v>maru</v>
      </c>
      <c r="F1173" s="19" t="str">
        <f>VLOOKUP(D1173,unit_serifs_i18n!C:F,4,FALSE)</f>
        <v>今夜だけなんだからね…！</v>
      </c>
    </row>
    <row r="1174" spans="1:6" x14ac:dyDescent="0.15">
      <c r="A1174" s="61">
        <v>514</v>
      </c>
      <c r="B1174" s="9" t="str">
        <f>VLOOKUP(A1174,[1]characters!$A:$C,3,FALSE)</f>
        <v>祝宴の識徒 サンタクロース・オセ</v>
      </c>
      <c r="C1174" s="40" t="s">
        <v>26</v>
      </c>
      <c r="D1174" s="42" t="str">
        <f>A1174&amp;+(COUNTIF(A$32:A1174,A1174)-1)</f>
        <v>5141</v>
      </c>
      <c r="E1174" s="19" t="str">
        <f>VLOOKUP(D1174,unit_serifs_i18n!C:E,3,FALSE)</f>
        <v>giza</v>
      </c>
      <c r="F1174" s="19" t="str">
        <f>VLOOKUP(D1174,unit_serifs_i18n!C:F,4,FALSE)</f>
        <v>今夜は邪魔しないで！</v>
      </c>
    </row>
    <row r="1175" spans="1:6" x14ac:dyDescent="0.15">
      <c r="A1175" s="61">
        <v>514</v>
      </c>
      <c r="B1175" s="9" t="str">
        <f>VLOOKUP(A1175,[1]characters!$A:$C,3,FALSE)</f>
        <v>祝宴の識徒 サンタクロース・オセ</v>
      </c>
      <c r="C1175" s="40" t="s">
        <v>26</v>
      </c>
      <c r="D1175" s="42" t="str">
        <f>A1175&amp;+(COUNTIF(A$32:A1175,A1175)-1)</f>
        <v>5142</v>
      </c>
      <c r="E1175" s="19" t="str">
        <f>VLOOKUP(D1175,unit_serifs_i18n!C:E,3,FALSE)</f>
        <v>maru</v>
      </c>
      <c r="F1175" s="19" t="str">
        <f>VLOOKUP(D1175,unit_serifs_i18n!C:F,4,FALSE)</f>
        <v>聖夜なのにもう！</v>
      </c>
    </row>
    <row r="1176" spans="1:6" x14ac:dyDescent="0.15">
      <c r="A1176" s="38">
        <v>515</v>
      </c>
      <c r="B1176" s="9" t="str">
        <f>VLOOKUP(A1176,[1]characters!$A:$C,3,FALSE)</f>
        <v>聖夜の贈主 サンタクロース・オセ</v>
      </c>
      <c r="C1176" s="73" t="s">
        <v>989</v>
      </c>
      <c r="D1176" s="42" t="str">
        <f>A1176&amp;+(COUNTIF(A$32:A1176,A1176)-1)</f>
        <v>5150</v>
      </c>
      <c r="E1176" s="19" t="str">
        <f>VLOOKUP(D1176,unit_serifs_i18n!C:E,3,FALSE)</f>
        <v>maru</v>
      </c>
      <c r="F1176" s="19" t="str">
        <f>VLOOKUP(D1176,unit_serifs_i18n!C:F,4,FALSE)</f>
        <v>特別サービスなんだから！</v>
      </c>
    </row>
    <row r="1177" spans="1:6" x14ac:dyDescent="0.15">
      <c r="A1177" s="61">
        <v>515</v>
      </c>
      <c r="B1177" s="9" t="str">
        <f>VLOOKUP(A1177,[1]characters!$A:$C,3,FALSE)</f>
        <v>聖夜の贈主 サンタクロース・オセ</v>
      </c>
      <c r="C1177" s="40" t="s">
        <v>26</v>
      </c>
      <c r="D1177" s="42" t="str">
        <f>A1177&amp;+(COUNTIF(A$32:A1177,A1177)-1)</f>
        <v>5151</v>
      </c>
      <c r="E1177" s="19" t="str">
        <f>VLOOKUP(D1177,unit_serifs_i18n!C:E,3,FALSE)</f>
        <v>giza</v>
      </c>
      <c r="F1177" s="19" t="str">
        <f>VLOOKUP(D1177,unit_serifs_i18n!C:F,4,FALSE)</f>
        <v>良い子にしててよね！</v>
      </c>
    </row>
    <row r="1178" spans="1:6" x14ac:dyDescent="0.15">
      <c r="A1178" s="61">
        <v>515</v>
      </c>
      <c r="B1178" s="9" t="str">
        <f>VLOOKUP(A1178,[1]characters!$A:$C,3,FALSE)</f>
        <v>聖夜の贈主 サンタクロース・オセ</v>
      </c>
      <c r="C1178" s="40" t="s">
        <v>26</v>
      </c>
      <c r="D1178" s="46" t="str">
        <f>D1174</f>
        <v>5141</v>
      </c>
      <c r="E1178" s="19" t="str">
        <f>VLOOKUP(D1178,unit_serifs_i18n!C:E,3,FALSE)</f>
        <v>giza</v>
      </c>
      <c r="F1178" s="19" t="str">
        <f>VLOOKUP(D1178,unit_serifs_i18n!C:F,4,FALSE)</f>
        <v>今夜は邪魔しないで！</v>
      </c>
    </row>
    <row r="1179" spans="1:6" x14ac:dyDescent="0.15">
      <c r="A1179" s="61">
        <v>515</v>
      </c>
      <c r="B1179" s="9" t="str">
        <f>VLOOKUP(A1179,[1]characters!$A:$C,3,FALSE)</f>
        <v>聖夜の贈主 サンタクロース・オセ</v>
      </c>
      <c r="C1179" s="40" t="s">
        <v>26</v>
      </c>
      <c r="D1179" s="46" t="str">
        <f>D1175</f>
        <v>5142</v>
      </c>
      <c r="E1179" s="19" t="str">
        <f>VLOOKUP(D1179,unit_serifs_i18n!C:E,3,FALSE)</f>
        <v>maru</v>
      </c>
      <c r="F1179" s="19" t="str">
        <f>VLOOKUP(D1179,unit_serifs_i18n!C:F,4,FALSE)</f>
        <v>聖夜なのにもう！</v>
      </c>
    </row>
    <row r="1180" spans="1:6" x14ac:dyDescent="0.15">
      <c r="A1180" s="38">
        <v>516</v>
      </c>
      <c r="B1180" s="9" t="str">
        <f>VLOOKUP(A1180,[1]characters!$A:$C,3,FALSE)</f>
        <v>聖母 マリア</v>
      </c>
      <c r="C1180" s="73" t="s">
        <v>951</v>
      </c>
      <c r="D1180" s="42" t="str">
        <f>A1180&amp;+(COUNTIF(A$32:A1180,A1180)-1)</f>
        <v>5160</v>
      </c>
      <c r="E1180" s="19" t="str">
        <f>VLOOKUP(D1180,unit_serifs_i18n!C:E,3,FALSE)</f>
        <v>maru</v>
      </c>
      <c r="F1180" s="19" t="str">
        <f>VLOOKUP(D1180,unit_serifs_i18n!C:F,4,FALSE)</f>
        <v>皆様に歓びの歌を…！</v>
      </c>
    </row>
    <row r="1181" spans="1:6" x14ac:dyDescent="0.15">
      <c r="A1181" s="61">
        <v>516</v>
      </c>
      <c r="B1181" s="9" t="str">
        <f>VLOOKUP(A1181,[1]characters!$A:$C,3,FALSE)</f>
        <v>聖母 マリア</v>
      </c>
      <c r="C1181" s="40" t="s">
        <v>26</v>
      </c>
      <c r="D1181" s="42" t="str">
        <f>A1181&amp;+(COUNTIF(A$32:A1181,A1181)-1)</f>
        <v>5161</v>
      </c>
      <c r="E1181" s="19" t="str">
        <f>VLOOKUP(D1181,unit_serifs_i18n!C:E,3,FALSE)</f>
        <v>maru</v>
      </c>
      <c r="F1181" s="19" t="str">
        <f>VLOOKUP(D1181,unit_serifs_i18n!C:F,4,FALSE)</f>
        <v>耳を澄ませてください</v>
      </c>
    </row>
    <row r="1182" spans="1:6" x14ac:dyDescent="0.15">
      <c r="A1182" s="61">
        <v>516</v>
      </c>
      <c r="B1182" s="9" t="str">
        <f>VLOOKUP(A1182,[1]characters!$A:$C,3,FALSE)</f>
        <v>聖母 マリア</v>
      </c>
      <c r="C1182" s="40" t="s">
        <v>26</v>
      </c>
      <c r="D1182" s="42" t="str">
        <f>A1182&amp;+(COUNTIF(A$32:A1182,A1182)-1)</f>
        <v>5162</v>
      </c>
      <c r="E1182" s="19" t="str">
        <f>VLOOKUP(D1182,unit_serifs_i18n!C:E,3,FALSE)</f>
        <v>maru</v>
      </c>
      <c r="F1182" s="19" t="str">
        <f>VLOOKUP(D1182,unit_serifs_i18n!C:F,4,FALSE)</f>
        <v>誰もが幸せになれます</v>
      </c>
    </row>
    <row r="1183" spans="1:6" x14ac:dyDescent="0.15">
      <c r="A1183" s="38">
        <v>517</v>
      </c>
      <c r="B1183" s="9" t="str">
        <f>VLOOKUP(A1183,[1]characters!$A:$C,3,FALSE)</f>
        <v>真冬の誕生祭 マリア</v>
      </c>
      <c r="C1183" s="73" t="s">
        <v>989</v>
      </c>
      <c r="D1183" s="42" t="str">
        <f>A1183&amp;+(COUNTIF(A$32:A1183,A1183)-1)</f>
        <v>5170</v>
      </c>
      <c r="E1183" s="19" t="str">
        <f>VLOOKUP(D1183,unit_serifs_i18n!C:E,3,FALSE)</f>
        <v>maru</v>
      </c>
      <c r="F1183" s="19" t="str">
        <f>VLOOKUP(D1183,unit_serifs_i18n!C:F,4,FALSE)</f>
        <v>きっと奇跡は起こります！</v>
      </c>
    </row>
    <row r="1184" spans="1:6" x14ac:dyDescent="0.15">
      <c r="A1184" s="61">
        <v>517</v>
      </c>
      <c r="B1184" s="9" t="str">
        <f>VLOOKUP(A1184,[1]characters!$A:$C,3,FALSE)</f>
        <v>真冬の誕生祭 マリア</v>
      </c>
      <c r="C1184" s="40" t="s">
        <v>26</v>
      </c>
      <c r="D1184" s="42" t="str">
        <f>A1184&amp;+(COUNTIF(A$32:A1184,A1184)-1)</f>
        <v>5171</v>
      </c>
      <c r="E1184" s="19" t="str">
        <f>VLOOKUP(D1184,unit_serifs_i18n!C:E,3,FALSE)</f>
        <v>maru</v>
      </c>
      <c r="F1184" s="19" t="str">
        <f>VLOOKUP(D1184,unit_serifs_i18n!C:F,4,FALSE)</f>
        <v>お願い…安らぎを！</v>
      </c>
    </row>
    <row r="1185" spans="1:6" x14ac:dyDescent="0.15">
      <c r="A1185" s="61">
        <v>517</v>
      </c>
      <c r="B1185" s="9" t="str">
        <f>VLOOKUP(A1185,[1]characters!$A:$C,3,FALSE)</f>
        <v>真冬の誕生祭 マリア</v>
      </c>
      <c r="C1185" s="40" t="s">
        <v>26</v>
      </c>
      <c r="D1185" s="46" t="str">
        <f>D1181</f>
        <v>5161</v>
      </c>
      <c r="E1185" s="19" t="str">
        <f>VLOOKUP(D1185,unit_serifs_i18n!C:E,3,FALSE)</f>
        <v>maru</v>
      </c>
      <c r="F1185" s="19" t="str">
        <f>VLOOKUP(D1185,unit_serifs_i18n!C:F,4,FALSE)</f>
        <v>耳を澄ませてください</v>
      </c>
    </row>
    <row r="1186" spans="1:6" x14ac:dyDescent="0.15">
      <c r="A1186" s="61">
        <v>517</v>
      </c>
      <c r="B1186" s="9" t="str">
        <f>VLOOKUP(A1186,[1]characters!$A:$C,3,FALSE)</f>
        <v>真冬の誕生祭 マリア</v>
      </c>
      <c r="C1186" s="40" t="s">
        <v>26</v>
      </c>
      <c r="D1186" s="46" t="str">
        <f>D1182</f>
        <v>5162</v>
      </c>
      <c r="E1186" s="19" t="str">
        <f>VLOOKUP(D1186,unit_serifs_i18n!C:E,3,FALSE)</f>
        <v>maru</v>
      </c>
      <c r="F1186" s="19" t="str">
        <f>VLOOKUP(D1186,unit_serifs_i18n!C:F,4,FALSE)</f>
        <v>誰もが幸せになれます</v>
      </c>
    </row>
    <row r="1187" spans="1:6" x14ac:dyDescent="0.15">
      <c r="A1187" s="38">
        <v>518</v>
      </c>
      <c r="B1187" s="9" t="str">
        <f>VLOOKUP(A1187,[1]characters!$A:$C,3,FALSE)</f>
        <v>秘来の聖天使 ミカエル</v>
      </c>
      <c r="C1187" s="73" t="s">
        <v>951</v>
      </c>
      <c r="D1187" s="42" t="str">
        <f>A1187&amp;+(COUNTIF(A$32:A1187,A1187)-1)</f>
        <v>5180</v>
      </c>
      <c r="E1187" s="19" t="str">
        <f>VLOOKUP(D1187,unit_serifs_i18n!C:E,3,FALSE)</f>
        <v>giza</v>
      </c>
      <c r="F1187" s="19" t="str">
        <f>VLOOKUP(D1187,unit_serifs_i18n!C:F,4,FALSE)</f>
        <v>今宵は特別版ですよっ！</v>
      </c>
    </row>
    <row r="1188" spans="1:6" x14ac:dyDescent="0.15">
      <c r="A1188" s="61">
        <v>518</v>
      </c>
      <c r="B1188" s="9" t="str">
        <f>VLOOKUP(A1188,[1]characters!$A:$C,3,FALSE)</f>
        <v>秘来の聖天使 ミカエル</v>
      </c>
      <c r="C1188" s="40" t="s">
        <v>26</v>
      </c>
      <c r="D1188" s="42" t="str">
        <f>A1188&amp;+(COUNTIF(A$32:A1188,A1188)-1)</f>
        <v>5181</v>
      </c>
      <c r="E1188" s="19" t="str">
        <f>VLOOKUP(D1188,unit_serifs_i18n!C:E,3,FALSE)</f>
        <v>giza</v>
      </c>
      <c r="F1188" s="19" t="str">
        <f>VLOOKUP(D1188,unit_serifs_i18n!C:F,4,FALSE)</f>
        <v>高ぶってきましたっ！</v>
      </c>
    </row>
    <row r="1189" spans="1:6" x14ac:dyDescent="0.15">
      <c r="A1189" s="61">
        <v>518</v>
      </c>
      <c r="B1189" s="9" t="str">
        <f>VLOOKUP(A1189,[1]characters!$A:$C,3,FALSE)</f>
        <v>秘来の聖天使 ミカエル</v>
      </c>
      <c r="C1189" s="40" t="s">
        <v>26</v>
      </c>
      <c r="D1189" s="42" t="str">
        <f>A1189&amp;+(COUNTIF(A$32:A1189,A1189)-1)</f>
        <v>5182</v>
      </c>
      <c r="E1189" s="19" t="str">
        <f>VLOOKUP(D1189,unit_serifs_i18n!C:E,3,FALSE)</f>
        <v>giza</v>
      </c>
      <c r="F1189" s="19" t="str">
        <f>VLOOKUP(D1189,unit_serifs_i18n!C:F,4,FALSE)</f>
        <v>罰が当たりますよっ！</v>
      </c>
    </row>
    <row r="1190" spans="1:6" x14ac:dyDescent="0.15">
      <c r="A1190" s="38">
        <v>519</v>
      </c>
      <c r="B1190" s="9" t="str">
        <f>VLOOKUP(A1190,[1]characters!$A:$C,3,FALSE)</f>
        <v>夜天の聖天使 ミカエル・ハレルヤ</v>
      </c>
      <c r="C1190" s="73" t="s">
        <v>989</v>
      </c>
      <c r="D1190" s="42" t="str">
        <f>A1190&amp;+(COUNTIF(A$32:A1190,A1190)-1)</f>
        <v>5190</v>
      </c>
      <c r="E1190" s="19" t="str">
        <f>VLOOKUP(D1190,unit_serifs_i18n!C:E,3,FALSE)</f>
        <v>giza</v>
      </c>
      <c r="F1190" s="19" t="str">
        <f>VLOOKUP(D1190,unit_serifs_i18n!C:F,4,FALSE)</f>
        <v>とっておきの贈り物です！</v>
      </c>
    </row>
    <row r="1191" spans="1:6" x14ac:dyDescent="0.15">
      <c r="A1191" s="61">
        <v>519</v>
      </c>
      <c r="B1191" s="9" t="str">
        <f>VLOOKUP(A1191,[1]characters!$A:$C,3,FALSE)</f>
        <v>夜天の聖天使 ミカエル・ハレルヤ</v>
      </c>
      <c r="C1191" s="40" t="s">
        <v>26</v>
      </c>
      <c r="D1191" s="42" t="str">
        <f>A1191&amp;+(COUNTIF(A$32:A1191,A1191)-1)</f>
        <v>5191</v>
      </c>
      <c r="E1191" s="19" t="str">
        <f>VLOOKUP(D1191,unit_serifs_i18n!C:E,3,FALSE)</f>
        <v>giza</v>
      </c>
      <c r="F1191" s="19" t="str">
        <f>VLOOKUP(D1191,unit_serifs_i18n!C:F,4,FALSE)</f>
        <v>最大出力ですっ！</v>
      </c>
    </row>
    <row r="1192" spans="1:6" x14ac:dyDescent="0.15">
      <c r="A1192" s="61">
        <v>519</v>
      </c>
      <c r="B1192" s="9" t="str">
        <f>VLOOKUP(A1192,[1]characters!$A:$C,3,FALSE)</f>
        <v>夜天の聖天使 ミカエル・ハレルヤ</v>
      </c>
      <c r="C1192" s="40" t="s">
        <v>26</v>
      </c>
      <c r="D1192" s="46" t="str">
        <f>D1188</f>
        <v>5181</v>
      </c>
      <c r="E1192" s="19" t="str">
        <f>VLOOKUP(D1192,unit_serifs_i18n!C:E,3,FALSE)</f>
        <v>giza</v>
      </c>
      <c r="F1192" s="19" t="str">
        <f>VLOOKUP(D1192,unit_serifs_i18n!C:F,4,FALSE)</f>
        <v>高ぶってきましたっ！</v>
      </c>
    </row>
    <row r="1193" spans="1:6" x14ac:dyDescent="0.15">
      <c r="A1193" s="61">
        <v>519</v>
      </c>
      <c r="B1193" s="9" t="str">
        <f>VLOOKUP(A1193,[1]characters!$A:$C,3,FALSE)</f>
        <v>夜天の聖天使 ミカエル・ハレルヤ</v>
      </c>
      <c r="C1193" s="40" t="s">
        <v>26</v>
      </c>
      <c r="D1193" s="46" t="str">
        <f>D1189</f>
        <v>5182</v>
      </c>
      <c r="E1193" s="19" t="str">
        <f>VLOOKUP(D1193,unit_serifs_i18n!C:E,3,FALSE)</f>
        <v>giza</v>
      </c>
      <c r="F1193" s="19" t="str">
        <f>VLOOKUP(D1193,unit_serifs_i18n!C:F,4,FALSE)</f>
        <v>罰が当たりますよっ！</v>
      </c>
    </row>
    <row r="1194" spans="1:6" x14ac:dyDescent="0.15">
      <c r="A1194" s="38">
        <v>524</v>
      </c>
      <c r="B1194" s="9" t="str">
        <f>VLOOKUP(A1194,[1]characters!$A:$C,3,FALSE)</f>
        <v>あけおめダック</v>
      </c>
      <c r="C1194" s="65" t="s">
        <v>26</v>
      </c>
      <c r="D1194" s="42" t="str">
        <f>A1194&amp;+(COUNTIF(A$32:A1194,A1194)-1)</f>
        <v>5240</v>
      </c>
      <c r="E1194" s="19" t="str">
        <f>VLOOKUP(D1194,unit_serifs_i18n!C:E,3,FALSE)</f>
        <v>giza</v>
      </c>
      <c r="F1194" s="19" t="str">
        <f>VLOOKUP(D1194,unit_serifs_i18n!C:F,4,FALSE)</f>
        <v>あけおめグヮ！</v>
      </c>
    </row>
    <row r="1195" spans="1:6" x14ac:dyDescent="0.15">
      <c r="A1195" s="38">
        <v>524</v>
      </c>
      <c r="B1195" s="9" t="str">
        <f>VLOOKUP(A1195,[1]characters!$A:$C,3,FALSE)</f>
        <v>あけおめダック</v>
      </c>
      <c r="C1195" s="65" t="s">
        <v>26</v>
      </c>
      <c r="D1195" s="42" t="str">
        <f>A1195&amp;+(COUNTIF(A$32:A1195,A1195)-1)</f>
        <v>5241</v>
      </c>
      <c r="E1195" s="19" t="str">
        <f>VLOOKUP(D1195,unit_serifs_i18n!C:E,3,FALSE)</f>
        <v>giza</v>
      </c>
      <c r="F1195" s="19" t="str">
        <f>VLOOKUP(D1195,unit_serifs_i18n!C:F,4,FALSE)</f>
        <v>今年もよろしくグヮ！</v>
      </c>
    </row>
    <row r="1196" spans="1:6" x14ac:dyDescent="0.15">
      <c r="A1196" s="61">
        <v>619</v>
      </c>
      <c r="B1196" s="9" t="str">
        <f>VLOOKUP(A1196,[1]characters!$A:$C,3,FALSE)</f>
        <v>メビウス</v>
      </c>
      <c r="C1196" s="73" t="s">
        <v>951</v>
      </c>
      <c r="D1196" s="42" t="str">
        <f>A1196&amp;+(COUNTIF(A$32:A1196,A1196)-1)</f>
        <v>6190</v>
      </c>
      <c r="E1196" s="19" t="str">
        <f>VLOOKUP(D1196,unit_serifs_i18n!C:E,3,FALSE)</f>
        <v>maru</v>
      </c>
      <c r="F1196" s="19" t="str">
        <f>VLOOKUP(D1196,unit_serifs_i18n!C:F,4,FALSE)</f>
        <v>全ては繋がっています</v>
      </c>
    </row>
    <row r="1197" spans="1:6" x14ac:dyDescent="0.15">
      <c r="A1197" s="61">
        <v>619</v>
      </c>
      <c r="B1197" s="9" t="str">
        <f>VLOOKUP(A1197,[1]characters!$A:$C,3,FALSE)</f>
        <v>メビウス</v>
      </c>
      <c r="C1197" s="40" t="s">
        <v>26</v>
      </c>
      <c r="D1197" s="42" t="str">
        <f>A1197&amp;+(COUNTIF(A$32:A1197,A1197)-1)</f>
        <v>6191</v>
      </c>
      <c r="E1197" s="19" t="str">
        <f>VLOOKUP(D1197,unit_serifs_i18n!C:E,3,FALSE)</f>
        <v>maru</v>
      </c>
      <c r="F1197" s="19" t="str">
        <f>VLOOKUP(D1197,unit_serifs_i18n!C:F,4,FALSE)</f>
        <v>散りばめます</v>
      </c>
    </row>
    <row r="1198" spans="1:6" x14ac:dyDescent="0.15">
      <c r="A1198" s="61">
        <v>619</v>
      </c>
      <c r="B1198" s="9" t="str">
        <f>VLOOKUP(A1198,[1]characters!$A:$C,3,FALSE)</f>
        <v>メビウス</v>
      </c>
      <c r="C1198" s="40" t="s">
        <v>26</v>
      </c>
      <c r="D1198" s="42" t="str">
        <f>A1198&amp;+(COUNTIF(A$32:A1198,A1198)-1)</f>
        <v>6192</v>
      </c>
      <c r="E1198" s="19" t="str">
        <f>VLOOKUP(D1198,unit_serifs_i18n!C:E,3,FALSE)</f>
        <v>maru</v>
      </c>
      <c r="F1198" s="19" t="str">
        <f>VLOOKUP(D1198,unit_serifs_i18n!C:F,4,FALSE)</f>
        <v>収束します</v>
      </c>
    </row>
    <row r="1199" spans="1:6" x14ac:dyDescent="0.15">
      <c r="A1199" s="61">
        <v>620</v>
      </c>
      <c r="B1199" s="9" t="str">
        <f>VLOOKUP(A1199,[1]characters!$A:$C,3,FALSE)</f>
        <v>奇跡の調和 メビウス</v>
      </c>
      <c r="C1199" s="73" t="s">
        <v>989</v>
      </c>
      <c r="D1199" s="42" t="str">
        <f>A1199&amp;+(COUNTIF(A$32:A1199,A1199)-1)</f>
        <v>6200</v>
      </c>
      <c r="E1199" s="19" t="str">
        <f>VLOOKUP(D1199,unit_serifs_i18n!C:E,3,FALSE)</f>
        <v>maru</v>
      </c>
      <c r="F1199" s="19" t="str">
        <f>VLOOKUP(D1199,unit_serifs_i18n!C:F,4,FALSE)</f>
        <v>裏も表もありませんよ</v>
      </c>
    </row>
    <row r="1200" spans="1:6" x14ac:dyDescent="0.15">
      <c r="A1200" s="61">
        <v>620</v>
      </c>
      <c r="B1200" s="9" t="str">
        <f>VLOOKUP(A1200,[1]characters!$A:$C,3,FALSE)</f>
        <v>奇跡の調和 メビウス</v>
      </c>
      <c r="C1200" s="40" t="s">
        <v>26</v>
      </c>
      <c r="D1200" s="42" t="str">
        <f>A1200&amp;+(COUNTIF(A$32:A1200,A1200)-1)</f>
        <v>6201</v>
      </c>
      <c r="E1200" s="19" t="str">
        <f>VLOOKUP(D1200,unit_serifs_i18n!C:E,3,FALSE)</f>
        <v>maru</v>
      </c>
      <c r="F1200" s="19" t="str">
        <f>VLOOKUP(D1200,unit_serifs_i18n!C:F,4,FALSE)</f>
        <v>全てを集めました</v>
      </c>
    </row>
    <row r="1201" spans="1:6" x14ac:dyDescent="0.15">
      <c r="A1201" s="61">
        <v>620</v>
      </c>
      <c r="B1201" s="9" t="str">
        <f>VLOOKUP(A1201,[1]characters!$A:$C,3,FALSE)</f>
        <v>奇跡の調和 メビウス</v>
      </c>
      <c r="C1201" s="40" t="s">
        <v>26</v>
      </c>
      <c r="D1201" s="46" t="str">
        <f>D1197</f>
        <v>6191</v>
      </c>
      <c r="E1201" s="19" t="str">
        <f>VLOOKUP(D1201,unit_serifs_i18n!C:E,3,FALSE)</f>
        <v>maru</v>
      </c>
      <c r="F1201" s="19" t="str">
        <f>VLOOKUP(D1201,unit_serifs_i18n!C:F,4,FALSE)</f>
        <v>散りばめます</v>
      </c>
    </row>
    <row r="1202" spans="1:6" x14ac:dyDescent="0.15">
      <c r="A1202" s="61">
        <v>620</v>
      </c>
      <c r="B1202" s="9" t="str">
        <f>VLOOKUP(A1202,[1]characters!$A:$C,3,FALSE)</f>
        <v>奇跡の調和 メビウス</v>
      </c>
      <c r="C1202" s="40" t="s">
        <v>26</v>
      </c>
      <c r="D1202" s="46" t="str">
        <f>D1198</f>
        <v>6192</v>
      </c>
      <c r="E1202" s="19" t="str">
        <f>VLOOKUP(D1202,unit_serifs_i18n!C:E,3,FALSE)</f>
        <v>maru</v>
      </c>
      <c r="F1202" s="19" t="str">
        <f>VLOOKUP(D1202,unit_serifs_i18n!C:F,4,FALSE)</f>
        <v>収束します</v>
      </c>
    </row>
    <row r="1203" spans="1:6" x14ac:dyDescent="0.15">
      <c r="A1203" s="61">
        <v>621</v>
      </c>
      <c r="B1203" s="9" t="str">
        <f>VLOOKUP(A1203,[1]characters!$A:$C,3,FALSE)</f>
        <v>終わりなき奇跡 メビウス</v>
      </c>
      <c r="C1203" s="73" t="s">
        <v>989</v>
      </c>
      <c r="D1203" s="42" t="str">
        <f>A1203&amp;+(COUNTIF(A$32:A1203,A1203)-1)</f>
        <v>6210</v>
      </c>
      <c r="E1203" s="19" t="str">
        <f>VLOOKUP(D1203,unit_serifs_i18n!C:E,3,FALSE)</f>
        <v>maru</v>
      </c>
      <c r="F1203" s="19" t="str">
        <f>VLOOKUP(D1203,unit_serifs_i18n!C:F,4,FALSE)</f>
        <v>勝利への軌跡が見えました</v>
      </c>
    </row>
    <row r="1204" spans="1:6" x14ac:dyDescent="0.15">
      <c r="A1204" s="61">
        <v>621</v>
      </c>
      <c r="B1204" s="9" t="str">
        <f>VLOOKUP(A1204,[1]characters!$A:$C,3,FALSE)</f>
        <v>終わりなき奇跡 メビウス</v>
      </c>
      <c r="C1204" s="40" t="s">
        <v>26</v>
      </c>
      <c r="D1204" s="42" t="str">
        <f>A1204&amp;+(COUNTIF(A$32:A1204,A1204)-1)</f>
        <v>6211</v>
      </c>
      <c r="E1204" s="19" t="str">
        <f>VLOOKUP(D1204,unit_serifs_i18n!C:E,3,FALSE)</f>
        <v>maru</v>
      </c>
      <c r="F1204" s="19" t="str">
        <f>VLOOKUP(D1204,unit_serifs_i18n!C:F,4,FALSE)</f>
        <v>連鎖反応という現象です</v>
      </c>
    </row>
    <row r="1205" spans="1:6" x14ac:dyDescent="0.15">
      <c r="A1205" s="61">
        <v>621</v>
      </c>
      <c r="B1205" s="9" t="str">
        <f>VLOOKUP(A1205,[1]characters!$A:$C,3,FALSE)</f>
        <v>終わりなき奇跡 メビウス</v>
      </c>
      <c r="C1205" s="40" t="s">
        <v>26</v>
      </c>
      <c r="D1205" s="46" t="str">
        <f>D1201</f>
        <v>6191</v>
      </c>
      <c r="E1205" s="19" t="str">
        <f>VLOOKUP(D1205,unit_serifs_i18n!C:E,3,FALSE)</f>
        <v>maru</v>
      </c>
      <c r="F1205" s="19" t="str">
        <f>VLOOKUP(D1205,unit_serifs_i18n!C:F,4,FALSE)</f>
        <v>散りばめます</v>
      </c>
    </row>
    <row r="1206" spans="1:6" x14ac:dyDescent="0.15">
      <c r="A1206" s="61">
        <v>621</v>
      </c>
      <c r="B1206" s="9" t="str">
        <f>VLOOKUP(A1206,[1]characters!$A:$C,3,FALSE)</f>
        <v>終わりなき奇跡 メビウス</v>
      </c>
      <c r="C1206" s="40" t="s">
        <v>26</v>
      </c>
      <c r="D1206" s="46" t="str">
        <f>D1202</f>
        <v>6192</v>
      </c>
      <c r="E1206" s="19" t="str">
        <f>VLOOKUP(D1206,unit_serifs_i18n!C:E,3,FALSE)</f>
        <v>maru</v>
      </c>
      <c r="F1206" s="19" t="str">
        <f>VLOOKUP(D1206,unit_serifs_i18n!C:F,4,FALSE)</f>
        <v>収束します</v>
      </c>
    </row>
    <row r="1207" spans="1:6" x14ac:dyDescent="0.15">
      <c r="A1207" s="61">
        <v>621</v>
      </c>
      <c r="B1207" s="9" t="str">
        <f>VLOOKUP(A1207,[1]characters!$A:$C,3,FALSE)</f>
        <v>終わりなき奇跡 メビウス</v>
      </c>
      <c r="C1207" s="40" t="s">
        <v>26</v>
      </c>
      <c r="D1207" s="46" t="str">
        <f>D1200</f>
        <v>6201</v>
      </c>
      <c r="E1207" s="19" t="str">
        <f>VLOOKUP(D1207,unit_serifs_i18n!C:E,3,FALSE)</f>
        <v>maru</v>
      </c>
      <c r="F1207" s="19" t="str">
        <f>VLOOKUP(D1207,unit_serifs_i18n!C:F,4,FALSE)</f>
        <v>全てを集めました</v>
      </c>
    </row>
    <row r="1208" spans="1:6" x14ac:dyDescent="0.15">
      <c r="A1208" s="61">
        <v>623</v>
      </c>
      <c r="B1208" s="9" t="str">
        <f>VLOOKUP(A1208,[1]characters!$A:$C,3,FALSE)</f>
        <v>フェルマー</v>
      </c>
      <c r="C1208" s="73" t="s">
        <v>989</v>
      </c>
      <c r="D1208" s="42" t="str">
        <f>A1208&amp;+(COUNTIF(A$32:A1208,A1208)-1)</f>
        <v>6230</v>
      </c>
      <c r="E1208" s="19" t="str">
        <f>VLOOKUP(D1208,unit_serifs_i18n!C:E,3,FALSE)</f>
        <v>maru</v>
      </c>
      <c r="F1208" s="19" t="str">
        <f>VLOOKUP(D1208,unit_serifs_i18n!C:F,4,FALSE)</f>
        <v>あれ？口だけなのかしら？</v>
      </c>
    </row>
    <row r="1209" spans="1:6" x14ac:dyDescent="0.15">
      <c r="A1209" s="61">
        <v>623</v>
      </c>
      <c r="B1209" s="9" t="str">
        <f>VLOOKUP(A1209,[1]characters!$A:$C,3,FALSE)</f>
        <v>フェルマー</v>
      </c>
      <c r="C1209" s="40" t="s">
        <v>26</v>
      </c>
      <c r="D1209" s="42" t="str">
        <f>A1209&amp;+(COUNTIF(A$32:A1209,A1209)-1)</f>
        <v>6231</v>
      </c>
      <c r="E1209" s="19" t="str">
        <f>VLOOKUP(D1209,unit_serifs_i18n!C:E,3,FALSE)</f>
        <v>giza</v>
      </c>
      <c r="F1209" s="19" t="str">
        <f>VLOOKUP(D1209,unit_serifs_i18n!C:F,4,FALSE)</f>
        <v>見惚れさせてあげる！</v>
      </c>
    </row>
    <row r="1210" spans="1:6" x14ac:dyDescent="0.15">
      <c r="A1210" s="61">
        <v>623</v>
      </c>
      <c r="B1210" s="9" t="str">
        <f>VLOOKUP(A1210,[1]characters!$A:$C,3,FALSE)</f>
        <v>フェルマー</v>
      </c>
      <c r="C1210" s="40" t="s">
        <v>26</v>
      </c>
      <c r="D1210" s="42" t="str">
        <f>A1210&amp;+(COUNTIF(A$32:A1210,A1210)-1)</f>
        <v>6232</v>
      </c>
      <c r="E1210" s="19" t="str">
        <f>VLOOKUP(D1210,unit_serifs_i18n!C:E,3,FALSE)</f>
        <v>giza</v>
      </c>
      <c r="F1210" s="19" t="str">
        <f>VLOOKUP(D1210,unit_serifs_i18n!C:F,4,FALSE)</f>
        <v>私の前は走らせない！</v>
      </c>
    </row>
    <row r="1211" spans="1:6" x14ac:dyDescent="0.15">
      <c r="A1211" s="61">
        <v>623</v>
      </c>
      <c r="B1211" s="9" t="str">
        <f>VLOOKUP(A1211,[1]characters!$A:$C,3,FALSE)</f>
        <v>フェルマー</v>
      </c>
      <c r="C1211" s="40" t="s">
        <v>26</v>
      </c>
      <c r="D1211" s="42" t="str">
        <f>A1211&amp;+(COUNTIF(A$32:A1211,A1211)-1)</f>
        <v>6233</v>
      </c>
      <c r="E1211" s="19" t="str">
        <f>VLOOKUP(D1211,unit_serifs_i18n!C:E,3,FALSE)</f>
        <v>maru</v>
      </c>
      <c r="F1211" s="19" t="str">
        <f>VLOOKUP(D1211,unit_serifs_i18n!C:F,4,FALSE)</f>
        <v>ほら捕まえてごらん！</v>
      </c>
    </row>
    <row r="1212" spans="1:6" x14ac:dyDescent="0.15">
      <c r="A1212" s="61">
        <v>624</v>
      </c>
      <c r="B1212" s="9" t="str">
        <f>VLOOKUP(A1212,[1]characters!$A:$C,3,FALSE)</f>
        <v>挑発の尖駆者 フェルマー</v>
      </c>
      <c r="C1212" s="73" t="s">
        <v>989</v>
      </c>
      <c r="D1212" s="42" t="str">
        <f>A1212&amp;+(COUNTIF(A$32:A1212,A1212)-1)</f>
        <v>6240</v>
      </c>
      <c r="E1212" s="19" t="str">
        <f>VLOOKUP(D1212,unit_serifs_i18n!C:E,3,FALSE)</f>
        <v>giza</v>
      </c>
      <c r="F1212" s="19" t="str">
        <f>VLOOKUP(D1212,unit_serifs_i18n!C:F,4,FALSE)</f>
        <v>解けるものならどーぞ！！</v>
      </c>
    </row>
    <row r="1213" spans="1:6" x14ac:dyDescent="0.15">
      <c r="A1213" s="61">
        <v>624</v>
      </c>
      <c r="B1213" s="9" t="str">
        <f>VLOOKUP(A1213,[1]characters!$A:$C,3,FALSE)</f>
        <v>挑発の尖駆者 フェルマー</v>
      </c>
      <c r="C1213" s="40" t="s">
        <v>26</v>
      </c>
      <c r="D1213" s="42" t="str">
        <f>A1213&amp;+(COUNTIF(A$32:A1213,A1213)-1)</f>
        <v>6241</v>
      </c>
      <c r="E1213" s="19" t="str">
        <f>VLOOKUP(D1213,unit_serifs_i18n!C:E,3,FALSE)</f>
        <v>giza</v>
      </c>
      <c r="F1213" s="19" t="str">
        <f>VLOOKUP(D1213,unit_serifs_i18n!C:F,4,FALSE)</f>
        <v>道を開けなさいっ！！</v>
      </c>
    </row>
    <row r="1214" spans="1:6" x14ac:dyDescent="0.15">
      <c r="A1214" s="61">
        <v>624</v>
      </c>
      <c r="B1214" s="9" t="str">
        <f>VLOOKUP(A1214,[1]characters!$A:$C,3,FALSE)</f>
        <v>挑発の尖駆者 フェルマー</v>
      </c>
      <c r="C1214" s="40" t="s">
        <v>26</v>
      </c>
      <c r="D1214" s="46" t="str">
        <f>D1210</f>
        <v>6232</v>
      </c>
      <c r="E1214" s="19" t="str">
        <f>VLOOKUP(D1214,unit_serifs_i18n!C:E,3,FALSE)</f>
        <v>giza</v>
      </c>
      <c r="F1214" s="19" t="str">
        <f>VLOOKUP(D1214,unit_serifs_i18n!C:F,4,FALSE)</f>
        <v>私の前は走らせない！</v>
      </c>
    </row>
    <row r="1215" spans="1:6" x14ac:dyDescent="0.15">
      <c r="A1215" s="61">
        <v>624</v>
      </c>
      <c r="B1215" s="9" t="str">
        <f>VLOOKUP(A1215,[1]characters!$A:$C,3,FALSE)</f>
        <v>挑発の尖駆者 フェルマー</v>
      </c>
      <c r="C1215" s="40" t="s">
        <v>26</v>
      </c>
      <c r="D1215" s="46" t="str">
        <f>D1211</f>
        <v>6233</v>
      </c>
      <c r="E1215" s="19" t="str">
        <f>VLOOKUP(D1215,unit_serifs_i18n!C:E,3,FALSE)</f>
        <v>maru</v>
      </c>
      <c r="F1215" s="19" t="str">
        <f>VLOOKUP(D1215,unit_serifs_i18n!C:F,4,FALSE)</f>
        <v>ほら捕まえてごらん！</v>
      </c>
    </row>
    <row r="1216" spans="1:6" x14ac:dyDescent="0.15">
      <c r="A1216" s="61">
        <v>624</v>
      </c>
      <c r="B1216" s="9" t="str">
        <f>VLOOKUP(A1216,[1]characters!$A:$C,3,FALSE)</f>
        <v>挑発の尖駆者 フェルマー</v>
      </c>
      <c r="C1216" s="40" t="s">
        <v>26</v>
      </c>
      <c r="D1216" s="46" t="str">
        <f>D1209</f>
        <v>6231</v>
      </c>
      <c r="E1216" s="19" t="str">
        <f>VLOOKUP(D1216,unit_serifs_i18n!C:E,3,FALSE)</f>
        <v>giza</v>
      </c>
      <c r="F1216" s="19" t="str">
        <f>VLOOKUP(D1216,unit_serifs_i18n!C:F,4,FALSE)</f>
        <v>見惚れさせてあげる！</v>
      </c>
    </row>
    <row r="1217" spans="1:6" x14ac:dyDescent="0.15">
      <c r="A1217" s="63">
        <v>688</v>
      </c>
      <c r="B1217" s="9" t="str">
        <f>VLOOKUP(A1217,[1]characters!$A:$C,3,FALSE)</f>
        <v>ユークリッド</v>
      </c>
      <c r="C1217" s="75" t="s">
        <v>25</v>
      </c>
      <c r="D1217" s="42" t="str">
        <f>A1217&amp;+(COUNTIF(A$32:A1217,A1217)-1)</f>
        <v>6880</v>
      </c>
      <c r="E1217" s="19" t="str">
        <f>VLOOKUP(D1217,unit_serifs_i18n!C:E,3,FALSE)</f>
        <v>maru</v>
      </c>
      <c r="F1217" s="19" t="str">
        <f>VLOOKUP(D1217,unit_serifs_i18n!C:F,4,FALSE)</f>
        <v>んー…そこに決めた！</v>
      </c>
    </row>
    <row r="1218" spans="1:6" x14ac:dyDescent="0.15">
      <c r="A1218" s="63">
        <v>688</v>
      </c>
      <c r="B1218" s="9" t="str">
        <f>VLOOKUP(A1218,[1]characters!$A:$C,3,FALSE)</f>
        <v>ユークリッド</v>
      </c>
      <c r="C1218" s="62" t="s">
        <v>26</v>
      </c>
      <c r="D1218" s="67" t="str">
        <f>A1218&amp;+(COUNTIF(A$32:A1218,A1218)-1)</f>
        <v>6881</v>
      </c>
      <c r="E1218" s="19" t="str">
        <f>VLOOKUP(D1218,unit_serifs_i18n!C:E,3,FALSE)</f>
        <v>giza</v>
      </c>
      <c r="F1218" s="19" t="str">
        <f>VLOOKUP(D1218,unit_serifs_i18n!C:F,4,FALSE)</f>
        <v>まとめてやっちゃうよ！</v>
      </c>
    </row>
    <row r="1219" spans="1:6" x14ac:dyDescent="0.15">
      <c r="A1219" s="63">
        <v>688</v>
      </c>
      <c r="B1219" s="9" t="str">
        <f>VLOOKUP(A1219,[1]characters!$A:$C,3,FALSE)</f>
        <v>ユークリッド</v>
      </c>
      <c r="C1219" s="62" t="s">
        <v>26</v>
      </c>
      <c r="D1219" s="67" t="str">
        <f>A1219&amp;+(COUNTIF(A$32:A1219,A1219)-1)</f>
        <v>6882</v>
      </c>
      <c r="E1219" s="19" t="str">
        <f>VLOOKUP(D1219,unit_serifs_i18n!C:E,3,FALSE)</f>
        <v>giza</v>
      </c>
      <c r="F1219" s="19" t="str">
        <f>VLOOKUP(D1219,unit_serifs_i18n!C:F,4,FALSE)</f>
        <v>レッスン！！</v>
      </c>
    </row>
    <row r="1220" spans="1:6" x14ac:dyDescent="0.15">
      <c r="A1220" s="63">
        <v>689</v>
      </c>
      <c r="B1220" s="9" t="str">
        <f>VLOOKUP(A1220,[1]characters!$A:$C,3,FALSE)</f>
        <v>根原論理 ユークリッド</v>
      </c>
      <c r="C1220" s="75" t="s">
        <v>25</v>
      </c>
      <c r="D1220" s="42" t="str">
        <f>A1220&amp;+(COUNTIF(A$32:A1220,A1220)-1)</f>
        <v>6890</v>
      </c>
      <c r="E1220" s="19" t="str">
        <f>VLOOKUP(D1220,unit_serifs_i18n!C:E,3,FALSE)</f>
        <v>maru</v>
      </c>
      <c r="F1220" s="19" t="str">
        <f>VLOOKUP(D1220,unit_serifs_i18n!C:F,4,FALSE)</f>
        <v>ボクの描図、見せてあげる！</v>
      </c>
    </row>
    <row r="1221" spans="1:6" x14ac:dyDescent="0.15">
      <c r="A1221" s="63">
        <v>689</v>
      </c>
      <c r="B1221" s="9" t="str">
        <f>VLOOKUP(A1221,[1]characters!$A:$C,3,FALSE)</f>
        <v>根原論理 ユークリッド</v>
      </c>
      <c r="C1221" s="62" t="s">
        <v>26</v>
      </c>
      <c r="D1221" s="42" t="str">
        <f>A1221&amp;+(COUNTIF(A$32:A1221,A1221)-1)</f>
        <v>6891</v>
      </c>
      <c r="E1221" s="19" t="str">
        <f>VLOOKUP(D1221,unit_serifs_i18n!C:E,3,FALSE)</f>
        <v>maru</v>
      </c>
      <c r="F1221" s="19" t="str">
        <f>VLOOKUP(D1221,unit_serifs_i18n!C:F,4,FALSE)</f>
        <v>キミにわかる？</v>
      </c>
    </row>
    <row r="1222" spans="1:6" x14ac:dyDescent="0.15">
      <c r="A1222" s="63">
        <v>689</v>
      </c>
      <c r="B1222" s="9" t="str">
        <f>VLOOKUP(A1222,[1]characters!$A:$C,3,FALSE)</f>
        <v>根原論理 ユークリッド</v>
      </c>
      <c r="C1222" s="62" t="s">
        <v>26</v>
      </c>
      <c r="D1222" s="66" t="str">
        <f>D1218</f>
        <v>6881</v>
      </c>
      <c r="E1222" s="19" t="str">
        <f>VLOOKUP(D1222,unit_serifs_i18n!C:E,3,FALSE)</f>
        <v>giza</v>
      </c>
      <c r="F1222" s="19" t="str">
        <f>VLOOKUP(D1222,unit_serifs_i18n!C:F,4,FALSE)</f>
        <v>まとめてやっちゃうよ！</v>
      </c>
    </row>
    <row r="1223" spans="1:6" x14ac:dyDescent="0.15">
      <c r="A1223" s="63">
        <v>689</v>
      </c>
      <c r="B1223" s="9" t="str">
        <f>VLOOKUP(A1223,[1]characters!$A:$C,3,FALSE)</f>
        <v>根原論理 ユークリッド</v>
      </c>
      <c r="C1223" s="62" t="s">
        <v>26</v>
      </c>
      <c r="D1223" s="66" t="str">
        <f>D1219</f>
        <v>6882</v>
      </c>
      <c r="E1223" s="19" t="str">
        <f>VLOOKUP(D1223,unit_serifs_i18n!C:E,3,FALSE)</f>
        <v>giza</v>
      </c>
      <c r="F1223" s="19" t="str">
        <f>VLOOKUP(D1223,unit_serifs_i18n!C:F,4,FALSE)</f>
        <v>レッスン！！</v>
      </c>
    </row>
    <row r="1224" spans="1:6" x14ac:dyDescent="0.15">
      <c r="A1224" s="63">
        <v>690</v>
      </c>
      <c r="B1224" s="9" t="str">
        <f>VLOOKUP(A1224,[1]characters!$A:$C,3,FALSE)</f>
        <v>不朽の極論 ユークリッド</v>
      </c>
      <c r="C1224" s="74" t="s">
        <v>989</v>
      </c>
      <c r="D1224" s="42" t="str">
        <f>A1224&amp;+(COUNTIF(A$32:A1224,A1224)-1)</f>
        <v>6900</v>
      </c>
      <c r="E1224" s="19" t="str">
        <f>VLOOKUP(D1224,unit_serifs_i18n!C:E,3,FALSE)</f>
        <v>giza</v>
      </c>
      <c r="F1224" s="19" t="str">
        <f>VLOOKUP(D1224,unit_serifs_i18n!C:F,4,FALSE)</f>
        <v>どんな形も自由自在だよ！</v>
      </c>
    </row>
    <row r="1225" spans="1:6" x14ac:dyDescent="0.15">
      <c r="A1225" s="63">
        <v>690</v>
      </c>
      <c r="B1225" s="9" t="str">
        <f>VLOOKUP(A1225,[1]characters!$A:$C,3,FALSE)</f>
        <v>不朽の極論 ユークリッド</v>
      </c>
      <c r="C1225" s="55" t="s">
        <v>1077</v>
      </c>
      <c r="D1225" s="42" t="str">
        <f>A1225&amp;+(COUNTIF(A$32:A1225,A1225)-1)</f>
        <v>6901</v>
      </c>
      <c r="E1225" s="19" t="str">
        <f>VLOOKUP(D1225,unit_serifs_i18n!C:E,3,FALSE)</f>
        <v>maru</v>
      </c>
      <c r="F1225" s="19" t="str">
        <f>VLOOKUP(D1225,unit_serifs_i18n!C:F,4,FALSE)</f>
        <v>キミも指導が必要かな？</v>
      </c>
    </row>
    <row r="1226" spans="1:6" x14ac:dyDescent="0.15">
      <c r="A1226" s="63">
        <v>690</v>
      </c>
      <c r="B1226" s="9" t="str">
        <f>VLOOKUP(A1226,[1]characters!$A:$C,3,FALSE)</f>
        <v>不朽の極論 ユークリッド</v>
      </c>
      <c r="C1226" s="55" t="s">
        <v>1074</v>
      </c>
      <c r="D1226" s="42" t="str">
        <f>D1221</f>
        <v>6891</v>
      </c>
      <c r="E1226" s="19" t="str">
        <f>VLOOKUP(D1226,unit_serifs_i18n!C:E,3,FALSE)</f>
        <v>maru</v>
      </c>
      <c r="F1226" s="19" t="str">
        <f>VLOOKUP(D1226,unit_serifs_i18n!C:F,4,FALSE)</f>
        <v>キミにわかる？</v>
      </c>
    </row>
    <row r="1227" spans="1:6" x14ac:dyDescent="0.15">
      <c r="A1227" s="63">
        <v>690</v>
      </c>
      <c r="B1227" s="9" t="str">
        <f>VLOOKUP(A1227,[1]characters!$A:$C,3,FALSE)</f>
        <v>不朽の極論 ユークリッド</v>
      </c>
      <c r="C1227" s="55" t="s">
        <v>1074</v>
      </c>
      <c r="D1227" s="66" t="str">
        <f>D1222</f>
        <v>6881</v>
      </c>
      <c r="E1227" s="19" t="str">
        <f>VLOOKUP(D1227,unit_serifs_i18n!C:E,3,FALSE)</f>
        <v>giza</v>
      </c>
      <c r="F1227" s="19" t="str">
        <f>VLOOKUP(D1227,unit_serifs_i18n!C:F,4,FALSE)</f>
        <v>まとめてやっちゃうよ！</v>
      </c>
    </row>
    <row r="1228" spans="1:6" x14ac:dyDescent="0.15">
      <c r="A1228" s="63">
        <v>690</v>
      </c>
      <c r="B1228" s="9" t="str">
        <f>VLOOKUP(A1228,[1]characters!$A:$C,3,FALSE)</f>
        <v>不朽の極論 ユークリッド</v>
      </c>
      <c r="C1228" s="55" t="s">
        <v>1074</v>
      </c>
      <c r="D1228" s="66" t="str">
        <f>D1223</f>
        <v>6882</v>
      </c>
      <c r="E1228" s="19" t="str">
        <f>VLOOKUP(D1228,unit_serifs_i18n!C:E,3,FALSE)</f>
        <v>giza</v>
      </c>
      <c r="F1228" s="19" t="str">
        <f>VLOOKUP(D1228,unit_serifs_i18n!C:F,4,FALSE)</f>
        <v>レッスン！！</v>
      </c>
    </row>
    <row r="1229" spans="1:6" x14ac:dyDescent="0.15">
      <c r="A1229" s="63">
        <v>790</v>
      </c>
      <c r="B1229" s="9" t="str">
        <f>VLOOKUP(A1229,[1]characters!$A:$C,3,FALSE)</f>
        <v>戦略級の才脳 ノイマン</v>
      </c>
      <c r="C1229" s="75" t="s">
        <v>1062</v>
      </c>
      <c r="D1229" s="42" t="str">
        <f>A1229&amp;+(COUNTIF(A$32:A1229,A1229)-1)</f>
        <v>7900</v>
      </c>
      <c r="E1229" s="19" t="str">
        <f>VLOOKUP(D1229,unit_serifs_i18n!C:E,3,FALSE)</f>
        <v>maru</v>
      </c>
      <c r="F1229" s="19" t="str">
        <f>VLOOKUP(D1229,unit_serifs_i18n!C:F,4,FALSE)</f>
        <v>さあ…命令実行よ</v>
      </c>
    </row>
    <row r="1230" spans="1:6" x14ac:dyDescent="0.15">
      <c r="A1230" s="63">
        <v>790</v>
      </c>
      <c r="B1230" s="9" t="str">
        <f>VLOOKUP(A1230,[1]characters!$A:$C,3,FALSE)</f>
        <v>戦略級の才脳 ノイマン</v>
      </c>
      <c r="C1230" s="62" t="s">
        <v>26</v>
      </c>
      <c r="D1230" s="42" t="str">
        <f>A1230&amp;+(COUNTIF(A$32:A1230,A1230)-1)</f>
        <v>7901</v>
      </c>
      <c r="E1230" s="19" t="str">
        <f>VLOOKUP(D1230,unit_serifs_i18n!C:E,3,FALSE)</f>
        <v>maru</v>
      </c>
      <c r="F1230" s="19" t="str">
        <f>VLOOKUP(D1230,unit_serifs_i18n!C:F,4,FALSE)</f>
        <v>耐え切れるかしら？</v>
      </c>
    </row>
    <row r="1231" spans="1:6" x14ac:dyDescent="0.15">
      <c r="A1231" s="63">
        <v>790</v>
      </c>
      <c r="B1231" s="9" t="str">
        <f>VLOOKUP(A1231,[1]characters!$A:$C,3,FALSE)</f>
        <v>戦略級の才脳 ノイマン</v>
      </c>
      <c r="C1231" s="62" t="s">
        <v>26</v>
      </c>
      <c r="D1231" s="42" t="str">
        <f>A1231&amp;+(COUNTIF(A$32:A1231,A1231)-1)</f>
        <v>7902</v>
      </c>
      <c r="E1231" s="19" t="str">
        <f>VLOOKUP(D1231,unit_serifs_i18n!C:E,3,FALSE)</f>
        <v>maru</v>
      </c>
      <c r="F1231" s="19" t="str">
        <f>VLOOKUP(D1231,unit_serifs_i18n!C:F,4,FALSE)</f>
        <v>目障りよ</v>
      </c>
    </row>
    <row r="1232" spans="1:6" x14ac:dyDescent="0.15">
      <c r="A1232" s="63">
        <v>790</v>
      </c>
      <c r="B1232" s="9" t="str">
        <f>VLOOKUP(A1232,[1]characters!$A:$C,3,FALSE)</f>
        <v>戦略級の才脳 ノイマン</v>
      </c>
      <c r="C1232" s="62" t="s">
        <v>26</v>
      </c>
      <c r="D1232" s="42" t="str">
        <f>A1232&amp;+(COUNTIF(A$32:A1232,A1232)-1)</f>
        <v>7903</v>
      </c>
      <c r="E1232" s="19" t="str">
        <f>VLOOKUP(D1232,unit_serifs_i18n!C:E,3,FALSE)</f>
        <v>maru</v>
      </c>
      <c r="F1232" s="19" t="str">
        <f>VLOOKUP(D1232,unit_serifs_i18n!C:F,4,FALSE)</f>
        <v>覚悟しなさい</v>
      </c>
    </row>
    <row r="1233" spans="1:6" x14ac:dyDescent="0.15">
      <c r="A1233" s="63">
        <v>760</v>
      </c>
      <c r="B1233" s="9" t="str">
        <f>VLOOKUP(A1233,[1]characters!$A:$C,3,FALSE)</f>
        <v>限論顕現 クロネッカー</v>
      </c>
      <c r="C1233" s="75" t="s">
        <v>25</v>
      </c>
      <c r="D1233" s="42" t="str">
        <f>A1233&amp;+(COUNTIF(A$32:A1233,A1233)-1)</f>
        <v>7600</v>
      </c>
      <c r="E1233" s="19" t="str">
        <f>VLOOKUP(D1233,unit_serifs_i18n!C:E,3,FALSE)</f>
        <v>maru</v>
      </c>
      <c r="F1233" s="19" t="str">
        <f>VLOOKUP(D1233,unit_serifs_i18n!C:F,4,FALSE)</f>
        <v>それは意味のないものよ</v>
      </c>
    </row>
    <row r="1234" spans="1:6" x14ac:dyDescent="0.15">
      <c r="A1234" s="63">
        <v>760</v>
      </c>
      <c r="B1234" s="9" t="str">
        <f>VLOOKUP(A1234,[1]characters!$A:$C,3,FALSE)</f>
        <v>限論顕現 クロネッカー</v>
      </c>
      <c r="C1234" s="62" t="s">
        <v>26</v>
      </c>
      <c r="D1234" s="42" t="str">
        <f>A1234&amp;+(COUNTIF(A$32:A1234,A1234)-1)</f>
        <v>7601</v>
      </c>
      <c r="E1234" s="19" t="str">
        <f>VLOOKUP(D1234,unit_serifs_i18n!C:E,3,FALSE)</f>
        <v>maru</v>
      </c>
      <c r="F1234" s="19" t="str">
        <f>VLOOKUP(D1234,unit_serifs_i18n!C:F,4,FALSE)</f>
        <v>これで終わりよ</v>
      </c>
    </row>
    <row r="1235" spans="1:6" x14ac:dyDescent="0.15">
      <c r="A1235" s="63">
        <v>760</v>
      </c>
      <c r="B1235" s="9" t="str">
        <f>VLOOKUP(A1235,[1]characters!$A:$C,3,FALSE)</f>
        <v>限論顕現 クロネッカー</v>
      </c>
      <c r="C1235" s="62" t="s">
        <v>26</v>
      </c>
      <c r="D1235" s="42" t="str">
        <f>A1235&amp;+(COUNTIF(A$32:A1235,A1235)-1)</f>
        <v>7602</v>
      </c>
      <c r="E1235" s="19" t="str">
        <f>VLOOKUP(D1235,unit_serifs_i18n!C:E,3,FALSE)</f>
        <v>maru</v>
      </c>
      <c r="F1235" s="19" t="str">
        <f>VLOOKUP(D1235,unit_serifs_i18n!C:F,4,FALSE)</f>
        <v>邪魔しないで</v>
      </c>
    </row>
    <row r="1236" spans="1:6" x14ac:dyDescent="0.15">
      <c r="A1236" s="63">
        <v>760</v>
      </c>
      <c r="B1236" s="9" t="str">
        <f>VLOOKUP(A1236,[1]characters!$A:$C,3,FALSE)</f>
        <v>限論顕現 クロネッカー</v>
      </c>
      <c r="C1236" s="62" t="s">
        <v>26</v>
      </c>
      <c r="D1236" s="42" t="str">
        <f>A1236&amp;+(COUNTIF(A$32:A1236,A1236)-1)</f>
        <v>7603</v>
      </c>
      <c r="E1236" s="19" t="str">
        <f>VLOOKUP(D1236,unit_serifs_i18n!C:E,3,FALSE)</f>
        <v>maru</v>
      </c>
      <c r="F1236" s="19" t="str">
        <f>VLOOKUP(D1236,unit_serifs_i18n!C:F,4,FALSE)</f>
        <v>あなたでは無理よ</v>
      </c>
    </row>
    <row r="1237" spans="1:6" x14ac:dyDescent="0.15">
      <c r="A1237" s="63">
        <v>761</v>
      </c>
      <c r="B1237" s="9" t="str">
        <f>VLOOKUP(A1237,[1]characters!$A:$C,3,FALSE)</f>
        <v>唯限の崇嬢 クロネッカー</v>
      </c>
      <c r="C1237" s="75" t="s">
        <v>25</v>
      </c>
      <c r="D1237" s="42" t="str">
        <f>A1237&amp;+(COUNTIF(A$32:A1237,A1237)-1)</f>
        <v>7610</v>
      </c>
      <c r="E1237" s="19" t="str">
        <f>VLOOKUP(D1237,unit_serifs_i18n!C:E,3,FALSE)</f>
        <v>maru</v>
      </c>
      <c r="F1237" s="19" t="str">
        <f>VLOOKUP(D1237,unit_serifs_i18n!C:F,4,FALSE)</f>
        <v>ピンと来たのよ</v>
      </c>
    </row>
    <row r="1238" spans="1:6" x14ac:dyDescent="0.15">
      <c r="A1238" s="63">
        <v>761</v>
      </c>
      <c r="B1238" s="9" t="str">
        <f>VLOOKUP(A1238,[1]characters!$A:$C,3,FALSE)</f>
        <v>唯限の崇嬢 クロネッカー</v>
      </c>
      <c r="C1238" s="62" t="s">
        <v>26</v>
      </c>
      <c r="D1238" s="42" t="str">
        <f>A1238&amp;+(COUNTIF(A$32:A1238,A1238)-1)</f>
        <v>7611</v>
      </c>
      <c r="E1238" s="19" t="str">
        <f>VLOOKUP(D1238,unit_serifs_i18n!C:E,3,FALSE)</f>
        <v>maru</v>
      </c>
      <c r="F1238" s="19" t="str">
        <f>VLOOKUP(D1238,unit_serifs_i18n!C:F,4,FALSE)</f>
        <v>その顔が見たかったわ</v>
      </c>
    </row>
    <row r="1239" spans="1:6" x14ac:dyDescent="0.15">
      <c r="A1239" s="63">
        <v>761</v>
      </c>
      <c r="B1239" s="9" t="str">
        <f>VLOOKUP(A1239,[1]characters!$A:$C,3,FALSE)</f>
        <v>唯限の崇嬢 クロネッカー</v>
      </c>
      <c r="C1239" s="62" t="s">
        <v>26</v>
      </c>
      <c r="D1239" s="42" t="str">
        <f>D1234</f>
        <v>7601</v>
      </c>
      <c r="E1239" s="19" t="str">
        <f>VLOOKUP(D1239,unit_serifs_i18n!C:E,3,FALSE)</f>
        <v>maru</v>
      </c>
      <c r="F1239" s="19" t="str">
        <f>VLOOKUP(D1239,unit_serifs_i18n!C:F,4,FALSE)</f>
        <v>これで終わりよ</v>
      </c>
    </row>
    <row r="1240" spans="1:6" x14ac:dyDescent="0.15">
      <c r="A1240" s="63">
        <v>761</v>
      </c>
      <c r="B1240" s="9" t="str">
        <f>VLOOKUP(A1240,[1]characters!$A:$C,3,FALSE)</f>
        <v>唯限の崇嬢 クロネッカー</v>
      </c>
      <c r="C1240" s="62" t="s">
        <v>26</v>
      </c>
      <c r="D1240" s="42" t="str">
        <f>D1235</f>
        <v>7602</v>
      </c>
      <c r="E1240" s="19" t="str">
        <f>VLOOKUP(D1240,unit_serifs_i18n!C:E,3,FALSE)</f>
        <v>maru</v>
      </c>
      <c r="F1240" s="19" t="str">
        <f>VLOOKUP(D1240,unit_serifs_i18n!C:F,4,FALSE)</f>
        <v>邪魔しないで</v>
      </c>
    </row>
    <row r="1241" spans="1:6" x14ac:dyDescent="0.15">
      <c r="A1241" s="63">
        <v>761</v>
      </c>
      <c r="B1241" s="9" t="str">
        <f>VLOOKUP(A1241,[1]characters!$A:$C,3,FALSE)</f>
        <v>唯限の崇嬢 クロネッカー</v>
      </c>
      <c r="C1241" s="62" t="s">
        <v>26</v>
      </c>
      <c r="D1241" s="42" t="str">
        <f>D1236</f>
        <v>7603</v>
      </c>
      <c r="E1241" s="19" t="str">
        <f>VLOOKUP(D1241,unit_serifs_i18n!C:E,3,FALSE)</f>
        <v>maru</v>
      </c>
      <c r="F1241" s="19" t="str">
        <f>VLOOKUP(D1241,unit_serifs_i18n!C:F,4,FALSE)</f>
        <v>あなたでは無理よ</v>
      </c>
    </row>
    <row r="1242" spans="1:6" x14ac:dyDescent="0.15">
      <c r="A1242" s="63">
        <v>792</v>
      </c>
      <c r="B1242" s="9" t="str">
        <f>VLOOKUP(A1242,[1]characters!$A:$C,3,FALSE)</f>
        <v>片還の収波 フーリエ</v>
      </c>
      <c r="C1242" s="75" t="s">
        <v>1062</v>
      </c>
      <c r="D1242" s="42" t="str">
        <f>A1242&amp;+(COUNTIF(A$32:A1242,A1242)-1)</f>
        <v>7920</v>
      </c>
      <c r="E1242" s="19" t="str">
        <f>VLOOKUP(D1242,unit_serifs_i18n!C:E,3,FALSE)</f>
        <v>giza</v>
      </c>
      <c r="F1242" s="19" t="str">
        <f>VLOOKUP(D1242,unit_serifs_i18n!C:F,4,FALSE)</f>
        <v>美しくなりなさい！</v>
      </c>
    </row>
    <row r="1243" spans="1:6" x14ac:dyDescent="0.15">
      <c r="A1243" s="63">
        <v>792</v>
      </c>
      <c r="B1243" s="9" t="str">
        <f>VLOOKUP(A1243,[1]characters!$A:$C,3,FALSE)</f>
        <v>片還の収波 フーリエ</v>
      </c>
      <c r="C1243" s="62" t="s">
        <v>26</v>
      </c>
      <c r="D1243" s="42" t="str">
        <f>A1243&amp;+(COUNTIF(A$32:A1243,A1243)-1)</f>
        <v>7921</v>
      </c>
      <c r="E1243" s="19" t="str">
        <f>VLOOKUP(D1243,unit_serifs_i18n!C:E,3,FALSE)</f>
        <v>maru</v>
      </c>
      <c r="F1243" s="19" t="str">
        <f>VLOOKUP(D1243,unit_serifs_i18n!C:F,4,FALSE)</f>
        <v>熱くなるわよ</v>
      </c>
    </row>
    <row r="1244" spans="1:6" x14ac:dyDescent="0.15">
      <c r="A1244" s="63">
        <v>792</v>
      </c>
      <c r="B1244" s="9" t="str">
        <f>VLOOKUP(A1244,[1]characters!$A:$C,3,FALSE)</f>
        <v>片還の収波 フーリエ</v>
      </c>
      <c r="C1244" s="62" t="s">
        <v>26</v>
      </c>
      <c r="D1244" s="42" t="str">
        <f>A1244&amp;+(COUNTIF(A$32:A1244,A1244)-1)</f>
        <v>7922</v>
      </c>
      <c r="E1244" s="19" t="str">
        <f>VLOOKUP(D1244,unit_serifs_i18n!C:E,3,FALSE)</f>
        <v>maru</v>
      </c>
      <c r="F1244" s="19" t="str">
        <f>VLOOKUP(D1244,unit_serifs_i18n!C:F,4,FALSE)</f>
        <v>気をつけなさい</v>
      </c>
    </row>
    <row r="1245" spans="1:6" x14ac:dyDescent="0.15">
      <c r="A1245" s="63">
        <v>792</v>
      </c>
      <c r="B1245" s="9" t="str">
        <f>VLOOKUP(A1245,[1]characters!$A:$C,3,FALSE)</f>
        <v>片還の収波 フーリエ</v>
      </c>
      <c r="C1245" s="62" t="s">
        <v>26</v>
      </c>
      <c r="D1245" s="42" t="str">
        <f>A1245&amp;+(COUNTIF(A$32:A1245,A1245)-1)</f>
        <v>7923</v>
      </c>
      <c r="E1245" s="19" t="str">
        <f>VLOOKUP(D1245,unit_serifs_i18n!C:E,3,FALSE)</f>
        <v>maru</v>
      </c>
      <c r="F1245" s="19" t="str">
        <f>VLOOKUP(D1245,unit_serifs_i18n!C:F,4,FALSE)</f>
        <v>面白いわね</v>
      </c>
    </row>
    <row r="1246" spans="1:6" x14ac:dyDescent="0.15">
      <c r="A1246" s="63">
        <v>793</v>
      </c>
      <c r="B1246" s="9" t="str">
        <f>VLOOKUP(A1246,[1]characters!$A:$C,3,FALSE)</f>
        <v>熱解する求波導 フーリエ</v>
      </c>
      <c r="C1246" s="75" t="s">
        <v>1062</v>
      </c>
      <c r="D1246" s="42" t="str">
        <f>A1246&amp;+(COUNTIF(A$32:A1246,A1246)-1)</f>
        <v>7930</v>
      </c>
      <c r="E1246" s="19" t="str">
        <f>VLOOKUP(D1246,unit_serifs_i18n!C:E,3,FALSE)</f>
        <v>giza</v>
      </c>
      <c r="F1246" s="19" t="str">
        <f>VLOOKUP(D1246,unit_serifs_i18n!C:F,4,FALSE)</f>
        <v>古の力…素晴らしいわ！</v>
      </c>
    </row>
    <row r="1247" spans="1:6" x14ac:dyDescent="0.15">
      <c r="A1247" s="63">
        <v>793</v>
      </c>
      <c r="B1247" s="9" t="str">
        <f>VLOOKUP(A1247,[1]characters!$A:$C,3,FALSE)</f>
        <v>熱解する求波導 フーリエ</v>
      </c>
      <c r="C1247" s="62" t="s">
        <v>26</v>
      </c>
      <c r="D1247" s="42" t="str">
        <f>A1247&amp;+(COUNTIF(A$32:A1247,A1247)-1)</f>
        <v>7931</v>
      </c>
      <c r="E1247" s="19" t="str">
        <f>VLOOKUP(D1247,unit_serifs_i18n!C:E,3,FALSE)</f>
        <v>maru</v>
      </c>
      <c r="F1247" s="19" t="str">
        <f>VLOOKUP(D1247,unit_serifs_i18n!C:F,4,FALSE)</f>
        <v>熱くなるわよ</v>
      </c>
    </row>
    <row r="1248" spans="1:6" x14ac:dyDescent="0.15">
      <c r="A1248" s="63">
        <v>793</v>
      </c>
      <c r="B1248" s="9" t="str">
        <f>VLOOKUP(A1248,[1]characters!$A:$C,3,FALSE)</f>
        <v>熱解する求波導 フーリエ</v>
      </c>
      <c r="C1248" s="62" t="s">
        <v>26</v>
      </c>
      <c r="D1248" s="42" t="str">
        <f>A1248&amp;+(COUNTIF(A$32:A1248,A1248)-1)</f>
        <v>7932</v>
      </c>
      <c r="E1248" s="19" t="str">
        <f>VLOOKUP(D1248,unit_serifs_i18n!C:E,3,FALSE)</f>
        <v>maru</v>
      </c>
      <c r="F1248" s="19" t="str">
        <f>VLOOKUP(D1248,unit_serifs_i18n!C:F,4,FALSE)</f>
        <v>気をつけなさい</v>
      </c>
    </row>
    <row r="1249" spans="1:6" x14ac:dyDescent="0.15">
      <c r="A1249" s="63">
        <v>793</v>
      </c>
      <c r="B1249" s="9" t="str">
        <f>VLOOKUP(A1249,[1]characters!$A:$C,3,FALSE)</f>
        <v>熱解する求波導 フーリエ</v>
      </c>
      <c r="C1249" s="62" t="s">
        <v>26</v>
      </c>
      <c r="D1249" s="42" t="str">
        <f>A1249&amp;+(COUNTIF(A$32:A1249,A1249)-1)</f>
        <v>7933</v>
      </c>
      <c r="E1249" s="19" t="str">
        <f>VLOOKUP(D1249,unit_serifs_i18n!C:E,3,FALSE)</f>
        <v>maru</v>
      </c>
      <c r="F1249" s="19" t="str">
        <f>VLOOKUP(D1249,unit_serifs_i18n!C:F,4,FALSE)</f>
        <v>面白いわね</v>
      </c>
    </row>
    <row r="1250" spans="1:6" x14ac:dyDescent="0.15">
      <c r="A1250" s="63">
        <v>793</v>
      </c>
      <c r="B1250" s="9" t="str">
        <f>VLOOKUP(A1250,[1]characters!$A:$C,3,FALSE)</f>
        <v>熱解する求波導 フーリエ</v>
      </c>
      <c r="C1250" s="62" t="s">
        <v>26</v>
      </c>
      <c r="D1250" s="42" t="str">
        <f>A1250&amp;+(COUNTIF(A$32:A1250,A1250)-1)</f>
        <v>7934</v>
      </c>
      <c r="E1250" s="19" t="str">
        <f>VLOOKUP(D1250,unit_serifs_i18n!C:E,3,FALSE)</f>
        <v>maru</v>
      </c>
      <c r="F1250" s="19" t="str">
        <f>VLOOKUP(D1250,unit_serifs_i18n!C:F,4,FALSE)</f>
        <v>この神秘…味わってみる？</v>
      </c>
    </row>
    <row r="1251" spans="1:6" x14ac:dyDescent="0.15">
      <c r="A1251" s="63">
        <v>786</v>
      </c>
      <c r="B1251" s="9" t="s">
        <v>1071</v>
      </c>
      <c r="C1251" s="74" t="s">
        <v>1073</v>
      </c>
      <c r="D1251" s="42" t="str">
        <f>A1251&amp;+(COUNTIF(A$32:A1251,A1251)-1)</f>
        <v>7860</v>
      </c>
      <c r="E1251" s="19" t="str">
        <f>VLOOKUP(D1251,unit_serifs_i18n!C:E,3,FALSE)</f>
        <v>maru</v>
      </c>
      <c r="F1251" s="19" t="str">
        <f>VLOOKUP(D1251,unit_serifs_i18n!C:F,4,FALSE)</f>
        <v>お願い…起きて軌跡！</v>
      </c>
    </row>
    <row r="1252" spans="1:6" x14ac:dyDescent="0.15">
      <c r="A1252" s="63">
        <v>786</v>
      </c>
      <c r="B1252" s="9" t="s">
        <v>1072</v>
      </c>
      <c r="C1252" s="55" t="s">
        <v>1074</v>
      </c>
      <c r="D1252" s="42" t="str">
        <f>A1252&amp;+(COUNTIF(A$32:A1252,A1252)-1)</f>
        <v>7861</v>
      </c>
      <c r="E1252" s="19" t="str">
        <f>VLOOKUP(D1252,unit_serifs_i18n!C:E,3,FALSE)</f>
        <v>maru</v>
      </c>
      <c r="F1252" s="19" t="str">
        <f>VLOOKUP(D1252,unit_serifs_i18n!C:F,4,FALSE)</f>
        <v>火傷しちゃうかも…？</v>
      </c>
    </row>
    <row r="1253" spans="1:6" x14ac:dyDescent="0.15">
      <c r="A1253" s="63">
        <v>786</v>
      </c>
      <c r="B1253" s="9" t="s">
        <v>1071</v>
      </c>
      <c r="C1253" s="55" t="s">
        <v>1075</v>
      </c>
      <c r="D1253" s="42" t="str">
        <f>A1253&amp;+(COUNTIF(A$32:A1253,A1253)-1)</f>
        <v>7862</v>
      </c>
      <c r="E1253" s="19" t="str">
        <f>VLOOKUP(D1253,unit_serifs_i18n!C:E,3,FALSE)</f>
        <v>kumo</v>
      </c>
      <c r="F1253" s="19" t="str">
        <f>VLOOKUP(D1253,unit_serifs_i18n!C:F,4,FALSE)</f>
        <v>ペンだけが頼りだね…</v>
      </c>
    </row>
    <row r="1254" spans="1:6" x14ac:dyDescent="0.15">
      <c r="A1254" s="63">
        <v>786</v>
      </c>
      <c r="B1254" s="9" t="s">
        <v>1071</v>
      </c>
      <c r="C1254" s="55" t="s">
        <v>1076</v>
      </c>
      <c r="D1254" s="42" t="str">
        <f>A1254&amp;+(COUNTIF(A$32:A1254,A1254)-1)</f>
        <v>7863</v>
      </c>
      <c r="E1254" s="19" t="str">
        <f>VLOOKUP(D1254,unit_serifs_i18n!C:E,3,FALSE)</f>
        <v>giza</v>
      </c>
      <c r="F1254" s="19" t="str">
        <f>VLOOKUP(D1254,unit_serifs_i18n!C:F,4,FALSE)</f>
        <v>効果ON！燃えてー！</v>
      </c>
    </row>
    <row r="1255" spans="1:6" x14ac:dyDescent="0.15">
      <c r="A1255" s="63">
        <v>787</v>
      </c>
      <c r="B1255" s="9" t="s">
        <v>1078</v>
      </c>
      <c r="C1255" s="74" t="s">
        <v>1073</v>
      </c>
      <c r="D1255" s="42" t="str">
        <f>A1255&amp;+(COUNTIF(A$32:A1255,A1255)-1)</f>
        <v>7870</v>
      </c>
      <c r="E1255" s="19" t="str">
        <f>VLOOKUP(D1255,unit_serifs_i18n!C:E,3,FALSE)</f>
        <v>giza</v>
      </c>
      <c r="F1255" s="19" t="str">
        <f>VLOOKUP(D1255,unit_serifs_i18n!C:F,4,FALSE)</f>
        <v>レイヤー統合！行っけー！</v>
      </c>
    </row>
    <row r="1256" spans="1:6" ht="22" customHeight="1" x14ac:dyDescent="0.15">
      <c r="A1256" s="63">
        <v>787</v>
      </c>
      <c r="B1256" s="9" t="s">
        <v>1078</v>
      </c>
      <c r="C1256" s="55" t="s">
        <v>1077</v>
      </c>
      <c r="D1256" s="42" t="str">
        <f>A1256&amp;+(COUNTIF(A$32:A1256,A1256)-1)</f>
        <v>7871</v>
      </c>
      <c r="E1256" s="19" t="str">
        <f>VLOOKUP(D1256,unit_serifs_i18n!C:E,3,FALSE)</f>
        <v>giza</v>
      </c>
      <c r="F1256" s="19" t="str">
        <f>VLOOKUP(D1256,unit_serifs_i18n!C:F,4,FALSE)</f>
        <v>一瞬で描き終える…！</v>
      </c>
    </row>
    <row r="1257" spans="1:6" ht="26" customHeight="1" x14ac:dyDescent="0.15">
      <c r="A1257" s="63">
        <v>787</v>
      </c>
      <c r="B1257" s="9" t="s">
        <v>1078</v>
      </c>
      <c r="C1257" s="55" t="s">
        <v>1074</v>
      </c>
      <c r="D1257" s="46" t="str">
        <f>D1252</f>
        <v>7861</v>
      </c>
      <c r="E1257" s="19" t="str">
        <f>VLOOKUP(D1257,unit_serifs_i18n!C:E,3,FALSE)</f>
        <v>maru</v>
      </c>
      <c r="F1257" s="19" t="str">
        <f>VLOOKUP(D1257,unit_serifs_i18n!C:F,4,FALSE)</f>
        <v>火傷しちゃうかも…？</v>
      </c>
    </row>
    <row r="1258" spans="1:6" ht="26" customHeight="1" x14ac:dyDescent="0.15">
      <c r="A1258" s="63">
        <v>787</v>
      </c>
      <c r="B1258" s="9" t="s">
        <v>1078</v>
      </c>
      <c r="C1258" s="55" t="s">
        <v>1074</v>
      </c>
      <c r="D1258" s="46" t="str">
        <f t="shared" ref="D1258:D1259" si="1">D1253</f>
        <v>7862</v>
      </c>
      <c r="E1258" s="19" t="str">
        <f>VLOOKUP(D1258,unit_serifs_i18n!C:E,3,FALSE)</f>
        <v>kumo</v>
      </c>
      <c r="F1258" s="19" t="str">
        <f>VLOOKUP(D1258,unit_serifs_i18n!C:F,4,FALSE)</f>
        <v>ペンだけが頼りだね…</v>
      </c>
    </row>
    <row r="1259" spans="1:6" ht="26" customHeight="1" x14ac:dyDescent="0.15">
      <c r="A1259" s="63">
        <v>787</v>
      </c>
      <c r="B1259" s="9" t="s">
        <v>1078</v>
      </c>
      <c r="C1259" s="55" t="s">
        <v>1074</v>
      </c>
      <c r="D1259" s="46" t="str">
        <f t="shared" si="1"/>
        <v>7863</v>
      </c>
      <c r="E1259" s="19" t="str">
        <f>VLOOKUP(D1259,unit_serifs_i18n!C:E,3,FALSE)</f>
        <v>giza</v>
      </c>
      <c r="F1259" s="19" t="str">
        <f>VLOOKUP(D1259,unit_serifs_i18n!C:F,4,FALSE)</f>
        <v>効果ON！燃えてー！</v>
      </c>
    </row>
    <row r="1260" spans="1:6" x14ac:dyDescent="0.15">
      <c r="A1260" s="63">
        <v>791</v>
      </c>
      <c r="B1260" s="9" t="str">
        <f>VLOOKUP(A1260,[1]characters!$A:$C,3,FALSE)</f>
        <v>無差別求の破者 ノイマン</v>
      </c>
      <c r="C1260" s="75" t="s">
        <v>1062</v>
      </c>
      <c r="D1260" s="42" t="str">
        <f>A1260&amp;+(COUNTIF(A$32:A1260,A1260)-1)</f>
        <v>7910</v>
      </c>
      <c r="E1260" s="19" t="str">
        <f>VLOOKUP(D1260,unit_serifs_i18n!C:E,3,FALSE)</f>
        <v>maru</v>
      </c>
      <c r="F1260" s="19" t="str">
        <f>VLOOKUP(D1260,unit_serifs_i18n!C:F,4,FALSE)</f>
        <v>始めましょう…正常なセカイを</v>
      </c>
    </row>
    <row r="1261" spans="1:6" x14ac:dyDescent="0.15">
      <c r="A1261" s="63">
        <v>791</v>
      </c>
      <c r="B1261" s="9" t="str">
        <f>VLOOKUP(A1261,[1]characters!$A:$C,3,FALSE)</f>
        <v>無差別求の破者 ノイマン</v>
      </c>
      <c r="C1261" s="62" t="s">
        <v>26</v>
      </c>
      <c r="D1261" s="42" t="str">
        <f>A1261&amp;+(COUNTIF(A$32:A1261,A1261)-1)</f>
        <v>7911</v>
      </c>
      <c r="E1261" s="19" t="str">
        <f>VLOOKUP(D1261,unit_serifs_i18n!C:E,3,FALSE)</f>
        <v>maru</v>
      </c>
      <c r="F1261" s="19" t="str">
        <f>VLOOKUP(D1261,unit_serifs_i18n!C:F,4,FALSE)</f>
        <v>耐え切れるかしら？</v>
      </c>
    </row>
    <row r="1262" spans="1:6" x14ac:dyDescent="0.15">
      <c r="A1262" s="63">
        <v>791</v>
      </c>
      <c r="B1262" s="9" t="str">
        <f>VLOOKUP(A1262,[1]characters!$A:$C,3,FALSE)</f>
        <v>無差別求の破者 ノイマン</v>
      </c>
      <c r="C1262" s="62" t="s">
        <v>26</v>
      </c>
      <c r="D1262" s="42" t="str">
        <f>A1262&amp;+(COUNTIF(A$32:A1262,A1262)-1)</f>
        <v>7912</v>
      </c>
      <c r="E1262" s="19" t="str">
        <f>VLOOKUP(D1262,unit_serifs_i18n!C:E,3,FALSE)</f>
        <v>maru</v>
      </c>
      <c r="F1262" s="19" t="str">
        <f>VLOOKUP(D1262,unit_serifs_i18n!C:F,4,FALSE)</f>
        <v>目障りよ</v>
      </c>
    </row>
    <row r="1263" spans="1:6" x14ac:dyDescent="0.15">
      <c r="A1263" s="63">
        <v>791</v>
      </c>
      <c r="B1263" s="9" t="str">
        <f>VLOOKUP(A1263,[1]characters!$A:$C,3,FALSE)</f>
        <v>無差別求の破者 ノイマン</v>
      </c>
      <c r="C1263" s="62" t="s">
        <v>26</v>
      </c>
      <c r="D1263" s="42" t="str">
        <f>A1263&amp;+(COUNTIF(A$32:A1263,A1263)-1)</f>
        <v>7913</v>
      </c>
      <c r="E1263" s="19" t="str">
        <f>VLOOKUP(D1263,unit_serifs_i18n!C:E,3,FALSE)</f>
        <v>maru</v>
      </c>
      <c r="F1263" s="19" t="str">
        <f>VLOOKUP(D1263,unit_serifs_i18n!C:F,4,FALSE)</f>
        <v>覚悟しなさい</v>
      </c>
    </row>
    <row r="1264" spans="1:6" x14ac:dyDescent="0.15">
      <c r="A1264" s="63">
        <v>791</v>
      </c>
      <c r="B1264" s="9" t="str">
        <f>VLOOKUP(A1264,[1]characters!$A:$C,3,FALSE)</f>
        <v>無差別求の破者 ノイマン</v>
      </c>
      <c r="C1264" s="62" t="s">
        <v>26</v>
      </c>
      <c r="D1264" s="42" t="str">
        <f>A1264&amp;+(COUNTIF(A$32:A1264,A1264)-1)</f>
        <v>7914</v>
      </c>
      <c r="E1264" s="19" t="str">
        <f>VLOOKUP(D1264,unit_serifs_i18n!C:E,3,FALSE)</f>
        <v>maru</v>
      </c>
      <c r="F1264" s="19" t="str">
        <f>VLOOKUP(D1264,unit_serifs_i18n!C:F,4,FALSE)</f>
        <v>殲滅すると言ったはず</v>
      </c>
    </row>
    <row r="1265" spans="1:6" x14ac:dyDescent="0.15">
      <c r="A1265" s="63">
        <v>762</v>
      </c>
      <c r="B1265" s="9" t="str">
        <f>VLOOKUP(A1265,[1]characters!$A:$C,3,FALSE)</f>
        <v>フィボナッチ</v>
      </c>
      <c r="C1265" s="74" t="s">
        <v>1062</v>
      </c>
      <c r="D1265" s="42" t="str">
        <f>A1265&amp;+(COUNTIF(A$32:A1265,A1265)-1)</f>
        <v>7620</v>
      </c>
      <c r="E1265" s="19" t="str">
        <f>VLOOKUP(D1265,unit_serifs_i18n!C:E,3,FALSE)</f>
        <v>giza</v>
      </c>
      <c r="F1265" s="19" t="str">
        <f>VLOOKUP(D1265,unit_serifs_i18n!C:F,4,FALSE)</f>
        <v>…解体させてもらうぞ！</v>
      </c>
    </row>
    <row r="1266" spans="1:6" x14ac:dyDescent="0.15">
      <c r="A1266" s="63">
        <v>762</v>
      </c>
      <c r="B1266" s="9" t="str">
        <f>VLOOKUP(A1266,[1]characters!$A:$C,3,FALSE)</f>
        <v>フィボナッチ</v>
      </c>
      <c r="C1266" s="55" t="s">
        <v>1074</v>
      </c>
      <c r="D1266" s="42" t="str">
        <f>A1266&amp;+(COUNTIF(A$32:A1266,A1266)-1)</f>
        <v>7621</v>
      </c>
      <c r="E1266" s="19" t="str">
        <f>VLOOKUP(D1266,unit_serifs_i18n!C:E,3,FALSE)</f>
        <v>giza</v>
      </c>
      <c r="F1266" s="19" t="str">
        <f>VLOOKUP(D1266,unit_serifs_i18n!C:F,4,FALSE)</f>
        <v>雑魚は引っ込め！</v>
      </c>
    </row>
    <row r="1267" spans="1:6" x14ac:dyDescent="0.15">
      <c r="A1267" s="63">
        <v>762</v>
      </c>
      <c r="B1267" s="9" t="str">
        <f>VLOOKUP(A1267,[1]characters!$A:$C,3,FALSE)</f>
        <v>フィボナッチ</v>
      </c>
      <c r="C1267" s="55" t="s">
        <v>1074</v>
      </c>
      <c r="D1267" s="42" t="str">
        <f>A1267&amp;+(COUNTIF(A$32:A1267,A1267)-1)</f>
        <v>7622</v>
      </c>
      <c r="E1267" s="19" t="str">
        <f>VLOOKUP(D1267,unit_serifs_i18n!C:E,3,FALSE)</f>
        <v>maru</v>
      </c>
      <c r="F1267" s="19" t="str">
        <f>VLOOKUP(D1267,unit_serifs_i18n!C:F,4,FALSE)</f>
        <v>大穴を開けてやるか…</v>
      </c>
    </row>
    <row r="1268" spans="1:6" x14ac:dyDescent="0.15">
      <c r="A1268" s="63">
        <v>762</v>
      </c>
      <c r="B1268" s="9" t="str">
        <f>VLOOKUP(A1268,[1]characters!$A:$C,3,FALSE)</f>
        <v>フィボナッチ</v>
      </c>
      <c r="C1268" s="55" t="s">
        <v>1074</v>
      </c>
      <c r="D1268" s="42" t="str">
        <f>A1268&amp;+(COUNTIF(A$32:A1268,A1268)-1)</f>
        <v>7623</v>
      </c>
      <c r="E1268" s="19" t="str">
        <f>VLOOKUP(D1268,unit_serifs_i18n!C:E,3,FALSE)</f>
        <v>giza</v>
      </c>
      <c r="F1268" s="19" t="str">
        <f>VLOOKUP(D1268,unit_serifs_i18n!C:F,4,FALSE)</f>
        <v>手加減はできんぞ…！</v>
      </c>
    </row>
    <row r="1269" spans="1:6" x14ac:dyDescent="0.15">
      <c r="A1269" s="63">
        <v>763</v>
      </c>
      <c r="B1269" s="9" t="str">
        <f>VLOOKUP(A1269,[1]characters!$A:$C,3,FALSE)</f>
        <v>螺旋の皇魂比 フィボナッチ</v>
      </c>
      <c r="C1269" s="74" t="s">
        <v>1062</v>
      </c>
      <c r="D1269" s="42" t="str">
        <f>A1269&amp;+(COUNTIF(A$32:A1269,A1269)-1)</f>
        <v>7630</v>
      </c>
      <c r="E1269" s="19" t="str">
        <f>VLOOKUP(D1269,unit_serifs_i18n!C:E,3,FALSE)</f>
        <v>giza</v>
      </c>
      <c r="F1269" s="19" t="str">
        <f>VLOOKUP(D1269,unit_serifs_i18n!C:F,4,FALSE)</f>
        <v>この一撃で切り開く！</v>
      </c>
    </row>
    <row r="1270" spans="1:6" ht="22" customHeight="1" x14ac:dyDescent="0.15">
      <c r="A1270" s="63">
        <v>763</v>
      </c>
      <c r="B1270" s="9" t="str">
        <f>VLOOKUP(A1270,[1]characters!$A:$C,3,FALSE)</f>
        <v>螺旋の皇魂比 フィボナッチ</v>
      </c>
      <c r="C1270" s="55" t="s">
        <v>1077</v>
      </c>
      <c r="D1270" s="42" t="str">
        <f>A1270&amp;+(COUNTIF(A$32:A1270,A1270)-1)</f>
        <v>7631</v>
      </c>
      <c r="E1270" s="19" t="str">
        <f>VLOOKUP(D1270,unit_serifs_i18n!C:E,3,FALSE)</f>
        <v>giza</v>
      </c>
      <c r="F1270" s="19" t="str">
        <f>VLOOKUP(D1270,unit_serifs_i18n!C:F,4,FALSE)</f>
        <v>急所は視えた…決めるぞ！</v>
      </c>
    </row>
    <row r="1271" spans="1:6" ht="26" customHeight="1" x14ac:dyDescent="0.15">
      <c r="A1271" s="63">
        <v>763</v>
      </c>
      <c r="B1271" s="9" t="str">
        <f>VLOOKUP(A1271,[1]characters!$A:$C,3,FALSE)</f>
        <v>螺旋の皇魂比 フィボナッチ</v>
      </c>
      <c r="C1271" s="55" t="s">
        <v>1074</v>
      </c>
      <c r="D1271" s="46" t="str">
        <f>D1266</f>
        <v>7621</v>
      </c>
      <c r="E1271" s="19" t="str">
        <f>VLOOKUP(D1271,unit_serifs_i18n!C:E,3,FALSE)</f>
        <v>giza</v>
      </c>
      <c r="F1271" s="19" t="str">
        <f>VLOOKUP(D1271,unit_serifs_i18n!C:F,4,FALSE)</f>
        <v>雑魚は引っ込め！</v>
      </c>
    </row>
    <row r="1272" spans="1:6" ht="26" customHeight="1" x14ac:dyDescent="0.15">
      <c r="A1272" s="63">
        <v>763</v>
      </c>
      <c r="B1272" s="9" t="str">
        <f>VLOOKUP(A1272,[1]characters!$A:$C,3,FALSE)</f>
        <v>螺旋の皇魂比 フィボナッチ</v>
      </c>
      <c r="C1272" s="55" t="s">
        <v>1074</v>
      </c>
      <c r="D1272" s="46" t="str">
        <f t="shared" ref="D1272:D1273" si="2">D1267</f>
        <v>7622</v>
      </c>
      <c r="E1272" s="19" t="str">
        <f>VLOOKUP(D1272,unit_serifs_i18n!C:E,3,FALSE)</f>
        <v>maru</v>
      </c>
      <c r="F1272" s="19" t="str">
        <f>VLOOKUP(D1272,unit_serifs_i18n!C:F,4,FALSE)</f>
        <v>大穴を開けてやるか…</v>
      </c>
    </row>
    <row r="1273" spans="1:6" ht="26" customHeight="1" x14ac:dyDescent="0.15">
      <c r="A1273" s="63">
        <v>763</v>
      </c>
      <c r="B1273" s="9" t="str">
        <f>VLOOKUP(A1273,[1]characters!$A:$C,3,FALSE)</f>
        <v>螺旋の皇魂比 フィボナッチ</v>
      </c>
      <c r="C1273" s="55" t="s">
        <v>1074</v>
      </c>
      <c r="D1273" s="46" t="str">
        <f t="shared" si="2"/>
        <v>7623</v>
      </c>
      <c r="E1273" s="19" t="str">
        <f>VLOOKUP(D1273,unit_serifs_i18n!C:E,3,FALSE)</f>
        <v>giza</v>
      </c>
      <c r="F1273" s="19" t="str">
        <f>VLOOKUP(D1273,unit_serifs_i18n!C:F,4,FALSE)</f>
        <v>手加減はできんぞ…！</v>
      </c>
    </row>
    <row r="1274" spans="1:6" x14ac:dyDescent="0.15">
      <c r="A1274" s="63">
        <v>796</v>
      </c>
      <c r="B1274" s="9" t="str">
        <f>VLOOKUP(A1274,[1]characters!$A:$C,3,FALSE)</f>
        <v>超越凌駕 ラグランジュ</v>
      </c>
      <c r="C1274" s="74" t="s">
        <v>989</v>
      </c>
      <c r="D1274" s="42" t="str">
        <f>A1274&amp;+(COUNTIF(A$32:A1274,A1274)-1)</f>
        <v>7960</v>
      </c>
      <c r="E1274" s="19" t="str">
        <f>VLOOKUP(D1274,unit_serifs_i18n!C:E,3,FALSE)</f>
        <v>maru</v>
      </c>
      <c r="F1274" s="19" t="str">
        <f>VLOOKUP(D1274,unit_serifs_i18n!C:F,4,FALSE)</f>
        <v>ここから先は予測不能よ</v>
      </c>
    </row>
    <row r="1275" spans="1:6" ht="22" customHeight="1" x14ac:dyDescent="0.15">
      <c r="A1275" s="63">
        <v>796</v>
      </c>
      <c r="B1275" s="9" t="str">
        <f>VLOOKUP(A1275,[1]characters!$A:$C,3,FALSE)</f>
        <v>超越凌駕 ラグランジュ</v>
      </c>
      <c r="C1275" s="55" t="s">
        <v>1077</v>
      </c>
      <c r="D1275" s="42" t="str">
        <f>A1275&amp;+(COUNTIF(A$32:A1275,A1275)-1)</f>
        <v>7961</v>
      </c>
      <c r="E1275" s="19" t="str">
        <f>VLOOKUP(D1275,unit_serifs_i18n!C:E,3,FALSE)</f>
        <v>maru</v>
      </c>
      <c r="F1275" s="19" t="str">
        <f>VLOOKUP(D1275,unit_serifs_i18n!C:F,4,FALSE)</f>
        <v>空を観なさい…終わりよ</v>
      </c>
    </row>
    <row r="1276" spans="1:6" ht="26" customHeight="1" x14ac:dyDescent="0.15">
      <c r="A1276" s="63">
        <v>796</v>
      </c>
      <c r="B1276" s="9" t="str">
        <f>VLOOKUP(A1276,[1]characters!$A:$C,3,FALSE)</f>
        <v>超越凌駕 ラグランジュ</v>
      </c>
      <c r="C1276" s="55" t="s">
        <v>1074</v>
      </c>
      <c r="D1276" s="46" t="str">
        <f>D1030</f>
        <v>4851</v>
      </c>
      <c r="E1276" s="19" t="str">
        <f>VLOOKUP(D1276,unit_serifs_i18n!C:E,3,FALSE)</f>
        <v>maru</v>
      </c>
      <c r="F1276" s="19" t="str">
        <f>VLOOKUP(D1276,unit_serifs_i18n!C:F,4,FALSE)</f>
        <v>これがエントロピーの最大</v>
      </c>
    </row>
    <row r="1277" spans="1:6" ht="26" customHeight="1" x14ac:dyDescent="0.15">
      <c r="A1277" s="63">
        <v>796</v>
      </c>
      <c r="B1277" s="9" t="str">
        <f>VLOOKUP(A1277,[1]characters!$A:$C,3,FALSE)</f>
        <v>超越凌駕 ラグランジュ</v>
      </c>
      <c r="C1277" s="55" t="s">
        <v>1074</v>
      </c>
      <c r="D1277" s="46" t="str">
        <f>D1027</f>
        <v>4841</v>
      </c>
      <c r="E1277" s="19" t="str">
        <f>VLOOKUP(D1277,unit_serifs_i18n!C:E,3,FALSE)</f>
        <v>maru</v>
      </c>
      <c r="F1277" s="19" t="str">
        <f>VLOOKUP(D1277,unit_serifs_i18n!C:F,4,FALSE)</f>
        <v>星の声が聞こえる？</v>
      </c>
    </row>
    <row r="1278" spans="1:6" ht="26" customHeight="1" x14ac:dyDescent="0.15">
      <c r="A1278" s="63">
        <v>796</v>
      </c>
      <c r="B1278" s="9" t="str">
        <f>VLOOKUP(A1278,[1]characters!$A:$C,3,FALSE)</f>
        <v>超越凌駕 ラグランジュ</v>
      </c>
      <c r="C1278" s="55" t="s">
        <v>1074</v>
      </c>
      <c r="D1278" s="46" t="str">
        <f>D1028</f>
        <v>4842</v>
      </c>
      <c r="E1278" s="19" t="str">
        <f>VLOOKUP(D1278,unit_serifs_i18n!C:E,3,FALSE)</f>
        <v>maru</v>
      </c>
      <c r="F1278" s="19" t="str">
        <f>VLOOKUP(D1278,unit_serifs_i18n!C:F,4,FALSE)</f>
        <v>燃え尽きなさい</v>
      </c>
    </row>
    <row r="1279" spans="1:6" x14ac:dyDescent="0.15">
      <c r="A1279" s="63">
        <v>870</v>
      </c>
      <c r="B1279" s="9" t="str">
        <f>VLOOKUP(A1279,[1]characters!$A:$C,3,FALSE)</f>
        <v>フロイト</v>
      </c>
      <c r="C1279" s="74" t="s">
        <v>1062</v>
      </c>
      <c r="D1279" s="42" t="str">
        <f>A1279&amp;+(COUNTIF(A$32:A1279,A1279)-1)</f>
        <v>8700</v>
      </c>
      <c r="E1279" s="19" t="str">
        <f>VLOOKUP(D1279,unit_serifs_i18n!C:E,3,FALSE)</f>
        <v>maru</v>
      </c>
      <c r="F1279" s="19" t="str">
        <f>VLOOKUP(D1279,unit_serifs_i18n!C:F,4,FALSE)</f>
        <v>ねぇ…あたしと遊ばない？</v>
      </c>
    </row>
    <row r="1280" spans="1:6" x14ac:dyDescent="0.15">
      <c r="A1280" s="63">
        <v>870</v>
      </c>
      <c r="B1280" s="9" t="str">
        <f>VLOOKUP(A1280,[1]characters!$A:$C,3,FALSE)</f>
        <v>フロイト</v>
      </c>
      <c r="C1280" s="55" t="s">
        <v>990</v>
      </c>
      <c r="D1280" s="42" t="str">
        <f>A1280&amp;+(COUNTIF(A$32:A1280,A1280)-1)</f>
        <v>8701</v>
      </c>
      <c r="E1280" s="19" t="str">
        <f>VLOOKUP(D1280,unit_serifs_i18n!C:E,3,FALSE)</f>
        <v>giza</v>
      </c>
      <c r="F1280" s="19" t="str">
        <f>VLOOKUP(D1280,unit_serifs_i18n!C:F,4,FALSE)</f>
        <v>夢よ覚めないでー！</v>
      </c>
    </row>
    <row r="1281" spans="1:6" x14ac:dyDescent="0.15">
      <c r="A1281" s="63">
        <v>870</v>
      </c>
      <c r="B1281" s="9" t="str">
        <f>VLOOKUP(A1281,[1]characters!$A:$C,3,FALSE)</f>
        <v>フロイト</v>
      </c>
      <c r="C1281" s="55" t="s">
        <v>990</v>
      </c>
      <c r="D1281" s="42" t="str">
        <f>A1281&amp;+(COUNTIF(A$32:A1281,A1281)-1)</f>
        <v>8702</v>
      </c>
      <c r="E1281" s="19" t="str">
        <f>VLOOKUP(D1281,unit_serifs_i18n!C:E,3,FALSE)</f>
        <v>giza</v>
      </c>
      <c r="F1281" s="19" t="str">
        <f>VLOOKUP(D1281,unit_serifs_i18n!C:F,4,FALSE)</f>
        <v>モテたいだけなのに！</v>
      </c>
    </row>
    <row r="1282" spans="1:6" x14ac:dyDescent="0.15">
      <c r="A1282" s="63">
        <v>870</v>
      </c>
      <c r="B1282" s="9" t="str">
        <f>VLOOKUP(A1282,[1]characters!$A:$C,3,FALSE)</f>
        <v>フロイト</v>
      </c>
      <c r="C1282" s="55" t="s">
        <v>990</v>
      </c>
      <c r="D1282" s="42" t="str">
        <f>A1282&amp;+(COUNTIF(A$32:A1282,A1282)-1)</f>
        <v>8703</v>
      </c>
      <c r="E1282" s="19" t="str">
        <f>VLOOKUP(D1282,unit_serifs_i18n!C:E,3,FALSE)</f>
        <v>maru</v>
      </c>
      <c r="F1282" s="19" t="str">
        <f>VLOOKUP(D1282,unit_serifs_i18n!C:F,4,FALSE)</f>
        <v>嫌な出会いだったわね</v>
      </c>
    </row>
    <row r="1283" spans="1:6" x14ac:dyDescent="0.15">
      <c r="A1283" s="63">
        <v>871</v>
      </c>
      <c r="B1283" s="9" t="str">
        <f>VLOOKUP(A1283,[1]characters!$A:$C,3,FALSE)</f>
        <v>無我夢中の羊狩り フロイト</v>
      </c>
      <c r="C1283" s="74" t="s">
        <v>1062</v>
      </c>
      <c r="D1283" s="42" t="str">
        <f>A1283&amp;+(COUNTIF(A$32:A1283,A1283)-1)</f>
        <v>8710</v>
      </c>
      <c r="E1283" s="19" t="str">
        <f>VLOOKUP(D1283,unit_serifs_i18n!C:E,3,FALSE)</f>
        <v>giza</v>
      </c>
      <c r="F1283" s="19" t="str">
        <f>VLOOKUP(D1283,unit_serifs_i18n!C:F,4,FALSE)</f>
        <v>羊になっちゃえー！！</v>
      </c>
    </row>
    <row r="1284" spans="1:6" ht="22" customHeight="1" x14ac:dyDescent="0.15">
      <c r="A1284" s="63">
        <v>871</v>
      </c>
      <c r="B1284" s="9" t="str">
        <f>VLOOKUP(A1284,[1]characters!$A:$C,3,FALSE)</f>
        <v>無我夢中の羊狩り フロイト</v>
      </c>
      <c r="C1284" s="55" t="s">
        <v>990</v>
      </c>
      <c r="D1284" s="42" t="str">
        <f>A1284&amp;+(COUNTIF(A$32:A1284,A1284)-1)</f>
        <v>8711</v>
      </c>
      <c r="E1284" s="19" t="str">
        <f>VLOOKUP(D1284,unit_serifs_i18n!C:E,3,FALSE)</f>
        <v>giza</v>
      </c>
      <c r="F1284" s="19" t="str">
        <f>VLOOKUP(D1284,unit_serifs_i18n!C:F,4,FALSE)</f>
        <v>やだ！あっち行って！</v>
      </c>
    </row>
    <row r="1285" spans="1:6" ht="26" customHeight="1" x14ac:dyDescent="0.15">
      <c r="A1285" s="63">
        <v>871</v>
      </c>
      <c r="B1285" s="9" t="str">
        <f>VLOOKUP(A1285,[1]characters!$A:$C,3,FALSE)</f>
        <v>無我夢中の羊狩り フロイト</v>
      </c>
      <c r="C1285" s="55" t="s">
        <v>990</v>
      </c>
      <c r="D1285" s="46" t="str">
        <f>D1280</f>
        <v>8701</v>
      </c>
      <c r="E1285" s="19" t="str">
        <f>VLOOKUP(D1285,unit_serifs_i18n!C:E,3,FALSE)</f>
        <v>giza</v>
      </c>
      <c r="F1285" s="19" t="str">
        <f>VLOOKUP(D1285,unit_serifs_i18n!C:F,4,FALSE)</f>
        <v>夢よ覚めないでー！</v>
      </c>
    </row>
    <row r="1286" spans="1:6" ht="26" customHeight="1" x14ac:dyDescent="0.15">
      <c r="A1286" s="63">
        <v>871</v>
      </c>
      <c r="B1286" s="9" t="str">
        <f>VLOOKUP(A1286,[1]characters!$A:$C,3,FALSE)</f>
        <v>無我夢中の羊狩り フロイト</v>
      </c>
      <c r="C1286" s="55" t="s">
        <v>990</v>
      </c>
      <c r="D1286" s="46" t="str">
        <f>D1281</f>
        <v>8702</v>
      </c>
      <c r="E1286" s="19" t="str">
        <f>VLOOKUP(D1286,unit_serifs_i18n!C:E,3,FALSE)</f>
        <v>giza</v>
      </c>
      <c r="F1286" s="19" t="str">
        <f>VLOOKUP(D1286,unit_serifs_i18n!C:F,4,FALSE)</f>
        <v>モテたいだけなのに！</v>
      </c>
    </row>
    <row r="1287" spans="1:6" ht="26" customHeight="1" x14ac:dyDescent="0.15">
      <c r="A1287" s="63">
        <v>871</v>
      </c>
      <c r="B1287" s="9" t="str">
        <f>VLOOKUP(A1287,[1]characters!$A:$C,3,FALSE)</f>
        <v>無我夢中の羊狩り フロイト</v>
      </c>
      <c r="C1287" s="55" t="s">
        <v>990</v>
      </c>
      <c r="D1287" s="46" t="str">
        <f>D1282</f>
        <v>8703</v>
      </c>
      <c r="E1287" s="19" t="str">
        <f>VLOOKUP(D1287,unit_serifs_i18n!C:E,3,FALSE)</f>
        <v>maru</v>
      </c>
      <c r="F1287" s="19" t="str">
        <f>VLOOKUP(D1287,unit_serifs_i18n!C:F,4,FALSE)</f>
        <v>嫌な出会いだったわね</v>
      </c>
    </row>
    <row r="1288" spans="1:6" x14ac:dyDescent="0.15">
      <c r="A1288" s="63">
        <v>872</v>
      </c>
      <c r="B1288" s="9" t="str">
        <f>VLOOKUP(A1288,[1]characters!$A:$C,3,FALSE)</f>
        <v>シュヴァルツシルト</v>
      </c>
      <c r="C1288" s="74" t="s">
        <v>951</v>
      </c>
      <c r="D1288" s="42" t="str">
        <f>A1288&amp;+(COUNTIF(A$32:A1288,A1288)-1)</f>
        <v>8720</v>
      </c>
      <c r="E1288" s="19" t="str">
        <f>VLOOKUP(D1288,unit_serifs_i18n!C:E,3,FALSE)</f>
        <v>maru</v>
      </c>
      <c r="F1288" s="19" t="str">
        <f>VLOOKUP(D1288,unit_serifs_i18n!C:F,4,FALSE)</f>
        <v>嫌な事も全部消してあげる…</v>
      </c>
    </row>
    <row r="1289" spans="1:6" x14ac:dyDescent="0.15">
      <c r="A1289" s="63">
        <v>872</v>
      </c>
      <c r="B1289" s="9" t="str">
        <f>VLOOKUP(A1289,[1]characters!$A:$C,3,FALSE)</f>
        <v>シュヴァルツシルト</v>
      </c>
      <c r="C1289" s="55" t="s">
        <v>990</v>
      </c>
      <c r="D1289" s="42" t="str">
        <f>A1289&amp;+(COUNTIF(A$32:A1289,A1289)-1)</f>
        <v>8721</v>
      </c>
      <c r="E1289" s="19" t="str">
        <f>VLOOKUP(D1289,unit_serifs_i18n!C:E,3,FALSE)</f>
        <v>maru</v>
      </c>
      <c r="F1289" s="19" t="str">
        <f>VLOOKUP(D1289,unit_serifs_i18n!C:F,4,FALSE)</f>
        <v>私が怖いの…？ふふ……</v>
      </c>
    </row>
    <row r="1290" spans="1:6" x14ac:dyDescent="0.15">
      <c r="A1290" s="63">
        <v>872</v>
      </c>
      <c r="B1290" s="9" t="str">
        <f>VLOOKUP(A1290,[1]characters!$A:$C,3,FALSE)</f>
        <v>シュヴァルツシルト</v>
      </c>
      <c r="C1290" s="55" t="s">
        <v>990</v>
      </c>
      <c r="D1290" s="42" t="str">
        <f>A1290&amp;+(COUNTIF(A$32:A1290,A1290)-1)</f>
        <v>8722</v>
      </c>
      <c r="E1290" s="19" t="str">
        <f>VLOOKUP(D1290,unit_serifs_i18n!C:E,3,FALSE)</f>
        <v>maru</v>
      </c>
      <c r="F1290" s="19" t="str">
        <f>VLOOKUP(D1290,unit_serifs_i18n!C:F,4,FALSE)</f>
        <v>さぁいらっしゃい…</v>
      </c>
    </row>
    <row r="1291" spans="1:6" x14ac:dyDescent="0.15">
      <c r="A1291" s="63">
        <v>872</v>
      </c>
      <c r="B1291" s="9" t="str">
        <f>VLOOKUP(A1291,[1]characters!$A:$C,3,FALSE)</f>
        <v>シュヴァルツシルト</v>
      </c>
      <c r="C1291" s="55" t="s">
        <v>990</v>
      </c>
      <c r="D1291" s="42" t="str">
        <f>A1291&amp;+(COUNTIF(A$32:A1291,A1291)-1)</f>
        <v>8723</v>
      </c>
      <c r="E1291" s="19" t="str">
        <f>VLOOKUP(D1291,unit_serifs_i18n!C:E,3,FALSE)</f>
        <v>maru</v>
      </c>
      <c r="F1291" s="19" t="str">
        <f>VLOOKUP(D1291,unit_serifs_i18n!C:F,4,FALSE)</f>
        <v>一緒になりましょう……</v>
      </c>
    </row>
    <row r="1292" spans="1:6" x14ac:dyDescent="0.15">
      <c r="A1292" s="63">
        <v>873</v>
      </c>
      <c r="B1292" s="9" t="str">
        <f>VLOOKUP(A1292,[1]characters!$A:$C,3,FALSE)</f>
        <v>時歪の特異天 シュヴァルツシルト</v>
      </c>
      <c r="C1292" s="74" t="s">
        <v>951</v>
      </c>
      <c r="D1292" s="42" t="str">
        <f>A1292&amp;+(COUNTIF(A$32:A1292,A1292)-1)</f>
        <v>8730</v>
      </c>
      <c r="E1292" s="19" t="str">
        <f>VLOOKUP(D1292,unit_serifs_i18n!C:E,3,FALSE)</f>
        <v>maru</v>
      </c>
      <c r="F1292" s="19" t="str">
        <f>VLOOKUP(D1292,unit_serifs_i18n!C:F,4,FALSE)</f>
        <v>ふふ…引きずり込んであげる</v>
      </c>
    </row>
    <row r="1293" spans="1:6" ht="22" customHeight="1" x14ac:dyDescent="0.15">
      <c r="A1293" s="63">
        <v>873</v>
      </c>
      <c r="B1293" s="9" t="str">
        <f>VLOOKUP(A1293,[1]characters!$A:$C,3,FALSE)</f>
        <v>時歪の特異天 シュヴァルツシルト</v>
      </c>
      <c r="C1293" s="55" t="s">
        <v>990</v>
      </c>
      <c r="D1293" s="42" t="str">
        <f>A1293&amp;+(COUNTIF(A$32:A1293,A1293)-1)</f>
        <v>8731</v>
      </c>
      <c r="E1293" s="19" t="str">
        <f>VLOOKUP(D1293,unit_serifs_i18n!C:E,3,FALSE)</f>
        <v>maru</v>
      </c>
      <c r="F1293" s="19" t="str">
        <f>VLOOKUP(D1293,unit_serifs_i18n!C:F,4,FALSE)</f>
        <v>時の狭間に閉じ込めるわ</v>
      </c>
    </row>
    <row r="1294" spans="1:6" ht="26" customHeight="1" x14ac:dyDescent="0.15">
      <c r="A1294" s="63">
        <v>873</v>
      </c>
      <c r="B1294" s="9" t="str">
        <f>VLOOKUP(A1294,[1]characters!$A:$C,3,FALSE)</f>
        <v>時歪の特異天 シュヴァルツシルト</v>
      </c>
      <c r="C1294" s="55" t="s">
        <v>990</v>
      </c>
      <c r="D1294" s="46" t="str">
        <f>D1289</f>
        <v>8721</v>
      </c>
      <c r="E1294" s="19" t="str">
        <f>VLOOKUP(D1294,unit_serifs_i18n!C:E,3,FALSE)</f>
        <v>maru</v>
      </c>
      <c r="F1294" s="19" t="str">
        <f>VLOOKUP(D1294,unit_serifs_i18n!C:F,4,FALSE)</f>
        <v>私が怖いの…？ふふ……</v>
      </c>
    </row>
    <row r="1295" spans="1:6" ht="26" customHeight="1" x14ac:dyDescent="0.15">
      <c r="A1295" s="63">
        <v>873</v>
      </c>
      <c r="B1295" s="9" t="str">
        <f>VLOOKUP(A1295,[1]characters!$A:$C,3,FALSE)</f>
        <v>時歪の特異天 シュヴァルツシルト</v>
      </c>
      <c r="C1295" s="55" t="s">
        <v>990</v>
      </c>
      <c r="D1295" s="46" t="str">
        <f>D1290</f>
        <v>8722</v>
      </c>
      <c r="E1295" s="19" t="str">
        <f>VLOOKUP(D1295,unit_serifs_i18n!C:E,3,FALSE)</f>
        <v>maru</v>
      </c>
      <c r="F1295" s="19" t="str">
        <f>VLOOKUP(D1295,unit_serifs_i18n!C:F,4,FALSE)</f>
        <v>さぁいらっしゃい…</v>
      </c>
    </row>
    <row r="1296" spans="1:6" ht="26" customHeight="1" x14ac:dyDescent="0.15">
      <c r="A1296" s="63">
        <v>873</v>
      </c>
      <c r="B1296" s="9" t="str">
        <f>VLOOKUP(A1296,[1]characters!$A:$C,3,FALSE)</f>
        <v>時歪の特異天 シュヴァルツシルト</v>
      </c>
      <c r="C1296" s="55" t="s">
        <v>990</v>
      </c>
      <c r="D1296" s="46" t="str">
        <f>D1291</f>
        <v>8723</v>
      </c>
      <c r="E1296" s="19" t="str">
        <f>VLOOKUP(D1296,unit_serifs_i18n!C:E,3,FALSE)</f>
        <v>maru</v>
      </c>
      <c r="F1296" s="19" t="str">
        <f>VLOOKUP(D1296,unit_serifs_i18n!C:F,4,FALSE)</f>
        <v>一緒になりましょう……</v>
      </c>
    </row>
    <row r="1297" spans="1:6" x14ac:dyDescent="0.15">
      <c r="A1297" s="63">
        <v>874</v>
      </c>
      <c r="B1297" s="9" t="str">
        <f>VLOOKUP(A1297,[1]characters!$A:$C,3,FALSE)</f>
        <v>フレネル</v>
      </c>
      <c r="C1297" s="74" t="s">
        <v>951</v>
      </c>
      <c r="D1297" s="42" t="str">
        <f>A1297&amp;+(COUNTIF(A$32:A1297,A1297)-1)</f>
        <v>8740</v>
      </c>
      <c r="E1297" s="19" t="str">
        <f>VLOOKUP(D1297,unit_serifs_i18n!C:E,3,FALSE)</f>
        <v>giza</v>
      </c>
      <c r="F1297" s="19" t="str">
        <f>VLOOKUP(D1297,unit_serifs_i18n!C:F,4,FALSE)</f>
        <v>ついてこれる？この反射に！</v>
      </c>
    </row>
    <row r="1298" spans="1:6" x14ac:dyDescent="0.15">
      <c r="A1298" s="63">
        <v>874</v>
      </c>
      <c r="B1298" s="9" t="str">
        <f>VLOOKUP(A1298,[1]characters!$A:$C,3,FALSE)</f>
        <v>フレネル</v>
      </c>
      <c r="C1298" s="55" t="s">
        <v>990</v>
      </c>
      <c r="D1298" s="42" t="str">
        <f>A1298&amp;+(COUNTIF(A$32:A1298,A1298)-1)</f>
        <v>8741</v>
      </c>
      <c r="E1298" s="19" t="str">
        <f>VLOOKUP(D1298,unit_serifs_i18n!C:E,3,FALSE)</f>
        <v>giza</v>
      </c>
      <c r="F1298" s="19" t="str">
        <f>VLOOKUP(D1298,unit_serifs_i18n!C:F,4,FALSE)</f>
        <v>最短距離で撃ちこむわ！</v>
      </c>
    </row>
    <row r="1299" spans="1:6" x14ac:dyDescent="0.15">
      <c r="A1299" s="63">
        <v>874</v>
      </c>
      <c r="B1299" s="9" t="str">
        <f>VLOOKUP(A1299,[1]characters!$A:$C,3,FALSE)</f>
        <v>フレネル</v>
      </c>
      <c r="C1299" s="55" t="s">
        <v>990</v>
      </c>
      <c r="D1299" s="42" t="str">
        <f>A1299&amp;+(COUNTIF(A$32:A1299,A1299)-1)</f>
        <v>8742</v>
      </c>
      <c r="E1299" s="19" t="str">
        <f>VLOOKUP(D1299,unit_serifs_i18n!C:E,3,FALSE)</f>
        <v>giza</v>
      </c>
      <c r="F1299" s="19" t="str">
        <f>VLOOKUP(D1299,unit_serifs_i18n!C:F,4,FALSE)</f>
        <v>配置カンペキ…ゴー！！</v>
      </c>
    </row>
    <row r="1300" spans="1:6" x14ac:dyDescent="0.15">
      <c r="A1300" s="63">
        <v>874</v>
      </c>
      <c r="B1300" s="9" t="str">
        <f>VLOOKUP(A1300,[1]characters!$A:$C,3,FALSE)</f>
        <v>フレネル</v>
      </c>
      <c r="C1300" s="55" t="s">
        <v>990</v>
      </c>
      <c r="D1300" s="42" t="str">
        <f>A1300&amp;+(COUNTIF(A$32:A1300,A1300)-1)</f>
        <v>8743</v>
      </c>
      <c r="E1300" s="19" t="str">
        <f>VLOOKUP(D1300,unit_serifs_i18n!C:E,3,FALSE)</f>
        <v>giza</v>
      </c>
      <c r="F1300" s="19" t="str">
        <f>VLOOKUP(D1300,unit_serifs_i18n!C:F,4,FALSE)</f>
        <v>到達点確認、反射開始！</v>
      </c>
    </row>
    <row r="1301" spans="1:6" x14ac:dyDescent="0.15">
      <c r="A1301" s="63">
        <v>875</v>
      </c>
      <c r="B1301" s="9" t="str">
        <f>VLOOKUP(A1301,[1]characters!$A:$C,3,FALSE)</f>
        <v>覇導の光跡 フレネル</v>
      </c>
      <c r="C1301" s="74" t="s">
        <v>951</v>
      </c>
      <c r="D1301" s="42" t="str">
        <f>A1301&amp;+(COUNTIF(A$32:A1301,A1301)-1)</f>
        <v>8750</v>
      </c>
      <c r="E1301" s="19" t="str">
        <f>VLOOKUP(D1301,unit_serifs_i18n!C:E,3,FALSE)</f>
        <v>giza</v>
      </c>
      <c r="F1301" s="19" t="str">
        <f>VLOOKUP(D1301,unit_serifs_i18n!C:F,4,FALSE)</f>
        <v>光はどこへでも進むの…！</v>
      </c>
    </row>
    <row r="1302" spans="1:6" ht="22" customHeight="1" x14ac:dyDescent="0.15">
      <c r="A1302" s="63">
        <v>875</v>
      </c>
      <c r="B1302" s="9" t="str">
        <f>VLOOKUP(A1302,[1]characters!$A:$C,3,FALSE)</f>
        <v>覇導の光跡 フレネル</v>
      </c>
      <c r="C1302" s="55" t="s">
        <v>990</v>
      </c>
      <c r="D1302" s="42" t="str">
        <f>A1302&amp;+(COUNTIF(A$32:A1302,A1302)-1)</f>
        <v>8751</v>
      </c>
      <c r="E1302" s="19" t="str">
        <f>VLOOKUP(D1302,unit_serifs_i18n!C:E,3,FALSE)</f>
        <v>giza</v>
      </c>
      <c r="F1302" s="19" t="str">
        <f>VLOOKUP(D1302,unit_serifs_i18n!C:F,4,FALSE)</f>
        <v>反射角最適…終わりよ！</v>
      </c>
    </row>
    <row r="1303" spans="1:6" ht="26" customHeight="1" x14ac:dyDescent="0.15">
      <c r="A1303" s="63">
        <v>875</v>
      </c>
      <c r="B1303" s="9" t="str">
        <f>VLOOKUP(A1303,[1]characters!$A:$C,3,FALSE)</f>
        <v>覇導の光跡 フレネル</v>
      </c>
      <c r="C1303" s="55" t="s">
        <v>990</v>
      </c>
      <c r="D1303" s="46" t="str">
        <f>D1298</f>
        <v>8741</v>
      </c>
      <c r="E1303" s="19" t="str">
        <f>VLOOKUP(D1303,unit_serifs_i18n!C:E,3,FALSE)</f>
        <v>giza</v>
      </c>
      <c r="F1303" s="19" t="str">
        <f>VLOOKUP(D1303,unit_serifs_i18n!C:F,4,FALSE)</f>
        <v>最短距離で撃ちこむわ！</v>
      </c>
    </row>
    <row r="1304" spans="1:6" ht="26" customHeight="1" x14ac:dyDescent="0.15">
      <c r="A1304" s="63">
        <v>875</v>
      </c>
      <c r="B1304" s="9" t="str">
        <f>VLOOKUP(A1304,[1]characters!$A:$C,3,FALSE)</f>
        <v>覇導の光跡 フレネル</v>
      </c>
      <c r="C1304" s="55" t="s">
        <v>990</v>
      </c>
      <c r="D1304" s="46" t="str">
        <f>D1299</f>
        <v>8742</v>
      </c>
      <c r="E1304" s="19" t="str">
        <f>VLOOKUP(D1304,unit_serifs_i18n!C:E,3,FALSE)</f>
        <v>giza</v>
      </c>
      <c r="F1304" s="19" t="str">
        <f>VLOOKUP(D1304,unit_serifs_i18n!C:F,4,FALSE)</f>
        <v>配置カンペキ…ゴー！！</v>
      </c>
    </row>
    <row r="1305" spans="1:6" ht="26" customHeight="1" x14ac:dyDescent="0.15">
      <c r="A1305" s="63">
        <v>875</v>
      </c>
      <c r="B1305" s="9" t="str">
        <f>VLOOKUP(A1305,[1]characters!$A:$C,3,FALSE)</f>
        <v>覇導の光跡 フレネル</v>
      </c>
      <c r="C1305" s="55" t="s">
        <v>990</v>
      </c>
      <c r="D1305" s="46" t="str">
        <f>D1300</f>
        <v>8743</v>
      </c>
      <c r="E1305" s="19" t="str">
        <f>VLOOKUP(D1305,unit_serifs_i18n!C:E,3,FALSE)</f>
        <v>giza</v>
      </c>
      <c r="F1305" s="19" t="str">
        <f>VLOOKUP(D1305,unit_serifs_i18n!C:F,4,FALSE)</f>
        <v>到達点確認、反射開始！</v>
      </c>
    </row>
    <row r="1306" spans="1:6" x14ac:dyDescent="0.15">
      <c r="A1306" s="63">
        <v>880</v>
      </c>
      <c r="B1306" s="9" t="str">
        <f>VLOOKUP(A1306,[1]characters!$A:$C,3,FALSE)</f>
        <v>ハーシェル</v>
      </c>
      <c r="C1306" s="74" t="s">
        <v>989</v>
      </c>
      <c r="D1306" s="42" t="str">
        <f>A1306&amp;+(COUNTIF(A$32:A1306,A1306)-1)</f>
        <v>8800</v>
      </c>
      <c r="E1306" s="19" t="str">
        <f>VLOOKUP(D1306,unit_serifs_i18n!C:E,3,FALSE)</f>
        <v>giza</v>
      </c>
      <c r="F1306" s="19" t="str">
        <f>VLOOKUP(D1306,unit_serifs_i18n!C:F,4,FALSE)</f>
        <v>一番星みーつけたっ！</v>
      </c>
    </row>
    <row r="1307" spans="1:6" x14ac:dyDescent="0.15">
      <c r="A1307" s="63">
        <v>880</v>
      </c>
      <c r="B1307" s="9" t="str">
        <f>VLOOKUP(A1307,[1]characters!$A:$C,3,FALSE)</f>
        <v>ハーシェル</v>
      </c>
      <c r="C1307" s="55" t="s">
        <v>990</v>
      </c>
      <c r="D1307" s="42" t="str">
        <f>A1307&amp;+(COUNTIF(A$32:A1307,A1307)-1)</f>
        <v>8801</v>
      </c>
      <c r="E1307" s="19" t="str">
        <f>VLOOKUP(D1307,unit_serifs_i18n!C:E,3,FALSE)</f>
        <v>maru</v>
      </c>
      <c r="F1307" s="19" t="str">
        <f>VLOOKUP(D1307,unit_serifs_i18n!C:F,4,FALSE)</f>
        <v>あなた達も覗いてみる？</v>
      </c>
    </row>
    <row r="1308" spans="1:6" x14ac:dyDescent="0.15">
      <c r="A1308" s="63">
        <v>880</v>
      </c>
      <c r="B1308" s="9" t="str">
        <f>VLOOKUP(A1308,[1]characters!$A:$C,3,FALSE)</f>
        <v>ハーシェル</v>
      </c>
      <c r="C1308" s="55" t="s">
        <v>990</v>
      </c>
      <c r="D1308" s="42" t="str">
        <f>A1308&amp;+(COUNTIF(A$32:A1308,A1308)-1)</f>
        <v>8802</v>
      </c>
      <c r="E1308" s="19" t="str">
        <f>VLOOKUP(D1308,unit_serifs_i18n!C:E,3,FALSE)</f>
        <v>giza</v>
      </c>
      <c r="F1308" s="19" t="str">
        <f>VLOOKUP(D1308,unit_serifs_i18n!C:F,4,FALSE)</f>
        <v>見える…あなたの運命が！</v>
      </c>
    </row>
    <row r="1309" spans="1:6" x14ac:dyDescent="0.15">
      <c r="A1309" s="63">
        <v>880</v>
      </c>
      <c r="B1309" s="9" t="str">
        <f>VLOOKUP(A1309,[1]characters!$A:$C,3,FALSE)</f>
        <v>ハーシェル</v>
      </c>
      <c r="C1309" s="55" t="s">
        <v>990</v>
      </c>
      <c r="D1309" s="42" t="str">
        <f>A1309&amp;+(COUNTIF(A$32:A1309,A1309)-1)</f>
        <v>8803</v>
      </c>
      <c r="E1309" s="19" t="str">
        <f>VLOOKUP(D1309,unit_serifs_i18n!C:E,3,FALSE)</f>
        <v>maru</v>
      </c>
      <c r="F1309" s="19" t="str">
        <f>VLOOKUP(D1309,unit_serifs_i18n!C:F,4,FALSE)</f>
        <v>星々に祈るのよ…！</v>
      </c>
    </row>
    <row r="1310" spans="1:6" x14ac:dyDescent="0.15">
      <c r="A1310" s="63">
        <v>881</v>
      </c>
      <c r="B1310" s="9" t="str">
        <f>VLOOKUP(A1310,[1]characters!$A:$C,3,FALSE)</f>
        <v>銀河究星の望観者 ハーシェル</v>
      </c>
      <c r="C1310" s="74" t="s">
        <v>989</v>
      </c>
      <c r="D1310" s="42" t="str">
        <f>A1310&amp;+(COUNTIF(A$32:A1310,A1310)-1)</f>
        <v>8810</v>
      </c>
      <c r="E1310" s="19" t="str">
        <f>VLOOKUP(D1310,unit_serifs_i18n!C:E,3,FALSE)</f>
        <v>giza</v>
      </c>
      <c r="F1310" s="19" t="str">
        <f>VLOOKUP(D1310,unit_serifs_i18n!C:F,4,FALSE)</f>
        <v>無限の銀河に呑まれちゃえ！</v>
      </c>
    </row>
    <row r="1311" spans="1:6" ht="22" customHeight="1" x14ac:dyDescent="0.15">
      <c r="A1311" s="63">
        <v>881</v>
      </c>
      <c r="B1311" s="9" t="str">
        <f>VLOOKUP(A1311,[1]characters!$A:$C,3,FALSE)</f>
        <v>銀河究星の望観者 ハーシェル</v>
      </c>
      <c r="C1311" s="55" t="s">
        <v>990</v>
      </c>
      <c r="D1311" s="42" t="str">
        <f>A1311&amp;+(COUNTIF(A$32:A1311,A1311)-1)</f>
        <v>8811</v>
      </c>
      <c r="E1311" s="19" t="str">
        <f>VLOOKUP(D1311,unit_serifs_i18n!C:E,3,FALSE)</f>
        <v>giza</v>
      </c>
      <c r="F1311" s="19" t="str">
        <f>VLOOKUP(D1311,unit_serifs_i18n!C:F,4,FALSE)</f>
        <v>きらめけ！銀河たち！</v>
      </c>
    </row>
    <row r="1312" spans="1:6" ht="26" customHeight="1" x14ac:dyDescent="0.15">
      <c r="A1312" s="63">
        <v>881</v>
      </c>
      <c r="B1312" s="9" t="str">
        <f>VLOOKUP(A1312,[1]characters!$A:$C,3,FALSE)</f>
        <v>銀河究星の望観者 ハーシェル</v>
      </c>
      <c r="C1312" s="55" t="s">
        <v>990</v>
      </c>
      <c r="D1312" s="46" t="str">
        <f>D1307</f>
        <v>8801</v>
      </c>
      <c r="E1312" s="19" t="str">
        <f>VLOOKUP(D1312,unit_serifs_i18n!C:E,3,FALSE)</f>
        <v>maru</v>
      </c>
      <c r="F1312" s="19" t="str">
        <f>VLOOKUP(D1312,unit_serifs_i18n!C:F,4,FALSE)</f>
        <v>あなた達も覗いてみる？</v>
      </c>
    </row>
    <row r="1313" spans="1:6" ht="26" customHeight="1" x14ac:dyDescent="0.15">
      <c r="A1313" s="63">
        <v>881</v>
      </c>
      <c r="B1313" s="9" t="str">
        <f>VLOOKUP(A1313,[1]characters!$A:$C,3,FALSE)</f>
        <v>銀河究星の望観者 ハーシェル</v>
      </c>
      <c r="C1313" s="55" t="s">
        <v>990</v>
      </c>
      <c r="D1313" s="46" t="str">
        <f>D1308</f>
        <v>8802</v>
      </c>
      <c r="E1313" s="19" t="str">
        <f>VLOOKUP(D1313,unit_serifs_i18n!C:E,3,FALSE)</f>
        <v>giza</v>
      </c>
      <c r="F1313" s="19" t="str">
        <f>VLOOKUP(D1313,unit_serifs_i18n!C:F,4,FALSE)</f>
        <v>見える…あなたの運命が！</v>
      </c>
    </row>
    <row r="1314" spans="1:6" ht="26" customHeight="1" x14ac:dyDescent="0.15">
      <c r="A1314" s="63">
        <v>881</v>
      </c>
      <c r="B1314" s="9" t="str">
        <f>VLOOKUP(A1314,[1]characters!$A:$C,3,FALSE)</f>
        <v>銀河究星の望観者 ハーシェル</v>
      </c>
      <c r="C1314" s="55" t="s">
        <v>990</v>
      </c>
      <c r="D1314" s="46" t="str">
        <f>D1309</f>
        <v>8803</v>
      </c>
      <c r="E1314" s="19" t="str">
        <f>VLOOKUP(D1314,unit_serifs_i18n!C:E,3,FALSE)</f>
        <v>maru</v>
      </c>
      <c r="F1314" s="19" t="str">
        <f>VLOOKUP(D1314,unit_serifs_i18n!C:F,4,FALSE)</f>
        <v>星々に祈るのよ…！</v>
      </c>
    </row>
    <row r="1315" spans="1:6" x14ac:dyDescent="0.15">
      <c r="A1315" s="63">
        <v>750</v>
      </c>
      <c r="B1315" s="9" t="str">
        <f>VLOOKUP(A1315,[1]characters!$A:$C,3,FALSE)</f>
        <v>ポアソン</v>
      </c>
      <c r="C1315" s="74" t="s">
        <v>989</v>
      </c>
      <c r="D1315" s="42" t="str">
        <f>A1315&amp;+(COUNTIF(A$32:A1315,A1315)-1)</f>
        <v>7500</v>
      </c>
      <c r="E1315" s="19" t="str">
        <f>VLOOKUP(D1315,unit_serifs_i18n!C:E,3,FALSE)</f>
        <v>maru</v>
      </c>
      <c r="F1315" s="19" t="str">
        <f>VLOOKUP(D1315,unit_serifs_i18n!C:F,4,FALSE)</f>
        <v>全てに力を込めてあります…</v>
      </c>
    </row>
    <row r="1316" spans="1:6" x14ac:dyDescent="0.15">
      <c r="A1316" s="63">
        <v>750</v>
      </c>
      <c r="B1316" s="9" t="str">
        <f>VLOOKUP(A1316,[1]characters!$A:$C,3,FALSE)</f>
        <v>ポアソン</v>
      </c>
      <c r="C1316" s="55" t="s">
        <v>990</v>
      </c>
      <c r="D1316" s="42" t="str">
        <f>A1316&amp;+(COUNTIF(A$32:A1316,A1316)-1)</f>
        <v>7501</v>
      </c>
      <c r="E1316" s="19" t="str">
        <f>VLOOKUP(D1316,unit_serifs_i18n!C:E,3,FALSE)</f>
        <v>maru</v>
      </c>
      <c r="F1316" s="19" t="str">
        <f>VLOOKUP(D1316,unit_serifs_i18n!C:F,4,FALSE)</f>
        <v>勉強の時間にしましょう</v>
      </c>
    </row>
    <row r="1317" spans="1:6" x14ac:dyDescent="0.15">
      <c r="A1317" s="63">
        <v>750</v>
      </c>
      <c r="B1317" s="9" t="str">
        <f>VLOOKUP(A1317,[1]characters!$A:$C,3,FALSE)</f>
        <v>ポアソン</v>
      </c>
      <c r="C1317" s="55" t="s">
        <v>990</v>
      </c>
      <c r="D1317" s="42" t="str">
        <f>A1317&amp;+(COUNTIF(A$32:A1317,A1317)-1)</f>
        <v>7502</v>
      </c>
      <c r="E1317" s="19" t="str">
        <f>VLOOKUP(D1317,unit_serifs_i18n!C:E,3,FALSE)</f>
        <v>maru</v>
      </c>
      <c r="F1317" s="19" t="str">
        <f>VLOOKUP(D1317,unit_serifs_i18n!C:F,4,FALSE)</f>
        <v>ほんの実験ですよ…ふふ</v>
      </c>
    </row>
    <row r="1318" spans="1:6" x14ac:dyDescent="0.15">
      <c r="A1318" s="63">
        <v>750</v>
      </c>
      <c r="B1318" s="9" t="str">
        <f>VLOOKUP(A1318,[1]characters!$A:$C,3,FALSE)</f>
        <v>ポアソン</v>
      </c>
      <c r="C1318" s="55" t="s">
        <v>990</v>
      </c>
      <c r="D1318" s="42" t="str">
        <f>A1318&amp;+(COUNTIF(A$32:A1318,A1318)-1)</f>
        <v>7503</v>
      </c>
      <c r="E1318" s="19" t="str">
        <f>VLOOKUP(D1318,unit_serifs_i18n!C:E,3,FALSE)</f>
        <v>maru</v>
      </c>
      <c r="F1318" s="19" t="str">
        <f>VLOOKUP(D1318,unit_serifs_i18n!C:F,4,FALSE)</f>
        <v>衝撃にご注意を…</v>
      </c>
    </row>
    <row r="1319" spans="1:6" x14ac:dyDescent="0.15">
      <c r="A1319" s="63">
        <v>751</v>
      </c>
      <c r="B1319" s="9" t="str">
        <f>VLOOKUP(A1319,[1]characters!$A:$C,3,FALSE)</f>
        <v>交錯の旋匣 ポアソン</v>
      </c>
      <c r="C1319" s="74" t="s">
        <v>989</v>
      </c>
      <c r="D1319" s="42" t="str">
        <f>A1319&amp;+(COUNTIF(A$32:A1319,A1319)-1)</f>
        <v>7510</v>
      </c>
      <c r="E1319" s="19" t="str">
        <f>VLOOKUP(D1319,unit_serifs_i18n!C:E,3,FALSE)</f>
        <v>maru</v>
      </c>
      <c r="F1319" s="19" t="str">
        <f>VLOOKUP(D1319,unit_serifs_i18n!C:F,4,FALSE)</f>
        <v>いいでしょう…お見せします</v>
      </c>
    </row>
    <row r="1320" spans="1:6" ht="22" customHeight="1" x14ac:dyDescent="0.15">
      <c r="A1320" s="63">
        <v>751</v>
      </c>
      <c r="B1320" s="9" t="str">
        <f>VLOOKUP(A1320,[1]characters!$A:$C,3,FALSE)</f>
        <v>交錯の旋匣 ポアソン</v>
      </c>
      <c r="C1320" s="55" t="s">
        <v>990</v>
      </c>
      <c r="D1320" s="42" t="str">
        <f>A1320&amp;+(COUNTIF(A$32:A1320,A1320)-1)</f>
        <v>7511</v>
      </c>
      <c r="E1320" s="19" t="str">
        <f>VLOOKUP(D1320,unit_serifs_i18n!C:E,3,FALSE)</f>
        <v>kumo</v>
      </c>
      <c r="F1320" s="19" t="str">
        <f>VLOOKUP(D1320,unit_serifs_i18n!C:F,4,FALSE)</f>
        <v>あぁ…歪み…綺麗……</v>
      </c>
    </row>
    <row r="1321" spans="1:6" ht="26" customHeight="1" x14ac:dyDescent="0.15">
      <c r="A1321" s="63">
        <v>751</v>
      </c>
      <c r="B1321" s="9" t="str">
        <f>VLOOKUP(A1321,[1]characters!$A:$C,3,FALSE)</f>
        <v>交錯の旋匣 ポアソン</v>
      </c>
      <c r="C1321" s="55" t="s">
        <v>990</v>
      </c>
      <c r="D1321" s="46" t="str">
        <f>D1316</f>
        <v>7501</v>
      </c>
      <c r="E1321" s="19" t="str">
        <f>VLOOKUP(D1321,unit_serifs_i18n!C:E,3,FALSE)</f>
        <v>maru</v>
      </c>
      <c r="F1321" s="19" t="str">
        <f>VLOOKUP(D1321,unit_serifs_i18n!C:F,4,FALSE)</f>
        <v>勉強の時間にしましょう</v>
      </c>
    </row>
    <row r="1322" spans="1:6" ht="26" customHeight="1" x14ac:dyDescent="0.15">
      <c r="A1322" s="63">
        <v>751</v>
      </c>
      <c r="B1322" s="9" t="str">
        <f>VLOOKUP(A1322,[1]characters!$A:$C,3,FALSE)</f>
        <v>交錯の旋匣 ポアソン</v>
      </c>
      <c r="C1322" s="55" t="s">
        <v>990</v>
      </c>
      <c r="D1322" s="46" t="str">
        <f>D1317</f>
        <v>7502</v>
      </c>
      <c r="E1322" s="19" t="str">
        <f>VLOOKUP(D1322,unit_serifs_i18n!C:E,3,FALSE)</f>
        <v>maru</v>
      </c>
      <c r="F1322" s="19" t="str">
        <f>VLOOKUP(D1322,unit_serifs_i18n!C:F,4,FALSE)</f>
        <v>ほんの実験ですよ…ふふ</v>
      </c>
    </row>
    <row r="1323" spans="1:6" ht="26" customHeight="1" x14ac:dyDescent="0.15">
      <c r="A1323" s="63">
        <v>751</v>
      </c>
      <c r="B1323" s="9" t="str">
        <f>VLOOKUP(A1323,[1]characters!$A:$C,3,FALSE)</f>
        <v>交錯の旋匣 ポアソン</v>
      </c>
      <c r="C1323" s="55" t="s">
        <v>990</v>
      </c>
      <c r="D1323" s="46" t="str">
        <f>D1318</f>
        <v>7503</v>
      </c>
      <c r="E1323" s="19" t="str">
        <f>VLOOKUP(D1323,unit_serifs_i18n!C:E,3,FALSE)</f>
        <v>maru</v>
      </c>
      <c r="F1323" s="19" t="str">
        <f>VLOOKUP(D1323,unit_serifs_i18n!C:F,4,FALSE)</f>
        <v>衝撃にご注意を…</v>
      </c>
    </row>
    <row r="1324" spans="1:6" x14ac:dyDescent="0.15">
      <c r="A1324" s="63">
        <v>953</v>
      </c>
      <c r="B1324" s="9" t="str">
        <f>VLOOKUP(A1324,[1]characters!$A:$C,3,FALSE)</f>
        <v>ハイゼンベルク</v>
      </c>
      <c r="C1324" s="74" t="s">
        <v>989</v>
      </c>
      <c r="D1324" s="42" t="str">
        <f>A1324&amp;+(COUNTIF(A$32:A1324,A1324)-1)</f>
        <v>9530</v>
      </c>
      <c r="E1324" s="19" t="str">
        <f>VLOOKUP(D1324,unit_serifs_i18n!C:E,3,FALSE)</f>
        <v>giza</v>
      </c>
      <c r="F1324" s="19" t="str">
        <f>VLOOKUP(D1324,unit_serifs_i18n!C:F,4,FALSE)</f>
        <v>はいはーい！やっちゃうよ！</v>
      </c>
    </row>
    <row r="1325" spans="1:6" x14ac:dyDescent="0.15">
      <c r="A1325" s="63">
        <v>953</v>
      </c>
      <c r="B1325" s="9" t="str">
        <f>VLOOKUP(A1325,[1]characters!$A:$C,3,FALSE)</f>
        <v>ハイゼンベルク</v>
      </c>
      <c r="C1325" s="55" t="s">
        <v>990</v>
      </c>
      <c r="D1325" s="42" t="str">
        <f>A1325&amp;+(COUNTIF(A$32:A1325,A1325)-1)</f>
        <v>9531</v>
      </c>
      <c r="E1325" s="19" t="str">
        <f>VLOOKUP(D1325,unit_serifs_i18n!C:E,3,FALSE)</f>
        <v>giza</v>
      </c>
      <c r="F1325" s="19" t="str">
        <f>VLOOKUP(D1325,unit_serifs_i18n!C:F,4,FALSE)</f>
        <v>溶かし尽くしちゃうよ！</v>
      </c>
    </row>
    <row r="1326" spans="1:6" x14ac:dyDescent="0.15">
      <c r="A1326" s="63">
        <v>953</v>
      </c>
      <c r="B1326" s="9" t="str">
        <f>VLOOKUP(A1326,[1]characters!$A:$C,3,FALSE)</f>
        <v>ハイゼンベルク</v>
      </c>
      <c r="C1326" s="55" t="s">
        <v>990</v>
      </c>
      <c r="D1326" s="42" t="str">
        <f>A1326&amp;+(COUNTIF(A$32:A1326,A1326)-1)</f>
        <v>9532</v>
      </c>
      <c r="E1326" s="19" t="str">
        <f>VLOOKUP(D1326,unit_serifs_i18n!C:E,3,FALSE)</f>
        <v>maru</v>
      </c>
      <c r="F1326" s="19" t="str">
        <f>VLOOKUP(D1326,unit_serifs_i18n!C:F,4,FALSE)</f>
        <v>当たる…かな？？</v>
      </c>
    </row>
    <row r="1327" spans="1:6" x14ac:dyDescent="0.15">
      <c r="A1327" s="63">
        <v>953</v>
      </c>
      <c r="B1327" s="9" t="str">
        <f>VLOOKUP(A1327,[1]characters!$A:$C,3,FALSE)</f>
        <v>ハイゼンベルク</v>
      </c>
      <c r="C1327" s="55" t="s">
        <v>990</v>
      </c>
      <c r="D1327" s="42" t="str">
        <f>A1327&amp;+(COUNTIF(A$32:A1327,A1327)-1)</f>
        <v>9533</v>
      </c>
      <c r="E1327" s="19" t="str">
        <f>VLOOKUP(D1327,unit_serifs_i18n!C:E,3,FALSE)</f>
        <v>maru</v>
      </c>
      <c r="F1327" s="19" t="str">
        <f>VLOOKUP(D1327,unit_serifs_i18n!C:F,4,FALSE)</f>
        <v>あっつーい！！やり過ぎ？</v>
      </c>
    </row>
    <row r="1328" spans="1:6" x14ac:dyDescent="0.15">
      <c r="A1328" s="63">
        <v>954</v>
      </c>
      <c r="B1328" s="9" t="str">
        <f>VLOOKUP(A1328,[1]characters!$A:$C,3,FALSE)</f>
        <v>不確の量熔者 ハイゼンベルク</v>
      </c>
      <c r="C1328" s="74" t="s">
        <v>989</v>
      </c>
      <c r="D1328" s="42" t="str">
        <f>A1328&amp;+(COUNTIF(A$32:A1328,A1328)-1)</f>
        <v>9540</v>
      </c>
      <c r="E1328" s="19" t="str">
        <f>VLOOKUP(D1328,unit_serifs_i18n!C:E,3,FALSE)</f>
        <v>giza</v>
      </c>
      <c r="F1328" s="19" t="str">
        <f>VLOOKUP(D1328,unit_serifs_i18n!C:F,4,FALSE)</f>
        <v>まだまだよー！足りないわ！</v>
      </c>
    </row>
    <row r="1329" spans="1:6" ht="22" customHeight="1" x14ac:dyDescent="0.15">
      <c r="A1329" s="63">
        <v>954</v>
      </c>
      <c r="B1329" s="9" t="str">
        <f>VLOOKUP(A1329,[1]characters!$A:$C,3,FALSE)</f>
        <v>不確の量熔者 ハイゼンベルク</v>
      </c>
      <c r="C1329" s="55" t="s">
        <v>990</v>
      </c>
      <c r="D1329" s="42" t="str">
        <f>A1329&amp;+(COUNTIF(A$32:A1329,A1329)-1)</f>
        <v>9541</v>
      </c>
      <c r="E1329" s="19" t="str">
        <f>VLOOKUP(D1329,unit_serifs_i18n!C:E,3,FALSE)</f>
        <v>giza</v>
      </c>
      <c r="F1329" s="19" t="str">
        <f>VLOOKUP(D1329,unit_serifs_i18n!C:F,4,FALSE)</f>
        <v>限界突破！いっちゃうよ！</v>
      </c>
    </row>
    <row r="1330" spans="1:6" ht="26" customHeight="1" x14ac:dyDescent="0.15">
      <c r="A1330" s="63">
        <v>954</v>
      </c>
      <c r="B1330" s="9" t="str">
        <f>VLOOKUP(A1330,[1]characters!$A:$C,3,FALSE)</f>
        <v>不確の量熔者 ハイゼンベルク</v>
      </c>
      <c r="C1330" s="55" t="s">
        <v>990</v>
      </c>
      <c r="D1330" s="46" t="str">
        <f>D1325</f>
        <v>9531</v>
      </c>
      <c r="E1330" s="19" t="str">
        <f>VLOOKUP(D1330,unit_serifs_i18n!C:E,3,FALSE)</f>
        <v>giza</v>
      </c>
      <c r="F1330" s="19" t="str">
        <f>VLOOKUP(D1330,unit_serifs_i18n!C:F,4,FALSE)</f>
        <v>溶かし尽くしちゃうよ！</v>
      </c>
    </row>
    <row r="1331" spans="1:6" ht="26" customHeight="1" x14ac:dyDescent="0.15">
      <c r="A1331" s="63">
        <v>954</v>
      </c>
      <c r="B1331" s="9" t="str">
        <f>VLOOKUP(A1331,[1]characters!$A:$C,3,FALSE)</f>
        <v>不確の量熔者 ハイゼンベルク</v>
      </c>
      <c r="C1331" s="55" t="s">
        <v>990</v>
      </c>
      <c r="D1331" s="46" t="str">
        <f>D1326</f>
        <v>9532</v>
      </c>
      <c r="E1331" s="19" t="str">
        <f>VLOOKUP(D1331,unit_serifs_i18n!C:E,3,FALSE)</f>
        <v>maru</v>
      </c>
      <c r="F1331" s="19" t="str">
        <f>VLOOKUP(D1331,unit_serifs_i18n!C:F,4,FALSE)</f>
        <v>当たる…かな？？</v>
      </c>
    </row>
    <row r="1332" spans="1:6" ht="26" customHeight="1" x14ac:dyDescent="0.15">
      <c r="A1332" s="63">
        <v>954</v>
      </c>
      <c r="B1332" s="9" t="str">
        <f>VLOOKUP(A1332,[1]characters!$A:$C,3,FALSE)</f>
        <v>不確の量熔者 ハイゼンベルク</v>
      </c>
      <c r="C1332" s="55" t="s">
        <v>990</v>
      </c>
      <c r="D1332" s="46" t="str">
        <f>D1327</f>
        <v>9533</v>
      </c>
      <c r="E1332" s="19" t="str">
        <f>VLOOKUP(D1332,unit_serifs_i18n!C:E,3,FALSE)</f>
        <v>maru</v>
      </c>
      <c r="F1332" s="19" t="str">
        <f>VLOOKUP(D1332,unit_serifs_i18n!C:F,4,FALSE)</f>
        <v>あっつーい！！やり過ぎ？</v>
      </c>
    </row>
    <row r="1333" spans="1:6" x14ac:dyDescent="0.15">
      <c r="A1333" s="63">
        <v>974</v>
      </c>
      <c r="B1333" s="9" t="str">
        <f>VLOOKUP(A1333,[1]characters!$A:$C,3,FALSE)</f>
        <v>ブール</v>
      </c>
      <c r="C1333" s="74" t="s">
        <v>989</v>
      </c>
      <c r="D1333" s="42" t="str">
        <f>A1333&amp;+(COUNTIF(A$32:A1333,A1333)-1)</f>
        <v>9740</v>
      </c>
      <c r="E1333" s="19" t="str">
        <f>VLOOKUP(D1333,unit_serifs_i18n!C:E,3,FALSE)</f>
        <v>giza</v>
      </c>
      <c r="F1333" s="19" t="str">
        <f>VLOOKUP(D1333,unit_serifs_i18n!C:F,4,FALSE)</f>
        <v>私の元気、分けてあげる！</v>
      </c>
    </row>
    <row r="1334" spans="1:6" x14ac:dyDescent="0.15">
      <c r="A1334" s="63">
        <v>974</v>
      </c>
      <c r="B1334" s="9" t="str">
        <f>VLOOKUP(A1334,[1]characters!$A:$C,3,FALSE)</f>
        <v>ブール</v>
      </c>
      <c r="C1334" s="55" t="s">
        <v>990</v>
      </c>
      <c r="D1334" s="42" t="str">
        <f>A1334&amp;+(COUNTIF(A$32:A1334,A1334)-1)</f>
        <v>9741</v>
      </c>
      <c r="E1334" s="19" t="str">
        <f>VLOOKUP(D1334,unit_serifs_i18n!C:E,3,FALSE)</f>
        <v>giza</v>
      </c>
      <c r="F1334" s="19" t="str">
        <f>VLOOKUP(D1334,unit_serifs_i18n!C:F,4,FALSE)</f>
        <v>天まで連れて行ってあげる！</v>
      </c>
    </row>
    <row r="1335" spans="1:6" x14ac:dyDescent="0.15">
      <c r="A1335" s="63">
        <v>974</v>
      </c>
      <c r="B1335" s="9" t="str">
        <f>VLOOKUP(A1335,[1]characters!$A:$C,3,FALSE)</f>
        <v>ブール</v>
      </c>
      <c r="C1335" s="55" t="s">
        <v>990</v>
      </c>
      <c r="D1335" s="42" t="str">
        <f>A1335&amp;+(COUNTIF(A$32:A1335,A1335)-1)</f>
        <v>9742</v>
      </c>
      <c r="E1335" s="19" t="str">
        <f>VLOOKUP(D1335,unit_serifs_i18n!C:E,3,FALSE)</f>
        <v>maru</v>
      </c>
      <c r="F1335" s="19" t="str">
        <f>VLOOKUP(D1335,unit_serifs_i18n!C:F,4,FALSE)</f>
        <v>数字の加護がありますように</v>
      </c>
    </row>
    <row r="1336" spans="1:6" x14ac:dyDescent="0.15">
      <c r="A1336" s="63">
        <v>974</v>
      </c>
      <c r="B1336" s="9" t="str">
        <f>VLOOKUP(A1336,[1]characters!$A:$C,3,FALSE)</f>
        <v>ブール</v>
      </c>
      <c r="C1336" s="55" t="s">
        <v>990</v>
      </c>
      <c r="D1336" s="42" t="str">
        <f>A1336&amp;+(COUNTIF(A$32:A1336,A1336)-1)</f>
        <v>9743</v>
      </c>
      <c r="E1336" s="19" t="str">
        <f>VLOOKUP(D1336,unit_serifs_i18n!C:E,3,FALSE)</f>
        <v>kumo</v>
      </c>
      <c r="F1336" s="19" t="str">
        <f>VLOOKUP(D1336,unit_serifs_i18n!C:F,4,FALSE)</f>
        <v>キミの心を浄化してあげる♪</v>
      </c>
    </row>
    <row r="1337" spans="1:6" x14ac:dyDescent="0.15">
      <c r="A1337" s="63">
        <v>975</v>
      </c>
      <c r="B1337" s="9" t="str">
        <f>VLOOKUP(A1337,[1]characters!$A:$C,3,FALSE)</f>
        <v>綺号を巡る輝翼 ブール</v>
      </c>
      <c r="C1337" s="74" t="s">
        <v>989</v>
      </c>
      <c r="D1337" s="42" t="str">
        <f>A1337&amp;+(COUNTIF(A$32:A1337,A1337)-1)</f>
        <v>9750</v>
      </c>
      <c r="E1337" s="19" t="str">
        <f>VLOOKUP(D1337,unit_serifs_i18n!C:E,3,FALSE)</f>
        <v>giza</v>
      </c>
      <c r="F1337" s="19" t="str">
        <f>VLOOKUP(D1337,unit_serifs_i18n!C:F,4,FALSE)</f>
        <v>笑顔満開だよっ！</v>
      </c>
    </row>
    <row r="1338" spans="1:6" ht="22" customHeight="1" x14ac:dyDescent="0.15">
      <c r="A1338" s="63">
        <v>975</v>
      </c>
      <c r="B1338" s="9" t="str">
        <f>VLOOKUP(A1338,[1]characters!$A:$C,3,FALSE)</f>
        <v>綺号を巡る輝翼 ブール</v>
      </c>
      <c r="C1338" s="55" t="s">
        <v>990</v>
      </c>
      <c r="D1338" s="42" t="str">
        <f>A1338&amp;+(COUNTIF(A$32:A1338,A1338)-1)</f>
        <v>9751</v>
      </c>
      <c r="E1338" s="19" t="str">
        <f>VLOOKUP(D1338,unit_serifs_i18n!C:E,3,FALSE)</f>
        <v>kumo</v>
      </c>
      <c r="F1338" s="19" t="str">
        <f>VLOOKUP(D1338,unit_serifs_i18n!C:F,4,FALSE)</f>
        <v>えへへ、空から来ちゃった♪</v>
      </c>
    </row>
    <row r="1339" spans="1:6" ht="26" customHeight="1" x14ac:dyDescent="0.15">
      <c r="A1339" s="63">
        <v>975</v>
      </c>
      <c r="B1339" s="9" t="str">
        <f>VLOOKUP(A1339,[1]characters!$A:$C,3,FALSE)</f>
        <v>綺号を巡る輝翼 ブール</v>
      </c>
      <c r="C1339" s="55" t="s">
        <v>990</v>
      </c>
      <c r="D1339" s="46" t="str">
        <f>D1334</f>
        <v>9741</v>
      </c>
      <c r="E1339" s="19" t="str">
        <f>VLOOKUP(D1339,unit_serifs_i18n!C:E,3,FALSE)</f>
        <v>giza</v>
      </c>
      <c r="F1339" s="19" t="str">
        <f>VLOOKUP(D1339,unit_serifs_i18n!C:F,4,FALSE)</f>
        <v>天まで連れて行ってあげる！</v>
      </c>
    </row>
    <row r="1340" spans="1:6" ht="26" customHeight="1" x14ac:dyDescent="0.15">
      <c r="A1340" s="63">
        <v>975</v>
      </c>
      <c r="B1340" s="9" t="str">
        <f>VLOOKUP(A1340,[1]characters!$A:$C,3,FALSE)</f>
        <v>綺号を巡る輝翼 ブール</v>
      </c>
      <c r="C1340" s="55" t="s">
        <v>990</v>
      </c>
      <c r="D1340" s="46" t="str">
        <f>D1335</f>
        <v>9742</v>
      </c>
      <c r="E1340" s="19" t="str">
        <f>VLOOKUP(D1340,unit_serifs_i18n!C:E,3,FALSE)</f>
        <v>maru</v>
      </c>
      <c r="F1340" s="19" t="str">
        <f>VLOOKUP(D1340,unit_serifs_i18n!C:F,4,FALSE)</f>
        <v>数字の加護がありますように</v>
      </c>
    </row>
    <row r="1341" spans="1:6" ht="26" customHeight="1" x14ac:dyDescent="0.15">
      <c r="A1341" s="63">
        <v>975</v>
      </c>
      <c r="B1341" s="88" t="str">
        <f>VLOOKUP(A1341,[1]characters!$A:$C,3,FALSE)</f>
        <v>綺号を巡る輝翼 ブール</v>
      </c>
      <c r="C1341" s="89" t="s">
        <v>990</v>
      </c>
      <c r="D1341" s="90" t="str">
        <f>D1336</f>
        <v>9743</v>
      </c>
      <c r="E1341" s="91" t="str">
        <f>VLOOKUP(D1341,unit_serifs_i18n!C:E,3,FALSE)</f>
        <v>kumo</v>
      </c>
      <c r="F1341" s="91" t="str">
        <f>VLOOKUP(D1341,unit_serifs_i18n!C:F,4,FALSE)</f>
        <v>キミの心を浄化してあげる♪</v>
      </c>
    </row>
    <row r="1342" spans="1:6" ht="26" customHeight="1" x14ac:dyDescent="0.15">
      <c r="A1342" s="63">
        <v>1039</v>
      </c>
      <c r="B1342" s="88" t="str">
        <f>VLOOKUP(A1342,[1]characters!$A:$C,3,FALSE)</f>
        <v>ディラック</v>
      </c>
      <c r="C1342" s="74" t="s">
        <v>951</v>
      </c>
      <c r="D1342" s="42" t="str">
        <f>A1342&amp;+(COUNTIF(A$32:A1342,A1342)-1)</f>
        <v>10390</v>
      </c>
      <c r="E1342" s="91" t="str">
        <f>VLOOKUP(D1342,unit_serifs_i18n!C:E,3,FALSE)</f>
        <v>maru</v>
      </c>
      <c r="F1342" s="91" t="str">
        <f>VLOOKUP(D1342,unit_serifs_i18n!C:F,4,FALSE)</f>
        <v>この空間に…溺れなよ</v>
      </c>
    </row>
    <row r="1343" spans="1:6" ht="26" customHeight="1" x14ac:dyDescent="0.15">
      <c r="A1343" s="63">
        <v>1039</v>
      </c>
      <c r="B1343" s="88" t="str">
        <f>VLOOKUP(A1343,[1]characters!$A:$C,3,FALSE)</f>
        <v>ディラック</v>
      </c>
      <c r="C1343" s="55" t="s">
        <v>990</v>
      </c>
      <c r="D1343" s="42" t="str">
        <f>A1343&amp;+(COUNTIF(A$32:A1343,A1343)-1)</f>
        <v>10391</v>
      </c>
      <c r="E1343" s="91" t="str">
        <f>VLOOKUP(D1343,unit_serifs_i18n!C:E,3,FALSE)</f>
        <v>maru</v>
      </c>
      <c r="F1343" s="91" t="str">
        <f>VLOOKUP(D1343,unit_serifs_i18n!C:F,4,FALSE)</f>
        <v>腕が鳴るね…行くよ！</v>
      </c>
    </row>
    <row r="1344" spans="1:6" ht="26" customHeight="1" x14ac:dyDescent="0.15">
      <c r="A1344" s="63">
        <v>1039</v>
      </c>
      <c r="B1344" s="88" t="str">
        <f>VLOOKUP(A1344,[1]characters!$A:$C,3,FALSE)</f>
        <v>ディラック</v>
      </c>
      <c r="C1344" s="55" t="s">
        <v>990</v>
      </c>
      <c r="D1344" s="42" t="str">
        <f>A1344&amp;+(COUNTIF(A$32:A1344,A1344)-1)</f>
        <v>10392</v>
      </c>
      <c r="E1344" s="91" t="str">
        <f>VLOOKUP(D1344,unit_serifs_i18n!C:E,3,FALSE)</f>
        <v>maru</v>
      </c>
      <c r="F1344" s="91" t="str">
        <f>VLOOKUP(D1344,unit_serifs_i18n!C:F,4,FALSE)</f>
        <v>触れたら最後だよ</v>
      </c>
    </row>
    <row r="1345" spans="1:6" ht="26" customHeight="1" x14ac:dyDescent="0.15">
      <c r="A1345" s="63">
        <v>1039</v>
      </c>
      <c r="B1345" s="88" t="str">
        <f>VLOOKUP(A1345,[1]characters!$A:$C,3,FALSE)</f>
        <v>ディラック</v>
      </c>
      <c r="C1345" s="55" t="s">
        <v>990</v>
      </c>
      <c r="D1345" s="42" t="str">
        <f>A1345&amp;+(COUNTIF(A$32:A1345,A1345)-1)</f>
        <v>10393</v>
      </c>
      <c r="E1345" s="91" t="str">
        <f>VLOOKUP(D1345,unit_serifs_i18n!C:E,3,FALSE)</f>
        <v>maru</v>
      </c>
      <c r="F1345" s="91" t="str">
        <f>VLOOKUP(D1345,unit_serifs_i18n!C:F,4,FALSE)</f>
        <v>総力戦といこうか</v>
      </c>
    </row>
    <row r="1346" spans="1:6" ht="26" customHeight="1" x14ac:dyDescent="0.15">
      <c r="A1346" s="63">
        <v>1040</v>
      </c>
      <c r="B1346" s="88" t="str">
        <f>VLOOKUP(A1346,[1]characters!$A:$C,3,FALSE)</f>
        <v>蒼流の電磁団 ディラック</v>
      </c>
      <c r="C1346" s="74" t="s">
        <v>951</v>
      </c>
      <c r="D1346" s="42" t="str">
        <f>A1346&amp;+(COUNTIF(A$32:A1346,A1346)-1)</f>
        <v>10400</v>
      </c>
      <c r="E1346" s="91" t="str">
        <f>VLOOKUP(D1346,unit_serifs_i18n!C:E,3,FALSE)</f>
        <v>kumo</v>
      </c>
      <c r="F1346" s="91" t="str">
        <f>VLOOKUP(D1346,unit_serifs_i18n!C:F,4,FALSE)</f>
        <v>電磁団、Ready…？？</v>
      </c>
    </row>
    <row r="1347" spans="1:6" ht="26" customHeight="1" x14ac:dyDescent="0.15">
      <c r="A1347" s="63">
        <v>1040</v>
      </c>
      <c r="B1347" s="88" t="str">
        <f>VLOOKUP(A1347,[1]characters!$A:$C,3,FALSE)</f>
        <v>蒼流の電磁団 ディラック</v>
      </c>
      <c r="C1347" s="55" t="s">
        <v>990</v>
      </c>
      <c r="D1347" s="42" t="str">
        <f>A1347&amp;+(COUNTIF(A$32:A1347,A1347)-1)</f>
        <v>10401</v>
      </c>
      <c r="E1347" s="91" t="str">
        <f>VLOOKUP(D1347,unit_serifs_i18n!C:E,3,FALSE)</f>
        <v>maru</v>
      </c>
      <c r="F1347" s="91" t="str">
        <f>VLOOKUP(D1347,unit_serifs_i18n!C:F,4,FALSE)</f>
        <v>こっちはチームだから…！</v>
      </c>
    </row>
    <row r="1348" spans="1:6" ht="26" customHeight="1" x14ac:dyDescent="0.15">
      <c r="A1348" s="63">
        <v>1040</v>
      </c>
      <c r="B1348" s="88" t="str">
        <f>VLOOKUP(A1348,[1]characters!$A:$C,3,FALSE)</f>
        <v>蒼流の電磁団 ディラック</v>
      </c>
      <c r="C1348" s="55" t="s">
        <v>990</v>
      </c>
      <c r="D1348" s="46" t="str">
        <f>D1343</f>
        <v>10391</v>
      </c>
      <c r="E1348" s="91" t="str">
        <f>VLOOKUP(D1348,unit_serifs_i18n!C:E,3,FALSE)</f>
        <v>maru</v>
      </c>
      <c r="F1348" s="91" t="str">
        <f>VLOOKUP(D1348,unit_serifs_i18n!C:F,4,FALSE)</f>
        <v>腕が鳴るね…行くよ！</v>
      </c>
    </row>
    <row r="1349" spans="1:6" ht="26" customHeight="1" x14ac:dyDescent="0.15">
      <c r="A1349" s="63">
        <v>1040</v>
      </c>
      <c r="B1349" s="88" t="str">
        <f>VLOOKUP(A1349,[1]characters!$A:$C,3,FALSE)</f>
        <v>蒼流の電磁団 ディラック</v>
      </c>
      <c r="C1349" s="55" t="s">
        <v>990</v>
      </c>
      <c r="D1349" s="46" t="str">
        <f>D1344</f>
        <v>10392</v>
      </c>
      <c r="E1349" s="91" t="str">
        <f>VLOOKUP(D1349,unit_serifs_i18n!C:E,3,FALSE)</f>
        <v>maru</v>
      </c>
      <c r="F1349" s="91" t="str">
        <f>VLOOKUP(D1349,unit_serifs_i18n!C:F,4,FALSE)</f>
        <v>触れたら最後だよ</v>
      </c>
    </row>
    <row r="1350" spans="1:6" ht="26" customHeight="1" x14ac:dyDescent="0.15">
      <c r="A1350" s="63">
        <v>1040</v>
      </c>
      <c r="B1350" s="9" t="str">
        <f>VLOOKUP(A1350,[1]characters!$A:$C,3,FALSE)</f>
        <v>蒼流の電磁団 ディラック</v>
      </c>
      <c r="C1350" s="55" t="s">
        <v>990</v>
      </c>
      <c r="D1350" s="46" t="str">
        <f>D1345</f>
        <v>10393</v>
      </c>
      <c r="E1350" s="19" t="str">
        <f>VLOOKUP(D1350,unit_serifs_i18n!C:E,3,FALSE)</f>
        <v>maru</v>
      </c>
      <c r="F1350" s="19" t="str">
        <f>VLOOKUP(D1350,unit_serifs_i18n!C:F,4,FALSE)</f>
        <v>総力戦といこうか</v>
      </c>
    </row>
    <row r="1351" spans="1:6" ht="26" customHeight="1" x14ac:dyDescent="0.15">
      <c r="A1351" s="63">
        <v>1109</v>
      </c>
      <c r="B1351" s="88" t="str">
        <f>VLOOKUP(A1351,[1]characters!$A:$C,3,FALSE)</f>
        <v>セキ</v>
      </c>
      <c r="C1351" s="74" t="s">
        <v>951</v>
      </c>
      <c r="D1351" s="42" t="str">
        <f>A1351&amp;+(COUNTIF(A$32:A1351,A1351)-1)</f>
        <v>11090</v>
      </c>
      <c r="E1351" s="91" t="str">
        <f>VLOOKUP(D1351,unit_serifs_i18n!C:E,3,FALSE)</f>
        <v>giza</v>
      </c>
      <c r="F1351" s="91" t="str">
        <f>VLOOKUP(D1351,unit_serifs_i18n!C:F,4,FALSE)</f>
        <v>そこへ並べ…ぶった斬る</v>
      </c>
    </row>
    <row r="1352" spans="1:6" ht="26" customHeight="1" x14ac:dyDescent="0.15">
      <c r="A1352" s="63">
        <v>1109</v>
      </c>
      <c r="B1352" s="88" t="str">
        <f>VLOOKUP(A1352,[1]characters!$A:$C,3,FALSE)</f>
        <v>セキ</v>
      </c>
      <c r="C1352" s="55" t="s">
        <v>990</v>
      </c>
      <c r="D1352" s="42" t="str">
        <f>A1352&amp;+(COUNTIF(A$32:A1352,A1352)-1)</f>
        <v>11091</v>
      </c>
      <c r="E1352" s="91" t="str">
        <f>VLOOKUP(D1352,unit_serifs_i18n!C:E,3,FALSE)</f>
        <v>maru</v>
      </c>
      <c r="F1352" s="91" t="str">
        <f>VLOOKUP(D1352,unit_serifs_i18n!C:F,4,FALSE)</f>
        <v>抜刀も辞さない覚悟だ</v>
      </c>
    </row>
    <row r="1353" spans="1:6" ht="26" customHeight="1" x14ac:dyDescent="0.15">
      <c r="A1353" s="63">
        <v>1109</v>
      </c>
      <c r="B1353" s="88" t="str">
        <f>VLOOKUP(A1353,[1]characters!$A:$C,3,FALSE)</f>
        <v>セキ</v>
      </c>
      <c r="C1353" s="55" t="s">
        <v>990</v>
      </c>
      <c r="D1353" s="42" t="str">
        <f>A1353&amp;+(COUNTIF(A$32:A1353,A1353)-1)</f>
        <v>11092</v>
      </c>
      <c r="E1353" s="91" t="str">
        <f>VLOOKUP(D1353,unit_serifs_i18n!C:E,3,FALSE)</f>
        <v>maru</v>
      </c>
      <c r="F1353" s="91" t="str">
        <f>VLOOKUP(D1353,unit_serifs_i18n!C:F,4,FALSE)</f>
        <v>…凝り固まっているな</v>
      </c>
    </row>
    <row r="1354" spans="1:6" ht="26" customHeight="1" x14ac:dyDescent="0.15">
      <c r="A1354" s="63">
        <v>1109</v>
      </c>
      <c r="B1354" s="88" t="str">
        <f>VLOOKUP(A1354,[1]characters!$A:$C,3,FALSE)</f>
        <v>セキ</v>
      </c>
      <c r="C1354" s="55" t="s">
        <v>990</v>
      </c>
      <c r="D1354" s="42" t="str">
        <f>A1354&amp;+(COUNTIF(A$32:A1354,A1354)-1)</f>
        <v>11093</v>
      </c>
      <c r="E1354" s="91" t="str">
        <f>VLOOKUP(D1354,unit_serifs_i18n!C:E,3,FALSE)</f>
        <v>maru</v>
      </c>
      <c r="F1354" s="91" t="str">
        <f>VLOOKUP(D1354,unit_serifs_i18n!C:F,4,FALSE)</f>
        <v>解き方は教えたはずだが</v>
      </c>
    </row>
    <row r="1355" spans="1:6" ht="26" customHeight="1" x14ac:dyDescent="0.15">
      <c r="A1355" s="63">
        <v>1110</v>
      </c>
      <c r="B1355" s="88" t="str">
        <f>VLOOKUP(A1355,[1]characters!$A:$C,3,FALSE)</f>
        <v>天竄の炎斬式 セキ</v>
      </c>
      <c r="C1355" s="74" t="s">
        <v>951</v>
      </c>
      <c r="D1355" s="42" t="str">
        <f>A1355&amp;+(COUNTIF(A$32:A1355,A1355)-1)</f>
        <v>11100</v>
      </c>
      <c r="E1355" s="91" t="str">
        <f>VLOOKUP(D1355,unit_serifs_i18n!C:E,3,FALSE)</f>
        <v>maru</v>
      </c>
      <c r="F1355" s="91" t="str">
        <f>VLOOKUP(D1355,unit_serifs_i18n!C:F,4,FALSE)</f>
        <v>答は出ている…観念しろ</v>
      </c>
    </row>
    <row r="1356" spans="1:6" ht="26" customHeight="1" x14ac:dyDescent="0.15">
      <c r="A1356" s="63">
        <v>1110</v>
      </c>
      <c r="B1356" s="88" t="str">
        <f>VLOOKUP(A1356,[1]characters!$A:$C,3,FALSE)</f>
        <v>天竄の炎斬式 セキ</v>
      </c>
      <c r="C1356" s="55" t="s">
        <v>990</v>
      </c>
      <c r="D1356" s="42" t="str">
        <f>A1356&amp;+(COUNTIF(A$32:A1356,A1356)-1)</f>
        <v>11101</v>
      </c>
      <c r="E1356" s="91" t="str">
        <f>VLOOKUP(D1356,unit_serifs_i18n!C:E,3,FALSE)</f>
        <v>giza</v>
      </c>
      <c r="F1356" s="91" t="str">
        <f>VLOOKUP(D1356,unit_serifs_i18n!C:F,4,FALSE)</f>
        <v>これも算術の賜物だ…</v>
      </c>
    </row>
    <row r="1357" spans="1:6" ht="26" customHeight="1" x14ac:dyDescent="0.15">
      <c r="A1357" s="63">
        <v>1110</v>
      </c>
      <c r="B1357" s="88" t="str">
        <f>VLOOKUP(A1357,[1]characters!$A:$C,3,FALSE)</f>
        <v>天竄の炎斬式 セキ</v>
      </c>
      <c r="C1357" s="55" t="s">
        <v>990</v>
      </c>
      <c r="D1357" s="46" t="str">
        <f>D1352</f>
        <v>11091</v>
      </c>
      <c r="E1357" s="91" t="str">
        <f>VLOOKUP(D1357,unit_serifs_i18n!C:E,3,FALSE)</f>
        <v>maru</v>
      </c>
      <c r="F1357" s="91" t="str">
        <f>VLOOKUP(D1357,unit_serifs_i18n!C:F,4,FALSE)</f>
        <v>抜刀も辞さない覚悟だ</v>
      </c>
    </row>
    <row r="1358" spans="1:6" ht="26" customHeight="1" x14ac:dyDescent="0.15">
      <c r="A1358" s="63">
        <v>1110</v>
      </c>
      <c r="B1358" s="88" t="str">
        <f>VLOOKUP(A1358,[1]characters!$A:$C,3,FALSE)</f>
        <v>天竄の炎斬式 セキ</v>
      </c>
      <c r="C1358" s="55" t="s">
        <v>990</v>
      </c>
      <c r="D1358" s="46" t="str">
        <f>D1353</f>
        <v>11092</v>
      </c>
      <c r="E1358" s="91" t="str">
        <f>VLOOKUP(D1358,unit_serifs_i18n!C:E,3,FALSE)</f>
        <v>maru</v>
      </c>
      <c r="F1358" s="91" t="str">
        <f>VLOOKUP(D1358,unit_serifs_i18n!C:F,4,FALSE)</f>
        <v>…凝り固まっているな</v>
      </c>
    </row>
    <row r="1359" spans="1:6" ht="26" customHeight="1" x14ac:dyDescent="0.15">
      <c r="A1359" s="63">
        <v>1110</v>
      </c>
      <c r="B1359" s="88" t="str">
        <f>VLOOKUP(A1359,[1]characters!$A:$C,3,FALSE)</f>
        <v>天竄の炎斬式 セキ</v>
      </c>
      <c r="C1359" s="55" t="s">
        <v>990</v>
      </c>
      <c r="D1359" s="46" t="str">
        <f>D1354</f>
        <v>11093</v>
      </c>
      <c r="E1359" s="91" t="str">
        <f>VLOOKUP(D1359,unit_serifs_i18n!C:E,3,FALSE)</f>
        <v>maru</v>
      </c>
      <c r="F1359" s="91" t="str">
        <f>VLOOKUP(D1359,unit_serifs_i18n!C:F,4,FALSE)</f>
        <v>解き方は教えたはずだが</v>
      </c>
    </row>
  </sheetData>
  <autoFilter ref="A1:T1">
    <sortState ref="A2:T1094">
      <sortCondition ref="A1:A1094"/>
    </sortState>
  </autoFilter>
  <phoneticPr fontId="10"/>
  <dataValidations count="1">
    <dataValidation type="list" allowBlank="1" showInputMessage="1" showErrorMessage="1" sqref="C1196:C1216 C891:C1193 C2:C883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</sheetPr>
  <dimension ref="A1:G947"/>
  <sheetViews>
    <sheetView topLeftCell="A7" workbookViewId="0">
      <selection activeCell="C10" sqref="C10"/>
    </sheetView>
  </sheetViews>
  <sheetFormatPr baseColWidth="12" defaultRowHeight="15" x14ac:dyDescent="0.15"/>
  <cols>
    <col min="2" max="2" width="29.6640625" style="10" bestFit="1" customWidth="1"/>
    <col min="3" max="3" width="8.33203125" style="10" customWidth="1"/>
    <col min="4" max="5" width="8.1640625" customWidth="1"/>
    <col min="6" max="6" width="27" customWidth="1"/>
  </cols>
  <sheetData>
    <row r="1" spans="1:6" x14ac:dyDescent="0.15">
      <c r="A1" s="6" t="s">
        <v>7</v>
      </c>
      <c r="B1" s="9" t="s">
        <v>24</v>
      </c>
      <c r="C1" s="5" t="s">
        <v>8</v>
      </c>
      <c r="D1" s="5" t="s">
        <v>12</v>
      </c>
      <c r="E1" s="5" t="s">
        <v>597</v>
      </c>
      <c r="F1" s="5" t="s">
        <v>11</v>
      </c>
    </row>
    <row r="2" spans="1:6" x14ac:dyDescent="0.15">
      <c r="A2" s="11">
        <v>3</v>
      </c>
      <c r="B2" s="9" t="str">
        <f>VLOOKUP(A2,[1]characters!$A:$C,3,FALSE)</f>
        <v>エージェント ジョー</v>
      </c>
      <c r="C2" s="9">
        <v>30</v>
      </c>
      <c r="D2" s="3" t="s">
        <v>27</v>
      </c>
      <c r="E2" s="22" t="s">
        <v>606</v>
      </c>
      <c r="F2" s="22" t="s">
        <v>1102</v>
      </c>
    </row>
    <row r="3" spans="1:6" x14ac:dyDescent="0.15">
      <c r="A3" s="11">
        <v>4</v>
      </c>
      <c r="B3" s="9" t="str">
        <f>VLOOKUP(A3,[1]characters!$A:$C,3,FALSE)</f>
        <v>エースエージェント ジョー</v>
      </c>
      <c r="C3" s="9" t="str">
        <f>A3&amp;+(COUNTIF(A$2:A3,A3)-1)</f>
        <v>40</v>
      </c>
      <c r="D3" s="3" t="s">
        <v>27</v>
      </c>
      <c r="E3" s="22" t="s">
        <v>606</v>
      </c>
      <c r="F3" s="22" t="s">
        <v>1103</v>
      </c>
    </row>
    <row r="4" spans="1:6" x14ac:dyDescent="0.15">
      <c r="A4" s="11">
        <v>5</v>
      </c>
      <c r="B4" s="9" t="str">
        <f>VLOOKUP(A4,[1]characters!$A:$C,3,FALSE)</f>
        <v>パトドッグ ポチ</v>
      </c>
      <c r="C4" s="9" t="str">
        <f>A4&amp;+(COUNTIF(A$2:A4,A4)-1)</f>
        <v>50</v>
      </c>
      <c r="D4" s="3" t="s">
        <v>27</v>
      </c>
      <c r="E4" s="22" t="s">
        <v>30</v>
      </c>
      <c r="F4" s="22" t="s">
        <v>1104</v>
      </c>
    </row>
    <row r="5" spans="1:6" x14ac:dyDescent="0.15">
      <c r="A5" s="11">
        <v>6</v>
      </c>
      <c r="B5" s="9" t="str">
        <f>VLOOKUP(A5,[1]characters!$A:$C,3,FALSE)</f>
        <v>パトドッグリーダー ポチ</v>
      </c>
      <c r="C5" s="9" t="str">
        <f>A5&amp;+(COUNTIF(A$2:A5,A5)-1)</f>
        <v>60</v>
      </c>
      <c r="D5" s="3" t="s">
        <v>27</v>
      </c>
      <c r="E5" s="22" t="s">
        <v>30</v>
      </c>
      <c r="F5" s="22" t="s">
        <v>1105</v>
      </c>
    </row>
    <row r="6" spans="1:6" x14ac:dyDescent="0.15">
      <c r="A6" s="11">
        <v>7</v>
      </c>
      <c r="B6" s="9" t="str">
        <f>VLOOKUP(A6,[1]characters!$A:$C,3,FALSE)</f>
        <v>エレキポット</v>
      </c>
      <c r="C6" s="9" t="str">
        <f>A6&amp;+(COUNTIF(A$2:A6,A6)-1)</f>
        <v>70</v>
      </c>
      <c r="D6" s="3" t="s">
        <v>27</v>
      </c>
      <c r="E6" s="22" t="s">
        <v>31</v>
      </c>
      <c r="F6" s="22" t="s">
        <v>1106</v>
      </c>
    </row>
    <row r="7" spans="1:6" x14ac:dyDescent="0.15">
      <c r="A7" s="11">
        <v>8</v>
      </c>
      <c r="B7" s="9" t="str">
        <f>VLOOKUP(A7,[1]characters!$A:$C,3,FALSE)</f>
        <v>ハイボルテージ エレキポット</v>
      </c>
      <c r="C7" s="9" t="str">
        <f>A7&amp;+(COUNTIF(A$2:A7,A7)-1)</f>
        <v>80</v>
      </c>
      <c r="D7" s="3" t="s">
        <v>27</v>
      </c>
      <c r="E7" s="22" t="s">
        <v>31</v>
      </c>
      <c r="F7" s="22" t="s">
        <v>1107</v>
      </c>
    </row>
    <row r="8" spans="1:6" x14ac:dyDescent="0.15">
      <c r="A8" s="11">
        <v>41</v>
      </c>
      <c r="B8" s="9" t="str">
        <f>VLOOKUP(A8,[1]characters!$A:$C,3,FALSE)</f>
        <v>ヒュウガ</v>
      </c>
      <c r="C8" s="9" t="str">
        <f>A8&amp;+(COUNTIF(A$2:A8,A8)-1)</f>
        <v>410</v>
      </c>
      <c r="D8" s="3" t="s">
        <v>27</v>
      </c>
      <c r="E8" s="22" t="s">
        <v>31</v>
      </c>
      <c r="F8" s="22" t="s">
        <v>1108</v>
      </c>
    </row>
    <row r="9" spans="1:6" x14ac:dyDescent="0.15">
      <c r="A9" s="11">
        <v>42</v>
      </c>
      <c r="B9" s="9" t="str">
        <f>VLOOKUP(A9,[1]characters!$A:$C,3,FALSE)</f>
        <v>燃えゆる吐息 ヒュウガ</v>
      </c>
      <c r="C9" s="9" t="str">
        <f>A9&amp;+(COUNTIF(A$2:A9,A9)-1)</f>
        <v>420</v>
      </c>
      <c r="D9" s="3" t="s">
        <v>27</v>
      </c>
      <c r="E9" s="22" t="s">
        <v>31</v>
      </c>
      <c r="F9" s="22" t="s">
        <v>1109</v>
      </c>
    </row>
    <row r="10" spans="1:6" x14ac:dyDescent="0.15">
      <c r="A10" s="11">
        <v>51</v>
      </c>
      <c r="B10" s="9" t="str">
        <f>VLOOKUP(A10,[1]characters!$A:$C,3,FALSE)</f>
        <v>マイ</v>
      </c>
      <c r="C10" s="9" t="str">
        <f>A10&amp;+(COUNTIF(A$2:A10,A10)-1)</f>
        <v>510</v>
      </c>
      <c r="D10" s="3" t="s">
        <v>27</v>
      </c>
      <c r="E10" s="22" t="s">
        <v>31</v>
      </c>
      <c r="F10" s="22" t="s">
        <v>1232</v>
      </c>
    </row>
    <row r="11" spans="1:6" x14ac:dyDescent="0.15">
      <c r="A11" s="11">
        <v>51</v>
      </c>
      <c r="B11" s="9" t="str">
        <f>VLOOKUP(A11,[1]characters!$A:$C,3,FALSE)</f>
        <v>マイ</v>
      </c>
      <c r="C11" s="9" t="str">
        <f>A11&amp;+(COUNTIF(A$2:A11,A11)-1)</f>
        <v>511</v>
      </c>
      <c r="D11" s="3" t="s">
        <v>27</v>
      </c>
      <c r="E11" s="22" t="s">
        <v>31</v>
      </c>
      <c r="F11" s="22" t="s">
        <v>1231</v>
      </c>
    </row>
    <row r="12" spans="1:6" x14ac:dyDescent="0.15">
      <c r="A12" s="11">
        <v>52</v>
      </c>
      <c r="B12" s="9" t="str">
        <f>VLOOKUP(A12,[1]characters!$A:$C,3,FALSE)</f>
        <v>翠槍のレジスタンス マイ</v>
      </c>
      <c r="C12" s="9" t="str">
        <f>A12&amp;+(COUNTIF(A$2:A12,A12)-1)</f>
        <v>520</v>
      </c>
      <c r="D12" s="3" t="s">
        <v>27</v>
      </c>
      <c r="E12" s="22" t="s">
        <v>31</v>
      </c>
      <c r="F12" s="22" t="s">
        <v>1227</v>
      </c>
    </row>
    <row r="13" spans="1:6" x14ac:dyDescent="0.15">
      <c r="A13" s="11">
        <v>52</v>
      </c>
      <c r="B13" s="9" t="str">
        <f>VLOOKUP(A13,[1]characters!$A:$C,3,FALSE)</f>
        <v>翠槍のレジスタンス マイ</v>
      </c>
      <c r="C13" s="9" t="str">
        <f>A13&amp;+(COUNTIF(A$2:A13,A13)-1)</f>
        <v>521</v>
      </c>
      <c r="D13" s="3" t="s">
        <v>27</v>
      </c>
      <c r="E13" s="22" t="s">
        <v>31</v>
      </c>
      <c r="F13" s="22" t="s">
        <v>1228</v>
      </c>
    </row>
    <row r="14" spans="1:6" x14ac:dyDescent="0.15">
      <c r="A14" s="11">
        <v>55</v>
      </c>
      <c r="B14" s="9" t="str">
        <f>VLOOKUP(A14,[1]characters!$A:$C,3,FALSE)</f>
        <v>マミコ</v>
      </c>
      <c r="C14" s="9" t="str">
        <f>A14&amp;+(COUNTIF(A$2:A14,A14)-1)</f>
        <v>550</v>
      </c>
      <c r="D14" s="3" t="s">
        <v>27</v>
      </c>
      <c r="E14" s="22" t="s">
        <v>604</v>
      </c>
      <c r="F14" s="22" t="s">
        <v>1233</v>
      </c>
    </row>
    <row r="15" spans="1:6" x14ac:dyDescent="0.15">
      <c r="A15" s="11">
        <v>55</v>
      </c>
      <c r="B15" s="9" t="str">
        <f>VLOOKUP(A15,[1]characters!$A:$C,3,FALSE)</f>
        <v>マミコ</v>
      </c>
      <c r="C15" s="9" t="str">
        <f>A15&amp;+(COUNTIF(A$2:A15,A15)-1)</f>
        <v>551</v>
      </c>
      <c r="D15" s="3" t="s">
        <v>27</v>
      </c>
      <c r="E15" s="22" t="s">
        <v>32</v>
      </c>
      <c r="F15" s="22" t="s">
        <v>1226</v>
      </c>
    </row>
    <row r="16" spans="1:6" x14ac:dyDescent="0.15">
      <c r="A16" s="11">
        <v>56</v>
      </c>
      <c r="B16" s="9" t="str">
        <f>VLOOKUP(A16,[1]characters!$A:$C,3,FALSE)</f>
        <v>黄槌のレジスタンス マミコ</v>
      </c>
      <c r="C16" s="9" t="str">
        <f>A16&amp;+(COUNTIF(A$2:A16,A16)-1)</f>
        <v>560</v>
      </c>
      <c r="D16" s="3" t="s">
        <v>27</v>
      </c>
      <c r="E16" s="22" t="s">
        <v>604</v>
      </c>
      <c r="F16" s="22" t="s">
        <v>1224</v>
      </c>
    </row>
    <row r="17" spans="1:6" x14ac:dyDescent="0.15">
      <c r="A17" s="11">
        <v>56</v>
      </c>
      <c r="B17" s="9" t="str">
        <f>VLOOKUP(A17,[1]characters!$A:$C,3,FALSE)</f>
        <v>黄槌のレジスタンス マミコ</v>
      </c>
      <c r="C17" s="9" t="str">
        <f>A17&amp;+(COUNTIF(A$2:A17,A17)-1)</f>
        <v>561</v>
      </c>
      <c r="D17" s="3" t="s">
        <v>27</v>
      </c>
      <c r="E17" s="22" t="s">
        <v>32</v>
      </c>
      <c r="F17" s="22" t="s">
        <v>1225</v>
      </c>
    </row>
    <row r="18" spans="1:6" x14ac:dyDescent="0.15">
      <c r="A18" s="11">
        <v>77</v>
      </c>
      <c r="B18" s="9" t="str">
        <f>VLOOKUP(A18,[1]characters!$A:$C,3,FALSE)</f>
        <v>潜伏型メリッサ</v>
      </c>
      <c r="C18" s="9" t="str">
        <f>A18&amp;+(COUNTIF(A$2:A18,A18)-1)</f>
        <v>770</v>
      </c>
      <c r="D18" s="3" t="s">
        <v>27</v>
      </c>
      <c r="E18" s="22" t="s">
        <v>604</v>
      </c>
      <c r="F18" s="22" t="s">
        <v>605</v>
      </c>
    </row>
    <row r="19" spans="1:6" x14ac:dyDescent="0.15">
      <c r="A19" s="11">
        <v>78</v>
      </c>
      <c r="B19" s="9" t="str">
        <f>VLOOKUP(A19,[1]characters!$A:$C,3,FALSE)</f>
        <v>擬態潜伏型メリッサ2.0</v>
      </c>
      <c r="C19" s="9" t="str">
        <f>A19&amp;+(COUNTIF(A$2:A19,A19)-1)</f>
        <v>780</v>
      </c>
      <c r="D19" s="3" t="s">
        <v>27</v>
      </c>
      <c r="E19" s="22" t="s">
        <v>606</v>
      </c>
      <c r="F19" s="22" t="s">
        <v>33</v>
      </c>
    </row>
    <row r="20" spans="1:6" x14ac:dyDescent="0.15">
      <c r="A20" s="11">
        <v>79</v>
      </c>
      <c r="B20" s="9" t="str">
        <f>VLOOKUP(A20,[1]characters!$A:$C,3,FALSE)</f>
        <v>ハッピー100</v>
      </c>
      <c r="C20" s="9" t="str">
        <f>A20&amp;+(COUNTIF(A$2:A20,A20)-1)</f>
        <v>790</v>
      </c>
      <c r="D20" s="3" t="s">
        <v>27</v>
      </c>
      <c r="E20" s="22" t="s">
        <v>602</v>
      </c>
      <c r="F20" s="22" t="s">
        <v>607</v>
      </c>
    </row>
    <row r="21" spans="1:6" x14ac:dyDescent="0.15">
      <c r="A21" s="11">
        <v>80</v>
      </c>
      <c r="B21" s="9" t="str">
        <f>VLOOKUP(A21,[1]characters!$A:$C,3,FALSE)</f>
        <v>ハッピー101</v>
      </c>
      <c r="C21" s="9" t="str">
        <f>A21&amp;+(COUNTIF(A$2:A21,A21)-1)</f>
        <v>800</v>
      </c>
      <c r="D21" s="3" t="s">
        <v>27</v>
      </c>
      <c r="E21" s="22" t="s">
        <v>602</v>
      </c>
      <c r="F21" s="22" t="s">
        <v>608</v>
      </c>
    </row>
    <row r="22" spans="1:6" x14ac:dyDescent="0.15">
      <c r="A22" s="11">
        <v>81</v>
      </c>
      <c r="B22" s="9" t="str">
        <f>VLOOKUP(A22,[1]characters!$A:$C,3,FALSE)</f>
        <v>増幅型モリス</v>
      </c>
      <c r="C22" s="9" t="str">
        <f>A22&amp;+(COUNTIF(A$2:A22,A22)-1)</f>
        <v>810</v>
      </c>
      <c r="D22" s="3" t="s">
        <v>27</v>
      </c>
      <c r="E22" s="22" t="s">
        <v>609</v>
      </c>
      <c r="F22" s="22" t="s">
        <v>610</v>
      </c>
    </row>
    <row r="23" spans="1:6" x14ac:dyDescent="0.15">
      <c r="A23" s="11">
        <v>82</v>
      </c>
      <c r="B23" s="9" t="str">
        <f>VLOOKUP(A23,[1]characters!$A:$C,3,FALSE)</f>
        <v>偽装増幅型G・モリス</v>
      </c>
      <c r="C23" s="9" t="str">
        <f>A23&amp;+(COUNTIF(A$2:A23,A23)-1)</f>
        <v>820</v>
      </c>
      <c r="D23" s="3" t="s">
        <v>27</v>
      </c>
      <c r="E23" s="22" t="s">
        <v>602</v>
      </c>
      <c r="F23" s="22" t="s">
        <v>611</v>
      </c>
    </row>
    <row r="24" spans="1:6" x14ac:dyDescent="0.15">
      <c r="A24" s="11">
        <v>83</v>
      </c>
      <c r="B24" s="9" t="str">
        <f>VLOOKUP(A24,[1]characters!$A:$C,3,FALSE)</f>
        <v>拡散性ニムダ</v>
      </c>
      <c r="C24" s="9" t="str">
        <f>A24&amp;+(COUNTIF(A$2:A24,A24)-1)</f>
        <v>830</v>
      </c>
      <c r="D24" s="3" t="s">
        <v>27</v>
      </c>
      <c r="E24" s="22" t="s">
        <v>602</v>
      </c>
      <c r="F24" s="22" t="s">
        <v>34</v>
      </c>
    </row>
    <row r="25" spans="1:6" x14ac:dyDescent="0.15">
      <c r="A25" s="11">
        <v>84</v>
      </c>
      <c r="B25" s="9" t="str">
        <f>VLOOKUP(A25,[1]characters!$A:$C,3,FALSE)</f>
        <v>高速拡散性ニムダE</v>
      </c>
      <c r="C25" s="9" t="str">
        <f>A25&amp;+(COUNTIF(A$2:A25,A25)-1)</f>
        <v>840</v>
      </c>
      <c r="D25" s="3" t="s">
        <v>27</v>
      </c>
      <c r="E25" s="23" t="s">
        <v>612</v>
      </c>
      <c r="F25" s="22" t="s">
        <v>35</v>
      </c>
    </row>
    <row r="26" spans="1:6" x14ac:dyDescent="0.15">
      <c r="A26" s="11">
        <v>85</v>
      </c>
      <c r="B26" s="9" t="str">
        <f>VLOOKUP(A26,[1]characters!$A:$C,3,FALSE)</f>
        <v>朱雀</v>
      </c>
      <c r="C26" s="9" t="str">
        <f>A26&amp;+(COUNTIF(A$2:A26,A26)-1)</f>
        <v>850</v>
      </c>
      <c r="D26" s="3" t="s">
        <v>27</v>
      </c>
      <c r="E26" s="22" t="s">
        <v>603</v>
      </c>
      <c r="F26" s="22" t="s">
        <v>36</v>
      </c>
    </row>
    <row r="27" spans="1:6" x14ac:dyDescent="0.15">
      <c r="A27" s="11">
        <v>86</v>
      </c>
      <c r="B27" s="9" t="str">
        <f>VLOOKUP(A27,[1]characters!$A:$C,3,FALSE)</f>
        <v>守護者 朱雀</v>
      </c>
      <c r="C27" s="9" t="str">
        <f>A27&amp;+(COUNTIF(A$2:A27,A27)-1)</f>
        <v>860</v>
      </c>
      <c r="D27" s="3" t="s">
        <v>27</v>
      </c>
      <c r="E27" s="22" t="s">
        <v>31</v>
      </c>
      <c r="F27" s="22" t="s">
        <v>37</v>
      </c>
    </row>
    <row r="28" spans="1:6" x14ac:dyDescent="0.15">
      <c r="A28" s="11">
        <v>87</v>
      </c>
      <c r="B28" s="9" t="str">
        <f>VLOOKUP(A28,[1]characters!$A:$C,3,FALSE)</f>
        <v>朱南の守護神 朱雀</v>
      </c>
      <c r="C28" s="9" t="str">
        <f>A28&amp;+(COUNTIF(A$2:A28,A28)-1)</f>
        <v>870</v>
      </c>
      <c r="D28" s="3" t="s">
        <v>27</v>
      </c>
      <c r="E28" s="22" t="s">
        <v>613</v>
      </c>
      <c r="F28" s="22" t="s">
        <v>38</v>
      </c>
    </row>
    <row r="29" spans="1:6" x14ac:dyDescent="0.15">
      <c r="A29" s="11">
        <v>88</v>
      </c>
      <c r="B29" s="9" t="str">
        <f>VLOOKUP(A29,[1]characters!$A:$C,3,FALSE)</f>
        <v>玄武</v>
      </c>
      <c r="C29" s="9" t="str">
        <f>A29&amp;+(COUNTIF(A$2:A29,A29)-1)</f>
        <v>880</v>
      </c>
      <c r="D29" s="3" t="s">
        <v>27</v>
      </c>
      <c r="E29" s="22" t="s">
        <v>601</v>
      </c>
      <c r="F29" s="22" t="s">
        <v>39</v>
      </c>
    </row>
    <row r="30" spans="1:6" x14ac:dyDescent="0.15">
      <c r="A30" s="11">
        <v>89</v>
      </c>
      <c r="B30" s="9" t="str">
        <f>VLOOKUP(A30,[1]characters!$A:$C,3,FALSE)</f>
        <v>守護者 玄武</v>
      </c>
      <c r="C30" s="9" t="str">
        <f>A30&amp;+(COUNTIF(A$2:A30,A30)-1)</f>
        <v>890</v>
      </c>
      <c r="D30" s="3" t="s">
        <v>27</v>
      </c>
      <c r="E30" s="22" t="s">
        <v>601</v>
      </c>
      <c r="F30" s="22" t="s">
        <v>40</v>
      </c>
    </row>
    <row r="31" spans="1:6" x14ac:dyDescent="0.15">
      <c r="A31" s="11">
        <v>90</v>
      </c>
      <c r="B31" s="9" t="str">
        <f>VLOOKUP(A31,[1]characters!$A:$C,3,FALSE)</f>
        <v>翠北の守護神 玄武</v>
      </c>
      <c r="C31" s="9" t="str">
        <f>A31&amp;+(COUNTIF(A$2:A31,A31)-1)</f>
        <v>900</v>
      </c>
      <c r="D31" s="3" t="s">
        <v>27</v>
      </c>
      <c r="E31" s="22" t="s">
        <v>614</v>
      </c>
      <c r="F31" s="22" t="s">
        <v>615</v>
      </c>
    </row>
    <row r="32" spans="1:6" x14ac:dyDescent="0.15">
      <c r="A32" s="11">
        <v>91</v>
      </c>
      <c r="B32" s="9" t="str">
        <f>VLOOKUP(A32,[1]characters!$A:$C,3,FALSE)</f>
        <v>青龍</v>
      </c>
      <c r="C32" s="9" t="str">
        <f>A32&amp;+(COUNTIF(A$2:A32,A32)-1)</f>
        <v>910</v>
      </c>
      <c r="D32" s="3" t="s">
        <v>27</v>
      </c>
      <c r="E32" s="22" t="s">
        <v>602</v>
      </c>
      <c r="F32" s="22" t="s">
        <v>41</v>
      </c>
    </row>
    <row r="33" spans="1:6" x14ac:dyDescent="0.15">
      <c r="A33" s="11">
        <v>92</v>
      </c>
      <c r="B33" s="9" t="str">
        <f>VLOOKUP(A33,[1]characters!$A:$C,3,FALSE)</f>
        <v>守護者 青龍</v>
      </c>
      <c r="C33" s="9" t="str">
        <f>A33&amp;+(COUNTIF(A$2:A33,A33)-1)</f>
        <v>920</v>
      </c>
      <c r="D33" s="3" t="s">
        <v>27</v>
      </c>
      <c r="E33" s="22" t="s">
        <v>32</v>
      </c>
      <c r="F33" s="22" t="s">
        <v>42</v>
      </c>
    </row>
    <row r="34" spans="1:6" x14ac:dyDescent="0.15">
      <c r="A34" s="11">
        <v>93</v>
      </c>
      <c r="B34" s="9" t="str">
        <f>VLOOKUP(A34,[1]characters!$A:$C,3,FALSE)</f>
        <v>碧東の守護神 青龍</v>
      </c>
      <c r="C34" s="9" t="str">
        <f>A34&amp;+(COUNTIF(A$2:A34,A34)-1)</f>
        <v>930</v>
      </c>
      <c r="D34" s="3" t="s">
        <v>27</v>
      </c>
      <c r="E34" s="22" t="s">
        <v>616</v>
      </c>
      <c r="F34" s="22" t="s">
        <v>43</v>
      </c>
    </row>
    <row r="35" spans="1:6" x14ac:dyDescent="0.15">
      <c r="A35" s="11">
        <v>94</v>
      </c>
      <c r="B35" s="9" t="str">
        <f>VLOOKUP(A35,[1]characters!$A:$C,3,FALSE)</f>
        <v>白虎</v>
      </c>
      <c r="C35" s="9" t="str">
        <f>A35&amp;+(COUNTIF(A$2:A35,A35)-1)</f>
        <v>940</v>
      </c>
      <c r="D35" s="3" t="s">
        <v>27</v>
      </c>
      <c r="E35" s="22" t="s">
        <v>31</v>
      </c>
      <c r="F35" s="22" t="s">
        <v>44</v>
      </c>
    </row>
    <row r="36" spans="1:6" x14ac:dyDescent="0.15">
      <c r="A36" s="11">
        <v>95</v>
      </c>
      <c r="B36" s="9" t="str">
        <f>VLOOKUP(A36,[1]characters!$A:$C,3,FALSE)</f>
        <v>守護者 白虎</v>
      </c>
      <c r="C36" s="9" t="str">
        <f>A36&amp;+(COUNTIF(A$2:A36,A36)-1)</f>
        <v>950</v>
      </c>
      <c r="D36" s="3" t="s">
        <v>27</v>
      </c>
      <c r="E36" s="22" t="s">
        <v>617</v>
      </c>
      <c r="F36" s="22" t="s">
        <v>45</v>
      </c>
    </row>
    <row r="37" spans="1:6" x14ac:dyDescent="0.15">
      <c r="A37" s="11">
        <v>96</v>
      </c>
      <c r="B37" s="9" t="str">
        <f>VLOOKUP(A37,[1]characters!$A:$C,3,FALSE)</f>
        <v>金西の守護神 白虎</v>
      </c>
      <c r="C37" s="9" t="str">
        <f>A37&amp;+(COUNTIF(A$2:A37,A37)-1)</f>
        <v>960</v>
      </c>
      <c r="D37" s="3" t="s">
        <v>27</v>
      </c>
      <c r="E37" s="22" t="s">
        <v>617</v>
      </c>
      <c r="F37" s="22" t="s">
        <v>46</v>
      </c>
    </row>
    <row r="38" spans="1:6" x14ac:dyDescent="0.15">
      <c r="A38" s="11">
        <v>126</v>
      </c>
      <c r="B38" s="9" t="str">
        <f>VLOOKUP(A38,[1]characters!$A:$C,3,FALSE)</f>
        <v>骨器使い ユノ</v>
      </c>
      <c r="C38" s="9" t="str">
        <f>A38&amp;+(COUNTIF(A$2:A38,A38)-1)</f>
        <v>1260</v>
      </c>
      <c r="D38" s="3" t="s">
        <v>27</v>
      </c>
      <c r="E38" s="12" t="s">
        <v>31</v>
      </c>
      <c r="F38" s="22" t="s">
        <v>47</v>
      </c>
    </row>
    <row r="39" spans="1:6" x14ac:dyDescent="0.15">
      <c r="A39" s="11">
        <v>127</v>
      </c>
      <c r="B39" s="9" t="str">
        <f>VLOOKUP(A39,[1]characters!$A:$C,3,FALSE)</f>
        <v>狂喜の賢者 ユノ</v>
      </c>
      <c r="C39" s="9" t="str">
        <f>A39&amp;+(COUNTIF(A$2:A39,A39)-1)</f>
        <v>1270</v>
      </c>
      <c r="D39" s="3" t="s">
        <v>27</v>
      </c>
      <c r="E39" s="12" t="s">
        <v>618</v>
      </c>
      <c r="F39" s="22" t="s">
        <v>619</v>
      </c>
    </row>
    <row r="40" spans="1:6" x14ac:dyDescent="0.15">
      <c r="A40" s="11">
        <v>128</v>
      </c>
      <c r="B40" s="9" t="str">
        <f>VLOOKUP(A40,[1]characters!$A:$C,3,FALSE)</f>
        <v>野生児 アマラ</v>
      </c>
      <c r="C40" s="9" t="str">
        <f>A40&amp;+(COUNTIF(A$2:A40,A40)-1)</f>
        <v>1280</v>
      </c>
      <c r="D40" s="3" t="s">
        <v>27</v>
      </c>
      <c r="E40" s="12" t="s">
        <v>620</v>
      </c>
      <c r="F40" s="13" t="s">
        <v>48</v>
      </c>
    </row>
    <row r="41" spans="1:6" x14ac:dyDescent="0.15">
      <c r="A41" s="11">
        <v>129</v>
      </c>
      <c r="B41" s="9" t="str">
        <f>VLOOKUP(A41,[1]characters!$A:$C,3,FALSE)</f>
        <v>孤高の狼憑き アマラ</v>
      </c>
      <c r="C41" s="9" t="str">
        <f>A41&amp;+(COUNTIF(A$2:A41,A41)-1)</f>
        <v>1290</v>
      </c>
      <c r="D41" s="3" t="s">
        <v>27</v>
      </c>
      <c r="E41" s="12" t="s">
        <v>621</v>
      </c>
      <c r="F41" s="13" t="s">
        <v>49</v>
      </c>
    </row>
    <row r="42" spans="1:6" x14ac:dyDescent="0.15">
      <c r="A42" s="11">
        <v>130</v>
      </c>
      <c r="B42" s="9" t="str">
        <f>VLOOKUP(A42,[1]characters!$A:$C,3,FALSE)</f>
        <v>狼男 ローレンス</v>
      </c>
      <c r="C42" s="9" t="str">
        <f>A42&amp;+(COUNTIF(A$2:A42,A42)-1)</f>
        <v>1300</v>
      </c>
      <c r="D42" s="3" t="s">
        <v>27</v>
      </c>
      <c r="E42" s="12" t="s">
        <v>603</v>
      </c>
      <c r="F42" s="13" t="s">
        <v>50</v>
      </c>
    </row>
    <row r="43" spans="1:6" x14ac:dyDescent="0.15">
      <c r="A43" s="11">
        <v>131</v>
      </c>
      <c r="B43" s="9" t="str">
        <f>VLOOKUP(A43,[1]characters!$A:$C,3,FALSE)</f>
        <v>月下の人狼 ローレンス</v>
      </c>
      <c r="C43" s="9" t="str">
        <f>A43&amp;+(COUNTIF(A$2:A43,A43)-1)</f>
        <v>1310</v>
      </c>
      <c r="D43" s="3" t="s">
        <v>27</v>
      </c>
      <c r="E43" s="12" t="s">
        <v>30</v>
      </c>
      <c r="F43" s="13" t="s">
        <v>51</v>
      </c>
    </row>
    <row r="44" spans="1:6" x14ac:dyDescent="0.15">
      <c r="A44" s="11">
        <v>132</v>
      </c>
      <c r="B44" s="9" t="str">
        <f>VLOOKUP(A44,[1]characters!$A:$C,3,FALSE)</f>
        <v>鳥人ハヤト</v>
      </c>
      <c r="C44" s="9" t="str">
        <f>A44&amp;+(COUNTIF(A$2:A44,A44)-1)</f>
        <v>1320</v>
      </c>
      <c r="D44" s="3" t="s">
        <v>27</v>
      </c>
      <c r="E44" s="12" t="s">
        <v>30</v>
      </c>
      <c r="F44" s="13" t="s">
        <v>52</v>
      </c>
    </row>
    <row r="45" spans="1:6" x14ac:dyDescent="0.15">
      <c r="A45" s="11">
        <v>133</v>
      </c>
      <c r="B45" s="9" t="str">
        <f>VLOOKUP(A45,[1]characters!$A:$C,3,FALSE)</f>
        <v>迅雷の刀剣 ハヤト</v>
      </c>
      <c r="C45" s="9" t="str">
        <f>A45&amp;+(COUNTIF(A$2:A45,A45)-1)</f>
        <v>1330</v>
      </c>
      <c r="D45" s="3" t="s">
        <v>27</v>
      </c>
      <c r="E45" s="12" t="s">
        <v>622</v>
      </c>
      <c r="F45" s="13" t="s">
        <v>53</v>
      </c>
    </row>
    <row r="46" spans="1:6" x14ac:dyDescent="0.15">
      <c r="A46" s="11">
        <v>134</v>
      </c>
      <c r="B46" s="9" t="str">
        <f>VLOOKUP(A46,[1]characters!$A:$C,3,FALSE)</f>
        <v>妖炎の夕霧</v>
      </c>
      <c r="C46" s="9" t="str">
        <f>A46&amp;+(COUNTIF(A$2:A46,A46)-1)</f>
        <v>1340</v>
      </c>
      <c r="D46" s="3" t="s">
        <v>27</v>
      </c>
      <c r="E46" s="12" t="s">
        <v>623</v>
      </c>
      <c r="F46" s="13" t="s">
        <v>54</v>
      </c>
    </row>
    <row r="47" spans="1:6" x14ac:dyDescent="0.15">
      <c r="A47" s="11">
        <v>135</v>
      </c>
      <c r="B47" s="9" t="str">
        <f>VLOOKUP(A47,[1]characters!$A:$C,3,FALSE)</f>
        <v>京の炎華夕霧</v>
      </c>
      <c r="C47" s="9" t="str">
        <f>A47&amp;+(COUNTIF(A$2:A47,A47)-1)</f>
        <v>1350</v>
      </c>
      <c r="D47" s="3" t="s">
        <v>27</v>
      </c>
      <c r="E47" s="12" t="s">
        <v>622</v>
      </c>
      <c r="F47" s="22" t="s">
        <v>55</v>
      </c>
    </row>
    <row r="48" spans="1:6" x14ac:dyDescent="0.15">
      <c r="A48" s="11">
        <v>136</v>
      </c>
      <c r="B48" s="9" t="str">
        <f>VLOOKUP(A48,[1]characters!$A:$C,3,FALSE)</f>
        <v>お針子チハヤ</v>
      </c>
      <c r="C48" s="9" t="str">
        <f>A48&amp;+(COUNTIF(A$2:A48,A48)-1)</f>
        <v>1360</v>
      </c>
      <c r="D48" s="3" t="s">
        <v>27</v>
      </c>
      <c r="E48" s="12" t="s">
        <v>30</v>
      </c>
      <c r="F48" s="22" t="s">
        <v>56</v>
      </c>
    </row>
    <row r="49" spans="1:6" x14ac:dyDescent="0.15">
      <c r="A49" s="11">
        <v>137</v>
      </c>
      <c r="B49" s="9" t="str">
        <f>VLOOKUP(A49,[1]characters!$A:$C,3,FALSE)</f>
        <v>清福の仕立屋 チハヤ</v>
      </c>
      <c r="C49" s="9" t="str">
        <f>A49&amp;+(COUNTIF(A$2:A49,A49)-1)</f>
        <v>1370</v>
      </c>
      <c r="D49" s="3" t="s">
        <v>27</v>
      </c>
      <c r="E49" s="12" t="s">
        <v>624</v>
      </c>
      <c r="F49" s="22" t="s">
        <v>57</v>
      </c>
    </row>
    <row r="50" spans="1:6" x14ac:dyDescent="0.15">
      <c r="A50" s="11">
        <v>138</v>
      </c>
      <c r="B50" s="9" t="str">
        <f>VLOOKUP(A50,[1]characters!$A:$C,3,FALSE)</f>
        <v>蒼薙のトモエ</v>
      </c>
      <c r="C50" s="9" t="str">
        <f>A50&amp;+(COUNTIF(A$2:A50,A50)-1)</f>
        <v>1380</v>
      </c>
      <c r="D50" s="3" t="s">
        <v>27</v>
      </c>
      <c r="E50" s="12" t="s">
        <v>625</v>
      </c>
      <c r="F50" s="13" t="s">
        <v>58</v>
      </c>
    </row>
    <row r="51" spans="1:6" x14ac:dyDescent="0.15">
      <c r="A51" s="11">
        <v>139</v>
      </c>
      <c r="B51" s="9" t="str">
        <f>VLOOKUP(A51,[1]characters!$A:$C,3,FALSE)</f>
        <v>蒼昇刃姫 トモエ</v>
      </c>
      <c r="C51" s="9" t="str">
        <f>A51&amp;+(COUNTIF(A$2:A51,A51)-1)</f>
        <v>1390</v>
      </c>
      <c r="D51" s="3" t="s">
        <v>27</v>
      </c>
      <c r="E51" s="12" t="s">
        <v>626</v>
      </c>
      <c r="F51" s="13" t="s">
        <v>59</v>
      </c>
    </row>
    <row r="52" spans="1:6" x14ac:dyDescent="0.15">
      <c r="A52" s="11">
        <v>140</v>
      </c>
      <c r="B52" s="9" t="str">
        <f>VLOOKUP(A52,[1]characters!$A:$C,3,FALSE)</f>
        <v>秋祭のタマモ</v>
      </c>
      <c r="C52" s="9" t="str">
        <f>A52&amp;+(COUNTIF(A$2:A52,A52)-1)</f>
        <v>1400</v>
      </c>
      <c r="D52" s="3" t="s">
        <v>27</v>
      </c>
      <c r="E52" s="12" t="s">
        <v>627</v>
      </c>
      <c r="F52" s="22" t="s">
        <v>175</v>
      </c>
    </row>
    <row r="53" spans="1:6" x14ac:dyDescent="0.15">
      <c r="A53" s="11">
        <v>141</v>
      </c>
      <c r="B53" s="9" t="str">
        <f>VLOOKUP(A53,[1]characters!$A:$C,3,FALSE)</f>
        <v>妖狐演舞 タマモ</v>
      </c>
      <c r="C53" s="9" t="str">
        <f>A53&amp;+(COUNTIF(A$2:A53,A53)-1)</f>
        <v>1410</v>
      </c>
      <c r="D53" s="3" t="s">
        <v>27</v>
      </c>
      <c r="E53" s="12" t="s">
        <v>628</v>
      </c>
      <c r="F53" s="22" t="s">
        <v>60</v>
      </c>
    </row>
    <row r="54" spans="1:6" x14ac:dyDescent="0.15">
      <c r="A54" s="11">
        <v>142</v>
      </c>
      <c r="B54" s="9" t="str">
        <f>VLOOKUP(A54,[1]characters!$A:$C,3,FALSE)</f>
        <v>赤ずきん</v>
      </c>
      <c r="C54" s="9" t="str">
        <f>A54&amp;+(COUNTIF(A$2:A54,A54)-1)</f>
        <v>1420</v>
      </c>
      <c r="D54" s="3" t="s">
        <v>27</v>
      </c>
      <c r="E54" s="12" t="s">
        <v>627</v>
      </c>
      <c r="F54" s="22" t="s">
        <v>61</v>
      </c>
    </row>
    <row r="55" spans="1:6" x14ac:dyDescent="0.15">
      <c r="A55" s="11">
        <v>143</v>
      </c>
      <c r="B55" s="9" t="str">
        <f>VLOOKUP(A55,[1]characters!$A:$C,3,FALSE)</f>
        <v>深紅の死神 赤ずきん</v>
      </c>
      <c r="C55" s="9" t="str">
        <f>A55&amp;+(COUNTIF(A$2:A55,A55)-1)</f>
        <v>1430</v>
      </c>
      <c r="D55" s="3" t="s">
        <v>27</v>
      </c>
      <c r="E55" s="12" t="s">
        <v>629</v>
      </c>
      <c r="F55" s="13" t="s">
        <v>62</v>
      </c>
    </row>
    <row r="56" spans="1:6" x14ac:dyDescent="0.15">
      <c r="A56" s="11">
        <v>144</v>
      </c>
      <c r="B56" s="9" t="str">
        <f>VLOOKUP(A56,[1]characters!$A:$C,3,FALSE)</f>
        <v>かぐや</v>
      </c>
      <c r="C56" s="9" t="str">
        <f>A56&amp;+(COUNTIF(A$2:A56,A56)-1)</f>
        <v>1440</v>
      </c>
      <c r="D56" s="3" t="s">
        <v>27</v>
      </c>
      <c r="E56" s="12" t="s">
        <v>630</v>
      </c>
      <c r="F56" s="13" t="s">
        <v>63</v>
      </c>
    </row>
    <row r="57" spans="1:6" x14ac:dyDescent="0.15">
      <c r="A57" s="11">
        <v>145</v>
      </c>
      <c r="B57" s="9" t="str">
        <f>VLOOKUP(A57,[1]characters!$A:$C,3,FALSE)</f>
        <v>魔性妖艶 かぐや</v>
      </c>
      <c r="C57" s="9" t="str">
        <f>A57&amp;+(COUNTIF(A$2:A57,A57)-1)</f>
        <v>1450</v>
      </c>
      <c r="D57" s="3" t="s">
        <v>27</v>
      </c>
      <c r="E57" s="12" t="s">
        <v>631</v>
      </c>
      <c r="F57" s="13" t="s">
        <v>64</v>
      </c>
    </row>
    <row r="58" spans="1:6" x14ac:dyDescent="0.15">
      <c r="A58" s="11">
        <v>146</v>
      </c>
      <c r="B58" s="9" t="str">
        <f>VLOOKUP(A58,[1]characters!$A:$C,3,FALSE)</f>
        <v>マーメイド</v>
      </c>
      <c r="C58" s="9" t="str">
        <f>A58&amp;+(COUNTIF(A$2:A58,A58)-1)</f>
        <v>1460</v>
      </c>
      <c r="D58" s="3" t="s">
        <v>27</v>
      </c>
      <c r="E58" s="12" t="s">
        <v>632</v>
      </c>
      <c r="F58" s="13" t="s">
        <v>65</v>
      </c>
    </row>
    <row r="59" spans="1:6" x14ac:dyDescent="0.15">
      <c r="A59" s="11">
        <v>147</v>
      </c>
      <c r="B59" s="9" t="str">
        <f>VLOOKUP(A59,[1]characters!$A:$C,3,FALSE)</f>
        <v>蒼き閃光 元マーメイド</v>
      </c>
      <c r="C59" s="9" t="str">
        <f>A59&amp;+(COUNTIF(A$2:A59,A59)-1)</f>
        <v>1470</v>
      </c>
      <c r="D59" s="3" t="s">
        <v>27</v>
      </c>
      <c r="E59" s="12" t="s">
        <v>633</v>
      </c>
      <c r="F59" s="13" t="s">
        <v>66</v>
      </c>
    </row>
    <row r="60" spans="1:6" x14ac:dyDescent="0.15">
      <c r="A60" s="11">
        <v>148</v>
      </c>
      <c r="B60" s="9" t="str">
        <f>VLOOKUP(A60,[1]characters!$A:$C,3,FALSE)</f>
        <v>シンデレラ</v>
      </c>
      <c r="C60" s="9" t="str">
        <f>A60&amp;+(COUNTIF(A$2:A60,A60)-1)</f>
        <v>1480</v>
      </c>
      <c r="D60" s="3" t="s">
        <v>27</v>
      </c>
      <c r="E60" s="12" t="s">
        <v>634</v>
      </c>
      <c r="F60" s="13" t="s">
        <v>67</v>
      </c>
    </row>
    <row r="61" spans="1:6" x14ac:dyDescent="0.15">
      <c r="A61" s="11">
        <v>149</v>
      </c>
      <c r="B61" s="9" t="str">
        <f>VLOOKUP(A61,[1]characters!$A:$C,3,FALSE)</f>
        <v>雷撃蹴技を極めし者 シンデレラ</v>
      </c>
      <c r="C61" s="9" t="str">
        <f>A61&amp;+(COUNTIF(A$2:A61,A61)-1)</f>
        <v>1490</v>
      </c>
      <c r="D61" s="3" t="s">
        <v>27</v>
      </c>
      <c r="E61" s="12" t="s">
        <v>635</v>
      </c>
      <c r="F61" s="13" t="s">
        <v>636</v>
      </c>
    </row>
    <row r="62" spans="1:6" x14ac:dyDescent="0.15">
      <c r="A62" s="11">
        <v>150</v>
      </c>
      <c r="B62" s="9" t="str">
        <f>VLOOKUP(A62,[1]characters!$A:$C,3,FALSE)</f>
        <v>ポイズンマスターサキ</v>
      </c>
      <c r="C62" s="9" t="str">
        <f>A62&amp;+(COUNTIF(A$2:A62,A62)-1)</f>
        <v>1500</v>
      </c>
      <c r="D62" s="3" t="s">
        <v>27</v>
      </c>
      <c r="E62" s="12" t="s">
        <v>637</v>
      </c>
      <c r="F62" s="13" t="s">
        <v>638</v>
      </c>
    </row>
    <row r="63" spans="1:6" x14ac:dyDescent="0.15">
      <c r="A63" s="11">
        <v>151</v>
      </c>
      <c r="B63" s="9" t="str">
        <f>VLOOKUP(A63,[1]characters!$A:$C,3,FALSE)</f>
        <v>毒煙の処刑人サキ</v>
      </c>
      <c r="C63" s="9" t="str">
        <f>A63&amp;+(COUNTIF(A$2:A63,A63)-1)</f>
        <v>1510</v>
      </c>
      <c r="D63" s="3" t="s">
        <v>27</v>
      </c>
      <c r="E63" s="12" t="s">
        <v>31</v>
      </c>
      <c r="F63" s="13" t="s">
        <v>68</v>
      </c>
    </row>
    <row r="64" spans="1:6" x14ac:dyDescent="0.15">
      <c r="A64" s="11">
        <v>152</v>
      </c>
      <c r="B64" s="9" t="str">
        <f>VLOOKUP(A64,[1]characters!$A:$C,3,FALSE)</f>
        <v>功夫少女ランラン</v>
      </c>
      <c r="C64" s="9" t="str">
        <f>A64&amp;+(COUNTIF(A$2:A64,A64)-1)</f>
        <v>1520</v>
      </c>
      <c r="D64" s="3" t="s">
        <v>27</v>
      </c>
      <c r="E64" s="12" t="s">
        <v>623</v>
      </c>
      <c r="F64" s="13" t="s">
        <v>69</v>
      </c>
    </row>
    <row r="65" spans="1:6" x14ac:dyDescent="0.15">
      <c r="A65" s="11">
        <v>153</v>
      </c>
      <c r="B65" s="9" t="str">
        <f>VLOOKUP(A65,[1]characters!$A:$C,3,FALSE)</f>
        <v>拳聖ランラン</v>
      </c>
      <c r="C65" s="9" t="str">
        <f>A65&amp;+(COUNTIF(A$2:A65,A65)-1)</f>
        <v>1530</v>
      </c>
      <c r="D65" s="3" t="s">
        <v>27</v>
      </c>
      <c r="E65" s="12" t="s">
        <v>627</v>
      </c>
      <c r="F65" s="13" t="s">
        <v>70</v>
      </c>
    </row>
    <row r="66" spans="1:6" x14ac:dyDescent="0.15">
      <c r="A66" s="11">
        <v>154</v>
      </c>
      <c r="B66" s="9" t="str">
        <f>VLOOKUP(A66,[1]characters!$A:$C,3,FALSE)</f>
        <v>始末屋 ハンナ</v>
      </c>
      <c r="C66" s="9" t="str">
        <f>A66&amp;+(COUNTIF(A$2:A66,A66)-1)</f>
        <v>1540</v>
      </c>
      <c r="D66" s="3" t="s">
        <v>27</v>
      </c>
      <c r="E66" s="12" t="s">
        <v>639</v>
      </c>
      <c r="F66" s="13" t="s">
        <v>640</v>
      </c>
    </row>
    <row r="67" spans="1:6" x14ac:dyDescent="0.15">
      <c r="A67" s="11">
        <v>155</v>
      </c>
      <c r="B67" s="9" t="str">
        <f>VLOOKUP(A67,[1]characters!$A:$C,3,FALSE)</f>
        <v>隻眼の掃除屋 ハンナ</v>
      </c>
      <c r="C67" s="9" t="str">
        <f>A67&amp;+(COUNTIF(A$2:A67,A67)-1)</f>
        <v>1550</v>
      </c>
      <c r="D67" s="3" t="s">
        <v>27</v>
      </c>
      <c r="E67" s="12" t="s">
        <v>30</v>
      </c>
      <c r="F67" s="13" t="s">
        <v>71</v>
      </c>
    </row>
    <row r="68" spans="1:6" x14ac:dyDescent="0.15">
      <c r="A68" s="11">
        <v>156</v>
      </c>
      <c r="B68" s="9" t="str">
        <f>VLOOKUP(A68,[1]characters!$A:$C,3,FALSE)</f>
        <v>踊り子 エレナ</v>
      </c>
      <c r="C68" s="9" t="str">
        <f>A68&amp;+(COUNTIF(A$2:A68,A68)-1)</f>
        <v>1560</v>
      </c>
      <c r="D68" s="3" t="s">
        <v>27</v>
      </c>
      <c r="E68" s="12" t="s">
        <v>623</v>
      </c>
      <c r="F68" s="13" t="s">
        <v>72</v>
      </c>
    </row>
    <row r="69" spans="1:6" x14ac:dyDescent="0.15">
      <c r="A69" s="11">
        <v>157</v>
      </c>
      <c r="B69" s="9" t="str">
        <f>VLOOKUP(A69,[1]characters!$A:$C,3,FALSE)</f>
        <v>雷光舞姫 エレナ</v>
      </c>
      <c r="C69" s="9" t="str">
        <f>A69&amp;+(COUNTIF(A$2:A69,A69)-1)</f>
        <v>1570</v>
      </c>
      <c r="D69" s="3" t="s">
        <v>27</v>
      </c>
      <c r="E69" s="12" t="s">
        <v>604</v>
      </c>
      <c r="F69" s="13" t="s">
        <v>73</v>
      </c>
    </row>
    <row r="70" spans="1:6" x14ac:dyDescent="0.15">
      <c r="A70" s="11">
        <v>158</v>
      </c>
      <c r="B70" s="9" t="str">
        <f>VLOOKUP(A70,[1]characters!$A:$C,3,FALSE)</f>
        <v>シスター シャルロッテ</v>
      </c>
      <c r="C70" s="9" t="str">
        <f>A70&amp;+(COUNTIF(A$2:A70,A70)-1)</f>
        <v>1580</v>
      </c>
      <c r="D70" s="3" t="s">
        <v>27</v>
      </c>
      <c r="E70" s="12" t="s">
        <v>641</v>
      </c>
      <c r="F70" s="13" t="s">
        <v>74</v>
      </c>
    </row>
    <row r="71" spans="1:6" x14ac:dyDescent="0.15">
      <c r="A71" s="11">
        <v>159</v>
      </c>
      <c r="B71" s="9" t="str">
        <f>VLOOKUP(A71,[1]characters!$A:$C,3,FALSE)</f>
        <v>邪を狩りし者 シャルロッテ</v>
      </c>
      <c r="C71" s="9" t="str">
        <f>A71&amp;+(COUNTIF(A$2:A71,A71)-1)</f>
        <v>1590</v>
      </c>
      <c r="D71" s="3" t="s">
        <v>27</v>
      </c>
      <c r="E71" s="12" t="s">
        <v>642</v>
      </c>
      <c r="F71" s="13" t="s">
        <v>75</v>
      </c>
    </row>
    <row r="72" spans="1:6" x14ac:dyDescent="0.15">
      <c r="A72" s="11">
        <v>160</v>
      </c>
      <c r="B72" s="9" t="str">
        <f>VLOOKUP(A72,[1]characters!$A:$C,3,FALSE)</f>
        <v>反逆者 クリエ</v>
      </c>
      <c r="C72" s="9" t="str">
        <f>A72&amp;+(COUNTIF(A$2:A72,A72)-1)</f>
        <v>1600</v>
      </c>
      <c r="D72" s="3" t="s">
        <v>27</v>
      </c>
      <c r="E72" s="12" t="s">
        <v>643</v>
      </c>
      <c r="F72" s="13" t="s">
        <v>76</v>
      </c>
    </row>
    <row r="73" spans="1:6" x14ac:dyDescent="0.15">
      <c r="A73" s="11">
        <v>161</v>
      </c>
      <c r="B73" s="9" t="str">
        <f>VLOOKUP(A73,[1]characters!$A:$C,3,FALSE)</f>
        <v>咆哮の先導者 クリエ</v>
      </c>
      <c r="C73" s="9" t="str">
        <f>A73&amp;+(COUNTIF(A$2:A73,A73)-1)</f>
        <v>1610</v>
      </c>
      <c r="D73" s="3" t="s">
        <v>27</v>
      </c>
      <c r="E73" s="12" t="s">
        <v>643</v>
      </c>
      <c r="F73" s="13" t="s">
        <v>77</v>
      </c>
    </row>
    <row r="74" spans="1:6" x14ac:dyDescent="0.15">
      <c r="A74" s="11">
        <v>162</v>
      </c>
      <c r="B74" s="9" t="str">
        <f>VLOOKUP(A74,[1]characters!$A:$C,3,FALSE)</f>
        <v>狂女 クララ</v>
      </c>
      <c r="C74" s="9" t="str">
        <f>A74&amp;+(COUNTIF(A$2:A74,A74)-1)</f>
        <v>1620</v>
      </c>
      <c r="D74" s="3" t="s">
        <v>27</v>
      </c>
      <c r="E74" s="12" t="s">
        <v>644</v>
      </c>
      <c r="F74" s="13" t="s">
        <v>78</v>
      </c>
    </row>
    <row r="75" spans="1:6" x14ac:dyDescent="0.15">
      <c r="A75" s="11">
        <v>163</v>
      </c>
      <c r="B75" s="9" t="str">
        <f>VLOOKUP(A75,[1]characters!$A:$C,3,FALSE)</f>
        <v>冷酷な狂嬢 クララ</v>
      </c>
      <c r="C75" s="9" t="str">
        <f>A75&amp;+(COUNTIF(A$2:A75,A75)-1)</f>
        <v>1630</v>
      </c>
      <c r="D75" s="3" t="s">
        <v>27</v>
      </c>
      <c r="E75" s="12" t="s">
        <v>628</v>
      </c>
      <c r="F75" s="13" t="s">
        <v>645</v>
      </c>
    </row>
    <row r="76" spans="1:6" x14ac:dyDescent="0.15">
      <c r="A76" s="11">
        <v>164</v>
      </c>
      <c r="B76" s="9" t="str">
        <f>VLOOKUP(A76,[1]characters!$A:$C,3,FALSE)</f>
        <v>イブとトモダチ</v>
      </c>
      <c r="C76" s="9" t="str">
        <f>A76&amp;+(COUNTIF(A$2:A76,A76)-1)</f>
        <v>1640</v>
      </c>
      <c r="D76" s="3" t="s">
        <v>27</v>
      </c>
      <c r="E76" s="12" t="s">
        <v>30</v>
      </c>
      <c r="F76" s="13" t="s">
        <v>646</v>
      </c>
    </row>
    <row r="77" spans="1:6" x14ac:dyDescent="0.15">
      <c r="A77" s="11">
        <v>165</v>
      </c>
      <c r="B77" s="9" t="str">
        <f>VLOOKUP(A77,[1]characters!$A:$C,3,FALSE)</f>
        <v>イブとたったひとりのトモダチ</v>
      </c>
      <c r="C77" s="9" t="str">
        <f>A77&amp;+(COUNTIF(A$2:A77,A77)-1)</f>
        <v>1650</v>
      </c>
      <c r="D77" s="3" t="s">
        <v>27</v>
      </c>
      <c r="E77" s="12" t="s">
        <v>32</v>
      </c>
      <c r="F77" s="13" t="s">
        <v>79</v>
      </c>
    </row>
    <row r="78" spans="1:6" x14ac:dyDescent="0.15">
      <c r="A78" s="11">
        <v>166</v>
      </c>
      <c r="B78" s="9" t="str">
        <f>VLOOKUP(A78,[1]characters!$A:$C,3,FALSE)</f>
        <v>ベリアル</v>
      </c>
      <c r="C78" s="9" t="str">
        <f>A78&amp;+(COUNTIF(A$2:A78,A78)-1)</f>
        <v>1660</v>
      </c>
      <c r="D78" s="3" t="s">
        <v>27</v>
      </c>
      <c r="E78" s="12" t="s">
        <v>647</v>
      </c>
      <c r="F78" s="22" t="s">
        <v>80</v>
      </c>
    </row>
    <row r="79" spans="1:6" x14ac:dyDescent="0.15">
      <c r="A79" s="11">
        <v>167</v>
      </c>
      <c r="B79" s="9" t="str">
        <f>VLOOKUP(A79,[1]characters!$A:$C,3,FALSE)</f>
        <v>逆徒 ベリアル</v>
      </c>
      <c r="C79" s="9" t="str">
        <f>A79&amp;+(COUNTIF(A$2:A79,A79)-1)</f>
        <v>1670</v>
      </c>
      <c r="D79" s="3" t="s">
        <v>27</v>
      </c>
      <c r="E79" s="12" t="s">
        <v>648</v>
      </c>
      <c r="F79" s="13" t="s">
        <v>81</v>
      </c>
    </row>
    <row r="80" spans="1:6" x14ac:dyDescent="0.15">
      <c r="A80" s="11">
        <v>168</v>
      </c>
      <c r="B80" s="9" t="str">
        <f>VLOOKUP(A80,[1]characters!$A:$C,3,FALSE)</f>
        <v>猛進の大逆者 ベリアル</v>
      </c>
      <c r="C80" s="9" t="str">
        <f>A80&amp;+(COUNTIF(A$2:A80,A80)-1)</f>
        <v>1680</v>
      </c>
      <c r="D80" s="3" t="s">
        <v>27</v>
      </c>
      <c r="E80" s="12" t="s">
        <v>603</v>
      </c>
      <c r="F80" s="13" t="s">
        <v>82</v>
      </c>
    </row>
    <row r="81" spans="1:6" x14ac:dyDescent="0.15">
      <c r="A81" s="11">
        <v>169</v>
      </c>
      <c r="B81" s="9" t="str">
        <f>VLOOKUP(A81,[1]characters!$A:$C,3,FALSE)</f>
        <v>オセ</v>
      </c>
      <c r="C81" s="9" t="str">
        <f>A81&amp;+(COUNTIF(A$2:A81,A81)-1)</f>
        <v>1690</v>
      </c>
      <c r="D81" s="3" t="s">
        <v>27</v>
      </c>
      <c r="E81" s="12" t="s">
        <v>30</v>
      </c>
      <c r="F81" s="22" t="s">
        <v>83</v>
      </c>
    </row>
    <row r="82" spans="1:6" x14ac:dyDescent="0.15">
      <c r="A82" s="11">
        <v>170</v>
      </c>
      <c r="B82" s="9" t="str">
        <f>VLOOKUP(A82,[1]characters!$A:$C,3,FALSE)</f>
        <v>識徒 オセ</v>
      </c>
      <c r="C82" s="9" t="str">
        <f>A82&amp;+(COUNTIF(A$2:A82,A82)-1)</f>
        <v>1700</v>
      </c>
      <c r="D82" s="3" t="s">
        <v>27</v>
      </c>
      <c r="E82" s="12" t="s">
        <v>649</v>
      </c>
      <c r="F82" s="22" t="s">
        <v>84</v>
      </c>
    </row>
    <row r="83" spans="1:6" x14ac:dyDescent="0.15">
      <c r="A83" s="11">
        <v>171</v>
      </c>
      <c r="B83" s="9" t="str">
        <f>VLOOKUP(A83,[1]characters!$A:$C,3,FALSE)</f>
        <v>精解の預知者 オセ</v>
      </c>
      <c r="C83" s="9" t="str">
        <f>A83&amp;+(COUNTIF(A$2:A83,A83)-1)</f>
        <v>1710</v>
      </c>
      <c r="D83" s="3" t="s">
        <v>27</v>
      </c>
      <c r="E83" s="12" t="s">
        <v>30</v>
      </c>
      <c r="F83" s="22" t="s">
        <v>85</v>
      </c>
    </row>
    <row r="84" spans="1:6" x14ac:dyDescent="0.15">
      <c r="A84" s="11">
        <v>172</v>
      </c>
      <c r="B84" s="9" t="str">
        <f>VLOOKUP(A84,[1]characters!$A:$C,3,FALSE)</f>
        <v>フォルネウス</v>
      </c>
      <c r="C84" s="9" t="str">
        <f>A84&amp;+(COUNTIF(A$2:A84,A84)-1)</f>
        <v>1720</v>
      </c>
      <c r="D84" s="3" t="s">
        <v>27</v>
      </c>
      <c r="E84" s="12" t="s">
        <v>650</v>
      </c>
      <c r="F84" s="13" t="s">
        <v>86</v>
      </c>
    </row>
    <row r="85" spans="1:6" x14ac:dyDescent="0.15">
      <c r="A85" s="11">
        <v>173</v>
      </c>
      <c r="B85" s="9" t="str">
        <f>VLOOKUP(A85,[1]characters!$A:$C,3,FALSE)</f>
        <v>公爵 フォルネウス</v>
      </c>
      <c r="C85" s="9" t="str">
        <f>A85&amp;+(COUNTIF(A$2:A85,A85)-1)</f>
        <v>1730</v>
      </c>
      <c r="D85" s="3" t="s">
        <v>27</v>
      </c>
      <c r="E85" s="12" t="s">
        <v>651</v>
      </c>
      <c r="F85" s="13" t="s">
        <v>87</v>
      </c>
    </row>
    <row r="86" spans="1:6" x14ac:dyDescent="0.15">
      <c r="A86" s="11">
        <v>174</v>
      </c>
      <c r="B86" s="9" t="str">
        <f>VLOOKUP(A86,[1]characters!$A:$C,3,FALSE)</f>
        <v>偽愛の大公爵 フォルネウス</v>
      </c>
      <c r="C86" s="9" t="str">
        <f>A86&amp;+(COUNTIF(A$2:A86,A86)-1)</f>
        <v>1740</v>
      </c>
      <c r="D86" s="3" t="s">
        <v>27</v>
      </c>
      <c r="E86" s="12" t="s">
        <v>652</v>
      </c>
      <c r="F86" s="13" t="s">
        <v>88</v>
      </c>
    </row>
    <row r="87" spans="1:6" x14ac:dyDescent="0.15">
      <c r="A87" s="11">
        <v>175</v>
      </c>
      <c r="B87" s="9" t="str">
        <f>VLOOKUP(A87,[1]characters!$A:$C,3,FALSE)</f>
        <v>バフォメット</v>
      </c>
      <c r="C87" s="9" t="str">
        <f>A87&amp;+(COUNTIF(A$2:A87,A87)-1)</f>
        <v>1750</v>
      </c>
      <c r="D87" s="3" t="s">
        <v>27</v>
      </c>
      <c r="E87" s="12" t="s">
        <v>653</v>
      </c>
      <c r="F87" s="13" t="s">
        <v>89</v>
      </c>
    </row>
    <row r="88" spans="1:6" x14ac:dyDescent="0.15">
      <c r="A88" s="11">
        <v>176</v>
      </c>
      <c r="B88" s="9" t="str">
        <f>VLOOKUP(A88,[1]characters!$A:$C,3,FALSE)</f>
        <v>異教徒 バフォメット</v>
      </c>
      <c r="C88" s="9" t="str">
        <f>A88&amp;+(COUNTIF(A$2:A88,A88)-1)</f>
        <v>1760</v>
      </c>
      <c r="D88" s="3" t="s">
        <v>27</v>
      </c>
      <c r="E88" s="12" t="s">
        <v>30</v>
      </c>
      <c r="F88" s="13" t="s">
        <v>90</v>
      </c>
    </row>
    <row r="89" spans="1:6" x14ac:dyDescent="0.15">
      <c r="A89" s="11">
        <v>177</v>
      </c>
      <c r="B89" s="9" t="str">
        <f>VLOOKUP(A89,[1]characters!$A:$C,3,FALSE)</f>
        <v>黒魔の異端師 バフォメット</v>
      </c>
      <c r="C89" s="9" t="str">
        <f>A89&amp;+(COUNTIF(A$2:A89,A89)-1)</f>
        <v>1770</v>
      </c>
      <c r="D89" s="3" t="s">
        <v>27</v>
      </c>
      <c r="E89" s="12" t="s">
        <v>31</v>
      </c>
      <c r="F89" s="22" t="s">
        <v>91</v>
      </c>
    </row>
    <row r="90" spans="1:6" x14ac:dyDescent="0.15">
      <c r="A90" s="11">
        <v>178</v>
      </c>
      <c r="B90" s="9" t="str">
        <f>VLOOKUP(A90,[1]characters!$A:$C,3,FALSE)</f>
        <v>ケルベロス</v>
      </c>
      <c r="C90" s="9" t="str">
        <f>A90&amp;+(COUNTIF(A$2:A90,A90)-1)</f>
        <v>1780</v>
      </c>
      <c r="D90" s="3" t="s">
        <v>27</v>
      </c>
      <c r="E90" s="12" t="s">
        <v>30</v>
      </c>
      <c r="F90" s="13" t="s">
        <v>654</v>
      </c>
    </row>
    <row r="91" spans="1:6" x14ac:dyDescent="0.15">
      <c r="A91" s="11">
        <v>179</v>
      </c>
      <c r="B91" s="9" t="str">
        <f>VLOOKUP(A91,[1]characters!$A:$C,3,FALSE)</f>
        <v>番犬 ケルベロス</v>
      </c>
      <c r="C91" s="9" t="str">
        <f>A91&amp;+(COUNTIF(A$2:A91,A91)-1)</f>
        <v>1790</v>
      </c>
      <c r="D91" s="3" t="s">
        <v>27</v>
      </c>
      <c r="E91" s="12" t="s">
        <v>30</v>
      </c>
      <c r="F91" s="13" t="s">
        <v>92</v>
      </c>
    </row>
    <row r="92" spans="1:6" x14ac:dyDescent="0.15">
      <c r="A92" s="11">
        <v>180</v>
      </c>
      <c r="B92" s="9" t="str">
        <f>VLOOKUP(A92,[1]characters!$A:$C,3,FALSE)</f>
        <v>地獄の大門番 ケルベロス</v>
      </c>
      <c r="C92" s="9" t="str">
        <f>A92&amp;+(COUNTIF(A$2:A92,A92)-1)</f>
        <v>1800</v>
      </c>
      <c r="D92" s="3" t="s">
        <v>27</v>
      </c>
      <c r="E92" s="12" t="s">
        <v>32</v>
      </c>
      <c r="F92" s="13" t="s">
        <v>93</v>
      </c>
    </row>
    <row r="93" spans="1:6" x14ac:dyDescent="0.15">
      <c r="A93" s="11">
        <v>181</v>
      </c>
      <c r="B93" s="9" t="str">
        <f>VLOOKUP(A93,[1]characters!$A:$C,3,FALSE)</f>
        <v>ベヒモス</v>
      </c>
      <c r="C93" s="9" t="str">
        <f>A93&amp;+(COUNTIF(A$2:A93,A93)-1)</f>
        <v>1810</v>
      </c>
      <c r="D93" s="3" t="s">
        <v>27</v>
      </c>
      <c r="E93" s="12" t="s">
        <v>30</v>
      </c>
      <c r="F93" s="13" t="s">
        <v>655</v>
      </c>
    </row>
    <row r="94" spans="1:6" x14ac:dyDescent="0.15">
      <c r="A94" s="11">
        <v>182</v>
      </c>
      <c r="B94" s="9" t="str">
        <f>VLOOKUP(A94,[1]characters!$A:$C,3,FALSE)</f>
        <v>放蕩者 ベヒモス</v>
      </c>
      <c r="C94" s="9" t="str">
        <f>A94&amp;+(COUNTIF(A$2:A94,A94)-1)</f>
        <v>1820</v>
      </c>
      <c r="D94" s="3" t="s">
        <v>27</v>
      </c>
      <c r="E94" s="12" t="s">
        <v>30</v>
      </c>
      <c r="F94" s="13" t="s">
        <v>94</v>
      </c>
    </row>
    <row r="95" spans="1:6" x14ac:dyDescent="0.15">
      <c r="A95" s="11">
        <v>183</v>
      </c>
      <c r="B95" s="9" t="str">
        <f>VLOOKUP(A95,[1]characters!$A:$C,3,FALSE)</f>
        <v>鈍重な彷徨者 ベヒモス</v>
      </c>
      <c r="C95" s="9" t="str">
        <f>A95&amp;+(COUNTIF(A$2:A95,A95)-1)</f>
        <v>1830</v>
      </c>
      <c r="D95" s="3" t="s">
        <v>27</v>
      </c>
      <c r="E95" s="12" t="s">
        <v>656</v>
      </c>
      <c r="F95" s="13" t="s">
        <v>95</v>
      </c>
    </row>
    <row r="96" spans="1:6" x14ac:dyDescent="0.15">
      <c r="A96" s="11">
        <v>184</v>
      </c>
      <c r="B96" s="9" t="str">
        <f>VLOOKUP(A96,[1]characters!$A:$C,3,FALSE)</f>
        <v>クラーケン</v>
      </c>
      <c r="C96" s="9" t="str">
        <f>A96&amp;+(COUNTIF(A$2:A96,A96)-1)</f>
        <v>1840</v>
      </c>
      <c r="D96" s="3" t="s">
        <v>27</v>
      </c>
      <c r="E96" s="12" t="s">
        <v>651</v>
      </c>
      <c r="F96" s="13" t="s">
        <v>96</v>
      </c>
    </row>
    <row r="97" spans="1:6" x14ac:dyDescent="0.15">
      <c r="A97" s="11">
        <v>185</v>
      </c>
      <c r="B97" s="9" t="str">
        <f>VLOOKUP(A97,[1]characters!$A:$C,3,FALSE)</f>
        <v>海姫 クラーケン</v>
      </c>
      <c r="C97" s="9" t="str">
        <f>A97&amp;+(COUNTIF(A$2:A97,A97)-1)</f>
        <v>1850</v>
      </c>
      <c r="D97" s="3" t="s">
        <v>27</v>
      </c>
      <c r="E97" s="12" t="s">
        <v>657</v>
      </c>
      <c r="F97" s="13" t="s">
        <v>97</v>
      </c>
    </row>
    <row r="98" spans="1:6" x14ac:dyDescent="0.15">
      <c r="A98" s="11">
        <v>186</v>
      </c>
      <c r="B98" s="9" t="str">
        <f>VLOOKUP(A98,[1]characters!$A:$C,3,FALSE)</f>
        <v>誇り高き多触姫・クラーケン</v>
      </c>
      <c r="C98" s="9" t="str">
        <f>A98&amp;+(COUNTIF(A$2:A98,A98)-1)</f>
        <v>1860</v>
      </c>
      <c r="D98" s="3" t="s">
        <v>27</v>
      </c>
      <c r="E98" s="12" t="s">
        <v>30</v>
      </c>
      <c r="F98" s="13" t="s">
        <v>98</v>
      </c>
    </row>
    <row r="99" spans="1:6" x14ac:dyDescent="0.15">
      <c r="A99" s="11">
        <v>187</v>
      </c>
      <c r="B99" s="9" t="str">
        <f>VLOOKUP(A99,[1]characters!$A:$C,3,FALSE)</f>
        <v>ホルス</v>
      </c>
      <c r="C99" s="9" t="str">
        <f>A99&amp;+(COUNTIF(A$2:A99,A99)-1)</f>
        <v>1870</v>
      </c>
      <c r="D99" s="3" t="s">
        <v>27</v>
      </c>
      <c r="E99" s="12" t="s">
        <v>31</v>
      </c>
      <c r="F99" s="22" t="s">
        <v>99</v>
      </c>
    </row>
    <row r="100" spans="1:6" x14ac:dyDescent="0.15">
      <c r="A100" s="11">
        <v>188</v>
      </c>
      <c r="B100" s="9" t="str">
        <f>VLOOKUP(A100,[1]characters!$A:$C,3,FALSE)</f>
        <v>猛禽 ホルス</v>
      </c>
      <c r="C100" s="9" t="str">
        <f>A100&amp;+(COUNTIF(A$2:A100,A100)-1)</f>
        <v>1880</v>
      </c>
      <c r="D100" s="3" t="s">
        <v>27</v>
      </c>
      <c r="E100" s="12" t="s">
        <v>31</v>
      </c>
      <c r="F100" s="22" t="s">
        <v>100</v>
      </c>
    </row>
    <row r="101" spans="1:6" x14ac:dyDescent="0.15">
      <c r="A101" s="11">
        <v>189</v>
      </c>
      <c r="B101" s="9" t="str">
        <f>VLOOKUP(A101,[1]characters!$A:$C,3,FALSE)</f>
        <v>迅雷の王禽 ホルス</v>
      </c>
      <c r="C101" s="9" t="str">
        <f>A101&amp;+(COUNTIF(A$2:A101,A101)-1)</f>
        <v>1890</v>
      </c>
      <c r="D101" s="3" t="s">
        <v>27</v>
      </c>
      <c r="E101" s="12" t="s">
        <v>31</v>
      </c>
      <c r="F101" s="22" t="s">
        <v>101</v>
      </c>
    </row>
    <row r="102" spans="1:6" x14ac:dyDescent="0.15">
      <c r="A102" s="11">
        <v>190</v>
      </c>
      <c r="B102" s="9" t="str">
        <f>VLOOKUP(A102,[1]characters!$A:$C,3,FALSE)</f>
        <v>卑弥呼</v>
      </c>
      <c r="C102" s="9" t="str">
        <f>A102&amp;+(COUNTIF(A$2:A102,A102)-1)</f>
        <v>1900</v>
      </c>
      <c r="D102" s="3" t="s">
        <v>27</v>
      </c>
      <c r="E102" s="12" t="s">
        <v>30</v>
      </c>
      <c r="F102" s="22" t="s">
        <v>102</v>
      </c>
    </row>
    <row r="103" spans="1:6" x14ac:dyDescent="0.15">
      <c r="A103" s="11">
        <v>191</v>
      </c>
      <c r="B103" s="9" t="str">
        <f>VLOOKUP(A103,[1]characters!$A:$C,3,FALSE)</f>
        <v>始祖 卑弥呼</v>
      </c>
      <c r="C103" s="9" t="str">
        <f>A103&amp;+(COUNTIF(A$2:A103,A103)-1)</f>
        <v>1910</v>
      </c>
      <c r="D103" s="3" t="s">
        <v>27</v>
      </c>
      <c r="E103" s="12" t="s">
        <v>30</v>
      </c>
      <c r="F103" s="22" t="s">
        <v>103</v>
      </c>
    </row>
    <row r="104" spans="1:6" x14ac:dyDescent="0.15">
      <c r="A104" s="11">
        <v>192</v>
      </c>
      <c r="B104" s="9" t="str">
        <f>VLOOKUP(A104,[1]characters!$A:$C,3,FALSE)</f>
        <v>荘厳なる始祖帝 卑弥呼</v>
      </c>
      <c r="C104" s="9" t="str">
        <f>A104&amp;+(COUNTIF(A$2:A104,A104)-1)</f>
        <v>1920</v>
      </c>
      <c r="D104" s="3" t="s">
        <v>27</v>
      </c>
      <c r="E104" s="12" t="s">
        <v>651</v>
      </c>
      <c r="F104" s="22" t="s">
        <v>104</v>
      </c>
    </row>
    <row r="105" spans="1:6" x14ac:dyDescent="0.15">
      <c r="A105" s="11">
        <v>193</v>
      </c>
      <c r="B105" s="9" t="str">
        <f>VLOOKUP(A105,[1]characters!$A:$C,3,FALSE)</f>
        <v>ロビンフッド</v>
      </c>
      <c r="C105" s="9" t="str">
        <f>A105&amp;+(COUNTIF(A$2:A105,A105)-1)</f>
        <v>1930</v>
      </c>
      <c r="D105" s="3" t="s">
        <v>27</v>
      </c>
      <c r="E105" s="12" t="s">
        <v>30</v>
      </c>
      <c r="F105" s="13" t="s">
        <v>105</v>
      </c>
    </row>
    <row r="106" spans="1:6" x14ac:dyDescent="0.15">
      <c r="A106" s="11">
        <v>194</v>
      </c>
      <c r="B106" s="9" t="str">
        <f>VLOOKUP(A106,[1]characters!$A:$C,3,FALSE)</f>
        <v>スナイパー ロビンフッド</v>
      </c>
      <c r="C106" s="9" t="str">
        <f>A106&amp;+(COUNTIF(A$2:A106,A106)-1)</f>
        <v>1940</v>
      </c>
      <c r="D106" s="3" t="s">
        <v>27</v>
      </c>
      <c r="E106" s="12" t="s">
        <v>32</v>
      </c>
      <c r="F106" s="13" t="s">
        <v>106</v>
      </c>
    </row>
    <row r="107" spans="1:6" x14ac:dyDescent="0.15">
      <c r="A107" s="11">
        <v>195</v>
      </c>
      <c r="B107" s="9" t="str">
        <f>VLOOKUP(A107,[1]characters!$A:$C,3,FALSE)</f>
        <v>グランドハンター ロビンフッド</v>
      </c>
      <c r="C107" s="9" t="str">
        <f>A107&amp;+(COUNTIF(A$2:A107,A107)-1)</f>
        <v>1950</v>
      </c>
      <c r="D107" s="3" t="s">
        <v>27</v>
      </c>
      <c r="E107" s="12" t="s">
        <v>658</v>
      </c>
      <c r="F107" s="13" t="s">
        <v>107</v>
      </c>
    </row>
    <row r="108" spans="1:6" x14ac:dyDescent="0.15">
      <c r="A108" s="11">
        <v>196</v>
      </c>
      <c r="B108" s="9" t="str">
        <f>VLOOKUP(A108,[1]characters!$A:$C,3,FALSE)</f>
        <v>アキレス</v>
      </c>
      <c r="C108" s="9" t="str">
        <f>A108&amp;+(COUNTIF(A$2:A108,A108)-1)</f>
        <v>1960</v>
      </c>
      <c r="D108" s="3" t="s">
        <v>27</v>
      </c>
      <c r="E108" s="12" t="s">
        <v>659</v>
      </c>
      <c r="F108" s="22" t="s">
        <v>108</v>
      </c>
    </row>
    <row r="109" spans="1:6" x14ac:dyDescent="0.15">
      <c r="A109" s="11">
        <v>197</v>
      </c>
      <c r="B109" s="9" t="str">
        <f>VLOOKUP(A109,[1]characters!$A:$C,3,FALSE)</f>
        <v>鉄腕 アキレス</v>
      </c>
      <c r="C109" s="9" t="str">
        <f>A109&amp;+(COUNTIF(A$2:A109,A109)-1)</f>
        <v>1970</v>
      </c>
      <c r="D109" s="3" t="s">
        <v>27</v>
      </c>
      <c r="E109" s="12" t="s">
        <v>32</v>
      </c>
      <c r="F109" s="22" t="s">
        <v>660</v>
      </c>
    </row>
    <row r="110" spans="1:6" x14ac:dyDescent="0.15">
      <c r="A110" s="11">
        <v>198</v>
      </c>
      <c r="B110" s="9" t="str">
        <f>VLOOKUP(A110,[1]characters!$A:$C,3,FALSE)</f>
        <v>砕骨の剛腕 アキレス</v>
      </c>
      <c r="C110" s="9" t="str">
        <f>A110&amp;+(COUNTIF(A$2:A110,A110)-1)</f>
        <v>1980</v>
      </c>
      <c r="D110" s="3" t="s">
        <v>27</v>
      </c>
      <c r="E110" s="12" t="s">
        <v>31</v>
      </c>
      <c r="F110" s="22" t="s">
        <v>109</v>
      </c>
    </row>
    <row r="111" spans="1:6" x14ac:dyDescent="0.15">
      <c r="A111" s="11">
        <v>199</v>
      </c>
      <c r="B111" s="9" t="str">
        <f>VLOOKUP(A111,[1]characters!$A:$C,3,FALSE)</f>
        <v>ジークフリート</v>
      </c>
      <c r="C111" s="9" t="str">
        <f>A111&amp;+(COUNTIF(A$2:A111,A111)-1)</f>
        <v>1990</v>
      </c>
      <c r="D111" s="3" t="s">
        <v>27</v>
      </c>
      <c r="E111" s="12" t="s">
        <v>30</v>
      </c>
      <c r="F111" s="22" t="s">
        <v>110</v>
      </c>
    </row>
    <row r="112" spans="1:6" x14ac:dyDescent="0.15">
      <c r="A112" s="11">
        <v>200</v>
      </c>
      <c r="B112" s="9" t="str">
        <f>VLOOKUP(A112,[1]characters!$A:$C,3,FALSE)</f>
        <v>大剣士 ジークフリート</v>
      </c>
      <c r="C112" s="9" t="str">
        <f>A112&amp;+(COUNTIF(A$2:A112,A112)-1)</f>
        <v>2000</v>
      </c>
      <c r="D112" s="3" t="s">
        <v>27</v>
      </c>
      <c r="E112" s="12" t="s">
        <v>661</v>
      </c>
      <c r="F112" s="22" t="s">
        <v>111</v>
      </c>
    </row>
    <row r="113" spans="1:6" x14ac:dyDescent="0.15">
      <c r="A113" s="11">
        <v>201</v>
      </c>
      <c r="B113" s="9" t="str">
        <f>VLOOKUP(A113,[1]characters!$A:$C,3,FALSE)</f>
        <v>斬空の大破剣 ジークフリート</v>
      </c>
      <c r="C113" s="9" t="str">
        <f>A113&amp;+(COUNTIF(A$2:A113,A113)-1)</f>
        <v>2010</v>
      </c>
      <c r="D113" s="3" t="s">
        <v>27</v>
      </c>
      <c r="E113" s="12" t="s">
        <v>31</v>
      </c>
      <c r="F113" s="22" t="s">
        <v>112</v>
      </c>
    </row>
    <row r="114" spans="1:6" x14ac:dyDescent="0.15">
      <c r="A114" s="11">
        <v>202</v>
      </c>
      <c r="B114" s="9" t="str">
        <f>VLOOKUP(A114,[1]characters!$A:$C,3,FALSE)</f>
        <v>プロメテウス</v>
      </c>
      <c r="C114" s="9" t="str">
        <f>A114&amp;+(COUNTIF(A$2:A114,A114)-1)</f>
        <v>2020</v>
      </c>
      <c r="D114" s="3" t="s">
        <v>27</v>
      </c>
      <c r="E114" s="12" t="s">
        <v>30</v>
      </c>
      <c r="F114" s="13" t="s">
        <v>113</v>
      </c>
    </row>
    <row r="115" spans="1:6" x14ac:dyDescent="0.15">
      <c r="A115" s="11">
        <v>203</v>
      </c>
      <c r="B115" s="9" t="str">
        <f>VLOOKUP(A115,[1]characters!$A:$C,3,FALSE)</f>
        <v>焔神 プロメテウス</v>
      </c>
      <c r="C115" s="9" t="str">
        <f>A115&amp;+(COUNTIF(A$2:A115,A115)-1)</f>
        <v>2030</v>
      </c>
      <c r="D115" s="3" t="s">
        <v>27</v>
      </c>
      <c r="E115" s="12" t="s">
        <v>662</v>
      </c>
      <c r="F115" s="13" t="s">
        <v>114</v>
      </c>
    </row>
    <row r="116" spans="1:6" x14ac:dyDescent="0.15">
      <c r="A116" s="11">
        <v>204</v>
      </c>
      <c r="B116" s="9" t="str">
        <f>VLOOKUP(A116,[1]characters!$A:$C,3,FALSE)</f>
        <v>慟哭の巨焔 プロメテウス</v>
      </c>
      <c r="C116" s="9" t="str">
        <f>A116&amp;+(COUNTIF(A$2:A116,A116)-1)</f>
        <v>2040</v>
      </c>
      <c r="D116" s="3" t="s">
        <v>27</v>
      </c>
      <c r="E116" s="12" t="s">
        <v>30</v>
      </c>
      <c r="F116" s="13" t="s">
        <v>115</v>
      </c>
    </row>
    <row r="117" spans="1:6" x14ac:dyDescent="0.15">
      <c r="A117" s="11">
        <v>205</v>
      </c>
      <c r="B117" s="9" t="str">
        <f>VLOOKUP(A117,[1]characters!$A:$C,3,FALSE)</f>
        <v>アフロディーテ</v>
      </c>
      <c r="C117" s="9" t="str">
        <f>A117&amp;+(COUNTIF(A$2:A117,A117)-1)</f>
        <v>2050</v>
      </c>
      <c r="D117" s="3" t="s">
        <v>27</v>
      </c>
      <c r="E117" s="12" t="s">
        <v>663</v>
      </c>
      <c r="F117" s="13" t="s">
        <v>116</v>
      </c>
    </row>
    <row r="118" spans="1:6" x14ac:dyDescent="0.15">
      <c r="A118" s="11">
        <v>206</v>
      </c>
      <c r="B118" s="9" t="str">
        <f>VLOOKUP(A118,[1]characters!$A:$C,3,FALSE)</f>
        <v>美神 アフロディーテ</v>
      </c>
      <c r="C118" s="9" t="str">
        <f>A118&amp;+(COUNTIF(A$2:A118,A118)-1)</f>
        <v>2060</v>
      </c>
      <c r="D118" s="3" t="s">
        <v>27</v>
      </c>
      <c r="E118" s="12" t="s">
        <v>31</v>
      </c>
      <c r="F118" s="13" t="s">
        <v>117</v>
      </c>
    </row>
    <row r="119" spans="1:6" x14ac:dyDescent="0.15">
      <c r="A119" s="11">
        <v>207</v>
      </c>
      <c r="B119" s="9" t="str">
        <f>VLOOKUP(A119,[1]characters!$A:$C,3,FALSE)</f>
        <v>豊穣の麗神・アフロディーテ</v>
      </c>
      <c r="C119" s="9" t="str">
        <f>A119&amp;+(COUNTIF(A$2:A119,A119)-1)</f>
        <v>2070</v>
      </c>
      <c r="D119" s="3" t="s">
        <v>27</v>
      </c>
      <c r="E119" s="12" t="s">
        <v>30</v>
      </c>
      <c r="F119" s="13" t="s">
        <v>118</v>
      </c>
    </row>
    <row r="120" spans="1:6" x14ac:dyDescent="0.15">
      <c r="A120" s="11">
        <v>208</v>
      </c>
      <c r="B120" s="9" t="str">
        <f>VLOOKUP(A120,[1]characters!$A:$C,3,FALSE)</f>
        <v>テティス</v>
      </c>
      <c r="C120" s="9" t="str">
        <f>A120&amp;+(COUNTIF(A$2:A120,A120)-1)</f>
        <v>2080</v>
      </c>
      <c r="D120" s="3" t="s">
        <v>27</v>
      </c>
      <c r="E120" s="12" t="s">
        <v>650</v>
      </c>
      <c r="F120" s="22" t="s">
        <v>119</v>
      </c>
    </row>
    <row r="121" spans="1:6" x14ac:dyDescent="0.15">
      <c r="A121" s="11">
        <v>209</v>
      </c>
      <c r="B121" s="9" t="str">
        <f>VLOOKUP(A121,[1]characters!$A:$C,3,FALSE)</f>
        <v>孤神 テティス</v>
      </c>
      <c r="C121" s="9" t="str">
        <f>A121&amp;+(COUNTIF(A$2:A121,A121)-1)</f>
        <v>2090</v>
      </c>
      <c r="D121" s="3" t="s">
        <v>27</v>
      </c>
      <c r="E121" s="12" t="s">
        <v>650</v>
      </c>
      <c r="F121" s="22" t="s">
        <v>120</v>
      </c>
    </row>
    <row r="122" spans="1:6" x14ac:dyDescent="0.15">
      <c r="A122" s="11">
        <v>210</v>
      </c>
      <c r="B122" s="9" t="str">
        <f>VLOOKUP(A122,[1]characters!$A:$C,3,FALSE)</f>
        <v>海底の孤高神 テティス</v>
      </c>
      <c r="C122" s="9" t="str">
        <f>A122&amp;+(COUNTIF(A$2:A122,A122)-1)</f>
        <v>2100</v>
      </c>
      <c r="D122" s="3" t="s">
        <v>27</v>
      </c>
      <c r="E122" s="12" t="s">
        <v>601</v>
      </c>
      <c r="F122" s="13" t="s">
        <v>121</v>
      </c>
    </row>
    <row r="123" spans="1:6" x14ac:dyDescent="0.15">
      <c r="A123" s="11">
        <v>211</v>
      </c>
      <c r="B123" s="9" t="str">
        <f>VLOOKUP(A123,[1]characters!$A:$C,3,FALSE)</f>
        <v>アストライアー</v>
      </c>
      <c r="C123" s="9" t="str">
        <f>A123&amp;+(COUNTIF(A$2:A123,A123)-1)</f>
        <v>2110</v>
      </c>
      <c r="D123" s="3" t="s">
        <v>27</v>
      </c>
      <c r="E123" s="12" t="s">
        <v>664</v>
      </c>
      <c r="F123" s="13" t="s">
        <v>122</v>
      </c>
    </row>
    <row r="124" spans="1:6" x14ac:dyDescent="0.15">
      <c r="A124" s="11">
        <v>212</v>
      </c>
      <c r="B124" s="9" t="str">
        <f>VLOOKUP(A124,[1]characters!$A:$C,3,FALSE)</f>
        <v>星神 アストライアー</v>
      </c>
      <c r="C124" s="9" t="str">
        <f>A124&amp;+(COUNTIF(A$2:A124,A124)-1)</f>
        <v>2120</v>
      </c>
      <c r="D124" s="3" t="s">
        <v>27</v>
      </c>
      <c r="E124" s="12" t="s">
        <v>30</v>
      </c>
      <c r="F124" s="13" t="s">
        <v>123</v>
      </c>
    </row>
    <row r="125" spans="1:6" x14ac:dyDescent="0.15">
      <c r="A125" s="11">
        <v>213</v>
      </c>
      <c r="B125" s="9" t="str">
        <f>VLOOKUP(A125,[1]characters!$A:$C,3,FALSE)</f>
        <v>満天の星降神 アストライアー</v>
      </c>
      <c r="C125" s="9" t="str">
        <f>A125&amp;+(COUNTIF(A$2:A125,A125)-1)</f>
        <v>2130</v>
      </c>
      <c r="D125" s="3" t="s">
        <v>27</v>
      </c>
      <c r="E125" s="12" t="s">
        <v>31</v>
      </c>
      <c r="F125" s="13" t="s">
        <v>124</v>
      </c>
    </row>
    <row r="126" spans="1:6" x14ac:dyDescent="0.15">
      <c r="A126" s="11">
        <v>214</v>
      </c>
      <c r="B126" s="9" t="str">
        <f>VLOOKUP(A126,[1]characters!$A:$C,3,FALSE)</f>
        <v>アズラエル</v>
      </c>
      <c r="C126" s="9" t="str">
        <f>A126&amp;+(COUNTIF(A$2:A126,A126)-1)</f>
        <v>2140</v>
      </c>
      <c r="D126" s="3" t="s">
        <v>27</v>
      </c>
      <c r="E126" s="12" t="s">
        <v>30</v>
      </c>
      <c r="F126" s="22" t="s">
        <v>125</v>
      </c>
    </row>
    <row r="127" spans="1:6" x14ac:dyDescent="0.15">
      <c r="A127" s="11">
        <v>215</v>
      </c>
      <c r="B127" s="9" t="str">
        <f>VLOOKUP(A127,[1]characters!$A:$C,3,FALSE)</f>
        <v>死導者 アズラエル</v>
      </c>
      <c r="C127" s="9" t="str">
        <f>A127&amp;+(COUNTIF(A$2:A127,A127)-1)</f>
        <v>2150</v>
      </c>
      <c r="D127" s="3" t="s">
        <v>27</v>
      </c>
      <c r="E127" s="12" t="s">
        <v>32</v>
      </c>
      <c r="F127" s="22" t="s">
        <v>126</v>
      </c>
    </row>
    <row r="128" spans="1:6" x14ac:dyDescent="0.15">
      <c r="A128" s="11">
        <v>216</v>
      </c>
      <c r="B128" s="9" t="str">
        <f>VLOOKUP(A128,[1]characters!$A:$C,3,FALSE)</f>
        <v>百読の死導司書 アズラエル</v>
      </c>
      <c r="C128" s="9" t="str">
        <f>A128&amp;+(COUNTIF(A$2:A128,A128)-1)</f>
        <v>2160</v>
      </c>
      <c r="D128" s="3" t="s">
        <v>27</v>
      </c>
      <c r="E128" s="12" t="s">
        <v>665</v>
      </c>
      <c r="F128" s="22" t="s">
        <v>127</v>
      </c>
    </row>
    <row r="129" spans="1:6" x14ac:dyDescent="0.15">
      <c r="A129" s="11">
        <v>217</v>
      </c>
      <c r="B129" s="9" t="str">
        <f>VLOOKUP(A129,[1]characters!$A:$C,3,FALSE)</f>
        <v>ケツァクアトル</v>
      </c>
      <c r="C129" s="9" t="str">
        <f>A129&amp;+(COUNTIF(A$2:A129,A129)-1)</f>
        <v>2170</v>
      </c>
      <c r="D129" s="3" t="s">
        <v>27</v>
      </c>
      <c r="E129" s="12" t="s">
        <v>31</v>
      </c>
      <c r="F129" s="13" t="s">
        <v>176</v>
      </c>
    </row>
    <row r="130" spans="1:6" x14ac:dyDescent="0.15">
      <c r="A130" s="11">
        <v>218</v>
      </c>
      <c r="B130" s="9" t="str">
        <f>VLOOKUP(A130,[1]characters!$A:$C,3,FALSE)</f>
        <v>聖蛇 ケツァクアトル</v>
      </c>
      <c r="C130" s="9" t="str">
        <f>A130&amp;+(COUNTIF(A$2:A130,A130)-1)</f>
        <v>2180</v>
      </c>
      <c r="D130" s="3" t="s">
        <v>27</v>
      </c>
      <c r="E130" s="12" t="s">
        <v>31</v>
      </c>
      <c r="F130" s="13" t="s">
        <v>666</v>
      </c>
    </row>
    <row r="131" spans="1:6" x14ac:dyDescent="0.15">
      <c r="A131" s="11">
        <v>219</v>
      </c>
      <c r="B131" s="9" t="str">
        <f>VLOOKUP(A131,[1]characters!$A:$C,3,FALSE)</f>
        <v>覇翼の聖蛇竜 ケツァクアトル</v>
      </c>
      <c r="C131" s="9" t="str">
        <f>A131&amp;+(COUNTIF(A$2:A131,A131)-1)</f>
        <v>2190</v>
      </c>
      <c r="D131" s="3" t="s">
        <v>27</v>
      </c>
      <c r="E131" s="12" t="s">
        <v>31</v>
      </c>
      <c r="F131" s="13" t="s">
        <v>667</v>
      </c>
    </row>
    <row r="132" spans="1:6" x14ac:dyDescent="0.15">
      <c r="A132" s="11">
        <v>220</v>
      </c>
      <c r="B132" s="9" t="str">
        <f>VLOOKUP(A132,[1]characters!$A:$C,3,FALSE)</f>
        <v>ルキフグス</v>
      </c>
      <c r="C132" s="9" t="str">
        <f>A132&amp;+(COUNTIF(A$2:A132,A132)-1)</f>
        <v>2200</v>
      </c>
      <c r="D132" s="3" t="s">
        <v>27</v>
      </c>
      <c r="E132" s="12" t="s">
        <v>668</v>
      </c>
      <c r="F132" s="22" t="s">
        <v>128</v>
      </c>
    </row>
    <row r="133" spans="1:6" x14ac:dyDescent="0.15">
      <c r="A133" s="11">
        <v>221</v>
      </c>
      <c r="B133" s="9" t="str">
        <f>VLOOKUP(A133,[1]characters!$A:$C,3,FALSE)</f>
        <v>宰相 ルキフグス</v>
      </c>
      <c r="C133" s="9" t="str">
        <f>A133&amp;+(COUNTIF(A$2:A133,A133)-1)</f>
        <v>2210</v>
      </c>
      <c r="D133" s="3" t="s">
        <v>27</v>
      </c>
      <c r="E133" s="12" t="s">
        <v>32</v>
      </c>
      <c r="F133" s="13" t="s">
        <v>129</v>
      </c>
    </row>
    <row r="134" spans="1:6" x14ac:dyDescent="0.15">
      <c r="A134" s="11">
        <v>222</v>
      </c>
      <c r="B134" s="9" t="str">
        <f>VLOOKUP(A134,[1]characters!$A:$C,3,FALSE)</f>
        <v>避光の鉄鎖宰相 ルキフグス</v>
      </c>
      <c r="C134" s="9" t="str">
        <f>A134&amp;+(COUNTIF(A$2:A134,A134)-1)</f>
        <v>2220</v>
      </c>
      <c r="D134" s="3" t="s">
        <v>27</v>
      </c>
      <c r="E134" s="12" t="s">
        <v>30</v>
      </c>
      <c r="F134" s="13" t="s">
        <v>130</v>
      </c>
    </row>
    <row r="135" spans="1:6" x14ac:dyDescent="0.15">
      <c r="A135" s="11">
        <v>223</v>
      </c>
      <c r="B135" s="9" t="str">
        <f>VLOOKUP(A135,[1]characters!$A:$C,3,FALSE)</f>
        <v>ヘラクレス</v>
      </c>
      <c r="C135" s="9" t="str">
        <f>A135&amp;+(COUNTIF(A$2:A135,A135)-1)</f>
        <v>2230</v>
      </c>
      <c r="D135" s="3" t="s">
        <v>27</v>
      </c>
      <c r="E135" s="12" t="s">
        <v>30</v>
      </c>
      <c r="F135" s="22" t="s">
        <v>131</v>
      </c>
    </row>
    <row r="136" spans="1:6" x14ac:dyDescent="0.15">
      <c r="A136" s="11">
        <v>224</v>
      </c>
      <c r="B136" s="9" t="str">
        <f>VLOOKUP(A136,[1]characters!$A:$C,3,FALSE)</f>
        <v>巨腕 ヘラクレス</v>
      </c>
      <c r="C136" s="9" t="str">
        <f>A136&amp;+(COUNTIF(A$2:A136,A136)-1)</f>
        <v>2240</v>
      </c>
      <c r="D136" s="3" t="s">
        <v>27</v>
      </c>
      <c r="E136" s="12" t="s">
        <v>30</v>
      </c>
      <c r="F136" s="22" t="s">
        <v>132</v>
      </c>
    </row>
    <row r="137" spans="1:6" x14ac:dyDescent="0.15">
      <c r="A137" s="11">
        <v>225</v>
      </c>
      <c r="B137" s="9" t="str">
        <f>VLOOKUP(A137,[1]characters!$A:$C,3,FALSE)</f>
        <v>咆哮の巨獅腕 ヘラクレス</v>
      </c>
      <c r="C137" s="9" t="str">
        <f>A137&amp;+(COUNTIF(A$2:A137,A137)-1)</f>
        <v>2250</v>
      </c>
      <c r="D137" s="3" t="s">
        <v>27</v>
      </c>
      <c r="E137" s="12" t="s">
        <v>31</v>
      </c>
      <c r="F137" s="22" t="s">
        <v>133</v>
      </c>
    </row>
    <row r="138" spans="1:6" x14ac:dyDescent="0.15">
      <c r="A138" s="11">
        <v>226</v>
      </c>
      <c r="B138" s="9" t="str">
        <f>VLOOKUP(A138,[1]characters!$A:$C,3,FALSE)</f>
        <v>アレス</v>
      </c>
      <c r="C138" s="9" t="str">
        <f>A138&amp;+(COUNTIF(A$2:A138,A138)-1)</f>
        <v>2260</v>
      </c>
      <c r="D138" s="3" t="s">
        <v>27</v>
      </c>
      <c r="E138" s="12" t="s">
        <v>669</v>
      </c>
      <c r="F138" s="13" t="s">
        <v>134</v>
      </c>
    </row>
    <row r="139" spans="1:6" x14ac:dyDescent="0.15">
      <c r="A139" s="11">
        <v>227</v>
      </c>
      <c r="B139" s="9" t="str">
        <f>VLOOKUP(A139,[1]characters!$A:$C,3,FALSE)</f>
        <v>滅弾 アレス</v>
      </c>
      <c r="C139" s="9" t="str">
        <f>A139&amp;+(COUNTIF(A$2:A139,A139)-1)</f>
        <v>2270</v>
      </c>
      <c r="D139" s="3" t="s">
        <v>27</v>
      </c>
      <c r="E139" s="12" t="s">
        <v>30</v>
      </c>
      <c r="F139" s="13" t="s">
        <v>135</v>
      </c>
    </row>
    <row r="140" spans="1:6" x14ac:dyDescent="0.15">
      <c r="A140" s="11">
        <v>228</v>
      </c>
      <c r="B140" s="9" t="str">
        <f>VLOOKUP(A140,[1]characters!$A:$C,3,FALSE)</f>
        <v>殲滅の掃射砲 アレス</v>
      </c>
      <c r="C140" s="9" t="str">
        <f>A140&amp;+(COUNTIF(A$2:A140,A140)-1)</f>
        <v>2280</v>
      </c>
      <c r="D140" s="3" t="s">
        <v>27</v>
      </c>
      <c r="E140" s="12" t="s">
        <v>31</v>
      </c>
      <c r="F140" s="13" t="s">
        <v>136</v>
      </c>
    </row>
    <row r="141" spans="1:6" x14ac:dyDescent="0.15">
      <c r="A141" s="11">
        <v>229</v>
      </c>
      <c r="B141" s="9" t="str">
        <f>VLOOKUP(A141,[1]characters!$A:$C,3,FALSE)</f>
        <v>ヨルムンガンド</v>
      </c>
      <c r="C141" s="9" t="str">
        <f>A141&amp;+(COUNTIF(A$2:A141,A141)-1)</f>
        <v>2290</v>
      </c>
      <c r="D141" s="3" t="s">
        <v>27</v>
      </c>
      <c r="E141" s="12" t="s">
        <v>32</v>
      </c>
      <c r="F141" s="13" t="s">
        <v>670</v>
      </c>
    </row>
    <row r="142" spans="1:6" x14ac:dyDescent="0.15">
      <c r="A142" s="11">
        <v>230</v>
      </c>
      <c r="B142" s="9" t="str">
        <f>VLOOKUP(A142,[1]characters!$A:$C,3,FALSE)</f>
        <v>毒銃 ヨルムンガンド</v>
      </c>
      <c r="C142" s="9" t="str">
        <f>A142&amp;+(COUNTIF(A$2:A142,A142)-1)</f>
        <v>2300</v>
      </c>
      <c r="D142" s="3" t="s">
        <v>27</v>
      </c>
      <c r="E142" s="12" t="s">
        <v>668</v>
      </c>
      <c r="F142" s="13" t="s">
        <v>177</v>
      </c>
    </row>
    <row r="143" spans="1:6" x14ac:dyDescent="0.15">
      <c r="A143" s="11">
        <v>231</v>
      </c>
      <c r="B143" s="9" t="str">
        <f>VLOOKUP(A143,[1]characters!$A:$C,3,FALSE)</f>
        <v>必中の咬銃 ヨルムンガンド</v>
      </c>
      <c r="C143" s="9" t="str">
        <f>A143&amp;+(COUNTIF(A$2:A143,A143)-1)</f>
        <v>2310</v>
      </c>
      <c r="D143" s="3" t="s">
        <v>27</v>
      </c>
      <c r="E143" s="12" t="s">
        <v>30</v>
      </c>
      <c r="F143" s="13" t="s">
        <v>137</v>
      </c>
    </row>
    <row r="144" spans="1:6" x14ac:dyDescent="0.15">
      <c r="A144" s="11">
        <v>232</v>
      </c>
      <c r="B144" s="9" t="str">
        <f>VLOOKUP(A144,[1]characters!$A:$C,3,FALSE)</f>
        <v>パーシヴァル</v>
      </c>
      <c r="C144" s="9" t="str">
        <f>A144&amp;+(COUNTIF(A$2:A144,A144)-1)</f>
        <v>2320</v>
      </c>
      <c r="D144" s="3" t="s">
        <v>27</v>
      </c>
      <c r="E144" s="12" t="s">
        <v>32</v>
      </c>
      <c r="F144" s="22" t="s">
        <v>138</v>
      </c>
    </row>
    <row r="145" spans="1:6" x14ac:dyDescent="0.15">
      <c r="A145" s="11">
        <v>233</v>
      </c>
      <c r="B145" s="9" t="str">
        <f>VLOOKUP(A145,[1]characters!$A:$C,3,FALSE)</f>
        <v>遂行 パーシヴァル</v>
      </c>
      <c r="C145" s="9" t="str">
        <f>A145&amp;+(COUNTIF(A$2:A145,A145)-1)</f>
        <v>2330</v>
      </c>
      <c r="D145" s="3" t="s">
        <v>27</v>
      </c>
      <c r="E145" s="12" t="s">
        <v>31</v>
      </c>
      <c r="F145" s="22" t="s">
        <v>139</v>
      </c>
    </row>
    <row r="146" spans="1:6" x14ac:dyDescent="0.15">
      <c r="A146" s="11">
        <v>234</v>
      </c>
      <c r="B146" s="9" t="str">
        <f>VLOOKUP(A146,[1]characters!$A:$C,3,FALSE)</f>
        <v>精密なる照準 パーシヴァル</v>
      </c>
      <c r="C146" s="9" t="str">
        <f>A146&amp;+(COUNTIF(A$2:A146,A146)-1)</f>
        <v>2340</v>
      </c>
      <c r="D146" s="3" t="s">
        <v>27</v>
      </c>
      <c r="E146" s="12" t="s">
        <v>30</v>
      </c>
      <c r="F146" s="22" t="s">
        <v>140</v>
      </c>
    </row>
    <row r="147" spans="1:6" x14ac:dyDescent="0.15">
      <c r="A147" s="11">
        <v>235</v>
      </c>
      <c r="B147" s="9" t="str">
        <f>VLOOKUP(A147,[1]characters!$A:$C,3,FALSE)</f>
        <v>イザナミ</v>
      </c>
      <c r="C147" s="9" t="str">
        <f>A147&amp;+(COUNTIF(A$2:A147,A147)-1)</f>
        <v>2350</v>
      </c>
      <c r="D147" s="3" t="s">
        <v>27</v>
      </c>
      <c r="E147" s="24" t="s">
        <v>671</v>
      </c>
      <c r="F147" s="25" t="s">
        <v>141</v>
      </c>
    </row>
    <row r="148" spans="1:6" x14ac:dyDescent="0.15">
      <c r="A148" s="11">
        <v>236</v>
      </c>
      <c r="B148" s="9" t="str">
        <f>VLOOKUP(A148,[1]characters!$A:$C,3,FALSE)</f>
        <v>神産 イザナミ</v>
      </c>
      <c r="C148" s="9" t="str">
        <f>A148&amp;+(COUNTIF(A$2:A148,A148)-1)</f>
        <v>2360</v>
      </c>
      <c r="D148" s="3" t="s">
        <v>27</v>
      </c>
      <c r="E148" s="24" t="s">
        <v>672</v>
      </c>
      <c r="F148" s="25" t="s">
        <v>673</v>
      </c>
    </row>
    <row r="149" spans="1:6" x14ac:dyDescent="0.15">
      <c r="A149" s="11">
        <v>237</v>
      </c>
      <c r="B149" s="9" t="str">
        <f>VLOOKUP(A149,[1]characters!$A:$C,3,FALSE)</f>
        <v>森羅万象の神母 イザナミ</v>
      </c>
      <c r="C149" s="9" t="str">
        <f>A149&amp;+(COUNTIF(A$2:A149,A149)-1)</f>
        <v>2370</v>
      </c>
      <c r="D149" s="3" t="s">
        <v>27</v>
      </c>
      <c r="E149" s="24" t="s">
        <v>674</v>
      </c>
      <c r="F149" s="25" t="s">
        <v>142</v>
      </c>
    </row>
    <row r="150" spans="1:6" x14ac:dyDescent="0.15">
      <c r="A150" s="11">
        <v>238</v>
      </c>
      <c r="B150" s="9" t="str">
        <f>VLOOKUP(A150,[1]characters!$A:$C,3,FALSE)</f>
        <v>ウリエル</v>
      </c>
      <c r="C150" s="9" t="str">
        <f>A150&amp;+(COUNTIF(A$2:A150,A150)-1)</f>
        <v>2380</v>
      </c>
      <c r="D150" s="3" t="s">
        <v>27</v>
      </c>
      <c r="E150" s="12" t="s">
        <v>30</v>
      </c>
      <c r="F150" s="22" t="s">
        <v>143</v>
      </c>
    </row>
    <row r="151" spans="1:6" x14ac:dyDescent="0.15">
      <c r="A151" s="11">
        <v>239</v>
      </c>
      <c r="B151" s="9" t="str">
        <f>VLOOKUP(A151,[1]characters!$A:$C,3,FALSE)</f>
        <v>豪炎の天使 ウリエル</v>
      </c>
      <c r="C151" s="9" t="str">
        <f>A151&amp;+(COUNTIF(A$2:A151,A151)-1)</f>
        <v>2390</v>
      </c>
      <c r="D151" s="3" t="s">
        <v>27</v>
      </c>
      <c r="E151" s="12" t="s">
        <v>31</v>
      </c>
      <c r="F151" s="22" t="s">
        <v>144</v>
      </c>
    </row>
    <row r="152" spans="1:6" x14ac:dyDescent="0.15">
      <c r="A152" s="11">
        <v>240</v>
      </c>
      <c r="B152" s="9" t="str">
        <f>VLOOKUP(A152,[1]characters!$A:$C,3,FALSE)</f>
        <v>轟炎の天使 ウリエル・スレイヤー</v>
      </c>
      <c r="C152" s="9" t="str">
        <f>A152&amp;+(COUNTIF(A$2:A152,A152)-1)</f>
        <v>2400</v>
      </c>
      <c r="D152" s="3" t="s">
        <v>27</v>
      </c>
      <c r="E152" s="12" t="s">
        <v>31</v>
      </c>
      <c r="F152" s="22" t="s">
        <v>145</v>
      </c>
    </row>
    <row r="153" spans="1:6" x14ac:dyDescent="0.15">
      <c r="A153" s="11">
        <v>241</v>
      </c>
      <c r="B153" s="9" t="str">
        <f>VLOOKUP(A153,[1]characters!$A:$C,3,FALSE)</f>
        <v>ガブリエル</v>
      </c>
      <c r="C153" s="9" t="str">
        <f>A153&amp;+(COUNTIF(A$2:A153,A153)-1)</f>
        <v>2410</v>
      </c>
      <c r="D153" s="3" t="s">
        <v>27</v>
      </c>
      <c r="E153" s="12" t="s">
        <v>675</v>
      </c>
      <c r="F153" s="13" t="s">
        <v>146</v>
      </c>
    </row>
    <row r="154" spans="1:6" x14ac:dyDescent="0.15">
      <c r="A154" s="11">
        <v>242</v>
      </c>
      <c r="B154" s="9" t="str">
        <f>VLOOKUP(A154,[1]characters!$A:$C,3,FALSE)</f>
        <v>百花の天使 ガブリエル</v>
      </c>
      <c r="C154" s="9" t="str">
        <f>A154&amp;+(COUNTIF(A$2:A154,A154)-1)</f>
        <v>2420</v>
      </c>
      <c r="D154" s="3" t="s">
        <v>27</v>
      </c>
      <c r="E154" s="12" t="s">
        <v>30</v>
      </c>
      <c r="F154" s="13" t="s">
        <v>147</v>
      </c>
    </row>
    <row r="155" spans="1:6" x14ac:dyDescent="0.15">
      <c r="A155" s="11">
        <v>243</v>
      </c>
      <c r="B155" s="9" t="str">
        <f>VLOOKUP(A155,[1]characters!$A:$C,3,FALSE)</f>
        <v>万花の天使 ガブリエル・ブルーム</v>
      </c>
      <c r="C155" s="9" t="str">
        <f>A155&amp;+(COUNTIF(A$2:A155,A155)-1)</f>
        <v>2430</v>
      </c>
      <c r="D155" s="3" t="s">
        <v>27</v>
      </c>
      <c r="E155" s="12" t="s">
        <v>30</v>
      </c>
      <c r="F155" s="13" t="s">
        <v>148</v>
      </c>
    </row>
    <row r="156" spans="1:6" x14ac:dyDescent="0.15">
      <c r="A156" s="11">
        <v>244</v>
      </c>
      <c r="B156" s="9" t="str">
        <f>VLOOKUP(A156,[1]characters!$A:$C,3,FALSE)</f>
        <v>ラファエル</v>
      </c>
      <c r="C156" s="9" t="str">
        <f>A156&amp;+(COUNTIF(A$2:A156,A156)-1)</f>
        <v>2440</v>
      </c>
      <c r="D156" s="3" t="s">
        <v>27</v>
      </c>
      <c r="E156" s="12" t="s">
        <v>32</v>
      </c>
      <c r="F156" s="13" t="s">
        <v>149</v>
      </c>
    </row>
    <row r="157" spans="1:6" x14ac:dyDescent="0.15">
      <c r="A157" s="11">
        <v>245</v>
      </c>
      <c r="B157" s="9" t="str">
        <f>VLOOKUP(A157,[1]characters!$A:$C,3,FALSE)</f>
        <v>鎮癒の天使 ラファエル</v>
      </c>
      <c r="C157" s="9" t="str">
        <f>A157&amp;+(COUNTIF(A$2:A157,A157)-1)</f>
        <v>2450</v>
      </c>
      <c r="D157" s="3" t="s">
        <v>27</v>
      </c>
      <c r="E157" s="12" t="s">
        <v>676</v>
      </c>
      <c r="F157" s="22" t="s">
        <v>150</v>
      </c>
    </row>
    <row r="158" spans="1:6" x14ac:dyDescent="0.15">
      <c r="A158" s="11">
        <v>246</v>
      </c>
      <c r="B158" s="9" t="str">
        <f>VLOOKUP(A158,[1]characters!$A:$C,3,FALSE)</f>
        <v>真癒の天使 ラファエル・メディカ</v>
      </c>
      <c r="C158" s="9" t="str">
        <f>A158&amp;+(COUNTIF(A$2:A158,A158)-1)</f>
        <v>2460</v>
      </c>
      <c r="D158" s="3" t="s">
        <v>27</v>
      </c>
      <c r="E158" s="12" t="s">
        <v>30</v>
      </c>
      <c r="F158" s="22" t="s">
        <v>151</v>
      </c>
    </row>
    <row r="159" spans="1:6" x14ac:dyDescent="0.15">
      <c r="A159" s="11">
        <v>247</v>
      </c>
      <c r="B159" s="9" t="str">
        <f>VLOOKUP(A159,[1]characters!$A:$C,3,FALSE)</f>
        <v>ミカエル</v>
      </c>
      <c r="C159" s="9" t="str">
        <f>A159&amp;+(COUNTIF(A$2:A159,A159)-1)</f>
        <v>2470</v>
      </c>
      <c r="D159" s="3" t="s">
        <v>27</v>
      </c>
      <c r="E159" s="12" t="s">
        <v>30</v>
      </c>
      <c r="F159" s="22" t="s">
        <v>152</v>
      </c>
    </row>
    <row r="160" spans="1:6" x14ac:dyDescent="0.15">
      <c r="A160" s="11">
        <v>248</v>
      </c>
      <c r="B160" s="9" t="str">
        <f>VLOOKUP(A160,[1]characters!$A:$C,3,FALSE)</f>
        <v>彩電の天使 ミカエル</v>
      </c>
      <c r="C160" s="9" t="str">
        <f>A160&amp;+(COUNTIF(A$2:A160,A160)-1)</f>
        <v>2480</v>
      </c>
      <c r="D160" s="3" t="s">
        <v>27</v>
      </c>
      <c r="E160" s="12" t="s">
        <v>31</v>
      </c>
      <c r="F160" s="22" t="s">
        <v>153</v>
      </c>
    </row>
    <row r="161" spans="1:6" x14ac:dyDescent="0.15">
      <c r="A161" s="11">
        <v>249</v>
      </c>
      <c r="B161" s="9" t="str">
        <f>VLOOKUP(A161,[1]characters!$A:$C,3,FALSE)</f>
        <v>雷電の天使 ミカエル・ゲイナー</v>
      </c>
      <c r="C161" s="9" t="str">
        <f>A161&amp;+(COUNTIF(A$2:A161,A161)-1)</f>
        <v>2490</v>
      </c>
      <c r="D161" s="3" t="s">
        <v>27</v>
      </c>
      <c r="E161" s="12" t="s">
        <v>31</v>
      </c>
      <c r="F161" s="22" t="s">
        <v>154</v>
      </c>
    </row>
    <row r="162" spans="1:6" x14ac:dyDescent="0.15">
      <c r="A162" s="11">
        <v>250</v>
      </c>
      <c r="B162" s="9" t="str">
        <f>VLOOKUP(A162,[1]characters!$A:$C,3,FALSE)</f>
        <v>マンモン</v>
      </c>
      <c r="C162" s="9" t="str">
        <f>A162&amp;+(COUNTIF(A$2:A162,A162)-1)</f>
        <v>2500</v>
      </c>
      <c r="D162" s="3" t="s">
        <v>27</v>
      </c>
      <c r="E162" s="12" t="s">
        <v>30</v>
      </c>
      <c r="F162" s="13" t="s">
        <v>155</v>
      </c>
    </row>
    <row r="163" spans="1:6" x14ac:dyDescent="0.15">
      <c r="A163" s="11">
        <v>251</v>
      </c>
      <c r="B163" s="9" t="str">
        <f>VLOOKUP(A163,[1]characters!$A:$C,3,FALSE)</f>
        <v>強欲 マンモン</v>
      </c>
      <c r="C163" s="9" t="str">
        <f>A163&amp;+(COUNTIF(A$2:A163,A163)-1)</f>
        <v>2510</v>
      </c>
      <c r="D163" s="3" t="s">
        <v>27</v>
      </c>
      <c r="E163" s="12" t="s">
        <v>30</v>
      </c>
      <c r="F163" s="13" t="s">
        <v>156</v>
      </c>
    </row>
    <row r="164" spans="1:6" x14ac:dyDescent="0.15">
      <c r="A164" s="11">
        <v>252</v>
      </c>
      <c r="B164" s="9" t="str">
        <f>VLOOKUP(A164,[1]characters!$A:$C,3,FALSE)</f>
        <v>強欲の沸騰 マンモン</v>
      </c>
      <c r="C164" s="9" t="str">
        <f>A164&amp;+(COUNTIF(A$2:A164,A164)-1)</f>
        <v>2520</v>
      </c>
      <c r="D164" s="3" t="s">
        <v>27</v>
      </c>
      <c r="E164" s="12" t="s">
        <v>677</v>
      </c>
      <c r="F164" s="13" t="s">
        <v>157</v>
      </c>
    </row>
    <row r="165" spans="1:6" x14ac:dyDescent="0.15">
      <c r="A165" s="11">
        <v>253</v>
      </c>
      <c r="B165" s="9" t="str">
        <f>VLOOKUP(A165,[1]characters!$A:$C,3,FALSE)</f>
        <v>ベルフェゴール</v>
      </c>
      <c r="C165" s="9" t="str">
        <f>A165&amp;+(COUNTIF(A$2:A165,A165)-1)</f>
        <v>2530</v>
      </c>
      <c r="D165" s="3" t="s">
        <v>27</v>
      </c>
      <c r="E165" s="12" t="s">
        <v>30</v>
      </c>
      <c r="F165" s="13" t="s">
        <v>158</v>
      </c>
    </row>
    <row r="166" spans="1:6" x14ac:dyDescent="0.15">
      <c r="A166" s="11">
        <v>254</v>
      </c>
      <c r="B166" s="9" t="str">
        <f>VLOOKUP(A166,[1]characters!$A:$C,3,FALSE)</f>
        <v>怠惰 ベルフェゴール</v>
      </c>
      <c r="C166" s="9" t="str">
        <f>A166&amp;+(COUNTIF(A$2:A166,A166)-1)</f>
        <v>2540</v>
      </c>
      <c r="D166" s="3" t="s">
        <v>27</v>
      </c>
      <c r="E166" s="12" t="s">
        <v>30</v>
      </c>
      <c r="F166" s="13" t="s">
        <v>159</v>
      </c>
    </row>
    <row r="167" spans="1:6" x14ac:dyDescent="0.15">
      <c r="A167" s="11">
        <v>255</v>
      </c>
      <c r="B167" s="9" t="str">
        <f>VLOOKUP(A167,[1]characters!$A:$C,3,FALSE)</f>
        <v>怠惰の頂点 ベルフェゴール</v>
      </c>
      <c r="C167" s="9" t="str">
        <f>A167&amp;+(COUNTIF(A$2:A167,A167)-1)</f>
        <v>2550</v>
      </c>
      <c r="D167" s="3" t="s">
        <v>27</v>
      </c>
      <c r="E167" s="12" t="s">
        <v>30</v>
      </c>
      <c r="F167" s="13" t="s">
        <v>160</v>
      </c>
    </row>
    <row r="168" spans="1:6" x14ac:dyDescent="0.15">
      <c r="A168" s="11">
        <v>256</v>
      </c>
      <c r="B168" s="9" t="str">
        <f>VLOOKUP(A168,[1]characters!$A:$C,3,FALSE)</f>
        <v>アスモデウス</v>
      </c>
      <c r="C168" s="9" t="str">
        <f>A168&amp;+(COUNTIF(A$2:A168,A168)-1)</f>
        <v>2560</v>
      </c>
      <c r="D168" s="3" t="s">
        <v>27</v>
      </c>
      <c r="E168" s="12" t="s">
        <v>32</v>
      </c>
      <c r="F168" s="22" t="s">
        <v>161</v>
      </c>
    </row>
    <row r="169" spans="1:6" x14ac:dyDescent="0.15">
      <c r="A169" s="11">
        <v>257</v>
      </c>
      <c r="B169" s="9" t="str">
        <f>VLOOKUP(A169,[1]characters!$A:$C,3,FALSE)</f>
        <v>色欲 アスモデウス</v>
      </c>
      <c r="C169" s="9" t="str">
        <f>A169&amp;+(COUNTIF(A$2:A169,A169)-1)</f>
        <v>2570</v>
      </c>
      <c r="D169" s="3" t="s">
        <v>27</v>
      </c>
      <c r="E169" s="12" t="s">
        <v>30</v>
      </c>
      <c r="F169" s="22" t="s">
        <v>162</v>
      </c>
    </row>
    <row r="170" spans="1:6" x14ac:dyDescent="0.15">
      <c r="A170" s="11">
        <v>258</v>
      </c>
      <c r="B170" s="9" t="str">
        <f>VLOOKUP(A170,[1]characters!$A:$C,3,FALSE)</f>
        <v>色欲の源流 アスモデウス</v>
      </c>
      <c r="C170" s="9" t="str">
        <f>A170&amp;+(COUNTIF(A$2:A170,A170)-1)</f>
        <v>2580</v>
      </c>
      <c r="D170" s="3" t="s">
        <v>27</v>
      </c>
      <c r="E170" s="12" t="s">
        <v>651</v>
      </c>
      <c r="F170" s="13" t="s">
        <v>163</v>
      </c>
    </row>
    <row r="171" spans="1:6" x14ac:dyDescent="0.15">
      <c r="A171" s="11">
        <v>259</v>
      </c>
      <c r="B171" s="9" t="str">
        <f>VLOOKUP(A171,[1]characters!$A:$C,3,FALSE)</f>
        <v>ウロボロス</v>
      </c>
      <c r="C171" s="9" t="str">
        <f>A171&amp;+(COUNTIF(A$2:A171,A171)-1)</f>
        <v>2590</v>
      </c>
      <c r="D171" s="3" t="s">
        <v>27</v>
      </c>
      <c r="E171" s="12" t="s">
        <v>31</v>
      </c>
      <c r="F171" s="22" t="s">
        <v>164</v>
      </c>
    </row>
    <row r="172" spans="1:6" x14ac:dyDescent="0.15">
      <c r="A172" s="11">
        <v>260</v>
      </c>
      <c r="B172" s="9" t="str">
        <f>VLOOKUP(A172,[1]characters!$A:$C,3,FALSE)</f>
        <v>輪廻 ウロボロス</v>
      </c>
      <c r="C172" s="9" t="str">
        <f>A172&amp;+(COUNTIF(A$2:A172,A172)-1)</f>
        <v>2600</v>
      </c>
      <c r="D172" s="3" t="s">
        <v>27</v>
      </c>
      <c r="E172" s="12" t="s">
        <v>678</v>
      </c>
      <c r="F172" s="22" t="s">
        <v>165</v>
      </c>
    </row>
    <row r="173" spans="1:6" x14ac:dyDescent="0.15">
      <c r="A173" s="11">
        <v>261</v>
      </c>
      <c r="B173" s="9" t="str">
        <f>VLOOKUP(A173,[1]characters!$A:$C,3,FALSE)</f>
        <v>輪廻の蛇龍 ウロボロス</v>
      </c>
      <c r="C173" s="9" t="str">
        <f>A173&amp;+(COUNTIF(A$2:A173,A173)-1)</f>
        <v>2610</v>
      </c>
      <c r="D173" s="3" t="s">
        <v>27</v>
      </c>
      <c r="E173" s="12" t="s">
        <v>30</v>
      </c>
      <c r="F173" s="22" t="s">
        <v>166</v>
      </c>
    </row>
    <row r="174" spans="1:6" x14ac:dyDescent="0.15">
      <c r="A174" s="11">
        <v>262</v>
      </c>
      <c r="B174" s="9" t="str">
        <f>VLOOKUP(A174,[1]characters!$A:$C,3,FALSE)</f>
        <v>アシュリー</v>
      </c>
      <c r="C174" s="9" t="str">
        <f>A174&amp;+(COUNTIF(A$2:A174,A174)-1)</f>
        <v>2620</v>
      </c>
      <c r="D174" s="3" t="s">
        <v>27</v>
      </c>
      <c r="E174" s="12" t="s">
        <v>679</v>
      </c>
      <c r="F174" s="22" t="s">
        <v>167</v>
      </c>
    </row>
    <row r="175" spans="1:6" x14ac:dyDescent="0.15">
      <c r="A175" s="11">
        <v>263</v>
      </c>
      <c r="B175" s="9" t="str">
        <f>VLOOKUP(A175,[1]characters!$A:$C,3,FALSE)</f>
        <v>鉤爪姫 アシュリー</v>
      </c>
      <c r="C175" s="9" t="str">
        <f>A175&amp;+(COUNTIF(A$2:A175,A175)-1)</f>
        <v>2630</v>
      </c>
      <c r="D175" s="3" t="s">
        <v>27</v>
      </c>
      <c r="E175" s="12" t="s">
        <v>31</v>
      </c>
      <c r="F175" s="22" t="s">
        <v>952</v>
      </c>
    </row>
    <row r="176" spans="1:6" x14ac:dyDescent="0.15">
      <c r="A176" s="11">
        <v>264</v>
      </c>
      <c r="B176" s="9" t="str">
        <f>VLOOKUP(A176,[1]characters!$A:$C,3,FALSE)</f>
        <v>ユニコーン</v>
      </c>
      <c r="C176" s="9" t="str">
        <f>A176&amp;+(COUNTIF(A$2:A176,A176)-1)</f>
        <v>2640</v>
      </c>
      <c r="D176" s="3" t="s">
        <v>27</v>
      </c>
      <c r="E176" s="12" t="s">
        <v>680</v>
      </c>
      <c r="F176" s="22" t="s">
        <v>168</v>
      </c>
    </row>
    <row r="177" spans="1:6" x14ac:dyDescent="0.15">
      <c r="A177" s="11">
        <v>265</v>
      </c>
      <c r="B177" s="9" t="str">
        <f>VLOOKUP(A177,[1]characters!$A:$C,3,FALSE)</f>
        <v>翠角馬 ユニコーン</v>
      </c>
      <c r="C177" s="9" t="str">
        <f>A177&amp;+(COUNTIF(A$2:A177,A177)-1)</f>
        <v>2650</v>
      </c>
      <c r="D177" s="3" t="s">
        <v>27</v>
      </c>
      <c r="E177" s="12" t="s">
        <v>681</v>
      </c>
      <c r="F177" s="22" t="s">
        <v>169</v>
      </c>
    </row>
    <row r="178" spans="1:6" x14ac:dyDescent="0.15">
      <c r="A178" s="11">
        <v>266</v>
      </c>
      <c r="B178" s="9" t="str">
        <f>VLOOKUP(A178,[1]characters!$A:$C,3,FALSE)</f>
        <v>リリアンブルー</v>
      </c>
      <c r="C178" s="9" t="str">
        <f>A178&amp;+(COUNTIF(A$2:A178,A178)-1)</f>
        <v>2660</v>
      </c>
      <c r="D178" s="3" t="s">
        <v>27</v>
      </c>
      <c r="E178" s="12" t="s">
        <v>30</v>
      </c>
      <c r="F178" s="13" t="s">
        <v>170</v>
      </c>
    </row>
    <row r="179" spans="1:6" x14ac:dyDescent="0.15">
      <c r="A179" s="11">
        <v>267</v>
      </c>
      <c r="B179" s="9" t="str">
        <f>VLOOKUP(A179,[1]characters!$A:$C,3,FALSE)</f>
        <v>奇術猫 リリアンブルー</v>
      </c>
      <c r="C179" s="9" t="str">
        <f>A179&amp;+(COUNTIF(A$2:A179,A179)-1)</f>
        <v>2670</v>
      </c>
      <c r="D179" s="3" t="s">
        <v>27</v>
      </c>
      <c r="E179" s="12" t="s">
        <v>682</v>
      </c>
      <c r="F179" s="13" t="s">
        <v>171</v>
      </c>
    </row>
    <row r="180" spans="1:6" x14ac:dyDescent="0.15">
      <c r="A180" s="11">
        <v>268</v>
      </c>
      <c r="B180" s="9" t="str">
        <f>VLOOKUP(A180,[1]characters!$A:$C,3,FALSE)</f>
        <v>鵺</v>
      </c>
      <c r="C180" s="9" t="str">
        <f>A180&amp;+(COUNTIF(A$2:A180,A180)-1)</f>
        <v>2680</v>
      </c>
      <c r="D180" s="3" t="s">
        <v>27</v>
      </c>
      <c r="E180" s="12" t="s">
        <v>650</v>
      </c>
      <c r="F180" s="13" t="s">
        <v>172</v>
      </c>
    </row>
    <row r="181" spans="1:6" x14ac:dyDescent="0.15">
      <c r="A181" s="11">
        <v>269</v>
      </c>
      <c r="B181" s="9" t="str">
        <f>VLOOKUP(A181,[1]characters!$A:$C,3,FALSE)</f>
        <v>合雷獣 鵺</v>
      </c>
      <c r="C181" s="9" t="str">
        <f>A181&amp;+(COUNTIF(A$2:A181,A181)-1)</f>
        <v>2690</v>
      </c>
      <c r="D181" s="3" t="s">
        <v>27</v>
      </c>
      <c r="E181" s="12" t="s">
        <v>31</v>
      </c>
      <c r="F181" s="13" t="s">
        <v>173</v>
      </c>
    </row>
    <row r="182" spans="1:6" x14ac:dyDescent="0.15">
      <c r="A182" s="11">
        <v>270</v>
      </c>
      <c r="B182" s="9" t="str">
        <f>VLOOKUP(A182,[1]characters!$A:$C,3,FALSE)</f>
        <v>風爪のミリー</v>
      </c>
      <c r="C182" s="9" t="str">
        <f>A182&amp;+(COUNTIF(A$2:A182,A182)-1)</f>
        <v>2700</v>
      </c>
      <c r="D182" s="3" t="s">
        <v>27</v>
      </c>
      <c r="E182" s="12" t="s">
        <v>31</v>
      </c>
      <c r="F182" s="22" t="s">
        <v>174</v>
      </c>
    </row>
    <row r="183" spans="1:6" x14ac:dyDescent="0.15">
      <c r="A183" s="11">
        <v>271</v>
      </c>
      <c r="B183" s="9" t="str">
        <f>VLOOKUP(A183,[1]characters!$A:$C,3,FALSE)</f>
        <v>疾風五花 ミリー</v>
      </c>
      <c r="C183" s="9" t="str">
        <f>A183&amp;+(COUNTIF(A$2:A183,A183)-1)</f>
        <v>2710</v>
      </c>
      <c r="D183" s="3" t="s">
        <v>27</v>
      </c>
      <c r="E183" s="12" t="s">
        <v>31</v>
      </c>
      <c r="F183" s="13" t="s">
        <v>178</v>
      </c>
    </row>
    <row r="184" spans="1:6" x14ac:dyDescent="0.15">
      <c r="A184" s="11">
        <v>272</v>
      </c>
      <c r="B184" s="9" t="str">
        <f>VLOOKUP(A184,[1]characters!$A:$C,3,FALSE)</f>
        <v>魔札のシルベール</v>
      </c>
      <c r="C184" s="9" t="str">
        <f>A184&amp;+(COUNTIF(A$2:A184,A184)-1)</f>
        <v>2720</v>
      </c>
      <c r="D184" s="3" t="s">
        <v>27</v>
      </c>
      <c r="E184" s="12" t="s">
        <v>30</v>
      </c>
      <c r="F184" s="13" t="s">
        <v>179</v>
      </c>
    </row>
    <row r="185" spans="1:6" x14ac:dyDescent="0.15">
      <c r="A185" s="11">
        <v>273</v>
      </c>
      <c r="B185" s="9" t="str">
        <f>VLOOKUP(A185,[1]characters!$A:$C,3,FALSE)</f>
        <v>円環魔道 シルベール</v>
      </c>
      <c r="C185" s="9" t="str">
        <f>A185&amp;+(COUNTIF(A$2:A185,A185)-1)</f>
        <v>2730</v>
      </c>
      <c r="D185" s="3" t="s">
        <v>27</v>
      </c>
      <c r="E185" s="12" t="s">
        <v>30</v>
      </c>
      <c r="F185" s="13" t="s">
        <v>180</v>
      </c>
    </row>
    <row r="186" spans="1:6" x14ac:dyDescent="0.15">
      <c r="A186" s="11">
        <v>274</v>
      </c>
      <c r="B186" s="9" t="str">
        <f>VLOOKUP(A186,[1]characters!$A:$C,3,FALSE)</f>
        <v>砕棒のガエル</v>
      </c>
      <c r="C186" s="9" t="str">
        <f>A186&amp;+(COUNTIF(A$2:A186,A186)-1)</f>
        <v>2740</v>
      </c>
      <c r="D186" s="3" t="s">
        <v>27</v>
      </c>
      <c r="E186" s="12" t="s">
        <v>31</v>
      </c>
      <c r="F186" s="13" t="s">
        <v>181</v>
      </c>
    </row>
    <row r="187" spans="1:6" x14ac:dyDescent="0.15">
      <c r="A187" s="11">
        <v>275</v>
      </c>
      <c r="B187" s="9" t="str">
        <f>VLOOKUP(A187,[1]characters!$A:$C,3,FALSE)</f>
        <v>轟雷砕棒 ガエル</v>
      </c>
      <c r="C187" s="9" t="str">
        <f>A187&amp;+(COUNTIF(A$2:A187,A187)-1)</f>
        <v>2750</v>
      </c>
      <c r="D187" s="3" t="s">
        <v>27</v>
      </c>
      <c r="E187" s="12" t="s">
        <v>31</v>
      </c>
      <c r="F187" s="13" t="s">
        <v>182</v>
      </c>
    </row>
    <row r="188" spans="1:6" x14ac:dyDescent="0.15">
      <c r="A188" s="11">
        <v>276</v>
      </c>
      <c r="B188" s="9" t="str">
        <f>VLOOKUP(A188,[1]characters!$A:$C,3,FALSE)</f>
        <v>機拳のイリア</v>
      </c>
      <c r="C188" s="9" t="str">
        <f>A188&amp;+(COUNTIF(A$2:A188,A188)-1)</f>
        <v>2760</v>
      </c>
      <c r="D188" s="3" t="s">
        <v>27</v>
      </c>
      <c r="E188" s="12" t="s">
        <v>683</v>
      </c>
      <c r="F188" s="26" t="s">
        <v>183</v>
      </c>
    </row>
    <row r="189" spans="1:6" x14ac:dyDescent="0.15">
      <c r="A189" s="11">
        <v>277</v>
      </c>
      <c r="B189" s="9" t="str">
        <f>VLOOKUP(A189,[1]characters!$A:$C,3,FALSE)</f>
        <v>機拳恐慌 イリア</v>
      </c>
      <c r="C189" s="9" t="str">
        <f>A189&amp;+(COUNTIF(A$2:A189,A189)-1)</f>
        <v>2770</v>
      </c>
      <c r="D189" s="3" t="s">
        <v>27</v>
      </c>
      <c r="E189" s="12" t="s">
        <v>656</v>
      </c>
      <c r="F189" s="26" t="s">
        <v>184</v>
      </c>
    </row>
    <row r="190" spans="1:6" x14ac:dyDescent="0.15">
      <c r="A190" s="11">
        <v>278</v>
      </c>
      <c r="B190" s="9" t="str">
        <f>VLOOKUP(A190,[1]characters!$A:$C,3,FALSE)</f>
        <v>アマテラス</v>
      </c>
      <c r="C190" s="9" t="str">
        <f>A190&amp;+(COUNTIF(A$2:A190,A190)-1)</f>
        <v>2780</v>
      </c>
      <c r="D190" s="3" t="s">
        <v>27</v>
      </c>
      <c r="E190" s="12" t="s">
        <v>32</v>
      </c>
      <c r="F190" s="13" t="s">
        <v>1057</v>
      </c>
    </row>
    <row r="191" spans="1:6" x14ac:dyDescent="0.15">
      <c r="A191" s="11">
        <v>279</v>
      </c>
      <c r="B191" s="9" t="str">
        <f>VLOOKUP(A191,[1]characters!$A:$C,3,FALSE)</f>
        <v>統空大神 アマテラス</v>
      </c>
      <c r="C191" s="9" t="str">
        <f>A191&amp;+(COUNTIF(A$2:A191,A191)-1)</f>
        <v>2790</v>
      </c>
      <c r="D191" s="3" t="s">
        <v>27</v>
      </c>
      <c r="E191" s="27" t="s">
        <v>684</v>
      </c>
      <c r="F191" s="28" t="s">
        <v>185</v>
      </c>
    </row>
    <row r="192" spans="1:6" x14ac:dyDescent="0.15">
      <c r="A192" s="11">
        <v>280</v>
      </c>
      <c r="B192" s="9" t="str">
        <f>VLOOKUP(A192,[1]characters!$A:$C,3,FALSE)</f>
        <v>リンドブルム</v>
      </c>
      <c r="C192" s="9" t="str">
        <f>A192&amp;+(COUNTIF(A$2:A192,A192)-1)</f>
        <v>2800</v>
      </c>
      <c r="D192" s="3" t="s">
        <v>27</v>
      </c>
      <c r="E192" s="12" t="s">
        <v>658</v>
      </c>
      <c r="F192" s="13" t="s">
        <v>186</v>
      </c>
    </row>
    <row r="193" spans="1:6" x14ac:dyDescent="0.15">
      <c r="A193" s="11">
        <v>281</v>
      </c>
      <c r="B193" s="9" t="str">
        <f>VLOOKUP(A193,[1]characters!$A:$C,3,FALSE)</f>
        <v>リンドブルム・コンデンス</v>
      </c>
      <c r="C193" s="9" t="str">
        <f>A193&amp;+(COUNTIF(A$2:A193,A193)-1)</f>
        <v>2810</v>
      </c>
      <c r="D193" s="3" t="s">
        <v>27</v>
      </c>
      <c r="E193" s="12" t="s">
        <v>30</v>
      </c>
      <c r="F193" s="13" t="s">
        <v>187</v>
      </c>
    </row>
    <row r="194" spans="1:6" x14ac:dyDescent="0.15">
      <c r="A194" s="11">
        <v>282</v>
      </c>
      <c r="B194" s="9" t="str">
        <f>VLOOKUP(A194,[1]characters!$A:$C,3,FALSE)</f>
        <v>ラーフ</v>
      </c>
      <c r="C194" s="9" t="str">
        <f>A194&amp;+(COUNTIF(A$2:A194,A194)-1)</f>
        <v>2820</v>
      </c>
      <c r="D194" s="3" t="s">
        <v>27</v>
      </c>
      <c r="E194" s="12" t="s">
        <v>30</v>
      </c>
      <c r="F194" s="13" t="s">
        <v>685</v>
      </c>
    </row>
    <row r="195" spans="1:6" x14ac:dyDescent="0.15">
      <c r="A195" s="11">
        <v>283</v>
      </c>
      <c r="B195" s="9" t="str">
        <f>VLOOKUP(A195,[1]characters!$A:$C,3,FALSE)</f>
        <v>ラーフ・メテオ</v>
      </c>
      <c r="C195" s="9" t="str">
        <f>A195&amp;+(COUNTIF(A$2:A195,A195)-1)</f>
        <v>2830</v>
      </c>
      <c r="D195" s="3" t="s">
        <v>27</v>
      </c>
      <c r="E195" s="12" t="s">
        <v>30</v>
      </c>
      <c r="F195" s="13" t="s">
        <v>686</v>
      </c>
    </row>
    <row r="196" spans="1:6" x14ac:dyDescent="0.15">
      <c r="A196" s="11">
        <v>284</v>
      </c>
      <c r="B196" s="9" t="str">
        <f>VLOOKUP(A196,[1]characters!$A:$C,3,FALSE)</f>
        <v>フェルニゲシュ</v>
      </c>
      <c r="C196" s="9" t="str">
        <f>A196&amp;+(COUNTIF(A$2:A196,A196)-1)</f>
        <v>2840</v>
      </c>
      <c r="D196" s="3" t="s">
        <v>27</v>
      </c>
      <c r="E196" s="12" t="s">
        <v>31</v>
      </c>
      <c r="F196" s="13" t="s">
        <v>188</v>
      </c>
    </row>
    <row r="197" spans="1:6" x14ac:dyDescent="0.15">
      <c r="A197" s="11">
        <v>285</v>
      </c>
      <c r="B197" s="9" t="str">
        <f>VLOOKUP(A197,[1]characters!$A:$C,3,FALSE)</f>
        <v>フェルニゲシュ・オーバードライヴ</v>
      </c>
      <c r="C197" s="9" t="str">
        <f>A197&amp;+(COUNTIF(A$2:A197,A197)-1)</f>
        <v>2850</v>
      </c>
      <c r="D197" s="3" t="s">
        <v>27</v>
      </c>
      <c r="E197" s="12" t="s">
        <v>31</v>
      </c>
      <c r="F197" s="13" t="s">
        <v>189</v>
      </c>
    </row>
    <row r="198" spans="1:6" x14ac:dyDescent="0.15">
      <c r="A198" s="11">
        <v>286</v>
      </c>
      <c r="B198" s="9" t="str">
        <f>VLOOKUP(A198,[1]characters!$A:$C,3,FALSE)</f>
        <v>ヒュドラ</v>
      </c>
      <c r="C198" s="9" t="str">
        <f>A198&amp;+(COUNTIF(A$2:A198,A198)-1)</f>
        <v>2860</v>
      </c>
      <c r="D198" s="3" t="s">
        <v>27</v>
      </c>
      <c r="E198" s="12" t="s">
        <v>30</v>
      </c>
      <c r="F198" s="13" t="s">
        <v>190</v>
      </c>
    </row>
    <row r="199" spans="1:6" x14ac:dyDescent="0.15">
      <c r="A199" s="11">
        <v>287</v>
      </c>
      <c r="B199" s="9" t="str">
        <f>VLOOKUP(A199,[1]characters!$A:$C,3,FALSE)</f>
        <v>ヒュドラ・フルオープン</v>
      </c>
      <c r="C199" s="9" t="str">
        <f>A199&amp;+(COUNTIF(A$2:A199,A199)-1)</f>
        <v>2870</v>
      </c>
      <c r="D199" s="3" t="s">
        <v>27</v>
      </c>
      <c r="E199" s="12" t="s">
        <v>30</v>
      </c>
      <c r="F199" s="13" t="s">
        <v>687</v>
      </c>
    </row>
    <row r="200" spans="1:6" x14ac:dyDescent="0.15">
      <c r="A200" s="11">
        <v>288</v>
      </c>
      <c r="B200" s="9" t="str">
        <f>VLOOKUP(A200,[1]characters!$A:$C,3,FALSE)</f>
        <v>ミカド</v>
      </c>
      <c r="C200" s="9" t="str">
        <f>A200&amp;+(COUNTIF(A$2:A200,A200)-1)</f>
        <v>2880</v>
      </c>
      <c r="D200" s="3" t="s">
        <v>27</v>
      </c>
      <c r="E200" s="12" t="s">
        <v>688</v>
      </c>
      <c r="F200" s="13" t="s">
        <v>191</v>
      </c>
    </row>
    <row r="201" spans="1:6" x14ac:dyDescent="0.15">
      <c r="A201" s="11">
        <v>289</v>
      </c>
      <c r="B201" s="9" t="str">
        <f>VLOOKUP(A201,[1]characters!$A:$C,3,FALSE)</f>
        <v>高圧なるミカド</v>
      </c>
      <c r="C201" s="9" t="str">
        <f>A201&amp;+(COUNTIF(A$2:A201,A201)-1)</f>
        <v>2890</v>
      </c>
      <c r="D201" s="3" t="s">
        <v>27</v>
      </c>
      <c r="E201" s="12" t="s">
        <v>31</v>
      </c>
      <c r="F201" s="13" t="s">
        <v>1033</v>
      </c>
    </row>
    <row r="202" spans="1:6" x14ac:dyDescent="0.15">
      <c r="A202" s="11">
        <v>290</v>
      </c>
      <c r="B202" s="9" t="str">
        <f>VLOOKUP(A202,[1]characters!$A:$C,3,FALSE)</f>
        <v>ウィッチ・オクトパス</v>
      </c>
      <c r="C202" s="9" t="str">
        <f>A202&amp;+(COUNTIF(A$2:A202,A202)-1)</f>
        <v>2900</v>
      </c>
      <c r="D202" s="3" t="s">
        <v>27</v>
      </c>
      <c r="E202" s="12" t="s">
        <v>32</v>
      </c>
      <c r="F202" s="13" t="s">
        <v>689</v>
      </c>
    </row>
    <row r="203" spans="1:6" x14ac:dyDescent="0.15">
      <c r="A203" s="11">
        <v>291</v>
      </c>
      <c r="B203" s="9" t="str">
        <f>VLOOKUP(A203,[1]characters!$A:$C,3,FALSE)</f>
        <v>魔改造のウィッチ・オクトパス</v>
      </c>
      <c r="C203" s="9" t="str">
        <f>A203&amp;+(COUNTIF(A$2:A203,A203)-1)</f>
        <v>2910</v>
      </c>
      <c r="D203" s="3" t="s">
        <v>27</v>
      </c>
      <c r="E203" s="12" t="s">
        <v>30</v>
      </c>
      <c r="F203" s="13" t="s">
        <v>192</v>
      </c>
    </row>
    <row r="204" spans="1:6" x14ac:dyDescent="0.15">
      <c r="A204" s="11">
        <v>292</v>
      </c>
      <c r="B204" s="9" t="str">
        <f>VLOOKUP(A204,[1]characters!$A:$C,3,FALSE)</f>
        <v>アナスタシア</v>
      </c>
      <c r="C204" s="9" t="str">
        <f>A204&amp;+(COUNTIF(A$2:A204,A204)-1)</f>
        <v>2920</v>
      </c>
      <c r="D204" s="3" t="s">
        <v>27</v>
      </c>
      <c r="E204" s="12" t="s">
        <v>651</v>
      </c>
      <c r="F204" s="22" t="s">
        <v>193</v>
      </c>
    </row>
    <row r="205" spans="1:6" x14ac:dyDescent="0.15">
      <c r="A205" s="11">
        <v>293</v>
      </c>
      <c r="B205" s="9" t="str">
        <f>VLOOKUP(A205,[1]characters!$A:$C,3,FALSE)</f>
        <v>激流拳技を極めし者 アナスタシア</v>
      </c>
      <c r="C205" s="9" t="str">
        <f>A205&amp;+(COUNTIF(A$2:A205,A205)-1)</f>
        <v>2930</v>
      </c>
      <c r="D205" s="3" t="s">
        <v>27</v>
      </c>
      <c r="E205" s="12" t="s">
        <v>31</v>
      </c>
      <c r="F205" s="13" t="s">
        <v>194</v>
      </c>
    </row>
    <row r="206" spans="1:6" x14ac:dyDescent="0.15">
      <c r="A206" s="11">
        <v>294</v>
      </c>
      <c r="B206" s="9" t="str">
        <f>VLOOKUP(A206,[1]characters!$A:$C,3,FALSE)</f>
        <v>ウルフ・ザ・レッドイーター</v>
      </c>
      <c r="C206" s="9" t="str">
        <f>A206&amp;+(COUNTIF(A$2:A206,A206)-1)</f>
        <v>2940</v>
      </c>
      <c r="D206" s="3" t="s">
        <v>27</v>
      </c>
      <c r="E206" s="12" t="s">
        <v>30</v>
      </c>
      <c r="F206" s="13" t="s">
        <v>690</v>
      </c>
    </row>
    <row r="207" spans="1:6" x14ac:dyDescent="0.15">
      <c r="A207" s="11">
        <v>295</v>
      </c>
      <c r="B207" s="9" t="str">
        <f>VLOOKUP(A207,[1]characters!$A:$C,3,FALSE)</f>
        <v>ウルフ・ザ・レッドクラッシャー</v>
      </c>
      <c r="C207" s="9" t="str">
        <f>A207&amp;+(COUNTIF(A$2:A207,A207)-1)</f>
        <v>2950</v>
      </c>
      <c r="D207" s="3" t="s">
        <v>27</v>
      </c>
      <c r="E207" s="12" t="s">
        <v>30</v>
      </c>
      <c r="F207" s="13" t="s">
        <v>195</v>
      </c>
    </row>
    <row r="208" spans="1:6" x14ac:dyDescent="0.15">
      <c r="A208" s="11">
        <v>296</v>
      </c>
      <c r="B208" s="9" t="str">
        <f>VLOOKUP(A208,[1]characters!$A:$C,3,FALSE)</f>
        <v>アザゼル</v>
      </c>
      <c r="C208" s="9" t="str">
        <f>A208&amp;+(COUNTIF(A$2:A208,A208)-1)</f>
        <v>2960</v>
      </c>
      <c r="D208" s="3" t="s">
        <v>27</v>
      </c>
      <c r="E208" s="12" t="s">
        <v>31</v>
      </c>
      <c r="F208" s="13" t="s">
        <v>196</v>
      </c>
    </row>
    <row r="209" spans="1:6" x14ac:dyDescent="0.15">
      <c r="A209" s="11">
        <v>297</v>
      </c>
      <c r="B209" s="9" t="str">
        <f>VLOOKUP(A209,[1]characters!$A:$C,3,FALSE)</f>
        <v>狂靭なる双撃 アザゼル</v>
      </c>
      <c r="C209" s="9" t="str">
        <f>A209&amp;+(COUNTIF(A$2:A209,A209)-1)</f>
        <v>2970</v>
      </c>
      <c r="D209" s="3" t="s">
        <v>27</v>
      </c>
      <c r="E209" s="12" t="s">
        <v>31</v>
      </c>
      <c r="F209" s="22" t="s">
        <v>691</v>
      </c>
    </row>
    <row r="210" spans="1:6" x14ac:dyDescent="0.15">
      <c r="A210" s="11">
        <v>298</v>
      </c>
      <c r="B210" s="9" t="str">
        <f>VLOOKUP(A210,[1]characters!$A:$C,3,FALSE)</f>
        <v>炎殺のミサコ</v>
      </c>
      <c r="C210" s="9" t="str">
        <f>A210&amp;+(COUNTIF(A$2:A210,A210)-1)</f>
        <v>2980</v>
      </c>
      <c r="D210" s="3" t="s">
        <v>27</v>
      </c>
      <c r="E210" s="12" t="s">
        <v>31</v>
      </c>
      <c r="F210" s="13" t="s">
        <v>692</v>
      </c>
    </row>
    <row r="211" spans="1:6" x14ac:dyDescent="0.15">
      <c r="A211" s="11">
        <v>299</v>
      </c>
      <c r="B211" s="9" t="str">
        <f>VLOOKUP(A211,[1]characters!$A:$C,3,FALSE)</f>
        <v>狂気の炎風 ミサコ</v>
      </c>
      <c r="C211" s="9" t="str">
        <f>A211&amp;+(COUNTIF(A$2:A211,A211)-1)</f>
        <v>2990</v>
      </c>
      <c r="D211" s="3" t="s">
        <v>27</v>
      </c>
      <c r="E211" s="12" t="s">
        <v>31</v>
      </c>
      <c r="F211" s="13" t="s">
        <v>693</v>
      </c>
    </row>
    <row r="212" spans="1:6" x14ac:dyDescent="0.15">
      <c r="A212" s="11">
        <v>300</v>
      </c>
      <c r="B212" s="9" t="str">
        <f>VLOOKUP(A212,[1]characters!$A:$C,3,FALSE)</f>
        <v>毒殺のチカ</v>
      </c>
      <c r="C212" s="9" t="str">
        <f>A212&amp;+(COUNTIF(A$2:A212,A212)-1)</f>
        <v>3000</v>
      </c>
      <c r="D212" s="3" t="s">
        <v>27</v>
      </c>
      <c r="E212" s="12" t="s">
        <v>32</v>
      </c>
      <c r="F212" s="13" t="s">
        <v>694</v>
      </c>
    </row>
    <row r="213" spans="1:6" x14ac:dyDescent="0.15">
      <c r="A213" s="11">
        <v>301</v>
      </c>
      <c r="B213" s="9" t="str">
        <f>VLOOKUP(A213,[1]characters!$A:$C,3,FALSE)</f>
        <v>宿痾の葬送 チカ</v>
      </c>
      <c r="C213" s="9" t="str">
        <f>A213&amp;+(COUNTIF(A$2:A213,A213)-1)</f>
        <v>3010</v>
      </c>
      <c r="D213" s="3" t="s">
        <v>27</v>
      </c>
      <c r="E213" s="12" t="s">
        <v>30</v>
      </c>
      <c r="F213" s="13" t="s">
        <v>695</v>
      </c>
    </row>
    <row r="214" spans="1:6" x14ac:dyDescent="0.15">
      <c r="A214" s="11">
        <v>302</v>
      </c>
      <c r="B214" s="9" t="str">
        <f>VLOOKUP(A214,[1]characters!$A:$C,3,FALSE)</f>
        <v>絞殺のリサ</v>
      </c>
      <c r="C214" s="9" t="str">
        <f>A214&amp;+(COUNTIF(A$2:A214,A214)-1)</f>
        <v>3020</v>
      </c>
      <c r="D214" s="3" t="s">
        <v>27</v>
      </c>
      <c r="E214" s="12" t="s">
        <v>31</v>
      </c>
      <c r="F214" s="22" t="s">
        <v>696</v>
      </c>
    </row>
    <row r="215" spans="1:6" x14ac:dyDescent="0.15">
      <c r="A215" s="11">
        <v>303</v>
      </c>
      <c r="B215" s="9" t="str">
        <f>VLOOKUP(A215,[1]characters!$A:$C,3,FALSE)</f>
        <v>哄笑の禁縛 リサ</v>
      </c>
      <c r="C215" s="9" t="str">
        <f>A215&amp;+(COUNTIF(A$2:A215,A215)-1)</f>
        <v>3030</v>
      </c>
      <c r="D215" s="3" t="s">
        <v>27</v>
      </c>
      <c r="E215" s="12" t="s">
        <v>651</v>
      </c>
      <c r="F215" s="22" t="s">
        <v>697</v>
      </c>
    </row>
    <row r="216" spans="1:6" x14ac:dyDescent="0.15">
      <c r="A216" s="11">
        <v>304</v>
      </c>
      <c r="B216" s="9" t="str">
        <f>VLOOKUP(A216,[1]characters!$A:$C,3,FALSE)</f>
        <v>電殺のチエミ</v>
      </c>
      <c r="C216" s="9" t="str">
        <f>A216&amp;+(COUNTIF(A$2:A216,A216)-1)</f>
        <v>3040</v>
      </c>
      <c r="D216" s="3" t="s">
        <v>27</v>
      </c>
      <c r="E216" s="12" t="s">
        <v>30</v>
      </c>
      <c r="F216" s="13" t="s">
        <v>698</v>
      </c>
    </row>
    <row r="217" spans="1:6" x14ac:dyDescent="0.15">
      <c r="A217" s="11">
        <v>305</v>
      </c>
      <c r="B217" s="9" t="str">
        <f>VLOOKUP(A217,[1]characters!$A:$C,3,FALSE)</f>
        <v>螺旋の雷電 チエミ</v>
      </c>
      <c r="C217" s="9" t="str">
        <f>A217&amp;+(COUNTIF(A$2:A217,A217)-1)</f>
        <v>3050</v>
      </c>
      <c r="D217" s="3" t="s">
        <v>27</v>
      </c>
      <c r="E217" s="12" t="s">
        <v>30</v>
      </c>
      <c r="F217" s="13" t="s">
        <v>699</v>
      </c>
    </row>
    <row r="218" spans="1:6" x14ac:dyDescent="0.15">
      <c r="A218" s="11">
        <v>306</v>
      </c>
      <c r="B218" s="9" t="str">
        <f>VLOOKUP(A218,[1]characters!$A:$C,3,FALSE)</f>
        <v>メガロドン</v>
      </c>
      <c r="C218" s="9" t="str">
        <f>A218&amp;+(COUNTIF(A$2:A218,A218)-1)</f>
        <v>3060</v>
      </c>
      <c r="D218" s="3" t="s">
        <v>27</v>
      </c>
      <c r="E218" s="12" t="s">
        <v>30</v>
      </c>
      <c r="F218" s="13" t="s">
        <v>700</v>
      </c>
    </row>
    <row r="219" spans="1:6" x14ac:dyDescent="0.15">
      <c r="A219" s="11">
        <v>307</v>
      </c>
      <c r="B219" s="9" t="str">
        <f>VLOOKUP(A219,[1]characters!$A:$C,3,FALSE)</f>
        <v>古の鋼拳 メガロドン</v>
      </c>
      <c r="C219" s="9" t="str">
        <f>A219&amp;+(COUNTIF(A$2:A219,A219)-1)</f>
        <v>3070</v>
      </c>
      <c r="D219" s="3" t="s">
        <v>27</v>
      </c>
      <c r="E219" s="12" t="s">
        <v>665</v>
      </c>
      <c r="F219" s="13" t="s">
        <v>197</v>
      </c>
    </row>
    <row r="220" spans="1:6" x14ac:dyDescent="0.15">
      <c r="A220" s="11">
        <v>308</v>
      </c>
      <c r="B220" s="9" t="str">
        <f>VLOOKUP(A220,[1]characters!$A:$C,3,FALSE)</f>
        <v>アーケロン</v>
      </c>
      <c r="C220" s="9" t="str">
        <f>A220&amp;+(COUNTIF(A$2:A220,A220)-1)</f>
        <v>3080</v>
      </c>
      <c r="D220" s="3" t="s">
        <v>27</v>
      </c>
      <c r="E220" s="12" t="s">
        <v>701</v>
      </c>
      <c r="F220" s="13" t="s">
        <v>198</v>
      </c>
    </row>
    <row r="221" spans="1:6" x14ac:dyDescent="0.15">
      <c r="A221" s="11">
        <v>309</v>
      </c>
      <c r="B221" s="9" t="str">
        <f>VLOOKUP(A221,[1]characters!$A:$C,3,FALSE)</f>
        <v>古の博学 アーケロン</v>
      </c>
      <c r="C221" s="9" t="str">
        <f>A221&amp;+(COUNTIF(A$2:A221,A221)-1)</f>
        <v>3090</v>
      </c>
      <c r="D221" s="3" t="s">
        <v>27</v>
      </c>
      <c r="E221" s="12" t="s">
        <v>30</v>
      </c>
      <c r="F221" s="13" t="s">
        <v>199</v>
      </c>
    </row>
    <row r="222" spans="1:6" x14ac:dyDescent="0.15">
      <c r="A222" s="11">
        <v>310</v>
      </c>
      <c r="B222" s="9" t="str">
        <f>VLOOKUP(A222,[1]characters!$A:$C,3,FALSE)</f>
        <v>リードシクティス</v>
      </c>
      <c r="C222" s="9" t="str">
        <f>A222&amp;+(COUNTIF(A$2:A222,A222)-1)</f>
        <v>3100</v>
      </c>
      <c r="D222" s="3" t="s">
        <v>27</v>
      </c>
      <c r="E222" s="12" t="s">
        <v>650</v>
      </c>
      <c r="F222" s="13" t="s">
        <v>200</v>
      </c>
    </row>
    <row r="223" spans="1:6" x14ac:dyDescent="0.15">
      <c r="A223" s="11">
        <v>311</v>
      </c>
      <c r="B223" s="9" t="str">
        <f>VLOOKUP(A223,[1]characters!$A:$C,3,FALSE)</f>
        <v>古の暴食 リードシクティス</v>
      </c>
      <c r="C223" s="9" t="str">
        <f>A223&amp;+(COUNTIF(A$2:A223,A223)-1)</f>
        <v>3110</v>
      </c>
      <c r="D223" s="3" t="s">
        <v>27</v>
      </c>
      <c r="E223" s="12" t="s">
        <v>658</v>
      </c>
      <c r="F223" s="13" t="s">
        <v>201</v>
      </c>
    </row>
    <row r="224" spans="1:6" x14ac:dyDescent="0.15">
      <c r="A224" s="11">
        <v>312</v>
      </c>
      <c r="B224" s="9" t="str">
        <f>VLOOKUP(A224,[1]characters!$A:$C,3,FALSE)</f>
        <v>アノマロカリス</v>
      </c>
      <c r="C224" s="9" t="str">
        <f>A224&amp;+(COUNTIF(A$2:A224,A224)-1)</f>
        <v>3120</v>
      </c>
      <c r="D224" s="3" t="s">
        <v>27</v>
      </c>
      <c r="E224" s="12" t="s">
        <v>30</v>
      </c>
      <c r="F224" s="13" t="s">
        <v>202</v>
      </c>
    </row>
    <row r="225" spans="1:6" x14ac:dyDescent="0.15">
      <c r="A225" s="11">
        <v>313</v>
      </c>
      <c r="B225" s="9" t="str">
        <f>VLOOKUP(A225,[1]characters!$A:$C,3,FALSE)</f>
        <v>古の先鋭 アノマロカリス</v>
      </c>
      <c r="C225" s="9" t="str">
        <f>A225&amp;+(COUNTIF(A$2:A225,A225)-1)</f>
        <v>3130</v>
      </c>
      <c r="D225" s="3" t="s">
        <v>27</v>
      </c>
      <c r="E225" s="12" t="s">
        <v>30</v>
      </c>
      <c r="F225" s="22" t="s">
        <v>702</v>
      </c>
    </row>
    <row r="226" spans="1:6" x14ac:dyDescent="0.15">
      <c r="A226" s="11">
        <v>314</v>
      </c>
      <c r="B226" s="9" t="str">
        <f>VLOOKUP(A226,[1]characters!$A:$C,3,FALSE)</f>
        <v>ジャンヌ</v>
      </c>
      <c r="C226" s="9" t="str">
        <f>A226&amp;+(COUNTIF(A$2:A226,A226)-1)</f>
        <v>3140</v>
      </c>
      <c r="D226" s="3" t="s">
        <v>27</v>
      </c>
      <c r="E226" s="12" t="s">
        <v>30</v>
      </c>
      <c r="F226" s="13" t="s">
        <v>203</v>
      </c>
    </row>
    <row r="227" spans="1:6" x14ac:dyDescent="0.15">
      <c r="A227" s="11">
        <v>315</v>
      </c>
      <c r="B227" s="9" t="str">
        <f>VLOOKUP(A227,[1]characters!$A:$C,3,FALSE)</f>
        <v>鉄馬駆る聖女 ジャンヌ</v>
      </c>
      <c r="C227" s="9" t="str">
        <f>A227&amp;+(COUNTIF(A$2:A227,A227)-1)</f>
        <v>3150</v>
      </c>
      <c r="D227" s="3" t="s">
        <v>27</v>
      </c>
      <c r="E227" s="12" t="s">
        <v>31</v>
      </c>
      <c r="F227" s="13" t="s">
        <v>204</v>
      </c>
    </row>
    <row r="228" spans="1:6" x14ac:dyDescent="0.15">
      <c r="A228" s="11">
        <v>316</v>
      </c>
      <c r="B228" s="9" t="str">
        <f>VLOOKUP(A228,[1]characters!$A:$C,3,FALSE)</f>
        <v>テスラ</v>
      </c>
      <c r="C228" s="9" t="str">
        <f>A228&amp;+(COUNTIF(A$2:A228,A228)-1)</f>
        <v>3160</v>
      </c>
      <c r="D228" s="3" t="s">
        <v>27</v>
      </c>
      <c r="E228" s="12" t="s">
        <v>30</v>
      </c>
      <c r="F228" s="13" t="s">
        <v>205</v>
      </c>
    </row>
    <row r="229" spans="1:6" x14ac:dyDescent="0.15">
      <c r="A229" s="11">
        <v>317</v>
      </c>
      <c r="B229" s="9" t="str">
        <f>VLOOKUP(A229,[1]characters!$A:$C,3,FALSE)</f>
        <v>異能の電気師 テスラ</v>
      </c>
      <c r="C229" s="9" t="str">
        <f>A229&amp;+(COUNTIF(A$2:A229,A229)-1)</f>
        <v>3170</v>
      </c>
      <c r="D229" s="3" t="s">
        <v>27</v>
      </c>
      <c r="E229" s="12" t="s">
        <v>30</v>
      </c>
      <c r="F229" s="13" t="s">
        <v>206</v>
      </c>
    </row>
    <row r="230" spans="1:6" x14ac:dyDescent="0.15">
      <c r="A230" s="11">
        <v>318</v>
      </c>
      <c r="B230" s="9" t="str">
        <f>VLOOKUP(A230,[1]characters!$A:$C,3,FALSE)</f>
        <v>シャルル</v>
      </c>
      <c r="C230" s="9" t="str">
        <f>A230&amp;+(COUNTIF(A$2:A230,A230)-1)</f>
        <v>3180</v>
      </c>
      <c r="D230" s="3" t="s">
        <v>27</v>
      </c>
      <c r="E230" s="12" t="s">
        <v>30</v>
      </c>
      <c r="F230" s="13" t="s">
        <v>207</v>
      </c>
    </row>
    <row r="231" spans="1:6" x14ac:dyDescent="0.15">
      <c r="A231" s="14">
        <v>319</v>
      </c>
      <c r="B231" s="9" t="str">
        <f>VLOOKUP(A231,[1]characters!$A:$C,3,FALSE)</f>
        <v>夢想の学士 シャルル</v>
      </c>
      <c r="C231" s="9" t="str">
        <f>A231&amp;+(COUNTIF(A$2:A231,A231)-1)</f>
        <v>3190</v>
      </c>
      <c r="D231" s="3" t="s">
        <v>27</v>
      </c>
      <c r="E231" s="12" t="s">
        <v>30</v>
      </c>
      <c r="F231" s="13" t="s">
        <v>208</v>
      </c>
    </row>
    <row r="232" spans="1:6" x14ac:dyDescent="0.15">
      <c r="A232" s="11">
        <v>320</v>
      </c>
      <c r="B232" s="9" t="str">
        <f>VLOOKUP(A232,[1]characters!$A:$C,3,FALSE)</f>
        <v>烈志士 近藤勇</v>
      </c>
      <c r="C232" s="9" t="str">
        <f>A232&amp;+(COUNTIF(A$2:A232,A232)-1)</f>
        <v>3200</v>
      </c>
      <c r="D232" s="3" t="s">
        <v>27</v>
      </c>
      <c r="E232" s="12" t="s">
        <v>32</v>
      </c>
      <c r="F232" s="13" t="s">
        <v>209</v>
      </c>
    </row>
    <row r="233" spans="1:6" x14ac:dyDescent="0.15">
      <c r="A233" s="15">
        <v>321</v>
      </c>
      <c r="B233" s="9" t="str">
        <f>VLOOKUP(A233,[1]characters!$A:$C,3,FALSE)</f>
        <v>巌鉄の烈志士 近藤勇</v>
      </c>
      <c r="C233" s="9" t="str">
        <f>A233&amp;+(COUNTIF(A$2:A233,A233)-1)</f>
        <v>3210</v>
      </c>
      <c r="D233" s="3" t="s">
        <v>27</v>
      </c>
      <c r="E233" s="12" t="s">
        <v>31</v>
      </c>
      <c r="F233" s="13" t="s">
        <v>210</v>
      </c>
    </row>
    <row r="234" spans="1:6" x14ac:dyDescent="0.15">
      <c r="A234" s="11">
        <v>322</v>
      </c>
      <c r="B234" s="9" t="str">
        <f>VLOOKUP(A234,[1]characters!$A:$C,3,FALSE)</f>
        <v>愛志士 土方歳三</v>
      </c>
      <c r="C234" s="9" t="str">
        <f>A234&amp;+(COUNTIF(A$2:A234,A234)-1)</f>
        <v>3220</v>
      </c>
      <c r="D234" s="3" t="s">
        <v>27</v>
      </c>
      <c r="E234" s="12" t="s">
        <v>30</v>
      </c>
      <c r="F234" s="13" t="s">
        <v>211</v>
      </c>
    </row>
    <row r="235" spans="1:6" x14ac:dyDescent="0.15">
      <c r="A235" s="11">
        <v>323</v>
      </c>
      <c r="B235" s="9" t="str">
        <f>VLOOKUP(A235,[1]characters!$A:$C,3,FALSE)</f>
        <v>流麗の愛志士 土方歳三</v>
      </c>
      <c r="C235" s="9" t="str">
        <f>A235&amp;+(COUNTIF(A$2:A235,A235)-1)</f>
        <v>3230</v>
      </c>
      <c r="D235" s="3" t="s">
        <v>27</v>
      </c>
      <c r="E235" s="12" t="s">
        <v>30</v>
      </c>
      <c r="F235" s="13" t="s">
        <v>212</v>
      </c>
    </row>
    <row r="236" spans="1:6" x14ac:dyDescent="0.15">
      <c r="A236" s="11">
        <v>324</v>
      </c>
      <c r="B236" s="9" t="str">
        <f>VLOOKUP(A236,[1]characters!$A:$C,3,FALSE)</f>
        <v>凛志士 沖田総司</v>
      </c>
      <c r="C236" s="9" t="str">
        <f>A236&amp;+(COUNTIF(A$2:A236,A236)-1)</f>
        <v>3240</v>
      </c>
      <c r="D236" s="3" t="s">
        <v>27</v>
      </c>
      <c r="E236" s="12" t="s">
        <v>31</v>
      </c>
      <c r="F236" s="13" t="s">
        <v>213</v>
      </c>
    </row>
    <row r="237" spans="1:6" x14ac:dyDescent="0.15">
      <c r="A237" s="11">
        <v>325</v>
      </c>
      <c r="B237" s="9" t="str">
        <f>VLOOKUP(A237,[1]characters!$A:$C,3,FALSE)</f>
        <v>天賦の凛志士 沖田総司</v>
      </c>
      <c r="C237" s="9" t="str">
        <f>A237&amp;+(COUNTIF(A$2:A237,A237)-1)</f>
        <v>3250</v>
      </c>
      <c r="D237" s="3" t="s">
        <v>27</v>
      </c>
      <c r="E237" s="12" t="s">
        <v>32</v>
      </c>
      <c r="F237" s="13" t="s">
        <v>214</v>
      </c>
    </row>
    <row r="238" spans="1:6" x14ac:dyDescent="0.15">
      <c r="A238" s="11">
        <v>326</v>
      </c>
      <c r="B238" s="9" t="str">
        <f>VLOOKUP(A238,[1]characters!$A:$C,3,FALSE)</f>
        <v>妖志士 斎藤一</v>
      </c>
      <c r="C238" s="9" t="str">
        <f>A238&amp;+(COUNTIF(A$2:A238,A238)-1)</f>
        <v>3260</v>
      </c>
      <c r="D238" s="3" t="s">
        <v>27</v>
      </c>
      <c r="E238" s="12" t="s">
        <v>30</v>
      </c>
      <c r="F238" s="13" t="s">
        <v>215</v>
      </c>
    </row>
    <row r="239" spans="1:6" x14ac:dyDescent="0.15">
      <c r="A239" s="11">
        <v>327</v>
      </c>
      <c r="B239" s="9" t="str">
        <f>VLOOKUP(A239,[1]characters!$A:$C,3,FALSE)</f>
        <v>千殺の妖志士 斎藤一</v>
      </c>
      <c r="C239" s="9" t="str">
        <f>A239&amp;+(COUNTIF(A$2:A239,A239)-1)</f>
        <v>3270</v>
      </c>
      <c r="D239" s="3" t="s">
        <v>27</v>
      </c>
      <c r="E239" s="12" t="s">
        <v>32</v>
      </c>
      <c r="F239" s="13" t="s">
        <v>216</v>
      </c>
    </row>
    <row r="240" spans="1:6" x14ac:dyDescent="0.15">
      <c r="A240" s="11">
        <v>368</v>
      </c>
      <c r="B240" s="9" t="str">
        <f>VLOOKUP(A240,[1]characters!$A:$C,3,FALSE)</f>
        <v>ボイル</v>
      </c>
      <c r="C240" s="9" t="str">
        <f>A240&amp;+(COUNTIF(A$2:A240,A240)-1)</f>
        <v>3680</v>
      </c>
      <c r="D240" s="3" t="s">
        <v>27</v>
      </c>
      <c r="E240" s="12" t="s">
        <v>635</v>
      </c>
      <c r="F240" s="13" t="s">
        <v>217</v>
      </c>
    </row>
    <row r="241" spans="1:6" x14ac:dyDescent="0.15">
      <c r="A241" s="11">
        <v>369</v>
      </c>
      <c r="B241" s="9" t="str">
        <f>VLOOKUP(A241,[1]characters!$A:$C,3,FALSE)</f>
        <v>赫熱の重腕 ボイル</v>
      </c>
      <c r="C241" s="9" t="str">
        <f>A241&amp;+(COUNTIF(A$2:A241,A241)-1)</f>
        <v>3690</v>
      </c>
      <c r="D241" s="3" t="s">
        <v>27</v>
      </c>
      <c r="E241" s="12" t="s">
        <v>703</v>
      </c>
      <c r="F241" s="13" t="s">
        <v>218</v>
      </c>
    </row>
    <row r="242" spans="1:6" x14ac:dyDescent="0.15">
      <c r="A242" s="11">
        <v>378</v>
      </c>
      <c r="B242" s="9" t="str">
        <f>VLOOKUP(A242,[1]characters!$A:$C,3,FALSE)</f>
        <v>オイラー</v>
      </c>
      <c r="C242" s="9" t="str">
        <f>A242&amp;+(COUNTIF(A$2:A242,A242)-1)</f>
        <v>3780</v>
      </c>
      <c r="D242" s="3" t="s">
        <v>27</v>
      </c>
      <c r="E242" s="12" t="s">
        <v>631</v>
      </c>
      <c r="F242" s="13" t="s">
        <v>219</v>
      </c>
    </row>
    <row r="243" spans="1:6" x14ac:dyDescent="0.15">
      <c r="A243" s="11">
        <v>379</v>
      </c>
      <c r="B243" s="9" t="str">
        <f>VLOOKUP(A243,[1]characters!$A:$C,3,FALSE)</f>
        <v>幾何の機刃 オイラー</v>
      </c>
      <c r="C243" s="9" t="str">
        <f>A243&amp;+(COUNTIF(A$2:A243,A243)-1)</f>
        <v>3790</v>
      </c>
      <c r="D243" s="3" t="s">
        <v>27</v>
      </c>
      <c r="E243" s="12" t="s">
        <v>704</v>
      </c>
      <c r="F243" s="13" t="s">
        <v>220</v>
      </c>
    </row>
    <row r="244" spans="1:6" x14ac:dyDescent="0.15">
      <c r="A244" s="11">
        <v>798</v>
      </c>
      <c r="B244" s="9" t="str">
        <f>VLOOKUP(A244,[1]characters!$A:$C,3,FALSE)</f>
        <v>煌式の大機刃 オイラー</v>
      </c>
      <c r="C244" s="9" t="str">
        <f>A244&amp;+(COUNTIF(A$2:A244,A244)-1)</f>
        <v>7980</v>
      </c>
      <c r="D244" s="3" t="s">
        <v>27</v>
      </c>
      <c r="E244" s="12" t="s">
        <v>30</v>
      </c>
      <c r="F244" s="13" t="s">
        <v>1166</v>
      </c>
    </row>
    <row r="245" spans="1:6" x14ac:dyDescent="0.15">
      <c r="A245" s="11">
        <v>374</v>
      </c>
      <c r="B245" s="9" t="str">
        <f>VLOOKUP(A245,[1]characters!$A:$C,3,FALSE)</f>
        <v>影丸</v>
      </c>
      <c r="C245" s="9" t="str">
        <f>A245&amp;+(COUNTIF(A$2:A245,A245)-1)</f>
        <v>3740</v>
      </c>
      <c r="D245" s="3" t="s">
        <v>27</v>
      </c>
      <c r="E245" s="12" t="s">
        <v>30</v>
      </c>
      <c r="F245" s="13" t="s">
        <v>1229</v>
      </c>
    </row>
    <row r="246" spans="1:6" x14ac:dyDescent="0.15">
      <c r="A246" s="11">
        <v>374</v>
      </c>
      <c r="B246" s="9" t="str">
        <f>VLOOKUP(A246,[1]characters!$A:$C,3,FALSE)</f>
        <v>影丸</v>
      </c>
      <c r="C246" s="9" t="str">
        <f>A246&amp;+(COUNTIF(A$2:A246,A246)-1)</f>
        <v>3741</v>
      </c>
      <c r="D246" s="3" t="s">
        <v>27</v>
      </c>
      <c r="E246" s="12" t="s">
        <v>648</v>
      </c>
      <c r="F246" s="13" t="s">
        <v>1230</v>
      </c>
    </row>
    <row r="247" spans="1:6" x14ac:dyDescent="0.15">
      <c r="A247" s="11">
        <v>375</v>
      </c>
      <c r="B247" s="9" t="str">
        <f>VLOOKUP(A247,[1]characters!$A:$C,3,FALSE)</f>
        <v>蒼術兎忍 影丸</v>
      </c>
      <c r="C247" s="9" t="str">
        <f>A247&amp;+(COUNTIF(A$2:A247,A247)-1)</f>
        <v>3750</v>
      </c>
      <c r="D247" s="3" t="s">
        <v>27</v>
      </c>
      <c r="E247" s="12" t="s">
        <v>30</v>
      </c>
      <c r="F247" s="13" t="s">
        <v>1235</v>
      </c>
    </row>
    <row r="248" spans="1:6" x14ac:dyDescent="0.15">
      <c r="A248" s="11">
        <v>375</v>
      </c>
      <c r="B248" s="9" t="str">
        <f>VLOOKUP(A248,[1]characters!$A:$C,3,FALSE)</f>
        <v>蒼術兎忍 影丸</v>
      </c>
      <c r="C248" s="9" t="str">
        <f>A248&amp;+(COUNTIF(A$2:A248,A248)-1)</f>
        <v>3751</v>
      </c>
      <c r="D248" s="3" t="s">
        <v>27</v>
      </c>
      <c r="E248" s="12" t="s">
        <v>648</v>
      </c>
      <c r="F248" s="13" t="s">
        <v>1234</v>
      </c>
    </row>
    <row r="249" spans="1:6" x14ac:dyDescent="0.15">
      <c r="A249" s="11">
        <v>380</v>
      </c>
      <c r="B249" s="9" t="str">
        <f>VLOOKUP(A249,[1]characters!$A:$C,3,FALSE)</f>
        <v>バハムート</v>
      </c>
      <c r="C249" s="9" t="str">
        <f>A249&amp;+(COUNTIF(A$2:A249,A249)-1)</f>
        <v>3800</v>
      </c>
      <c r="D249" s="3" t="s">
        <v>27</v>
      </c>
      <c r="E249" s="12" t="s">
        <v>705</v>
      </c>
      <c r="F249" s="13" t="s">
        <v>221</v>
      </c>
    </row>
    <row r="250" spans="1:6" x14ac:dyDescent="0.15">
      <c r="A250" s="11">
        <v>381</v>
      </c>
      <c r="B250" s="9" t="str">
        <f>VLOOKUP(A250,[1]characters!$A:$C,3,FALSE)</f>
        <v>肉食の恋火 バハムート</v>
      </c>
      <c r="C250" s="9" t="str">
        <f>A250&amp;+(COUNTIF(A$2:A250,A250)-1)</f>
        <v>3810</v>
      </c>
      <c r="D250" s="3" t="s">
        <v>27</v>
      </c>
      <c r="E250" s="12" t="s">
        <v>635</v>
      </c>
      <c r="F250" s="13" t="s">
        <v>706</v>
      </c>
    </row>
    <row r="251" spans="1:6" x14ac:dyDescent="0.15">
      <c r="A251" s="11">
        <v>382</v>
      </c>
      <c r="B251" s="9" t="str">
        <f>VLOOKUP(A251,[1]characters!$A:$C,3,FALSE)</f>
        <v>激情の愛炎 バハムート</v>
      </c>
      <c r="C251" s="9" t="str">
        <f>A251&amp;+(COUNTIF(A$2:A251,A251)-1)</f>
        <v>3820</v>
      </c>
      <c r="D251" s="3" t="s">
        <v>27</v>
      </c>
      <c r="E251" s="12" t="s">
        <v>707</v>
      </c>
      <c r="F251" s="13" t="s">
        <v>222</v>
      </c>
    </row>
    <row r="252" spans="1:6" x14ac:dyDescent="0.15">
      <c r="A252" s="11">
        <v>383</v>
      </c>
      <c r="B252" s="9" t="str">
        <f>VLOOKUP(A252,[1]characters!$A:$C,3,FALSE)</f>
        <v>酒宴の蟒蛇 ヤマタノオロチ</v>
      </c>
      <c r="C252" s="9" t="str">
        <f>A252&amp;+(COUNTIF(A$2:A252,A252)-1)</f>
        <v>3830</v>
      </c>
      <c r="D252" s="3" t="s">
        <v>27</v>
      </c>
      <c r="E252" s="12" t="s">
        <v>32</v>
      </c>
      <c r="F252" s="13" t="s">
        <v>223</v>
      </c>
    </row>
    <row r="253" spans="1:6" x14ac:dyDescent="0.15">
      <c r="A253" s="11">
        <v>384</v>
      </c>
      <c r="B253" s="9" t="str">
        <f>VLOOKUP(A253,[1]characters!$A:$C,3,FALSE)</f>
        <v>破国の呑龍 ヤマタノオロチ</v>
      </c>
      <c r="C253" s="9" t="str">
        <f>A253&amp;+(COUNTIF(A$2:A253,A253)-1)</f>
        <v>3840</v>
      </c>
      <c r="D253" s="3" t="s">
        <v>27</v>
      </c>
      <c r="E253" s="12" t="s">
        <v>708</v>
      </c>
      <c r="F253" s="13" t="s">
        <v>224</v>
      </c>
    </row>
    <row r="254" spans="1:6" x14ac:dyDescent="0.15">
      <c r="A254" s="11">
        <v>385</v>
      </c>
      <c r="B254" s="9" t="str">
        <f>VLOOKUP(A254,[1]characters!$A:$C,3,FALSE)</f>
        <v>波烈の出奔 リヴァイアサン</v>
      </c>
      <c r="C254" s="9" t="str">
        <f>A254&amp;+(COUNTIF(A$2:A254,A254)-1)</f>
        <v>3850</v>
      </c>
      <c r="D254" s="3" t="s">
        <v>27</v>
      </c>
      <c r="E254" s="12" t="s">
        <v>709</v>
      </c>
      <c r="F254" s="13" t="s">
        <v>225</v>
      </c>
    </row>
    <row r="255" spans="1:6" x14ac:dyDescent="0.15">
      <c r="A255" s="11">
        <v>386</v>
      </c>
      <c r="B255" s="9" t="str">
        <f>VLOOKUP(A255,[1]characters!$A:$C,3,FALSE)</f>
        <v>氾乱の海龍 リヴァイアサン</v>
      </c>
      <c r="C255" s="9" t="str">
        <f>A255&amp;+(COUNTIF(A$2:A255,A255)-1)</f>
        <v>3860</v>
      </c>
      <c r="D255" s="3" t="s">
        <v>27</v>
      </c>
      <c r="E255" s="12" t="s">
        <v>710</v>
      </c>
      <c r="F255" s="13" t="s">
        <v>226</v>
      </c>
    </row>
    <row r="256" spans="1:6" x14ac:dyDescent="0.15">
      <c r="A256" s="11">
        <v>387</v>
      </c>
      <c r="B256" s="9" t="str">
        <f>VLOOKUP(A256,[1]characters!$A:$C,3,FALSE)</f>
        <v>スフィンクス</v>
      </c>
      <c r="C256" s="9" t="str">
        <f>A256&amp;+(COUNTIF(A$2:A256,A256)-1)</f>
        <v>3870</v>
      </c>
      <c r="D256" s="3" t="s">
        <v>27</v>
      </c>
      <c r="E256" s="12" t="s">
        <v>711</v>
      </c>
      <c r="F256" s="13" t="s">
        <v>227</v>
      </c>
    </row>
    <row r="257" spans="1:6" x14ac:dyDescent="0.15">
      <c r="A257" s="11">
        <v>388</v>
      </c>
      <c r="B257" s="9" t="str">
        <f>VLOOKUP(A257,[1]characters!$A:$C,3,FALSE)</f>
        <v>神円の恋姫 スフィンクス</v>
      </c>
      <c r="C257" s="9" t="str">
        <f>A257&amp;+(COUNTIF(A$2:A257,A257)-1)</f>
        <v>3880</v>
      </c>
      <c r="D257" s="3" t="s">
        <v>27</v>
      </c>
      <c r="E257" s="12" t="s">
        <v>620</v>
      </c>
      <c r="F257" s="13" t="s">
        <v>712</v>
      </c>
    </row>
    <row r="258" spans="1:6" x14ac:dyDescent="0.15">
      <c r="A258" s="11">
        <v>389</v>
      </c>
      <c r="B258" s="9" t="str">
        <f>VLOOKUP(A258,[1]characters!$A:$C,3,FALSE)</f>
        <v>操神の愛姫 スフィンクス</v>
      </c>
      <c r="C258" s="9" t="str">
        <f>A258&amp;+(COUNTIF(A$2:A258,A258)-1)</f>
        <v>3890</v>
      </c>
      <c r="D258" s="3" t="s">
        <v>27</v>
      </c>
      <c r="E258" s="24" t="s">
        <v>713</v>
      </c>
      <c r="F258" s="25" t="s">
        <v>228</v>
      </c>
    </row>
    <row r="259" spans="1:6" x14ac:dyDescent="0.15">
      <c r="A259" s="11">
        <v>390</v>
      </c>
      <c r="B259" s="9" t="str">
        <f>VLOOKUP(A259,[1]characters!$A:$C,3,FALSE)</f>
        <v>華環の旅客 親指姫</v>
      </c>
      <c r="C259" s="9" t="str">
        <f>A259&amp;+(COUNTIF(A$2:A259,A259)-1)</f>
        <v>3900</v>
      </c>
      <c r="D259" s="3" t="s">
        <v>27</v>
      </c>
      <c r="E259" s="12" t="s">
        <v>714</v>
      </c>
      <c r="F259" s="13" t="s">
        <v>229</v>
      </c>
    </row>
    <row r="260" spans="1:6" x14ac:dyDescent="0.15">
      <c r="A260" s="11">
        <v>391</v>
      </c>
      <c r="B260" s="9" t="str">
        <f>VLOOKUP(A260,[1]characters!$A:$C,3,FALSE)</f>
        <v>燕翼の旅人 親指姫</v>
      </c>
      <c r="C260" s="9" t="str">
        <f>A260&amp;+(COUNTIF(A$2:A260,A260)-1)</f>
        <v>3910</v>
      </c>
      <c r="D260" s="3" t="s">
        <v>27</v>
      </c>
      <c r="E260" s="12" t="s">
        <v>602</v>
      </c>
      <c r="F260" s="13" t="s">
        <v>230</v>
      </c>
    </row>
    <row r="261" spans="1:6" x14ac:dyDescent="0.15">
      <c r="A261" s="11">
        <v>392</v>
      </c>
      <c r="B261" s="9" t="str">
        <f>VLOOKUP(A261,[1]characters!$A:$C,3,FALSE)</f>
        <v>ピーターパン</v>
      </c>
      <c r="C261" s="9" t="str">
        <f>A261&amp;+(COUNTIF(A$2:A261,A261)-1)</f>
        <v>3920</v>
      </c>
      <c r="D261" s="3" t="s">
        <v>27</v>
      </c>
      <c r="E261" s="12" t="s">
        <v>620</v>
      </c>
      <c r="F261" s="13" t="s">
        <v>231</v>
      </c>
    </row>
    <row r="262" spans="1:6" x14ac:dyDescent="0.15">
      <c r="A262" s="11">
        <v>393</v>
      </c>
      <c r="B262" s="9" t="str">
        <f>VLOOKUP(A262,[1]characters!$A:$C,3,FALSE)</f>
        <v>影縫い ピーターパン</v>
      </c>
      <c r="C262" s="9" t="str">
        <f>A262&amp;+(COUNTIF(A$2:A262,A262)-1)</f>
        <v>3930</v>
      </c>
      <c r="D262" s="3" t="s">
        <v>27</v>
      </c>
      <c r="E262" s="12" t="s">
        <v>601</v>
      </c>
      <c r="F262" s="13" t="s">
        <v>715</v>
      </c>
    </row>
    <row r="263" spans="1:6" x14ac:dyDescent="0.15">
      <c r="A263" s="11">
        <v>394</v>
      </c>
      <c r="B263" s="9" t="str">
        <f>VLOOKUP(A263,[1]characters!$A:$C,3,FALSE)</f>
        <v>影求の悪童 ピーターパン</v>
      </c>
      <c r="C263" s="9" t="str">
        <f>A263&amp;+(COUNTIF(A$2:A263,A263)-1)</f>
        <v>3940</v>
      </c>
      <c r="D263" s="3" t="s">
        <v>27</v>
      </c>
      <c r="E263" s="12" t="s">
        <v>603</v>
      </c>
      <c r="F263" s="13" t="s">
        <v>232</v>
      </c>
    </row>
    <row r="264" spans="1:6" x14ac:dyDescent="0.15">
      <c r="A264" s="11">
        <v>395</v>
      </c>
      <c r="B264" s="9" t="str">
        <f>VLOOKUP(A264,[1]characters!$A:$C,3,FALSE)</f>
        <v>乙姫</v>
      </c>
      <c r="C264" s="9" t="str">
        <f>A264&amp;+(COUNTIF(A$2:A264,A264)-1)</f>
        <v>3950</v>
      </c>
      <c r="D264" s="3" t="s">
        <v>27</v>
      </c>
      <c r="E264" s="12" t="s">
        <v>716</v>
      </c>
      <c r="F264" s="13" t="s">
        <v>233</v>
      </c>
    </row>
    <row r="265" spans="1:6" x14ac:dyDescent="0.15">
      <c r="A265" s="11">
        <v>396</v>
      </c>
      <c r="B265" s="9" t="str">
        <f>VLOOKUP(A265,[1]characters!$A:$C,3,FALSE)</f>
        <v>竜宮の水雷 乙姫</v>
      </c>
      <c r="C265" s="9" t="str">
        <f>A265&amp;+(COUNTIF(A$2:A265,A265)-1)</f>
        <v>3960</v>
      </c>
      <c r="D265" s="3" t="s">
        <v>27</v>
      </c>
      <c r="E265" s="12" t="s">
        <v>717</v>
      </c>
      <c r="F265" s="13" t="s">
        <v>718</v>
      </c>
    </row>
    <row r="266" spans="1:6" x14ac:dyDescent="0.15">
      <c r="A266" s="11">
        <v>397</v>
      </c>
      <c r="B266" s="9" t="str">
        <f>VLOOKUP(A266,[1]characters!$A:$C,3,FALSE)</f>
        <v>禁断の追箱 乙姫</v>
      </c>
      <c r="C266" s="9" t="str">
        <f>A266&amp;+(COUNTIF(A$2:A266,A266)-1)</f>
        <v>3970</v>
      </c>
      <c r="D266" s="3" t="s">
        <v>27</v>
      </c>
      <c r="E266" s="12" t="s">
        <v>719</v>
      </c>
      <c r="F266" s="13" t="s">
        <v>234</v>
      </c>
    </row>
    <row r="267" spans="1:6" x14ac:dyDescent="0.15">
      <c r="A267" s="11">
        <v>398</v>
      </c>
      <c r="B267" s="9" t="str">
        <f>VLOOKUP(A267,[1]characters!$A:$C,3,FALSE)</f>
        <v>ヘンゼル＆グレーテル</v>
      </c>
      <c r="C267" s="9" t="str">
        <f>A267&amp;+(COUNTIF(A$2:A267,A267)-1)</f>
        <v>3980</v>
      </c>
      <c r="D267" s="3" t="s">
        <v>27</v>
      </c>
      <c r="E267" s="12" t="s">
        <v>720</v>
      </c>
      <c r="F267" s="13" t="s">
        <v>721</v>
      </c>
    </row>
    <row r="268" spans="1:6" x14ac:dyDescent="0.15">
      <c r="A268" s="11">
        <v>399</v>
      </c>
      <c r="B268" s="9" t="str">
        <f>VLOOKUP(A268,[1]characters!$A:$C,3,FALSE)</f>
        <v>信愛の兄妹 ヘンゼル＆グレーテル</v>
      </c>
      <c r="C268" s="9" t="str">
        <f>A268&amp;+(COUNTIF(A$2:A268,A268)-1)</f>
        <v>3990</v>
      </c>
      <c r="D268" s="3" t="s">
        <v>27</v>
      </c>
      <c r="E268" s="12" t="s">
        <v>722</v>
      </c>
      <c r="F268" s="13" t="s">
        <v>235</v>
      </c>
    </row>
    <row r="269" spans="1:6" x14ac:dyDescent="0.15">
      <c r="A269" s="11">
        <v>400</v>
      </c>
      <c r="B269" s="9" t="str">
        <f>VLOOKUP(A269,[1]characters!$A:$C,3,FALSE)</f>
        <v>フェンリル</v>
      </c>
      <c r="C269" s="9" t="str">
        <f>A269&amp;+(COUNTIF(A$2:A269,A269)-1)</f>
        <v>4000</v>
      </c>
      <c r="D269" s="3" t="s">
        <v>27</v>
      </c>
      <c r="E269" s="12" t="s">
        <v>631</v>
      </c>
      <c r="F269" s="13" t="s">
        <v>723</v>
      </c>
    </row>
    <row r="270" spans="1:6" x14ac:dyDescent="0.15">
      <c r="A270" s="11">
        <v>401</v>
      </c>
      <c r="B270" s="9" t="str">
        <f>VLOOKUP(A270,[1]characters!$A:$C,3,FALSE)</f>
        <v>紅銀の孤狼 フェンリル</v>
      </c>
      <c r="C270" s="9" t="str">
        <f>A270&amp;+(COUNTIF(A$2:A270,A270)-1)</f>
        <v>4010</v>
      </c>
      <c r="D270" s="3" t="s">
        <v>27</v>
      </c>
      <c r="E270" s="12" t="s">
        <v>602</v>
      </c>
      <c r="F270" s="22" t="s">
        <v>724</v>
      </c>
    </row>
    <row r="271" spans="1:6" x14ac:dyDescent="0.15">
      <c r="A271" s="11">
        <v>402</v>
      </c>
      <c r="B271" s="9" t="str">
        <f>VLOOKUP(A271,[1]characters!$A:$C,3,FALSE)</f>
        <v>天災の神狼 フェンリル</v>
      </c>
      <c r="C271" s="9" t="str">
        <f>A271&amp;+(COUNTIF(A$2:A271,A271)-1)</f>
        <v>4020</v>
      </c>
      <c r="D271" s="3" t="s">
        <v>27</v>
      </c>
      <c r="E271" s="12" t="s">
        <v>725</v>
      </c>
      <c r="F271" s="22" t="s">
        <v>726</v>
      </c>
    </row>
    <row r="272" spans="1:6" x14ac:dyDescent="0.15">
      <c r="A272" s="11">
        <v>403</v>
      </c>
      <c r="B272" s="9" t="str">
        <f>VLOOKUP(A272,[1]characters!$A:$C,3,FALSE)</f>
        <v>静撃の翠眼 八咫烏</v>
      </c>
      <c r="C272" s="9" t="str">
        <f>A272&amp;+(COUNTIF(A$2:A272,A272)-1)</f>
        <v>4030</v>
      </c>
      <c r="D272" s="3" t="s">
        <v>27</v>
      </c>
      <c r="E272" s="12" t="s">
        <v>705</v>
      </c>
      <c r="F272" s="13" t="s">
        <v>236</v>
      </c>
    </row>
    <row r="273" spans="1:6" x14ac:dyDescent="0.15">
      <c r="A273" s="11">
        <v>404</v>
      </c>
      <c r="B273" s="9" t="str">
        <f>VLOOKUP(A273,[1]characters!$A:$C,3,FALSE)</f>
        <v>空襲の神眼 八咫烏</v>
      </c>
      <c r="C273" s="9" t="str">
        <f>A273&amp;+(COUNTIF(A$2:A273,A273)-1)</f>
        <v>4040</v>
      </c>
      <c r="D273" s="3" t="s">
        <v>27</v>
      </c>
      <c r="E273" s="12" t="s">
        <v>635</v>
      </c>
      <c r="F273" s="22" t="s">
        <v>237</v>
      </c>
    </row>
    <row r="274" spans="1:6" x14ac:dyDescent="0.15">
      <c r="A274" s="11">
        <v>405</v>
      </c>
      <c r="B274" s="9" t="str">
        <f>VLOOKUP(A274,[1]characters!$A:$C,3,FALSE)</f>
        <v>エキドナ</v>
      </c>
      <c r="C274" s="9" t="str">
        <f>A274&amp;+(COUNTIF(A$2:A274,A274)-1)</f>
        <v>4050</v>
      </c>
      <c r="D274" s="3" t="s">
        <v>27</v>
      </c>
      <c r="E274" s="12" t="s">
        <v>727</v>
      </c>
      <c r="F274" s="13" t="s">
        <v>238</v>
      </c>
    </row>
    <row r="275" spans="1:6" x14ac:dyDescent="0.15">
      <c r="A275" s="11">
        <v>406</v>
      </c>
      <c r="B275" s="9" t="str">
        <f>VLOOKUP(A275,[1]characters!$A:$C,3,FALSE)</f>
        <v>美笑の蒼蛇 エキドナ</v>
      </c>
      <c r="C275" s="9" t="str">
        <f>A275&amp;+(COUNTIF(A$2:A275,A275)-1)</f>
        <v>4060</v>
      </c>
      <c r="D275" s="3" t="s">
        <v>27</v>
      </c>
      <c r="E275" s="12" t="s">
        <v>32</v>
      </c>
      <c r="F275" s="13" t="s">
        <v>239</v>
      </c>
    </row>
    <row r="276" spans="1:6" x14ac:dyDescent="0.15">
      <c r="A276" s="11">
        <v>407</v>
      </c>
      <c r="B276" s="9" t="str">
        <f>VLOOKUP(A276,[1]characters!$A:$C,3,FALSE)</f>
        <v>蠱惑の飛刀 エキドナ</v>
      </c>
      <c r="C276" s="9" t="str">
        <f>A276&amp;+(COUNTIF(A$2:A276,A276)-1)</f>
        <v>4070</v>
      </c>
      <c r="D276" s="3" t="s">
        <v>27</v>
      </c>
      <c r="E276" s="12" t="s">
        <v>728</v>
      </c>
      <c r="F276" s="13" t="s">
        <v>240</v>
      </c>
    </row>
    <row r="277" spans="1:6" x14ac:dyDescent="0.15">
      <c r="A277" s="11">
        <v>408</v>
      </c>
      <c r="B277" s="9" t="str">
        <f>VLOOKUP(A277,[1]characters!$A:$C,3,FALSE)</f>
        <v>皇魔 アスタロト</v>
      </c>
      <c r="C277" s="9" t="str">
        <f>A277&amp;+(COUNTIF(A$2:A277,A277)-1)</f>
        <v>4080</v>
      </c>
      <c r="D277" s="3" t="s">
        <v>27</v>
      </c>
      <c r="E277" s="12" t="s">
        <v>708</v>
      </c>
      <c r="F277" s="13" t="s">
        <v>241</v>
      </c>
    </row>
    <row r="278" spans="1:6" x14ac:dyDescent="0.15">
      <c r="A278" s="11">
        <v>409</v>
      </c>
      <c r="B278" s="9" t="str">
        <f>VLOOKUP(A278,[1]characters!$A:$C,3,FALSE)</f>
        <v>天眼の皇貴魔 アスタロト</v>
      </c>
      <c r="C278" s="9" t="str">
        <f>A278&amp;+(COUNTIF(A$2:A278,A278)-1)</f>
        <v>4090</v>
      </c>
      <c r="D278" s="3" t="s">
        <v>27</v>
      </c>
      <c r="E278" s="12" t="s">
        <v>729</v>
      </c>
      <c r="F278" s="13" t="s">
        <v>242</v>
      </c>
    </row>
    <row r="279" spans="1:6" x14ac:dyDescent="0.15">
      <c r="A279" s="11">
        <v>418</v>
      </c>
      <c r="B279" s="9" t="str">
        <f>VLOOKUP(A279,[1]characters!$A:$C,3,FALSE)</f>
        <v>ウラシマ</v>
      </c>
      <c r="C279" s="9" t="str">
        <f>A279&amp;+(COUNTIF(A$2:A279,A279)-1)</f>
        <v>4180</v>
      </c>
      <c r="D279" s="3" t="s">
        <v>27</v>
      </c>
      <c r="E279" s="12" t="s">
        <v>730</v>
      </c>
      <c r="F279" s="13" t="s">
        <v>731</v>
      </c>
    </row>
    <row r="280" spans="1:6" x14ac:dyDescent="0.15">
      <c r="A280" s="11">
        <v>419</v>
      </c>
      <c r="B280" s="9" t="str">
        <f>VLOOKUP(A280,[1]characters!$A:$C,3,FALSE)</f>
        <v>宣戦の解城 ウラシマ</v>
      </c>
      <c r="C280" s="9" t="str">
        <f>A280&amp;+(COUNTIF(A$2:A280,A280)-1)</f>
        <v>4190</v>
      </c>
      <c r="D280" s="3" t="s">
        <v>27</v>
      </c>
      <c r="E280" s="12" t="s">
        <v>606</v>
      </c>
      <c r="F280" s="13" t="s">
        <v>732</v>
      </c>
    </row>
    <row r="281" spans="1:6" x14ac:dyDescent="0.15">
      <c r="A281" s="11">
        <v>420</v>
      </c>
      <c r="B281" s="9" t="str">
        <f>VLOOKUP(A281,[1]characters!$A:$C,3,FALSE)</f>
        <v>カエデ</v>
      </c>
      <c r="C281" s="9" t="str">
        <f>A281&amp;+(COUNTIF(A$2:A281,A281)-1)</f>
        <v>4200</v>
      </c>
      <c r="D281" s="3" t="s">
        <v>27</v>
      </c>
      <c r="E281" s="12" t="s">
        <v>618</v>
      </c>
      <c r="F281" s="13" t="s">
        <v>243</v>
      </c>
    </row>
    <row r="282" spans="1:6" x14ac:dyDescent="0.15">
      <c r="A282" s="11">
        <v>421</v>
      </c>
      <c r="B282" s="9" t="str">
        <f>VLOOKUP(A282,[1]characters!$A:$C,3,FALSE)</f>
        <v>反親の彩壁 カエデ</v>
      </c>
      <c r="C282" s="9" t="str">
        <f>A282&amp;+(COUNTIF(A$2:A282,A282)-1)</f>
        <v>4210</v>
      </c>
      <c r="D282" s="3" t="s">
        <v>27</v>
      </c>
      <c r="E282" s="12" t="s">
        <v>620</v>
      </c>
      <c r="F282" s="13" t="s">
        <v>244</v>
      </c>
    </row>
    <row r="283" spans="1:6" x14ac:dyDescent="0.15">
      <c r="A283" s="11">
        <v>422</v>
      </c>
      <c r="B283" s="9" t="str">
        <f>VLOOKUP(A283,[1]characters!$A:$C,3,FALSE)</f>
        <v>シュガフル</v>
      </c>
      <c r="C283" s="9" t="str">
        <f>A283&amp;+(COUNTIF(A$2:A283,A283)-1)</f>
        <v>4220</v>
      </c>
      <c r="D283" s="3" t="s">
        <v>27</v>
      </c>
      <c r="E283" s="12" t="s">
        <v>733</v>
      </c>
      <c r="F283" s="22" t="s">
        <v>245</v>
      </c>
    </row>
    <row r="284" spans="1:6" x14ac:dyDescent="0.15">
      <c r="A284" s="11">
        <v>423</v>
      </c>
      <c r="B284" s="9" t="str">
        <f>VLOOKUP(A284,[1]characters!$A:$C,3,FALSE)</f>
        <v>甘罠の魔女 シュガフル</v>
      </c>
      <c r="C284" s="9" t="str">
        <f>A284&amp;+(COUNTIF(A$2:A284,A284)-1)</f>
        <v>4230</v>
      </c>
      <c r="D284" s="3" t="s">
        <v>27</v>
      </c>
      <c r="E284" s="12" t="s">
        <v>620</v>
      </c>
      <c r="F284" s="22" t="s">
        <v>246</v>
      </c>
    </row>
    <row r="285" spans="1:6" x14ac:dyDescent="0.15">
      <c r="A285" s="11">
        <v>424</v>
      </c>
      <c r="B285" s="9" t="str">
        <f>VLOOKUP(A285,[1]characters!$A:$C,3,FALSE)</f>
        <v>フック</v>
      </c>
      <c r="C285" s="9" t="str">
        <f>A285&amp;+(COUNTIF(A$2:A285,A285)-1)</f>
        <v>4240</v>
      </c>
      <c r="D285" s="3" t="s">
        <v>27</v>
      </c>
      <c r="E285" s="12" t="s">
        <v>627</v>
      </c>
      <c r="F285" s="13" t="s">
        <v>247</v>
      </c>
    </row>
    <row r="286" spans="1:6" x14ac:dyDescent="0.15">
      <c r="A286" s="11">
        <v>425</v>
      </c>
      <c r="B286" s="9" t="str">
        <f>VLOOKUP(A286,[1]characters!$A:$C,3,FALSE)</f>
        <v>怒髪の海賊 フック</v>
      </c>
      <c r="C286" s="9" t="str">
        <f>A286&amp;+(COUNTIF(A$2:A286,A286)-1)</f>
        <v>4250</v>
      </c>
      <c r="D286" s="3" t="s">
        <v>27</v>
      </c>
      <c r="E286" s="12" t="s">
        <v>603</v>
      </c>
      <c r="F286" s="13" t="s">
        <v>248</v>
      </c>
    </row>
    <row r="287" spans="1:6" x14ac:dyDescent="0.15">
      <c r="A287" s="11">
        <v>426</v>
      </c>
      <c r="B287" s="9" t="str">
        <f>VLOOKUP(A287,[1]characters!$A:$C,3,FALSE)</f>
        <v>宮本武蔵</v>
      </c>
      <c r="C287" s="9" t="str">
        <f>A287&amp;+(COUNTIF(A$2:A287,A287)-1)</f>
        <v>4260</v>
      </c>
      <c r="D287" s="3" t="s">
        <v>27</v>
      </c>
      <c r="E287" s="12" t="s">
        <v>620</v>
      </c>
      <c r="F287" s="13" t="s">
        <v>249</v>
      </c>
    </row>
    <row r="288" spans="1:6" x14ac:dyDescent="0.15">
      <c r="A288" s="11">
        <v>427</v>
      </c>
      <c r="B288" s="9" t="str">
        <f>VLOOKUP(A288,[1]characters!$A:$C,3,FALSE)</f>
        <v>極・剣豪 宮本武蔵</v>
      </c>
      <c r="C288" s="9" t="str">
        <f>A288&amp;+(COUNTIF(A$2:A288,A288)-1)</f>
        <v>4270</v>
      </c>
      <c r="D288" s="3" t="s">
        <v>27</v>
      </c>
      <c r="E288" s="12" t="s">
        <v>602</v>
      </c>
      <c r="F288" s="13" t="s">
        <v>250</v>
      </c>
    </row>
    <row r="289" spans="1:6" x14ac:dyDescent="0.15">
      <c r="A289" s="11">
        <v>432</v>
      </c>
      <c r="B289" s="9" t="str">
        <f>VLOOKUP(A289,[1]characters!$A:$C,3,FALSE)</f>
        <v>麒麟</v>
      </c>
      <c r="C289" s="9" t="str">
        <f>A289&amp;+(COUNTIF(A$2:A289,A289)-1)</f>
        <v>4320</v>
      </c>
      <c r="D289" s="3" t="s">
        <v>27</v>
      </c>
      <c r="E289" s="12" t="s">
        <v>603</v>
      </c>
      <c r="F289" s="22" t="s">
        <v>251</v>
      </c>
    </row>
    <row r="290" spans="1:6" x14ac:dyDescent="0.15">
      <c r="A290" s="11">
        <v>433</v>
      </c>
      <c r="B290" s="9" t="str">
        <f>VLOOKUP(A290,[1]characters!$A:$C,3,FALSE)</f>
        <v>世稀の現獣 麒麟</v>
      </c>
      <c r="C290" s="9" t="str">
        <f>A290&amp;+(COUNTIF(A$2:A290,A290)-1)</f>
        <v>4330</v>
      </c>
      <c r="D290" s="3" t="s">
        <v>27</v>
      </c>
      <c r="E290" s="12" t="s">
        <v>612</v>
      </c>
      <c r="F290" s="22" t="s">
        <v>734</v>
      </c>
    </row>
    <row r="291" spans="1:6" x14ac:dyDescent="0.15">
      <c r="A291" s="11">
        <v>802</v>
      </c>
      <c r="B291" s="9" t="str">
        <f>VLOOKUP(A291,[1]characters!$A:$C,3,FALSE)</f>
        <v>四聖結終の超獣 麒麟</v>
      </c>
      <c r="C291" s="9" t="str">
        <f>A291&amp;+(COUNTIF(A$2:A689,A291)-1)</f>
        <v>8020</v>
      </c>
      <c r="D291" s="3" t="s">
        <v>27</v>
      </c>
      <c r="E291" s="76" t="s">
        <v>652</v>
      </c>
      <c r="F291" s="20" t="s">
        <v>1135</v>
      </c>
    </row>
    <row r="292" spans="1:6" x14ac:dyDescent="0.15">
      <c r="A292" s="11">
        <v>434</v>
      </c>
      <c r="B292" s="9" t="str">
        <f>VLOOKUP(A292,[1]characters!$A:$C,3,FALSE)</f>
        <v>D.R.T.H.</v>
      </c>
      <c r="C292" s="9" t="str">
        <f>A292&amp;+(COUNTIF(A$2:A292,A292)-1)</f>
        <v>4340</v>
      </c>
      <c r="D292" s="3" t="s">
        <v>27</v>
      </c>
      <c r="E292" s="12" t="s">
        <v>649</v>
      </c>
      <c r="F292" s="13" t="s">
        <v>252</v>
      </c>
    </row>
    <row r="293" spans="1:6" x14ac:dyDescent="0.15">
      <c r="A293" s="11">
        <v>435</v>
      </c>
      <c r="B293" s="9" t="str">
        <f>VLOOKUP(A293,[1]characters!$A:$C,3,FALSE)</f>
        <v>曝弾の密偵 D.R.T.H.</v>
      </c>
      <c r="C293" s="9" t="str">
        <f>A293&amp;+(COUNTIF(A$2:A293,A293)-1)</f>
        <v>4350</v>
      </c>
      <c r="D293" s="3" t="s">
        <v>27</v>
      </c>
      <c r="E293" s="12" t="s">
        <v>735</v>
      </c>
      <c r="F293" s="13" t="s">
        <v>253</v>
      </c>
    </row>
    <row r="294" spans="1:6" x14ac:dyDescent="0.15">
      <c r="A294" s="11">
        <v>817</v>
      </c>
      <c r="B294" s="9" t="str">
        <f>VLOOKUP(A294,[1]characters!$A:$C,3,FALSE)</f>
        <v>決戦の抗弾 D.R.T.H.</v>
      </c>
      <c r="C294" s="9" t="str">
        <f>A294&amp;+(COUNTIF(A$2:A294,A294)-1)</f>
        <v>8170</v>
      </c>
      <c r="D294" s="3" t="s">
        <v>27</v>
      </c>
      <c r="E294" s="12" t="s">
        <v>1140</v>
      </c>
      <c r="F294" s="13" t="s">
        <v>1139</v>
      </c>
    </row>
    <row r="295" spans="1:6" x14ac:dyDescent="0.15">
      <c r="A295" s="11">
        <v>436</v>
      </c>
      <c r="B295" s="9" t="str">
        <f>VLOOKUP(A295,[1]characters!$A:$C,3,FALSE)</f>
        <v>カカシ</v>
      </c>
      <c r="C295" s="9" t="str">
        <f>A295&amp;+(COUNTIF(A$2:A295,A295)-1)</f>
        <v>4360</v>
      </c>
      <c r="D295" s="3" t="s">
        <v>27</v>
      </c>
      <c r="E295" s="12" t="s">
        <v>720</v>
      </c>
      <c r="F295" s="22" t="s">
        <v>736</v>
      </c>
    </row>
    <row r="296" spans="1:6" x14ac:dyDescent="0.15">
      <c r="A296" s="11">
        <v>437</v>
      </c>
      <c r="B296" s="9" t="str">
        <f>VLOOKUP(A296,[1]characters!$A:$C,3,FALSE)</f>
        <v>忘却者 カカシ</v>
      </c>
      <c r="C296" s="9" t="str">
        <f>A296&amp;+(COUNTIF(A$2:A296,A296)-1)</f>
        <v>4370</v>
      </c>
      <c r="D296" s="3" t="s">
        <v>27</v>
      </c>
      <c r="E296" s="12" t="s">
        <v>735</v>
      </c>
      <c r="F296" s="13" t="s">
        <v>254</v>
      </c>
    </row>
    <row r="297" spans="1:6" x14ac:dyDescent="0.15">
      <c r="A297" s="11">
        <v>438</v>
      </c>
      <c r="B297" s="9" t="str">
        <f>VLOOKUP(A297,[1]characters!$A:$C,3,FALSE)</f>
        <v>記憶の奪還 カカシ</v>
      </c>
      <c r="C297" s="9" t="str">
        <f>A297&amp;+(COUNTIF(A$2:A297,A297)-1)</f>
        <v>4380</v>
      </c>
      <c r="D297" s="3" t="s">
        <v>27</v>
      </c>
      <c r="E297" s="12" t="s">
        <v>737</v>
      </c>
      <c r="F297" s="13" t="s">
        <v>255</v>
      </c>
    </row>
    <row r="298" spans="1:6" x14ac:dyDescent="0.15">
      <c r="A298" s="11">
        <v>439</v>
      </c>
      <c r="B298" s="9" t="str">
        <f>VLOOKUP(A298,[1]characters!$A:$C,3,FALSE)</f>
        <v>ブリキロガー</v>
      </c>
      <c r="C298" s="9" t="str">
        <f>A298&amp;+(COUNTIF(A$2:A298,A298)-1)</f>
        <v>4390</v>
      </c>
      <c r="D298" s="3" t="s">
        <v>27</v>
      </c>
      <c r="E298" s="12" t="s">
        <v>616</v>
      </c>
      <c r="F298" s="13" t="s">
        <v>256</v>
      </c>
    </row>
    <row r="299" spans="1:6" x14ac:dyDescent="0.15">
      <c r="A299" s="11">
        <v>440</v>
      </c>
      <c r="B299" s="9" t="str">
        <f>VLOOKUP(A299,[1]characters!$A:$C,3,FALSE)</f>
        <v>改良型 ブリキロガー</v>
      </c>
      <c r="C299" s="9" t="str">
        <f>A299&amp;+(COUNTIF(A$2:A299,A299)-1)</f>
        <v>4400</v>
      </c>
      <c r="D299" s="3" t="s">
        <v>27</v>
      </c>
      <c r="E299" s="12" t="s">
        <v>738</v>
      </c>
      <c r="F299" s="13" t="s">
        <v>257</v>
      </c>
    </row>
    <row r="300" spans="1:6" x14ac:dyDescent="0.15">
      <c r="A300" s="11">
        <v>441</v>
      </c>
      <c r="B300" s="9" t="str">
        <f>VLOOKUP(A300,[1]characters!$A:$C,3,FALSE)</f>
        <v>求心の錻装 ブリキロガー</v>
      </c>
      <c r="C300" s="9" t="str">
        <f>A300&amp;+(COUNTIF(A$2:A300,A300)-1)</f>
        <v>4410</v>
      </c>
      <c r="D300" s="3" t="s">
        <v>27</v>
      </c>
      <c r="E300" s="12" t="s">
        <v>739</v>
      </c>
      <c r="F300" s="13" t="s">
        <v>258</v>
      </c>
    </row>
    <row r="301" spans="1:6" x14ac:dyDescent="0.15">
      <c r="A301" s="11">
        <v>442</v>
      </c>
      <c r="B301" s="9" t="str">
        <f>VLOOKUP(A301,[1]characters!$A:$C,3,FALSE)</f>
        <v>ブレイブリー・ライオン</v>
      </c>
      <c r="C301" s="9" t="str">
        <f>A301&amp;+(COUNTIF(A$2:A301,A301)-1)</f>
        <v>4420</v>
      </c>
      <c r="D301" s="3" t="s">
        <v>27</v>
      </c>
      <c r="E301" s="12" t="s">
        <v>631</v>
      </c>
      <c r="F301" s="13" t="s">
        <v>259</v>
      </c>
    </row>
    <row r="302" spans="1:6" x14ac:dyDescent="0.15">
      <c r="A302" s="11">
        <v>443</v>
      </c>
      <c r="B302" s="9" t="str">
        <f>VLOOKUP(A302,[1]characters!$A:$C,3,FALSE)</f>
        <v>勇機結集 ブレイブリー・ライオン</v>
      </c>
      <c r="C302" s="9" t="str">
        <f>A302&amp;+(COUNTIF(A$2:A302,A302)-1)</f>
        <v>4430</v>
      </c>
      <c r="D302" s="3" t="s">
        <v>27</v>
      </c>
      <c r="E302" s="12" t="s">
        <v>740</v>
      </c>
      <c r="F302" s="13" t="s">
        <v>260</v>
      </c>
    </row>
    <row r="303" spans="1:6" x14ac:dyDescent="0.15">
      <c r="A303" s="11">
        <v>452</v>
      </c>
      <c r="B303" s="9" t="str">
        <f>VLOOKUP(A303,[1]characters!$A:$C,3,FALSE)</f>
        <v>猛狐 エゾ</v>
      </c>
      <c r="C303" s="9" t="str">
        <f>A303&amp;+(COUNTIF(A$2:A303,A303)-1)</f>
        <v>4520</v>
      </c>
      <c r="D303" s="3" t="s">
        <v>27</v>
      </c>
      <c r="E303" s="12" t="s">
        <v>741</v>
      </c>
      <c r="F303" s="22" t="s">
        <v>261</v>
      </c>
    </row>
    <row r="304" spans="1:6" x14ac:dyDescent="0.15">
      <c r="A304" s="11">
        <v>453</v>
      </c>
      <c r="B304" s="9" t="str">
        <f>VLOOKUP(A304,[1]characters!$A:$C,3,FALSE)</f>
        <v>急尾の猛狐 エゾ</v>
      </c>
      <c r="C304" s="9" t="str">
        <f>A304&amp;+(COUNTIF(A$2:A304,A304)-1)</f>
        <v>4530</v>
      </c>
      <c r="D304" s="3" t="s">
        <v>27</v>
      </c>
      <c r="E304" s="12" t="s">
        <v>739</v>
      </c>
      <c r="F304" s="22" t="s">
        <v>262</v>
      </c>
    </row>
    <row r="305" spans="1:6" x14ac:dyDescent="0.15">
      <c r="A305" s="11">
        <v>454</v>
      </c>
      <c r="B305" s="9" t="str">
        <f>VLOOKUP(A305,[1]characters!$A:$C,3,FALSE)</f>
        <v>二闘 レッサとギガン</v>
      </c>
      <c r="C305" s="9" t="str">
        <f>A305&amp;+(COUNTIF(A$2:A305,A305)-1)</f>
        <v>4540</v>
      </c>
      <c r="D305" s="3" t="s">
        <v>27</v>
      </c>
      <c r="E305" s="12" t="s">
        <v>740</v>
      </c>
      <c r="F305" s="13" t="s">
        <v>263</v>
      </c>
    </row>
    <row r="306" spans="1:6" x14ac:dyDescent="0.15">
      <c r="A306" s="11">
        <v>455</v>
      </c>
      <c r="B306" s="9" t="str">
        <f>VLOOKUP(A306,[1]characters!$A:$C,3,FALSE)</f>
        <v>廃街の二闘 レッサとギガン</v>
      </c>
      <c r="C306" s="9" t="str">
        <f>A306&amp;+(COUNTIF(A$2:A306,A306)-1)</f>
        <v>4550</v>
      </c>
      <c r="D306" s="3" t="s">
        <v>27</v>
      </c>
      <c r="E306" s="12" t="s">
        <v>719</v>
      </c>
      <c r="F306" s="13" t="s">
        <v>264</v>
      </c>
    </row>
    <row r="307" spans="1:6" x14ac:dyDescent="0.15">
      <c r="A307" s="11">
        <v>456</v>
      </c>
      <c r="B307" s="9" t="str">
        <f>VLOOKUP(A307,[1]characters!$A:$C,3,FALSE)</f>
        <v>射絶 ユヅル</v>
      </c>
      <c r="C307" s="9" t="str">
        <f>A307&amp;+(COUNTIF(A$2:A307,A307)-1)</f>
        <v>4560</v>
      </c>
      <c r="D307" s="3" t="s">
        <v>27</v>
      </c>
      <c r="E307" s="12" t="s">
        <v>742</v>
      </c>
      <c r="F307" s="13" t="s">
        <v>265</v>
      </c>
    </row>
    <row r="308" spans="1:6" x14ac:dyDescent="0.15">
      <c r="A308" s="11">
        <v>457</v>
      </c>
      <c r="B308" s="9" t="str">
        <f>VLOOKUP(A308,[1]characters!$A:$C,3,FALSE)</f>
        <v>京速射絶 ユヅル</v>
      </c>
      <c r="C308" s="9" t="str">
        <f>A308&amp;+(COUNTIF(A$2:A308,A308)-1)</f>
        <v>4570</v>
      </c>
      <c r="D308" s="3" t="s">
        <v>27</v>
      </c>
      <c r="E308" s="12" t="s">
        <v>743</v>
      </c>
      <c r="F308" s="13" t="s">
        <v>266</v>
      </c>
    </row>
    <row r="309" spans="1:6" x14ac:dyDescent="0.15">
      <c r="A309" s="11">
        <v>458</v>
      </c>
      <c r="B309" s="9" t="str">
        <f>VLOOKUP(A309,[1]characters!$A:$C,3,FALSE)</f>
        <v>嵐龍 スガル</v>
      </c>
      <c r="C309" s="9" t="str">
        <f>A309&amp;+(COUNTIF(A$2:A309,A309)-1)</f>
        <v>4580</v>
      </c>
      <c r="D309" s="3" t="s">
        <v>27</v>
      </c>
      <c r="E309" s="12" t="s">
        <v>738</v>
      </c>
      <c r="F309" s="13" t="s">
        <v>267</v>
      </c>
    </row>
    <row r="310" spans="1:6" x14ac:dyDescent="0.15">
      <c r="A310" s="11">
        <v>459</v>
      </c>
      <c r="B310" s="9" t="str">
        <f>VLOOKUP(A310,[1]characters!$A:$C,3,FALSE)</f>
        <v>威喝の嵐龍 スガル</v>
      </c>
      <c r="C310" s="9" t="str">
        <f>A310&amp;+(COUNTIF(A$2:A310,A310)-1)</f>
        <v>4590</v>
      </c>
      <c r="D310" s="3" t="s">
        <v>27</v>
      </c>
      <c r="E310" s="20" t="s">
        <v>737</v>
      </c>
      <c r="F310" s="29" t="s">
        <v>268</v>
      </c>
    </row>
    <row r="311" spans="1:6" x14ac:dyDescent="0.15">
      <c r="A311" s="11">
        <v>460</v>
      </c>
      <c r="B311" s="9" t="str">
        <f>VLOOKUP(A311,[1]characters!$A:$C,3,FALSE)</f>
        <v>オズ</v>
      </c>
      <c r="C311" s="9" t="str">
        <f>A311&amp;+(COUNTIF(A$2:A311,A311)-1)</f>
        <v>4600</v>
      </c>
      <c r="D311" s="3" t="s">
        <v>27</v>
      </c>
      <c r="E311" s="20" t="s">
        <v>612</v>
      </c>
      <c r="F311" s="29" t="s">
        <v>269</v>
      </c>
    </row>
    <row r="312" spans="1:6" x14ac:dyDescent="0.15">
      <c r="A312" s="11">
        <v>461</v>
      </c>
      <c r="B312" s="9" t="str">
        <f>VLOOKUP(A312,[1]characters!$A:$C,3,FALSE)</f>
        <v>大いなる虚像 オズ</v>
      </c>
      <c r="C312" s="9" t="str">
        <f>A312&amp;+(COUNTIF(A$2:A312,A312)-1)</f>
        <v>4610</v>
      </c>
      <c r="D312" s="3" t="s">
        <v>27</v>
      </c>
      <c r="E312" s="20" t="s">
        <v>612</v>
      </c>
      <c r="F312" s="29" t="s">
        <v>270</v>
      </c>
    </row>
    <row r="313" spans="1:6" x14ac:dyDescent="0.15">
      <c r="A313" s="11">
        <v>818</v>
      </c>
      <c r="B313" s="9" t="str">
        <f>VLOOKUP(A313,[1]characters!$A:$C,3,FALSE)</f>
        <v>虚空を飾る大輪 オズ</v>
      </c>
      <c r="C313" s="9" t="str">
        <f>A313&amp;+(COUNTIF(A$2:A313,A313)-1)</f>
        <v>8180</v>
      </c>
      <c r="D313" s="3" t="s">
        <v>27</v>
      </c>
      <c r="E313" s="20" t="s">
        <v>30</v>
      </c>
      <c r="F313" s="79" t="s">
        <v>1148</v>
      </c>
    </row>
    <row r="314" spans="1:6" x14ac:dyDescent="0.15">
      <c r="A314" s="11">
        <v>462</v>
      </c>
      <c r="B314" s="9" t="str">
        <f>VLOOKUP(A314,[1]characters!$A:$C,3,FALSE)</f>
        <v>ガウェイン</v>
      </c>
      <c r="C314" s="9" t="str">
        <f>A314&amp;+(COUNTIF(A$2:A314,A314)-1)</f>
        <v>4620</v>
      </c>
      <c r="D314" s="3" t="s">
        <v>27</v>
      </c>
      <c r="E314" s="20" t="s">
        <v>612</v>
      </c>
      <c r="F314" s="29" t="s">
        <v>271</v>
      </c>
    </row>
    <row r="315" spans="1:6" x14ac:dyDescent="0.15">
      <c r="A315" s="11">
        <v>463</v>
      </c>
      <c r="B315" s="9" t="str">
        <f>VLOOKUP(A315,[1]characters!$A:$C,3,FALSE)</f>
        <v>燻銀 ガウェイン</v>
      </c>
      <c r="C315" s="9" t="str">
        <f>A315&amp;+(COUNTIF(A$2:A315,A315)-1)</f>
        <v>4630</v>
      </c>
      <c r="D315" s="3" t="s">
        <v>27</v>
      </c>
      <c r="E315" s="20" t="s">
        <v>30</v>
      </c>
      <c r="F315" s="29" t="s">
        <v>272</v>
      </c>
    </row>
    <row r="316" spans="1:6" x14ac:dyDescent="0.15">
      <c r="A316" s="11">
        <v>464</v>
      </c>
      <c r="B316" s="9" t="str">
        <f>VLOOKUP(A316,[1]characters!$A:$C,3,FALSE)</f>
        <v>円熟の弾導 ガウェイン</v>
      </c>
      <c r="C316" s="9" t="str">
        <f>A316&amp;+(COUNTIF(A$2:A316,A316)-1)</f>
        <v>4640</v>
      </c>
      <c r="D316" s="3" t="s">
        <v>27</v>
      </c>
      <c r="E316" s="20" t="s">
        <v>744</v>
      </c>
      <c r="F316" s="29" t="s">
        <v>273</v>
      </c>
    </row>
    <row r="317" spans="1:6" x14ac:dyDescent="0.15">
      <c r="A317" s="11">
        <v>465</v>
      </c>
      <c r="B317" s="9" t="str">
        <f>VLOOKUP(A317,[1]characters!$A:$C,3,FALSE)</f>
        <v>真撃 ランスロット</v>
      </c>
      <c r="C317" s="9" t="str">
        <f>A317&amp;+(COUNTIF(A$2:A317,A317)-1)</f>
        <v>4650</v>
      </c>
      <c r="D317" s="3" t="s">
        <v>27</v>
      </c>
      <c r="E317" s="20" t="s">
        <v>30</v>
      </c>
      <c r="F317" s="30" t="s">
        <v>745</v>
      </c>
    </row>
    <row r="318" spans="1:6" x14ac:dyDescent="0.15">
      <c r="A318" s="11">
        <v>466</v>
      </c>
      <c r="B318" s="9" t="str">
        <f>VLOOKUP(A318,[1]characters!$A:$C,3,FALSE)</f>
        <v>真断の勇覇 ランスロット</v>
      </c>
      <c r="C318" s="9" t="str">
        <f>A318&amp;+(COUNTIF(A$2:A318,A318)-1)</f>
        <v>4660</v>
      </c>
      <c r="D318" s="3" t="s">
        <v>27</v>
      </c>
      <c r="E318" s="20" t="s">
        <v>746</v>
      </c>
      <c r="F318" s="20" t="s">
        <v>747</v>
      </c>
    </row>
    <row r="319" spans="1:6" x14ac:dyDescent="0.15">
      <c r="A319" s="11">
        <v>467</v>
      </c>
      <c r="B319" s="9" t="str">
        <f>VLOOKUP(A319,[1]characters!$A:$C,3,FALSE)</f>
        <v>報復 モルドレッド</v>
      </c>
      <c r="C319" s="9" t="str">
        <f>A319&amp;+(COUNTIF(A$2:A319,A319)-1)</f>
        <v>4670</v>
      </c>
      <c r="D319" s="3" t="s">
        <v>27</v>
      </c>
      <c r="E319" s="20" t="s">
        <v>32</v>
      </c>
      <c r="F319" s="29" t="s">
        <v>274</v>
      </c>
    </row>
    <row r="320" spans="1:6" x14ac:dyDescent="0.15">
      <c r="A320" s="11">
        <v>468</v>
      </c>
      <c r="B320" s="9" t="str">
        <f>VLOOKUP(A320,[1]characters!$A:$C,3,FALSE)</f>
        <v>憎愛の尖鋒 モルドレッド</v>
      </c>
      <c r="C320" s="9" t="str">
        <f>A320&amp;+(COUNTIF(A$2:A320,A320)-1)</f>
        <v>4680</v>
      </c>
      <c r="D320" s="3" t="s">
        <v>27</v>
      </c>
      <c r="E320" s="20" t="s">
        <v>31</v>
      </c>
      <c r="F320" s="20" t="s">
        <v>275</v>
      </c>
    </row>
    <row r="321" spans="1:6" x14ac:dyDescent="0.15">
      <c r="A321" s="11">
        <v>819</v>
      </c>
      <c r="B321" s="9" t="str">
        <f>VLOOKUP(A321,[1]characters!$A:$C,3,FALSE)</f>
        <v>讐命の我突 モルドレッド</v>
      </c>
      <c r="C321" s="9" t="str">
        <f>A321&amp;+(COUNTIF(A$2:A321,A321)-1)</f>
        <v>8190</v>
      </c>
      <c r="D321" s="3" t="s">
        <v>27</v>
      </c>
      <c r="E321" s="20" t="s">
        <v>31</v>
      </c>
      <c r="F321" s="77" t="s">
        <v>1142</v>
      </c>
    </row>
    <row r="322" spans="1:6" x14ac:dyDescent="0.15">
      <c r="A322" s="11">
        <v>469</v>
      </c>
      <c r="B322" s="9" t="str">
        <f>VLOOKUP(A322,[1]characters!$A:$C,3,FALSE)</f>
        <v>トリスタン</v>
      </c>
      <c r="C322" s="9" t="str">
        <f>A322&amp;+(COUNTIF(A$2:A322,A322)-1)</f>
        <v>4690</v>
      </c>
      <c r="D322" s="3" t="s">
        <v>27</v>
      </c>
      <c r="E322" s="20" t="s">
        <v>31</v>
      </c>
      <c r="F322" s="29" t="s">
        <v>276</v>
      </c>
    </row>
    <row r="323" spans="1:6" x14ac:dyDescent="0.15">
      <c r="A323" s="11">
        <v>470</v>
      </c>
      <c r="B323" s="9" t="str">
        <f>VLOOKUP(A323,[1]characters!$A:$C,3,FALSE)</f>
        <v>純心 トリスタン</v>
      </c>
      <c r="C323" s="9" t="str">
        <f>A323&amp;+(COUNTIF(A$2:A323,A323)-1)</f>
        <v>4700</v>
      </c>
      <c r="D323" s="3" t="s">
        <v>27</v>
      </c>
      <c r="E323" s="20" t="s">
        <v>30</v>
      </c>
      <c r="F323" s="29" t="s">
        <v>277</v>
      </c>
    </row>
    <row r="324" spans="1:6" x14ac:dyDescent="0.15">
      <c r="A324" s="11">
        <v>471</v>
      </c>
      <c r="B324" s="9" t="str">
        <f>VLOOKUP(A324,[1]characters!$A:$C,3,FALSE)</f>
        <v>不可避の爆激 トリスタン</v>
      </c>
      <c r="C324" s="9" t="str">
        <f>A324&amp;+(COUNTIF(A$2:A324,A324)-1)</f>
        <v>4710</v>
      </c>
      <c r="D324" s="3" t="s">
        <v>27</v>
      </c>
      <c r="E324" s="20" t="s">
        <v>31</v>
      </c>
      <c r="F324" s="29" t="s">
        <v>278</v>
      </c>
    </row>
    <row r="325" spans="1:6" x14ac:dyDescent="0.15">
      <c r="A325" s="11">
        <v>472</v>
      </c>
      <c r="B325" s="9" t="str">
        <f>VLOOKUP(A325,[1]characters!$A:$C,3,FALSE)</f>
        <v>アーサー</v>
      </c>
      <c r="C325" s="9" t="str">
        <f>A325&amp;+(COUNTIF(A$2:A325,A325)-1)</f>
        <v>4720</v>
      </c>
      <c r="D325" s="3" t="s">
        <v>27</v>
      </c>
      <c r="E325" s="31" t="s">
        <v>765</v>
      </c>
      <c r="F325" s="32" t="s">
        <v>279</v>
      </c>
    </row>
    <row r="326" spans="1:6" x14ac:dyDescent="0.15">
      <c r="A326" s="11">
        <v>473</v>
      </c>
      <c r="B326" s="9" t="str">
        <f>VLOOKUP(A326,[1]characters!$A:$C,3,FALSE)</f>
        <v>凶堅なる正義 アーサー</v>
      </c>
      <c r="C326" s="9" t="str">
        <f>A326&amp;+(COUNTIF(A$2:A326,A326)-1)</f>
        <v>4730</v>
      </c>
      <c r="D326" s="3" t="s">
        <v>27</v>
      </c>
      <c r="E326" s="31" t="s">
        <v>603</v>
      </c>
      <c r="F326" s="32" t="s">
        <v>280</v>
      </c>
    </row>
    <row r="327" spans="1:6" x14ac:dyDescent="0.15">
      <c r="A327" s="11">
        <v>820</v>
      </c>
      <c r="B327" s="9" t="str">
        <f>VLOOKUP(A327,[1]characters!$A:$C,3,FALSE)</f>
        <v>凶心者の聖儀 アーサー</v>
      </c>
      <c r="C327" s="9" t="str">
        <f>A327&amp;+(COUNTIF(A$2:A327,A327)-1)</f>
        <v>8200</v>
      </c>
      <c r="D327" s="3" t="s">
        <v>27</v>
      </c>
      <c r="E327" s="31" t="s">
        <v>30</v>
      </c>
      <c r="F327" s="80" t="s">
        <v>1150</v>
      </c>
    </row>
    <row r="328" spans="1:6" x14ac:dyDescent="0.15">
      <c r="A328" s="11">
        <v>474</v>
      </c>
      <c r="B328" s="9" t="str">
        <f>VLOOKUP(A328,[1]characters!$A:$C,3,FALSE)</f>
        <v>キング・ドライグ</v>
      </c>
      <c r="C328" s="9" t="str">
        <f>A328&amp;+(COUNTIF(A$2:A328,A328)-1)</f>
        <v>4740</v>
      </c>
      <c r="D328" s="3" t="s">
        <v>27</v>
      </c>
      <c r="E328" s="31" t="s">
        <v>714</v>
      </c>
      <c r="F328" s="32" t="s">
        <v>750</v>
      </c>
    </row>
    <row r="329" spans="1:6" x14ac:dyDescent="0.15">
      <c r="A329" s="11">
        <v>475</v>
      </c>
      <c r="B329" s="9" t="str">
        <f>VLOOKUP(A329,[1]characters!$A:$C,3,FALSE)</f>
        <v>緋王 キング・ドライグ</v>
      </c>
      <c r="C329" s="9" t="str">
        <f>A329&amp;+(COUNTIF(A$2:A329,A329)-1)</f>
        <v>4750</v>
      </c>
      <c r="D329" s="3" t="s">
        <v>27</v>
      </c>
      <c r="E329" s="31" t="s">
        <v>714</v>
      </c>
      <c r="F329" s="32" t="s">
        <v>751</v>
      </c>
    </row>
    <row r="330" spans="1:6" x14ac:dyDescent="0.15">
      <c r="A330" s="11">
        <v>476</v>
      </c>
      <c r="B330" s="9" t="str">
        <f>VLOOKUP(A330,[1]characters!$A:$C,3,FALSE)</f>
        <v>ファータ</v>
      </c>
      <c r="C330" s="9" t="str">
        <f>A330&amp;+(COUNTIF(A$2:A330,A330)-1)</f>
        <v>4760</v>
      </c>
      <c r="D330" s="3" t="s">
        <v>27</v>
      </c>
      <c r="E330" s="31" t="s">
        <v>620</v>
      </c>
      <c r="F330" s="32" t="s">
        <v>753</v>
      </c>
    </row>
    <row r="331" spans="1:6" x14ac:dyDescent="0.15">
      <c r="A331" s="11">
        <v>477</v>
      </c>
      <c r="B331" s="9" t="str">
        <f>VLOOKUP(A331,[1]characters!$A:$C,3,FALSE)</f>
        <v>愛羽妖精 ファータ</v>
      </c>
      <c r="C331" s="9" t="str">
        <f>A331&amp;+(COUNTIF(A$2:A331,A331)-1)</f>
        <v>4770</v>
      </c>
      <c r="D331" s="3" t="s">
        <v>27</v>
      </c>
      <c r="E331" s="31" t="s">
        <v>754</v>
      </c>
      <c r="F331" s="32" t="s">
        <v>755</v>
      </c>
    </row>
    <row r="332" spans="1:6" x14ac:dyDescent="0.15">
      <c r="A332" s="11">
        <v>478</v>
      </c>
      <c r="B332" s="9" t="str">
        <f>VLOOKUP(A332,[1]characters!$A:$C,3,FALSE)</f>
        <v>時計仕掛けの愛羽妖精 ファータ</v>
      </c>
      <c r="C332" s="9" t="str">
        <f>A332&amp;+(COUNTIF(A$2:A332,A332)-1)</f>
        <v>4780</v>
      </c>
      <c r="D332" s="3" t="s">
        <v>27</v>
      </c>
      <c r="E332" s="31" t="s">
        <v>754</v>
      </c>
      <c r="F332" s="32" t="s">
        <v>756</v>
      </c>
    </row>
    <row r="333" spans="1:6" x14ac:dyDescent="0.15">
      <c r="A333" s="11">
        <v>479</v>
      </c>
      <c r="B333" s="9" t="str">
        <f>VLOOKUP(A333,[1]characters!$A:$C,3,FALSE)</f>
        <v>フール</v>
      </c>
      <c r="C333" s="9" t="str">
        <f>A333&amp;+(COUNTIF(A$2:A333,A333)-1)</f>
        <v>4790</v>
      </c>
      <c r="D333" s="3" t="s">
        <v>27</v>
      </c>
      <c r="E333" s="31" t="s">
        <v>754</v>
      </c>
      <c r="F333" s="32" t="s">
        <v>757</v>
      </c>
    </row>
    <row r="334" spans="1:6" x14ac:dyDescent="0.15">
      <c r="A334" s="11">
        <v>480</v>
      </c>
      <c r="B334" s="9" t="str">
        <f>VLOOKUP(A334,[1]characters!$A:$C,3,FALSE)</f>
        <v>夢幻の愚者フール</v>
      </c>
      <c r="C334" s="9" t="str">
        <f>A334&amp;+(COUNTIF(A$2:A334,A334)-1)</f>
        <v>4800</v>
      </c>
      <c r="D334" s="3" t="s">
        <v>27</v>
      </c>
      <c r="E334" s="31" t="s">
        <v>766</v>
      </c>
      <c r="F334" s="32" t="s">
        <v>767</v>
      </c>
    </row>
    <row r="335" spans="1:6" x14ac:dyDescent="0.15">
      <c r="A335" s="11">
        <v>481</v>
      </c>
      <c r="B335" s="9" t="str">
        <f>VLOOKUP(A335,[1]characters!$A:$C,3,FALSE)</f>
        <v>沢庵宗彭</v>
      </c>
      <c r="C335" s="9" t="str">
        <f>A335&amp;+(COUNTIF(A$2:A335,A335)-1)</f>
        <v>4810</v>
      </c>
      <c r="D335" s="3" t="s">
        <v>27</v>
      </c>
      <c r="E335" s="33" t="s">
        <v>768</v>
      </c>
      <c r="F335" s="32" t="s">
        <v>758</v>
      </c>
    </row>
    <row r="336" spans="1:6" x14ac:dyDescent="0.15">
      <c r="A336" s="11">
        <v>482</v>
      </c>
      <c r="B336" s="9" t="str">
        <f>VLOOKUP(A336,[1]characters!$A:$C,3,FALSE)</f>
        <v>魁僧 沢庵宗彭</v>
      </c>
      <c r="C336" s="9" t="str">
        <f>A336&amp;+(COUNTIF(A$2:A336,A336)-1)</f>
        <v>4820</v>
      </c>
      <c r="D336" s="3" t="s">
        <v>27</v>
      </c>
      <c r="E336" s="33" t="s">
        <v>766</v>
      </c>
      <c r="F336" s="32" t="s">
        <v>759</v>
      </c>
    </row>
    <row r="337" spans="1:6" x14ac:dyDescent="0.15">
      <c r="A337" s="11">
        <v>483</v>
      </c>
      <c r="B337" s="9" t="str">
        <f>VLOOKUP(A337,[1]characters!$A:$C,3,FALSE)</f>
        <v xml:space="preserve">命経死遂 沢庵宗彭 </v>
      </c>
      <c r="C337" s="9" t="str">
        <f>A337&amp;+(COUNTIF(A$2:A337,A337)-1)</f>
        <v>4830</v>
      </c>
      <c r="D337" s="3" t="s">
        <v>27</v>
      </c>
      <c r="E337" s="33" t="s">
        <v>766</v>
      </c>
      <c r="F337" s="32" t="s">
        <v>760</v>
      </c>
    </row>
    <row r="338" spans="1:6" x14ac:dyDescent="0.15">
      <c r="A338" s="11">
        <v>484</v>
      </c>
      <c r="B338" s="9" t="str">
        <f>VLOOKUP(A338,[1]characters!$A:$C,3,FALSE)</f>
        <v>ラグランジュ</v>
      </c>
      <c r="C338" s="9" t="str">
        <f>A338&amp;+(COUNTIF(A$2:A338,A338)-1)</f>
        <v>4840</v>
      </c>
      <c r="D338" s="3" t="s">
        <v>27</v>
      </c>
      <c r="E338" s="31" t="s">
        <v>30</v>
      </c>
      <c r="F338" s="32" t="s">
        <v>769</v>
      </c>
    </row>
    <row r="339" spans="1:6" x14ac:dyDescent="0.15">
      <c r="A339" s="11">
        <v>485</v>
      </c>
      <c r="B339" s="9" t="str">
        <f>VLOOKUP(A339,[1]characters!$A:$C,3,FALSE)</f>
        <v>超越自我 ラグランジュ</v>
      </c>
      <c r="C339" s="9" t="str">
        <f>A339&amp;+(COUNTIF(A$2:A339,A339)-1)</f>
        <v>4850</v>
      </c>
      <c r="D339" s="3" t="s">
        <v>27</v>
      </c>
      <c r="E339" s="31" t="s">
        <v>30</v>
      </c>
      <c r="F339" s="32" t="s">
        <v>748</v>
      </c>
    </row>
    <row r="340" spans="1:6" x14ac:dyDescent="0.15">
      <c r="A340" s="11">
        <v>486</v>
      </c>
      <c r="B340" s="9" t="str">
        <f>VLOOKUP(A340,[1]characters!$A:$C,3,FALSE)</f>
        <v>重なる世解 シュレディンガー</v>
      </c>
      <c r="C340" s="9" t="str">
        <f>A340&amp;+(COUNTIF(A$2:A340,A340)-1)</f>
        <v>4860</v>
      </c>
      <c r="D340" s="3" t="s">
        <v>27</v>
      </c>
      <c r="E340" s="31" t="s">
        <v>30</v>
      </c>
      <c r="F340" s="32" t="s">
        <v>1004</v>
      </c>
    </row>
    <row r="341" spans="1:6" x14ac:dyDescent="0.15">
      <c r="A341" s="11">
        <v>797</v>
      </c>
      <c r="B341" s="9" t="str">
        <f>VLOOKUP(A341,[1]characters!$A:$C,3,FALSE)</f>
        <v>崩烙の世解 シュレディンガー</v>
      </c>
      <c r="C341" s="9" t="str">
        <f>A341&amp;+(COUNTIF(A$2:A341,A341)-1)</f>
        <v>7970</v>
      </c>
      <c r="D341" s="3" t="s">
        <v>27</v>
      </c>
      <c r="E341" s="31" t="s">
        <v>30</v>
      </c>
      <c r="F341" s="32" t="s">
        <v>1137</v>
      </c>
    </row>
    <row r="342" spans="1:6" x14ac:dyDescent="0.15">
      <c r="A342" s="11">
        <v>488</v>
      </c>
      <c r="B342" s="9" t="str">
        <f>VLOOKUP(A342,[1]characters!$A:$C,3,FALSE)</f>
        <v>直観の異論 ヘンペル</v>
      </c>
      <c r="C342" s="9" t="str">
        <f>A342&amp;+(COUNTIF(A$2:A342,A342)-1)</f>
        <v>4880</v>
      </c>
      <c r="D342" s="3" t="s">
        <v>27</v>
      </c>
      <c r="E342" s="20" t="s">
        <v>620</v>
      </c>
      <c r="F342" s="29" t="s">
        <v>749</v>
      </c>
    </row>
    <row r="343" spans="1:6" x14ac:dyDescent="0.15">
      <c r="A343" s="11">
        <v>800</v>
      </c>
      <c r="B343" s="9" t="str">
        <f>VLOOKUP(A343,[1]characters!$A:$C,3,FALSE)</f>
        <v>蒼穹包む命題 ヘンペル</v>
      </c>
      <c r="C343" s="9" t="str">
        <f>A343&amp;+(COUNTIF(A$2:A343,A343)-1)</f>
        <v>8000</v>
      </c>
      <c r="D343" s="3" t="s">
        <v>27</v>
      </c>
      <c r="E343" s="20" t="s">
        <v>620</v>
      </c>
      <c r="F343" s="29" t="s">
        <v>1100</v>
      </c>
    </row>
    <row r="344" spans="1:6" x14ac:dyDescent="0.15">
      <c r="A344" s="11">
        <v>512</v>
      </c>
      <c r="B344" s="9" t="str">
        <f>VLOOKUP(A344,[1]characters!$A:$C,3,FALSE)</f>
        <v>聖火の逆徒 クリスマス・ベリアル</v>
      </c>
      <c r="C344" s="9" t="str">
        <f>A344&amp;+(COUNTIF(A$2:A344,A344)-1)</f>
        <v>5120</v>
      </c>
      <c r="D344" s="3" t="s">
        <v>27</v>
      </c>
      <c r="E344" s="20" t="s">
        <v>768</v>
      </c>
      <c r="F344" s="29" t="s">
        <v>281</v>
      </c>
    </row>
    <row r="345" spans="1:6" x14ac:dyDescent="0.15">
      <c r="A345" s="11">
        <v>513</v>
      </c>
      <c r="B345" s="9" t="str">
        <f>VLOOKUP(A345,[1]characters!$A:$C,3,FALSE)</f>
        <v>爆進の荷炎 クリスマス・ベリアル</v>
      </c>
      <c r="C345" s="9" t="str">
        <f>A345&amp;+(COUNTIF(A$2:A345,A345)-1)</f>
        <v>5130</v>
      </c>
      <c r="D345" s="3" t="s">
        <v>27</v>
      </c>
      <c r="E345" s="20" t="s">
        <v>768</v>
      </c>
      <c r="F345" s="29" t="s">
        <v>282</v>
      </c>
    </row>
    <row r="346" spans="1:6" x14ac:dyDescent="0.15">
      <c r="A346" s="11">
        <v>514</v>
      </c>
      <c r="B346" s="9" t="str">
        <f>VLOOKUP(A346,[1]characters!$A:$C,3,FALSE)</f>
        <v>祝宴の識徒 サンタクロース・オセ</v>
      </c>
      <c r="C346" s="9" t="str">
        <f>A346&amp;+(COUNTIF(A$2:A346,A346)-1)</f>
        <v>5140</v>
      </c>
      <c r="D346" s="3" t="s">
        <v>27</v>
      </c>
      <c r="E346" s="20" t="s">
        <v>766</v>
      </c>
      <c r="F346" s="29" t="s">
        <v>283</v>
      </c>
    </row>
    <row r="347" spans="1:6" x14ac:dyDescent="0.15">
      <c r="A347" s="11">
        <v>515</v>
      </c>
      <c r="B347" s="9" t="str">
        <f>VLOOKUP(A347,[1]characters!$A:$C,3,FALSE)</f>
        <v>聖夜の贈主 サンタクロース・オセ</v>
      </c>
      <c r="C347" s="9" t="str">
        <f>A347&amp;+(COUNTIF(A$2:A347,A347)-1)</f>
        <v>5150</v>
      </c>
      <c r="D347" s="3" t="s">
        <v>27</v>
      </c>
      <c r="E347" s="20" t="s">
        <v>761</v>
      </c>
      <c r="F347" s="29" t="s">
        <v>284</v>
      </c>
    </row>
    <row r="348" spans="1:6" x14ac:dyDescent="0.15">
      <c r="A348" s="11">
        <v>516</v>
      </c>
      <c r="B348" s="9" t="str">
        <f>VLOOKUP(A348,[1]characters!$A:$C,3,FALSE)</f>
        <v>聖母 マリア</v>
      </c>
      <c r="C348" s="9" t="str">
        <f>A348&amp;+(COUNTIF(A$2:A348,A348)-1)</f>
        <v>5160</v>
      </c>
      <c r="D348" s="3" t="s">
        <v>27</v>
      </c>
      <c r="E348" s="20" t="s">
        <v>762</v>
      </c>
      <c r="F348" s="29" t="s">
        <v>285</v>
      </c>
    </row>
    <row r="349" spans="1:6" x14ac:dyDescent="0.15">
      <c r="A349" s="11">
        <v>517</v>
      </c>
      <c r="B349" s="9" t="str">
        <f>VLOOKUP(A349,[1]characters!$A:$C,3,FALSE)</f>
        <v>真冬の誕生祭 マリア</v>
      </c>
      <c r="C349" s="9" t="str">
        <f>A349&amp;+(COUNTIF(A$2:A349,A349)-1)</f>
        <v>5170</v>
      </c>
      <c r="D349" s="3" t="s">
        <v>27</v>
      </c>
      <c r="E349" s="20" t="s">
        <v>762</v>
      </c>
      <c r="F349" s="29" t="s">
        <v>286</v>
      </c>
    </row>
    <row r="350" spans="1:6" x14ac:dyDescent="0.15">
      <c r="A350" s="11">
        <v>518</v>
      </c>
      <c r="B350" s="9" t="str">
        <f>VLOOKUP(A350,[1]characters!$A:$C,3,FALSE)</f>
        <v>秘来の聖天使 ミカエル</v>
      </c>
      <c r="C350" s="9" t="str">
        <f>A350&amp;+(COUNTIF(A$2:A350,A350)-1)</f>
        <v>5180</v>
      </c>
      <c r="D350" s="3" t="s">
        <v>27</v>
      </c>
      <c r="E350" s="20" t="s">
        <v>763</v>
      </c>
      <c r="F350" s="29" t="s">
        <v>287</v>
      </c>
    </row>
    <row r="351" spans="1:6" x14ac:dyDescent="0.15">
      <c r="A351" s="11">
        <v>519</v>
      </c>
      <c r="B351" s="9" t="str">
        <f>VLOOKUP(A351,[1]characters!$A:$C,3,FALSE)</f>
        <v>夜天の聖天使 ミカエル・ハレルヤ</v>
      </c>
      <c r="C351" s="9" t="str">
        <f>A351&amp;+(COUNTIF(A$2:A351,A351)-1)</f>
        <v>5190</v>
      </c>
      <c r="D351" s="3" t="s">
        <v>27</v>
      </c>
      <c r="E351" s="31" t="s">
        <v>763</v>
      </c>
      <c r="F351" s="32" t="s">
        <v>764</v>
      </c>
    </row>
    <row r="352" spans="1:6" x14ac:dyDescent="0.15">
      <c r="A352" s="11">
        <v>796</v>
      </c>
      <c r="B352" s="9" t="str">
        <f>VLOOKUP(A352,[1]characters!$A:$C,3,FALSE)</f>
        <v>超越凌駕 ラグランジュ</v>
      </c>
      <c r="C352" s="9" t="str">
        <f>A352&amp;+(COUNTIF(A$2:A352,A352)-1)</f>
        <v>7960</v>
      </c>
      <c r="D352" s="3" t="s">
        <v>27</v>
      </c>
      <c r="E352" s="20" t="s">
        <v>30</v>
      </c>
      <c r="F352" s="32" t="s">
        <v>1124</v>
      </c>
    </row>
    <row r="353" spans="1:6" x14ac:dyDescent="0.15">
      <c r="A353" s="11">
        <v>870</v>
      </c>
      <c r="B353" s="9" t="str">
        <f>VLOOKUP(A353,[1]characters!$A:$C,3,FALSE)</f>
        <v>フロイト</v>
      </c>
      <c r="C353" s="9" t="str">
        <f>A353&amp;+(COUNTIF(A$2:A353,A353)-1)</f>
        <v>8700</v>
      </c>
      <c r="D353" s="3" t="s">
        <v>27</v>
      </c>
      <c r="E353" s="20" t="s">
        <v>30</v>
      </c>
      <c r="F353" s="29" t="s">
        <v>1118</v>
      </c>
    </row>
    <row r="354" spans="1:6" x14ac:dyDescent="0.15">
      <c r="A354" s="11">
        <v>871</v>
      </c>
      <c r="B354" s="9" t="str">
        <f>VLOOKUP(A354,[1]characters!$A:$C,3,FALSE)</f>
        <v>無我夢中の羊狩り フロイト</v>
      </c>
      <c r="C354" s="9" t="str">
        <f>A354&amp;+(COUNTIF(A$2:A354,A354)-1)</f>
        <v>8710</v>
      </c>
      <c r="D354" s="3" t="s">
        <v>27</v>
      </c>
      <c r="E354" s="31" t="s">
        <v>31</v>
      </c>
      <c r="F354" s="32" t="s">
        <v>1119</v>
      </c>
    </row>
    <row r="355" spans="1:6" x14ac:dyDescent="0.15">
      <c r="A355" s="11">
        <v>872</v>
      </c>
      <c r="B355" s="9" t="str">
        <f>VLOOKUP(A355,[1]characters!$A:$C,3,FALSE)</f>
        <v>シュヴァルツシルト</v>
      </c>
      <c r="C355" s="9" t="str">
        <f>A355&amp;+(COUNTIF(A$2:A355,A355)-1)</f>
        <v>8720</v>
      </c>
      <c r="D355" s="3" t="s">
        <v>27</v>
      </c>
      <c r="E355" s="20" t="s">
        <v>30</v>
      </c>
      <c r="F355" s="29" t="s">
        <v>1178</v>
      </c>
    </row>
    <row r="356" spans="1:6" x14ac:dyDescent="0.15">
      <c r="A356" s="11">
        <v>873</v>
      </c>
      <c r="B356" s="9" t="str">
        <f>VLOOKUP(A356,[1]characters!$A:$C,3,FALSE)</f>
        <v>時歪の特異天 シュヴァルツシルト</v>
      </c>
      <c r="C356" s="9" t="str">
        <f>A356&amp;+(COUNTIF(A$2:A356,A356)-1)</f>
        <v>8730</v>
      </c>
      <c r="D356" s="3" t="s">
        <v>27</v>
      </c>
      <c r="E356" s="31" t="s">
        <v>30</v>
      </c>
      <c r="F356" s="32" t="s">
        <v>1179</v>
      </c>
    </row>
    <row r="357" spans="1:6" x14ac:dyDescent="0.15">
      <c r="A357" s="11">
        <v>874</v>
      </c>
      <c r="B357" s="9" t="str">
        <f>VLOOKUP(A357,[1]characters!$A:$C,3,FALSE)</f>
        <v>フレネル</v>
      </c>
      <c r="C357" s="9" t="str">
        <f>A357&amp;+(COUNTIF(A$2:A357,A357)-1)</f>
        <v>8740</v>
      </c>
      <c r="D357" s="3" t="s">
        <v>27</v>
      </c>
      <c r="E357" s="85" t="s">
        <v>1198</v>
      </c>
      <c r="F357" s="85" t="s">
        <v>1199</v>
      </c>
    </row>
    <row r="358" spans="1:6" x14ac:dyDescent="0.15">
      <c r="A358" s="11">
        <v>875</v>
      </c>
      <c r="B358" s="9" t="str">
        <f>VLOOKUP(A358,[1]characters!$A:$C,3,FALSE)</f>
        <v>覇導の光跡 フレネル</v>
      </c>
      <c r="C358" s="9" t="str">
        <f>A358&amp;+(COUNTIF(A$2:A358,A358)-1)</f>
        <v>8750</v>
      </c>
      <c r="D358" s="3" t="s">
        <v>27</v>
      </c>
      <c r="E358" s="85" t="s">
        <v>31</v>
      </c>
      <c r="F358" s="85" t="s">
        <v>1200</v>
      </c>
    </row>
    <row r="359" spans="1:6" x14ac:dyDescent="0.15">
      <c r="A359" s="11">
        <v>880</v>
      </c>
      <c r="B359" s="9" t="str">
        <f>VLOOKUP(A359,[1]characters!$A:$C,3,FALSE)</f>
        <v>ハーシェル</v>
      </c>
      <c r="C359" s="9" t="str">
        <f>A359&amp;+(COUNTIF(A$2:A359,A359)-1)</f>
        <v>8800</v>
      </c>
      <c r="D359" s="3" t="s">
        <v>27</v>
      </c>
      <c r="E359" s="31" t="s">
        <v>31</v>
      </c>
      <c r="F359" s="29" t="s">
        <v>1152</v>
      </c>
    </row>
    <row r="360" spans="1:6" x14ac:dyDescent="0.15">
      <c r="A360" s="11">
        <v>881</v>
      </c>
      <c r="B360" s="9" t="str">
        <f>VLOOKUP(A360,[1]characters!$A:$C,3,FALSE)</f>
        <v>銀河究星の望観者 ハーシェル</v>
      </c>
      <c r="C360" s="9" t="str">
        <f>A360&amp;+(COUNTIF(A$2:A360,A360)-1)</f>
        <v>8810</v>
      </c>
      <c r="D360" s="3" t="s">
        <v>27</v>
      </c>
      <c r="E360" s="31" t="s">
        <v>31</v>
      </c>
      <c r="F360" s="32" t="s">
        <v>1153</v>
      </c>
    </row>
    <row r="361" spans="1:6" x14ac:dyDescent="0.15">
      <c r="A361" s="11">
        <v>750</v>
      </c>
      <c r="B361" s="9" t="str">
        <f>VLOOKUP(A361,[1]characters!$A:$C,3,FALSE)</f>
        <v>ポアソン</v>
      </c>
      <c r="C361" s="9" t="str">
        <f>A361&amp;+(COUNTIF(A$2:A361,A361)-1)</f>
        <v>7500</v>
      </c>
      <c r="D361" s="3" t="s">
        <v>27</v>
      </c>
      <c r="E361" s="31" t="s">
        <v>504</v>
      </c>
      <c r="F361" s="83" t="s">
        <v>1190</v>
      </c>
    </row>
    <row r="362" spans="1:6" x14ac:dyDescent="0.15">
      <c r="A362" s="11">
        <v>751</v>
      </c>
      <c r="B362" s="9" t="str">
        <f>VLOOKUP(A362,[1]characters!$A:$C,3,FALSE)</f>
        <v>交錯の旋匣 ポアソン</v>
      </c>
      <c r="C362" s="9" t="str">
        <f>A362&amp;+(COUNTIF(A$2:A362,A362)-1)</f>
        <v>7510</v>
      </c>
      <c r="D362" s="3" t="s">
        <v>27</v>
      </c>
      <c r="E362" s="31" t="s">
        <v>504</v>
      </c>
      <c r="F362" s="81" t="s">
        <v>1191</v>
      </c>
    </row>
    <row r="363" spans="1:6" x14ac:dyDescent="0.15">
      <c r="A363" s="11">
        <v>974</v>
      </c>
      <c r="B363" s="9" t="str">
        <f>VLOOKUP(A363,[1]characters!$A:$C,3,FALSE)</f>
        <v>ブール</v>
      </c>
      <c r="C363" s="9" t="str">
        <f>A363&amp;+(COUNTIF(A$2:A363,A363)-1)</f>
        <v>9740</v>
      </c>
      <c r="D363" s="3" t="s">
        <v>27</v>
      </c>
      <c r="E363" s="31" t="s">
        <v>31</v>
      </c>
      <c r="F363" s="83" t="s">
        <v>1172</v>
      </c>
    </row>
    <row r="364" spans="1:6" x14ac:dyDescent="0.15">
      <c r="A364" s="11">
        <v>975</v>
      </c>
      <c r="B364" s="9" t="str">
        <f>VLOOKUP(A364,[1]characters!$A:$C,3,FALSE)</f>
        <v>綺号を巡る輝翼 ブール</v>
      </c>
      <c r="C364" s="9" t="str">
        <f>A364&amp;+(COUNTIF(A$2:A364,A364)-1)</f>
        <v>9750</v>
      </c>
      <c r="D364" s="3" t="s">
        <v>27</v>
      </c>
      <c r="E364" s="31" t="s">
        <v>31</v>
      </c>
      <c r="F364" s="83" t="s">
        <v>1173</v>
      </c>
    </row>
    <row r="365" spans="1:6" x14ac:dyDescent="0.15">
      <c r="A365" s="11">
        <v>953</v>
      </c>
      <c r="B365" s="9" t="str">
        <f>VLOOKUP(A365,[1]characters!$A:$C,3,FALSE)</f>
        <v>ハイゼンベルク</v>
      </c>
      <c r="C365" s="9" t="str">
        <f>A365&amp;+(COUNTIF(A$2:A365,A365)-1)</f>
        <v>9530</v>
      </c>
      <c r="D365" s="3" t="s">
        <v>27</v>
      </c>
      <c r="E365" s="31" t="s">
        <v>31</v>
      </c>
      <c r="F365" s="29" t="s">
        <v>1154</v>
      </c>
    </row>
    <row r="366" spans="1:6" x14ac:dyDescent="0.15">
      <c r="A366" s="11">
        <v>954</v>
      </c>
      <c r="B366" s="9" t="str">
        <f>VLOOKUP(A366,[1]characters!$A:$C,3,FALSE)</f>
        <v>不確の量熔者 ハイゼンベルク</v>
      </c>
      <c r="C366" s="9" t="str">
        <f>A366&amp;+(COUNTIF(A$2:A366,A366)-1)</f>
        <v>9540</v>
      </c>
      <c r="D366" s="3" t="s">
        <v>27</v>
      </c>
      <c r="E366" s="31" t="s">
        <v>31</v>
      </c>
      <c r="F366" s="32" t="s">
        <v>1155</v>
      </c>
    </row>
    <row r="367" spans="1:6" x14ac:dyDescent="0.15">
      <c r="A367" s="11">
        <v>1039</v>
      </c>
      <c r="B367" s="9" t="str">
        <f>VLOOKUP(A367,[1]characters!$A:$C,3,FALSE)</f>
        <v>ディラック</v>
      </c>
      <c r="C367" s="9" t="str">
        <f>A367&amp;+(COUNTIF(A$2:A367,A367)-1)</f>
        <v>10390</v>
      </c>
      <c r="D367" s="3" t="s">
        <v>27</v>
      </c>
      <c r="E367" s="31" t="s">
        <v>504</v>
      </c>
      <c r="F367" s="32" t="s">
        <v>1215</v>
      </c>
    </row>
    <row r="368" spans="1:6" x14ac:dyDescent="0.15">
      <c r="A368" s="11">
        <v>1040</v>
      </c>
      <c r="B368" s="9" t="str">
        <f>VLOOKUP(A368,[1]characters!$A:$C,3,FALSE)</f>
        <v>蒼流の電磁団 ディラック</v>
      </c>
      <c r="C368" s="9" t="str">
        <f>A368&amp;+(COUNTIF(A$2:A368,A368)-1)</f>
        <v>10400</v>
      </c>
      <c r="D368" s="3" t="s">
        <v>27</v>
      </c>
      <c r="E368" s="31" t="s">
        <v>1217</v>
      </c>
      <c r="F368" s="32" t="s">
        <v>1216</v>
      </c>
    </row>
    <row r="369" spans="1:6" x14ac:dyDescent="0.15">
      <c r="A369" s="11">
        <v>1109</v>
      </c>
      <c r="B369" s="9" t="str">
        <f>VLOOKUP(A369,[1]characters!$A:$C,3,FALSE)</f>
        <v>セキ</v>
      </c>
      <c r="C369" s="9" t="str">
        <f>A369&amp;+(COUNTIF(A$2:A369,A369)-1)</f>
        <v>11090</v>
      </c>
      <c r="D369" s="3" t="s">
        <v>27</v>
      </c>
      <c r="E369" s="92" t="s">
        <v>1096</v>
      </c>
      <c r="F369" s="92" t="s">
        <v>1218</v>
      </c>
    </row>
    <row r="370" spans="1:6" x14ac:dyDescent="0.15">
      <c r="A370" s="11">
        <v>1110</v>
      </c>
      <c r="B370" s="9" t="str">
        <f>VLOOKUP(A370,[1]characters!$A:$C,3,FALSE)</f>
        <v>天竄の炎斬式 セキ</v>
      </c>
      <c r="C370" s="9" t="str">
        <f>A370&amp;+(COUNTIF(A$2:A370,A370)-1)</f>
        <v>11100</v>
      </c>
      <c r="D370" s="3" t="s">
        <v>27</v>
      </c>
      <c r="E370" s="92" t="s">
        <v>1098</v>
      </c>
      <c r="F370" s="92" t="s">
        <v>1219</v>
      </c>
    </row>
    <row r="371" spans="1:6" x14ac:dyDescent="0.15">
      <c r="A371" s="11">
        <v>3</v>
      </c>
      <c r="B371" s="9" t="str">
        <f>VLOOKUP(A371,[1]characters!$A:$C,3,FALSE)</f>
        <v>エージェント ジョー</v>
      </c>
      <c r="C371" s="9" t="str">
        <f>A371&amp;+(COUNTIF(A$2:A371,A371)-1)</f>
        <v>31</v>
      </c>
      <c r="D371" s="3" t="s">
        <v>27</v>
      </c>
      <c r="E371" s="22" t="s">
        <v>606</v>
      </c>
      <c r="F371" s="22" t="s">
        <v>1110</v>
      </c>
    </row>
    <row r="372" spans="1:6" x14ac:dyDescent="0.15">
      <c r="A372" s="11">
        <v>4</v>
      </c>
      <c r="B372" s="9" t="str">
        <f>VLOOKUP(A372,[1]characters!$A:$C,3,FALSE)</f>
        <v>エースエージェント ジョー</v>
      </c>
      <c r="C372" s="9" t="str">
        <f>A372&amp;+(COUNTIF(A$2:A372,A372)-1)</f>
        <v>41</v>
      </c>
      <c r="D372" s="3" t="s">
        <v>27</v>
      </c>
      <c r="E372" s="22" t="s">
        <v>606</v>
      </c>
      <c r="F372" s="22" t="s">
        <v>1111</v>
      </c>
    </row>
    <row r="373" spans="1:6" x14ac:dyDescent="0.15">
      <c r="A373" s="11">
        <v>5</v>
      </c>
      <c r="B373" s="9" t="str">
        <f>VLOOKUP(A373,[1]characters!$A:$C,3,FALSE)</f>
        <v>パトドッグ ポチ</v>
      </c>
      <c r="C373" s="9" t="str">
        <f>A373&amp;+(COUNTIF(A$2:A373,A373)-1)</f>
        <v>51</v>
      </c>
      <c r="D373" s="3" t="s">
        <v>27</v>
      </c>
      <c r="E373" s="22" t="s">
        <v>30</v>
      </c>
      <c r="F373" s="22" t="s">
        <v>1112</v>
      </c>
    </row>
    <row r="374" spans="1:6" x14ac:dyDescent="0.15">
      <c r="A374" s="11">
        <v>6</v>
      </c>
      <c r="B374" s="9" t="str">
        <f>VLOOKUP(A374,[1]characters!$A:$C,3,FALSE)</f>
        <v>パトドッグリーダー ポチ</v>
      </c>
      <c r="C374" s="9" t="str">
        <f>A374&amp;+(COUNTIF(A$2:A374,A374)-1)</f>
        <v>61</v>
      </c>
      <c r="D374" s="3" t="s">
        <v>27</v>
      </c>
      <c r="E374" s="22" t="s">
        <v>30</v>
      </c>
      <c r="F374" s="22" t="s">
        <v>1113</v>
      </c>
    </row>
    <row r="375" spans="1:6" x14ac:dyDescent="0.15">
      <c r="A375" s="11">
        <v>7</v>
      </c>
      <c r="B375" s="9" t="str">
        <f>VLOOKUP(A375,[1]characters!$A:$C,3,FALSE)</f>
        <v>エレキポット</v>
      </c>
      <c r="C375" s="9" t="str">
        <f>A375&amp;+(COUNTIF(A$2:A375,A375)-1)</f>
        <v>71</v>
      </c>
      <c r="D375" s="3" t="s">
        <v>27</v>
      </c>
      <c r="E375" s="22" t="s">
        <v>31</v>
      </c>
      <c r="F375" s="22" t="s">
        <v>1114</v>
      </c>
    </row>
    <row r="376" spans="1:6" x14ac:dyDescent="0.15">
      <c r="A376" s="11">
        <v>8</v>
      </c>
      <c r="B376" s="9" t="str">
        <f>VLOOKUP(A376,[1]characters!$A:$C,3,FALSE)</f>
        <v>ハイボルテージ エレキポット</v>
      </c>
      <c r="C376" s="9" t="str">
        <f>A376&amp;+(COUNTIF(A$2:A376,A376)-1)</f>
        <v>81</v>
      </c>
      <c r="D376" s="3" t="s">
        <v>27</v>
      </c>
      <c r="E376" s="22" t="s">
        <v>31</v>
      </c>
      <c r="F376" s="22" t="s">
        <v>1115</v>
      </c>
    </row>
    <row r="377" spans="1:6" x14ac:dyDescent="0.15">
      <c r="A377" s="11">
        <v>41</v>
      </c>
      <c r="B377" s="9" t="str">
        <f>VLOOKUP(A377,[1]characters!$A:$C,3,FALSE)</f>
        <v>ヒュウガ</v>
      </c>
      <c r="C377" s="9" t="str">
        <f>A377&amp;+(COUNTIF(A$2:A377,A377)-1)</f>
        <v>411</v>
      </c>
      <c r="D377" s="3" t="s">
        <v>27</v>
      </c>
      <c r="E377" s="22" t="s">
        <v>31</v>
      </c>
      <c r="F377" s="22" t="s">
        <v>1116</v>
      </c>
    </row>
    <row r="378" spans="1:6" x14ac:dyDescent="0.15">
      <c r="A378" s="11">
        <v>42</v>
      </c>
      <c r="B378" s="9" t="str">
        <f>VLOOKUP(A378,[1]characters!$A:$C,3,FALSE)</f>
        <v>燃えゆる吐息 ヒュウガ</v>
      </c>
      <c r="C378" s="9" t="str">
        <f>A378&amp;+(COUNTIF(A$2:A378,A378)-1)</f>
        <v>421</v>
      </c>
      <c r="D378" s="3" t="s">
        <v>27</v>
      </c>
      <c r="E378" s="22" t="s">
        <v>31</v>
      </c>
      <c r="F378" s="22" t="s">
        <v>1117</v>
      </c>
    </row>
    <row r="379" spans="1:6" x14ac:dyDescent="0.15">
      <c r="A379" s="11">
        <v>77</v>
      </c>
      <c r="B379" s="9" t="str">
        <f>VLOOKUP(A379,[1]characters!$A:$C,3,FALSE)</f>
        <v>潜伏型メリッサ</v>
      </c>
      <c r="C379" s="9" t="str">
        <f>A379&amp;+(COUNTIF(A$2:A379,A379)-1)</f>
        <v>771</v>
      </c>
      <c r="D379" s="3" t="s">
        <v>27</v>
      </c>
      <c r="E379" s="20" t="s">
        <v>770</v>
      </c>
      <c r="F379" s="20" t="s">
        <v>598</v>
      </c>
    </row>
    <row r="380" spans="1:6" x14ac:dyDescent="0.15">
      <c r="A380" s="11">
        <v>78</v>
      </c>
      <c r="B380" s="9" t="str">
        <f>VLOOKUP(A380,[1]characters!$A:$C,3,FALSE)</f>
        <v>擬態潜伏型メリッサ2.0</v>
      </c>
      <c r="C380" s="9" t="str">
        <f>A380&amp;+(COUNTIF(A$2:A380,A380)-1)</f>
        <v>781</v>
      </c>
      <c r="D380" s="3" t="s">
        <v>27</v>
      </c>
      <c r="E380" s="20" t="s">
        <v>604</v>
      </c>
      <c r="F380" s="21" t="s">
        <v>599</v>
      </c>
    </row>
    <row r="381" spans="1:6" x14ac:dyDescent="0.15">
      <c r="A381" s="11">
        <v>79</v>
      </c>
      <c r="B381" s="9" t="str">
        <f>VLOOKUP(A381,[1]characters!$A:$C,3,FALSE)</f>
        <v>ハッピー100</v>
      </c>
      <c r="C381" s="9" t="str">
        <f>A381&amp;+(COUNTIF(A$2:A381,A381)-1)</f>
        <v>791</v>
      </c>
      <c r="D381" s="3" t="s">
        <v>27</v>
      </c>
      <c r="E381" s="20" t="s">
        <v>606</v>
      </c>
      <c r="F381" s="20" t="s">
        <v>771</v>
      </c>
    </row>
    <row r="382" spans="1:6" x14ac:dyDescent="0.15">
      <c r="A382" s="11">
        <v>80</v>
      </c>
      <c r="B382" s="9" t="str">
        <f>VLOOKUP(A382,[1]characters!$A:$C,3,FALSE)</f>
        <v>ハッピー101</v>
      </c>
      <c r="C382" s="9" t="str">
        <f>A382&amp;+(COUNTIF(A$2:A382,A382)-1)</f>
        <v>801</v>
      </c>
      <c r="D382" s="3" t="s">
        <v>27</v>
      </c>
      <c r="E382" s="20" t="s">
        <v>602</v>
      </c>
      <c r="F382" s="20" t="s">
        <v>772</v>
      </c>
    </row>
    <row r="383" spans="1:6" x14ac:dyDescent="0.15">
      <c r="A383" s="11">
        <v>81</v>
      </c>
      <c r="B383" s="9" t="str">
        <f>VLOOKUP(A383,[1]characters!$A:$C,3,FALSE)</f>
        <v>増幅型モリス</v>
      </c>
      <c r="C383" s="9" t="str">
        <f>A383&amp;+(COUNTIF(A$2:A383,A383)-1)</f>
        <v>811</v>
      </c>
      <c r="D383" s="3" t="s">
        <v>27</v>
      </c>
      <c r="E383" s="20" t="s">
        <v>602</v>
      </c>
      <c r="F383" s="20" t="s">
        <v>288</v>
      </c>
    </row>
    <row r="384" spans="1:6" x14ac:dyDescent="0.15">
      <c r="A384" s="11">
        <v>82</v>
      </c>
      <c r="B384" s="9" t="str">
        <f>VLOOKUP(A384,[1]characters!$A:$C,3,FALSE)</f>
        <v>偽装増幅型G・モリス</v>
      </c>
      <c r="C384" s="9" t="str">
        <f>A384&amp;+(COUNTIF(A$2:A384,A384)-1)</f>
        <v>821</v>
      </c>
      <c r="D384" s="3" t="s">
        <v>27</v>
      </c>
      <c r="E384" s="20" t="s">
        <v>617</v>
      </c>
      <c r="F384" s="20" t="s">
        <v>289</v>
      </c>
    </row>
    <row r="385" spans="1:6" x14ac:dyDescent="0.15">
      <c r="A385" s="11">
        <v>83</v>
      </c>
      <c r="B385" s="9" t="str">
        <f>VLOOKUP(A385,[1]characters!$A:$C,3,FALSE)</f>
        <v>拡散性ニムダ</v>
      </c>
      <c r="C385" s="9" t="str">
        <f>A385&amp;+(COUNTIF(A$2:A385,A385)-1)</f>
        <v>831</v>
      </c>
      <c r="D385" s="3" t="s">
        <v>27</v>
      </c>
      <c r="E385" s="20" t="s">
        <v>602</v>
      </c>
      <c r="F385" s="20" t="s">
        <v>773</v>
      </c>
    </row>
    <row r="386" spans="1:6" x14ac:dyDescent="0.15">
      <c r="A386" s="11">
        <v>84</v>
      </c>
      <c r="B386" s="9" t="str">
        <f>VLOOKUP(A386,[1]characters!$A:$C,3,FALSE)</f>
        <v>高速拡散性ニムダE</v>
      </c>
      <c r="C386" s="9" t="str">
        <f>A386&amp;+(COUNTIF(A$2:A386,A386)-1)</f>
        <v>841</v>
      </c>
      <c r="D386" s="3" t="s">
        <v>27</v>
      </c>
      <c r="E386" s="20" t="s">
        <v>602</v>
      </c>
      <c r="F386" s="20" t="s">
        <v>290</v>
      </c>
    </row>
    <row r="387" spans="1:6" x14ac:dyDescent="0.15">
      <c r="A387" s="11">
        <v>85</v>
      </c>
      <c r="B387" s="9" t="str">
        <f>VLOOKUP(A387,[1]characters!$A:$C,3,FALSE)</f>
        <v>朱雀</v>
      </c>
      <c r="C387" s="9" t="str">
        <f>A387&amp;+(COUNTIF(A$2:A387,A387)-1)</f>
        <v>851</v>
      </c>
      <c r="D387" s="3" t="s">
        <v>27</v>
      </c>
      <c r="E387" s="20" t="s">
        <v>774</v>
      </c>
      <c r="F387" s="20" t="s">
        <v>291</v>
      </c>
    </row>
    <row r="388" spans="1:6" x14ac:dyDescent="0.15">
      <c r="A388" s="11">
        <v>86</v>
      </c>
      <c r="B388" s="9" t="str">
        <f>VLOOKUP(A388,[1]characters!$A:$C,3,FALSE)</f>
        <v>守護者 朱雀</v>
      </c>
      <c r="C388" s="9" t="str">
        <f>A388&amp;+(COUNTIF(A$2:A388,A388)-1)</f>
        <v>861</v>
      </c>
      <c r="D388" s="3" t="s">
        <v>27</v>
      </c>
      <c r="E388" s="20" t="s">
        <v>603</v>
      </c>
      <c r="F388" s="20" t="s">
        <v>292</v>
      </c>
    </row>
    <row r="389" spans="1:6" x14ac:dyDescent="0.15">
      <c r="A389" s="11">
        <v>87</v>
      </c>
      <c r="B389" s="9" t="str">
        <f>VLOOKUP(A389,[1]characters!$A:$C,3,FALSE)</f>
        <v>朱南の守護神 朱雀</v>
      </c>
      <c r="C389" s="9" t="str">
        <f>A389&amp;+(COUNTIF(A$2:A389,A389)-1)</f>
        <v>871</v>
      </c>
      <c r="D389" s="3" t="s">
        <v>27</v>
      </c>
      <c r="E389" s="20" t="s">
        <v>30</v>
      </c>
      <c r="F389" s="20" t="s">
        <v>293</v>
      </c>
    </row>
    <row r="390" spans="1:6" x14ac:dyDescent="0.15">
      <c r="A390" s="11">
        <v>88</v>
      </c>
      <c r="B390" s="9" t="str">
        <f>VLOOKUP(A390,[1]characters!$A:$C,3,FALSE)</f>
        <v>玄武</v>
      </c>
      <c r="C390" s="9" t="str">
        <f>A390&amp;+(COUNTIF(A$2:A390,A390)-1)</f>
        <v>881</v>
      </c>
      <c r="D390" s="3" t="s">
        <v>27</v>
      </c>
      <c r="E390" s="20" t="s">
        <v>613</v>
      </c>
      <c r="F390" s="20" t="s">
        <v>294</v>
      </c>
    </row>
    <row r="391" spans="1:6" x14ac:dyDescent="0.15">
      <c r="A391" s="11">
        <v>89</v>
      </c>
      <c r="B391" s="9" t="str">
        <f>VLOOKUP(A391,[1]characters!$A:$C,3,FALSE)</f>
        <v>守護者 玄武</v>
      </c>
      <c r="C391" s="9" t="str">
        <f>A391&amp;+(COUNTIF(A$2:A391,A391)-1)</f>
        <v>891</v>
      </c>
      <c r="D391" s="3" t="s">
        <v>27</v>
      </c>
      <c r="E391" s="20" t="s">
        <v>602</v>
      </c>
      <c r="F391" s="20" t="s">
        <v>295</v>
      </c>
    </row>
    <row r="392" spans="1:6" x14ac:dyDescent="0.15">
      <c r="A392" s="11">
        <v>90</v>
      </c>
      <c r="B392" s="9" t="str">
        <f>VLOOKUP(A392,[1]characters!$A:$C,3,FALSE)</f>
        <v>翠北の守護神 玄武</v>
      </c>
      <c r="C392" s="9" t="str">
        <f>A392&amp;+(COUNTIF(A$2:A392,A392)-1)</f>
        <v>901</v>
      </c>
      <c r="D392" s="3" t="s">
        <v>27</v>
      </c>
      <c r="E392" s="20" t="s">
        <v>603</v>
      </c>
      <c r="F392" s="20" t="s">
        <v>296</v>
      </c>
    </row>
    <row r="393" spans="1:6" x14ac:dyDescent="0.15">
      <c r="A393" s="11">
        <v>91</v>
      </c>
      <c r="B393" s="9" t="str">
        <f>VLOOKUP(A393,[1]characters!$A:$C,3,FALSE)</f>
        <v>青龍</v>
      </c>
      <c r="C393" s="9" t="str">
        <f>A393&amp;+(COUNTIF(A$2:A393,A393)-1)</f>
        <v>911</v>
      </c>
      <c r="D393" s="3" t="s">
        <v>27</v>
      </c>
      <c r="E393" s="20" t="s">
        <v>614</v>
      </c>
      <c r="F393" s="20" t="s">
        <v>297</v>
      </c>
    </row>
    <row r="394" spans="1:6" x14ac:dyDescent="0.15">
      <c r="A394" s="11">
        <v>92</v>
      </c>
      <c r="B394" s="9" t="str">
        <f>VLOOKUP(A394,[1]characters!$A:$C,3,FALSE)</f>
        <v>守護者 青龍</v>
      </c>
      <c r="C394" s="9" t="str">
        <f>A394&amp;+(COUNTIF(A$2:A394,A394)-1)</f>
        <v>921</v>
      </c>
      <c r="D394" s="3" t="s">
        <v>27</v>
      </c>
      <c r="E394" s="20" t="s">
        <v>601</v>
      </c>
      <c r="F394" s="33" t="s">
        <v>941</v>
      </c>
    </row>
    <row r="395" spans="1:6" x14ac:dyDescent="0.15">
      <c r="A395" s="11">
        <v>93</v>
      </c>
      <c r="B395" s="9" t="str">
        <f>VLOOKUP(A395,[1]characters!$A:$C,3,FALSE)</f>
        <v>碧東の守護神 青龍</v>
      </c>
      <c r="C395" s="9" t="str">
        <f>A395&amp;+(COUNTIF(A$2:A395,A395)-1)</f>
        <v>931</v>
      </c>
      <c r="D395" s="3" t="s">
        <v>27</v>
      </c>
      <c r="E395" s="20" t="s">
        <v>603</v>
      </c>
      <c r="F395" s="20" t="s">
        <v>298</v>
      </c>
    </row>
    <row r="396" spans="1:6" x14ac:dyDescent="0.15">
      <c r="A396" s="11">
        <v>94</v>
      </c>
      <c r="B396" s="9" t="str">
        <f>VLOOKUP(A396,[1]characters!$A:$C,3,FALSE)</f>
        <v>白虎</v>
      </c>
      <c r="C396" s="9" t="str">
        <f>A396&amp;+(COUNTIF(A$2:A396,A396)-1)</f>
        <v>941</v>
      </c>
      <c r="D396" s="3" t="s">
        <v>27</v>
      </c>
      <c r="E396" s="20" t="s">
        <v>602</v>
      </c>
      <c r="F396" s="20" t="s">
        <v>299</v>
      </c>
    </row>
    <row r="397" spans="1:6" x14ac:dyDescent="0.15">
      <c r="A397" s="11">
        <v>95</v>
      </c>
      <c r="B397" s="9" t="str">
        <f>VLOOKUP(A397,[1]characters!$A:$C,3,FALSE)</f>
        <v>守護者 白虎</v>
      </c>
      <c r="C397" s="9" t="str">
        <f>A397&amp;+(COUNTIF(A$2:A397,A397)-1)</f>
        <v>951</v>
      </c>
      <c r="D397" s="3" t="s">
        <v>27</v>
      </c>
      <c r="E397" s="20" t="s">
        <v>674</v>
      </c>
      <c r="F397" s="20" t="s">
        <v>300</v>
      </c>
    </row>
    <row r="398" spans="1:6" x14ac:dyDescent="0.15">
      <c r="A398" s="11">
        <v>96</v>
      </c>
      <c r="B398" s="9" t="str">
        <f>VLOOKUP(A398,[1]characters!$A:$C,3,FALSE)</f>
        <v>金西の守護神 白虎</v>
      </c>
      <c r="C398" s="9" t="str">
        <f>A398&amp;+(COUNTIF(A$2:A398,A398)-1)</f>
        <v>961</v>
      </c>
      <c r="D398" s="3" t="s">
        <v>27</v>
      </c>
      <c r="E398" s="20" t="s">
        <v>775</v>
      </c>
      <c r="F398" s="20" t="s">
        <v>776</v>
      </c>
    </row>
    <row r="399" spans="1:6" x14ac:dyDescent="0.15">
      <c r="A399" s="11">
        <v>126</v>
      </c>
      <c r="B399" s="9" t="str">
        <f>VLOOKUP(A399,[1]characters!$A:$C,3,FALSE)</f>
        <v>骨器使い ユノ</v>
      </c>
      <c r="C399" s="9" t="str">
        <f>A399&amp;+(COUNTIF(A$2:A399,A399)-1)</f>
        <v>1261</v>
      </c>
      <c r="D399" s="3" t="s">
        <v>27</v>
      </c>
      <c r="E399" s="20" t="s">
        <v>777</v>
      </c>
      <c r="F399" s="20" t="s">
        <v>301</v>
      </c>
    </row>
    <row r="400" spans="1:6" x14ac:dyDescent="0.15">
      <c r="A400" s="11">
        <v>127</v>
      </c>
      <c r="B400" s="9" t="str">
        <f>VLOOKUP(A400,[1]characters!$A:$C,3,FALSE)</f>
        <v>狂喜の賢者 ユノ</v>
      </c>
      <c r="C400" s="9" t="str">
        <f>A400&amp;+(COUNTIF(A$2:A400,A400)-1)</f>
        <v>1271</v>
      </c>
      <c r="D400" s="3" t="s">
        <v>27</v>
      </c>
      <c r="E400" s="20" t="s">
        <v>603</v>
      </c>
      <c r="F400" s="20" t="s">
        <v>302</v>
      </c>
    </row>
    <row r="401" spans="1:6" x14ac:dyDescent="0.15">
      <c r="A401" s="11">
        <v>128</v>
      </c>
      <c r="B401" s="9" t="str">
        <f>VLOOKUP(A401,[1]characters!$A:$C,3,FALSE)</f>
        <v>野生児 アマラ</v>
      </c>
      <c r="C401" s="9" t="str">
        <f>A401&amp;+(COUNTIF(A$2:A401,A401)-1)</f>
        <v>1281</v>
      </c>
      <c r="D401" s="3" t="s">
        <v>27</v>
      </c>
      <c r="E401" s="20" t="s">
        <v>719</v>
      </c>
      <c r="F401" s="20" t="s">
        <v>303</v>
      </c>
    </row>
    <row r="402" spans="1:6" x14ac:dyDescent="0.15">
      <c r="A402" s="11">
        <v>129</v>
      </c>
      <c r="B402" s="9" t="str">
        <f>VLOOKUP(A402,[1]characters!$A:$C,3,FALSE)</f>
        <v>孤高の狼憑き アマラ</v>
      </c>
      <c r="C402" s="9" t="str">
        <f>A402&amp;+(COUNTIF(A$2:A402,A402)-1)</f>
        <v>1291</v>
      </c>
      <c r="D402" s="3" t="s">
        <v>27</v>
      </c>
      <c r="E402" s="20" t="s">
        <v>31</v>
      </c>
      <c r="F402" s="20" t="s">
        <v>778</v>
      </c>
    </row>
    <row r="403" spans="1:6" x14ac:dyDescent="0.15">
      <c r="A403" s="11">
        <v>130</v>
      </c>
      <c r="B403" s="9" t="str">
        <f>VLOOKUP(A403,[1]characters!$A:$C,3,FALSE)</f>
        <v>狼男 ローレンス</v>
      </c>
      <c r="C403" s="9" t="str">
        <f>A403&amp;+(COUNTIF(A$2:A403,A403)-1)</f>
        <v>1301</v>
      </c>
      <c r="D403" s="3" t="s">
        <v>27</v>
      </c>
      <c r="E403" s="20" t="s">
        <v>32</v>
      </c>
      <c r="F403" s="20" t="s">
        <v>304</v>
      </c>
    </row>
    <row r="404" spans="1:6" x14ac:dyDescent="0.15">
      <c r="A404" s="11">
        <v>131</v>
      </c>
      <c r="B404" s="9" t="str">
        <f>VLOOKUP(A404,[1]characters!$A:$C,3,FALSE)</f>
        <v>月下の人狼 ローレンス</v>
      </c>
      <c r="C404" s="9" t="str">
        <f>A404&amp;+(COUNTIF(A$2:A404,A404)-1)</f>
        <v>1311</v>
      </c>
      <c r="D404" s="3" t="s">
        <v>27</v>
      </c>
      <c r="E404" s="20" t="s">
        <v>602</v>
      </c>
      <c r="F404" s="20" t="s">
        <v>305</v>
      </c>
    </row>
    <row r="405" spans="1:6" x14ac:dyDescent="0.15">
      <c r="A405" s="11">
        <v>132</v>
      </c>
      <c r="B405" s="9" t="str">
        <f>VLOOKUP(A405,[1]characters!$A:$C,3,FALSE)</f>
        <v>鳥人ハヤト</v>
      </c>
      <c r="C405" s="9" t="str">
        <f>A405&amp;+(COUNTIF(A$2:A405,A405)-1)</f>
        <v>1321</v>
      </c>
      <c r="D405" s="3" t="s">
        <v>27</v>
      </c>
      <c r="E405" s="20" t="s">
        <v>602</v>
      </c>
      <c r="F405" s="20" t="s">
        <v>306</v>
      </c>
    </row>
    <row r="406" spans="1:6" x14ac:dyDescent="0.15">
      <c r="A406" s="11">
        <v>133</v>
      </c>
      <c r="B406" s="9" t="str">
        <f>VLOOKUP(A406,[1]characters!$A:$C,3,FALSE)</f>
        <v>迅雷の刀剣 ハヤト</v>
      </c>
      <c r="C406" s="9" t="str">
        <f>A406&amp;+(COUNTIF(A$2:A406,A406)-1)</f>
        <v>1331</v>
      </c>
      <c r="D406" s="3" t="s">
        <v>27</v>
      </c>
      <c r="E406" s="20" t="s">
        <v>603</v>
      </c>
      <c r="F406" s="20" t="s">
        <v>307</v>
      </c>
    </row>
    <row r="407" spans="1:6" x14ac:dyDescent="0.15">
      <c r="A407" s="11">
        <v>134</v>
      </c>
      <c r="B407" s="9" t="str">
        <f>VLOOKUP(A407,[1]characters!$A:$C,3,FALSE)</f>
        <v>妖炎の夕霧</v>
      </c>
      <c r="C407" s="9" t="str">
        <f>A407&amp;+(COUNTIF(A$2:A407,A407)-1)</f>
        <v>1341</v>
      </c>
      <c r="D407" s="3" t="s">
        <v>27</v>
      </c>
      <c r="E407" s="20" t="s">
        <v>603</v>
      </c>
      <c r="F407" s="20" t="s">
        <v>308</v>
      </c>
    </row>
    <row r="408" spans="1:6" x14ac:dyDescent="0.15">
      <c r="A408" s="11">
        <v>135</v>
      </c>
      <c r="B408" s="9" t="str">
        <f>VLOOKUP(A408,[1]characters!$A:$C,3,FALSE)</f>
        <v>京の炎華夕霧</v>
      </c>
      <c r="C408" s="9" t="str">
        <f>A408&amp;+(COUNTIF(A$2:A408,A408)-1)</f>
        <v>1351</v>
      </c>
      <c r="D408" s="3" t="s">
        <v>27</v>
      </c>
      <c r="E408" s="20" t="s">
        <v>30</v>
      </c>
      <c r="F408" s="20" t="s">
        <v>309</v>
      </c>
    </row>
    <row r="409" spans="1:6" x14ac:dyDescent="0.15">
      <c r="A409" s="11">
        <v>136</v>
      </c>
      <c r="B409" s="9" t="str">
        <f>VLOOKUP(A409,[1]characters!$A:$C,3,FALSE)</f>
        <v>お針子チハヤ</v>
      </c>
      <c r="C409" s="9" t="str">
        <f>A409&amp;+(COUNTIF(A$2:A409,A409)-1)</f>
        <v>1361</v>
      </c>
      <c r="D409" s="3" t="s">
        <v>27</v>
      </c>
      <c r="E409" s="20" t="s">
        <v>31</v>
      </c>
      <c r="F409" s="20" t="s">
        <v>310</v>
      </c>
    </row>
    <row r="410" spans="1:6" x14ac:dyDescent="0.15">
      <c r="A410" s="11">
        <v>137</v>
      </c>
      <c r="B410" s="9" t="str">
        <f>VLOOKUP(A410,[1]characters!$A:$C,3,FALSE)</f>
        <v>清福の仕立屋 チハヤ</v>
      </c>
      <c r="C410" s="9" t="str">
        <f>A410&amp;+(COUNTIF(A$2:A410,A410)-1)</f>
        <v>1371</v>
      </c>
      <c r="D410" s="3" t="s">
        <v>27</v>
      </c>
      <c r="E410" s="20" t="s">
        <v>779</v>
      </c>
      <c r="F410" s="20" t="s">
        <v>311</v>
      </c>
    </row>
    <row r="411" spans="1:6" x14ac:dyDescent="0.15">
      <c r="A411" s="11">
        <v>138</v>
      </c>
      <c r="B411" s="9" t="str">
        <f>VLOOKUP(A411,[1]characters!$A:$C,3,FALSE)</f>
        <v>蒼薙のトモエ</v>
      </c>
      <c r="C411" s="9" t="str">
        <f>A411&amp;+(COUNTIF(A$2:A411,A411)-1)</f>
        <v>1381</v>
      </c>
      <c r="D411" s="3" t="s">
        <v>27</v>
      </c>
      <c r="E411" s="20" t="s">
        <v>31</v>
      </c>
      <c r="F411" s="20" t="s">
        <v>312</v>
      </c>
    </row>
    <row r="412" spans="1:6" x14ac:dyDescent="0.15">
      <c r="A412" s="11">
        <v>139</v>
      </c>
      <c r="B412" s="9" t="str">
        <f>VLOOKUP(A412,[1]characters!$A:$C,3,FALSE)</f>
        <v>蒼昇刃姫 トモエ</v>
      </c>
      <c r="C412" s="9" t="str">
        <f>A412&amp;+(COUNTIF(A$2:A412,A412)-1)</f>
        <v>1391</v>
      </c>
      <c r="D412" s="3" t="s">
        <v>27</v>
      </c>
      <c r="E412" s="20" t="s">
        <v>780</v>
      </c>
      <c r="F412" s="20" t="s">
        <v>313</v>
      </c>
    </row>
    <row r="413" spans="1:6" x14ac:dyDescent="0.15">
      <c r="A413" s="11">
        <v>140</v>
      </c>
      <c r="B413" s="9" t="str">
        <f>VLOOKUP(A413,[1]characters!$A:$C,3,FALSE)</f>
        <v>秋祭のタマモ</v>
      </c>
      <c r="C413" s="9" t="str">
        <f>A413&amp;+(COUNTIF(A$2:A413,A413)-1)</f>
        <v>1401</v>
      </c>
      <c r="D413" s="3" t="s">
        <v>27</v>
      </c>
      <c r="E413" s="20" t="s">
        <v>781</v>
      </c>
      <c r="F413" s="22" t="s">
        <v>314</v>
      </c>
    </row>
    <row r="414" spans="1:6" x14ac:dyDescent="0.15">
      <c r="A414" s="11">
        <v>141</v>
      </c>
      <c r="B414" s="9" t="str">
        <f>VLOOKUP(A414,[1]characters!$A:$C,3,FALSE)</f>
        <v>妖狐演舞 タマモ</v>
      </c>
      <c r="C414" s="9" t="str">
        <f>A414&amp;+(COUNTIF(A$2:A414,A414)-1)</f>
        <v>1411</v>
      </c>
      <c r="D414" s="3" t="s">
        <v>27</v>
      </c>
      <c r="E414" s="20" t="s">
        <v>603</v>
      </c>
      <c r="F414" s="22" t="s">
        <v>315</v>
      </c>
    </row>
    <row r="415" spans="1:6" x14ac:dyDescent="0.15">
      <c r="A415" s="11">
        <v>142</v>
      </c>
      <c r="B415" s="9" t="str">
        <f>VLOOKUP(A415,[1]characters!$A:$C,3,FALSE)</f>
        <v>赤ずきん</v>
      </c>
      <c r="C415" s="9" t="str">
        <f>A415&amp;+(COUNTIF(A$2:A415,A415)-1)</f>
        <v>1421</v>
      </c>
      <c r="D415" s="3" t="s">
        <v>27</v>
      </c>
      <c r="E415" s="20" t="s">
        <v>774</v>
      </c>
      <c r="F415" s="20" t="s">
        <v>316</v>
      </c>
    </row>
    <row r="416" spans="1:6" x14ac:dyDescent="0.15">
      <c r="A416" s="11">
        <v>143</v>
      </c>
      <c r="B416" s="9" t="str">
        <f>VLOOKUP(A416,[1]characters!$A:$C,3,FALSE)</f>
        <v>深紅の死神 赤ずきん</v>
      </c>
      <c r="C416" s="9" t="str">
        <f>A416&amp;+(COUNTIF(A$2:A416,A416)-1)</f>
        <v>1431</v>
      </c>
      <c r="D416" s="3" t="s">
        <v>27</v>
      </c>
      <c r="E416" s="20" t="s">
        <v>782</v>
      </c>
      <c r="F416" s="20" t="s">
        <v>783</v>
      </c>
    </row>
    <row r="417" spans="1:6" x14ac:dyDescent="0.15">
      <c r="A417" s="11">
        <v>144</v>
      </c>
      <c r="B417" s="9" t="str">
        <f>VLOOKUP(A417,[1]characters!$A:$C,3,FALSE)</f>
        <v>かぐや</v>
      </c>
      <c r="C417" s="9" t="str">
        <f>A417&amp;+(COUNTIF(A$2:A417,A417)-1)</f>
        <v>1441</v>
      </c>
      <c r="D417" s="3" t="s">
        <v>27</v>
      </c>
      <c r="E417" s="20" t="s">
        <v>30</v>
      </c>
      <c r="F417" s="20" t="s">
        <v>317</v>
      </c>
    </row>
    <row r="418" spans="1:6" x14ac:dyDescent="0.15">
      <c r="A418" s="11">
        <v>145</v>
      </c>
      <c r="B418" s="9" t="str">
        <f>VLOOKUP(A418,[1]characters!$A:$C,3,FALSE)</f>
        <v>魔性妖艶 かぐや</v>
      </c>
      <c r="C418" s="9" t="str">
        <f>A418&amp;+(COUNTIF(A$2:A418,A418)-1)</f>
        <v>1451</v>
      </c>
      <c r="D418" s="3" t="s">
        <v>27</v>
      </c>
      <c r="E418" s="20" t="s">
        <v>30</v>
      </c>
      <c r="F418" s="20" t="s">
        <v>318</v>
      </c>
    </row>
    <row r="419" spans="1:6" x14ac:dyDescent="0.15">
      <c r="A419" s="11">
        <v>146</v>
      </c>
      <c r="B419" s="9" t="str">
        <f>VLOOKUP(A419,[1]characters!$A:$C,3,FALSE)</f>
        <v>マーメイド</v>
      </c>
      <c r="C419" s="9" t="str">
        <f>A419&amp;+(COUNTIF(A$2:A419,A419)-1)</f>
        <v>1461</v>
      </c>
      <c r="D419" s="3" t="s">
        <v>27</v>
      </c>
      <c r="E419" s="20" t="s">
        <v>30</v>
      </c>
      <c r="F419" s="20" t="s">
        <v>319</v>
      </c>
    </row>
    <row r="420" spans="1:6" x14ac:dyDescent="0.15">
      <c r="A420" s="11">
        <v>147</v>
      </c>
      <c r="B420" s="9" t="str">
        <f>VLOOKUP(A420,[1]characters!$A:$C,3,FALSE)</f>
        <v>蒼き閃光 元マーメイド</v>
      </c>
      <c r="C420" s="9" t="str">
        <f>A420&amp;+(COUNTIF(A$2:A420,A420)-1)</f>
        <v>1471</v>
      </c>
      <c r="D420" s="3" t="s">
        <v>27</v>
      </c>
      <c r="E420" s="20" t="s">
        <v>31</v>
      </c>
      <c r="F420" s="20" t="s">
        <v>320</v>
      </c>
    </row>
    <row r="421" spans="1:6" x14ac:dyDescent="0.15">
      <c r="A421" s="11">
        <v>148</v>
      </c>
      <c r="B421" s="9" t="str">
        <f>VLOOKUP(A421,[1]characters!$A:$C,3,FALSE)</f>
        <v>シンデレラ</v>
      </c>
      <c r="C421" s="9" t="str">
        <f>A421&amp;+(COUNTIF(A$2:A421,A421)-1)</f>
        <v>1481</v>
      </c>
      <c r="D421" s="3" t="s">
        <v>27</v>
      </c>
      <c r="E421" s="20" t="s">
        <v>761</v>
      </c>
      <c r="F421" s="20" t="s">
        <v>321</v>
      </c>
    </row>
    <row r="422" spans="1:6" x14ac:dyDescent="0.15">
      <c r="A422" s="11">
        <v>149</v>
      </c>
      <c r="B422" s="9" t="str">
        <f>VLOOKUP(A422,[1]characters!$A:$C,3,FALSE)</f>
        <v>雷撃蹴技を極めし者 シンデレラ</v>
      </c>
      <c r="C422" s="9" t="str">
        <f>A422&amp;+(COUNTIF(A$2:A422,A422)-1)</f>
        <v>1491</v>
      </c>
      <c r="D422" s="3" t="s">
        <v>27</v>
      </c>
      <c r="E422" s="20" t="s">
        <v>784</v>
      </c>
      <c r="F422" s="20" t="s">
        <v>322</v>
      </c>
    </row>
    <row r="423" spans="1:6" x14ac:dyDescent="0.15">
      <c r="A423" s="11">
        <v>150</v>
      </c>
      <c r="B423" s="9" t="str">
        <f>VLOOKUP(A423,[1]characters!$A:$C,3,FALSE)</f>
        <v>ポイズンマスターサキ</v>
      </c>
      <c r="C423" s="9" t="str">
        <f>A423&amp;+(COUNTIF(A$2:A423,A423)-1)</f>
        <v>1501</v>
      </c>
      <c r="D423" s="3" t="s">
        <v>27</v>
      </c>
      <c r="E423" s="20" t="s">
        <v>30</v>
      </c>
      <c r="F423" s="20" t="s">
        <v>323</v>
      </c>
    </row>
    <row r="424" spans="1:6" x14ac:dyDescent="0.15">
      <c r="A424" s="11">
        <v>151</v>
      </c>
      <c r="B424" s="9" t="str">
        <f>VLOOKUP(A424,[1]characters!$A:$C,3,FALSE)</f>
        <v>毒煙の処刑人サキ</v>
      </c>
      <c r="C424" s="9" t="str">
        <f>A424&amp;+(COUNTIF(A$2:A424,A424)-1)</f>
        <v>1511</v>
      </c>
      <c r="D424" s="3" t="s">
        <v>27</v>
      </c>
      <c r="E424" s="20" t="s">
        <v>32</v>
      </c>
      <c r="F424" s="20" t="s">
        <v>324</v>
      </c>
    </row>
    <row r="425" spans="1:6" x14ac:dyDescent="0.15">
      <c r="A425" s="11">
        <v>152</v>
      </c>
      <c r="B425" s="9" t="str">
        <f>VLOOKUP(A425,[1]characters!$A:$C,3,FALSE)</f>
        <v>功夫少女ランラン</v>
      </c>
      <c r="C425" s="9" t="str">
        <f>A425&amp;+(COUNTIF(A$2:A425,A425)-1)</f>
        <v>1521</v>
      </c>
      <c r="D425" s="3" t="s">
        <v>27</v>
      </c>
      <c r="E425" s="20" t="s">
        <v>31</v>
      </c>
      <c r="F425" s="20" t="s">
        <v>325</v>
      </c>
    </row>
    <row r="426" spans="1:6" x14ac:dyDescent="0.15">
      <c r="A426" s="11">
        <v>153</v>
      </c>
      <c r="B426" s="9" t="str">
        <f>VLOOKUP(A426,[1]characters!$A:$C,3,FALSE)</f>
        <v>拳聖ランラン</v>
      </c>
      <c r="C426" s="9" t="str">
        <f>A426&amp;+(COUNTIF(A$2:A426,A426)-1)</f>
        <v>1531</v>
      </c>
      <c r="D426" s="3" t="s">
        <v>27</v>
      </c>
      <c r="E426" s="20" t="s">
        <v>31</v>
      </c>
      <c r="F426" s="20" t="s">
        <v>326</v>
      </c>
    </row>
    <row r="427" spans="1:6" x14ac:dyDescent="0.15">
      <c r="A427" s="11">
        <v>154</v>
      </c>
      <c r="B427" s="9" t="str">
        <f>VLOOKUP(A427,[1]characters!$A:$C,3,FALSE)</f>
        <v>始末屋 ハンナ</v>
      </c>
      <c r="C427" s="9" t="str">
        <f>A427&amp;+(COUNTIF(A$2:A427,A427)-1)</f>
        <v>1541</v>
      </c>
      <c r="D427" s="3" t="s">
        <v>27</v>
      </c>
      <c r="E427" s="20" t="s">
        <v>32</v>
      </c>
      <c r="F427" s="20" t="s">
        <v>327</v>
      </c>
    </row>
    <row r="428" spans="1:6" x14ac:dyDescent="0.15">
      <c r="A428" s="11">
        <v>155</v>
      </c>
      <c r="B428" s="9" t="str">
        <f>VLOOKUP(A428,[1]characters!$A:$C,3,FALSE)</f>
        <v>隻眼の掃除屋 ハンナ</v>
      </c>
      <c r="C428" s="9" t="str">
        <f>A428&amp;+(COUNTIF(A$2:A428,A428)-1)</f>
        <v>1551</v>
      </c>
      <c r="D428" s="3" t="s">
        <v>27</v>
      </c>
      <c r="E428" s="20" t="s">
        <v>761</v>
      </c>
      <c r="F428" s="20" t="s">
        <v>328</v>
      </c>
    </row>
    <row r="429" spans="1:6" x14ac:dyDescent="0.15">
      <c r="A429" s="11">
        <v>156</v>
      </c>
      <c r="B429" s="9" t="str">
        <f>VLOOKUP(A429,[1]characters!$A:$C,3,FALSE)</f>
        <v>踊り子 エレナ</v>
      </c>
      <c r="C429" s="9" t="str">
        <f>A429&amp;+(COUNTIF(A$2:A429,A429)-1)</f>
        <v>1561</v>
      </c>
      <c r="D429" s="3" t="s">
        <v>27</v>
      </c>
      <c r="E429" s="20" t="s">
        <v>30</v>
      </c>
      <c r="F429" s="20" t="s">
        <v>329</v>
      </c>
    </row>
    <row r="430" spans="1:6" x14ac:dyDescent="0.15">
      <c r="A430" s="11">
        <v>157</v>
      </c>
      <c r="B430" s="9" t="str">
        <f>VLOOKUP(A430,[1]characters!$A:$C,3,FALSE)</f>
        <v>雷光舞姫 エレナ</v>
      </c>
      <c r="C430" s="9" t="str">
        <f>A430&amp;+(COUNTIF(A$2:A430,A430)-1)</f>
        <v>1571</v>
      </c>
      <c r="D430" s="3" t="s">
        <v>27</v>
      </c>
      <c r="E430" s="20" t="s">
        <v>30</v>
      </c>
      <c r="F430" s="20" t="s">
        <v>330</v>
      </c>
    </row>
    <row r="431" spans="1:6" x14ac:dyDescent="0.15">
      <c r="A431" s="11">
        <v>158</v>
      </c>
      <c r="B431" s="9" t="str">
        <f>VLOOKUP(A431,[1]characters!$A:$C,3,FALSE)</f>
        <v>シスター シャルロッテ</v>
      </c>
      <c r="C431" s="9" t="str">
        <f>A431&amp;+(COUNTIF(A$2:A431,A431)-1)</f>
        <v>1581</v>
      </c>
      <c r="D431" s="3" t="s">
        <v>27</v>
      </c>
      <c r="E431" s="20" t="s">
        <v>31</v>
      </c>
      <c r="F431" s="20" t="s">
        <v>331</v>
      </c>
    </row>
    <row r="432" spans="1:6" x14ac:dyDescent="0.15">
      <c r="A432" s="11">
        <v>159</v>
      </c>
      <c r="B432" s="9" t="str">
        <f>VLOOKUP(A432,[1]characters!$A:$C,3,FALSE)</f>
        <v>邪を狩りし者 シャルロッテ</v>
      </c>
      <c r="C432" s="9" t="str">
        <f>A432&amp;+(COUNTIF(A$2:A432,A432)-1)</f>
        <v>1591</v>
      </c>
      <c r="D432" s="3" t="s">
        <v>27</v>
      </c>
      <c r="E432" s="20" t="s">
        <v>31</v>
      </c>
      <c r="F432" s="20" t="s">
        <v>332</v>
      </c>
    </row>
    <row r="433" spans="1:6" x14ac:dyDescent="0.15">
      <c r="A433" s="11">
        <v>160</v>
      </c>
      <c r="B433" s="9" t="str">
        <f>VLOOKUP(A433,[1]characters!$A:$C,3,FALSE)</f>
        <v>反逆者 クリエ</v>
      </c>
      <c r="C433" s="9" t="str">
        <f>A433&amp;+(COUNTIF(A$2:A433,A433)-1)</f>
        <v>1601</v>
      </c>
      <c r="D433" s="3" t="s">
        <v>27</v>
      </c>
      <c r="E433" s="20" t="s">
        <v>674</v>
      </c>
      <c r="F433" s="20" t="s">
        <v>333</v>
      </c>
    </row>
    <row r="434" spans="1:6" x14ac:dyDescent="0.15">
      <c r="A434" s="11">
        <v>161</v>
      </c>
      <c r="B434" s="9" t="str">
        <f>VLOOKUP(A434,[1]characters!$A:$C,3,FALSE)</f>
        <v>咆哮の先導者 クリエ</v>
      </c>
      <c r="C434" s="9" t="str">
        <f>A434&amp;+(COUNTIF(A$2:A434,A434)-1)</f>
        <v>1611</v>
      </c>
      <c r="D434" s="3" t="s">
        <v>27</v>
      </c>
      <c r="E434" s="20" t="s">
        <v>31</v>
      </c>
      <c r="F434" s="20" t="s">
        <v>334</v>
      </c>
    </row>
    <row r="435" spans="1:6" x14ac:dyDescent="0.15">
      <c r="A435" s="11">
        <v>162</v>
      </c>
      <c r="B435" s="9" t="str">
        <f>VLOOKUP(A435,[1]characters!$A:$C,3,FALSE)</f>
        <v>狂女 クララ</v>
      </c>
      <c r="C435" s="9" t="str">
        <f>A435&amp;+(COUNTIF(A$2:A435,A435)-1)</f>
        <v>1621</v>
      </c>
      <c r="D435" s="3" t="s">
        <v>27</v>
      </c>
      <c r="E435" s="20" t="s">
        <v>30</v>
      </c>
      <c r="F435" s="20" t="s">
        <v>335</v>
      </c>
    </row>
    <row r="436" spans="1:6" x14ac:dyDescent="0.15">
      <c r="A436" s="11">
        <v>163</v>
      </c>
      <c r="B436" s="9" t="str">
        <f>VLOOKUP(A436,[1]characters!$A:$C,3,FALSE)</f>
        <v>冷酷な狂嬢 クララ</v>
      </c>
      <c r="C436" s="9" t="str">
        <f>A436&amp;+(COUNTIF(A$2:A436,A436)-1)</f>
        <v>1631</v>
      </c>
      <c r="D436" s="3" t="s">
        <v>27</v>
      </c>
      <c r="E436" s="20" t="s">
        <v>32</v>
      </c>
      <c r="F436" s="20" t="s">
        <v>785</v>
      </c>
    </row>
    <row r="437" spans="1:6" x14ac:dyDescent="0.15">
      <c r="A437" s="11">
        <v>164</v>
      </c>
      <c r="B437" s="9" t="str">
        <f>VLOOKUP(A437,[1]characters!$A:$C,3,FALSE)</f>
        <v>イブとトモダチ</v>
      </c>
      <c r="C437" s="9" t="str">
        <f>A437&amp;+(COUNTIF(A$2:A437,A437)-1)</f>
        <v>1641</v>
      </c>
      <c r="D437" s="3" t="s">
        <v>27</v>
      </c>
      <c r="E437" s="20" t="s">
        <v>30</v>
      </c>
      <c r="F437" s="20" t="s">
        <v>336</v>
      </c>
    </row>
    <row r="438" spans="1:6" x14ac:dyDescent="0.15">
      <c r="A438" s="11">
        <v>165</v>
      </c>
      <c r="B438" s="9" t="str">
        <f>VLOOKUP(A438,[1]characters!$A:$C,3,FALSE)</f>
        <v>イブとたったひとりのトモダチ</v>
      </c>
      <c r="C438" s="9" t="str">
        <f>A438&amp;+(COUNTIF(A$2:A438,A438)-1)</f>
        <v>1651</v>
      </c>
      <c r="D438" s="3" t="s">
        <v>27</v>
      </c>
      <c r="E438" s="20" t="s">
        <v>775</v>
      </c>
      <c r="F438" s="20" t="s">
        <v>337</v>
      </c>
    </row>
    <row r="439" spans="1:6" x14ac:dyDescent="0.15">
      <c r="A439" s="11">
        <v>166</v>
      </c>
      <c r="B439" s="9" t="str">
        <f>VLOOKUP(A439,[1]characters!$A:$C,3,FALSE)</f>
        <v>ベリアル</v>
      </c>
      <c r="C439" s="9" t="str">
        <f>A439&amp;+(COUNTIF(A$2:A439,A439)-1)</f>
        <v>1661</v>
      </c>
      <c r="D439" s="3" t="s">
        <v>27</v>
      </c>
      <c r="E439" s="20" t="s">
        <v>30</v>
      </c>
      <c r="F439" s="20" t="s">
        <v>338</v>
      </c>
    </row>
    <row r="440" spans="1:6" x14ac:dyDescent="0.15">
      <c r="A440" s="11">
        <v>167</v>
      </c>
      <c r="B440" s="9" t="str">
        <f>VLOOKUP(A440,[1]characters!$A:$C,3,FALSE)</f>
        <v>逆徒 ベリアル</v>
      </c>
      <c r="C440" s="9" t="str">
        <f>A440&amp;+(COUNTIF(A$2:A440,A440)-1)</f>
        <v>1671</v>
      </c>
      <c r="D440" s="3" t="s">
        <v>27</v>
      </c>
      <c r="E440" s="20" t="s">
        <v>786</v>
      </c>
      <c r="F440" s="20" t="s">
        <v>787</v>
      </c>
    </row>
    <row r="441" spans="1:6" x14ac:dyDescent="0.15">
      <c r="A441" s="11">
        <v>168</v>
      </c>
      <c r="B441" s="9" t="str">
        <f>VLOOKUP(A441,[1]characters!$A:$C,3,FALSE)</f>
        <v>猛進の大逆者 ベリアル</v>
      </c>
      <c r="C441" s="9" t="str">
        <f>A441&amp;+(COUNTIF(A$2:A441,A441)-1)</f>
        <v>1681</v>
      </c>
      <c r="D441" s="3" t="s">
        <v>27</v>
      </c>
      <c r="E441" s="20" t="s">
        <v>763</v>
      </c>
      <c r="F441" s="20" t="s">
        <v>788</v>
      </c>
    </row>
    <row r="442" spans="1:6" x14ac:dyDescent="0.15">
      <c r="A442" s="11">
        <v>169</v>
      </c>
      <c r="B442" s="9" t="str">
        <f>VLOOKUP(A442,[1]characters!$A:$C,3,FALSE)</f>
        <v>オセ</v>
      </c>
      <c r="C442" s="9" t="str">
        <f>A442&amp;+(COUNTIF(A$2:A442,A442)-1)</f>
        <v>1691</v>
      </c>
      <c r="D442" s="3" t="s">
        <v>27</v>
      </c>
      <c r="E442" s="20" t="s">
        <v>30</v>
      </c>
      <c r="F442" s="20" t="s">
        <v>339</v>
      </c>
    </row>
    <row r="443" spans="1:6" x14ac:dyDescent="0.15">
      <c r="A443" s="11">
        <v>170</v>
      </c>
      <c r="B443" s="9" t="str">
        <f>VLOOKUP(A443,[1]characters!$A:$C,3,FALSE)</f>
        <v>識徒 オセ</v>
      </c>
      <c r="C443" s="9" t="str">
        <f>A443&amp;+(COUNTIF(A$2:A443,A443)-1)</f>
        <v>1701</v>
      </c>
      <c r="D443" s="3" t="s">
        <v>27</v>
      </c>
      <c r="E443" s="20" t="s">
        <v>789</v>
      </c>
      <c r="F443" s="20" t="s">
        <v>790</v>
      </c>
    </row>
    <row r="444" spans="1:6" x14ac:dyDescent="0.15">
      <c r="A444" s="11">
        <v>171</v>
      </c>
      <c r="B444" s="9" t="str">
        <f>VLOOKUP(A444,[1]characters!$A:$C,3,FALSE)</f>
        <v>精解の預知者 オセ</v>
      </c>
      <c r="C444" s="9" t="str">
        <f>A444&amp;+(COUNTIF(A$2:A444,A444)-1)</f>
        <v>1711</v>
      </c>
      <c r="D444" s="3" t="s">
        <v>27</v>
      </c>
      <c r="E444" s="20" t="s">
        <v>31</v>
      </c>
      <c r="F444" s="20" t="s">
        <v>791</v>
      </c>
    </row>
    <row r="445" spans="1:6" x14ac:dyDescent="0.15">
      <c r="A445" s="11">
        <v>172</v>
      </c>
      <c r="B445" s="9" t="str">
        <f>VLOOKUP(A445,[1]characters!$A:$C,3,FALSE)</f>
        <v>フォルネウス</v>
      </c>
      <c r="C445" s="9" t="str">
        <f>A445&amp;+(COUNTIF(A$2:A445,A445)-1)</f>
        <v>1721</v>
      </c>
      <c r="D445" s="3" t="s">
        <v>27</v>
      </c>
      <c r="E445" s="20" t="s">
        <v>30</v>
      </c>
      <c r="F445" s="20" t="s">
        <v>340</v>
      </c>
    </row>
    <row r="446" spans="1:6" x14ac:dyDescent="0.15">
      <c r="A446" s="11">
        <v>173</v>
      </c>
      <c r="B446" s="9" t="str">
        <f>VLOOKUP(A446,[1]characters!$A:$C,3,FALSE)</f>
        <v>公爵 フォルネウス</v>
      </c>
      <c r="C446" s="9" t="str">
        <f>A446&amp;+(COUNTIF(A$2:A446,A446)-1)</f>
        <v>1731</v>
      </c>
      <c r="D446" s="3" t="s">
        <v>27</v>
      </c>
      <c r="E446" s="20" t="s">
        <v>30</v>
      </c>
      <c r="F446" s="20" t="s">
        <v>341</v>
      </c>
    </row>
    <row r="447" spans="1:6" x14ac:dyDescent="0.15">
      <c r="A447" s="11">
        <v>174</v>
      </c>
      <c r="B447" s="9" t="str">
        <f>VLOOKUP(A447,[1]characters!$A:$C,3,FALSE)</f>
        <v>偽愛の大公爵 フォルネウス</v>
      </c>
      <c r="C447" s="9" t="str">
        <f>A447&amp;+(COUNTIF(A$2:A447,A447)-1)</f>
        <v>1741</v>
      </c>
      <c r="D447" s="3" t="s">
        <v>27</v>
      </c>
      <c r="E447" s="20" t="s">
        <v>792</v>
      </c>
      <c r="F447" s="20" t="s">
        <v>342</v>
      </c>
    </row>
    <row r="448" spans="1:6" x14ac:dyDescent="0.15">
      <c r="A448" s="11">
        <v>175</v>
      </c>
      <c r="B448" s="9" t="str">
        <f>VLOOKUP(A448,[1]characters!$A:$C,3,FALSE)</f>
        <v>バフォメット</v>
      </c>
      <c r="C448" s="9" t="str">
        <f>A448&amp;+(COUNTIF(A$2:A448,A448)-1)</f>
        <v>1751</v>
      </c>
      <c r="D448" s="3" t="s">
        <v>27</v>
      </c>
      <c r="E448" s="20" t="s">
        <v>793</v>
      </c>
      <c r="F448" s="20" t="s">
        <v>343</v>
      </c>
    </row>
    <row r="449" spans="1:6" x14ac:dyDescent="0.15">
      <c r="A449" s="11">
        <v>176</v>
      </c>
      <c r="B449" s="9" t="str">
        <f>VLOOKUP(A449,[1]characters!$A:$C,3,FALSE)</f>
        <v>異教徒 バフォメット</v>
      </c>
      <c r="C449" s="9" t="str">
        <f>A449&amp;+(COUNTIF(A$2:A449,A449)-1)</f>
        <v>1761</v>
      </c>
      <c r="D449" s="3" t="s">
        <v>27</v>
      </c>
      <c r="E449" s="20" t="s">
        <v>793</v>
      </c>
      <c r="F449" s="20" t="s">
        <v>344</v>
      </c>
    </row>
    <row r="450" spans="1:6" x14ac:dyDescent="0.15">
      <c r="A450" s="11">
        <v>177</v>
      </c>
      <c r="B450" s="9" t="str">
        <f>VLOOKUP(A450,[1]characters!$A:$C,3,FALSE)</f>
        <v>黒魔の異端師 バフォメット</v>
      </c>
      <c r="C450" s="9" t="str">
        <f>A450&amp;+(COUNTIF(A$2:A450,A450)-1)</f>
        <v>1771</v>
      </c>
      <c r="D450" s="3" t="s">
        <v>27</v>
      </c>
      <c r="E450" s="20" t="s">
        <v>674</v>
      </c>
      <c r="F450" s="20" t="s">
        <v>345</v>
      </c>
    </row>
    <row r="451" spans="1:6" x14ac:dyDescent="0.15">
      <c r="A451" s="11">
        <v>178</v>
      </c>
      <c r="B451" s="9" t="str">
        <f>VLOOKUP(A451,[1]characters!$A:$C,3,FALSE)</f>
        <v>ケルベロス</v>
      </c>
      <c r="C451" s="9" t="str">
        <f>A451&amp;+(COUNTIF(A$2:A451,A451)-1)</f>
        <v>1781</v>
      </c>
      <c r="D451" s="3" t="s">
        <v>27</v>
      </c>
      <c r="E451" s="20" t="s">
        <v>794</v>
      </c>
      <c r="F451" s="20" t="s">
        <v>346</v>
      </c>
    </row>
    <row r="452" spans="1:6" x14ac:dyDescent="0.15">
      <c r="A452" s="11">
        <v>179</v>
      </c>
      <c r="B452" s="9" t="str">
        <f>VLOOKUP(A452,[1]characters!$A:$C,3,FALSE)</f>
        <v>番犬 ケルベロス</v>
      </c>
      <c r="C452" s="9" t="str">
        <f>A452&amp;+(COUNTIF(A$2:A452,A452)-1)</f>
        <v>1791</v>
      </c>
      <c r="D452" s="3" t="s">
        <v>27</v>
      </c>
      <c r="E452" s="20" t="s">
        <v>795</v>
      </c>
      <c r="F452" s="20" t="s">
        <v>347</v>
      </c>
    </row>
    <row r="453" spans="1:6" x14ac:dyDescent="0.15">
      <c r="A453" s="11">
        <v>180</v>
      </c>
      <c r="B453" s="9" t="str">
        <f>VLOOKUP(A453,[1]characters!$A:$C,3,FALSE)</f>
        <v>地獄の大門番 ケルベロス</v>
      </c>
      <c r="C453" s="9" t="str">
        <f>A453&amp;+(COUNTIF(A$2:A453,A453)-1)</f>
        <v>1801</v>
      </c>
      <c r="D453" s="3" t="s">
        <v>27</v>
      </c>
      <c r="E453" s="20" t="s">
        <v>796</v>
      </c>
      <c r="F453" s="20" t="s">
        <v>348</v>
      </c>
    </row>
    <row r="454" spans="1:6" x14ac:dyDescent="0.15">
      <c r="A454" s="11">
        <v>181</v>
      </c>
      <c r="B454" s="9" t="str">
        <f>VLOOKUP(A454,[1]characters!$A:$C,3,FALSE)</f>
        <v>ベヒモス</v>
      </c>
      <c r="C454" s="9" t="str">
        <f>A454&amp;+(COUNTIF(A$2:A454,A454)-1)</f>
        <v>1811</v>
      </c>
      <c r="D454" s="3" t="s">
        <v>27</v>
      </c>
      <c r="E454" s="20" t="s">
        <v>797</v>
      </c>
      <c r="F454" s="20" t="s">
        <v>349</v>
      </c>
    </row>
    <row r="455" spans="1:6" x14ac:dyDescent="0.15">
      <c r="A455" s="11">
        <v>182</v>
      </c>
      <c r="B455" s="9" t="str">
        <f>VLOOKUP(A455,[1]characters!$A:$C,3,FALSE)</f>
        <v>放蕩者 ベヒモス</v>
      </c>
      <c r="C455" s="9" t="str">
        <f>A455&amp;+(COUNTIF(A$2:A455,A455)-1)</f>
        <v>1821</v>
      </c>
      <c r="D455" s="3" t="s">
        <v>27</v>
      </c>
      <c r="E455" s="20" t="s">
        <v>763</v>
      </c>
      <c r="F455" s="20" t="s">
        <v>350</v>
      </c>
    </row>
    <row r="456" spans="1:6" x14ac:dyDescent="0.15">
      <c r="A456" s="11">
        <v>183</v>
      </c>
      <c r="B456" s="9" t="str">
        <f>VLOOKUP(A456,[1]characters!$A:$C,3,FALSE)</f>
        <v>鈍重な彷徨者 ベヒモス</v>
      </c>
      <c r="C456" s="9" t="str">
        <f>A456&amp;+(COUNTIF(A$2:A456,A456)-1)</f>
        <v>1831</v>
      </c>
      <c r="D456" s="3" t="s">
        <v>27</v>
      </c>
      <c r="E456" s="20" t="s">
        <v>763</v>
      </c>
      <c r="F456" s="20" t="s">
        <v>351</v>
      </c>
    </row>
    <row r="457" spans="1:6" x14ac:dyDescent="0.15">
      <c r="A457" s="11">
        <v>184</v>
      </c>
      <c r="B457" s="9" t="str">
        <f>VLOOKUP(A457,[1]characters!$A:$C,3,FALSE)</f>
        <v>クラーケン</v>
      </c>
      <c r="C457" s="9" t="str">
        <f>A457&amp;+(COUNTIF(A$2:A457,A457)-1)</f>
        <v>1841</v>
      </c>
      <c r="D457" s="3" t="s">
        <v>27</v>
      </c>
      <c r="E457" s="20" t="s">
        <v>798</v>
      </c>
      <c r="F457" s="20" t="s">
        <v>352</v>
      </c>
    </row>
    <row r="458" spans="1:6" x14ac:dyDescent="0.15">
      <c r="A458" s="11">
        <v>185</v>
      </c>
      <c r="B458" s="9" t="str">
        <f>VLOOKUP(A458,[1]characters!$A:$C,3,FALSE)</f>
        <v>海姫 クラーケン</v>
      </c>
      <c r="C458" s="9" t="str">
        <f>A458&amp;+(COUNTIF(A$2:A458,A458)-1)</f>
        <v>1851</v>
      </c>
      <c r="D458" s="3" t="s">
        <v>27</v>
      </c>
      <c r="E458" s="20" t="s">
        <v>600</v>
      </c>
      <c r="F458" s="20" t="s">
        <v>353</v>
      </c>
    </row>
    <row r="459" spans="1:6" x14ac:dyDescent="0.15">
      <c r="A459" s="11">
        <v>186</v>
      </c>
      <c r="B459" s="9" t="str">
        <f>VLOOKUP(A459,[1]characters!$A:$C,3,FALSE)</f>
        <v>誇り高き多触姫・クラーケン</v>
      </c>
      <c r="C459" s="9" t="str">
        <f>A459&amp;+(COUNTIF(A$2:A459,A459)-1)</f>
        <v>1861</v>
      </c>
      <c r="D459" s="3" t="s">
        <v>27</v>
      </c>
      <c r="E459" s="20" t="s">
        <v>31</v>
      </c>
      <c r="F459" s="20" t="s">
        <v>354</v>
      </c>
    </row>
    <row r="460" spans="1:6" x14ac:dyDescent="0.15">
      <c r="A460" s="11">
        <v>187</v>
      </c>
      <c r="B460" s="9" t="str">
        <f>VLOOKUP(A460,[1]characters!$A:$C,3,FALSE)</f>
        <v>ホルス</v>
      </c>
      <c r="C460" s="9" t="str">
        <f>A460&amp;+(COUNTIF(A$2:A460,A460)-1)</f>
        <v>1871</v>
      </c>
      <c r="D460" s="3" t="s">
        <v>27</v>
      </c>
      <c r="E460" s="20" t="s">
        <v>30</v>
      </c>
      <c r="F460" s="20" t="s">
        <v>355</v>
      </c>
    </row>
    <row r="461" spans="1:6" x14ac:dyDescent="0.15">
      <c r="A461" s="11">
        <v>188</v>
      </c>
      <c r="B461" s="9" t="str">
        <f>VLOOKUP(A461,[1]characters!$A:$C,3,FALSE)</f>
        <v>猛禽 ホルス</v>
      </c>
      <c r="C461" s="9" t="str">
        <f>A461&amp;+(COUNTIF(A$2:A461,A461)-1)</f>
        <v>1881</v>
      </c>
      <c r="D461" s="3" t="s">
        <v>27</v>
      </c>
      <c r="E461" s="20" t="s">
        <v>600</v>
      </c>
      <c r="F461" s="20" t="s">
        <v>356</v>
      </c>
    </row>
    <row r="462" spans="1:6" x14ac:dyDescent="0.15">
      <c r="A462" s="11">
        <v>189</v>
      </c>
      <c r="B462" s="9" t="str">
        <f>VLOOKUP(A462,[1]characters!$A:$C,3,FALSE)</f>
        <v>迅雷の王禽 ホルス</v>
      </c>
      <c r="C462" s="9" t="str">
        <f>A462&amp;+(COUNTIF(A$2:A462,A462)-1)</f>
        <v>1891</v>
      </c>
      <c r="D462" s="3" t="s">
        <v>27</v>
      </c>
      <c r="E462" s="20" t="s">
        <v>31</v>
      </c>
      <c r="F462" s="20" t="s">
        <v>357</v>
      </c>
    </row>
    <row r="463" spans="1:6" x14ac:dyDescent="0.15">
      <c r="A463" s="11">
        <v>190</v>
      </c>
      <c r="B463" s="9" t="str">
        <f>VLOOKUP(A463,[1]characters!$A:$C,3,FALSE)</f>
        <v>卑弥呼</v>
      </c>
      <c r="C463" s="9" t="str">
        <f>A463&amp;+(COUNTIF(A$2:A463,A463)-1)</f>
        <v>1901</v>
      </c>
      <c r="D463" s="3" t="s">
        <v>27</v>
      </c>
      <c r="E463" s="20" t="s">
        <v>30</v>
      </c>
      <c r="F463" s="20" t="s">
        <v>358</v>
      </c>
    </row>
    <row r="464" spans="1:6" x14ac:dyDescent="0.15">
      <c r="A464" s="11">
        <v>191</v>
      </c>
      <c r="B464" s="9" t="str">
        <f>VLOOKUP(A464,[1]characters!$A:$C,3,FALSE)</f>
        <v>始祖 卑弥呼</v>
      </c>
      <c r="C464" s="9" t="str">
        <f>A464&amp;+(COUNTIF(A$2:A464,A464)-1)</f>
        <v>1911</v>
      </c>
      <c r="D464" s="3" t="s">
        <v>27</v>
      </c>
      <c r="E464" s="20" t="s">
        <v>32</v>
      </c>
      <c r="F464" s="20" t="s">
        <v>359</v>
      </c>
    </row>
    <row r="465" spans="1:6" x14ac:dyDescent="0.15">
      <c r="A465" s="11">
        <v>192</v>
      </c>
      <c r="B465" s="9" t="str">
        <f>VLOOKUP(A465,[1]characters!$A:$C,3,FALSE)</f>
        <v>荘厳なる始祖帝 卑弥呼</v>
      </c>
      <c r="C465" s="9" t="str">
        <f>A465&amp;+(COUNTIF(A$2:A465,A465)-1)</f>
        <v>1921</v>
      </c>
      <c r="D465" s="3" t="s">
        <v>27</v>
      </c>
      <c r="E465" s="20" t="s">
        <v>600</v>
      </c>
      <c r="F465" s="20" t="s">
        <v>360</v>
      </c>
    </row>
    <row r="466" spans="1:6" x14ac:dyDescent="0.15">
      <c r="A466" s="11">
        <v>193</v>
      </c>
      <c r="B466" s="9" t="str">
        <f>VLOOKUP(A466,[1]characters!$A:$C,3,FALSE)</f>
        <v>ロビンフッド</v>
      </c>
      <c r="C466" s="9" t="str">
        <f>A466&amp;+(COUNTIF(A$2:A466,A466)-1)</f>
        <v>1931</v>
      </c>
      <c r="D466" s="3" t="s">
        <v>27</v>
      </c>
      <c r="E466" s="20" t="s">
        <v>30</v>
      </c>
      <c r="F466" s="20" t="s">
        <v>361</v>
      </c>
    </row>
    <row r="467" spans="1:6" x14ac:dyDescent="0.15">
      <c r="A467" s="11">
        <v>194</v>
      </c>
      <c r="B467" s="9" t="str">
        <f>VLOOKUP(A467,[1]characters!$A:$C,3,FALSE)</f>
        <v>スナイパー ロビンフッド</v>
      </c>
      <c r="C467" s="9" t="str">
        <f>A467&amp;+(COUNTIF(A$2:A467,A467)-1)</f>
        <v>1941</v>
      </c>
      <c r="D467" s="3" t="s">
        <v>27</v>
      </c>
      <c r="E467" s="20" t="s">
        <v>799</v>
      </c>
      <c r="F467" s="20" t="s">
        <v>362</v>
      </c>
    </row>
    <row r="468" spans="1:6" x14ac:dyDescent="0.15">
      <c r="A468" s="11">
        <v>195</v>
      </c>
      <c r="B468" s="9" t="str">
        <f>VLOOKUP(A468,[1]characters!$A:$C,3,FALSE)</f>
        <v>グランドハンター ロビンフッド</v>
      </c>
      <c r="C468" s="9" t="str">
        <f>A468&amp;+(COUNTIF(A$2:A468,A468)-1)</f>
        <v>1951</v>
      </c>
      <c r="D468" s="3" t="s">
        <v>27</v>
      </c>
      <c r="E468" s="20" t="s">
        <v>31</v>
      </c>
      <c r="F468" s="20" t="s">
        <v>363</v>
      </c>
    </row>
    <row r="469" spans="1:6" x14ac:dyDescent="0.15">
      <c r="A469" s="11">
        <v>196</v>
      </c>
      <c r="B469" s="9" t="str">
        <f>VLOOKUP(A469,[1]characters!$A:$C,3,FALSE)</f>
        <v>アキレス</v>
      </c>
      <c r="C469" s="9" t="str">
        <f>A469&amp;+(COUNTIF(A$2:A469,A469)-1)</f>
        <v>1961</v>
      </c>
      <c r="D469" s="3" t="s">
        <v>27</v>
      </c>
      <c r="E469" s="20" t="s">
        <v>800</v>
      </c>
      <c r="F469" s="20" t="s">
        <v>801</v>
      </c>
    </row>
    <row r="470" spans="1:6" x14ac:dyDescent="0.15">
      <c r="A470" s="11">
        <v>197</v>
      </c>
      <c r="B470" s="9" t="str">
        <f>VLOOKUP(A470,[1]characters!$A:$C,3,FALSE)</f>
        <v>鉄腕 アキレス</v>
      </c>
      <c r="C470" s="9" t="str">
        <f>A470&amp;+(COUNTIF(A$2:A470,A470)-1)</f>
        <v>1971</v>
      </c>
      <c r="D470" s="3" t="s">
        <v>27</v>
      </c>
      <c r="E470" s="20" t="s">
        <v>802</v>
      </c>
      <c r="F470" s="20" t="s">
        <v>364</v>
      </c>
    </row>
    <row r="471" spans="1:6" x14ac:dyDescent="0.15">
      <c r="A471" s="11">
        <v>198</v>
      </c>
      <c r="B471" s="9" t="str">
        <f>VLOOKUP(A471,[1]characters!$A:$C,3,FALSE)</f>
        <v>砕骨の剛腕 アキレス</v>
      </c>
      <c r="C471" s="9" t="str">
        <f>A471&amp;+(COUNTIF(A$2:A471,A471)-1)</f>
        <v>1981</v>
      </c>
      <c r="D471" s="3" t="s">
        <v>27</v>
      </c>
      <c r="E471" s="20" t="s">
        <v>775</v>
      </c>
      <c r="F471" s="20" t="s">
        <v>803</v>
      </c>
    </row>
    <row r="472" spans="1:6" x14ac:dyDescent="0.15">
      <c r="A472" s="11">
        <v>199</v>
      </c>
      <c r="B472" s="9" t="str">
        <f>VLOOKUP(A472,[1]characters!$A:$C,3,FALSE)</f>
        <v>ジークフリート</v>
      </c>
      <c r="C472" s="9" t="str">
        <f>A472&amp;+(COUNTIF(A$2:A472,A472)-1)</f>
        <v>1991</v>
      </c>
      <c r="D472" s="3" t="s">
        <v>27</v>
      </c>
      <c r="E472" s="20" t="s">
        <v>804</v>
      </c>
      <c r="F472" s="20" t="s">
        <v>365</v>
      </c>
    </row>
    <row r="473" spans="1:6" x14ac:dyDescent="0.15">
      <c r="A473" s="11">
        <v>200</v>
      </c>
      <c r="B473" s="9" t="str">
        <f>VLOOKUP(A473,[1]characters!$A:$C,3,FALSE)</f>
        <v>大剣士 ジークフリート</v>
      </c>
      <c r="C473" s="9" t="str">
        <f>A473&amp;+(COUNTIF(A$2:A473,A473)-1)</f>
        <v>2001</v>
      </c>
      <c r="D473" s="3" t="s">
        <v>27</v>
      </c>
      <c r="E473" s="20" t="s">
        <v>779</v>
      </c>
      <c r="F473" s="20" t="s">
        <v>366</v>
      </c>
    </row>
    <row r="474" spans="1:6" x14ac:dyDescent="0.15">
      <c r="A474" s="11">
        <v>201</v>
      </c>
      <c r="B474" s="9" t="str">
        <f>VLOOKUP(A474,[1]characters!$A:$C,3,FALSE)</f>
        <v>斬空の大破剣 ジークフリート</v>
      </c>
      <c r="C474" s="9" t="str">
        <f>A474&amp;+(COUNTIF(A$2:A474,A474)-1)</f>
        <v>2011</v>
      </c>
      <c r="D474" s="3" t="s">
        <v>27</v>
      </c>
      <c r="E474" s="20" t="s">
        <v>805</v>
      </c>
      <c r="F474" s="20" t="s">
        <v>367</v>
      </c>
    </row>
    <row r="475" spans="1:6" x14ac:dyDescent="0.15">
      <c r="A475" s="11">
        <v>202</v>
      </c>
      <c r="B475" s="9" t="str">
        <f>VLOOKUP(A475,[1]characters!$A:$C,3,FALSE)</f>
        <v>プロメテウス</v>
      </c>
      <c r="C475" s="9" t="str">
        <f>A475&amp;+(COUNTIF(A$2:A475,A475)-1)</f>
        <v>2021</v>
      </c>
      <c r="D475" s="3" t="s">
        <v>27</v>
      </c>
      <c r="E475" s="20" t="s">
        <v>805</v>
      </c>
      <c r="F475" s="20" t="s">
        <v>368</v>
      </c>
    </row>
    <row r="476" spans="1:6" x14ac:dyDescent="0.15">
      <c r="A476" s="11">
        <v>203</v>
      </c>
      <c r="B476" s="9" t="str">
        <f>VLOOKUP(A476,[1]characters!$A:$C,3,FALSE)</f>
        <v>焔神 プロメテウス</v>
      </c>
      <c r="C476" s="9" t="str">
        <f>A476&amp;+(COUNTIF(A$2:A476,A476)-1)</f>
        <v>2031</v>
      </c>
      <c r="D476" s="3" t="s">
        <v>27</v>
      </c>
      <c r="E476" s="20" t="s">
        <v>30</v>
      </c>
      <c r="F476" s="20" t="s">
        <v>369</v>
      </c>
    </row>
    <row r="477" spans="1:6" x14ac:dyDescent="0.15">
      <c r="A477" s="11">
        <v>204</v>
      </c>
      <c r="B477" s="9" t="str">
        <f>VLOOKUP(A477,[1]characters!$A:$C,3,FALSE)</f>
        <v>慟哭の巨焔 プロメテウス</v>
      </c>
      <c r="C477" s="9" t="str">
        <f>A477&amp;+(COUNTIF(A$2:A477,A477)-1)</f>
        <v>2041</v>
      </c>
      <c r="D477" s="3" t="s">
        <v>27</v>
      </c>
      <c r="E477" s="20" t="s">
        <v>31</v>
      </c>
      <c r="F477" s="20" t="s">
        <v>370</v>
      </c>
    </row>
    <row r="478" spans="1:6" x14ac:dyDescent="0.15">
      <c r="A478" s="11">
        <v>205</v>
      </c>
      <c r="B478" s="9" t="str">
        <f>VLOOKUP(A478,[1]characters!$A:$C,3,FALSE)</f>
        <v>アフロディーテ</v>
      </c>
      <c r="C478" s="9" t="str">
        <f>A478&amp;+(COUNTIF(A$2:A478,A478)-1)</f>
        <v>2051</v>
      </c>
      <c r="D478" s="3" t="s">
        <v>27</v>
      </c>
      <c r="E478" s="20" t="s">
        <v>30</v>
      </c>
      <c r="F478" s="20" t="s">
        <v>371</v>
      </c>
    </row>
    <row r="479" spans="1:6" x14ac:dyDescent="0.15">
      <c r="A479" s="11">
        <v>206</v>
      </c>
      <c r="B479" s="9" t="str">
        <f>VLOOKUP(A479,[1]characters!$A:$C,3,FALSE)</f>
        <v>美神 アフロディーテ</v>
      </c>
      <c r="C479" s="9" t="str">
        <f>A479&amp;+(COUNTIF(A$2:A479,A479)-1)</f>
        <v>2061</v>
      </c>
      <c r="D479" s="3" t="s">
        <v>27</v>
      </c>
      <c r="E479" s="20" t="s">
        <v>806</v>
      </c>
      <c r="F479" s="20" t="s">
        <v>372</v>
      </c>
    </row>
    <row r="480" spans="1:6" x14ac:dyDescent="0.15">
      <c r="A480" s="11">
        <v>207</v>
      </c>
      <c r="B480" s="9" t="str">
        <f>VLOOKUP(A480,[1]characters!$A:$C,3,FALSE)</f>
        <v>豊穣の麗神・アフロディーテ</v>
      </c>
      <c r="C480" s="9" t="str">
        <f>A480&amp;+(COUNTIF(A$2:A480,A480)-1)</f>
        <v>2071</v>
      </c>
      <c r="D480" s="3" t="s">
        <v>27</v>
      </c>
      <c r="E480" s="20" t="s">
        <v>30</v>
      </c>
      <c r="F480" s="20" t="s">
        <v>373</v>
      </c>
    </row>
    <row r="481" spans="1:6" x14ac:dyDescent="0.15">
      <c r="A481" s="11">
        <v>208</v>
      </c>
      <c r="B481" s="9" t="str">
        <f>VLOOKUP(A481,[1]characters!$A:$C,3,FALSE)</f>
        <v>テティス</v>
      </c>
      <c r="C481" s="9" t="str">
        <f>A481&amp;+(COUNTIF(A$2:A481,A481)-1)</f>
        <v>2081</v>
      </c>
      <c r="D481" s="3" t="s">
        <v>27</v>
      </c>
      <c r="E481" s="20" t="s">
        <v>32</v>
      </c>
      <c r="F481" s="20" t="s">
        <v>374</v>
      </c>
    </row>
    <row r="482" spans="1:6" x14ac:dyDescent="0.15">
      <c r="A482" s="11">
        <v>209</v>
      </c>
      <c r="B482" s="9" t="str">
        <f>VLOOKUP(A482,[1]characters!$A:$C,3,FALSE)</f>
        <v>孤神 テティス</v>
      </c>
      <c r="C482" s="9" t="str">
        <f>A482&amp;+(COUNTIF(A$2:A482,A482)-1)</f>
        <v>2091</v>
      </c>
      <c r="D482" s="3" t="s">
        <v>27</v>
      </c>
      <c r="E482" s="20" t="s">
        <v>32</v>
      </c>
      <c r="F482" s="20" t="s">
        <v>375</v>
      </c>
    </row>
    <row r="483" spans="1:6" x14ac:dyDescent="0.15">
      <c r="A483" s="11">
        <v>210</v>
      </c>
      <c r="B483" s="9" t="str">
        <f>VLOOKUP(A483,[1]characters!$A:$C,3,FALSE)</f>
        <v>海底の孤高神 テティス</v>
      </c>
      <c r="C483" s="9" t="str">
        <f>A483&amp;+(COUNTIF(A$2:A483,A483)-1)</f>
        <v>2101</v>
      </c>
      <c r="D483" s="3" t="s">
        <v>27</v>
      </c>
      <c r="E483" s="20" t="s">
        <v>30</v>
      </c>
      <c r="F483" s="20" t="s">
        <v>376</v>
      </c>
    </row>
    <row r="484" spans="1:6" x14ac:dyDescent="0.15">
      <c r="A484" s="11">
        <v>211</v>
      </c>
      <c r="B484" s="9" t="str">
        <f>VLOOKUP(A484,[1]characters!$A:$C,3,FALSE)</f>
        <v>アストライアー</v>
      </c>
      <c r="C484" s="9" t="str">
        <f>A484&amp;+(COUNTIF(A$2:A484,A484)-1)</f>
        <v>2111</v>
      </c>
      <c r="D484" s="3" t="s">
        <v>27</v>
      </c>
      <c r="E484" s="20" t="s">
        <v>30</v>
      </c>
      <c r="F484" s="20" t="s">
        <v>377</v>
      </c>
    </row>
    <row r="485" spans="1:6" x14ac:dyDescent="0.15">
      <c r="A485" s="11">
        <v>212</v>
      </c>
      <c r="B485" s="9" t="str">
        <f>VLOOKUP(A485,[1]characters!$A:$C,3,FALSE)</f>
        <v>星神 アストライアー</v>
      </c>
      <c r="C485" s="9" t="str">
        <f>A485&amp;+(COUNTIF(A$2:A485,A485)-1)</f>
        <v>2121</v>
      </c>
      <c r="D485" s="3" t="s">
        <v>27</v>
      </c>
      <c r="E485" s="20" t="s">
        <v>784</v>
      </c>
      <c r="F485" s="20" t="s">
        <v>807</v>
      </c>
    </row>
    <row r="486" spans="1:6" x14ac:dyDescent="0.15">
      <c r="A486" s="11">
        <v>213</v>
      </c>
      <c r="B486" s="9" t="str">
        <f>VLOOKUP(A486,[1]characters!$A:$C,3,FALSE)</f>
        <v>満天の星降神 アストライアー</v>
      </c>
      <c r="C486" s="9" t="str">
        <f>A486&amp;+(COUNTIF(A$2:A486,A486)-1)</f>
        <v>2131</v>
      </c>
      <c r="D486" s="3" t="s">
        <v>27</v>
      </c>
      <c r="E486" s="20" t="s">
        <v>784</v>
      </c>
      <c r="F486" s="20" t="s">
        <v>378</v>
      </c>
    </row>
    <row r="487" spans="1:6" x14ac:dyDescent="0.15">
      <c r="A487" s="11">
        <v>214</v>
      </c>
      <c r="B487" s="9" t="str">
        <f>VLOOKUP(A487,[1]characters!$A:$C,3,FALSE)</f>
        <v>アズラエル</v>
      </c>
      <c r="C487" s="9" t="str">
        <f>A487&amp;+(COUNTIF(A$2:A487,A487)-1)</f>
        <v>2141</v>
      </c>
      <c r="D487" s="3" t="s">
        <v>27</v>
      </c>
      <c r="E487" s="20" t="s">
        <v>804</v>
      </c>
      <c r="F487" s="20" t="s">
        <v>379</v>
      </c>
    </row>
    <row r="488" spans="1:6" x14ac:dyDescent="0.15">
      <c r="A488" s="11">
        <v>215</v>
      </c>
      <c r="B488" s="9" t="str">
        <f>VLOOKUP(A488,[1]characters!$A:$C,3,FALSE)</f>
        <v>死導者 アズラエル</v>
      </c>
      <c r="C488" s="9" t="str">
        <f>A488&amp;+(COUNTIF(A$2:A488,A488)-1)</f>
        <v>2151</v>
      </c>
      <c r="D488" s="3" t="s">
        <v>27</v>
      </c>
      <c r="E488" s="20" t="s">
        <v>30</v>
      </c>
      <c r="F488" s="20" t="s">
        <v>380</v>
      </c>
    </row>
    <row r="489" spans="1:6" x14ac:dyDescent="0.15">
      <c r="A489" s="11">
        <v>216</v>
      </c>
      <c r="B489" s="9" t="str">
        <f>VLOOKUP(A489,[1]characters!$A:$C,3,FALSE)</f>
        <v>百読の死導司書 アズラエル</v>
      </c>
      <c r="C489" s="9" t="str">
        <f>A489&amp;+(COUNTIF(A$2:A489,A489)-1)</f>
        <v>2161</v>
      </c>
      <c r="D489" s="3" t="s">
        <v>27</v>
      </c>
      <c r="E489" s="20" t="s">
        <v>808</v>
      </c>
      <c r="F489" s="20" t="s">
        <v>381</v>
      </c>
    </row>
    <row r="490" spans="1:6" x14ac:dyDescent="0.15">
      <c r="A490" s="11">
        <v>217</v>
      </c>
      <c r="B490" s="9" t="str">
        <f>VLOOKUP(A490,[1]characters!$A:$C,3,FALSE)</f>
        <v>ケツァクアトル</v>
      </c>
      <c r="C490" s="9" t="str">
        <f>A490&amp;+(COUNTIF(A$2:A490,A490)-1)</f>
        <v>2171</v>
      </c>
      <c r="D490" s="3" t="s">
        <v>27</v>
      </c>
      <c r="E490" s="20" t="s">
        <v>743</v>
      </c>
      <c r="F490" s="20" t="s">
        <v>809</v>
      </c>
    </row>
    <row r="491" spans="1:6" x14ac:dyDescent="0.15">
      <c r="A491" s="11">
        <v>218</v>
      </c>
      <c r="B491" s="9" t="str">
        <f>VLOOKUP(A491,[1]characters!$A:$C,3,FALSE)</f>
        <v>聖蛇 ケツァクアトル</v>
      </c>
      <c r="C491" s="9" t="str">
        <f>A491&amp;+(COUNTIF(A$2:A491,A491)-1)</f>
        <v>2181</v>
      </c>
      <c r="D491" s="3" t="s">
        <v>27</v>
      </c>
      <c r="E491" s="20" t="s">
        <v>743</v>
      </c>
      <c r="F491" s="20" t="s">
        <v>810</v>
      </c>
    </row>
    <row r="492" spans="1:6" x14ac:dyDescent="0.15">
      <c r="A492" s="11">
        <v>219</v>
      </c>
      <c r="B492" s="9" t="str">
        <f>VLOOKUP(A492,[1]characters!$A:$C,3,FALSE)</f>
        <v>覇翼の聖蛇竜 ケツァクアトル</v>
      </c>
      <c r="C492" s="9" t="str">
        <f>A492&amp;+(COUNTIF(A$2:A492,A492)-1)</f>
        <v>2191</v>
      </c>
      <c r="D492" s="3" t="s">
        <v>27</v>
      </c>
      <c r="E492" s="20" t="s">
        <v>811</v>
      </c>
      <c r="F492" s="20" t="s">
        <v>812</v>
      </c>
    </row>
    <row r="493" spans="1:6" x14ac:dyDescent="0.15">
      <c r="A493" s="11">
        <v>220</v>
      </c>
      <c r="B493" s="9" t="str">
        <f>VLOOKUP(A493,[1]characters!$A:$C,3,FALSE)</f>
        <v>ルキフグス</v>
      </c>
      <c r="C493" s="9" t="str">
        <f>A493&amp;+(COUNTIF(A$2:A493,A493)-1)</f>
        <v>2201</v>
      </c>
      <c r="D493" s="3" t="s">
        <v>27</v>
      </c>
      <c r="E493" s="20" t="s">
        <v>811</v>
      </c>
      <c r="F493" s="20" t="s">
        <v>382</v>
      </c>
    </row>
    <row r="494" spans="1:6" x14ac:dyDescent="0.15">
      <c r="A494" s="11">
        <v>221</v>
      </c>
      <c r="B494" s="9" t="str">
        <f>VLOOKUP(A494,[1]characters!$A:$C,3,FALSE)</f>
        <v>宰相 ルキフグス</v>
      </c>
      <c r="C494" s="9" t="str">
        <f>A494&amp;+(COUNTIF(A$2:A494,A494)-1)</f>
        <v>2211</v>
      </c>
      <c r="D494" s="3" t="s">
        <v>27</v>
      </c>
      <c r="E494" s="20" t="s">
        <v>813</v>
      </c>
      <c r="F494" s="20" t="s">
        <v>383</v>
      </c>
    </row>
    <row r="495" spans="1:6" x14ac:dyDescent="0.15">
      <c r="A495" s="11">
        <v>222</v>
      </c>
      <c r="B495" s="9" t="str">
        <f>VLOOKUP(A495,[1]characters!$A:$C,3,FALSE)</f>
        <v>避光の鉄鎖宰相 ルキフグス</v>
      </c>
      <c r="C495" s="9" t="str">
        <f>A495&amp;+(COUNTIF(A$2:A495,A495)-1)</f>
        <v>2221</v>
      </c>
      <c r="D495" s="3" t="s">
        <v>27</v>
      </c>
      <c r="E495" s="20" t="s">
        <v>735</v>
      </c>
      <c r="F495" s="20" t="s">
        <v>384</v>
      </c>
    </row>
    <row r="496" spans="1:6" x14ac:dyDescent="0.15">
      <c r="A496" s="11">
        <v>223</v>
      </c>
      <c r="B496" s="9" t="str">
        <f>VLOOKUP(A496,[1]characters!$A:$C,3,FALSE)</f>
        <v>ヘラクレス</v>
      </c>
      <c r="C496" s="9" t="str">
        <f>A496&amp;+(COUNTIF(A$2:A496,A496)-1)</f>
        <v>2231</v>
      </c>
      <c r="D496" s="3" t="s">
        <v>27</v>
      </c>
      <c r="E496" s="20" t="s">
        <v>612</v>
      </c>
      <c r="F496" s="22" t="s">
        <v>385</v>
      </c>
    </row>
    <row r="497" spans="1:6" x14ac:dyDescent="0.15">
      <c r="A497" s="11">
        <v>224</v>
      </c>
      <c r="B497" s="9" t="str">
        <f>VLOOKUP(A497,[1]characters!$A:$C,3,FALSE)</f>
        <v>巨腕 ヘラクレス</v>
      </c>
      <c r="C497" s="9" t="str">
        <f>A497&amp;+(COUNTIF(A$2:A497,A497)-1)</f>
        <v>2241</v>
      </c>
      <c r="D497" s="3" t="s">
        <v>27</v>
      </c>
      <c r="E497" s="20" t="s">
        <v>704</v>
      </c>
      <c r="F497" s="22" t="s">
        <v>386</v>
      </c>
    </row>
    <row r="498" spans="1:6" x14ac:dyDescent="0.15">
      <c r="A498" s="11">
        <v>225</v>
      </c>
      <c r="B498" s="9" t="str">
        <f>VLOOKUP(A498,[1]characters!$A:$C,3,FALSE)</f>
        <v>咆哮の巨獅腕 ヘラクレス</v>
      </c>
      <c r="C498" s="9" t="str">
        <f>A498&amp;+(COUNTIF(A$2:A498,A498)-1)</f>
        <v>2251</v>
      </c>
      <c r="D498" s="3" t="s">
        <v>27</v>
      </c>
      <c r="E498" s="20" t="s">
        <v>603</v>
      </c>
      <c r="F498" s="22" t="s">
        <v>387</v>
      </c>
    </row>
    <row r="499" spans="1:6" x14ac:dyDescent="0.15">
      <c r="A499" s="11">
        <v>226</v>
      </c>
      <c r="B499" s="9" t="str">
        <f>VLOOKUP(A499,[1]characters!$A:$C,3,FALSE)</f>
        <v>アレス</v>
      </c>
      <c r="C499" s="9" t="str">
        <f>A499&amp;+(COUNTIF(A$2:A499,A499)-1)</f>
        <v>2261</v>
      </c>
      <c r="D499" s="3" t="s">
        <v>27</v>
      </c>
      <c r="E499" s="20" t="s">
        <v>814</v>
      </c>
      <c r="F499" s="20" t="s">
        <v>388</v>
      </c>
    </row>
    <row r="500" spans="1:6" x14ac:dyDescent="0.15">
      <c r="A500" s="11">
        <v>227</v>
      </c>
      <c r="B500" s="9" t="str">
        <f>VLOOKUP(A500,[1]characters!$A:$C,3,FALSE)</f>
        <v>滅弾 アレス</v>
      </c>
      <c r="C500" s="9" t="str">
        <f>A500&amp;+(COUNTIF(A$2:A500,A500)-1)</f>
        <v>2271</v>
      </c>
      <c r="D500" s="3" t="s">
        <v>27</v>
      </c>
      <c r="E500" s="20" t="s">
        <v>815</v>
      </c>
      <c r="F500" s="20" t="s">
        <v>389</v>
      </c>
    </row>
    <row r="501" spans="1:6" x14ac:dyDescent="0.15">
      <c r="A501" s="11">
        <v>228</v>
      </c>
      <c r="B501" s="9" t="str">
        <f>VLOOKUP(A501,[1]characters!$A:$C,3,FALSE)</f>
        <v>殲滅の掃射砲 アレス</v>
      </c>
      <c r="C501" s="9" t="str">
        <f>A501&amp;+(COUNTIF(A$2:A501,A501)-1)</f>
        <v>2281</v>
      </c>
      <c r="D501" s="3" t="s">
        <v>27</v>
      </c>
      <c r="E501" s="20" t="s">
        <v>816</v>
      </c>
      <c r="F501" s="20" t="s">
        <v>390</v>
      </c>
    </row>
    <row r="502" spans="1:6" x14ac:dyDescent="0.15">
      <c r="A502" s="11">
        <v>229</v>
      </c>
      <c r="B502" s="9" t="str">
        <f>VLOOKUP(A502,[1]characters!$A:$C,3,FALSE)</f>
        <v>ヨルムンガンド</v>
      </c>
      <c r="C502" s="9" t="str">
        <f>A502&amp;+(COUNTIF(A$2:A502,A502)-1)</f>
        <v>2291</v>
      </c>
      <c r="D502" s="3" t="s">
        <v>27</v>
      </c>
      <c r="E502" s="20" t="s">
        <v>817</v>
      </c>
      <c r="F502" s="20" t="s">
        <v>818</v>
      </c>
    </row>
    <row r="503" spans="1:6" x14ac:dyDescent="0.15">
      <c r="A503" s="11">
        <v>230</v>
      </c>
      <c r="B503" s="9" t="str">
        <f>VLOOKUP(A503,[1]characters!$A:$C,3,FALSE)</f>
        <v>毒銃 ヨルムンガンド</v>
      </c>
      <c r="C503" s="9" t="str">
        <f>A503&amp;+(COUNTIF(A$2:A503,A503)-1)</f>
        <v>2301</v>
      </c>
      <c r="D503" s="3" t="s">
        <v>27</v>
      </c>
      <c r="E503" s="20" t="s">
        <v>819</v>
      </c>
      <c r="F503" s="20" t="s">
        <v>391</v>
      </c>
    </row>
    <row r="504" spans="1:6" x14ac:dyDescent="0.15">
      <c r="A504" s="11">
        <v>231</v>
      </c>
      <c r="B504" s="9" t="str">
        <f>VLOOKUP(A504,[1]characters!$A:$C,3,FALSE)</f>
        <v>必中の咬銃 ヨルムンガンド</v>
      </c>
      <c r="C504" s="9" t="str">
        <f>A504&amp;+(COUNTIF(A$2:A504,A504)-1)</f>
        <v>2311</v>
      </c>
      <c r="D504" s="3" t="s">
        <v>27</v>
      </c>
      <c r="E504" s="20" t="s">
        <v>820</v>
      </c>
      <c r="F504" s="20" t="s">
        <v>392</v>
      </c>
    </row>
    <row r="505" spans="1:6" x14ac:dyDescent="0.15">
      <c r="A505" s="11">
        <v>232</v>
      </c>
      <c r="B505" s="9" t="str">
        <f>VLOOKUP(A505,[1]characters!$A:$C,3,FALSE)</f>
        <v>パーシヴァル</v>
      </c>
      <c r="C505" s="9" t="str">
        <f>A505&amp;+(COUNTIF(A$2:A505,A505)-1)</f>
        <v>2321</v>
      </c>
      <c r="D505" s="3" t="s">
        <v>27</v>
      </c>
      <c r="E505" s="20" t="s">
        <v>821</v>
      </c>
      <c r="F505" s="20" t="s">
        <v>393</v>
      </c>
    </row>
    <row r="506" spans="1:6" x14ac:dyDescent="0.15">
      <c r="A506" s="11">
        <v>233</v>
      </c>
      <c r="B506" s="9" t="str">
        <f>VLOOKUP(A506,[1]characters!$A:$C,3,FALSE)</f>
        <v>遂行 パーシヴァル</v>
      </c>
      <c r="C506" s="9" t="str">
        <f>A506&amp;+(COUNTIF(A$2:A506,A506)-1)</f>
        <v>2331</v>
      </c>
      <c r="D506" s="3" t="s">
        <v>27</v>
      </c>
      <c r="E506" s="20" t="s">
        <v>674</v>
      </c>
      <c r="F506" s="20" t="s">
        <v>394</v>
      </c>
    </row>
    <row r="507" spans="1:6" x14ac:dyDescent="0.15">
      <c r="A507" s="11">
        <v>234</v>
      </c>
      <c r="B507" s="9" t="str">
        <f>VLOOKUP(A507,[1]characters!$A:$C,3,FALSE)</f>
        <v>精密なる照準 パーシヴァル</v>
      </c>
      <c r="C507" s="9" t="str">
        <f>A507&amp;+(COUNTIF(A$2:A507,A507)-1)</f>
        <v>2341</v>
      </c>
      <c r="D507" s="3" t="s">
        <v>27</v>
      </c>
      <c r="E507" s="20" t="s">
        <v>822</v>
      </c>
      <c r="F507" s="20" t="s">
        <v>395</v>
      </c>
    </row>
    <row r="508" spans="1:6" x14ac:dyDescent="0.15">
      <c r="A508" s="11">
        <v>235</v>
      </c>
      <c r="B508" s="9" t="str">
        <f>VLOOKUP(A508,[1]characters!$A:$C,3,FALSE)</f>
        <v>イザナミ</v>
      </c>
      <c r="C508" s="9" t="str">
        <f>A508&amp;+(COUNTIF(A$2:A508,A508)-1)</f>
        <v>2351</v>
      </c>
      <c r="D508" s="3" t="s">
        <v>27</v>
      </c>
      <c r="E508" s="20" t="s">
        <v>766</v>
      </c>
      <c r="F508" s="20" t="s">
        <v>396</v>
      </c>
    </row>
    <row r="509" spans="1:6" x14ac:dyDescent="0.15">
      <c r="A509" s="11">
        <v>236</v>
      </c>
      <c r="B509" s="9" t="str">
        <f>VLOOKUP(A509,[1]characters!$A:$C,3,FALSE)</f>
        <v>神産 イザナミ</v>
      </c>
      <c r="C509" s="9" t="str">
        <f>A509&amp;+(COUNTIF(A$2:A509,A509)-1)</f>
        <v>2361</v>
      </c>
      <c r="D509" s="3" t="s">
        <v>27</v>
      </c>
      <c r="E509" s="20" t="s">
        <v>612</v>
      </c>
      <c r="F509" s="20" t="s">
        <v>397</v>
      </c>
    </row>
    <row r="510" spans="1:6" x14ac:dyDescent="0.15">
      <c r="A510" s="11">
        <v>237</v>
      </c>
      <c r="B510" s="9" t="str">
        <f>VLOOKUP(A510,[1]characters!$A:$C,3,FALSE)</f>
        <v>森羅万象の神母 イザナミ</v>
      </c>
      <c r="C510" s="9" t="str">
        <f>A510&amp;+(COUNTIF(A$2:A510,A510)-1)</f>
        <v>2371</v>
      </c>
      <c r="D510" s="3" t="s">
        <v>27</v>
      </c>
      <c r="E510" s="20" t="s">
        <v>786</v>
      </c>
      <c r="F510" s="20" t="s">
        <v>398</v>
      </c>
    </row>
    <row r="511" spans="1:6" x14ac:dyDescent="0.15">
      <c r="A511" s="11">
        <v>238</v>
      </c>
      <c r="B511" s="9" t="str">
        <f>VLOOKUP(A511,[1]characters!$A:$C,3,FALSE)</f>
        <v>ウリエル</v>
      </c>
      <c r="C511" s="9" t="str">
        <f>A511&amp;+(COUNTIF(A$2:A511,A511)-1)</f>
        <v>2381</v>
      </c>
      <c r="D511" s="3" t="s">
        <v>27</v>
      </c>
      <c r="E511" s="20" t="s">
        <v>743</v>
      </c>
      <c r="F511" s="20" t="s">
        <v>399</v>
      </c>
    </row>
    <row r="512" spans="1:6" x14ac:dyDescent="0.15">
      <c r="A512" s="11">
        <v>239</v>
      </c>
      <c r="B512" s="9" t="str">
        <f>VLOOKUP(A512,[1]characters!$A:$C,3,FALSE)</f>
        <v>豪炎の天使 ウリエル</v>
      </c>
      <c r="C512" s="9" t="str">
        <f>A512&amp;+(COUNTIF(A$2:A512,A512)-1)</f>
        <v>2391</v>
      </c>
      <c r="D512" s="3" t="s">
        <v>27</v>
      </c>
      <c r="E512" s="20" t="s">
        <v>737</v>
      </c>
      <c r="F512" s="20" t="s">
        <v>823</v>
      </c>
    </row>
    <row r="513" spans="1:6" x14ac:dyDescent="0.15">
      <c r="A513" s="11">
        <v>240</v>
      </c>
      <c r="B513" s="9" t="str">
        <f>VLOOKUP(A513,[1]characters!$A:$C,3,FALSE)</f>
        <v>轟炎の天使 ウリエル・スレイヤー</v>
      </c>
      <c r="C513" s="9" t="str">
        <f>A513&amp;+(COUNTIF(A$2:A513,A513)-1)</f>
        <v>2401</v>
      </c>
      <c r="D513" s="3" t="s">
        <v>27</v>
      </c>
      <c r="E513" s="20" t="s">
        <v>743</v>
      </c>
      <c r="F513" s="20" t="s">
        <v>400</v>
      </c>
    </row>
    <row r="514" spans="1:6" x14ac:dyDescent="0.15">
      <c r="A514" s="11">
        <v>241</v>
      </c>
      <c r="B514" s="9" t="str">
        <f>VLOOKUP(A514,[1]characters!$A:$C,3,FALSE)</f>
        <v>ガブリエル</v>
      </c>
      <c r="C514" s="9" t="str">
        <f>A514&amp;+(COUNTIF(A$2:A514,A514)-1)</f>
        <v>2411</v>
      </c>
      <c r="D514" s="3" t="s">
        <v>27</v>
      </c>
      <c r="E514" s="20" t="s">
        <v>811</v>
      </c>
      <c r="F514" s="20" t="s">
        <v>401</v>
      </c>
    </row>
    <row r="515" spans="1:6" x14ac:dyDescent="0.15">
      <c r="A515" s="11">
        <v>242</v>
      </c>
      <c r="B515" s="9" t="str">
        <f>VLOOKUP(A515,[1]characters!$A:$C,3,FALSE)</f>
        <v>百花の天使 ガブリエル</v>
      </c>
      <c r="C515" s="9" t="str">
        <f>A515&amp;+(COUNTIF(A$2:A515,A515)-1)</f>
        <v>2421</v>
      </c>
      <c r="D515" s="3" t="s">
        <v>27</v>
      </c>
      <c r="E515" s="20" t="s">
        <v>612</v>
      </c>
      <c r="F515" s="20" t="s">
        <v>402</v>
      </c>
    </row>
    <row r="516" spans="1:6" x14ac:dyDescent="0.15">
      <c r="A516" s="11">
        <v>243</v>
      </c>
      <c r="B516" s="9" t="str">
        <f>VLOOKUP(A516,[1]characters!$A:$C,3,FALSE)</f>
        <v>万花の天使 ガブリエル・ブルーム</v>
      </c>
      <c r="C516" s="9" t="str">
        <f>A516&amp;+(COUNTIF(A$2:A516,A516)-1)</f>
        <v>2431</v>
      </c>
      <c r="D516" s="3" t="s">
        <v>27</v>
      </c>
      <c r="E516" s="20" t="s">
        <v>805</v>
      </c>
      <c r="F516" s="20" t="s">
        <v>403</v>
      </c>
    </row>
    <row r="517" spans="1:6" x14ac:dyDescent="0.15">
      <c r="A517" s="11">
        <v>244</v>
      </c>
      <c r="B517" s="9" t="str">
        <f>VLOOKUP(A517,[1]characters!$A:$C,3,FALSE)</f>
        <v>ラファエル</v>
      </c>
      <c r="C517" s="9" t="str">
        <f>A517&amp;+(COUNTIF(A$2:A517,A517)-1)</f>
        <v>2441</v>
      </c>
      <c r="D517" s="3" t="s">
        <v>27</v>
      </c>
      <c r="E517" s="20" t="s">
        <v>824</v>
      </c>
      <c r="F517" s="22" t="s">
        <v>404</v>
      </c>
    </row>
    <row r="518" spans="1:6" x14ac:dyDescent="0.15">
      <c r="A518" s="11">
        <v>245</v>
      </c>
      <c r="B518" s="9" t="str">
        <f>VLOOKUP(A518,[1]characters!$A:$C,3,FALSE)</f>
        <v>鎮癒の天使 ラファエル</v>
      </c>
      <c r="C518" s="9" t="str">
        <f>A518&amp;+(COUNTIF(A$2:A518,A518)-1)</f>
        <v>2451</v>
      </c>
      <c r="D518" s="3" t="s">
        <v>27</v>
      </c>
      <c r="E518" s="20" t="s">
        <v>601</v>
      </c>
      <c r="F518" s="20" t="s">
        <v>405</v>
      </c>
    </row>
    <row r="519" spans="1:6" x14ac:dyDescent="0.15">
      <c r="A519" s="11">
        <v>246</v>
      </c>
      <c r="B519" s="9" t="str">
        <f>VLOOKUP(A519,[1]characters!$A:$C,3,FALSE)</f>
        <v>真癒の天使 ラファエル・メディカ</v>
      </c>
      <c r="C519" s="9" t="str">
        <f>A519&amp;+(COUNTIF(A$2:A519,A519)-1)</f>
        <v>2461</v>
      </c>
      <c r="D519" s="3" t="s">
        <v>27</v>
      </c>
      <c r="E519" s="20" t="s">
        <v>735</v>
      </c>
      <c r="F519" s="20" t="s">
        <v>406</v>
      </c>
    </row>
    <row r="520" spans="1:6" x14ac:dyDescent="0.15">
      <c r="A520" s="11">
        <v>247</v>
      </c>
      <c r="B520" s="9" t="str">
        <f>VLOOKUP(A520,[1]characters!$A:$C,3,FALSE)</f>
        <v>ミカエル</v>
      </c>
      <c r="C520" s="9" t="str">
        <f>A520&amp;+(COUNTIF(A$2:A520,A520)-1)</f>
        <v>2471</v>
      </c>
      <c r="D520" s="3" t="s">
        <v>27</v>
      </c>
      <c r="E520" s="20" t="s">
        <v>735</v>
      </c>
      <c r="F520" s="22" t="s">
        <v>407</v>
      </c>
    </row>
    <row r="521" spans="1:6" x14ac:dyDescent="0.15">
      <c r="A521" s="11">
        <v>248</v>
      </c>
      <c r="B521" s="9" t="str">
        <f>VLOOKUP(A521,[1]characters!$A:$C,3,FALSE)</f>
        <v>彩電の天使 ミカエル</v>
      </c>
      <c r="C521" s="9" t="str">
        <f>A521&amp;+(COUNTIF(A$2:A521,A521)-1)</f>
        <v>2481</v>
      </c>
      <c r="D521" s="3" t="s">
        <v>27</v>
      </c>
      <c r="E521" s="20" t="s">
        <v>825</v>
      </c>
      <c r="F521" s="22" t="s">
        <v>408</v>
      </c>
    </row>
    <row r="522" spans="1:6" x14ac:dyDescent="0.15">
      <c r="A522" s="11">
        <v>249</v>
      </c>
      <c r="B522" s="9" t="str">
        <f>VLOOKUP(A522,[1]characters!$A:$C,3,FALSE)</f>
        <v>雷電の天使 ミカエル・ゲイナー</v>
      </c>
      <c r="C522" s="9" t="str">
        <f>A522&amp;+(COUNTIF(A$2:A522,A522)-1)</f>
        <v>2491</v>
      </c>
      <c r="D522" s="3" t="s">
        <v>27</v>
      </c>
      <c r="E522" s="20" t="s">
        <v>826</v>
      </c>
      <c r="F522" s="22" t="s">
        <v>409</v>
      </c>
    </row>
    <row r="523" spans="1:6" x14ac:dyDescent="0.15">
      <c r="A523" s="11">
        <v>250</v>
      </c>
      <c r="B523" s="9" t="str">
        <f>VLOOKUP(A523,[1]characters!$A:$C,3,FALSE)</f>
        <v>マンモン</v>
      </c>
      <c r="C523" s="9" t="str">
        <f>A523&amp;+(COUNTIF(A$2:A523,A523)-1)</f>
        <v>2501</v>
      </c>
      <c r="D523" s="3" t="s">
        <v>27</v>
      </c>
      <c r="E523" s="20" t="s">
        <v>729</v>
      </c>
      <c r="F523" s="20" t="s">
        <v>410</v>
      </c>
    </row>
    <row r="524" spans="1:6" x14ac:dyDescent="0.15">
      <c r="A524" s="11">
        <v>251</v>
      </c>
      <c r="B524" s="9" t="str">
        <f>VLOOKUP(A524,[1]characters!$A:$C,3,FALSE)</f>
        <v>強欲 マンモン</v>
      </c>
      <c r="C524" s="9" t="str">
        <f>A524&amp;+(COUNTIF(A$2:A524,A524)-1)</f>
        <v>2511</v>
      </c>
      <c r="D524" s="3" t="s">
        <v>27</v>
      </c>
      <c r="E524" s="20" t="s">
        <v>729</v>
      </c>
      <c r="F524" s="20" t="s">
        <v>411</v>
      </c>
    </row>
    <row r="525" spans="1:6" x14ac:dyDescent="0.15">
      <c r="A525" s="11">
        <v>252</v>
      </c>
      <c r="B525" s="9" t="str">
        <f>VLOOKUP(A525,[1]characters!$A:$C,3,FALSE)</f>
        <v>強欲の沸騰 マンモン</v>
      </c>
      <c r="C525" s="9" t="str">
        <f>A525&amp;+(COUNTIF(A$2:A525,A525)-1)</f>
        <v>2521</v>
      </c>
      <c r="D525" s="3" t="s">
        <v>27</v>
      </c>
      <c r="E525" s="20" t="s">
        <v>709</v>
      </c>
      <c r="F525" s="20" t="s">
        <v>412</v>
      </c>
    </row>
    <row r="526" spans="1:6" x14ac:dyDescent="0.15">
      <c r="A526" s="11">
        <v>253</v>
      </c>
      <c r="B526" s="9" t="str">
        <f>VLOOKUP(A526,[1]characters!$A:$C,3,FALSE)</f>
        <v>ベルフェゴール</v>
      </c>
      <c r="C526" s="9" t="str">
        <f>A526&amp;+(COUNTIF(A$2:A526,A526)-1)</f>
        <v>2531</v>
      </c>
      <c r="D526" s="3" t="s">
        <v>27</v>
      </c>
      <c r="E526" s="20" t="s">
        <v>811</v>
      </c>
      <c r="F526" s="20" t="s">
        <v>413</v>
      </c>
    </row>
    <row r="527" spans="1:6" x14ac:dyDescent="0.15">
      <c r="A527" s="11">
        <v>254</v>
      </c>
      <c r="B527" s="9" t="str">
        <f>VLOOKUP(A527,[1]characters!$A:$C,3,FALSE)</f>
        <v>怠惰 ベルフェゴール</v>
      </c>
      <c r="C527" s="9" t="str">
        <f>A527&amp;+(COUNTIF(A$2:A527,A527)-1)</f>
        <v>2541</v>
      </c>
      <c r="D527" s="3" t="s">
        <v>27</v>
      </c>
      <c r="E527" s="20" t="s">
        <v>743</v>
      </c>
      <c r="F527" s="20" t="s">
        <v>414</v>
      </c>
    </row>
    <row r="528" spans="1:6" x14ac:dyDescent="0.15">
      <c r="A528" s="11">
        <v>255</v>
      </c>
      <c r="B528" s="9" t="str">
        <f>VLOOKUP(A528,[1]characters!$A:$C,3,FALSE)</f>
        <v>怠惰の頂点 ベルフェゴール</v>
      </c>
      <c r="C528" s="9" t="str">
        <f>A528&amp;+(COUNTIF(A$2:A528,A528)-1)</f>
        <v>2551</v>
      </c>
      <c r="D528" s="3" t="s">
        <v>27</v>
      </c>
      <c r="E528" s="20" t="s">
        <v>827</v>
      </c>
      <c r="F528" s="20" t="s">
        <v>415</v>
      </c>
    </row>
    <row r="529" spans="1:6" x14ac:dyDescent="0.15">
      <c r="A529" s="11">
        <v>256</v>
      </c>
      <c r="B529" s="9" t="str">
        <f>VLOOKUP(A529,[1]characters!$A:$C,3,FALSE)</f>
        <v>アスモデウス</v>
      </c>
      <c r="C529" s="9" t="str">
        <f>A529&amp;+(COUNTIF(A$2:A529,A529)-1)</f>
        <v>2561</v>
      </c>
      <c r="D529" s="3" t="s">
        <v>27</v>
      </c>
      <c r="E529" s="20" t="s">
        <v>827</v>
      </c>
      <c r="F529" s="20" t="s">
        <v>416</v>
      </c>
    </row>
    <row r="530" spans="1:6" x14ac:dyDescent="0.15">
      <c r="A530" s="11">
        <v>257</v>
      </c>
      <c r="B530" s="9" t="str">
        <f>VLOOKUP(A530,[1]characters!$A:$C,3,FALSE)</f>
        <v>色欲 アスモデウス</v>
      </c>
      <c r="C530" s="9" t="str">
        <f>A530&amp;+(COUNTIF(A$2:A530,A530)-1)</f>
        <v>2571</v>
      </c>
      <c r="D530" s="3" t="s">
        <v>27</v>
      </c>
      <c r="E530" s="20" t="s">
        <v>761</v>
      </c>
      <c r="F530" s="20" t="s">
        <v>417</v>
      </c>
    </row>
    <row r="531" spans="1:6" x14ac:dyDescent="0.15">
      <c r="A531" s="11">
        <v>258</v>
      </c>
      <c r="B531" s="9" t="str">
        <f>VLOOKUP(A531,[1]characters!$A:$C,3,FALSE)</f>
        <v>色欲の源流 アスモデウス</v>
      </c>
      <c r="C531" s="9" t="str">
        <f>A531&amp;+(COUNTIF(A$2:A531,A531)-1)</f>
        <v>2581</v>
      </c>
      <c r="D531" s="3" t="s">
        <v>27</v>
      </c>
      <c r="E531" s="20" t="s">
        <v>808</v>
      </c>
      <c r="F531" s="20" t="s">
        <v>828</v>
      </c>
    </row>
    <row r="532" spans="1:6" x14ac:dyDescent="0.15">
      <c r="A532" s="11">
        <v>259</v>
      </c>
      <c r="B532" s="9" t="str">
        <f>VLOOKUP(A532,[1]characters!$A:$C,3,FALSE)</f>
        <v>ウロボロス</v>
      </c>
      <c r="C532" s="9" t="str">
        <f>A532&amp;+(COUNTIF(A$2:A532,A532)-1)</f>
        <v>2591</v>
      </c>
      <c r="D532" s="3" t="s">
        <v>27</v>
      </c>
      <c r="E532" s="20" t="s">
        <v>735</v>
      </c>
      <c r="F532" s="20" t="s">
        <v>418</v>
      </c>
    </row>
    <row r="533" spans="1:6" x14ac:dyDescent="0.15">
      <c r="A533" s="11">
        <v>260</v>
      </c>
      <c r="B533" s="9" t="str">
        <f>VLOOKUP(A533,[1]characters!$A:$C,3,FALSE)</f>
        <v>輪廻 ウロボロス</v>
      </c>
      <c r="C533" s="9" t="str">
        <f>A533&amp;+(COUNTIF(A$2:A533,A533)-1)</f>
        <v>2601</v>
      </c>
      <c r="D533" s="3" t="s">
        <v>27</v>
      </c>
      <c r="E533" s="20" t="s">
        <v>743</v>
      </c>
      <c r="F533" s="20" t="s">
        <v>419</v>
      </c>
    </row>
    <row r="534" spans="1:6" x14ac:dyDescent="0.15">
      <c r="A534" s="11">
        <v>261</v>
      </c>
      <c r="B534" s="9" t="str">
        <f>VLOOKUP(A534,[1]characters!$A:$C,3,FALSE)</f>
        <v>輪廻の蛇龍 ウロボロス</v>
      </c>
      <c r="C534" s="9" t="str">
        <f>A534&amp;+(COUNTIF(A$2:A534,A534)-1)</f>
        <v>2611</v>
      </c>
      <c r="D534" s="3" t="s">
        <v>27</v>
      </c>
      <c r="E534" s="20" t="s">
        <v>743</v>
      </c>
      <c r="F534" s="20" t="s">
        <v>420</v>
      </c>
    </row>
    <row r="535" spans="1:6" x14ac:dyDescent="0.15">
      <c r="A535" s="11">
        <v>262</v>
      </c>
      <c r="B535" s="9" t="str">
        <f>VLOOKUP(A535,[1]characters!$A:$C,3,FALSE)</f>
        <v>アシュリー</v>
      </c>
      <c r="C535" s="9" t="str">
        <f>A535&amp;+(COUNTIF(A$2:A535,A535)-1)</f>
        <v>2621</v>
      </c>
      <c r="D535" s="3" t="s">
        <v>27</v>
      </c>
      <c r="E535" s="20" t="s">
        <v>743</v>
      </c>
      <c r="F535" s="20" t="s">
        <v>421</v>
      </c>
    </row>
    <row r="536" spans="1:6" x14ac:dyDescent="0.15">
      <c r="A536" s="11">
        <v>263</v>
      </c>
      <c r="B536" s="9" t="str">
        <f>VLOOKUP(A536,[1]characters!$A:$C,3,FALSE)</f>
        <v>鉤爪姫 アシュリー</v>
      </c>
      <c r="C536" s="9" t="str">
        <f>A536&amp;+(COUNTIF(A$2:A536,A536)-1)</f>
        <v>2631</v>
      </c>
      <c r="D536" s="3" t="s">
        <v>27</v>
      </c>
      <c r="E536" s="20" t="s">
        <v>829</v>
      </c>
      <c r="F536" s="20" t="s">
        <v>422</v>
      </c>
    </row>
    <row r="537" spans="1:6" x14ac:dyDescent="0.15">
      <c r="A537" s="11">
        <v>264</v>
      </c>
      <c r="B537" s="9" t="str">
        <f>VLOOKUP(A537,[1]characters!$A:$C,3,FALSE)</f>
        <v>ユニコーン</v>
      </c>
      <c r="C537" s="9" t="str">
        <f>A537&amp;+(COUNTIF(A$2:A537,A537)-1)</f>
        <v>2641</v>
      </c>
      <c r="D537" s="3" t="s">
        <v>27</v>
      </c>
      <c r="E537" s="20" t="s">
        <v>830</v>
      </c>
      <c r="F537" s="20" t="s">
        <v>423</v>
      </c>
    </row>
    <row r="538" spans="1:6" x14ac:dyDescent="0.15">
      <c r="A538" s="11">
        <v>265</v>
      </c>
      <c r="B538" s="9" t="str">
        <f>VLOOKUP(A538,[1]characters!$A:$C,3,FALSE)</f>
        <v>翠角馬 ユニコーン</v>
      </c>
      <c r="C538" s="9" t="str">
        <f>A538&amp;+(COUNTIF(A$2:A538,A538)-1)</f>
        <v>2651</v>
      </c>
      <c r="D538" s="3" t="s">
        <v>27</v>
      </c>
      <c r="E538" s="20" t="s">
        <v>831</v>
      </c>
      <c r="F538" s="20" t="s">
        <v>424</v>
      </c>
    </row>
    <row r="539" spans="1:6" x14ac:dyDescent="0.15">
      <c r="A539" s="11">
        <v>266</v>
      </c>
      <c r="B539" s="9" t="str">
        <f>VLOOKUP(A539,[1]characters!$A:$C,3,FALSE)</f>
        <v>リリアンブルー</v>
      </c>
      <c r="C539" s="9" t="str">
        <f>A539&amp;+(COUNTIF(A$2:A539,A539)-1)</f>
        <v>2661</v>
      </c>
      <c r="D539" s="3" t="s">
        <v>27</v>
      </c>
      <c r="E539" s="20" t="s">
        <v>762</v>
      </c>
      <c r="F539" s="20" t="s">
        <v>425</v>
      </c>
    </row>
    <row r="540" spans="1:6" x14ac:dyDescent="0.15">
      <c r="A540" s="11">
        <v>267</v>
      </c>
      <c r="B540" s="9" t="str">
        <f>VLOOKUP(A540,[1]characters!$A:$C,3,FALSE)</f>
        <v>奇術猫 リリアンブルー</v>
      </c>
      <c r="C540" s="9" t="str">
        <f>A540&amp;+(COUNTIF(A$2:A540,A540)-1)</f>
        <v>2671</v>
      </c>
      <c r="D540" s="3" t="s">
        <v>27</v>
      </c>
      <c r="E540" s="20" t="s">
        <v>762</v>
      </c>
      <c r="F540" s="20" t="s">
        <v>426</v>
      </c>
    </row>
    <row r="541" spans="1:6" x14ac:dyDescent="0.15">
      <c r="A541" s="11">
        <v>268</v>
      </c>
      <c r="B541" s="9" t="str">
        <f>VLOOKUP(A541,[1]characters!$A:$C,3,FALSE)</f>
        <v>鵺</v>
      </c>
      <c r="C541" s="9" t="str">
        <f>A541&amp;+(COUNTIF(A$2:A541,A541)-1)</f>
        <v>2681</v>
      </c>
      <c r="D541" s="3" t="s">
        <v>27</v>
      </c>
      <c r="E541" s="20" t="s">
        <v>832</v>
      </c>
      <c r="F541" s="20" t="s">
        <v>427</v>
      </c>
    </row>
    <row r="542" spans="1:6" x14ac:dyDescent="0.15">
      <c r="A542" s="11">
        <v>269</v>
      </c>
      <c r="B542" s="9" t="str">
        <f>VLOOKUP(A542,[1]characters!$A:$C,3,FALSE)</f>
        <v>合雷獣 鵺</v>
      </c>
      <c r="C542" s="9" t="str">
        <f>A542&amp;+(COUNTIF(A$2:A542,A542)-1)</f>
        <v>2691</v>
      </c>
      <c r="D542" s="3" t="s">
        <v>27</v>
      </c>
      <c r="E542" s="20" t="s">
        <v>833</v>
      </c>
      <c r="F542" s="20" t="s">
        <v>428</v>
      </c>
    </row>
    <row r="543" spans="1:6" x14ac:dyDescent="0.15">
      <c r="A543" s="11">
        <v>270</v>
      </c>
      <c r="B543" s="9" t="str">
        <f>VLOOKUP(A543,[1]characters!$A:$C,3,FALSE)</f>
        <v>風爪のミリー</v>
      </c>
      <c r="C543" s="9" t="str">
        <f>A543&amp;+(COUNTIF(A$2:A543,A543)-1)</f>
        <v>2701</v>
      </c>
      <c r="D543" s="3" t="s">
        <v>27</v>
      </c>
      <c r="E543" s="20" t="s">
        <v>834</v>
      </c>
      <c r="F543" s="29" t="s">
        <v>429</v>
      </c>
    </row>
    <row r="544" spans="1:6" x14ac:dyDescent="0.15">
      <c r="A544" s="11">
        <v>270</v>
      </c>
      <c r="B544" s="9" t="str">
        <f>VLOOKUP(A544,[1]characters!$A:$C,3,FALSE)</f>
        <v>風爪のミリー</v>
      </c>
      <c r="C544" s="9" t="str">
        <f>A544&amp;+(COUNTIF(A$2:A544,A544)-1)</f>
        <v>2702</v>
      </c>
      <c r="D544" s="3" t="s">
        <v>27</v>
      </c>
      <c r="E544" s="20" t="s">
        <v>737</v>
      </c>
      <c r="F544" s="29" t="s">
        <v>430</v>
      </c>
    </row>
    <row r="545" spans="1:6" x14ac:dyDescent="0.15">
      <c r="A545" s="11">
        <v>271</v>
      </c>
      <c r="B545" s="9" t="str">
        <f>VLOOKUP(A545,[1]characters!$A:$C,3,FALSE)</f>
        <v>疾風五花 ミリー</v>
      </c>
      <c r="C545" s="9" t="str">
        <f>A545&amp;+(COUNTIF(A$2:A545,A545)-1)</f>
        <v>2711</v>
      </c>
      <c r="D545" s="3" t="s">
        <v>27</v>
      </c>
      <c r="E545" s="20" t="s">
        <v>737</v>
      </c>
      <c r="F545" s="29" t="s">
        <v>431</v>
      </c>
    </row>
    <row r="546" spans="1:6" x14ac:dyDescent="0.15">
      <c r="A546" s="11">
        <v>272</v>
      </c>
      <c r="B546" s="9" t="str">
        <f>VLOOKUP(A546,[1]characters!$A:$C,3,FALSE)</f>
        <v>魔札のシルベール</v>
      </c>
      <c r="C546" s="9" t="str">
        <f>A546&amp;+(COUNTIF(A$2:A546,A546)-1)</f>
        <v>2721</v>
      </c>
      <c r="D546" s="3" t="s">
        <v>27</v>
      </c>
      <c r="E546" s="20" t="s">
        <v>612</v>
      </c>
      <c r="F546" s="20" t="s">
        <v>432</v>
      </c>
    </row>
    <row r="547" spans="1:6" x14ac:dyDescent="0.15">
      <c r="A547" s="11">
        <v>272</v>
      </c>
      <c r="B547" s="9" t="str">
        <f>VLOOKUP(A547,[1]characters!$A:$C,3,FALSE)</f>
        <v>魔札のシルベール</v>
      </c>
      <c r="C547" s="9" t="str">
        <f>A547&amp;+(COUNTIF(A$2:A547,A547)-1)</f>
        <v>2722</v>
      </c>
      <c r="D547" s="3" t="s">
        <v>27</v>
      </c>
      <c r="E547" s="20" t="s">
        <v>612</v>
      </c>
      <c r="F547" s="20" t="s">
        <v>433</v>
      </c>
    </row>
    <row r="548" spans="1:6" x14ac:dyDescent="0.15">
      <c r="A548" s="11">
        <v>273</v>
      </c>
      <c r="B548" s="9" t="str">
        <f>VLOOKUP(A548,[1]characters!$A:$C,3,FALSE)</f>
        <v>円環魔道 シルベール</v>
      </c>
      <c r="C548" s="9" t="str">
        <f>A548&amp;+(COUNTIF(A$2:A548,A548)-1)</f>
        <v>2731</v>
      </c>
      <c r="D548" s="3" t="s">
        <v>27</v>
      </c>
      <c r="E548" s="20" t="s">
        <v>835</v>
      </c>
      <c r="F548" s="20" t="s">
        <v>434</v>
      </c>
    </row>
    <row r="549" spans="1:6" x14ac:dyDescent="0.15">
      <c r="A549" s="11">
        <v>274</v>
      </c>
      <c r="B549" s="9" t="str">
        <f>VLOOKUP(A549,[1]characters!$A:$C,3,FALSE)</f>
        <v>砕棒のガエル</v>
      </c>
      <c r="C549" s="9" t="str">
        <f>A549&amp;+(COUNTIF(A$2:A549,A549)-1)</f>
        <v>2741</v>
      </c>
      <c r="D549" s="3" t="s">
        <v>27</v>
      </c>
      <c r="E549" s="20" t="s">
        <v>612</v>
      </c>
      <c r="F549" s="20" t="s">
        <v>435</v>
      </c>
    </row>
    <row r="550" spans="1:6" x14ac:dyDescent="0.15">
      <c r="A550" s="11">
        <v>274</v>
      </c>
      <c r="B550" s="9" t="str">
        <f>VLOOKUP(A550,[1]characters!$A:$C,3,FALSE)</f>
        <v>砕棒のガエル</v>
      </c>
      <c r="C550" s="9" t="str">
        <f>A550&amp;+(COUNTIF(A$2:A550,A550)-1)</f>
        <v>2742</v>
      </c>
      <c r="D550" s="3" t="s">
        <v>27</v>
      </c>
      <c r="E550" s="20" t="s">
        <v>775</v>
      </c>
      <c r="F550" s="20" t="s">
        <v>436</v>
      </c>
    </row>
    <row r="551" spans="1:6" x14ac:dyDescent="0.15">
      <c r="A551" s="11">
        <v>275</v>
      </c>
      <c r="B551" s="9" t="str">
        <f>VLOOKUP(A551,[1]characters!$A:$C,3,FALSE)</f>
        <v>轟雷砕棒 ガエル</v>
      </c>
      <c r="C551" s="9" t="str">
        <f>A551&amp;+(COUNTIF(A$2:A551,A551)-1)</f>
        <v>2751</v>
      </c>
      <c r="D551" s="3" t="s">
        <v>27</v>
      </c>
      <c r="E551" s="20" t="s">
        <v>775</v>
      </c>
      <c r="F551" s="20" t="s">
        <v>437</v>
      </c>
    </row>
    <row r="552" spans="1:6" x14ac:dyDescent="0.15">
      <c r="A552" s="11">
        <v>276</v>
      </c>
      <c r="B552" s="9" t="str">
        <f>VLOOKUP(A552,[1]characters!$A:$C,3,FALSE)</f>
        <v>機拳のイリア</v>
      </c>
      <c r="C552" s="9" t="str">
        <f>A552&amp;+(COUNTIF(A$2:A552,A552)-1)</f>
        <v>2761</v>
      </c>
      <c r="D552" s="3" t="s">
        <v>27</v>
      </c>
      <c r="E552" s="20" t="s">
        <v>762</v>
      </c>
      <c r="F552" s="26" t="s">
        <v>438</v>
      </c>
    </row>
    <row r="553" spans="1:6" x14ac:dyDescent="0.15">
      <c r="A553" s="11">
        <v>276</v>
      </c>
      <c r="B553" s="9" t="str">
        <f>VLOOKUP(A553,[1]characters!$A:$C,3,FALSE)</f>
        <v>機拳のイリア</v>
      </c>
      <c r="C553" s="9" t="str">
        <f>A553&amp;+(COUNTIF(A$2:A553,A553)-1)</f>
        <v>2762</v>
      </c>
      <c r="D553" s="3" t="s">
        <v>27</v>
      </c>
      <c r="E553" s="20" t="s">
        <v>603</v>
      </c>
      <c r="F553" s="26" t="s">
        <v>439</v>
      </c>
    </row>
    <row r="554" spans="1:6" x14ac:dyDescent="0.15">
      <c r="A554" s="11">
        <v>277</v>
      </c>
      <c r="B554" s="9" t="str">
        <f>VLOOKUP(A554,[1]characters!$A:$C,3,FALSE)</f>
        <v>機拳恐慌 イリア</v>
      </c>
      <c r="C554" s="9" t="str">
        <f>A554&amp;+(COUNTIF(A$2:A554,A554)-1)</f>
        <v>2771</v>
      </c>
      <c r="D554" s="3" t="s">
        <v>27</v>
      </c>
      <c r="E554" s="20" t="s">
        <v>618</v>
      </c>
      <c r="F554" s="26" t="s">
        <v>440</v>
      </c>
    </row>
    <row r="555" spans="1:6" x14ac:dyDescent="0.15">
      <c r="A555" s="11">
        <v>278</v>
      </c>
      <c r="B555" s="9" t="str">
        <f>VLOOKUP(A555,[1]characters!$A:$C,3,FALSE)</f>
        <v>アマテラス</v>
      </c>
      <c r="C555" s="9" t="str">
        <f>A555&amp;+(COUNTIF(A$2:A555,A555)-1)</f>
        <v>2781</v>
      </c>
      <c r="D555" s="3" t="s">
        <v>27</v>
      </c>
      <c r="E555" s="20" t="s">
        <v>602</v>
      </c>
      <c r="F555" s="20" t="s">
        <v>441</v>
      </c>
    </row>
    <row r="556" spans="1:6" x14ac:dyDescent="0.15">
      <c r="A556" s="11">
        <v>278</v>
      </c>
      <c r="B556" s="9" t="str">
        <f>VLOOKUP(A556,[1]characters!$A:$C,3,FALSE)</f>
        <v>アマテラス</v>
      </c>
      <c r="C556" s="9" t="str">
        <f>A556&amp;+(COUNTIF(A$2:A556,A556)-1)</f>
        <v>2782</v>
      </c>
      <c r="D556" s="3" t="s">
        <v>27</v>
      </c>
      <c r="E556" s="20" t="s">
        <v>806</v>
      </c>
      <c r="F556" s="20" t="s">
        <v>442</v>
      </c>
    </row>
    <row r="557" spans="1:6" x14ac:dyDescent="0.15">
      <c r="A557" s="11">
        <v>279</v>
      </c>
      <c r="B557" s="9" t="str">
        <f>VLOOKUP(A557,[1]characters!$A:$C,3,FALSE)</f>
        <v>統空大神 アマテラス</v>
      </c>
      <c r="C557" s="9" t="str">
        <f>A557&amp;+(COUNTIF(A$2:A557,A557)-1)</f>
        <v>2791</v>
      </c>
      <c r="D557" s="3" t="s">
        <v>27</v>
      </c>
      <c r="E557" s="20" t="s">
        <v>775</v>
      </c>
      <c r="F557" s="20" t="s">
        <v>443</v>
      </c>
    </row>
    <row r="558" spans="1:6" x14ac:dyDescent="0.15">
      <c r="A558" s="11">
        <v>280</v>
      </c>
      <c r="B558" s="9" t="str">
        <f>VLOOKUP(A558,[1]characters!$A:$C,3,FALSE)</f>
        <v>リンドブルム</v>
      </c>
      <c r="C558" s="9" t="str">
        <f>A558&amp;+(COUNTIF(A$2:A558,A558)-1)</f>
        <v>2801</v>
      </c>
      <c r="D558" s="3" t="s">
        <v>27</v>
      </c>
      <c r="E558" s="20" t="s">
        <v>30</v>
      </c>
      <c r="F558" s="20" t="s">
        <v>444</v>
      </c>
    </row>
    <row r="559" spans="1:6" x14ac:dyDescent="0.15">
      <c r="A559" s="11">
        <v>281</v>
      </c>
      <c r="B559" s="9" t="str">
        <f>VLOOKUP(A559,[1]characters!$A:$C,3,FALSE)</f>
        <v>リンドブルム・コンデンス</v>
      </c>
      <c r="C559" s="9" t="str">
        <f>A559&amp;+(COUNTIF(A$2:A559,A559)-1)</f>
        <v>2811</v>
      </c>
      <c r="D559" s="3" t="s">
        <v>27</v>
      </c>
      <c r="E559" s="20" t="s">
        <v>752</v>
      </c>
      <c r="F559" s="20" t="s">
        <v>445</v>
      </c>
    </row>
    <row r="560" spans="1:6" x14ac:dyDescent="0.15">
      <c r="A560" s="11">
        <v>282</v>
      </c>
      <c r="B560" s="9" t="str">
        <f>VLOOKUP(A560,[1]characters!$A:$C,3,FALSE)</f>
        <v>ラーフ</v>
      </c>
      <c r="C560" s="9" t="str">
        <f>A560&amp;+(COUNTIF(A$2:A560,A560)-1)</f>
        <v>2821</v>
      </c>
      <c r="D560" s="3" t="s">
        <v>27</v>
      </c>
      <c r="E560" s="20" t="s">
        <v>30</v>
      </c>
      <c r="F560" s="20" t="s">
        <v>836</v>
      </c>
    </row>
    <row r="561" spans="1:6" x14ac:dyDescent="0.15">
      <c r="A561" s="11">
        <v>283</v>
      </c>
      <c r="B561" s="9" t="str">
        <f>VLOOKUP(A561,[1]characters!$A:$C,3,FALSE)</f>
        <v>ラーフ・メテオ</v>
      </c>
      <c r="C561" s="9" t="str">
        <f>A561&amp;+(COUNTIF(A$2:A561,A561)-1)</f>
        <v>2831</v>
      </c>
      <c r="D561" s="3" t="s">
        <v>27</v>
      </c>
      <c r="E561" s="20" t="s">
        <v>650</v>
      </c>
      <c r="F561" s="20" t="s">
        <v>837</v>
      </c>
    </row>
    <row r="562" spans="1:6" x14ac:dyDescent="0.15">
      <c r="A562" s="11">
        <v>284</v>
      </c>
      <c r="B562" s="9" t="str">
        <f>VLOOKUP(A562,[1]characters!$A:$C,3,FALSE)</f>
        <v>フェルニゲシュ</v>
      </c>
      <c r="C562" s="9" t="str">
        <f>A562&amp;+(COUNTIF(A$2:A562,A562)-1)</f>
        <v>2841</v>
      </c>
      <c r="D562" s="3" t="s">
        <v>27</v>
      </c>
      <c r="E562" s="20" t="s">
        <v>838</v>
      </c>
      <c r="F562" s="20" t="s">
        <v>446</v>
      </c>
    </row>
    <row r="563" spans="1:6" x14ac:dyDescent="0.15">
      <c r="A563" s="11">
        <v>285</v>
      </c>
      <c r="B563" s="9" t="str">
        <f>VLOOKUP(A563,[1]characters!$A:$C,3,FALSE)</f>
        <v>フェルニゲシュ・オーバードライヴ</v>
      </c>
      <c r="C563" s="9" t="str">
        <f>A563&amp;+(COUNTIF(A$2:A563,A563)-1)</f>
        <v>2851</v>
      </c>
      <c r="D563" s="3" t="s">
        <v>27</v>
      </c>
      <c r="E563" s="20" t="s">
        <v>805</v>
      </c>
      <c r="F563" s="20" t="s">
        <v>447</v>
      </c>
    </row>
    <row r="564" spans="1:6" x14ac:dyDescent="0.15">
      <c r="A564" s="11">
        <v>286</v>
      </c>
      <c r="B564" s="9" t="str">
        <f>VLOOKUP(A564,[1]characters!$A:$C,3,FALSE)</f>
        <v>ヒュドラ</v>
      </c>
      <c r="C564" s="9" t="str">
        <f>A564&amp;+(COUNTIF(A$2:A564,A564)-1)</f>
        <v>2861</v>
      </c>
      <c r="D564" s="3" t="s">
        <v>27</v>
      </c>
      <c r="E564" s="20" t="s">
        <v>839</v>
      </c>
      <c r="F564" s="20" t="s">
        <v>840</v>
      </c>
    </row>
    <row r="565" spans="1:6" x14ac:dyDescent="0.15">
      <c r="A565" s="11">
        <v>287</v>
      </c>
      <c r="B565" s="9" t="str">
        <f>VLOOKUP(A565,[1]characters!$A:$C,3,FALSE)</f>
        <v>ヒュドラ・フルオープン</v>
      </c>
      <c r="C565" s="9" t="str">
        <f>A565&amp;+(COUNTIF(A$2:A565,A565)-1)</f>
        <v>2871</v>
      </c>
      <c r="D565" s="3" t="s">
        <v>27</v>
      </c>
      <c r="E565" s="20" t="s">
        <v>839</v>
      </c>
      <c r="F565" s="20" t="s">
        <v>448</v>
      </c>
    </row>
    <row r="566" spans="1:6" x14ac:dyDescent="0.15">
      <c r="A566" s="11">
        <v>288</v>
      </c>
      <c r="B566" s="9" t="str">
        <f>VLOOKUP(A566,[1]characters!$A:$C,3,FALSE)</f>
        <v>ミカド</v>
      </c>
      <c r="C566" s="9" t="str">
        <f>A566&amp;+(COUNTIF(A$2:A566,A566)-1)</f>
        <v>2881</v>
      </c>
      <c r="D566" s="3" t="s">
        <v>27</v>
      </c>
      <c r="E566" s="20" t="s">
        <v>841</v>
      </c>
      <c r="F566" s="20" t="s">
        <v>449</v>
      </c>
    </row>
    <row r="567" spans="1:6" x14ac:dyDescent="0.15">
      <c r="A567" s="11">
        <v>288</v>
      </c>
      <c r="B567" s="9" t="str">
        <f>VLOOKUP(A567,[1]characters!$A:$C,3,FALSE)</f>
        <v>ミカド</v>
      </c>
      <c r="C567" s="9" t="str">
        <f>A567&amp;+(COUNTIF(A$2:A567,A567)-1)</f>
        <v>2882</v>
      </c>
      <c r="D567" s="3" t="s">
        <v>27</v>
      </c>
      <c r="E567" s="20" t="s">
        <v>652</v>
      </c>
      <c r="F567" s="22" t="s">
        <v>450</v>
      </c>
    </row>
    <row r="568" spans="1:6" x14ac:dyDescent="0.15">
      <c r="A568" s="11">
        <v>289</v>
      </c>
      <c r="B568" s="9" t="str">
        <f>VLOOKUP(A568,[1]characters!$A:$C,3,FALSE)</f>
        <v>高圧なるミカド</v>
      </c>
      <c r="C568" s="9" t="str">
        <f>A568&amp;+(COUNTIF(A$2:A568,A568)-1)</f>
        <v>2891</v>
      </c>
      <c r="D568" s="3" t="s">
        <v>27</v>
      </c>
      <c r="E568" s="20" t="s">
        <v>842</v>
      </c>
      <c r="F568" s="20" t="s">
        <v>451</v>
      </c>
    </row>
    <row r="569" spans="1:6" x14ac:dyDescent="0.15">
      <c r="A569" s="11">
        <v>290</v>
      </c>
      <c r="B569" s="9" t="str">
        <f>VLOOKUP(A569,[1]characters!$A:$C,3,FALSE)</f>
        <v>ウィッチ・オクトパス</v>
      </c>
      <c r="C569" s="9" t="str">
        <f>A569&amp;+(COUNTIF(A$2:A569,A569)-1)</f>
        <v>2901</v>
      </c>
      <c r="D569" s="3" t="s">
        <v>27</v>
      </c>
      <c r="E569" s="20" t="s">
        <v>632</v>
      </c>
      <c r="F569" s="20" t="s">
        <v>452</v>
      </c>
    </row>
    <row r="570" spans="1:6" x14ac:dyDescent="0.15">
      <c r="A570" s="11">
        <v>290</v>
      </c>
      <c r="B570" s="9" t="str">
        <f>VLOOKUP(A570,[1]characters!$A:$C,3,FALSE)</f>
        <v>ウィッチ・オクトパス</v>
      </c>
      <c r="C570" s="9" t="str">
        <f>A570&amp;+(COUNTIF(A$2:A570,A570)-1)</f>
        <v>2902</v>
      </c>
      <c r="D570" s="3" t="s">
        <v>27</v>
      </c>
      <c r="E570" s="20" t="s">
        <v>789</v>
      </c>
      <c r="F570" s="20" t="s">
        <v>453</v>
      </c>
    </row>
    <row r="571" spans="1:6" x14ac:dyDescent="0.15">
      <c r="A571" s="11">
        <v>291</v>
      </c>
      <c r="B571" s="9" t="str">
        <f>VLOOKUP(A571,[1]characters!$A:$C,3,FALSE)</f>
        <v>魔改造のウィッチ・オクトパス</v>
      </c>
      <c r="C571" s="9" t="str">
        <f>A571&amp;+(COUNTIF(A$2:A571,A571)-1)</f>
        <v>2911</v>
      </c>
      <c r="D571" s="3" t="s">
        <v>27</v>
      </c>
      <c r="E571" s="20" t="s">
        <v>843</v>
      </c>
      <c r="F571" s="20" t="s">
        <v>454</v>
      </c>
    </row>
    <row r="572" spans="1:6" x14ac:dyDescent="0.15">
      <c r="A572" s="11">
        <v>292</v>
      </c>
      <c r="B572" s="9" t="str">
        <f>VLOOKUP(A572,[1]characters!$A:$C,3,FALSE)</f>
        <v>アナスタシア</v>
      </c>
      <c r="C572" s="9" t="str">
        <f>A572&amp;+(COUNTIF(A$2:A572,A572)-1)</f>
        <v>2921</v>
      </c>
      <c r="D572" s="3" t="s">
        <v>27</v>
      </c>
      <c r="E572" s="20" t="s">
        <v>786</v>
      </c>
      <c r="F572" s="20" t="s">
        <v>455</v>
      </c>
    </row>
    <row r="573" spans="1:6" x14ac:dyDescent="0.15">
      <c r="A573" s="11">
        <v>292</v>
      </c>
      <c r="B573" s="9" t="str">
        <f>VLOOKUP(A573,[1]characters!$A:$C,3,FALSE)</f>
        <v>アナスタシア</v>
      </c>
      <c r="C573" s="9" t="str">
        <f>A573&amp;+(COUNTIF(A$2:A573,A573)-1)</f>
        <v>2922</v>
      </c>
      <c r="D573" s="3" t="s">
        <v>27</v>
      </c>
      <c r="E573" s="20" t="s">
        <v>844</v>
      </c>
      <c r="F573" s="20" t="s">
        <v>456</v>
      </c>
    </row>
    <row r="574" spans="1:6" x14ac:dyDescent="0.15">
      <c r="A574" s="11">
        <v>293</v>
      </c>
      <c r="B574" s="9" t="str">
        <f>VLOOKUP(A574,[1]characters!$A:$C,3,FALSE)</f>
        <v>激流拳技を極めし者 アナスタシア</v>
      </c>
      <c r="C574" s="9" t="str">
        <f>A574&amp;+(COUNTIF(A$2:A574,A574)-1)</f>
        <v>2931</v>
      </c>
      <c r="D574" s="3" t="s">
        <v>27</v>
      </c>
      <c r="E574" s="20" t="s">
        <v>31</v>
      </c>
      <c r="F574" s="20" t="s">
        <v>457</v>
      </c>
    </row>
    <row r="575" spans="1:6" x14ac:dyDescent="0.15">
      <c r="A575" s="11">
        <v>294</v>
      </c>
      <c r="B575" s="9" t="str">
        <f>VLOOKUP(A575,[1]characters!$A:$C,3,FALSE)</f>
        <v>ウルフ・ザ・レッドイーター</v>
      </c>
      <c r="C575" s="9" t="str">
        <f>A575&amp;+(COUNTIF(A$2:A575,A575)-1)</f>
        <v>2941</v>
      </c>
      <c r="D575" s="3" t="s">
        <v>27</v>
      </c>
      <c r="E575" s="20" t="s">
        <v>30</v>
      </c>
      <c r="F575" s="20" t="s">
        <v>458</v>
      </c>
    </row>
    <row r="576" spans="1:6" x14ac:dyDescent="0.15">
      <c r="A576" s="11">
        <v>294</v>
      </c>
      <c r="B576" s="9" t="str">
        <f>VLOOKUP(A576,[1]characters!$A:$C,3,FALSE)</f>
        <v>ウルフ・ザ・レッドイーター</v>
      </c>
      <c r="C576" s="9" t="str">
        <f>A576&amp;+(COUNTIF(A$2:A576,A576)-1)</f>
        <v>2942</v>
      </c>
      <c r="D576" s="3" t="s">
        <v>27</v>
      </c>
      <c r="E576" s="20" t="s">
        <v>30</v>
      </c>
      <c r="F576" s="20" t="s">
        <v>459</v>
      </c>
    </row>
    <row r="577" spans="1:6" x14ac:dyDescent="0.15">
      <c r="A577" s="11">
        <v>295</v>
      </c>
      <c r="B577" s="9" t="str">
        <f>VLOOKUP(A577,[1]characters!$A:$C,3,FALSE)</f>
        <v>ウルフ・ザ・レッドクラッシャー</v>
      </c>
      <c r="C577" s="9" t="str">
        <f>A577&amp;+(COUNTIF(A$2:A577,A577)-1)</f>
        <v>2951</v>
      </c>
      <c r="D577" s="3" t="s">
        <v>27</v>
      </c>
      <c r="E577" s="20" t="s">
        <v>845</v>
      </c>
      <c r="F577" s="20" t="s">
        <v>460</v>
      </c>
    </row>
    <row r="578" spans="1:6" x14ac:dyDescent="0.15">
      <c r="A578" s="11">
        <v>296</v>
      </c>
      <c r="B578" s="9" t="str">
        <f>VLOOKUP(A578,[1]characters!$A:$C,3,FALSE)</f>
        <v>アザゼル</v>
      </c>
      <c r="C578" s="9" t="str">
        <f>A578&amp;+(COUNTIF(A$2:A578,A578)-1)</f>
        <v>2961</v>
      </c>
      <c r="D578" s="3" t="s">
        <v>27</v>
      </c>
      <c r="E578" s="20" t="s">
        <v>768</v>
      </c>
      <c r="F578" s="20" t="s">
        <v>461</v>
      </c>
    </row>
    <row r="579" spans="1:6" x14ac:dyDescent="0.15">
      <c r="A579" s="11">
        <v>296</v>
      </c>
      <c r="B579" s="9" t="str">
        <f>VLOOKUP(A579,[1]characters!$A:$C,3,FALSE)</f>
        <v>アザゼル</v>
      </c>
      <c r="C579" s="9" t="str">
        <f>A579&amp;+(COUNTIF(A$2:A579,A579)-1)</f>
        <v>2962</v>
      </c>
      <c r="D579" s="3" t="s">
        <v>27</v>
      </c>
      <c r="E579" s="20" t="s">
        <v>30</v>
      </c>
      <c r="F579" s="20" t="s">
        <v>462</v>
      </c>
    </row>
    <row r="580" spans="1:6" x14ac:dyDescent="0.15">
      <c r="A580" s="11">
        <v>297</v>
      </c>
      <c r="B580" s="9" t="str">
        <f>VLOOKUP(A580,[1]characters!$A:$C,3,FALSE)</f>
        <v>狂靭なる双撃 アザゼル</v>
      </c>
      <c r="C580" s="9" t="str">
        <f>A580&amp;+(COUNTIF(A$2:A580,A580)-1)</f>
        <v>2971</v>
      </c>
      <c r="D580" s="3" t="s">
        <v>27</v>
      </c>
      <c r="E580" s="20" t="s">
        <v>827</v>
      </c>
      <c r="F580" s="20" t="s">
        <v>463</v>
      </c>
    </row>
    <row r="581" spans="1:6" x14ac:dyDescent="0.15">
      <c r="A581" s="11">
        <v>298</v>
      </c>
      <c r="B581" s="9" t="str">
        <f>VLOOKUP(A581,[1]characters!$A:$C,3,FALSE)</f>
        <v>炎殺のミサコ</v>
      </c>
      <c r="C581" s="9" t="str">
        <f>A581&amp;+(COUNTIF(A$2:A581,A581)-1)</f>
        <v>2981</v>
      </c>
      <c r="D581" s="3" t="s">
        <v>27</v>
      </c>
      <c r="E581" s="20" t="s">
        <v>846</v>
      </c>
      <c r="F581" s="20" t="s">
        <v>464</v>
      </c>
    </row>
    <row r="582" spans="1:6" x14ac:dyDescent="0.15">
      <c r="A582" s="11">
        <v>299</v>
      </c>
      <c r="B582" s="9" t="str">
        <f>VLOOKUP(A582,[1]characters!$A:$C,3,FALSE)</f>
        <v>狂気の炎風 ミサコ</v>
      </c>
      <c r="C582" s="9" t="str">
        <f>A582&amp;+(COUNTIF(A$2:A582,A582)-1)</f>
        <v>2991</v>
      </c>
      <c r="D582" s="3" t="s">
        <v>27</v>
      </c>
      <c r="E582" s="20" t="s">
        <v>846</v>
      </c>
      <c r="F582" s="20" t="s">
        <v>465</v>
      </c>
    </row>
    <row r="583" spans="1:6" x14ac:dyDescent="0.15">
      <c r="A583" s="11">
        <v>300</v>
      </c>
      <c r="B583" s="9" t="str">
        <f>VLOOKUP(A583,[1]characters!$A:$C,3,FALSE)</f>
        <v>毒殺のチカ</v>
      </c>
      <c r="C583" s="9" t="str">
        <f>A583&amp;+(COUNTIF(A$2:A583,A583)-1)</f>
        <v>3001</v>
      </c>
      <c r="D583" s="3" t="s">
        <v>27</v>
      </c>
      <c r="E583" s="20" t="s">
        <v>847</v>
      </c>
      <c r="F583" s="20" t="s">
        <v>466</v>
      </c>
    </row>
    <row r="584" spans="1:6" x14ac:dyDescent="0.15">
      <c r="A584" s="11">
        <v>301</v>
      </c>
      <c r="B584" s="9" t="str">
        <f>VLOOKUP(A584,[1]characters!$A:$C,3,FALSE)</f>
        <v>宿痾の葬送 チカ</v>
      </c>
      <c r="C584" s="9" t="str">
        <f>A584&amp;+(COUNTIF(A$2:A584,A584)-1)</f>
        <v>3011</v>
      </c>
      <c r="D584" s="3" t="s">
        <v>27</v>
      </c>
      <c r="E584" s="20" t="s">
        <v>822</v>
      </c>
      <c r="F584" s="20" t="s">
        <v>467</v>
      </c>
    </row>
    <row r="585" spans="1:6" x14ac:dyDescent="0.15">
      <c r="A585" s="11">
        <v>302</v>
      </c>
      <c r="B585" s="9" t="str">
        <f>VLOOKUP(A585,[1]characters!$A:$C,3,FALSE)</f>
        <v>絞殺のリサ</v>
      </c>
      <c r="C585" s="9" t="str">
        <f>A585&amp;+(COUNTIF(A$2:A585,A585)-1)</f>
        <v>3021</v>
      </c>
      <c r="D585" s="3" t="s">
        <v>27</v>
      </c>
      <c r="E585" s="20" t="s">
        <v>31</v>
      </c>
      <c r="F585" s="22" t="s">
        <v>468</v>
      </c>
    </row>
    <row r="586" spans="1:6" x14ac:dyDescent="0.15">
      <c r="A586" s="11">
        <v>303</v>
      </c>
      <c r="B586" s="9" t="str">
        <f>VLOOKUP(A586,[1]characters!$A:$C,3,FALSE)</f>
        <v>哄笑の禁縛 リサ</v>
      </c>
      <c r="C586" s="9" t="str">
        <f>A586&amp;+(COUNTIF(A$2:A586,A586)-1)</f>
        <v>3031</v>
      </c>
      <c r="D586" s="3" t="s">
        <v>27</v>
      </c>
      <c r="E586" s="20" t="s">
        <v>848</v>
      </c>
      <c r="F586" s="20" t="s">
        <v>469</v>
      </c>
    </row>
    <row r="587" spans="1:6" x14ac:dyDescent="0.15">
      <c r="A587" s="11">
        <v>304</v>
      </c>
      <c r="B587" s="9" t="str">
        <f>VLOOKUP(A587,[1]characters!$A:$C,3,FALSE)</f>
        <v>電殺のチエミ</v>
      </c>
      <c r="C587" s="9" t="str">
        <f>A587&amp;+(COUNTIF(A$2:A587,A587)-1)</f>
        <v>3041</v>
      </c>
      <c r="D587" s="3" t="s">
        <v>27</v>
      </c>
      <c r="E587" s="20" t="s">
        <v>642</v>
      </c>
      <c r="F587" s="20" t="s">
        <v>849</v>
      </c>
    </row>
    <row r="588" spans="1:6" x14ac:dyDescent="0.15">
      <c r="A588" s="11">
        <v>305</v>
      </c>
      <c r="B588" s="9" t="str">
        <f>VLOOKUP(A588,[1]characters!$A:$C,3,FALSE)</f>
        <v>螺旋の雷電 チエミ</v>
      </c>
      <c r="C588" s="9" t="str">
        <f>A588&amp;+(COUNTIF(A$2:A588,A588)-1)</f>
        <v>3051</v>
      </c>
      <c r="D588" s="3" t="s">
        <v>27</v>
      </c>
      <c r="E588" s="20" t="s">
        <v>848</v>
      </c>
      <c r="F588" s="20" t="s">
        <v>470</v>
      </c>
    </row>
    <row r="589" spans="1:6" x14ac:dyDescent="0.15">
      <c r="A589" s="11">
        <v>306</v>
      </c>
      <c r="B589" s="9" t="str">
        <f>VLOOKUP(A589,[1]characters!$A:$C,3,FALSE)</f>
        <v>メガロドン</v>
      </c>
      <c r="C589" s="9" t="str">
        <f>A589&amp;+(COUNTIF(A$2:A589,A589)-1)</f>
        <v>3061</v>
      </c>
      <c r="D589" s="3" t="s">
        <v>27</v>
      </c>
      <c r="E589" s="20" t="s">
        <v>32</v>
      </c>
      <c r="F589" s="20" t="s">
        <v>471</v>
      </c>
    </row>
    <row r="590" spans="1:6" x14ac:dyDescent="0.15">
      <c r="A590" s="11">
        <v>306</v>
      </c>
      <c r="B590" s="9" t="str">
        <f>VLOOKUP(A590,[1]characters!$A:$C,3,FALSE)</f>
        <v>メガロドン</v>
      </c>
      <c r="C590" s="9" t="str">
        <f>A590&amp;+(COUNTIF(A$2:A590,A590)-1)</f>
        <v>3062</v>
      </c>
      <c r="D590" s="3" t="s">
        <v>27</v>
      </c>
      <c r="E590" s="20" t="s">
        <v>761</v>
      </c>
      <c r="F590" s="20" t="s">
        <v>472</v>
      </c>
    </row>
    <row r="591" spans="1:6" x14ac:dyDescent="0.15">
      <c r="A591" s="11">
        <v>307</v>
      </c>
      <c r="B591" s="9" t="str">
        <f>VLOOKUP(A591,[1]characters!$A:$C,3,FALSE)</f>
        <v>古の鋼拳 メガロドン</v>
      </c>
      <c r="C591" s="9" t="str">
        <f>A591&amp;+(COUNTIF(A$2:A591,A591)-1)</f>
        <v>3071</v>
      </c>
      <c r="D591" s="3" t="s">
        <v>27</v>
      </c>
      <c r="E591" s="20" t="s">
        <v>834</v>
      </c>
      <c r="F591" s="20" t="s">
        <v>473</v>
      </c>
    </row>
    <row r="592" spans="1:6" x14ac:dyDescent="0.15">
      <c r="A592" s="11">
        <v>308</v>
      </c>
      <c r="B592" s="9" t="str">
        <f>VLOOKUP(A592,[1]characters!$A:$C,3,FALSE)</f>
        <v>アーケロン</v>
      </c>
      <c r="C592" s="9" t="str">
        <f>A592&amp;+(COUNTIF(A$2:A592,A592)-1)</f>
        <v>3081</v>
      </c>
      <c r="D592" s="3" t="s">
        <v>27</v>
      </c>
      <c r="E592" s="20" t="s">
        <v>30</v>
      </c>
      <c r="F592" s="20" t="s">
        <v>474</v>
      </c>
    </row>
    <row r="593" spans="1:6" x14ac:dyDescent="0.15">
      <c r="A593" s="11">
        <v>308</v>
      </c>
      <c r="B593" s="9" t="str">
        <f>VLOOKUP(A593,[1]characters!$A:$C,3,FALSE)</f>
        <v>アーケロン</v>
      </c>
      <c r="C593" s="9" t="str">
        <f>A593&amp;+(COUNTIF(A$2:A593,A593)-1)</f>
        <v>3082</v>
      </c>
      <c r="D593" s="3" t="s">
        <v>27</v>
      </c>
      <c r="E593" s="20" t="s">
        <v>30</v>
      </c>
      <c r="F593" s="20" t="s">
        <v>475</v>
      </c>
    </row>
    <row r="594" spans="1:6" x14ac:dyDescent="0.15">
      <c r="A594" s="11">
        <v>309</v>
      </c>
      <c r="B594" s="9" t="str">
        <f>VLOOKUP(A594,[1]characters!$A:$C,3,FALSE)</f>
        <v>古の博学 アーケロン</v>
      </c>
      <c r="C594" s="9" t="str">
        <f>A594&amp;+(COUNTIF(A$2:A594,A594)-1)</f>
        <v>3091</v>
      </c>
      <c r="D594" s="3" t="s">
        <v>27</v>
      </c>
      <c r="E594" s="20" t="s">
        <v>850</v>
      </c>
      <c r="F594" s="20" t="s">
        <v>476</v>
      </c>
    </row>
    <row r="595" spans="1:6" x14ac:dyDescent="0.15">
      <c r="A595" s="11">
        <v>310</v>
      </c>
      <c r="B595" s="9" t="str">
        <f>VLOOKUP(A595,[1]characters!$A:$C,3,FALSE)</f>
        <v>リードシクティス</v>
      </c>
      <c r="C595" s="9" t="str">
        <f>A595&amp;+(COUNTIF(A$2:A595,A595)-1)</f>
        <v>3101</v>
      </c>
      <c r="D595" s="3" t="s">
        <v>27</v>
      </c>
      <c r="E595" s="20" t="s">
        <v>713</v>
      </c>
      <c r="F595" s="20" t="s">
        <v>851</v>
      </c>
    </row>
    <row r="596" spans="1:6" x14ac:dyDescent="0.15">
      <c r="A596" s="11">
        <v>310</v>
      </c>
      <c r="B596" s="9" t="str">
        <f>VLOOKUP(A596,[1]characters!$A:$C,3,FALSE)</f>
        <v>リードシクティス</v>
      </c>
      <c r="C596" s="9" t="str">
        <f>A596&amp;+(COUNTIF(A$2:A596,A596)-1)</f>
        <v>3102</v>
      </c>
      <c r="D596" s="3" t="s">
        <v>27</v>
      </c>
      <c r="E596" s="20" t="s">
        <v>674</v>
      </c>
      <c r="F596" s="20" t="s">
        <v>477</v>
      </c>
    </row>
    <row r="597" spans="1:6" x14ac:dyDescent="0.15">
      <c r="A597" s="11">
        <v>311</v>
      </c>
      <c r="B597" s="9" t="str">
        <f>VLOOKUP(A597,[1]characters!$A:$C,3,FALSE)</f>
        <v>古の暴食 リードシクティス</v>
      </c>
      <c r="C597" s="9" t="str">
        <f>A597&amp;+(COUNTIF(A$2:A597,A597)-1)</f>
        <v>3111</v>
      </c>
      <c r="D597" s="3" t="s">
        <v>27</v>
      </c>
      <c r="E597" s="20" t="s">
        <v>674</v>
      </c>
      <c r="F597" s="20" t="s">
        <v>852</v>
      </c>
    </row>
    <row r="598" spans="1:6" x14ac:dyDescent="0.15">
      <c r="A598" s="11">
        <v>312</v>
      </c>
      <c r="B598" s="9" t="str">
        <f>VLOOKUP(A598,[1]characters!$A:$C,3,FALSE)</f>
        <v>アノマロカリス</v>
      </c>
      <c r="C598" s="9" t="str">
        <f>A598&amp;+(COUNTIF(A$2:A598,A598)-1)</f>
        <v>3121</v>
      </c>
      <c r="D598" s="3" t="s">
        <v>27</v>
      </c>
      <c r="E598" s="20" t="s">
        <v>671</v>
      </c>
      <c r="F598" s="20" t="s">
        <v>853</v>
      </c>
    </row>
    <row r="599" spans="1:6" x14ac:dyDescent="0.15">
      <c r="A599" s="11">
        <v>312</v>
      </c>
      <c r="B599" s="9" t="str">
        <f>VLOOKUP(A599,[1]characters!$A:$C,3,FALSE)</f>
        <v>アノマロカリス</v>
      </c>
      <c r="C599" s="9" t="str">
        <f>A599&amp;+(COUNTIF(A$2:A599,A599)-1)</f>
        <v>3122</v>
      </c>
      <c r="D599" s="3" t="s">
        <v>27</v>
      </c>
      <c r="E599" s="20" t="s">
        <v>854</v>
      </c>
      <c r="F599" s="20" t="s">
        <v>855</v>
      </c>
    </row>
    <row r="600" spans="1:6" x14ac:dyDescent="0.15">
      <c r="A600" s="11">
        <v>313</v>
      </c>
      <c r="B600" s="9" t="str">
        <f>VLOOKUP(A600,[1]characters!$A:$C,3,FALSE)</f>
        <v>古の先鋭 アノマロカリス</v>
      </c>
      <c r="C600" s="9" t="str">
        <f>A600&amp;+(COUNTIF(A$2:A600,A600)-1)</f>
        <v>3131</v>
      </c>
      <c r="D600" s="3" t="s">
        <v>27</v>
      </c>
      <c r="E600" s="20" t="s">
        <v>856</v>
      </c>
      <c r="F600" s="20" t="s">
        <v>478</v>
      </c>
    </row>
    <row r="601" spans="1:6" x14ac:dyDescent="0.15">
      <c r="A601" s="11">
        <v>314</v>
      </c>
      <c r="B601" s="9" t="str">
        <f>VLOOKUP(A601,[1]characters!$A:$C,3,FALSE)</f>
        <v>ジャンヌ</v>
      </c>
      <c r="C601" s="9" t="str">
        <f>A601&amp;+(COUNTIF(A$2:A601,A601)-1)</f>
        <v>3141</v>
      </c>
      <c r="D601" s="3" t="s">
        <v>27</v>
      </c>
      <c r="E601" s="20" t="s">
        <v>652</v>
      </c>
      <c r="F601" s="20" t="s">
        <v>479</v>
      </c>
    </row>
    <row r="602" spans="1:6" x14ac:dyDescent="0.15">
      <c r="A602" s="11">
        <v>314</v>
      </c>
      <c r="B602" s="9" t="str">
        <f>VLOOKUP(A602,[1]characters!$A:$C,3,FALSE)</f>
        <v>ジャンヌ</v>
      </c>
      <c r="C602" s="9" t="str">
        <f>A602&amp;+(COUNTIF(A$2:A602,A602)-1)</f>
        <v>3142</v>
      </c>
      <c r="D602" s="3" t="s">
        <v>27</v>
      </c>
      <c r="E602" s="20" t="s">
        <v>857</v>
      </c>
      <c r="F602" s="20" t="s">
        <v>480</v>
      </c>
    </row>
    <row r="603" spans="1:6" x14ac:dyDescent="0.15">
      <c r="A603" s="11">
        <v>315</v>
      </c>
      <c r="B603" s="9" t="str">
        <f>VLOOKUP(A603,[1]characters!$A:$C,3,FALSE)</f>
        <v>鉄馬駆る聖女 ジャンヌ</v>
      </c>
      <c r="C603" s="9" t="str">
        <f>A603&amp;+(COUNTIF(A$2:A603,A603)-1)</f>
        <v>3151</v>
      </c>
      <c r="D603" s="3" t="s">
        <v>27</v>
      </c>
      <c r="E603" s="20" t="s">
        <v>854</v>
      </c>
      <c r="F603" s="20" t="s">
        <v>481</v>
      </c>
    </row>
    <row r="604" spans="1:6" x14ac:dyDescent="0.15">
      <c r="A604" s="11">
        <v>316</v>
      </c>
      <c r="B604" s="9" t="str">
        <f>VLOOKUP(A604,[1]characters!$A:$C,3,FALSE)</f>
        <v>テスラ</v>
      </c>
      <c r="C604" s="9" t="str">
        <f>A604&amp;+(COUNTIF(A$2:A604,A604)-1)</f>
        <v>3161</v>
      </c>
      <c r="D604" s="3" t="s">
        <v>27</v>
      </c>
      <c r="E604" s="20" t="s">
        <v>650</v>
      </c>
      <c r="F604" s="20" t="s">
        <v>482</v>
      </c>
    </row>
    <row r="605" spans="1:6" x14ac:dyDescent="0.15">
      <c r="A605" s="11">
        <v>316</v>
      </c>
      <c r="B605" s="9" t="str">
        <f>VLOOKUP(A605,[1]characters!$A:$C,3,FALSE)</f>
        <v>テスラ</v>
      </c>
      <c r="C605" s="9" t="str">
        <f>A605&amp;+(COUNTIF(A$2:A605,A605)-1)</f>
        <v>3162</v>
      </c>
      <c r="D605" s="3" t="s">
        <v>27</v>
      </c>
      <c r="E605" s="20" t="s">
        <v>650</v>
      </c>
      <c r="F605" s="20" t="s">
        <v>483</v>
      </c>
    </row>
    <row r="606" spans="1:6" x14ac:dyDescent="0.15">
      <c r="A606" s="11">
        <v>317</v>
      </c>
      <c r="B606" s="9" t="str">
        <f>VLOOKUP(A606,[1]characters!$A:$C,3,FALSE)</f>
        <v>異能の電気師 テスラ</v>
      </c>
      <c r="C606" s="9" t="str">
        <f>A606&amp;+(COUNTIF(A$2:A606,A606)-1)</f>
        <v>3171</v>
      </c>
      <c r="D606" s="3" t="s">
        <v>27</v>
      </c>
      <c r="E606" s="20" t="s">
        <v>652</v>
      </c>
      <c r="F606" s="20" t="s">
        <v>484</v>
      </c>
    </row>
    <row r="607" spans="1:6" x14ac:dyDescent="0.15">
      <c r="A607" s="11">
        <v>318</v>
      </c>
      <c r="B607" s="9" t="str">
        <f>VLOOKUP(A607,[1]characters!$A:$C,3,FALSE)</f>
        <v>シャルル</v>
      </c>
      <c r="C607" s="9" t="str">
        <f>A607&amp;+(COUNTIF(A$2:A607,A607)-1)</f>
        <v>3181</v>
      </c>
      <c r="D607" s="3" t="s">
        <v>27</v>
      </c>
      <c r="E607" s="20" t="s">
        <v>650</v>
      </c>
      <c r="F607" s="20" t="s">
        <v>485</v>
      </c>
    </row>
    <row r="608" spans="1:6" x14ac:dyDescent="0.15">
      <c r="A608" s="11">
        <v>318</v>
      </c>
      <c r="B608" s="9" t="str">
        <f>VLOOKUP(A608,[1]characters!$A:$C,3,FALSE)</f>
        <v>シャルル</v>
      </c>
      <c r="C608" s="9" t="str">
        <f>A608&amp;+(COUNTIF(A$2:A608,A608)-1)</f>
        <v>3182</v>
      </c>
      <c r="D608" s="3" t="s">
        <v>27</v>
      </c>
      <c r="E608" s="20" t="s">
        <v>858</v>
      </c>
      <c r="F608" s="20" t="s">
        <v>486</v>
      </c>
    </row>
    <row r="609" spans="1:6" x14ac:dyDescent="0.15">
      <c r="A609" s="14">
        <v>319</v>
      </c>
      <c r="B609" s="9" t="str">
        <f>VLOOKUP(A609,[1]characters!$A:$C,3,FALSE)</f>
        <v>夢想の学士 シャルル</v>
      </c>
      <c r="C609" s="9" t="str">
        <f>A609&amp;+(COUNTIF(A$2:A609,A609)-1)</f>
        <v>3191</v>
      </c>
      <c r="D609" s="3" t="s">
        <v>27</v>
      </c>
      <c r="E609" s="20" t="s">
        <v>859</v>
      </c>
      <c r="F609" s="20" t="s">
        <v>487</v>
      </c>
    </row>
    <row r="610" spans="1:6" x14ac:dyDescent="0.15">
      <c r="A610" s="11">
        <v>320</v>
      </c>
      <c r="B610" s="9" t="str">
        <f>VLOOKUP(A610,[1]characters!$A:$C,3,FALSE)</f>
        <v>烈志士 近藤勇</v>
      </c>
      <c r="C610" s="9" t="str">
        <f>A610&amp;+(COUNTIF(A$2:A610,A610)-1)</f>
        <v>3201</v>
      </c>
      <c r="D610" s="3" t="s">
        <v>27</v>
      </c>
      <c r="E610" s="20" t="s">
        <v>860</v>
      </c>
      <c r="F610" s="20" t="s">
        <v>488</v>
      </c>
    </row>
    <row r="611" spans="1:6" x14ac:dyDescent="0.15">
      <c r="A611" s="11">
        <v>320</v>
      </c>
      <c r="B611" s="9" t="str">
        <f>VLOOKUP(A611,[1]characters!$A:$C,3,FALSE)</f>
        <v>烈志士 近藤勇</v>
      </c>
      <c r="C611" s="9" t="str">
        <f>A611&amp;+(COUNTIF(A$2:A611,A611)-1)</f>
        <v>3202</v>
      </c>
      <c r="D611" s="3" t="s">
        <v>27</v>
      </c>
      <c r="E611" s="20" t="s">
        <v>861</v>
      </c>
      <c r="F611" s="20" t="s">
        <v>489</v>
      </c>
    </row>
    <row r="612" spans="1:6" x14ac:dyDescent="0.15">
      <c r="A612" s="15">
        <v>321</v>
      </c>
      <c r="B612" s="9" t="str">
        <f>VLOOKUP(A612,[1]characters!$A:$C,3,FALSE)</f>
        <v>巌鉄の烈志士 近藤勇</v>
      </c>
      <c r="C612" s="9" t="str">
        <f>A612&amp;+(COUNTIF(A$2:A612,A612)-1)</f>
        <v>3211</v>
      </c>
      <c r="D612" s="3" t="s">
        <v>27</v>
      </c>
      <c r="E612" s="20" t="s">
        <v>862</v>
      </c>
      <c r="F612" s="20" t="s">
        <v>490</v>
      </c>
    </row>
    <row r="613" spans="1:6" x14ac:dyDescent="0.15">
      <c r="A613" s="11">
        <v>322</v>
      </c>
      <c r="B613" s="9" t="str">
        <f>VLOOKUP(A613,[1]characters!$A:$C,3,FALSE)</f>
        <v>愛志士 土方歳三</v>
      </c>
      <c r="C613" s="9" t="str">
        <f>A613&amp;+(COUNTIF(A$2:A613,A613)-1)</f>
        <v>3221</v>
      </c>
      <c r="D613" s="3" t="s">
        <v>27</v>
      </c>
      <c r="E613" s="20" t="s">
        <v>862</v>
      </c>
      <c r="F613" s="20" t="s">
        <v>491</v>
      </c>
    </row>
    <row r="614" spans="1:6" x14ac:dyDescent="0.15">
      <c r="A614" s="11">
        <v>322</v>
      </c>
      <c r="B614" s="9" t="str">
        <f>VLOOKUP(A614,[1]characters!$A:$C,3,FALSE)</f>
        <v>愛志士 土方歳三</v>
      </c>
      <c r="C614" s="9" t="str">
        <f>A614&amp;+(COUNTIF(A$2:A614,A614)-1)</f>
        <v>3222</v>
      </c>
      <c r="D614" s="3" t="s">
        <v>27</v>
      </c>
      <c r="E614" s="20" t="s">
        <v>863</v>
      </c>
      <c r="F614" s="20" t="s">
        <v>492</v>
      </c>
    </row>
    <row r="615" spans="1:6" x14ac:dyDescent="0.15">
      <c r="A615" s="11">
        <v>323</v>
      </c>
      <c r="B615" s="9" t="str">
        <f>VLOOKUP(A615,[1]characters!$A:$C,3,FALSE)</f>
        <v>流麗の愛志士 土方歳三</v>
      </c>
      <c r="C615" s="9" t="str">
        <f>A615&amp;+(COUNTIF(A$2:A615,A615)-1)</f>
        <v>3231</v>
      </c>
      <c r="D615" s="3" t="s">
        <v>27</v>
      </c>
      <c r="E615" s="20" t="s">
        <v>864</v>
      </c>
      <c r="F615" s="20" t="s">
        <v>493</v>
      </c>
    </row>
    <row r="616" spans="1:6" x14ac:dyDescent="0.15">
      <c r="A616" s="11">
        <v>324</v>
      </c>
      <c r="B616" s="9" t="str">
        <f>VLOOKUP(A616,[1]characters!$A:$C,3,FALSE)</f>
        <v>凛志士 沖田総司</v>
      </c>
      <c r="C616" s="9" t="str">
        <f>A616&amp;+(COUNTIF(A$2:A616,A616)-1)</f>
        <v>3241</v>
      </c>
      <c r="D616" s="3" t="s">
        <v>27</v>
      </c>
      <c r="E616" s="20" t="s">
        <v>865</v>
      </c>
      <c r="F616" s="20" t="s">
        <v>494</v>
      </c>
    </row>
    <row r="617" spans="1:6" x14ac:dyDescent="0.15">
      <c r="A617" s="11">
        <v>324</v>
      </c>
      <c r="B617" s="9" t="str">
        <f>VLOOKUP(A617,[1]characters!$A:$C,3,FALSE)</f>
        <v>凛志士 沖田総司</v>
      </c>
      <c r="C617" s="9" t="str">
        <f>A617&amp;+(COUNTIF(A$2:A617,A617)-1)</f>
        <v>3242</v>
      </c>
      <c r="D617" s="3" t="s">
        <v>27</v>
      </c>
      <c r="E617" s="20" t="s">
        <v>652</v>
      </c>
      <c r="F617" s="20" t="s">
        <v>495</v>
      </c>
    </row>
    <row r="618" spans="1:6" x14ac:dyDescent="0.15">
      <c r="A618" s="11">
        <v>325</v>
      </c>
      <c r="B618" s="9" t="str">
        <f>VLOOKUP(A618,[1]characters!$A:$C,3,FALSE)</f>
        <v>天賦の凛志士 沖田総司</v>
      </c>
      <c r="C618" s="9" t="str">
        <f>A618&amp;+(COUNTIF(A$2:A618,A618)-1)</f>
        <v>3251</v>
      </c>
      <c r="D618" s="3" t="s">
        <v>27</v>
      </c>
      <c r="E618" s="20" t="s">
        <v>31</v>
      </c>
      <c r="F618" s="20" t="s">
        <v>496</v>
      </c>
    </row>
    <row r="619" spans="1:6" x14ac:dyDescent="0.15">
      <c r="A619" s="11">
        <v>326</v>
      </c>
      <c r="B619" s="9" t="str">
        <f>VLOOKUP(A619,[1]characters!$A:$C,3,FALSE)</f>
        <v>妖志士 斎藤一</v>
      </c>
      <c r="C619" s="9" t="str">
        <f>A619&amp;+(COUNTIF(A$2:A619,A619)-1)</f>
        <v>3261</v>
      </c>
      <c r="D619" s="3" t="s">
        <v>27</v>
      </c>
      <c r="E619" s="20" t="s">
        <v>858</v>
      </c>
      <c r="F619" s="20" t="s">
        <v>497</v>
      </c>
    </row>
    <row r="620" spans="1:6" x14ac:dyDescent="0.15">
      <c r="A620" s="11">
        <v>326</v>
      </c>
      <c r="B620" s="9" t="str">
        <f>VLOOKUP(A620,[1]characters!$A:$C,3,FALSE)</f>
        <v>妖志士 斎藤一</v>
      </c>
      <c r="C620" s="9" t="str">
        <f>A620&amp;+(COUNTIF(A$2:A620,A620)-1)</f>
        <v>3262</v>
      </c>
      <c r="D620" s="3" t="s">
        <v>27</v>
      </c>
      <c r="E620" s="20" t="s">
        <v>30</v>
      </c>
      <c r="F620" s="20" t="s">
        <v>498</v>
      </c>
    </row>
    <row r="621" spans="1:6" x14ac:dyDescent="0.15">
      <c r="A621" s="11">
        <v>327</v>
      </c>
      <c r="B621" s="9" t="str">
        <f>VLOOKUP(A621,[1]characters!$A:$C,3,FALSE)</f>
        <v>千殺の妖志士 斎藤一</v>
      </c>
      <c r="C621" s="9" t="str">
        <f>A621&amp;+(COUNTIF(A$2:A621,A621)-1)</f>
        <v>3271</v>
      </c>
      <c r="D621" s="3" t="s">
        <v>27</v>
      </c>
      <c r="E621" s="20" t="s">
        <v>866</v>
      </c>
      <c r="F621" s="20" t="s">
        <v>499</v>
      </c>
    </row>
    <row r="622" spans="1:6" x14ac:dyDescent="0.15">
      <c r="A622" s="11">
        <v>368</v>
      </c>
      <c r="B622" s="9" t="str">
        <f>VLOOKUP(A622,[1]characters!$A:$C,3,FALSE)</f>
        <v>ボイル</v>
      </c>
      <c r="C622" s="9" t="str">
        <f>A622&amp;+(COUNTIF(A$2:A622,A622)-1)</f>
        <v>3681</v>
      </c>
      <c r="D622" s="3" t="s">
        <v>27</v>
      </c>
      <c r="E622" s="20" t="s">
        <v>30</v>
      </c>
      <c r="F622" s="20" t="s">
        <v>500</v>
      </c>
    </row>
    <row r="623" spans="1:6" x14ac:dyDescent="0.15">
      <c r="A623" s="11">
        <v>368</v>
      </c>
      <c r="B623" s="9" t="str">
        <f>VLOOKUP(A623,[1]characters!$A:$C,3,FALSE)</f>
        <v>ボイル</v>
      </c>
      <c r="C623" s="9" t="str">
        <f>A623&amp;+(COUNTIF(A$2:A623,A623)-1)</f>
        <v>3682</v>
      </c>
      <c r="D623" s="3" t="s">
        <v>27</v>
      </c>
      <c r="E623" s="20" t="s">
        <v>603</v>
      </c>
      <c r="F623" s="20" t="s">
        <v>501</v>
      </c>
    </row>
    <row r="624" spans="1:6" x14ac:dyDescent="0.15">
      <c r="A624" s="11">
        <v>369</v>
      </c>
      <c r="B624" s="9" t="str">
        <f>VLOOKUP(A624,[1]characters!$A:$C,3,FALSE)</f>
        <v>赫熱の重腕 ボイル</v>
      </c>
      <c r="C624" s="9" t="str">
        <f>A624&amp;+(COUNTIF(A$2:A624,A624)-1)</f>
        <v>3691</v>
      </c>
      <c r="D624" s="3" t="s">
        <v>27</v>
      </c>
      <c r="E624" s="20" t="s">
        <v>30</v>
      </c>
      <c r="F624" s="20" t="s">
        <v>502</v>
      </c>
    </row>
    <row r="625" spans="1:6" x14ac:dyDescent="0.15">
      <c r="A625" s="11">
        <v>378</v>
      </c>
      <c r="B625" s="9" t="str">
        <f>VLOOKUP(A625,[1]characters!$A:$C,3,FALSE)</f>
        <v>オイラー</v>
      </c>
      <c r="C625" s="9" t="str">
        <f>A625&amp;+(COUNTIF(A$2:A625,A625)-1)</f>
        <v>3781</v>
      </c>
      <c r="D625" s="3" t="s">
        <v>27</v>
      </c>
      <c r="E625" s="20" t="s">
        <v>30</v>
      </c>
      <c r="F625" s="20" t="s">
        <v>503</v>
      </c>
    </row>
    <row r="626" spans="1:6" x14ac:dyDescent="0.15">
      <c r="A626" s="11">
        <v>378</v>
      </c>
      <c r="B626" s="9" t="str">
        <f>VLOOKUP(A626,[1]characters!$A:$C,3,FALSE)</f>
        <v>オイラー</v>
      </c>
      <c r="C626" s="9" t="str">
        <f>A626&amp;+(COUNTIF(A$2:A626,A626)-1)</f>
        <v>3782</v>
      </c>
      <c r="D626" s="3" t="s">
        <v>27</v>
      </c>
      <c r="E626" s="20" t="s">
        <v>704</v>
      </c>
      <c r="F626" s="20" t="s">
        <v>505</v>
      </c>
    </row>
    <row r="627" spans="1:6" x14ac:dyDescent="0.15">
      <c r="A627" s="11">
        <v>379</v>
      </c>
      <c r="B627" s="9" t="str">
        <f>VLOOKUP(A627,[1]characters!$A:$C,3,FALSE)</f>
        <v>幾何の機刃 オイラー</v>
      </c>
      <c r="C627" s="9" t="str">
        <f>A627&amp;+(COUNTIF(A$2:A627,A627)-1)</f>
        <v>3791</v>
      </c>
      <c r="D627" s="3" t="s">
        <v>27</v>
      </c>
      <c r="E627" s="20" t="s">
        <v>32</v>
      </c>
      <c r="F627" s="20" t="s">
        <v>506</v>
      </c>
    </row>
    <row r="628" spans="1:6" x14ac:dyDescent="0.15">
      <c r="A628" s="11">
        <v>798</v>
      </c>
      <c r="B628" s="9" t="str">
        <f>VLOOKUP(A628,[1]characters!$A:$C,3,FALSE)</f>
        <v>煌式の大機刃 オイラー</v>
      </c>
      <c r="C628" s="9" t="str">
        <f>A628&amp;+(COUNTIF(A$2:A628,A628)-1)</f>
        <v>7981</v>
      </c>
      <c r="D628" s="3" t="s">
        <v>27</v>
      </c>
      <c r="E628" s="20" t="s">
        <v>30</v>
      </c>
      <c r="F628" s="20" t="s">
        <v>1167</v>
      </c>
    </row>
    <row r="629" spans="1:6" x14ac:dyDescent="0.15">
      <c r="A629" s="11">
        <v>380</v>
      </c>
      <c r="B629" s="9" t="str">
        <f>VLOOKUP(A629,[1]characters!$A:$C,3,FALSE)</f>
        <v>バハムート</v>
      </c>
      <c r="C629" s="9" t="str">
        <f>A629&amp;+(COUNTIF(A$2:A629,A629)-1)</f>
        <v>3801</v>
      </c>
      <c r="D629" s="3" t="s">
        <v>27</v>
      </c>
      <c r="E629" s="20" t="s">
        <v>641</v>
      </c>
      <c r="F629" s="20" t="s">
        <v>507</v>
      </c>
    </row>
    <row r="630" spans="1:6" x14ac:dyDescent="0.15">
      <c r="A630" s="11">
        <v>381</v>
      </c>
      <c r="B630" s="9" t="str">
        <f>VLOOKUP(A630,[1]characters!$A:$C,3,FALSE)</f>
        <v>肉食の恋火 バハムート</v>
      </c>
      <c r="C630" s="9" t="str">
        <f>A630&amp;+(COUNTIF(A$2:A630,A630)-1)</f>
        <v>3811</v>
      </c>
      <c r="D630" s="3" t="s">
        <v>27</v>
      </c>
      <c r="E630" s="20" t="s">
        <v>867</v>
      </c>
      <c r="F630" s="20" t="s">
        <v>508</v>
      </c>
    </row>
    <row r="631" spans="1:6" x14ac:dyDescent="0.15">
      <c r="A631" s="11">
        <v>382</v>
      </c>
      <c r="B631" s="9" t="str">
        <f>VLOOKUP(A631,[1]characters!$A:$C,3,FALSE)</f>
        <v>激情の愛炎 バハムート</v>
      </c>
      <c r="C631" s="9" t="str">
        <f>A631&amp;+(COUNTIF(A$2:A631,A631)-1)</f>
        <v>3821</v>
      </c>
      <c r="D631" s="3" t="s">
        <v>27</v>
      </c>
      <c r="E631" s="20" t="s">
        <v>30</v>
      </c>
      <c r="F631" s="20" t="s">
        <v>509</v>
      </c>
    </row>
    <row r="632" spans="1:6" x14ac:dyDescent="0.15">
      <c r="A632" s="11">
        <v>383</v>
      </c>
      <c r="B632" s="9" t="str">
        <f>VLOOKUP(A632,[1]characters!$A:$C,3,FALSE)</f>
        <v>酒宴の蟒蛇 ヤマタノオロチ</v>
      </c>
      <c r="C632" s="9" t="str">
        <f>A632&amp;+(COUNTIF(A$2:A632,A632)-1)</f>
        <v>3831</v>
      </c>
      <c r="D632" s="3" t="s">
        <v>27</v>
      </c>
      <c r="E632" s="20" t="s">
        <v>641</v>
      </c>
      <c r="F632" s="20" t="s">
        <v>510</v>
      </c>
    </row>
    <row r="633" spans="1:6" x14ac:dyDescent="0.15">
      <c r="A633" s="11">
        <v>383</v>
      </c>
      <c r="B633" s="9" t="str">
        <f>VLOOKUP(A633,[1]characters!$A:$C,3,FALSE)</f>
        <v>酒宴の蟒蛇 ヤマタノオロチ</v>
      </c>
      <c r="C633" s="9" t="str">
        <f>A633&amp;+(COUNTIF(A$2:A633,A633)-1)</f>
        <v>3832</v>
      </c>
      <c r="D633" s="3" t="s">
        <v>27</v>
      </c>
      <c r="E633" s="20" t="s">
        <v>631</v>
      </c>
      <c r="F633" s="20" t="s">
        <v>511</v>
      </c>
    </row>
    <row r="634" spans="1:6" x14ac:dyDescent="0.15">
      <c r="A634" s="11">
        <v>384</v>
      </c>
      <c r="B634" s="9" t="str">
        <f>VLOOKUP(A634,[1]characters!$A:$C,3,FALSE)</f>
        <v>破国の呑龍 ヤマタノオロチ</v>
      </c>
      <c r="C634" s="9" t="str">
        <f>A634&amp;+(COUNTIF(A$2:A634,A634)-1)</f>
        <v>3841</v>
      </c>
      <c r="D634" s="3" t="s">
        <v>27</v>
      </c>
      <c r="E634" s="20" t="s">
        <v>628</v>
      </c>
      <c r="F634" s="20" t="s">
        <v>512</v>
      </c>
    </row>
    <row r="635" spans="1:6" x14ac:dyDescent="0.15">
      <c r="A635" s="11">
        <v>385</v>
      </c>
      <c r="B635" s="9" t="str">
        <f>VLOOKUP(A635,[1]characters!$A:$C,3,FALSE)</f>
        <v>波烈の出奔 リヴァイアサン</v>
      </c>
      <c r="C635" s="9" t="str">
        <f>A635&amp;+(COUNTIF(A$2:A635,A635)-1)</f>
        <v>3851</v>
      </c>
      <c r="D635" s="3" t="s">
        <v>27</v>
      </c>
      <c r="E635" s="20" t="s">
        <v>868</v>
      </c>
      <c r="F635" s="20" t="s">
        <v>513</v>
      </c>
    </row>
    <row r="636" spans="1:6" x14ac:dyDescent="0.15">
      <c r="A636" s="11">
        <v>385</v>
      </c>
      <c r="B636" s="9" t="str">
        <f>VLOOKUP(A636,[1]characters!$A:$C,3,FALSE)</f>
        <v>波烈の出奔 リヴァイアサン</v>
      </c>
      <c r="C636" s="9" t="str">
        <f>A636&amp;+(COUNTIF(A$2:A636,A636)-1)</f>
        <v>3852</v>
      </c>
      <c r="D636" s="3" t="s">
        <v>27</v>
      </c>
      <c r="E636" s="20" t="s">
        <v>31</v>
      </c>
      <c r="F636" s="20" t="s">
        <v>514</v>
      </c>
    </row>
    <row r="637" spans="1:6" x14ac:dyDescent="0.15">
      <c r="A637" s="11">
        <v>386</v>
      </c>
      <c r="B637" s="9" t="str">
        <f>VLOOKUP(A637,[1]characters!$A:$C,3,FALSE)</f>
        <v>氾乱の海龍 リヴァイアサン</v>
      </c>
      <c r="C637" s="9" t="str">
        <f>A637&amp;+(COUNTIF(A$2:A637,A637)-1)</f>
        <v>3861</v>
      </c>
      <c r="D637" s="3" t="s">
        <v>27</v>
      </c>
      <c r="E637" s="20" t="s">
        <v>869</v>
      </c>
      <c r="F637" s="20" t="s">
        <v>515</v>
      </c>
    </row>
    <row r="638" spans="1:6" x14ac:dyDescent="0.15">
      <c r="A638" s="11">
        <v>387</v>
      </c>
      <c r="B638" s="9" t="str">
        <f>VLOOKUP(A638,[1]characters!$A:$C,3,FALSE)</f>
        <v>スフィンクス</v>
      </c>
      <c r="C638" s="9" t="str">
        <f>A638&amp;+(COUNTIF(A$2:A638,A638)-1)</f>
        <v>3871</v>
      </c>
      <c r="D638" s="3" t="s">
        <v>27</v>
      </c>
      <c r="E638" s="20" t="s">
        <v>641</v>
      </c>
      <c r="F638" s="20" t="s">
        <v>870</v>
      </c>
    </row>
    <row r="639" spans="1:6" x14ac:dyDescent="0.15">
      <c r="A639" s="11">
        <v>388</v>
      </c>
      <c r="B639" s="9" t="str">
        <f>VLOOKUP(A639,[1]characters!$A:$C,3,FALSE)</f>
        <v>神円の恋姫 スフィンクス</v>
      </c>
      <c r="C639" s="9" t="str">
        <f>A639&amp;+(COUNTIF(A$2:A639,A639)-1)</f>
        <v>3881</v>
      </c>
      <c r="D639" s="3" t="s">
        <v>27</v>
      </c>
      <c r="E639" s="20" t="s">
        <v>30</v>
      </c>
      <c r="F639" s="20" t="s">
        <v>516</v>
      </c>
    </row>
    <row r="640" spans="1:6" x14ac:dyDescent="0.15">
      <c r="A640" s="11">
        <v>389</v>
      </c>
      <c r="B640" s="9" t="str">
        <f>VLOOKUP(A640,[1]characters!$A:$C,3,FALSE)</f>
        <v>操神の愛姫 スフィンクス</v>
      </c>
      <c r="C640" s="9" t="str">
        <f>A640&amp;+(COUNTIF(A$2:A640,A640)-1)</f>
        <v>3891</v>
      </c>
      <c r="D640" s="3" t="s">
        <v>27</v>
      </c>
      <c r="E640" s="20" t="s">
        <v>867</v>
      </c>
      <c r="F640" s="20" t="s">
        <v>517</v>
      </c>
    </row>
    <row r="641" spans="1:6" x14ac:dyDescent="0.15">
      <c r="A641" s="11">
        <v>390</v>
      </c>
      <c r="B641" s="9" t="str">
        <f>VLOOKUP(A641,[1]characters!$A:$C,3,FALSE)</f>
        <v>華環の旅客 親指姫</v>
      </c>
      <c r="C641" s="9" t="str">
        <f>A641&amp;+(COUNTIF(A$2:A641,A641)-1)</f>
        <v>3901</v>
      </c>
      <c r="D641" s="3" t="s">
        <v>27</v>
      </c>
      <c r="E641" s="20" t="s">
        <v>719</v>
      </c>
      <c r="F641" s="20" t="s">
        <v>518</v>
      </c>
    </row>
    <row r="642" spans="1:6" x14ac:dyDescent="0.15">
      <c r="A642" s="11">
        <v>390</v>
      </c>
      <c r="B642" s="9" t="str">
        <f>VLOOKUP(A642,[1]characters!$A:$C,3,FALSE)</f>
        <v>華環の旅客 親指姫</v>
      </c>
      <c r="C642" s="9" t="str">
        <f>A642&amp;+(COUNTIF(A$2:A642,A642)-1)</f>
        <v>3902</v>
      </c>
      <c r="D642" s="3" t="s">
        <v>27</v>
      </c>
      <c r="E642" s="20" t="s">
        <v>31</v>
      </c>
      <c r="F642" s="20" t="s">
        <v>519</v>
      </c>
    </row>
    <row r="643" spans="1:6" x14ac:dyDescent="0.15">
      <c r="A643" s="11">
        <v>391</v>
      </c>
      <c r="B643" s="9" t="str">
        <f>VLOOKUP(A643,[1]characters!$A:$C,3,FALSE)</f>
        <v>燕翼の旅人 親指姫</v>
      </c>
      <c r="C643" s="9" t="str">
        <f>A643&amp;+(COUNTIF(A$2:A643,A643)-1)</f>
        <v>3911</v>
      </c>
      <c r="D643" s="3" t="s">
        <v>27</v>
      </c>
      <c r="E643" s="20" t="s">
        <v>603</v>
      </c>
      <c r="F643" s="20" t="s">
        <v>520</v>
      </c>
    </row>
    <row r="644" spans="1:6" x14ac:dyDescent="0.15">
      <c r="A644" s="11">
        <v>392</v>
      </c>
      <c r="B644" s="9" t="str">
        <f>VLOOKUP(A644,[1]characters!$A:$C,3,FALSE)</f>
        <v>ピーターパン</v>
      </c>
      <c r="C644" s="9" t="str">
        <f>A644&amp;+(COUNTIF(A$2:A644,A644)-1)</f>
        <v>3921</v>
      </c>
      <c r="D644" s="3" t="s">
        <v>27</v>
      </c>
      <c r="E644" s="20" t="s">
        <v>601</v>
      </c>
      <c r="F644" s="20" t="s">
        <v>521</v>
      </c>
    </row>
    <row r="645" spans="1:6" x14ac:dyDescent="0.15">
      <c r="A645" s="11">
        <v>393</v>
      </c>
      <c r="B645" s="9" t="str">
        <f>VLOOKUP(A645,[1]characters!$A:$C,3,FALSE)</f>
        <v>影縫い ピーターパン</v>
      </c>
      <c r="C645" s="9" t="str">
        <f>A645&amp;+(COUNTIF(A$2:A645,A645)-1)</f>
        <v>3931</v>
      </c>
      <c r="D645" s="3" t="s">
        <v>27</v>
      </c>
      <c r="E645" s="20" t="s">
        <v>601</v>
      </c>
      <c r="F645" s="20" t="s">
        <v>522</v>
      </c>
    </row>
    <row r="646" spans="1:6" x14ac:dyDescent="0.15">
      <c r="A646" s="11">
        <v>394</v>
      </c>
      <c r="B646" s="9" t="str">
        <f>VLOOKUP(A646,[1]characters!$A:$C,3,FALSE)</f>
        <v>影求の悪童 ピーターパン</v>
      </c>
      <c r="C646" s="9" t="str">
        <f>A646&amp;+(COUNTIF(A$2:A646,A646)-1)</f>
        <v>3941</v>
      </c>
      <c r="D646" s="3" t="s">
        <v>27</v>
      </c>
      <c r="E646" s="20" t="s">
        <v>602</v>
      </c>
      <c r="F646" s="20" t="s">
        <v>523</v>
      </c>
    </row>
    <row r="647" spans="1:6" x14ac:dyDescent="0.15">
      <c r="A647" s="11">
        <v>395</v>
      </c>
      <c r="B647" s="9" t="str">
        <f>VLOOKUP(A647,[1]characters!$A:$C,3,FALSE)</f>
        <v>乙姫</v>
      </c>
      <c r="C647" s="9" t="str">
        <f>A647&amp;+(COUNTIF(A$2:A647,A647)-1)</f>
        <v>3951</v>
      </c>
      <c r="D647" s="3" t="s">
        <v>27</v>
      </c>
      <c r="E647" s="20" t="s">
        <v>815</v>
      </c>
      <c r="F647" s="20" t="s">
        <v>524</v>
      </c>
    </row>
    <row r="648" spans="1:6" x14ac:dyDescent="0.15">
      <c r="A648" s="11">
        <v>396</v>
      </c>
      <c r="B648" s="9" t="str">
        <f>VLOOKUP(A648,[1]characters!$A:$C,3,FALSE)</f>
        <v>竜宮の水雷 乙姫</v>
      </c>
      <c r="C648" s="9" t="str">
        <f>A648&amp;+(COUNTIF(A$2:A648,A648)-1)</f>
        <v>3961</v>
      </c>
      <c r="D648" s="3" t="s">
        <v>27</v>
      </c>
      <c r="E648" s="20" t="s">
        <v>31</v>
      </c>
      <c r="F648" s="20" t="s">
        <v>525</v>
      </c>
    </row>
    <row r="649" spans="1:6" x14ac:dyDescent="0.15">
      <c r="A649" s="11">
        <v>397</v>
      </c>
      <c r="B649" s="9" t="str">
        <f>VLOOKUP(A649,[1]characters!$A:$C,3,FALSE)</f>
        <v>禁断の追箱 乙姫</v>
      </c>
      <c r="C649" s="9" t="str">
        <f>A649&amp;+(COUNTIF(A$2:A649,A649)-1)</f>
        <v>3971</v>
      </c>
      <c r="D649" s="3" t="s">
        <v>27</v>
      </c>
      <c r="E649" s="20" t="s">
        <v>31</v>
      </c>
      <c r="F649" s="20" t="s">
        <v>526</v>
      </c>
    </row>
    <row r="650" spans="1:6" x14ac:dyDescent="0.15">
      <c r="A650" s="11">
        <v>398</v>
      </c>
      <c r="B650" s="9" t="str">
        <f>VLOOKUP(A650,[1]characters!$A:$C,3,FALSE)</f>
        <v>ヘンゼル＆グレーテル</v>
      </c>
      <c r="C650" s="9" t="str">
        <f>A650&amp;+(COUNTIF(A$2:A650,A650)-1)</f>
        <v>3981</v>
      </c>
      <c r="D650" s="3" t="s">
        <v>27</v>
      </c>
      <c r="E650" s="20" t="s">
        <v>31</v>
      </c>
      <c r="F650" s="20" t="s">
        <v>527</v>
      </c>
    </row>
    <row r="651" spans="1:6" x14ac:dyDescent="0.15">
      <c r="A651" s="11">
        <v>398</v>
      </c>
      <c r="B651" s="9" t="str">
        <f>VLOOKUP(A651,[1]characters!$A:$C,3,FALSE)</f>
        <v>ヘンゼル＆グレーテル</v>
      </c>
      <c r="C651" s="9" t="str">
        <f>A651&amp;+(COUNTIF(A$2:A651,A651)-1)</f>
        <v>3982</v>
      </c>
      <c r="D651" s="3" t="s">
        <v>27</v>
      </c>
      <c r="E651" s="20" t="s">
        <v>784</v>
      </c>
      <c r="F651" s="20" t="s">
        <v>871</v>
      </c>
    </row>
    <row r="652" spans="1:6" x14ac:dyDescent="0.15">
      <c r="A652" s="11">
        <v>399</v>
      </c>
      <c r="B652" s="9" t="str">
        <f>VLOOKUP(A652,[1]characters!$A:$C,3,FALSE)</f>
        <v>信愛の兄妹 ヘンゼル＆グレーテル</v>
      </c>
      <c r="C652" s="9" t="str">
        <f>A652&amp;+(COUNTIF(A$2:A652,A652)-1)</f>
        <v>3991</v>
      </c>
      <c r="D652" s="3" t="s">
        <v>27</v>
      </c>
      <c r="E652" s="20" t="s">
        <v>31</v>
      </c>
      <c r="F652" s="20" t="s">
        <v>528</v>
      </c>
    </row>
    <row r="653" spans="1:6" x14ac:dyDescent="0.15">
      <c r="A653" s="11">
        <v>400</v>
      </c>
      <c r="B653" s="9" t="str">
        <f>VLOOKUP(A653,[1]characters!$A:$C,3,FALSE)</f>
        <v>フェンリル</v>
      </c>
      <c r="C653" s="9" t="str">
        <f>A653&amp;+(COUNTIF(A$2:A653,A653)-1)</f>
        <v>4001</v>
      </c>
      <c r="D653" s="3" t="s">
        <v>27</v>
      </c>
      <c r="E653" s="20" t="s">
        <v>784</v>
      </c>
      <c r="F653" s="20" t="s">
        <v>872</v>
      </c>
    </row>
    <row r="654" spans="1:6" x14ac:dyDescent="0.15">
      <c r="A654" s="11">
        <v>401</v>
      </c>
      <c r="B654" s="9" t="str">
        <f>VLOOKUP(A654,[1]characters!$A:$C,3,FALSE)</f>
        <v>紅銀の孤狼 フェンリル</v>
      </c>
      <c r="C654" s="9" t="str">
        <f>A654&amp;+(COUNTIF(A$2:A654,A654)-1)</f>
        <v>4011</v>
      </c>
      <c r="D654" s="3" t="s">
        <v>27</v>
      </c>
      <c r="E654" s="20" t="s">
        <v>31</v>
      </c>
      <c r="F654" s="20" t="s">
        <v>873</v>
      </c>
    </row>
    <row r="655" spans="1:6" x14ac:dyDescent="0.15">
      <c r="A655" s="11">
        <v>402</v>
      </c>
      <c r="B655" s="9" t="str">
        <f>VLOOKUP(A655,[1]characters!$A:$C,3,FALSE)</f>
        <v>天災の神狼 フェンリル</v>
      </c>
      <c r="C655" s="9" t="str">
        <f>A655&amp;+(COUNTIF(A$2:A655,A655)-1)</f>
        <v>4021</v>
      </c>
      <c r="D655" s="3" t="s">
        <v>27</v>
      </c>
      <c r="E655" s="20" t="s">
        <v>31</v>
      </c>
      <c r="F655" s="20" t="s">
        <v>874</v>
      </c>
    </row>
    <row r="656" spans="1:6" x14ac:dyDescent="0.15">
      <c r="A656" s="11">
        <v>403</v>
      </c>
      <c r="B656" s="9" t="str">
        <f>VLOOKUP(A656,[1]characters!$A:$C,3,FALSE)</f>
        <v>静撃の翠眼 八咫烏</v>
      </c>
      <c r="C656" s="9" t="str">
        <f>A656&amp;+(COUNTIF(A$2:A656,A656)-1)</f>
        <v>4031</v>
      </c>
      <c r="D656" s="3" t="s">
        <v>27</v>
      </c>
      <c r="E656" s="20" t="s">
        <v>30</v>
      </c>
      <c r="F656" s="20" t="s">
        <v>875</v>
      </c>
    </row>
    <row r="657" spans="1:6" x14ac:dyDescent="0.15">
      <c r="A657" s="11">
        <v>403</v>
      </c>
      <c r="B657" s="9" t="str">
        <f>VLOOKUP(A657,[1]characters!$A:$C,3,FALSE)</f>
        <v>静撃の翠眼 八咫烏</v>
      </c>
      <c r="C657" s="9" t="str">
        <f>A657&amp;+(COUNTIF(A$2:A657,A657)-1)</f>
        <v>4032</v>
      </c>
      <c r="D657" s="3" t="s">
        <v>27</v>
      </c>
      <c r="E657" s="20" t="s">
        <v>31</v>
      </c>
      <c r="F657" s="20" t="s">
        <v>529</v>
      </c>
    </row>
    <row r="658" spans="1:6" x14ac:dyDescent="0.15">
      <c r="A658" s="11">
        <v>404</v>
      </c>
      <c r="B658" s="9" t="str">
        <f>VLOOKUP(A658,[1]characters!$A:$C,3,FALSE)</f>
        <v>空襲の神眼 八咫烏</v>
      </c>
      <c r="C658" s="9" t="str">
        <f>A658&amp;+(COUNTIF(A$2:A658,A658)-1)</f>
        <v>4041</v>
      </c>
      <c r="D658" s="3" t="s">
        <v>27</v>
      </c>
      <c r="E658" s="20" t="s">
        <v>31</v>
      </c>
      <c r="F658" s="20" t="s">
        <v>530</v>
      </c>
    </row>
    <row r="659" spans="1:6" x14ac:dyDescent="0.15">
      <c r="A659" s="11">
        <v>405</v>
      </c>
      <c r="B659" s="9" t="str">
        <f>VLOOKUP(A659,[1]characters!$A:$C,3,FALSE)</f>
        <v>エキドナ</v>
      </c>
      <c r="C659" s="9" t="str">
        <f>A659&amp;+(COUNTIF(A$2:A659,A659)-1)</f>
        <v>4051</v>
      </c>
      <c r="D659" s="3" t="s">
        <v>27</v>
      </c>
      <c r="E659" s="20" t="s">
        <v>817</v>
      </c>
      <c r="F659" s="20" t="s">
        <v>531</v>
      </c>
    </row>
    <row r="660" spans="1:6" x14ac:dyDescent="0.15">
      <c r="A660" s="11">
        <v>406</v>
      </c>
      <c r="B660" s="9" t="str">
        <f>VLOOKUP(A660,[1]characters!$A:$C,3,FALSE)</f>
        <v>美笑の蒼蛇 エキドナ</v>
      </c>
      <c r="C660" s="9" t="str">
        <f>A660&amp;+(COUNTIF(A$2:A660,A660)-1)</f>
        <v>4061</v>
      </c>
      <c r="D660" s="3" t="s">
        <v>27</v>
      </c>
      <c r="E660" s="20" t="s">
        <v>876</v>
      </c>
      <c r="F660" s="20" t="s">
        <v>532</v>
      </c>
    </row>
    <row r="661" spans="1:6" x14ac:dyDescent="0.15">
      <c r="A661" s="11">
        <v>407</v>
      </c>
      <c r="B661" s="9" t="str">
        <f>VLOOKUP(A661,[1]characters!$A:$C,3,FALSE)</f>
        <v>蠱惑の飛刀 エキドナ</v>
      </c>
      <c r="C661" s="9" t="str">
        <f>A661&amp;+(COUNTIF(A$2:A661,A661)-1)</f>
        <v>4071</v>
      </c>
      <c r="D661" s="3" t="s">
        <v>27</v>
      </c>
      <c r="E661" s="20" t="s">
        <v>877</v>
      </c>
      <c r="F661" s="20" t="s">
        <v>533</v>
      </c>
    </row>
    <row r="662" spans="1:6" x14ac:dyDescent="0.15">
      <c r="A662" s="11">
        <v>408</v>
      </c>
      <c r="B662" s="9" t="str">
        <f>VLOOKUP(A662,[1]characters!$A:$C,3,FALSE)</f>
        <v>皇魔 アスタロト</v>
      </c>
      <c r="C662" s="9" t="str">
        <f>A662&amp;+(COUNTIF(A$2:A662,A662)-1)</f>
        <v>4081</v>
      </c>
      <c r="D662" s="3" t="s">
        <v>27</v>
      </c>
      <c r="E662" s="20" t="s">
        <v>804</v>
      </c>
      <c r="F662" s="20" t="s">
        <v>534</v>
      </c>
    </row>
    <row r="663" spans="1:6" x14ac:dyDescent="0.15">
      <c r="A663" s="11">
        <v>408</v>
      </c>
      <c r="B663" s="9" t="str">
        <f>VLOOKUP(A663,[1]characters!$A:$C,3,FALSE)</f>
        <v>皇魔 アスタロト</v>
      </c>
      <c r="C663" s="9" t="str">
        <f>A663&amp;+(COUNTIF(A$2:A663,A663)-1)</f>
        <v>4082</v>
      </c>
      <c r="D663" s="3" t="s">
        <v>27</v>
      </c>
      <c r="E663" s="20" t="s">
        <v>32</v>
      </c>
      <c r="F663" s="20" t="s">
        <v>535</v>
      </c>
    </row>
    <row r="664" spans="1:6" x14ac:dyDescent="0.15">
      <c r="A664" s="11">
        <v>409</v>
      </c>
      <c r="B664" s="9" t="str">
        <f>VLOOKUP(A664,[1]characters!$A:$C,3,FALSE)</f>
        <v>天眼の皇貴魔 アスタロト</v>
      </c>
      <c r="C664" s="9" t="str">
        <f>A664&amp;+(COUNTIF(A$2:A664,A664)-1)</f>
        <v>4091</v>
      </c>
      <c r="D664" s="3" t="s">
        <v>27</v>
      </c>
      <c r="E664" s="20" t="s">
        <v>860</v>
      </c>
      <c r="F664" s="20" t="s">
        <v>536</v>
      </c>
    </row>
    <row r="665" spans="1:6" x14ac:dyDescent="0.15">
      <c r="A665" s="38">
        <v>410</v>
      </c>
      <c r="B665" s="9" t="str">
        <f>VLOOKUP(A665,[1]characters!$A:$C,3,FALSE)</f>
        <v>ファラデー</v>
      </c>
      <c r="C665" s="9" t="str">
        <f>A665&amp;+(COUNTIF(A$2:A665,A665)-1)</f>
        <v>4100</v>
      </c>
      <c r="D665" s="3" t="s">
        <v>27</v>
      </c>
      <c r="E665" s="53" t="s">
        <v>1017</v>
      </c>
      <c r="F665" s="54" t="s">
        <v>1012</v>
      </c>
    </row>
    <row r="666" spans="1:6" x14ac:dyDescent="0.15">
      <c r="A666" s="38">
        <v>410</v>
      </c>
      <c r="B666" s="9" t="str">
        <f>VLOOKUP(A666,[1]characters!$A:$C,3,FALSE)</f>
        <v>ファラデー</v>
      </c>
      <c r="C666" s="9" t="str">
        <f>A666&amp;+(COUNTIF(A$2:A666,A666)-1)</f>
        <v>4101</v>
      </c>
      <c r="D666" s="3" t="s">
        <v>27</v>
      </c>
      <c r="E666" s="53" t="s">
        <v>1017</v>
      </c>
      <c r="F666" s="54" t="s">
        <v>1013</v>
      </c>
    </row>
    <row r="667" spans="1:6" x14ac:dyDescent="0.15">
      <c r="A667" s="38">
        <v>410</v>
      </c>
      <c r="B667" s="9" t="str">
        <f>VLOOKUP(A667,[1]characters!$A:$C,3,FALSE)</f>
        <v>ファラデー</v>
      </c>
      <c r="C667" s="9" t="str">
        <f>A667&amp;+(COUNTIF(A$2:A667,A667)-1)</f>
        <v>4102</v>
      </c>
      <c r="D667" s="3" t="s">
        <v>27</v>
      </c>
      <c r="E667" s="53" t="s">
        <v>1018</v>
      </c>
      <c r="F667" s="54" t="s">
        <v>1014</v>
      </c>
    </row>
    <row r="668" spans="1:6" x14ac:dyDescent="0.15">
      <c r="A668" s="38">
        <v>411</v>
      </c>
      <c r="B668" s="9" t="str">
        <f>VLOOKUP(A668,[1]characters!$A:$C,3,FALSE)</f>
        <v>電隷の始祖 ファラデー</v>
      </c>
      <c r="C668" s="9" t="str">
        <f>A668&amp;+(COUNTIF(A$2:A668,A668)-1)</f>
        <v>4110</v>
      </c>
      <c r="D668" s="3" t="s">
        <v>27</v>
      </c>
      <c r="E668" s="53" t="s">
        <v>1019</v>
      </c>
      <c r="F668" s="54" t="s">
        <v>1015</v>
      </c>
    </row>
    <row r="669" spans="1:6" x14ac:dyDescent="0.15">
      <c r="A669" s="38">
        <v>411</v>
      </c>
      <c r="B669" s="9" t="str">
        <f>VLOOKUP(A669,[1]characters!$A:$C,3,FALSE)</f>
        <v>電隷の始祖 ファラデー</v>
      </c>
      <c r="C669" s="9" t="str">
        <f>A669&amp;+(COUNTIF(A$2:A669,A669)-1)</f>
        <v>4111</v>
      </c>
      <c r="D669" s="3" t="s">
        <v>27</v>
      </c>
      <c r="E669" s="53" t="s">
        <v>31</v>
      </c>
      <c r="F669" s="54" t="s">
        <v>1016</v>
      </c>
    </row>
    <row r="670" spans="1:6" x14ac:dyDescent="0.15">
      <c r="A670" s="38">
        <v>804</v>
      </c>
      <c r="B670" s="9" t="str">
        <f>VLOOKUP(A670,[1]characters!$A:$C,3,FALSE)</f>
        <v>豪電の守護芯 ファラデー</v>
      </c>
      <c r="C670" s="9" t="str">
        <f>A670&amp;+(COUNTIF(A$2:A670,A670)-1)</f>
        <v>8040</v>
      </c>
      <c r="D670" s="3" t="s">
        <v>27</v>
      </c>
      <c r="E670" s="53" t="s">
        <v>31</v>
      </c>
      <c r="F670" s="54" t="s">
        <v>1168</v>
      </c>
    </row>
    <row r="671" spans="1:6" x14ac:dyDescent="0.15">
      <c r="A671" s="38">
        <v>804</v>
      </c>
      <c r="B671" s="9" t="str">
        <f>VLOOKUP(A671,[1]characters!$A:$C,3,FALSE)</f>
        <v>豪電の守護芯 ファラデー</v>
      </c>
      <c r="C671" s="9" t="str">
        <f>A671&amp;+(COUNTIF(A$2:A671,A671)-1)</f>
        <v>8041</v>
      </c>
      <c r="D671" s="3" t="s">
        <v>27</v>
      </c>
      <c r="E671" s="53" t="s">
        <v>31</v>
      </c>
      <c r="F671" s="54" t="s">
        <v>1169</v>
      </c>
    </row>
    <row r="672" spans="1:6" x14ac:dyDescent="0.15">
      <c r="A672" s="11">
        <v>418</v>
      </c>
      <c r="B672" s="9" t="str">
        <f>VLOOKUP(A672,[1]characters!$A:$C,3,FALSE)</f>
        <v>ウラシマ</v>
      </c>
      <c r="C672" s="9" t="str">
        <f>A672&amp;+(COUNTIF(A$2:A672,A672)-1)</f>
        <v>4181</v>
      </c>
      <c r="D672" s="3" t="s">
        <v>27</v>
      </c>
      <c r="E672" s="20" t="s">
        <v>30</v>
      </c>
      <c r="F672" s="20" t="s">
        <v>537</v>
      </c>
    </row>
    <row r="673" spans="1:6" x14ac:dyDescent="0.15">
      <c r="A673" s="11">
        <v>418</v>
      </c>
      <c r="B673" s="9" t="str">
        <f>VLOOKUP(A673,[1]characters!$A:$C,3,FALSE)</f>
        <v>ウラシマ</v>
      </c>
      <c r="C673" s="9" t="str">
        <f>A673&amp;+(COUNTIF(A$2:A673,A673)-1)</f>
        <v>4182</v>
      </c>
      <c r="D673" s="3" t="s">
        <v>27</v>
      </c>
      <c r="E673" s="20" t="s">
        <v>878</v>
      </c>
      <c r="F673" s="20" t="s">
        <v>538</v>
      </c>
    </row>
    <row r="674" spans="1:6" x14ac:dyDescent="0.15">
      <c r="A674" s="11">
        <v>419</v>
      </c>
      <c r="B674" s="9" t="str">
        <f>VLOOKUP(A674,[1]characters!$A:$C,3,FALSE)</f>
        <v>宣戦の解城 ウラシマ</v>
      </c>
      <c r="C674" s="9" t="str">
        <f>A674&amp;+(COUNTIF(A$2:A674,A674)-1)</f>
        <v>4191</v>
      </c>
      <c r="D674" s="3" t="s">
        <v>27</v>
      </c>
      <c r="E674" s="20" t="s">
        <v>879</v>
      </c>
      <c r="F674" s="20" t="s">
        <v>539</v>
      </c>
    </row>
    <row r="675" spans="1:6" x14ac:dyDescent="0.15">
      <c r="A675" s="11">
        <v>420</v>
      </c>
      <c r="B675" s="9" t="str">
        <f>VLOOKUP(A675,[1]characters!$A:$C,3,FALSE)</f>
        <v>カエデ</v>
      </c>
      <c r="C675" s="9" t="str">
        <f>A675&amp;+(COUNTIF(A$2:A675,A675)-1)</f>
        <v>4201</v>
      </c>
      <c r="D675" s="3" t="s">
        <v>27</v>
      </c>
      <c r="E675" s="20" t="s">
        <v>761</v>
      </c>
      <c r="F675" s="20" t="s">
        <v>540</v>
      </c>
    </row>
    <row r="676" spans="1:6" x14ac:dyDescent="0.15">
      <c r="A676" s="11">
        <v>420</v>
      </c>
      <c r="B676" s="9" t="str">
        <f>VLOOKUP(A676,[1]characters!$A:$C,3,FALSE)</f>
        <v>カエデ</v>
      </c>
      <c r="C676" s="9" t="str">
        <f>A676&amp;+(COUNTIF(A$2:A676,A676)-1)</f>
        <v>4202</v>
      </c>
      <c r="D676" s="3" t="s">
        <v>27</v>
      </c>
      <c r="E676" s="20" t="s">
        <v>652</v>
      </c>
      <c r="F676" s="20" t="s">
        <v>541</v>
      </c>
    </row>
    <row r="677" spans="1:6" x14ac:dyDescent="0.15">
      <c r="A677" s="11">
        <v>421</v>
      </c>
      <c r="B677" s="9" t="str">
        <f>VLOOKUP(A677,[1]characters!$A:$C,3,FALSE)</f>
        <v>反親の彩壁 カエデ</v>
      </c>
      <c r="C677" s="9" t="str">
        <f>A677&amp;+(COUNTIF(A$2:A677,A677)-1)</f>
        <v>4211</v>
      </c>
      <c r="D677" s="3" t="s">
        <v>27</v>
      </c>
      <c r="E677" s="20" t="s">
        <v>761</v>
      </c>
      <c r="F677" s="20" t="s">
        <v>542</v>
      </c>
    </row>
    <row r="678" spans="1:6" x14ac:dyDescent="0.15">
      <c r="A678" s="11">
        <v>422</v>
      </c>
      <c r="B678" s="9" t="str">
        <f>VLOOKUP(A678,[1]characters!$A:$C,3,FALSE)</f>
        <v>シュガフル</v>
      </c>
      <c r="C678" s="9" t="str">
        <f>A678&amp;+(COUNTIF(A$2:A678,A678)-1)</f>
        <v>4221</v>
      </c>
      <c r="D678" s="3" t="s">
        <v>27</v>
      </c>
      <c r="E678" s="20" t="s">
        <v>650</v>
      </c>
      <c r="F678" s="20" t="s">
        <v>543</v>
      </c>
    </row>
    <row r="679" spans="1:6" x14ac:dyDescent="0.15">
      <c r="A679" s="11">
        <v>422</v>
      </c>
      <c r="B679" s="9" t="str">
        <f>VLOOKUP(A679,[1]characters!$A:$C,3,FALSE)</f>
        <v>シュガフル</v>
      </c>
      <c r="C679" s="9" t="str">
        <f>A679&amp;+(COUNTIF(A$2:A679,A679)-1)</f>
        <v>4222</v>
      </c>
      <c r="D679" s="3" t="s">
        <v>27</v>
      </c>
      <c r="E679" s="20" t="s">
        <v>784</v>
      </c>
      <c r="F679" s="20" t="s">
        <v>544</v>
      </c>
    </row>
    <row r="680" spans="1:6" x14ac:dyDescent="0.15">
      <c r="A680" s="11">
        <v>423</v>
      </c>
      <c r="B680" s="9" t="str">
        <f>VLOOKUP(A680,[1]characters!$A:$C,3,FALSE)</f>
        <v>甘罠の魔女 シュガフル</v>
      </c>
      <c r="C680" s="9" t="str">
        <f>A680&amp;+(COUNTIF(A$2:A680,A680)-1)</f>
        <v>4231</v>
      </c>
      <c r="D680" s="3" t="s">
        <v>27</v>
      </c>
      <c r="E680" s="20" t="s">
        <v>844</v>
      </c>
      <c r="F680" s="20" t="s">
        <v>880</v>
      </c>
    </row>
    <row r="681" spans="1:6" x14ac:dyDescent="0.15">
      <c r="A681" s="11">
        <v>424</v>
      </c>
      <c r="B681" s="9" t="str">
        <f>VLOOKUP(A681,[1]characters!$A:$C,3,FALSE)</f>
        <v>フック</v>
      </c>
      <c r="C681" s="9" t="str">
        <f>A681&amp;+(COUNTIF(A$2:A681,A681)-1)</f>
        <v>4241</v>
      </c>
      <c r="D681" s="3" t="s">
        <v>27</v>
      </c>
      <c r="E681" s="20" t="s">
        <v>650</v>
      </c>
      <c r="F681" s="20" t="s">
        <v>545</v>
      </c>
    </row>
    <row r="682" spans="1:6" x14ac:dyDescent="0.15">
      <c r="A682" s="11">
        <v>424</v>
      </c>
      <c r="B682" s="9" t="str">
        <f>VLOOKUP(A682,[1]characters!$A:$C,3,FALSE)</f>
        <v>フック</v>
      </c>
      <c r="C682" s="9" t="str">
        <f>A682&amp;+(COUNTIF(A$2:A682,A682)-1)</f>
        <v>4242</v>
      </c>
      <c r="D682" s="3" t="s">
        <v>27</v>
      </c>
      <c r="E682" s="20" t="s">
        <v>650</v>
      </c>
      <c r="F682" s="20" t="s">
        <v>546</v>
      </c>
    </row>
    <row r="683" spans="1:6" x14ac:dyDescent="0.15">
      <c r="A683" s="11">
        <v>425</v>
      </c>
      <c r="B683" s="9" t="str">
        <f>VLOOKUP(A683,[1]characters!$A:$C,3,FALSE)</f>
        <v>怒髪の海賊 フック</v>
      </c>
      <c r="C683" s="9" t="str">
        <f>A683&amp;+(COUNTIF(A$2:A683,A683)-1)</f>
        <v>4251</v>
      </c>
      <c r="D683" s="3" t="s">
        <v>27</v>
      </c>
      <c r="E683" s="20" t="s">
        <v>652</v>
      </c>
      <c r="F683" s="20" t="s">
        <v>547</v>
      </c>
    </row>
    <row r="684" spans="1:6" x14ac:dyDescent="0.15">
      <c r="A684" s="11">
        <v>426</v>
      </c>
      <c r="B684" s="9" t="str">
        <f>VLOOKUP(A684,[1]characters!$A:$C,3,FALSE)</f>
        <v>宮本武蔵</v>
      </c>
      <c r="C684" s="9" t="str">
        <f>A684&amp;+(COUNTIF(A$2:A684,A684)-1)</f>
        <v>4261</v>
      </c>
      <c r="D684" s="3" t="s">
        <v>27</v>
      </c>
      <c r="E684" s="20" t="s">
        <v>881</v>
      </c>
      <c r="F684" s="20" t="s">
        <v>548</v>
      </c>
    </row>
    <row r="685" spans="1:6" x14ac:dyDescent="0.15">
      <c r="A685" s="11">
        <v>426</v>
      </c>
      <c r="B685" s="9" t="str">
        <f>VLOOKUP(A685,[1]characters!$A:$C,3,FALSE)</f>
        <v>宮本武蔵</v>
      </c>
      <c r="C685" s="9" t="str">
        <f>A685&amp;+(COUNTIF(A$2:A685,A685)-1)</f>
        <v>4262</v>
      </c>
      <c r="D685" s="3" t="s">
        <v>27</v>
      </c>
      <c r="E685" s="20" t="s">
        <v>31</v>
      </c>
      <c r="F685" s="20" t="s">
        <v>882</v>
      </c>
    </row>
    <row r="686" spans="1:6" x14ac:dyDescent="0.15">
      <c r="A686" s="11">
        <v>427</v>
      </c>
      <c r="B686" s="9" t="str">
        <f>VLOOKUP(A686,[1]characters!$A:$C,3,FALSE)</f>
        <v>極・剣豪 宮本武蔵</v>
      </c>
      <c r="C686" s="9" t="str">
        <f>A686&amp;+(COUNTIF(A$2:A686,A686)-1)</f>
        <v>4271</v>
      </c>
      <c r="D686" s="3" t="s">
        <v>27</v>
      </c>
      <c r="E686" s="20" t="s">
        <v>713</v>
      </c>
      <c r="F686" s="20" t="s">
        <v>549</v>
      </c>
    </row>
    <row r="687" spans="1:6" x14ac:dyDescent="0.15">
      <c r="A687" s="11">
        <v>432</v>
      </c>
      <c r="B687" s="9" t="str">
        <f>VLOOKUP(A687,[1]characters!$A:$C,3,FALSE)</f>
        <v>麒麟</v>
      </c>
      <c r="C687" s="9" t="str">
        <f>A687&amp;+(COUNTIF(A$2:A687,A687)-1)</f>
        <v>4321</v>
      </c>
      <c r="D687" s="3" t="s">
        <v>27</v>
      </c>
      <c r="E687" s="20" t="s">
        <v>883</v>
      </c>
      <c r="F687" s="20" t="s">
        <v>550</v>
      </c>
    </row>
    <row r="688" spans="1:6" x14ac:dyDescent="0.15">
      <c r="A688" s="11">
        <v>432</v>
      </c>
      <c r="B688" s="9" t="str">
        <f>VLOOKUP(A688,[1]characters!$A:$C,3,FALSE)</f>
        <v>麒麟</v>
      </c>
      <c r="C688" s="9" t="str">
        <f>A688&amp;+(COUNTIF(A$2:A688,A688)-1)</f>
        <v>4322</v>
      </c>
      <c r="D688" s="3" t="s">
        <v>27</v>
      </c>
      <c r="E688" s="20" t="s">
        <v>31</v>
      </c>
      <c r="F688" s="20" t="s">
        <v>551</v>
      </c>
    </row>
    <row r="689" spans="1:6" x14ac:dyDescent="0.15">
      <c r="A689" s="11">
        <v>433</v>
      </c>
      <c r="B689" s="9" t="str">
        <f>VLOOKUP(A689,[1]characters!$A:$C,3,FALSE)</f>
        <v>世稀の現獣 麒麟</v>
      </c>
      <c r="C689" s="9" t="str">
        <f>A689&amp;+(COUNTIF(A$2:A689,A689)-1)</f>
        <v>4331</v>
      </c>
      <c r="D689" s="3" t="s">
        <v>27</v>
      </c>
      <c r="E689" s="20" t="s">
        <v>652</v>
      </c>
      <c r="F689" s="20" t="s">
        <v>552</v>
      </c>
    </row>
    <row r="690" spans="1:6" x14ac:dyDescent="0.15">
      <c r="A690" s="11">
        <v>802</v>
      </c>
      <c r="B690" s="9" t="str">
        <f>VLOOKUP(A690,[1]characters!$A:$C,3,FALSE)</f>
        <v>四聖結終の超獣 麒麟</v>
      </c>
      <c r="C690" s="9" t="str">
        <f>A690&amp;+(COUNTIF(A$2:A690,A690)-1)</f>
        <v>8021</v>
      </c>
      <c r="D690" s="3" t="s">
        <v>27</v>
      </c>
      <c r="E690" s="20" t="s">
        <v>652</v>
      </c>
      <c r="F690" s="20" t="s">
        <v>1136</v>
      </c>
    </row>
    <row r="691" spans="1:6" x14ac:dyDescent="0.15">
      <c r="A691" s="11">
        <v>434</v>
      </c>
      <c r="B691" s="9" t="str">
        <f>VLOOKUP(A691,[1]characters!$A:$C,3,FALSE)</f>
        <v>D.R.T.H.</v>
      </c>
      <c r="C691" s="9" t="str">
        <f>A691&amp;+(COUNTIF(A$2:A691,A691)-1)</f>
        <v>4341</v>
      </c>
      <c r="D691" s="3" t="s">
        <v>27</v>
      </c>
      <c r="E691" s="20" t="s">
        <v>30</v>
      </c>
      <c r="F691" s="20" t="s">
        <v>884</v>
      </c>
    </row>
    <row r="692" spans="1:6" x14ac:dyDescent="0.15">
      <c r="A692" s="11">
        <v>434</v>
      </c>
      <c r="B692" s="9" t="str">
        <f>VLOOKUP(A692,[1]characters!$A:$C,3,FALSE)</f>
        <v>D.R.T.H.</v>
      </c>
      <c r="C692" s="9" t="str">
        <f>A692&amp;+(COUNTIF(A$2:A692,A692)-1)</f>
        <v>4342</v>
      </c>
      <c r="D692" s="3" t="s">
        <v>27</v>
      </c>
      <c r="E692" s="20" t="s">
        <v>885</v>
      </c>
      <c r="F692" s="20" t="s">
        <v>553</v>
      </c>
    </row>
    <row r="693" spans="1:6" x14ac:dyDescent="0.15">
      <c r="A693" s="11">
        <v>435</v>
      </c>
      <c r="B693" s="9" t="str">
        <f>VLOOKUP(A693,[1]characters!$A:$C,3,FALSE)</f>
        <v>曝弾の密偵 D.R.T.H.</v>
      </c>
      <c r="C693" s="9" t="str">
        <f>A693&amp;+(COUNTIF(A$2:A693,A693)-1)</f>
        <v>4351</v>
      </c>
      <c r="D693" s="3" t="s">
        <v>27</v>
      </c>
      <c r="E693" s="20" t="s">
        <v>856</v>
      </c>
      <c r="F693" s="20" t="s">
        <v>554</v>
      </c>
    </row>
    <row r="694" spans="1:6" x14ac:dyDescent="0.15">
      <c r="A694" s="11">
        <v>817</v>
      </c>
      <c r="B694" s="9" t="str">
        <f>VLOOKUP(A694,[1]characters!$A:$C,3,FALSE)</f>
        <v>決戦の抗弾 D.R.T.H.</v>
      </c>
      <c r="C694" s="9" t="str">
        <f>A694&amp;+(COUNTIF(A$2:A694,A694)-1)</f>
        <v>8171</v>
      </c>
      <c r="D694" s="3" t="s">
        <v>27</v>
      </c>
      <c r="E694" s="20" t="s">
        <v>30</v>
      </c>
      <c r="F694" s="20" t="s">
        <v>1141</v>
      </c>
    </row>
    <row r="695" spans="1:6" x14ac:dyDescent="0.15">
      <c r="A695" s="11">
        <v>436</v>
      </c>
      <c r="B695" s="9" t="str">
        <f>VLOOKUP(A695,[1]characters!$A:$C,3,FALSE)</f>
        <v>カカシ</v>
      </c>
      <c r="C695" s="9" t="str">
        <f>A695&amp;+(COUNTIF(A$2:A695,A695)-1)</f>
        <v>4361</v>
      </c>
      <c r="D695" s="3" t="s">
        <v>27</v>
      </c>
      <c r="E695" s="20" t="s">
        <v>650</v>
      </c>
      <c r="F695" s="20" t="s">
        <v>555</v>
      </c>
    </row>
    <row r="696" spans="1:6" x14ac:dyDescent="0.15">
      <c r="A696" s="11">
        <v>437</v>
      </c>
      <c r="B696" s="9" t="str">
        <f>VLOOKUP(A696,[1]characters!$A:$C,3,FALSE)</f>
        <v>忘却者 カカシ</v>
      </c>
      <c r="C696" s="9" t="str">
        <f>A696&amp;+(COUNTIF(A$2:A696,A696)-1)</f>
        <v>4371</v>
      </c>
      <c r="D696" s="3" t="s">
        <v>27</v>
      </c>
      <c r="E696" s="20" t="s">
        <v>650</v>
      </c>
      <c r="F696" s="20" t="s">
        <v>886</v>
      </c>
    </row>
    <row r="697" spans="1:6" x14ac:dyDescent="0.15">
      <c r="A697" s="11">
        <v>438</v>
      </c>
      <c r="B697" s="9" t="str">
        <f>VLOOKUP(A697,[1]characters!$A:$C,3,FALSE)</f>
        <v>記憶の奪還 カカシ</v>
      </c>
      <c r="C697" s="9" t="str">
        <f>A697&amp;+(COUNTIF(A$2:A697,A697)-1)</f>
        <v>4381</v>
      </c>
      <c r="D697" s="3" t="s">
        <v>27</v>
      </c>
      <c r="E697" s="20" t="s">
        <v>850</v>
      </c>
      <c r="F697" s="20" t="s">
        <v>556</v>
      </c>
    </row>
    <row r="698" spans="1:6" x14ac:dyDescent="0.15">
      <c r="A698" s="11">
        <v>439</v>
      </c>
      <c r="B698" s="9" t="str">
        <f>VLOOKUP(A698,[1]characters!$A:$C,3,FALSE)</f>
        <v>ブリキロガー</v>
      </c>
      <c r="C698" s="9" t="str">
        <f>A698&amp;+(COUNTIF(A$2:A698,A698)-1)</f>
        <v>4391</v>
      </c>
      <c r="D698" s="3" t="s">
        <v>27</v>
      </c>
      <c r="E698" s="20" t="s">
        <v>30</v>
      </c>
      <c r="F698" s="20" t="s">
        <v>557</v>
      </c>
    </row>
    <row r="699" spans="1:6" x14ac:dyDescent="0.15">
      <c r="A699" s="11">
        <v>440</v>
      </c>
      <c r="B699" s="9" t="str">
        <f>VLOOKUP(A699,[1]characters!$A:$C,3,FALSE)</f>
        <v>改良型 ブリキロガー</v>
      </c>
      <c r="C699" s="9" t="str">
        <f>A699&amp;+(COUNTIF(A$2:A699,A699)-1)</f>
        <v>4401</v>
      </c>
      <c r="D699" s="3" t="s">
        <v>27</v>
      </c>
      <c r="E699" s="20" t="s">
        <v>652</v>
      </c>
      <c r="F699" s="20" t="s">
        <v>558</v>
      </c>
    </row>
    <row r="700" spans="1:6" x14ac:dyDescent="0.15">
      <c r="A700" s="11">
        <v>441</v>
      </c>
      <c r="B700" s="9" t="str">
        <f>VLOOKUP(A700,[1]characters!$A:$C,3,FALSE)</f>
        <v>求心の錻装 ブリキロガー</v>
      </c>
      <c r="C700" s="9" t="str">
        <f>A700&amp;+(COUNTIF(A$2:A700,A700)-1)</f>
        <v>4411</v>
      </c>
      <c r="D700" s="3" t="s">
        <v>27</v>
      </c>
      <c r="E700" s="20" t="s">
        <v>887</v>
      </c>
      <c r="F700" s="20" t="s">
        <v>559</v>
      </c>
    </row>
    <row r="701" spans="1:6" x14ac:dyDescent="0.15">
      <c r="A701" s="11">
        <v>442</v>
      </c>
      <c r="B701" s="9" t="str">
        <f>VLOOKUP(A701,[1]characters!$A:$C,3,FALSE)</f>
        <v>ブレイブリー・ライオン</v>
      </c>
      <c r="C701" s="9" t="str">
        <f>A701&amp;+(COUNTIF(A$2:A701,A701)-1)</f>
        <v>4421</v>
      </c>
      <c r="D701" s="3" t="s">
        <v>27</v>
      </c>
      <c r="E701" s="20" t="s">
        <v>30</v>
      </c>
      <c r="F701" s="20" t="s">
        <v>560</v>
      </c>
    </row>
    <row r="702" spans="1:6" x14ac:dyDescent="0.15">
      <c r="A702" s="11">
        <v>442</v>
      </c>
      <c r="B702" s="9" t="str">
        <f>VLOOKUP(A702,[1]characters!$A:$C,3,FALSE)</f>
        <v>ブレイブリー・ライオン</v>
      </c>
      <c r="C702" s="9" t="str">
        <f>A702&amp;+(COUNTIF(A$2:A702,A702)-1)</f>
        <v>4422</v>
      </c>
      <c r="D702" s="3" t="s">
        <v>27</v>
      </c>
      <c r="E702" s="20" t="s">
        <v>888</v>
      </c>
      <c r="F702" s="20" t="s">
        <v>561</v>
      </c>
    </row>
    <row r="703" spans="1:6" x14ac:dyDescent="0.15">
      <c r="A703" s="11">
        <v>443</v>
      </c>
      <c r="B703" s="9" t="str">
        <f>VLOOKUP(A703,[1]characters!$A:$C,3,FALSE)</f>
        <v>勇機結集 ブレイブリー・ライオン</v>
      </c>
      <c r="C703" s="9" t="str">
        <f>A703&amp;+(COUNTIF(A$2:A703,A703)-1)</f>
        <v>4431</v>
      </c>
      <c r="D703" s="3" t="s">
        <v>27</v>
      </c>
      <c r="E703" s="20" t="s">
        <v>889</v>
      </c>
      <c r="F703" s="20" t="s">
        <v>562</v>
      </c>
    </row>
    <row r="704" spans="1:6" x14ac:dyDescent="0.15">
      <c r="A704" s="11">
        <v>452</v>
      </c>
      <c r="B704" s="9" t="str">
        <f>VLOOKUP(A704,[1]characters!$A:$C,3,FALSE)</f>
        <v>猛狐 エゾ</v>
      </c>
      <c r="C704" s="9" t="str">
        <f>A704&amp;+(COUNTIF(A$2:A704,A704)-1)</f>
        <v>4521</v>
      </c>
      <c r="D704" s="3" t="s">
        <v>27</v>
      </c>
      <c r="E704" s="21" t="s">
        <v>31</v>
      </c>
      <c r="F704" s="34" t="s">
        <v>563</v>
      </c>
    </row>
    <row r="705" spans="1:6" x14ac:dyDescent="0.15">
      <c r="A705" s="11">
        <v>452</v>
      </c>
      <c r="B705" s="9" t="str">
        <f>VLOOKUP(A705,[1]characters!$A:$C,3,FALSE)</f>
        <v>猛狐 エゾ</v>
      </c>
      <c r="C705" s="9" t="str">
        <f>A705&amp;+(COUNTIF(A$2:A705,A705)-1)</f>
        <v>4522</v>
      </c>
      <c r="D705" s="3" t="s">
        <v>27</v>
      </c>
      <c r="E705" s="35" t="s">
        <v>30</v>
      </c>
      <c r="F705" s="34" t="s">
        <v>564</v>
      </c>
    </row>
    <row r="706" spans="1:6" x14ac:dyDescent="0.15">
      <c r="A706" s="11">
        <v>453</v>
      </c>
      <c r="B706" s="9" t="str">
        <f>VLOOKUP(A706,[1]characters!$A:$C,3,FALSE)</f>
        <v>急尾の猛狐 エゾ</v>
      </c>
      <c r="C706" s="9" t="str">
        <f>A706&amp;+(COUNTIF(A$2:A706,A706)-1)</f>
        <v>4531</v>
      </c>
      <c r="D706" s="3" t="s">
        <v>27</v>
      </c>
      <c r="E706" s="21" t="s">
        <v>890</v>
      </c>
      <c r="F706" s="34" t="s">
        <v>565</v>
      </c>
    </row>
    <row r="707" spans="1:6" x14ac:dyDescent="0.15">
      <c r="A707" s="11">
        <v>454</v>
      </c>
      <c r="B707" s="9" t="str">
        <f>VLOOKUP(A707,[1]characters!$A:$C,3,FALSE)</f>
        <v>二闘 レッサとギガン</v>
      </c>
      <c r="C707" s="9" t="str">
        <f>A707&amp;+(COUNTIF(A$2:A707,A707)-1)</f>
        <v>4541</v>
      </c>
      <c r="D707" s="3" t="s">
        <v>27</v>
      </c>
      <c r="E707" s="35" t="s">
        <v>642</v>
      </c>
      <c r="F707" s="36" t="s">
        <v>566</v>
      </c>
    </row>
    <row r="708" spans="1:6" x14ac:dyDescent="0.15">
      <c r="A708" s="11">
        <v>454</v>
      </c>
      <c r="B708" s="9" t="str">
        <f>VLOOKUP(A708,[1]characters!$A:$C,3,FALSE)</f>
        <v>二闘 レッサとギガン</v>
      </c>
      <c r="C708" s="9" t="str">
        <f>A708&amp;+(COUNTIF(A$2:A708,A708)-1)</f>
        <v>4542</v>
      </c>
      <c r="D708" s="3" t="s">
        <v>27</v>
      </c>
      <c r="E708" s="35" t="s">
        <v>891</v>
      </c>
      <c r="F708" s="34" t="s">
        <v>567</v>
      </c>
    </row>
    <row r="709" spans="1:6" x14ac:dyDescent="0.15">
      <c r="A709" s="11">
        <v>455</v>
      </c>
      <c r="B709" s="9" t="str">
        <f>VLOOKUP(A709,[1]characters!$A:$C,3,FALSE)</f>
        <v>廃街の二闘 レッサとギガン</v>
      </c>
      <c r="C709" s="9" t="str">
        <f>A709&amp;+(COUNTIF(A$2:A709,A709)-1)</f>
        <v>4551</v>
      </c>
      <c r="D709" s="3" t="s">
        <v>27</v>
      </c>
      <c r="E709" s="35" t="s">
        <v>613</v>
      </c>
      <c r="F709" s="36" t="s">
        <v>892</v>
      </c>
    </row>
    <row r="710" spans="1:6" x14ac:dyDescent="0.15">
      <c r="A710" s="11">
        <v>456</v>
      </c>
      <c r="B710" s="9" t="str">
        <f>VLOOKUP(A710,[1]characters!$A:$C,3,FALSE)</f>
        <v>射絶 ユヅル</v>
      </c>
      <c r="C710" s="9" t="str">
        <f>A710&amp;+(COUNTIF(A$2:A710,A710)-1)</f>
        <v>4561</v>
      </c>
      <c r="D710" s="3" t="s">
        <v>27</v>
      </c>
      <c r="E710" s="21" t="s">
        <v>848</v>
      </c>
      <c r="F710" s="34" t="s">
        <v>568</v>
      </c>
    </row>
    <row r="711" spans="1:6" x14ac:dyDescent="0.15">
      <c r="A711" s="11">
        <v>456</v>
      </c>
      <c r="B711" s="9" t="str">
        <f>VLOOKUP(A711,[1]characters!$A:$C,3,FALSE)</f>
        <v>射絶 ユヅル</v>
      </c>
      <c r="C711" s="9" t="str">
        <f>A711&amp;+(COUNTIF(A$2:A711,A711)-1)</f>
        <v>4562</v>
      </c>
      <c r="D711" s="3" t="s">
        <v>27</v>
      </c>
      <c r="E711" s="35" t="s">
        <v>893</v>
      </c>
      <c r="F711" s="36" t="s">
        <v>569</v>
      </c>
    </row>
    <row r="712" spans="1:6" x14ac:dyDescent="0.15">
      <c r="A712" s="11">
        <v>457</v>
      </c>
      <c r="B712" s="9" t="str">
        <f>VLOOKUP(A712,[1]characters!$A:$C,3,FALSE)</f>
        <v>京速射絶 ユヅル</v>
      </c>
      <c r="C712" s="9" t="str">
        <f>A712&amp;+(COUNTIF(A$2:A712,A712)-1)</f>
        <v>4571</v>
      </c>
      <c r="D712" s="3" t="s">
        <v>27</v>
      </c>
      <c r="E712" s="21" t="s">
        <v>894</v>
      </c>
      <c r="F712" s="34" t="s">
        <v>570</v>
      </c>
    </row>
    <row r="713" spans="1:6" x14ac:dyDescent="0.15">
      <c r="A713" s="11">
        <v>458</v>
      </c>
      <c r="B713" s="9" t="str">
        <f>VLOOKUP(A713,[1]characters!$A:$C,3,FALSE)</f>
        <v>嵐龍 スガル</v>
      </c>
      <c r="C713" s="9" t="str">
        <f>A713&amp;+(COUNTIF(A$2:A713,A713)-1)</f>
        <v>4581</v>
      </c>
      <c r="D713" s="3" t="s">
        <v>27</v>
      </c>
      <c r="E713" s="35" t="s">
        <v>709</v>
      </c>
      <c r="F713" s="36" t="s">
        <v>571</v>
      </c>
    </row>
    <row r="714" spans="1:6" x14ac:dyDescent="0.15">
      <c r="A714" s="11">
        <v>458</v>
      </c>
      <c r="B714" s="9" t="str">
        <f>VLOOKUP(A714,[1]characters!$A:$C,3,FALSE)</f>
        <v>嵐龍 スガル</v>
      </c>
      <c r="C714" s="9" t="str">
        <f>A714&amp;+(COUNTIF(A$2:A714,A714)-1)</f>
        <v>4582</v>
      </c>
      <c r="D714" s="3" t="s">
        <v>27</v>
      </c>
      <c r="E714" s="21" t="s">
        <v>603</v>
      </c>
      <c r="F714" s="34" t="s">
        <v>572</v>
      </c>
    </row>
    <row r="715" spans="1:6" x14ac:dyDescent="0.15">
      <c r="A715" s="11">
        <v>459</v>
      </c>
      <c r="B715" s="9" t="str">
        <f>VLOOKUP(A715,[1]characters!$A:$C,3,FALSE)</f>
        <v>威喝の嵐龍 スガル</v>
      </c>
      <c r="C715" s="9" t="str">
        <f>A715&amp;+(COUNTIF(A$2:A715,A715)-1)</f>
        <v>4591</v>
      </c>
      <c r="D715" s="3" t="s">
        <v>27</v>
      </c>
      <c r="E715" s="35" t="s">
        <v>834</v>
      </c>
      <c r="F715" s="36" t="s">
        <v>942</v>
      </c>
    </row>
    <row r="716" spans="1:6" x14ac:dyDescent="0.15">
      <c r="A716" s="11">
        <v>460</v>
      </c>
      <c r="B716" s="9" t="str">
        <f>VLOOKUP(A716,[1]characters!$A:$C,3,FALSE)</f>
        <v>オズ</v>
      </c>
      <c r="C716" s="9" t="str">
        <f>A716&amp;+(COUNTIF(A$2:A716,A716)-1)</f>
        <v>4601</v>
      </c>
      <c r="D716" s="3" t="s">
        <v>27</v>
      </c>
      <c r="E716" s="20" t="s">
        <v>600</v>
      </c>
      <c r="F716" s="20" t="s">
        <v>573</v>
      </c>
    </row>
    <row r="717" spans="1:6" x14ac:dyDescent="0.15">
      <c r="A717" s="11">
        <v>460</v>
      </c>
      <c r="B717" s="9" t="str">
        <f>VLOOKUP(A717,[1]characters!$A:$C,3,FALSE)</f>
        <v>オズ</v>
      </c>
      <c r="C717" s="9" t="str">
        <f>A717&amp;+(COUNTIF(A$2:A717,A717)-1)</f>
        <v>4602</v>
      </c>
      <c r="D717" s="3" t="s">
        <v>27</v>
      </c>
      <c r="E717" s="20" t="s">
        <v>600</v>
      </c>
      <c r="F717" s="20" t="s">
        <v>574</v>
      </c>
    </row>
    <row r="718" spans="1:6" x14ac:dyDescent="0.15">
      <c r="A718" s="11">
        <v>461</v>
      </c>
      <c r="B718" s="9" t="str">
        <f>VLOOKUP(A718,[1]characters!$A:$C,3,FALSE)</f>
        <v>大いなる虚像 オズ</v>
      </c>
      <c r="C718" s="9" t="str">
        <f>A718&amp;+(COUNTIF(A$2:A718,A718)-1)</f>
        <v>4611</v>
      </c>
      <c r="D718" s="3" t="s">
        <v>27</v>
      </c>
      <c r="E718" s="20" t="s">
        <v>600</v>
      </c>
      <c r="F718" s="20" t="s">
        <v>575</v>
      </c>
    </row>
    <row r="719" spans="1:6" x14ac:dyDescent="0.15">
      <c r="A719" s="11">
        <v>818</v>
      </c>
      <c r="B719" s="9" t="str">
        <f>VLOOKUP(A719,[1]characters!$A:$C,3,FALSE)</f>
        <v>虚空を飾る大輪 オズ</v>
      </c>
      <c r="C719" s="9" t="str">
        <f>A719&amp;+(COUNTIF(A$2:A719,A719)-1)</f>
        <v>8181</v>
      </c>
      <c r="D719" s="3" t="s">
        <v>27</v>
      </c>
      <c r="E719" s="20" t="s">
        <v>31</v>
      </c>
      <c r="F719" s="78" t="s">
        <v>1149</v>
      </c>
    </row>
    <row r="720" spans="1:6" x14ac:dyDescent="0.15">
      <c r="A720" s="11">
        <v>462</v>
      </c>
      <c r="B720" s="9" t="str">
        <f>VLOOKUP(A720,[1]characters!$A:$C,3,FALSE)</f>
        <v>ガウェイン</v>
      </c>
      <c r="C720" s="9" t="str">
        <f>A720&amp;+(COUNTIF(A$2:A720,A720)-1)</f>
        <v>4621</v>
      </c>
      <c r="D720" s="3" t="s">
        <v>27</v>
      </c>
      <c r="E720" s="20" t="s">
        <v>895</v>
      </c>
      <c r="F720" s="20" t="s">
        <v>576</v>
      </c>
    </row>
    <row r="721" spans="1:6" x14ac:dyDescent="0.15">
      <c r="A721" s="11">
        <v>463</v>
      </c>
      <c r="B721" s="9" t="str">
        <f>VLOOKUP(A721,[1]characters!$A:$C,3,FALSE)</f>
        <v>燻銀 ガウェイン</v>
      </c>
      <c r="C721" s="9" t="str">
        <f>A721&amp;+(COUNTIF(A$2:A721,A721)-1)</f>
        <v>4631</v>
      </c>
      <c r="D721" s="3" t="s">
        <v>27</v>
      </c>
      <c r="E721" s="20" t="s">
        <v>896</v>
      </c>
      <c r="F721" s="20" t="s">
        <v>577</v>
      </c>
    </row>
    <row r="722" spans="1:6" x14ac:dyDescent="0.15">
      <c r="A722" s="11">
        <v>464</v>
      </c>
      <c r="B722" s="9" t="str">
        <f>VLOOKUP(A722,[1]characters!$A:$C,3,FALSE)</f>
        <v>円熟の弾導 ガウェイン</v>
      </c>
      <c r="C722" s="9" t="str">
        <f>A722&amp;+(COUNTIF(A$2:A722,A722)-1)</f>
        <v>4641</v>
      </c>
      <c r="D722" s="3" t="s">
        <v>27</v>
      </c>
      <c r="E722" s="20" t="s">
        <v>31</v>
      </c>
      <c r="F722" s="20" t="s">
        <v>578</v>
      </c>
    </row>
    <row r="723" spans="1:6" x14ac:dyDescent="0.15">
      <c r="A723" s="11">
        <v>465</v>
      </c>
      <c r="B723" s="9" t="str">
        <f>VLOOKUP(A723,[1]characters!$A:$C,3,FALSE)</f>
        <v>真撃 ランスロット</v>
      </c>
      <c r="C723" s="9" t="str">
        <f>A723&amp;+(COUNTIF(A$2:A723,A723)-1)</f>
        <v>4651</v>
      </c>
      <c r="D723" s="3" t="s">
        <v>27</v>
      </c>
      <c r="E723" s="20" t="s">
        <v>897</v>
      </c>
      <c r="F723" s="20" t="s">
        <v>898</v>
      </c>
    </row>
    <row r="724" spans="1:6" x14ac:dyDescent="0.15">
      <c r="A724" s="11">
        <v>465</v>
      </c>
      <c r="B724" s="9" t="str">
        <f>VLOOKUP(A724,[1]characters!$A:$C,3,FALSE)</f>
        <v>真撃 ランスロット</v>
      </c>
      <c r="C724" s="9" t="str">
        <f>A724&amp;+(COUNTIF(A$2:A724,A724)-1)</f>
        <v>4652</v>
      </c>
      <c r="D724" s="3" t="s">
        <v>27</v>
      </c>
      <c r="E724" s="20" t="s">
        <v>899</v>
      </c>
      <c r="F724" s="20" t="s">
        <v>900</v>
      </c>
    </row>
    <row r="725" spans="1:6" x14ac:dyDescent="0.15">
      <c r="A725" s="11">
        <v>466</v>
      </c>
      <c r="B725" s="9" t="str">
        <f>VLOOKUP(A725,[1]characters!$A:$C,3,FALSE)</f>
        <v>真断の勇覇 ランスロット</v>
      </c>
      <c r="C725" s="9" t="str">
        <f>A725&amp;+(COUNTIF(A$2:A725,A725)-1)</f>
        <v>4661</v>
      </c>
      <c r="D725" s="3" t="s">
        <v>27</v>
      </c>
      <c r="E725" s="20" t="s">
        <v>887</v>
      </c>
      <c r="F725" s="20" t="s">
        <v>901</v>
      </c>
    </row>
    <row r="726" spans="1:6" x14ac:dyDescent="0.15">
      <c r="A726" s="11">
        <v>467</v>
      </c>
      <c r="B726" s="9" t="str">
        <f>VLOOKUP(A726,[1]characters!$A:$C,3,FALSE)</f>
        <v>報復 モルドレッド</v>
      </c>
      <c r="C726" s="9" t="str">
        <f>A726&amp;+(COUNTIF(A$2:A726,A726)-1)</f>
        <v>4671</v>
      </c>
      <c r="D726" s="3" t="s">
        <v>27</v>
      </c>
      <c r="E726" s="20" t="s">
        <v>504</v>
      </c>
      <c r="F726" s="20" t="s">
        <v>579</v>
      </c>
    </row>
    <row r="727" spans="1:6" x14ac:dyDescent="0.15">
      <c r="A727" s="11">
        <v>467</v>
      </c>
      <c r="B727" s="9" t="str">
        <f>VLOOKUP(A727,[1]characters!$A:$C,3,FALSE)</f>
        <v>報復 モルドレッド</v>
      </c>
      <c r="C727" s="9" t="str">
        <f>A727&amp;+(COUNTIF(A$2:A727,A727)-1)</f>
        <v>4672</v>
      </c>
      <c r="D727" s="3" t="s">
        <v>27</v>
      </c>
      <c r="E727" s="20" t="s">
        <v>883</v>
      </c>
      <c r="F727" s="20" t="s">
        <v>580</v>
      </c>
    </row>
    <row r="728" spans="1:6" x14ac:dyDescent="0.15">
      <c r="A728" s="11">
        <v>468</v>
      </c>
      <c r="B728" s="9" t="str">
        <f>VLOOKUP(A728,[1]characters!$A:$C,3,FALSE)</f>
        <v>憎愛の尖鋒 モルドレッド</v>
      </c>
      <c r="C728" s="9" t="str">
        <f>A728&amp;+(COUNTIF(A$2:A728,A728)-1)</f>
        <v>4681</v>
      </c>
      <c r="D728" s="3" t="s">
        <v>27</v>
      </c>
      <c r="E728" s="20" t="s">
        <v>31</v>
      </c>
      <c r="F728" s="20" t="s">
        <v>581</v>
      </c>
    </row>
    <row r="729" spans="1:6" x14ac:dyDescent="0.15">
      <c r="A729" s="11">
        <v>819</v>
      </c>
      <c r="B729" s="9" t="str">
        <f>VLOOKUP(A729,[1]characters!$A:$C,3,FALSE)</f>
        <v>讐命の我突 モルドレッド</v>
      </c>
      <c r="C729" s="9" t="str">
        <f>A729&amp;+(COUNTIF(A$2:A729,A729)-1)</f>
        <v>8191</v>
      </c>
      <c r="D729" s="3" t="s">
        <v>27</v>
      </c>
      <c r="E729" s="20" t="s">
        <v>31</v>
      </c>
      <c r="F729" s="78" t="s">
        <v>1143</v>
      </c>
    </row>
    <row r="730" spans="1:6" x14ac:dyDescent="0.15">
      <c r="A730" s="11">
        <v>469</v>
      </c>
      <c r="B730" s="9" t="str">
        <f>VLOOKUP(A730,[1]characters!$A:$C,3,FALSE)</f>
        <v>トリスタン</v>
      </c>
      <c r="C730" s="9" t="str">
        <f>A730&amp;+(COUNTIF(A$2:A730,A730)-1)</f>
        <v>4691</v>
      </c>
      <c r="D730" s="3" t="s">
        <v>27</v>
      </c>
      <c r="E730" s="20" t="s">
        <v>30</v>
      </c>
      <c r="F730" s="20" t="s">
        <v>582</v>
      </c>
    </row>
    <row r="731" spans="1:6" x14ac:dyDescent="0.15">
      <c r="A731" s="11">
        <v>470</v>
      </c>
      <c r="B731" s="9" t="str">
        <f>VLOOKUP(A731,[1]characters!$A:$C,3,FALSE)</f>
        <v>純心 トリスタン</v>
      </c>
      <c r="C731" s="9" t="str">
        <f>A731&amp;+(COUNTIF(A$2:A731,A731)-1)</f>
        <v>4701</v>
      </c>
      <c r="D731" s="3" t="s">
        <v>27</v>
      </c>
      <c r="E731" s="20" t="s">
        <v>30</v>
      </c>
      <c r="F731" s="20" t="s">
        <v>902</v>
      </c>
    </row>
    <row r="732" spans="1:6" x14ac:dyDescent="0.15">
      <c r="A732" s="11">
        <v>471</v>
      </c>
      <c r="B732" s="9" t="str">
        <f>VLOOKUP(A732,[1]characters!$A:$C,3,FALSE)</f>
        <v>不可避の爆激 トリスタン</v>
      </c>
      <c r="C732" s="9" t="str">
        <f>A732&amp;+(COUNTIF(A$2:A732,A732)-1)</f>
        <v>4711</v>
      </c>
      <c r="D732" s="3" t="s">
        <v>27</v>
      </c>
      <c r="E732" s="20" t="s">
        <v>31</v>
      </c>
      <c r="F732" s="20" t="s">
        <v>583</v>
      </c>
    </row>
    <row r="733" spans="1:6" x14ac:dyDescent="0.15">
      <c r="A733" s="11">
        <v>472</v>
      </c>
      <c r="B733" s="9" t="str">
        <f>VLOOKUP(A733,[1]characters!$A:$C,3,FALSE)</f>
        <v>アーサー</v>
      </c>
      <c r="C733" s="9" t="str">
        <f>A733&amp;+(COUNTIF(A$2:A733,A733)-1)</f>
        <v>4721</v>
      </c>
      <c r="D733" s="3" t="s">
        <v>27</v>
      </c>
      <c r="E733" s="31" t="s">
        <v>903</v>
      </c>
      <c r="F733" s="31" t="s">
        <v>904</v>
      </c>
    </row>
    <row r="734" spans="1:6" x14ac:dyDescent="0.15">
      <c r="A734" s="11">
        <v>472</v>
      </c>
      <c r="B734" s="9" t="str">
        <f>VLOOKUP(A734,[1]characters!$A:$C,3,FALSE)</f>
        <v>アーサー</v>
      </c>
      <c r="C734" s="9" t="str">
        <f>A734&amp;+(COUNTIF(A$2:A734,A734)-1)</f>
        <v>4722</v>
      </c>
      <c r="D734" s="3" t="s">
        <v>27</v>
      </c>
      <c r="E734" s="31" t="s">
        <v>903</v>
      </c>
      <c r="F734" s="31" t="s">
        <v>905</v>
      </c>
    </row>
    <row r="735" spans="1:6" x14ac:dyDescent="0.15">
      <c r="A735" s="11">
        <v>473</v>
      </c>
      <c r="B735" s="9" t="str">
        <f>VLOOKUP(A735,[1]characters!$A:$C,3,FALSE)</f>
        <v>凶堅なる正義 アーサー</v>
      </c>
      <c r="C735" s="9" t="str">
        <f>A735&amp;+(COUNTIF(A$2:A735,A735)-1)</f>
        <v>4731</v>
      </c>
      <c r="D735" s="3" t="s">
        <v>27</v>
      </c>
      <c r="E735" s="31" t="s">
        <v>31</v>
      </c>
      <c r="F735" s="31" t="s">
        <v>906</v>
      </c>
    </row>
    <row r="736" spans="1:6" x14ac:dyDescent="0.15">
      <c r="A736" s="11">
        <v>820</v>
      </c>
      <c r="B736" s="9" t="str">
        <f>VLOOKUP(A736,[1]characters!$A:$C,3,FALSE)</f>
        <v>凶心者の聖儀 アーサー</v>
      </c>
      <c r="C736" s="9" t="str">
        <f>A736&amp;+(COUNTIF(A$2:A736,A736)-1)</f>
        <v>8201</v>
      </c>
      <c r="D736" s="3" t="s">
        <v>27</v>
      </c>
      <c r="E736" s="31" t="s">
        <v>31</v>
      </c>
      <c r="F736" s="81" t="s">
        <v>1151</v>
      </c>
    </row>
    <row r="737" spans="1:6" x14ac:dyDescent="0.15">
      <c r="A737" s="11">
        <v>484</v>
      </c>
      <c r="B737" s="9" t="str">
        <f>VLOOKUP(A737,[1]characters!$A:$C,3,FALSE)</f>
        <v>ラグランジュ</v>
      </c>
      <c r="C737" s="9" t="str">
        <f>A737&amp;+(COUNTIF(A$2:A737,A737)-1)</f>
        <v>4841</v>
      </c>
      <c r="D737" s="3" t="s">
        <v>27</v>
      </c>
      <c r="E737" s="31" t="s">
        <v>30</v>
      </c>
      <c r="F737" s="31" t="s">
        <v>907</v>
      </c>
    </row>
    <row r="738" spans="1:6" x14ac:dyDescent="0.15">
      <c r="A738" s="11">
        <v>484</v>
      </c>
      <c r="B738" s="9" t="str">
        <f>VLOOKUP(A738,[1]characters!$A:$C,3,FALSE)</f>
        <v>ラグランジュ</v>
      </c>
      <c r="C738" s="9" t="str">
        <f>A738&amp;+(COUNTIF(A$2:A738,A738)-1)</f>
        <v>4842</v>
      </c>
      <c r="D738" s="3" t="s">
        <v>27</v>
      </c>
      <c r="E738" s="31" t="s">
        <v>30</v>
      </c>
      <c r="F738" s="31" t="s">
        <v>908</v>
      </c>
    </row>
    <row r="739" spans="1:6" x14ac:dyDescent="0.15">
      <c r="A739" s="11">
        <v>485</v>
      </c>
      <c r="B739" s="9" t="str">
        <f>VLOOKUP(A739,[1]characters!$A:$C,3,FALSE)</f>
        <v>超越自我 ラグランジュ</v>
      </c>
      <c r="C739" s="9" t="str">
        <f>A739&amp;+(COUNTIF(A$2:A739,A739)-1)</f>
        <v>4851</v>
      </c>
      <c r="D739" s="3" t="s">
        <v>27</v>
      </c>
      <c r="E739" s="31" t="s">
        <v>909</v>
      </c>
      <c r="F739" s="37" t="s">
        <v>910</v>
      </c>
    </row>
    <row r="740" spans="1:6" x14ac:dyDescent="0.15">
      <c r="A740" s="11">
        <v>486</v>
      </c>
      <c r="B740" s="9" t="str">
        <f>VLOOKUP(A740,[1]characters!$A:$C,3,FALSE)</f>
        <v>重なる世解 シュレディンガー</v>
      </c>
      <c r="C740" s="9" t="str">
        <f>A740&amp;+(COUNTIF(A$2:A740,A740)-1)</f>
        <v>4861</v>
      </c>
      <c r="D740" s="3" t="s">
        <v>998</v>
      </c>
      <c r="E740" s="31" t="s">
        <v>1005</v>
      </c>
      <c r="F740" s="37" t="s">
        <v>1001</v>
      </c>
    </row>
    <row r="741" spans="1:6" x14ac:dyDescent="0.15">
      <c r="A741" s="11">
        <v>486</v>
      </c>
      <c r="B741" s="9" t="str">
        <f>VLOOKUP(A741,[1]characters!$A:$C,3,FALSE)</f>
        <v>重なる世解 シュレディンガー</v>
      </c>
      <c r="C741" s="9" t="str">
        <f>A741&amp;+(COUNTIF(A$2:A741,A741)-1)</f>
        <v>4862</v>
      </c>
      <c r="D741" s="3" t="s">
        <v>999</v>
      </c>
      <c r="E741" s="31" t="s">
        <v>1000</v>
      </c>
      <c r="F741" s="37" t="s">
        <v>1002</v>
      </c>
    </row>
    <row r="742" spans="1:6" x14ac:dyDescent="0.15">
      <c r="A742" s="11">
        <v>486</v>
      </c>
      <c r="B742" s="9" t="str">
        <f>VLOOKUP(A742,[1]characters!$A:$C,3,FALSE)</f>
        <v>重なる世解 シュレディンガー</v>
      </c>
      <c r="C742" s="9" t="str">
        <f>A742&amp;+(COUNTIF(A$2:A742,A742)-1)</f>
        <v>4863</v>
      </c>
      <c r="D742" s="3" t="s">
        <v>999</v>
      </c>
      <c r="E742" s="31" t="s">
        <v>1000</v>
      </c>
      <c r="F742" s="37" t="s">
        <v>1003</v>
      </c>
    </row>
    <row r="743" spans="1:6" x14ac:dyDescent="0.15">
      <c r="A743" s="11">
        <v>797</v>
      </c>
      <c r="B743" s="9" t="str">
        <f>VLOOKUP(A743,[1]characters!$A:$C,3,FALSE)</f>
        <v>崩烙の世解 シュレディンガー</v>
      </c>
      <c r="C743" s="9" t="str">
        <f>A743&amp;+(COUNTIF(A$2:A743,A743)-1)</f>
        <v>7971</v>
      </c>
      <c r="D743" s="3" t="s">
        <v>999</v>
      </c>
      <c r="E743" s="31" t="s">
        <v>30</v>
      </c>
      <c r="F743" s="37" t="s">
        <v>1138</v>
      </c>
    </row>
    <row r="744" spans="1:6" x14ac:dyDescent="0.15">
      <c r="A744" s="11">
        <v>488</v>
      </c>
      <c r="B744" s="9" t="str">
        <f>VLOOKUP(A744,[1]characters!$A:$C,3,FALSE)</f>
        <v>直観の異論 ヘンペル</v>
      </c>
      <c r="C744" s="9" t="str">
        <f>A744&amp;+(COUNTIF(A$2:A744,A744)-1)</f>
        <v>4881</v>
      </c>
      <c r="D744" s="3" t="s">
        <v>27</v>
      </c>
      <c r="E744" s="31" t="s">
        <v>911</v>
      </c>
      <c r="F744" s="31" t="s">
        <v>912</v>
      </c>
    </row>
    <row r="745" spans="1:6" x14ac:dyDescent="0.15">
      <c r="A745" s="11">
        <v>488</v>
      </c>
      <c r="B745" s="9" t="str">
        <f>VLOOKUP(A745,[1]characters!$A:$C,3,FALSE)</f>
        <v>直観の異論 ヘンペル</v>
      </c>
      <c r="C745" s="9" t="str">
        <f>A745&amp;+(COUNTIF(A$2:A745,A745)-1)</f>
        <v>4882</v>
      </c>
      <c r="D745" s="3" t="s">
        <v>27</v>
      </c>
      <c r="E745" s="31" t="s">
        <v>602</v>
      </c>
      <c r="F745" s="31" t="s">
        <v>913</v>
      </c>
    </row>
    <row r="746" spans="1:6" x14ac:dyDescent="0.15">
      <c r="A746" s="11">
        <v>488</v>
      </c>
      <c r="B746" s="9" t="str">
        <f>VLOOKUP(A746,[1]characters!$A:$C,3,FALSE)</f>
        <v>直観の異論 ヘンペル</v>
      </c>
      <c r="C746" s="9" t="str">
        <f>A746&amp;+(COUNTIF(A$2:A746,A746)-1)</f>
        <v>4883</v>
      </c>
      <c r="D746" s="56" t="s">
        <v>27</v>
      </c>
      <c r="E746" s="57" t="s">
        <v>602</v>
      </c>
      <c r="F746" s="57" t="s">
        <v>914</v>
      </c>
    </row>
    <row r="747" spans="1:6" x14ac:dyDescent="0.15">
      <c r="A747" s="11">
        <v>800</v>
      </c>
      <c r="B747" s="9" t="str">
        <f>VLOOKUP(A747,[1]characters!$A:$C,3,FALSE)</f>
        <v>蒼穹包む命題 ヘンペル</v>
      </c>
      <c r="C747" s="9" t="str">
        <f>A747&amp;+(COUNTIF(A$2:A747,A747)-1)</f>
        <v>8001</v>
      </c>
      <c r="D747" s="3" t="s">
        <v>27</v>
      </c>
      <c r="E747" s="31" t="s">
        <v>911</v>
      </c>
      <c r="F747" s="31" t="s">
        <v>912</v>
      </c>
    </row>
    <row r="748" spans="1:6" x14ac:dyDescent="0.15">
      <c r="A748" s="11">
        <v>800</v>
      </c>
      <c r="B748" s="9" t="str">
        <f>VLOOKUP(A748,[1]characters!$A:$C,3,FALSE)</f>
        <v>蒼穹包む命題 ヘンペル</v>
      </c>
      <c r="C748" s="9" t="str">
        <f>A748&amp;+(COUNTIF(A$2:A748,A748)-1)</f>
        <v>8002</v>
      </c>
      <c r="D748" s="3" t="s">
        <v>27</v>
      </c>
      <c r="E748" s="31" t="s">
        <v>602</v>
      </c>
      <c r="F748" s="31" t="s">
        <v>913</v>
      </c>
    </row>
    <row r="749" spans="1:6" x14ac:dyDescent="0.15">
      <c r="A749" s="11">
        <v>800</v>
      </c>
      <c r="B749" s="9" t="str">
        <f>VLOOKUP(A749,[1]characters!$A:$C,3,FALSE)</f>
        <v>蒼穹包む命題 ヘンペル</v>
      </c>
      <c r="C749" s="9" t="str">
        <f>A749&amp;+(COUNTIF(A$2:A749,A749)-1)</f>
        <v>8003</v>
      </c>
      <c r="D749" s="56" t="s">
        <v>27</v>
      </c>
      <c r="E749" s="57" t="s">
        <v>602</v>
      </c>
      <c r="F749" s="57" t="s">
        <v>914</v>
      </c>
    </row>
    <row r="750" spans="1:6" x14ac:dyDescent="0.15">
      <c r="A750" s="11">
        <v>800</v>
      </c>
      <c r="B750" s="9" t="str">
        <f>VLOOKUP(A750,[1]characters!$A:$C,3,FALSE)</f>
        <v>蒼穹包む命題 ヘンペル</v>
      </c>
      <c r="C750" s="9" t="str">
        <f>A750&amp;+(COUNTIF(A$2:A750,A750)-1)</f>
        <v>8004</v>
      </c>
      <c r="D750" s="56" t="s">
        <v>27</v>
      </c>
      <c r="E750" s="57" t="s">
        <v>602</v>
      </c>
      <c r="F750" s="57" t="s">
        <v>1101</v>
      </c>
    </row>
    <row r="751" spans="1:6" x14ac:dyDescent="0.15">
      <c r="A751" s="11">
        <v>474</v>
      </c>
      <c r="B751" s="9" t="str">
        <f>VLOOKUP(A751,[1]characters!$A:$C,3,FALSE)</f>
        <v>キング・ドライグ</v>
      </c>
      <c r="C751" s="9" t="str">
        <f>A751&amp;+(COUNTIF(A$2:A751,A751)-1)</f>
        <v>4741</v>
      </c>
      <c r="D751" s="58" t="s">
        <v>27</v>
      </c>
      <c r="E751" s="59" t="s">
        <v>31</v>
      </c>
      <c r="F751" s="60" t="s">
        <v>915</v>
      </c>
    </row>
    <row r="752" spans="1:6" x14ac:dyDescent="0.15">
      <c r="A752" s="11">
        <v>474</v>
      </c>
      <c r="B752" s="9" t="str">
        <f>VLOOKUP(A752,[1]characters!$A:$C,3,FALSE)</f>
        <v>キング・ドライグ</v>
      </c>
      <c r="C752" s="9" t="str">
        <f>A752&amp;+(COUNTIF(A$2:A752,A752)-1)</f>
        <v>4742</v>
      </c>
      <c r="D752" s="3" t="s">
        <v>27</v>
      </c>
      <c r="E752" s="33" t="s">
        <v>30</v>
      </c>
      <c r="F752" s="31" t="s">
        <v>916</v>
      </c>
    </row>
    <row r="753" spans="1:6" x14ac:dyDescent="0.15">
      <c r="A753" s="11">
        <v>475</v>
      </c>
      <c r="B753" s="9" t="str">
        <f>VLOOKUP(A753,[1]characters!$A:$C,3,FALSE)</f>
        <v>緋王 キング・ドライグ</v>
      </c>
      <c r="C753" s="9" t="str">
        <f>A753&amp;+(COUNTIF(A$2:A753,A753)-1)</f>
        <v>4751</v>
      </c>
      <c r="D753" s="3" t="s">
        <v>27</v>
      </c>
      <c r="E753" s="33" t="s">
        <v>31</v>
      </c>
      <c r="F753" s="31" t="s">
        <v>917</v>
      </c>
    </row>
    <row r="754" spans="1:6" x14ac:dyDescent="0.15">
      <c r="A754" s="11">
        <v>476</v>
      </c>
      <c r="B754" s="9" t="str">
        <f>VLOOKUP(A754,[1]characters!$A:$C,3,FALSE)</f>
        <v>ファータ</v>
      </c>
      <c r="C754" s="9" t="str">
        <f>A754&amp;+(COUNTIF(A$2:A754,A754)-1)</f>
        <v>4761</v>
      </c>
      <c r="D754" s="3" t="s">
        <v>27</v>
      </c>
      <c r="E754" s="33" t="s">
        <v>32</v>
      </c>
      <c r="F754" s="31" t="s">
        <v>918</v>
      </c>
    </row>
    <row r="755" spans="1:6" x14ac:dyDescent="0.15">
      <c r="A755" s="11">
        <v>477</v>
      </c>
      <c r="B755" s="9" t="str">
        <f>VLOOKUP(A755,[1]characters!$A:$C,3,FALSE)</f>
        <v>愛羽妖精 ファータ</v>
      </c>
      <c r="C755" s="9" t="str">
        <f>A755&amp;+(COUNTIF(A$2:A755,A755)-1)</f>
        <v>4771</v>
      </c>
      <c r="D755" s="3" t="s">
        <v>27</v>
      </c>
      <c r="E755" s="33" t="s">
        <v>30</v>
      </c>
      <c r="F755" s="31" t="s">
        <v>919</v>
      </c>
    </row>
    <row r="756" spans="1:6" x14ac:dyDescent="0.15">
      <c r="A756" s="11">
        <v>478</v>
      </c>
      <c r="B756" s="9" t="str">
        <f>VLOOKUP(A756,[1]characters!$A:$C,3,FALSE)</f>
        <v>時計仕掛けの愛羽妖精 ファータ</v>
      </c>
      <c r="C756" s="9" t="str">
        <f>A756&amp;+(COUNTIF(A$2:A756,A756)-1)</f>
        <v>4781</v>
      </c>
      <c r="D756" s="3" t="s">
        <v>27</v>
      </c>
      <c r="E756" s="33" t="s">
        <v>920</v>
      </c>
      <c r="F756" s="31" t="s">
        <v>921</v>
      </c>
    </row>
    <row r="757" spans="1:6" x14ac:dyDescent="0.15">
      <c r="A757" s="11">
        <v>479</v>
      </c>
      <c r="B757" s="9" t="str">
        <f>VLOOKUP(A757,[1]characters!$A:$C,3,FALSE)</f>
        <v>フール</v>
      </c>
      <c r="C757" s="9" t="str">
        <f>A757&amp;+(COUNTIF(A$2:A757,A757)-1)</f>
        <v>4791</v>
      </c>
      <c r="D757" s="3" t="s">
        <v>27</v>
      </c>
      <c r="E757" s="33" t="s">
        <v>30</v>
      </c>
      <c r="F757" s="31" t="s">
        <v>922</v>
      </c>
    </row>
    <row r="758" spans="1:6" x14ac:dyDescent="0.15">
      <c r="A758" s="11">
        <v>479</v>
      </c>
      <c r="B758" s="9" t="str">
        <f>VLOOKUP(A758,[1]characters!$A:$C,3,FALSE)</f>
        <v>フール</v>
      </c>
      <c r="C758" s="9" t="str">
        <f>A758&amp;+(COUNTIF(A$2:A758,A758)-1)</f>
        <v>4792</v>
      </c>
      <c r="D758" s="3" t="s">
        <v>27</v>
      </c>
      <c r="E758" s="33" t="s">
        <v>30</v>
      </c>
      <c r="F758" s="31" t="s">
        <v>923</v>
      </c>
    </row>
    <row r="759" spans="1:6" x14ac:dyDescent="0.15">
      <c r="A759" s="11">
        <v>480</v>
      </c>
      <c r="B759" s="9" t="str">
        <f>VLOOKUP(A759,[1]characters!$A:$C,3,FALSE)</f>
        <v>夢幻の愚者フール</v>
      </c>
      <c r="C759" s="9" t="str">
        <f>A759&amp;+(COUNTIF(A$2:A759,A759)-1)</f>
        <v>4801</v>
      </c>
      <c r="D759" s="3" t="s">
        <v>27</v>
      </c>
      <c r="E759" s="33" t="s">
        <v>30</v>
      </c>
      <c r="F759" s="31" t="s">
        <v>924</v>
      </c>
    </row>
    <row r="760" spans="1:6" x14ac:dyDescent="0.15">
      <c r="A760" s="11">
        <v>481</v>
      </c>
      <c r="B760" s="9" t="str">
        <f>VLOOKUP(A760,[1]characters!$A:$C,3,FALSE)</f>
        <v>沢庵宗彭</v>
      </c>
      <c r="C760" s="9" t="str">
        <f>A760&amp;+(COUNTIF(A$2:A760,A760)-1)</f>
        <v>4811</v>
      </c>
      <c r="D760" s="3" t="s">
        <v>27</v>
      </c>
      <c r="E760" s="33" t="s">
        <v>31</v>
      </c>
      <c r="F760" s="31" t="s">
        <v>925</v>
      </c>
    </row>
    <row r="761" spans="1:6" x14ac:dyDescent="0.15">
      <c r="A761" s="11">
        <v>482</v>
      </c>
      <c r="B761" s="9" t="str">
        <f>VLOOKUP(A761,[1]characters!$A:$C,3,FALSE)</f>
        <v>魁僧 沢庵宗彭</v>
      </c>
      <c r="C761" s="9" t="str">
        <f>A761&amp;+(COUNTIF(A$2:A761,A761)-1)</f>
        <v>4821</v>
      </c>
      <c r="D761" s="3" t="s">
        <v>27</v>
      </c>
      <c r="E761" s="33" t="s">
        <v>31</v>
      </c>
      <c r="F761" s="31" t="s">
        <v>926</v>
      </c>
    </row>
    <row r="762" spans="1:6" x14ac:dyDescent="0.15">
      <c r="A762" s="11">
        <v>483</v>
      </c>
      <c r="B762" s="9" t="str">
        <f>VLOOKUP(A762,[1]characters!$A:$C,3,FALSE)</f>
        <v xml:space="preserve">命経死遂 沢庵宗彭 </v>
      </c>
      <c r="C762" s="9" t="str">
        <f>A762&amp;+(COUNTIF(A$2:A762,A762)-1)</f>
        <v>4831</v>
      </c>
      <c r="D762" s="3" t="s">
        <v>27</v>
      </c>
      <c r="E762" s="33" t="s">
        <v>30</v>
      </c>
      <c r="F762" s="31" t="s">
        <v>927</v>
      </c>
    </row>
    <row r="763" spans="1:6" x14ac:dyDescent="0.15">
      <c r="A763" s="11">
        <v>512</v>
      </c>
      <c r="B763" s="9" t="str">
        <f>VLOOKUP(A763,[1]characters!$A:$C,3,FALSE)</f>
        <v>聖火の逆徒 クリスマス・ベリアル</v>
      </c>
      <c r="C763" s="9" t="str">
        <f>A763&amp;+(COUNTIF(A$2:A763,A763)-1)</f>
        <v>5121</v>
      </c>
      <c r="D763" s="3" t="s">
        <v>27</v>
      </c>
      <c r="E763" s="20" t="s">
        <v>30</v>
      </c>
      <c r="F763" s="20" t="s">
        <v>584</v>
      </c>
    </row>
    <row r="764" spans="1:6" x14ac:dyDescent="0.15">
      <c r="A764" s="11">
        <v>512</v>
      </c>
      <c r="B764" s="9" t="str">
        <f>VLOOKUP(A764,[1]characters!$A:$C,3,FALSE)</f>
        <v>聖火の逆徒 クリスマス・ベリアル</v>
      </c>
      <c r="C764" s="9" t="str">
        <f>A764&amp;+(COUNTIF(A$2:A764,A764)-1)</f>
        <v>5122</v>
      </c>
      <c r="D764" s="3" t="s">
        <v>27</v>
      </c>
      <c r="E764" s="20" t="s">
        <v>602</v>
      </c>
      <c r="F764" s="20" t="s">
        <v>585</v>
      </c>
    </row>
    <row r="765" spans="1:6" x14ac:dyDescent="0.15">
      <c r="A765" s="11">
        <v>513</v>
      </c>
      <c r="B765" s="9" t="str">
        <f>VLOOKUP(A765,[1]characters!$A:$C,3,FALSE)</f>
        <v>爆進の荷炎 クリスマス・ベリアル</v>
      </c>
      <c r="C765" s="9" t="str">
        <f>A765&amp;+(COUNTIF(A$2:A765,A765)-1)</f>
        <v>5131</v>
      </c>
      <c r="D765" s="3" t="s">
        <v>27</v>
      </c>
      <c r="E765" s="20" t="s">
        <v>603</v>
      </c>
      <c r="F765" s="20" t="s">
        <v>586</v>
      </c>
    </row>
    <row r="766" spans="1:6" x14ac:dyDescent="0.15">
      <c r="A766" s="11">
        <v>514</v>
      </c>
      <c r="B766" s="9" t="str">
        <f>VLOOKUP(A766,[1]characters!$A:$C,3,FALSE)</f>
        <v>祝宴の識徒 サンタクロース・オセ</v>
      </c>
      <c r="C766" s="9" t="str">
        <f>A766&amp;+(COUNTIF(A$2:A766,A766)-1)</f>
        <v>5141</v>
      </c>
      <c r="D766" s="3" t="s">
        <v>27</v>
      </c>
      <c r="E766" s="20" t="s">
        <v>928</v>
      </c>
      <c r="F766" s="20" t="s">
        <v>587</v>
      </c>
    </row>
    <row r="767" spans="1:6" x14ac:dyDescent="0.15">
      <c r="A767" s="11">
        <v>514</v>
      </c>
      <c r="B767" s="9" t="str">
        <f>VLOOKUP(A767,[1]characters!$A:$C,3,FALSE)</f>
        <v>祝宴の識徒 サンタクロース・オセ</v>
      </c>
      <c r="C767" s="9" t="str">
        <f>A767&amp;+(COUNTIF(A$2:A767,A767)-1)</f>
        <v>5142</v>
      </c>
      <c r="D767" s="3" t="s">
        <v>27</v>
      </c>
      <c r="E767" s="20" t="s">
        <v>929</v>
      </c>
      <c r="F767" s="20" t="s">
        <v>588</v>
      </c>
    </row>
    <row r="768" spans="1:6" x14ac:dyDescent="0.15">
      <c r="A768" s="11">
        <v>515</v>
      </c>
      <c r="B768" s="9" t="str">
        <f>VLOOKUP(A768,[1]characters!$A:$C,3,FALSE)</f>
        <v>聖夜の贈主 サンタクロース・オセ</v>
      </c>
      <c r="C768" s="9" t="str">
        <f>A768&amp;+(COUNTIF(A$2:A768,A768)-1)</f>
        <v>5151</v>
      </c>
      <c r="D768" s="3" t="s">
        <v>27</v>
      </c>
      <c r="E768" s="20" t="s">
        <v>31</v>
      </c>
      <c r="F768" s="20" t="s">
        <v>589</v>
      </c>
    </row>
    <row r="769" spans="1:6" x14ac:dyDescent="0.15">
      <c r="A769" s="11">
        <v>516</v>
      </c>
      <c r="B769" s="9" t="str">
        <f>VLOOKUP(A769,[1]characters!$A:$C,3,FALSE)</f>
        <v>聖母 マリア</v>
      </c>
      <c r="C769" s="9" t="str">
        <f>A769&amp;+(COUNTIF(A$2:A769,A769)-1)</f>
        <v>5161</v>
      </c>
      <c r="D769" s="3" t="s">
        <v>27</v>
      </c>
      <c r="E769" s="20" t="s">
        <v>860</v>
      </c>
      <c r="F769" s="20" t="s">
        <v>590</v>
      </c>
    </row>
    <row r="770" spans="1:6" x14ac:dyDescent="0.15">
      <c r="A770" s="11">
        <v>516</v>
      </c>
      <c r="B770" s="9" t="str">
        <f>VLOOKUP(A770,[1]characters!$A:$C,3,FALSE)</f>
        <v>聖母 マリア</v>
      </c>
      <c r="C770" s="9" t="str">
        <f>A770&amp;+(COUNTIF(A$2:A770,A770)-1)</f>
        <v>5162</v>
      </c>
      <c r="D770" s="3" t="s">
        <v>27</v>
      </c>
      <c r="E770" s="20" t="s">
        <v>930</v>
      </c>
      <c r="F770" s="20" t="s">
        <v>591</v>
      </c>
    </row>
    <row r="771" spans="1:6" x14ac:dyDescent="0.15">
      <c r="A771" s="11">
        <v>517</v>
      </c>
      <c r="B771" s="9" t="str">
        <f>VLOOKUP(A771,[1]characters!$A:$C,3,FALSE)</f>
        <v>真冬の誕生祭 マリア</v>
      </c>
      <c r="C771" s="9" t="str">
        <f>A771&amp;+(COUNTIF(A$2:A771,A771)-1)</f>
        <v>5171</v>
      </c>
      <c r="D771" s="3" t="s">
        <v>27</v>
      </c>
      <c r="E771" s="20" t="s">
        <v>931</v>
      </c>
      <c r="F771" s="20" t="s">
        <v>592</v>
      </c>
    </row>
    <row r="772" spans="1:6" x14ac:dyDescent="0.15">
      <c r="A772" s="11">
        <v>518</v>
      </c>
      <c r="B772" s="9" t="str">
        <f>VLOOKUP(A772,[1]characters!$A:$C,3,FALSE)</f>
        <v>秘来の聖天使 ミカエル</v>
      </c>
      <c r="C772" s="9" t="str">
        <f>A772&amp;+(COUNTIF(A$2:A772,A772)-1)</f>
        <v>5181</v>
      </c>
      <c r="D772" s="3" t="s">
        <v>27</v>
      </c>
      <c r="E772" s="20" t="s">
        <v>719</v>
      </c>
      <c r="F772" s="20" t="s">
        <v>593</v>
      </c>
    </row>
    <row r="773" spans="1:6" x14ac:dyDescent="0.15">
      <c r="A773" s="11">
        <v>518</v>
      </c>
      <c r="B773" s="9" t="str">
        <f>VLOOKUP(A773,[1]characters!$A:$C,3,FALSE)</f>
        <v>秘来の聖天使 ミカエル</v>
      </c>
      <c r="C773" s="9" t="str">
        <f>A773&amp;+(COUNTIF(A$2:A773,A773)-1)</f>
        <v>5182</v>
      </c>
      <c r="D773" s="3" t="s">
        <v>27</v>
      </c>
      <c r="E773" s="20" t="s">
        <v>889</v>
      </c>
      <c r="F773" s="20" t="s">
        <v>594</v>
      </c>
    </row>
    <row r="774" spans="1:6" x14ac:dyDescent="0.15">
      <c r="A774" s="11">
        <v>519</v>
      </c>
      <c r="B774" s="9" t="str">
        <f>VLOOKUP(A774,[1]characters!$A:$C,3,FALSE)</f>
        <v>夜天の聖天使 ミカエル・ハレルヤ</v>
      </c>
      <c r="C774" s="9" t="str">
        <f>A774&amp;+(COUNTIF(A$2:A774,A774)-1)</f>
        <v>5191</v>
      </c>
      <c r="D774" s="3" t="s">
        <v>27</v>
      </c>
      <c r="E774" s="31" t="s">
        <v>31</v>
      </c>
      <c r="F774" s="31" t="s">
        <v>932</v>
      </c>
    </row>
    <row r="775" spans="1:6" x14ac:dyDescent="0.15">
      <c r="A775" s="11">
        <v>524</v>
      </c>
      <c r="B775" s="9" t="str">
        <f>VLOOKUP(A775,[1]characters!$A:$C,3,FALSE)</f>
        <v>あけおめダック</v>
      </c>
      <c r="C775" s="9" t="str">
        <f>A775&amp;+(COUNTIF(A$2:A775,A775)-1)</f>
        <v>5240</v>
      </c>
      <c r="D775" s="3" t="s">
        <v>27</v>
      </c>
      <c r="E775" s="31" t="s">
        <v>31</v>
      </c>
      <c r="F775" s="31" t="s">
        <v>943</v>
      </c>
    </row>
    <row r="776" spans="1:6" x14ac:dyDescent="0.15">
      <c r="A776" s="11">
        <v>524</v>
      </c>
      <c r="B776" s="9" t="str">
        <f>VLOOKUP(A776,[1]characters!$A:$C,3,FALSE)</f>
        <v>あけおめダック</v>
      </c>
      <c r="C776" s="9" t="str">
        <f>A776&amp;+(COUNTIF(A$2:A776,A776)-1)</f>
        <v>5241</v>
      </c>
      <c r="D776" s="3" t="s">
        <v>27</v>
      </c>
      <c r="E776" s="31" t="s">
        <v>31</v>
      </c>
      <c r="F776" s="31" t="s">
        <v>944</v>
      </c>
    </row>
    <row r="777" spans="1:6" x14ac:dyDescent="0.15">
      <c r="A777" s="11">
        <v>376</v>
      </c>
      <c r="B777" s="9" t="str">
        <f>VLOOKUP(A777,[1]characters!$A:$C,3,FALSE)</f>
        <v>勘兵衛</v>
      </c>
      <c r="C777" s="9" t="str">
        <f>A777&amp;+(COUNTIF(A$2:A777,A777)-1)</f>
        <v>3760</v>
      </c>
      <c r="D777" s="3" t="s">
        <v>27</v>
      </c>
      <c r="E777" s="31" t="s">
        <v>31</v>
      </c>
      <c r="F777" s="31" t="s">
        <v>945</v>
      </c>
    </row>
    <row r="778" spans="1:6" x14ac:dyDescent="0.15">
      <c r="A778" s="11">
        <v>376</v>
      </c>
      <c r="B778" s="9" t="str">
        <f>VLOOKUP(A778,[1]characters!$A:$C,3,FALSE)</f>
        <v>勘兵衛</v>
      </c>
      <c r="C778" s="9" t="str">
        <f>A778&amp;+(COUNTIF(A$2:A778,A778)-1)</f>
        <v>3761</v>
      </c>
      <c r="D778" s="3" t="s">
        <v>27</v>
      </c>
      <c r="E778" s="31" t="s">
        <v>31</v>
      </c>
      <c r="F778" s="31" t="s">
        <v>949</v>
      </c>
    </row>
    <row r="779" spans="1:6" x14ac:dyDescent="0.15">
      <c r="A779" s="11">
        <v>377</v>
      </c>
      <c r="B779" s="9" t="str">
        <f>VLOOKUP(A779,[1]characters!$A:$C,3,FALSE)</f>
        <v>光明鹿剣 勘兵衛</v>
      </c>
      <c r="C779" s="9" t="str">
        <f>A779&amp;+(COUNTIF(A$2:A779,A779)-1)</f>
        <v>3770</v>
      </c>
      <c r="D779" s="3" t="s">
        <v>27</v>
      </c>
      <c r="E779" s="31" t="s">
        <v>31</v>
      </c>
      <c r="F779" s="31" t="s">
        <v>948</v>
      </c>
    </row>
    <row r="780" spans="1:6" x14ac:dyDescent="0.15">
      <c r="A780" s="11">
        <v>377</v>
      </c>
      <c r="B780" s="9" t="str">
        <f>VLOOKUP(A780,[1]characters!$A:$C,3,FALSE)</f>
        <v>光明鹿剣 勘兵衛</v>
      </c>
      <c r="C780" s="9" t="str">
        <f>A780&amp;+(COUNTIF(A$2:A780,A780)-1)</f>
        <v>3771</v>
      </c>
      <c r="D780" s="3" t="s">
        <v>27</v>
      </c>
      <c r="E780" s="31" t="s">
        <v>946</v>
      </c>
      <c r="F780" s="31" t="s">
        <v>947</v>
      </c>
    </row>
    <row r="781" spans="1:6" x14ac:dyDescent="0.15">
      <c r="A781" s="11">
        <v>377</v>
      </c>
      <c r="B781" s="9" t="str">
        <f>VLOOKUP(A781,[1]characters!$A:$C,3,FALSE)</f>
        <v>光明鹿剣 勘兵衛</v>
      </c>
      <c r="C781" s="9" t="str">
        <f>A781&amp;+(COUNTIF(A$2:A781,A781)-1)</f>
        <v>3772</v>
      </c>
      <c r="D781" s="3" t="s">
        <v>27</v>
      </c>
      <c r="E781" s="31" t="s">
        <v>31</v>
      </c>
      <c r="F781" s="31" t="s">
        <v>950</v>
      </c>
    </row>
    <row r="782" spans="1:6" x14ac:dyDescent="0.15">
      <c r="A782" s="11">
        <v>490</v>
      </c>
      <c r="B782" s="9" t="str">
        <f>VLOOKUP(A782,[1]characters!$A:$C,3,FALSE)</f>
        <v>グリム</v>
      </c>
      <c r="C782" s="9" t="str">
        <f>A782&amp;+(COUNTIF(A$2:A782,A782)-1)</f>
        <v>4900</v>
      </c>
      <c r="D782" s="3" t="s">
        <v>27</v>
      </c>
      <c r="E782" s="31" t="s">
        <v>997</v>
      </c>
      <c r="F782" s="31" t="s">
        <v>992</v>
      </c>
    </row>
    <row r="783" spans="1:6" x14ac:dyDescent="0.15">
      <c r="A783" s="11">
        <v>490</v>
      </c>
      <c r="B783" s="9" t="str">
        <f>VLOOKUP(A783,[1]characters!$A:$C,3,FALSE)</f>
        <v>グリム</v>
      </c>
      <c r="C783" s="9" t="str">
        <f>A783&amp;+(COUNTIF(A$2:A783,A783)-1)</f>
        <v>4901</v>
      </c>
      <c r="D783" s="3" t="s">
        <v>27</v>
      </c>
      <c r="E783" s="31" t="s">
        <v>31</v>
      </c>
      <c r="F783" s="31" t="s">
        <v>993</v>
      </c>
    </row>
    <row r="784" spans="1:6" x14ac:dyDescent="0.15">
      <c r="A784" s="11">
        <v>490</v>
      </c>
      <c r="B784" s="9" t="str">
        <f>VLOOKUP(A784,[1]characters!$A:$C,3,FALSE)</f>
        <v>グリム</v>
      </c>
      <c r="C784" s="9" t="str">
        <f>A784&amp;+(COUNTIF(A$2:A784,A784)-1)</f>
        <v>4902</v>
      </c>
      <c r="D784" s="3" t="s">
        <v>27</v>
      </c>
      <c r="E784" s="31" t="s">
        <v>997</v>
      </c>
      <c r="F784" s="31" t="s">
        <v>994</v>
      </c>
    </row>
    <row r="785" spans="1:6" x14ac:dyDescent="0.15">
      <c r="A785" s="11">
        <v>491</v>
      </c>
      <c r="B785" s="9" t="str">
        <f>VLOOKUP(A785,[1]characters!$A:$C,3,FALSE)</f>
        <v>収魂の群影 グリム</v>
      </c>
      <c r="C785" s="9" t="str">
        <f>A785&amp;+(COUNTIF(A$2:A785,A785)-1)</f>
        <v>4910</v>
      </c>
      <c r="D785" s="3" t="s">
        <v>27</v>
      </c>
      <c r="E785" s="31" t="s">
        <v>997</v>
      </c>
      <c r="F785" s="31" t="s">
        <v>995</v>
      </c>
    </row>
    <row r="786" spans="1:6" x14ac:dyDescent="0.15">
      <c r="A786" s="11">
        <v>491</v>
      </c>
      <c r="B786" s="9" t="str">
        <f>VLOOKUP(A786,[1]characters!$A:$C,3,FALSE)</f>
        <v>収魂の群影 グリム</v>
      </c>
      <c r="C786" s="9" t="str">
        <f>A786&amp;+(COUNTIF(A$2:A786,A786)-1)</f>
        <v>4911</v>
      </c>
      <c r="D786" s="3" t="s">
        <v>27</v>
      </c>
      <c r="E786" s="31" t="s">
        <v>31</v>
      </c>
      <c r="F786" s="31" t="s">
        <v>996</v>
      </c>
    </row>
    <row r="787" spans="1:6" x14ac:dyDescent="0.15">
      <c r="A787" s="11">
        <v>822</v>
      </c>
      <c r="B787" s="9" t="str">
        <f>VLOOKUP(A787,[1]characters!$A:$C,3,FALSE)</f>
        <v>操魂の蒐集家 グリム</v>
      </c>
      <c r="C787" s="9" t="str">
        <f>A787&amp;+(COUNTIF(A$2:A787,A787)-1)</f>
        <v>8220</v>
      </c>
      <c r="D787" s="3" t="s">
        <v>27</v>
      </c>
      <c r="E787" s="31" t="s">
        <v>30</v>
      </c>
      <c r="F787" s="80" t="s">
        <v>1184</v>
      </c>
    </row>
    <row r="788" spans="1:6" x14ac:dyDescent="0.15">
      <c r="A788" s="11">
        <v>822</v>
      </c>
      <c r="B788" s="9" t="str">
        <f>VLOOKUP(A788,[1]characters!$A:$C,3,FALSE)</f>
        <v>操魂の蒐集家 グリム</v>
      </c>
      <c r="C788" s="9" t="str">
        <f>A788&amp;+(COUNTIF(A$2:A788,A788)-1)</f>
        <v>8221</v>
      </c>
      <c r="D788" s="3" t="s">
        <v>27</v>
      </c>
      <c r="E788" s="31" t="s">
        <v>31</v>
      </c>
      <c r="F788" s="81" t="s">
        <v>1185</v>
      </c>
    </row>
    <row r="789" spans="1:6" x14ac:dyDescent="0.15">
      <c r="A789" s="11">
        <v>492</v>
      </c>
      <c r="B789" s="9" t="str">
        <f>VLOOKUP(A789,[1]characters!$A:$C,3,FALSE)</f>
        <v>ブートレグ・ペロー</v>
      </c>
      <c r="C789" s="9" t="str">
        <f>A789&amp;+(COUNTIF(A$2:A789,A789)-1)</f>
        <v>4920</v>
      </c>
      <c r="D789" s="3" t="s">
        <v>27</v>
      </c>
      <c r="E789" s="31" t="s">
        <v>953</v>
      </c>
      <c r="F789" s="32" t="s">
        <v>954</v>
      </c>
    </row>
    <row r="790" spans="1:6" x14ac:dyDescent="0.15">
      <c r="A790" s="11">
        <v>492</v>
      </c>
      <c r="B790" s="9" t="str">
        <f>VLOOKUP(A790,[1]characters!$A:$C,3,FALSE)</f>
        <v>ブートレグ・ペロー</v>
      </c>
      <c r="C790" s="9" t="str">
        <f>A790&amp;+(COUNTIF(A$2:A790,A790)-1)</f>
        <v>4921</v>
      </c>
      <c r="D790" s="3" t="s">
        <v>27</v>
      </c>
      <c r="E790" s="31" t="s">
        <v>31</v>
      </c>
      <c r="F790" s="31" t="s">
        <v>956</v>
      </c>
    </row>
    <row r="791" spans="1:6" x14ac:dyDescent="0.15">
      <c r="A791" s="11">
        <v>492</v>
      </c>
      <c r="B791" s="9" t="str">
        <f>VLOOKUP(A791,[1]characters!$A:$C,3,FALSE)</f>
        <v>ブートレグ・ペロー</v>
      </c>
      <c r="C791" s="9" t="str">
        <f>A791&amp;+(COUNTIF(A$2:A791,A791)-1)</f>
        <v>4922</v>
      </c>
      <c r="D791" s="3" t="s">
        <v>27</v>
      </c>
      <c r="E791" s="31" t="s">
        <v>30</v>
      </c>
      <c r="F791" s="31" t="s">
        <v>957</v>
      </c>
    </row>
    <row r="792" spans="1:6" x14ac:dyDescent="0.15">
      <c r="A792" s="11">
        <v>493</v>
      </c>
      <c r="B792" s="9" t="str">
        <f>VLOOKUP(A792,[1]characters!$A:$C,3,FALSE)</f>
        <v>跋扈の機脚 ブートレグ・ペロー</v>
      </c>
      <c r="C792" s="9" t="str">
        <f>A792&amp;+(COUNTIF(A$2:A792,A792)-1)</f>
        <v>4930</v>
      </c>
      <c r="D792" s="3" t="s">
        <v>27</v>
      </c>
      <c r="E792" s="31" t="s">
        <v>953</v>
      </c>
      <c r="F792" s="49" t="s">
        <v>955</v>
      </c>
    </row>
    <row r="793" spans="1:6" x14ac:dyDescent="0.15">
      <c r="A793" s="11">
        <v>493</v>
      </c>
      <c r="B793" s="9" t="str">
        <f>VLOOKUP(A793,[1]characters!$A:$C,3,FALSE)</f>
        <v>跋扈の機脚 ブートレグ・ペロー</v>
      </c>
      <c r="C793" s="9" t="str">
        <f>A793&amp;+(COUNTIF(A$2:A793,A793)-1)</f>
        <v>4931</v>
      </c>
      <c r="D793" s="3" t="s">
        <v>27</v>
      </c>
      <c r="E793" s="31" t="s">
        <v>31</v>
      </c>
      <c r="F793" s="31" t="s">
        <v>958</v>
      </c>
    </row>
    <row r="794" spans="1:6" x14ac:dyDescent="0.15">
      <c r="A794" s="11">
        <v>821</v>
      </c>
      <c r="B794" s="9" t="str">
        <f>VLOOKUP(A794,[1]characters!$A:$C,3,FALSE)</f>
        <v>急蹴の硬機脚 ブートレグ・ペロー</v>
      </c>
      <c r="C794" s="9" t="str">
        <f>A794&amp;+(COUNTIF(A$2:A794,A794)-1)</f>
        <v>8210</v>
      </c>
      <c r="D794" s="3" t="s">
        <v>27</v>
      </c>
      <c r="E794" s="31" t="s">
        <v>30</v>
      </c>
      <c r="F794" s="77" t="s">
        <v>1144</v>
      </c>
    </row>
    <row r="795" spans="1:6" x14ac:dyDescent="0.15">
      <c r="A795" s="11">
        <v>821</v>
      </c>
      <c r="B795" s="9" t="str">
        <f>VLOOKUP(A795,[1]characters!$A:$C,3,FALSE)</f>
        <v>急蹴の硬機脚 ブートレグ・ペロー</v>
      </c>
      <c r="C795" s="9" t="str">
        <f>A795&amp;+(COUNTIF(A$2:A795,A795)-1)</f>
        <v>8211</v>
      </c>
      <c r="D795" s="3" t="s">
        <v>27</v>
      </c>
      <c r="E795" s="31" t="s">
        <v>31</v>
      </c>
      <c r="F795" s="31" t="s">
        <v>1145</v>
      </c>
    </row>
    <row r="796" spans="1:6" x14ac:dyDescent="0.15">
      <c r="A796" s="11">
        <v>494</v>
      </c>
      <c r="B796" s="9" t="str">
        <f>VLOOKUP(A796,[1]characters!$A:$C,3,FALSE)</f>
        <v>ハーメルン</v>
      </c>
      <c r="C796" s="9" t="str">
        <f>A796&amp;+(COUNTIF(A$2:A796,A796)-1)</f>
        <v>4940</v>
      </c>
      <c r="D796" s="3" t="s">
        <v>27</v>
      </c>
      <c r="E796" s="31" t="s">
        <v>30</v>
      </c>
      <c r="F796" s="32" t="s">
        <v>961</v>
      </c>
    </row>
    <row r="797" spans="1:6" x14ac:dyDescent="0.15">
      <c r="A797" s="11">
        <v>494</v>
      </c>
      <c r="B797" s="9" t="str">
        <f>VLOOKUP(A797,[1]characters!$A:$C,3,FALSE)</f>
        <v>ハーメルン</v>
      </c>
      <c r="C797" s="9" t="str">
        <f>A797&amp;+(COUNTIF(A$2:A797,A797)-1)</f>
        <v>4941</v>
      </c>
      <c r="D797" s="3" t="s">
        <v>27</v>
      </c>
      <c r="E797" s="31" t="s">
        <v>32</v>
      </c>
      <c r="F797" s="31" t="s">
        <v>959</v>
      </c>
    </row>
    <row r="798" spans="1:6" x14ac:dyDescent="0.15">
      <c r="A798" s="11">
        <v>494</v>
      </c>
      <c r="B798" s="9" t="str">
        <f>VLOOKUP(A798,[1]characters!$A:$C,3,FALSE)</f>
        <v>ハーメルン</v>
      </c>
      <c r="C798" s="9" t="str">
        <f>A798&amp;+(COUNTIF(A$2:A798,A798)-1)</f>
        <v>4942</v>
      </c>
      <c r="D798" s="3" t="s">
        <v>27</v>
      </c>
      <c r="E798" s="31" t="s">
        <v>30</v>
      </c>
      <c r="F798" s="31" t="s">
        <v>960</v>
      </c>
    </row>
    <row r="799" spans="1:6" x14ac:dyDescent="0.15">
      <c r="A799" s="11">
        <v>495</v>
      </c>
      <c r="B799" s="9" t="str">
        <f>VLOOKUP(A799,[1]characters!$A:$C,3,FALSE)</f>
        <v>鼠災呼ぶ笛音 ハーメルン</v>
      </c>
      <c r="C799" s="9" t="str">
        <f>A799&amp;+(COUNTIF(A$2:A799,A799)-1)</f>
        <v>4950</v>
      </c>
      <c r="D799" s="3" t="s">
        <v>27</v>
      </c>
      <c r="E799" s="31" t="s">
        <v>31</v>
      </c>
      <c r="F799" s="32" t="s">
        <v>962</v>
      </c>
    </row>
    <row r="800" spans="1:6" x14ac:dyDescent="0.15">
      <c r="A800" s="11">
        <v>495</v>
      </c>
      <c r="B800" s="9" t="str">
        <f>VLOOKUP(A800,[1]characters!$A:$C,3,FALSE)</f>
        <v>鼠災呼ぶ笛音 ハーメルン</v>
      </c>
      <c r="C800" s="9" t="str">
        <f>A800&amp;+(COUNTIF(A$2:A800,A800)-1)</f>
        <v>4951</v>
      </c>
      <c r="D800" s="3" t="s">
        <v>27</v>
      </c>
      <c r="E800" s="31" t="s">
        <v>30</v>
      </c>
      <c r="F800" s="31" t="s">
        <v>963</v>
      </c>
    </row>
    <row r="801" spans="1:6" x14ac:dyDescent="0.15">
      <c r="A801" s="11">
        <v>823</v>
      </c>
      <c r="B801" s="9" t="str">
        <f>VLOOKUP(A801,[1]characters!$A:$C,3,FALSE)</f>
        <v>跳鼠の睡奏楽 ハーメルン</v>
      </c>
      <c r="C801" s="9" t="str">
        <f>A801&amp;+(COUNTIF(A$2:A801,A801)-1)</f>
        <v>8230</v>
      </c>
      <c r="D801" s="3" t="s">
        <v>27</v>
      </c>
      <c r="E801" s="31" t="s">
        <v>31</v>
      </c>
      <c r="F801" s="77" t="s">
        <v>1146</v>
      </c>
    </row>
    <row r="802" spans="1:6" x14ac:dyDescent="0.15">
      <c r="A802" s="11">
        <v>823</v>
      </c>
      <c r="B802" s="9" t="str">
        <f>VLOOKUP(A802,[1]characters!$A:$C,3,FALSE)</f>
        <v>跳鼠の睡奏楽 ハーメルン</v>
      </c>
      <c r="C802" s="9" t="str">
        <f>A802&amp;+(COUNTIF(A$2:A802,A802)-1)</f>
        <v>8231</v>
      </c>
      <c r="D802" s="3" t="s">
        <v>27</v>
      </c>
      <c r="E802" s="31" t="s">
        <v>30</v>
      </c>
      <c r="F802" s="78" t="s">
        <v>1147</v>
      </c>
    </row>
    <row r="803" spans="1:6" x14ac:dyDescent="0.15">
      <c r="A803" s="11">
        <v>496</v>
      </c>
      <c r="B803" s="9" t="str">
        <f>VLOOKUP(A803,[1]characters!$A:$C,3,FALSE)</f>
        <v>エスタブ</v>
      </c>
      <c r="C803" s="9" t="str">
        <f>A803&amp;+(COUNTIF(A$2:A803,A803)-1)</f>
        <v>4960</v>
      </c>
      <c r="D803" s="3" t="s">
        <v>27</v>
      </c>
      <c r="E803" s="31" t="s">
        <v>967</v>
      </c>
      <c r="F803" s="31" t="s">
        <v>968</v>
      </c>
    </row>
    <row r="804" spans="1:6" x14ac:dyDescent="0.15">
      <c r="A804" s="11">
        <v>496</v>
      </c>
      <c r="B804" s="9" t="str">
        <f>VLOOKUP(A804,[1]characters!$A:$C,3,FALSE)</f>
        <v>エスタブ</v>
      </c>
      <c r="C804" s="9" t="str">
        <f>A804&amp;+(COUNTIF(A$2:A804,A804)-1)</f>
        <v>4961</v>
      </c>
      <c r="D804" s="3" t="s">
        <v>27</v>
      </c>
      <c r="E804" s="31" t="s">
        <v>30</v>
      </c>
      <c r="F804" s="31" t="s">
        <v>969</v>
      </c>
    </row>
    <row r="805" spans="1:6" x14ac:dyDescent="0.15">
      <c r="A805" s="11">
        <v>497</v>
      </c>
      <c r="B805" s="9" t="str">
        <f>VLOOKUP(A805,[1]characters!$A:$C,3,FALSE)</f>
        <v>偏愛の野獣 エスタブ</v>
      </c>
      <c r="C805" s="9" t="str">
        <f>A805&amp;+(COUNTIF(A$2:A805,A805)-1)</f>
        <v>4970</v>
      </c>
      <c r="D805" s="3" t="s">
        <v>27</v>
      </c>
      <c r="E805" s="50" t="s">
        <v>965</v>
      </c>
      <c r="F805" s="51" t="s">
        <v>964</v>
      </c>
    </row>
    <row r="806" spans="1:6" x14ac:dyDescent="0.15">
      <c r="A806" s="11">
        <v>497</v>
      </c>
      <c r="B806" s="9" t="str">
        <f>VLOOKUP(A806,[1]characters!$A:$C,3,FALSE)</f>
        <v>偏愛の野獣 エスタブ</v>
      </c>
      <c r="C806" s="9" t="str">
        <f>A806&amp;+(COUNTIF(A$2:A806,A806)-1)</f>
        <v>4971</v>
      </c>
      <c r="D806" s="3" t="s">
        <v>27</v>
      </c>
      <c r="E806" s="31" t="s">
        <v>32</v>
      </c>
      <c r="F806" s="31" t="s">
        <v>970</v>
      </c>
    </row>
    <row r="807" spans="1:6" x14ac:dyDescent="0.15">
      <c r="A807" s="11">
        <v>498</v>
      </c>
      <c r="B807" s="9" t="str">
        <f>VLOOKUP(A807,[1]characters!$A:$C,3,FALSE)</f>
        <v>自愛の高魔 エスタブ</v>
      </c>
      <c r="C807" s="9" t="str">
        <f>A807&amp;+(COUNTIF(A$2:A807,A807)-1)</f>
        <v>4980</v>
      </c>
      <c r="D807" s="3" t="s">
        <v>27</v>
      </c>
      <c r="E807" s="50" t="s">
        <v>30</v>
      </c>
      <c r="F807" s="51" t="s">
        <v>966</v>
      </c>
    </row>
    <row r="808" spans="1:6" x14ac:dyDescent="0.15">
      <c r="A808" s="11">
        <v>498</v>
      </c>
      <c r="B808" s="9" t="str">
        <f>VLOOKUP(A808,[1]characters!$A:$C,3,FALSE)</f>
        <v>自愛の高魔 エスタブ</v>
      </c>
      <c r="C808" s="9" t="str">
        <f>A808&amp;+(COUNTIF(A$2:A808,A808)-1)</f>
        <v>4981</v>
      </c>
      <c r="D808" s="3" t="s">
        <v>27</v>
      </c>
      <c r="E808" s="31" t="s">
        <v>31</v>
      </c>
      <c r="F808" s="31" t="s">
        <v>971</v>
      </c>
    </row>
    <row r="809" spans="1:6" x14ac:dyDescent="0.15">
      <c r="A809" s="11">
        <v>499</v>
      </c>
      <c r="B809" s="9" t="str">
        <f>VLOOKUP(A809,[1]characters!$A:$C,3,FALSE)</f>
        <v>ラプンツェル</v>
      </c>
      <c r="C809" s="9" t="str">
        <f>A809&amp;+(COUNTIF(A$2:A809,A809)-1)</f>
        <v>4990</v>
      </c>
      <c r="D809" s="3" t="s">
        <v>27</v>
      </c>
      <c r="E809" s="31" t="s">
        <v>30</v>
      </c>
      <c r="F809" s="32" t="s">
        <v>975</v>
      </c>
    </row>
    <row r="810" spans="1:6" x14ac:dyDescent="0.15">
      <c r="A810" s="38">
        <v>499</v>
      </c>
      <c r="B810" s="9" t="str">
        <f>VLOOKUP(A810,[1]characters!$A:$C,3,FALSE)</f>
        <v>ラプンツェル</v>
      </c>
      <c r="C810" s="9" t="str">
        <f>A810&amp;+(COUNTIF(A$2:A810,A810)-1)</f>
        <v>4991</v>
      </c>
      <c r="D810" s="3" t="s">
        <v>27</v>
      </c>
      <c r="E810" s="31" t="s">
        <v>32</v>
      </c>
      <c r="F810" s="31" t="s">
        <v>972</v>
      </c>
    </row>
    <row r="811" spans="1:6" x14ac:dyDescent="0.15">
      <c r="A811" s="38">
        <v>499</v>
      </c>
      <c r="B811" s="9" t="str">
        <f>VLOOKUP(A811,[1]characters!$A:$C,3,FALSE)</f>
        <v>ラプンツェル</v>
      </c>
      <c r="C811" s="9" t="str">
        <f>A811&amp;+(COUNTIF(A$2:A811,A811)-1)</f>
        <v>4992</v>
      </c>
      <c r="D811" s="3" t="s">
        <v>27</v>
      </c>
      <c r="E811" s="31" t="s">
        <v>30</v>
      </c>
      <c r="F811" s="31" t="s">
        <v>973</v>
      </c>
    </row>
    <row r="812" spans="1:6" x14ac:dyDescent="0.15">
      <c r="A812" s="38">
        <v>500</v>
      </c>
      <c r="B812" s="9" t="str">
        <f>VLOOKUP(A812,[1]characters!$A:$C,3,FALSE)</f>
        <v>脈動の禁髪 ラプンツェル</v>
      </c>
      <c r="C812" s="9" t="str">
        <f>A812&amp;+(COUNTIF(A$2:A812,A812)-1)</f>
        <v>5000</v>
      </c>
      <c r="D812" s="3" t="s">
        <v>27</v>
      </c>
      <c r="E812" s="31" t="s">
        <v>31</v>
      </c>
      <c r="F812" s="32" t="s">
        <v>976</v>
      </c>
    </row>
    <row r="813" spans="1:6" x14ac:dyDescent="0.15">
      <c r="A813" s="38">
        <v>500</v>
      </c>
      <c r="B813" s="9" t="str">
        <f>VLOOKUP(A813,[1]characters!$A:$C,3,FALSE)</f>
        <v>脈動の禁髪 ラプンツェル</v>
      </c>
      <c r="C813" s="9" t="str">
        <f>A813&amp;+(COUNTIF(A$2:A813,A813)-1)</f>
        <v>5001</v>
      </c>
      <c r="D813" s="3" t="s">
        <v>27</v>
      </c>
      <c r="E813" s="31" t="s">
        <v>31</v>
      </c>
      <c r="F813" s="31" t="s">
        <v>974</v>
      </c>
    </row>
    <row r="814" spans="1:6" x14ac:dyDescent="0.15">
      <c r="A814" s="38">
        <v>970</v>
      </c>
      <c r="B814" s="9" t="str">
        <f>VLOOKUP(A814,[1]characters!$A:$C,3,FALSE)</f>
        <v>目醒の鋏牙 ラプンツェル</v>
      </c>
      <c r="C814" s="9" t="str">
        <f>A814&amp;+(COUNTIF(A$2:A814,A814)-1)</f>
        <v>9700</v>
      </c>
      <c r="D814" s="3" t="s">
        <v>27</v>
      </c>
      <c r="E814" s="31" t="s">
        <v>31</v>
      </c>
      <c r="F814" s="87" t="s">
        <v>1205</v>
      </c>
    </row>
    <row r="815" spans="1:6" x14ac:dyDescent="0.15">
      <c r="A815" s="38">
        <v>970</v>
      </c>
      <c r="B815" s="9" t="str">
        <f>VLOOKUP(A815,[1]characters!$A:$C,3,FALSE)</f>
        <v>目醒の鋏牙 ラプンツェル</v>
      </c>
      <c r="C815" s="9" t="str">
        <f>A815&amp;+(COUNTIF(A$2:A815,A815)-1)</f>
        <v>9701</v>
      </c>
      <c r="D815" s="3" t="s">
        <v>27</v>
      </c>
      <c r="E815" s="31" t="s">
        <v>31</v>
      </c>
      <c r="F815" s="81" t="s">
        <v>1206</v>
      </c>
    </row>
    <row r="816" spans="1:6" x14ac:dyDescent="0.15">
      <c r="A816" s="38">
        <v>502</v>
      </c>
      <c r="B816" s="9" t="str">
        <f>VLOOKUP(A816,[1]characters!$A:$C,3,FALSE)</f>
        <v>テラベル</v>
      </c>
      <c r="C816" s="9" t="str">
        <f>A816&amp;+(COUNTIF(A$2:A816,A816)-1)</f>
        <v>5020</v>
      </c>
      <c r="D816" s="3" t="s">
        <v>27</v>
      </c>
      <c r="E816" s="31" t="s">
        <v>977</v>
      </c>
      <c r="F816" s="32" t="s">
        <v>978</v>
      </c>
    </row>
    <row r="817" spans="1:7" x14ac:dyDescent="0.15">
      <c r="A817" s="38">
        <v>502</v>
      </c>
      <c r="B817" s="9" t="str">
        <f>VLOOKUP(A817,[1]characters!$A:$C,3,FALSE)</f>
        <v>テラベル</v>
      </c>
      <c r="C817" s="9" t="str">
        <f>A817&amp;+(COUNTIF(A$2:A817,A817)-1)</f>
        <v>5021</v>
      </c>
      <c r="D817" s="3" t="s">
        <v>27</v>
      </c>
      <c r="E817" s="37" t="s">
        <v>982</v>
      </c>
      <c r="F817" s="52" t="s">
        <v>980</v>
      </c>
    </row>
    <row r="818" spans="1:7" x14ac:dyDescent="0.15">
      <c r="A818" s="38">
        <v>502</v>
      </c>
      <c r="B818" s="9" t="str">
        <f>VLOOKUP(A818,[1]characters!$A:$C,3,FALSE)</f>
        <v>テラベル</v>
      </c>
      <c r="C818" s="9" t="str">
        <f>A818&amp;+(COUNTIF(A$2:A818,A818)-1)</f>
        <v>5022</v>
      </c>
      <c r="D818" s="3" t="s">
        <v>27</v>
      </c>
      <c r="E818" s="53" t="s">
        <v>977</v>
      </c>
      <c r="F818" s="54" t="s">
        <v>981</v>
      </c>
    </row>
    <row r="819" spans="1:7" x14ac:dyDescent="0.15">
      <c r="A819" s="38">
        <v>503</v>
      </c>
      <c r="B819" s="9" t="str">
        <f>VLOOKUP(A819,[1]characters!$A:$C,3,FALSE)</f>
        <v>破獣の爆姫 テラベル</v>
      </c>
      <c r="C819" s="9" t="str">
        <f>A819&amp;+(COUNTIF(A$2:A819,A819)-1)</f>
        <v>5030</v>
      </c>
      <c r="D819" s="3" t="s">
        <v>27</v>
      </c>
      <c r="E819" s="31" t="s">
        <v>31</v>
      </c>
      <c r="F819" s="32" t="s">
        <v>979</v>
      </c>
    </row>
    <row r="820" spans="1:7" x14ac:dyDescent="0.15">
      <c r="A820" s="38">
        <v>503</v>
      </c>
      <c r="B820" s="9" t="str">
        <f>VLOOKUP(A820,[1]characters!$A:$C,3,FALSE)</f>
        <v>破獣の爆姫 テラベル</v>
      </c>
      <c r="C820" s="9" t="str">
        <f>A820&amp;+(COUNTIF(A$2:A820,A820)-1)</f>
        <v>5031</v>
      </c>
      <c r="D820" s="3" t="s">
        <v>27</v>
      </c>
      <c r="E820" s="37" t="s">
        <v>977</v>
      </c>
      <c r="F820" s="52" t="s">
        <v>983</v>
      </c>
    </row>
    <row r="821" spans="1:7" x14ac:dyDescent="0.15">
      <c r="A821" s="38">
        <v>504</v>
      </c>
      <c r="B821" s="9" t="str">
        <f>VLOOKUP(A821,[1]characters!$A:$C,3,FALSE)</f>
        <v>ハイディン・オーガ</v>
      </c>
      <c r="C821" s="9" t="str">
        <f>A821&amp;+(COUNTIF(A$2:A821,A821)-1)</f>
        <v>5040</v>
      </c>
      <c r="D821" s="3" t="s">
        <v>27</v>
      </c>
      <c r="E821" s="31" t="s">
        <v>977</v>
      </c>
      <c r="F821" s="32" t="s">
        <v>984</v>
      </c>
    </row>
    <row r="822" spans="1:7" x14ac:dyDescent="0.15">
      <c r="A822" s="38">
        <v>504</v>
      </c>
      <c r="B822" s="9" t="str">
        <f>VLOOKUP(A822,[1]characters!$A:$C,3,FALSE)</f>
        <v>ハイディン・オーガ</v>
      </c>
      <c r="C822" s="9" t="str">
        <f>A822&amp;+(COUNTIF(A$2:A822,A822)-1)</f>
        <v>5041</v>
      </c>
      <c r="D822" s="3" t="s">
        <v>27</v>
      </c>
      <c r="E822" s="53" t="s">
        <v>982</v>
      </c>
      <c r="F822" s="54" t="s">
        <v>986</v>
      </c>
    </row>
    <row r="823" spans="1:7" x14ac:dyDescent="0.15">
      <c r="A823" s="38">
        <v>504</v>
      </c>
      <c r="B823" s="9" t="str">
        <f>VLOOKUP(A823,[1]characters!$A:$C,3,FALSE)</f>
        <v>ハイディン・オーガ</v>
      </c>
      <c r="C823" s="9" t="str">
        <f>A823&amp;+(COUNTIF(A$2:A823,A823)-1)</f>
        <v>5042</v>
      </c>
      <c r="D823" s="3" t="s">
        <v>27</v>
      </c>
      <c r="E823" s="37" t="s">
        <v>987</v>
      </c>
      <c r="F823" s="52" t="s">
        <v>988</v>
      </c>
    </row>
    <row r="824" spans="1:7" x14ac:dyDescent="0.15">
      <c r="A824" s="38">
        <v>505</v>
      </c>
      <c r="B824" s="9" t="str">
        <f>VLOOKUP(A824,[1]characters!$A:$C,3,FALSE)</f>
        <v>暴虐の漏洩 ハイディン・オーガ</v>
      </c>
      <c r="C824" s="9" t="str">
        <f>A824&amp;+(COUNTIF(A$2:A824,A824)-1)</f>
        <v>5050</v>
      </c>
      <c r="D824" s="3" t="s">
        <v>27</v>
      </c>
      <c r="E824" s="31" t="s">
        <v>977</v>
      </c>
      <c r="F824" s="32" t="s">
        <v>985</v>
      </c>
    </row>
    <row r="825" spans="1:7" x14ac:dyDescent="0.15">
      <c r="A825" s="38">
        <v>505</v>
      </c>
      <c r="B825" s="9" t="str">
        <f>VLOOKUP(A825,[1]characters!$A:$C,3,FALSE)</f>
        <v>暴虐の漏洩 ハイディン・オーガ</v>
      </c>
      <c r="C825" s="9" t="str">
        <f>A825&amp;+(COUNTIF(A$2:A825,A825)-1)</f>
        <v>5051</v>
      </c>
      <c r="D825" s="3" t="s">
        <v>27</v>
      </c>
      <c r="E825" s="53" t="s">
        <v>977</v>
      </c>
      <c r="F825" s="54" t="s">
        <v>991</v>
      </c>
    </row>
    <row r="826" spans="1:7" x14ac:dyDescent="0.15">
      <c r="A826" s="38">
        <v>506</v>
      </c>
      <c r="B826" s="9" t="str">
        <f>VLOOKUP(A826,[1]characters!$A:$C,3,FALSE)</f>
        <v>ゴーテル</v>
      </c>
      <c r="C826" s="9" t="str">
        <f>A826&amp;+(COUNTIF(A$2:A826,A826)-1)</f>
        <v>5060</v>
      </c>
      <c r="D826" s="3" t="s">
        <v>27</v>
      </c>
      <c r="E826" s="53" t="s">
        <v>1011</v>
      </c>
      <c r="F826" s="54" t="s">
        <v>1006</v>
      </c>
      <c r="G826" t="s">
        <v>1026</v>
      </c>
    </row>
    <row r="827" spans="1:7" x14ac:dyDescent="0.15">
      <c r="A827" s="38">
        <v>506</v>
      </c>
      <c r="B827" s="9" t="str">
        <f>VLOOKUP(A827,[1]characters!$A:$C,3,FALSE)</f>
        <v>ゴーテル</v>
      </c>
      <c r="C827" s="9" t="str">
        <f>A827&amp;+(COUNTIF(A$2:A827,A827)-1)</f>
        <v>5061</v>
      </c>
      <c r="D827" s="3" t="s">
        <v>27</v>
      </c>
      <c r="E827" s="53" t="s">
        <v>1011</v>
      </c>
      <c r="F827" s="54" t="s">
        <v>1007</v>
      </c>
    </row>
    <row r="828" spans="1:7" x14ac:dyDescent="0.15">
      <c r="A828" s="38">
        <v>506</v>
      </c>
      <c r="B828" s="9" t="str">
        <f>VLOOKUP(A828,[1]characters!$A:$C,3,FALSE)</f>
        <v>ゴーテル</v>
      </c>
      <c r="C828" s="9" t="str">
        <f>A828&amp;+(COUNTIF(A$2:A828,A828)-1)</f>
        <v>5062</v>
      </c>
      <c r="D828" s="3" t="s">
        <v>27</v>
      </c>
      <c r="E828" s="53" t="s">
        <v>31</v>
      </c>
      <c r="F828" s="54" t="s">
        <v>1008</v>
      </c>
    </row>
    <row r="829" spans="1:7" x14ac:dyDescent="0.15">
      <c r="A829" s="38">
        <v>507</v>
      </c>
      <c r="B829" s="9" t="str">
        <f>VLOOKUP(A829,[1]characters!$A:$C,3,FALSE)</f>
        <v>過保護な幽閉者 ゴーテル</v>
      </c>
      <c r="C829" s="9" t="str">
        <f>A829&amp;+(COUNTIF(A$2:A829,A829)-1)</f>
        <v>5070</v>
      </c>
      <c r="D829" s="3" t="s">
        <v>27</v>
      </c>
      <c r="E829" s="53" t="s">
        <v>31</v>
      </c>
      <c r="F829" s="54" t="s">
        <v>1009</v>
      </c>
    </row>
    <row r="830" spans="1:7" x14ac:dyDescent="0.15">
      <c r="A830" s="38">
        <v>507</v>
      </c>
      <c r="B830" s="9" t="str">
        <f>VLOOKUP(A830,[1]characters!$A:$C,3,FALSE)</f>
        <v>過保護な幽閉者 ゴーテル</v>
      </c>
      <c r="C830" s="9" t="str">
        <f>A830&amp;+(COUNTIF(A$2:A830,A830)-1)</f>
        <v>5071</v>
      </c>
      <c r="D830" s="3" t="s">
        <v>27</v>
      </c>
      <c r="E830" s="53" t="s">
        <v>1011</v>
      </c>
      <c r="F830" s="54" t="s">
        <v>1010</v>
      </c>
    </row>
    <row r="831" spans="1:7" x14ac:dyDescent="0.15">
      <c r="A831" s="38">
        <v>508</v>
      </c>
      <c r="B831" s="9" t="str">
        <f>VLOOKUP(A831,[1]characters!$A:$C,3,FALSE)</f>
        <v>Gスター・チルドレン</v>
      </c>
      <c r="C831" s="9" t="str">
        <f>A831&amp;+(COUNTIF(A$2:A831,A831)-1)</f>
        <v>5080</v>
      </c>
      <c r="D831" s="3" t="s">
        <v>27</v>
      </c>
      <c r="E831" s="53" t="s">
        <v>1021</v>
      </c>
      <c r="F831" s="54" t="s">
        <v>1020</v>
      </c>
    </row>
    <row r="832" spans="1:7" x14ac:dyDescent="0.15">
      <c r="A832" s="38">
        <v>508</v>
      </c>
      <c r="B832" s="9" t="str">
        <f>VLOOKUP(A832,[1]characters!$A:$C,3,FALSE)</f>
        <v>Gスター・チルドレン</v>
      </c>
      <c r="C832" s="9" t="str">
        <f>A832&amp;+(COUNTIF(A$2:A832,A832)-1)</f>
        <v>5081</v>
      </c>
      <c r="D832" s="3" t="s">
        <v>27</v>
      </c>
      <c r="E832" s="53" t="s">
        <v>31</v>
      </c>
      <c r="F832" s="54" t="s">
        <v>1024</v>
      </c>
    </row>
    <row r="833" spans="1:6" x14ac:dyDescent="0.15">
      <c r="A833" s="38">
        <v>508</v>
      </c>
      <c r="B833" s="9" t="str">
        <f>VLOOKUP(A833,[1]characters!$A:$C,3,FALSE)</f>
        <v>Gスター・チルドレン</v>
      </c>
      <c r="C833" s="9" t="str">
        <f>A833&amp;+(COUNTIF(A$2:A833,A833)-1)</f>
        <v>5082</v>
      </c>
      <c r="D833" s="3" t="s">
        <v>27</v>
      </c>
      <c r="E833" s="53" t="s">
        <v>31</v>
      </c>
      <c r="F833" s="54" t="s">
        <v>1023</v>
      </c>
    </row>
    <row r="834" spans="1:6" x14ac:dyDescent="0.15">
      <c r="A834" s="38">
        <v>509</v>
      </c>
      <c r="B834" s="9" t="str">
        <f>VLOOKUP(A834,[1]characters!$A:$C,3,FALSE)</f>
        <v>純粋悪意 Gスター・チルドレン</v>
      </c>
      <c r="C834" s="9" t="str">
        <f>A834&amp;+(COUNTIF(A$2:A834,A834)-1)</f>
        <v>5090</v>
      </c>
      <c r="D834" s="3" t="s">
        <v>27</v>
      </c>
      <c r="E834" s="53" t="s">
        <v>31</v>
      </c>
      <c r="F834" s="54" t="s">
        <v>1022</v>
      </c>
    </row>
    <row r="835" spans="1:6" x14ac:dyDescent="0.15">
      <c r="A835" s="38">
        <v>509</v>
      </c>
      <c r="B835" s="9" t="str">
        <f>VLOOKUP(A835,[1]characters!$A:$C,3,FALSE)</f>
        <v>純粋悪意 Gスター・チルドレン</v>
      </c>
      <c r="C835" s="9" t="str">
        <f>A835&amp;+(COUNTIF(A$2:A835,A835)-1)</f>
        <v>5091</v>
      </c>
      <c r="D835" s="3" t="s">
        <v>27</v>
      </c>
      <c r="E835" s="53" t="s">
        <v>31</v>
      </c>
      <c r="F835" s="54" t="s">
        <v>1025</v>
      </c>
    </row>
    <row r="836" spans="1:6" x14ac:dyDescent="0.15">
      <c r="A836" s="38">
        <v>824</v>
      </c>
      <c r="B836" s="9" t="str">
        <f>VLOOKUP(A836,[1]characters!$A:$C,3,FALSE)</f>
        <v>悪意の団塊  Gスター・チルドレン</v>
      </c>
      <c r="C836" s="9" t="str">
        <f>A836&amp;+(COUNTIF(A$2:A836,A836)-1)</f>
        <v>8240</v>
      </c>
      <c r="D836" s="3" t="s">
        <v>27</v>
      </c>
      <c r="E836" s="53" t="s">
        <v>31</v>
      </c>
      <c r="F836" s="80" t="s">
        <v>1186</v>
      </c>
    </row>
    <row r="837" spans="1:6" x14ac:dyDescent="0.15">
      <c r="A837" s="38">
        <v>824</v>
      </c>
      <c r="B837" s="9" t="str">
        <f>VLOOKUP(A837,[1]characters!$A:$C,3,FALSE)</f>
        <v>悪意の団塊  Gスター・チルドレン</v>
      </c>
      <c r="C837" s="9" t="str">
        <f>A837&amp;+(COUNTIF(A$2:A837,A837)-1)</f>
        <v>8241</v>
      </c>
      <c r="D837" s="3" t="s">
        <v>27</v>
      </c>
      <c r="E837" s="53" t="s">
        <v>31</v>
      </c>
      <c r="F837" s="81" t="s">
        <v>1187</v>
      </c>
    </row>
    <row r="838" spans="1:6" x14ac:dyDescent="0.15">
      <c r="A838" s="38">
        <v>489</v>
      </c>
      <c r="B838" s="9" t="str">
        <f>VLOOKUP(A838,[1]characters!$A:$C,3,FALSE)</f>
        <v>宇宙の拡超 ハップル</v>
      </c>
      <c r="C838" s="9" t="str">
        <f>A838&amp;+(COUNTIF(A$2:A838,A838)-1)</f>
        <v>4890</v>
      </c>
      <c r="D838" s="3" t="s">
        <v>27</v>
      </c>
      <c r="E838" s="53" t="s">
        <v>1027</v>
      </c>
      <c r="F838" s="54" t="s">
        <v>1028</v>
      </c>
    </row>
    <row r="839" spans="1:6" x14ac:dyDescent="0.15">
      <c r="A839" s="38">
        <v>489</v>
      </c>
      <c r="B839" s="9" t="str">
        <f>VLOOKUP(A839,[1]characters!$A:$C,3,FALSE)</f>
        <v>宇宙の拡超 ハップル</v>
      </c>
      <c r="C839" s="9" t="str">
        <f>A839&amp;+(COUNTIF(A$2:A839,A839)-1)</f>
        <v>4891</v>
      </c>
      <c r="D839" s="3" t="s">
        <v>27</v>
      </c>
      <c r="E839" s="53" t="s">
        <v>1027</v>
      </c>
      <c r="F839" s="54" t="s">
        <v>1030</v>
      </c>
    </row>
    <row r="840" spans="1:6" x14ac:dyDescent="0.15">
      <c r="A840" s="38">
        <v>489</v>
      </c>
      <c r="B840" s="9" t="str">
        <f>VLOOKUP(A840,[1]characters!$A:$C,3,FALSE)</f>
        <v>宇宙の拡超 ハップル</v>
      </c>
      <c r="C840" s="9" t="str">
        <f>A840&amp;+(COUNTIF(A$2:A840,A840)-1)</f>
        <v>4892</v>
      </c>
      <c r="D840" s="3" t="s">
        <v>27</v>
      </c>
      <c r="E840" s="53" t="s">
        <v>1027</v>
      </c>
      <c r="F840" s="54" t="s">
        <v>1032</v>
      </c>
    </row>
    <row r="841" spans="1:6" x14ac:dyDescent="0.15">
      <c r="A841" s="38">
        <v>489</v>
      </c>
      <c r="B841" s="9" t="str">
        <f>VLOOKUP(A841,[1]characters!$A:$C,3,FALSE)</f>
        <v>宇宙の拡超 ハップル</v>
      </c>
      <c r="C841" s="9" t="str">
        <f>A841&amp;+(COUNTIF(A$2:A841,A841)-1)</f>
        <v>4893</v>
      </c>
      <c r="D841" s="3" t="s">
        <v>27</v>
      </c>
      <c r="E841" s="53" t="s">
        <v>1027</v>
      </c>
      <c r="F841" s="54" t="s">
        <v>1031</v>
      </c>
    </row>
    <row r="842" spans="1:6" x14ac:dyDescent="0.15">
      <c r="A842" s="38">
        <v>803</v>
      </c>
      <c r="B842" s="9" t="str">
        <f>VLOOKUP(A842,[1]characters!$A:$C,3,FALSE)</f>
        <v>大宇宙の膨超 ハップル</v>
      </c>
      <c r="C842" s="9" t="str">
        <f>A842&amp;+(COUNTIF(A$2:A842,A842)-1)</f>
        <v>8030</v>
      </c>
      <c r="D842" s="3" t="s">
        <v>27</v>
      </c>
      <c r="E842" s="53" t="s">
        <v>31</v>
      </c>
      <c r="F842" s="80" t="s">
        <v>1188</v>
      </c>
    </row>
    <row r="843" spans="1:6" x14ac:dyDescent="0.15">
      <c r="A843" s="38">
        <v>803</v>
      </c>
      <c r="B843" s="9" t="str">
        <f>VLOOKUP(A843,[1]characters!$A:$C,3,FALSE)</f>
        <v>大宇宙の膨超 ハップル</v>
      </c>
      <c r="C843" s="9" t="str">
        <f>A843&amp;+(COUNTIF(A$2:A843,A843)-1)</f>
        <v>8031</v>
      </c>
      <c r="D843" s="3" t="s">
        <v>27</v>
      </c>
      <c r="E843" s="81" t="s">
        <v>31</v>
      </c>
      <c r="F843" s="81" t="s">
        <v>1189</v>
      </c>
    </row>
    <row r="844" spans="1:6" x14ac:dyDescent="0.15">
      <c r="A844" s="38">
        <v>619</v>
      </c>
      <c r="B844" s="9" t="str">
        <f>VLOOKUP(A844,[1]characters!$A:$C,3,FALSE)</f>
        <v>メビウス</v>
      </c>
      <c r="C844" s="9" t="str">
        <f>A844&amp;+(COUNTIF(A$2:A844,A844)-1)</f>
        <v>6190</v>
      </c>
      <c r="D844" s="3" t="s">
        <v>27</v>
      </c>
      <c r="E844" s="53" t="s">
        <v>1027</v>
      </c>
      <c r="F844" s="54" t="s">
        <v>1034</v>
      </c>
    </row>
    <row r="845" spans="1:6" x14ac:dyDescent="0.15">
      <c r="A845" s="38">
        <v>619</v>
      </c>
      <c r="B845" s="9" t="str">
        <f>VLOOKUP(A845,[1]characters!$A:$C,3,FALSE)</f>
        <v>メビウス</v>
      </c>
      <c r="C845" s="9" t="str">
        <f>A845&amp;+(COUNTIF(A$2:A845,A845)-1)</f>
        <v>6191</v>
      </c>
      <c r="D845" s="3" t="s">
        <v>27</v>
      </c>
      <c r="E845" s="53" t="s">
        <v>1027</v>
      </c>
      <c r="F845" s="54" t="s">
        <v>1036</v>
      </c>
    </row>
    <row r="846" spans="1:6" x14ac:dyDescent="0.15">
      <c r="A846" s="38">
        <v>619</v>
      </c>
      <c r="B846" s="9" t="str">
        <f>VLOOKUP(A846,[1]characters!$A:$C,3,FALSE)</f>
        <v>メビウス</v>
      </c>
      <c r="C846" s="9" t="str">
        <f>A846&amp;+(COUNTIF(A$2:A846,A846)-1)</f>
        <v>6192</v>
      </c>
      <c r="D846" s="3" t="s">
        <v>27</v>
      </c>
      <c r="E846" s="53" t="s">
        <v>1027</v>
      </c>
      <c r="F846" s="54" t="s">
        <v>1037</v>
      </c>
    </row>
    <row r="847" spans="1:6" x14ac:dyDescent="0.15">
      <c r="A847" s="38">
        <v>620</v>
      </c>
      <c r="B847" s="9" t="str">
        <f>VLOOKUP(A847,[1]characters!$A:$C,3,FALSE)</f>
        <v>奇跡の調和 メビウス</v>
      </c>
      <c r="C847" s="9" t="str">
        <f>A847&amp;+(COUNTIF(A$2:A847,A847)-1)</f>
        <v>6200</v>
      </c>
      <c r="D847" s="3" t="s">
        <v>27</v>
      </c>
      <c r="E847" s="53" t="s">
        <v>1027</v>
      </c>
      <c r="F847" s="54" t="s">
        <v>1035</v>
      </c>
    </row>
    <row r="848" spans="1:6" x14ac:dyDescent="0.15">
      <c r="A848" s="38">
        <v>620</v>
      </c>
      <c r="B848" s="9" t="str">
        <f>VLOOKUP(A848,[1]characters!$A:$C,3,FALSE)</f>
        <v>奇跡の調和 メビウス</v>
      </c>
      <c r="C848" s="9" t="str">
        <f>A848&amp;+(COUNTIF(A$2:A848,A848)-1)</f>
        <v>6201</v>
      </c>
      <c r="D848" s="3" t="s">
        <v>27</v>
      </c>
      <c r="E848" s="53" t="s">
        <v>1027</v>
      </c>
      <c r="F848" s="54" t="s">
        <v>1038</v>
      </c>
    </row>
    <row r="849" spans="1:6" x14ac:dyDescent="0.15">
      <c r="A849" s="38">
        <v>621</v>
      </c>
      <c r="B849" s="9" t="str">
        <f>VLOOKUP(A849,[1]characters!$A:$C,3,FALSE)</f>
        <v>終わりなき奇跡 メビウス</v>
      </c>
      <c r="C849" s="9" t="str">
        <f>A849&amp;+(COUNTIF(A$2:A849,A849)-1)</f>
        <v>6210</v>
      </c>
      <c r="D849" s="3" t="s">
        <v>27</v>
      </c>
      <c r="E849" s="53" t="s">
        <v>1027</v>
      </c>
      <c r="F849" s="54" t="s">
        <v>1126</v>
      </c>
    </row>
    <row r="850" spans="1:6" x14ac:dyDescent="0.15">
      <c r="A850" s="38">
        <v>621</v>
      </c>
      <c r="B850" s="9" t="str">
        <f>VLOOKUP(A850,[1]characters!$A:$C,3,FALSE)</f>
        <v>終わりなき奇跡 メビウス</v>
      </c>
      <c r="C850" s="9" t="str">
        <f>A850&amp;+(COUNTIF(A$2:A850,A850)-1)</f>
        <v>6211</v>
      </c>
      <c r="D850" s="3" t="s">
        <v>27</v>
      </c>
      <c r="E850" s="53" t="s">
        <v>1027</v>
      </c>
      <c r="F850" s="54" t="s">
        <v>1127</v>
      </c>
    </row>
    <row r="851" spans="1:6" x14ac:dyDescent="0.15">
      <c r="A851" s="38">
        <v>623</v>
      </c>
      <c r="B851" s="9" t="str">
        <f>VLOOKUP(A851,[1]characters!$A:$C,3,FALSE)</f>
        <v>フェルマー</v>
      </c>
      <c r="C851" s="9" t="str">
        <f>A851&amp;+(COUNTIF(A$2:A851,A851)-1)</f>
        <v>6230</v>
      </c>
      <c r="D851" s="3" t="s">
        <v>27</v>
      </c>
      <c r="E851" s="53" t="s">
        <v>1027</v>
      </c>
      <c r="F851" s="54" t="s">
        <v>1128</v>
      </c>
    </row>
    <row r="852" spans="1:6" x14ac:dyDescent="0.15">
      <c r="A852" s="38">
        <v>623</v>
      </c>
      <c r="B852" s="9" t="str">
        <f>VLOOKUP(A852,[1]characters!$A:$C,3,FALSE)</f>
        <v>フェルマー</v>
      </c>
      <c r="C852" s="9" t="str">
        <f>A852&amp;+(COUNTIF(A$2:A852,A852)-1)</f>
        <v>6231</v>
      </c>
      <c r="D852" s="3" t="s">
        <v>27</v>
      </c>
      <c r="E852" s="53" t="s">
        <v>1130</v>
      </c>
      <c r="F852" s="54" t="s">
        <v>1129</v>
      </c>
    </row>
    <row r="853" spans="1:6" x14ac:dyDescent="0.15">
      <c r="A853" s="38">
        <v>623</v>
      </c>
      <c r="B853" s="9" t="str">
        <f>VLOOKUP(A853,[1]characters!$A:$C,3,FALSE)</f>
        <v>フェルマー</v>
      </c>
      <c r="C853" s="9" t="str">
        <f>A853&amp;+(COUNTIF(A$2:A853,A853)-1)</f>
        <v>6232</v>
      </c>
      <c r="D853" s="3" t="s">
        <v>27</v>
      </c>
      <c r="E853" s="53" t="s">
        <v>1130</v>
      </c>
      <c r="F853" s="54" t="s">
        <v>1131</v>
      </c>
    </row>
    <row r="854" spans="1:6" x14ac:dyDescent="0.15">
      <c r="A854" s="38">
        <v>623</v>
      </c>
      <c r="B854" s="9" t="str">
        <f>VLOOKUP(A854,[1]characters!$A:$C,3,FALSE)</f>
        <v>フェルマー</v>
      </c>
      <c r="C854" s="9" t="str">
        <f>A854&amp;+(COUNTIF(A$2:A854,A854)-1)</f>
        <v>6233</v>
      </c>
      <c r="D854" s="3" t="s">
        <v>27</v>
      </c>
      <c r="E854" s="53" t="s">
        <v>1027</v>
      </c>
      <c r="F854" s="54" t="s">
        <v>1132</v>
      </c>
    </row>
    <row r="855" spans="1:6" x14ac:dyDescent="0.15">
      <c r="A855" s="38">
        <v>624</v>
      </c>
      <c r="B855" s="9" t="str">
        <f>VLOOKUP(A855,[1]characters!$A:$C,3,FALSE)</f>
        <v>挑発の尖駆者 フェルマー</v>
      </c>
      <c r="C855" s="9" t="str">
        <f>A855&amp;+(COUNTIF(A$2:A855,A855)-1)</f>
        <v>6240</v>
      </c>
      <c r="D855" s="3" t="s">
        <v>27</v>
      </c>
      <c r="E855" s="53" t="s">
        <v>1130</v>
      </c>
      <c r="F855" s="54" t="s">
        <v>1133</v>
      </c>
    </row>
    <row r="856" spans="1:6" x14ac:dyDescent="0.15">
      <c r="A856" s="38">
        <v>624</v>
      </c>
      <c r="B856" s="9" t="str">
        <f>VLOOKUP(A856,[1]characters!$A:$C,3,FALSE)</f>
        <v>挑発の尖駆者 フェルマー</v>
      </c>
      <c r="C856" s="9" t="str">
        <f>A856&amp;+(COUNTIF(A$2:A856,A856)-1)</f>
        <v>6241</v>
      </c>
      <c r="D856" s="3" t="s">
        <v>27</v>
      </c>
      <c r="E856" s="53" t="s">
        <v>1130</v>
      </c>
      <c r="F856" s="54" t="s">
        <v>1134</v>
      </c>
    </row>
    <row r="857" spans="1:6" x14ac:dyDescent="0.15">
      <c r="A857" s="63">
        <v>510</v>
      </c>
      <c r="B857" s="9" t="str">
        <f>VLOOKUP(A857,[1]characters!$A:$C,3,FALSE)</f>
        <v>燃えさかる豪息 ヒュウガ</v>
      </c>
      <c r="C857" s="9" t="str">
        <f>A857&amp;+(COUNTIF(A$2:A857,A857)-1)</f>
        <v>5100</v>
      </c>
      <c r="D857" s="3" t="s">
        <v>27</v>
      </c>
      <c r="E857" s="53" t="s">
        <v>1044</v>
      </c>
      <c r="F857" s="54" t="s">
        <v>1039</v>
      </c>
    </row>
    <row r="858" spans="1:6" x14ac:dyDescent="0.15">
      <c r="A858" s="63">
        <v>510</v>
      </c>
      <c r="B858" s="9" t="str">
        <f>VLOOKUP(A858,[1]characters!$A:$C,3,FALSE)</f>
        <v>燃えさかる豪息 ヒュウガ</v>
      </c>
      <c r="C858" s="9" t="str">
        <f>A858&amp;+(COUNTIF(A$2:A858,A858)-1)</f>
        <v>5101</v>
      </c>
      <c r="D858" s="3" t="s">
        <v>27</v>
      </c>
      <c r="E858" s="53" t="s">
        <v>1044</v>
      </c>
      <c r="F858" s="54" t="s">
        <v>1040</v>
      </c>
    </row>
    <row r="859" spans="1:6" x14ac:dyDescent="0.15">
      <c r="A859" s="63">
        <v>510</v>
      </c>
      <c r="B859" s="9" t="str">
        <f>VLOOKUP(A859,[1]characters!$A:$C,3,FALSE)</f>
        <v>燃えさかる豪息 ヒュウガ</v>
      </c>
      <c r="C859" s="9" t="str">
        <f>A859&amp;+(COUNTIF(A$2:A859,A859)-1)</f>
        <v>5102</v>
      </c>
      <c r="D859" s="3" t="s">
        <v>27</v>
      </c>
      <c r="E859" s="53" t="s">
        <v>1044</v>
      </c>
      <c r="F859" s="54" t="s">
        <v>1041</v>
      </c>
    </row>
    <row r="860" spans="1:6" x14ac:dyDescent="0.15">
      <c r="A860" s="63">
        <v>511</v>
      </c>
      <c r="B860" s="9" t="str">
        <f>VLOOKUP(A860,[1]characters!$A:$C,3,FALSE)</f>
        <v>灼き尽くす紅息 ヒュウガ・レアル</v>
      </c>
      <c r="C860" s="9" t="str">
        <f>A860&amp;+(COUNTIF(A$2:A860,A860)-1)</f>
        <v>5110</v>
      </c>
      <c r="D860" s="3" t="s">
        <v>27</v>
      </c>
      <c r="E860" s="53" t="s">
        <v>1027</v>
      </c>
      <c r="F860" s="54" t="s">
        <v>1042</v>
      </c>
    </row>
    <row r="861" spans="1:6" x14ac:dyDescent="0.15">
      <c r="A861" s="63">
        <v>511</v>
      </c>
      <c r="B861" s="9" t="str">
        <f>VLOOKUP(A861,[1]characters!$A:$C,3,FALSE)</f>
        <v>灼き尽くす紅息 ヒュウガ・レアル</v>
      </c>
      <c r="C861" s="9" t="str">
        <f>A861&amp;+(COUNTIF(A$2:A861,A861)-1)</f>
        <v>5111</v>
      </c>
      <c r="D861" s="3" t="s">
        <v>27</v>
      </c>
      <c r="E861" s="53" t="s">
        <v>1045</v>
      </c>
      <c r="F861" s="54" t="s">
        <v>1043</v>
      </c>
    </row>
    <row r="862" spans="1:6" x14ac:dyDescent="0.15">
      <c r="A862" s="63">
        <v>688</v>
      </c>
      <c r="B862" s="9" t="str">
        <f>VLOOKUP(A862,[1]characters!$A:$C,3,FALSE)</f>
        <v>ユークリッド</v>
      </c>
      <c r="C862" s="9" t="str">
        <f>A862&amp;+(COUNTIF(A$2:A862,A862)-1)</f>
        <v>6880</v>
      </c>
      <c r="D862" s="3" t="s">
        <v>27</v>
      </c>
      <c r="E862" s="53" t="s">
        <v>1051</v>
      </c>
      <c r="F862" s="54" t="s">
        <v>1046</v>
      </c>
    </row>
    <row r="863" spans="1:6" x14ac:dyDescent="0.15">
      <c r="A863" s="63">
        <v>688</v>
      </c>
      <c r="B863" s="9" t="str">
        <f>VLOOKUP(A863,[1]characters!$A:$C,3,FALSE)</f>
        <v>ユークリッド</v>
      </c>
      <c r="C863" s="9" t="str">
        <f>A863&amp;+(COUNTIF(A$2:A863,A863)-1)</f>
        <v>6881</v>
      </c>
      <c r="D863" s="3" t="s">
        <v>27</v>
      </c>
      <c r="E863" s="53" t="s">
        <v>31</v>
      </c>
      <c r="F863" s="54" t="s">
        <v>1047</v>
      </c>
    </row>
    <row r="864" spans="1:6" x14ac:dyDescent="0.15">
      <c r="A864" s="63">
        <v>688</v>
      </c>
      <c r="B864" s="9" t="str">
        <f>VLOOKUP(A864,[1]characters!$A:$C,3,FALSE)</f>
        <v>ユークリッド</v>
      </c>
      <c r="C864" s="9" t="str">
        <f>A864&amp;+(COUNTIF(A$2:A864,A864)-1)</f>
        <v>6882</v>
      </c>
      <c r="D864" s="3" t="s">
        <v>27</v>
      </c>
      <c r="E864" s="53" t="s">
        <v>31</v>
      </c>
      <c r="F864" s="54" t="s">
        <v>1049</v>
      </c>
    </row>
    <row r="865" spans="1:6" x14ac:dyDescent="0.15">
      <c r="A865" s="63">
        <v>689</v>
      </c>
      <c r="B865" s="9" t="str">
        <f>VLOOKUP(A865,[1]characters!$A:$C,3,FALSE)</f>
        <v>根原論理 ユークリッド</v>
      </c>
      <c r="C865" s="9" t="str">
        <f>A865&amp;+(COUNTIF(A$2:A865,A865)-1)</f>
        <v>6890</v>
      </c>
      <c r="D865" s="3" t="s">
        <v>27</v>
      </c>
      <c r="E865" s="53" t="s">
        <v>1027</v>
      </c>
      <c r="F865" s="54" t="s">
        <v>1048</v>
      </c>
    </row>
    <row r="866" spans="1:6" x14ac:dyDescent="0.15">
      <c r="A866" s="63">
        <v>689</v>
      </c>
      <c r="B866" s="9" t="str">
        <f>VLOOKUP(A866,[1]characters!$A:$C,3,FALSE)</f>
        <v>根原論理 ユークリッド</v>
      </c>
      <c r="C866" s="9" t="str">
        <f>A866&amp;+(COUNTIF(A$2:A866,A866)-1)</f>
        <v>6891</v>
      </c>
      <c r="D866" s="3" t="s">
        <v>27</v>
      </c>
      <c r="E866" s="53" t="s">
        <v>1052</v>
      </c>
      <c r="F866" s="54" t="s">
        <v>1050</v>
      </c>
    </row>
    <row r="867" spans="1:6" x14ac:dyDescent="0.15">
      <c r="A867" s="38">
        <v>487</v>
      </c>
      <c r="B867" s="9" t="str">
        <f>VLOOKUP(A867,[1]characters!$A:$C,3,FALSE)</f>
        <v>暴創の造物 チューリング</v>
      </c>
      <c r="C867" s="9" t="str">
        <f>A867&amp;+(COUNTIF(A$2:A867,A867)-1)</f>
        <v>4870</v>
      </c>
      <c r="D867" s="3" t="s">
        <v>27</v>
      </c>
      <c r="E867" s="53" t="s">
        <v>30</v>
      </c>
      <c r="F867" s="54" t="s">
        <v>1053</v>
      </c>
    </row>
    <row r="868" spans="1:6" x14ac:dyDescent="0.15">
      <c r="A868" s="38">
        <v>487</v>
      </c>
      <c r="B868" s="9" t="str">
        <f>VLOOKUP(A868,[1]characters!$A:$C,3,FALSE)</f>
        <v>暴創の造物 チューリング</v>
      </c>
      <c r="C868" s="9" t="str">
        <f>A868&amp;+(COUNTIF(A$2:A868,A868)-1)</f>
        <v>4871</v>
      </c>
      <c r="D868" s="3" t="s">
        <v>27</v>
      </c>
      <c r="E868" s="53" t="s">
        <v>30</v>
      </c>
      <c r="F868" s="54" t="s">
        <v>1054</v>
      </c>
    </row>
    <row r="869" spans="1:6" x14ac:dyDescent="0.15">
      <c r="A869" s="38">
        <v>487</v>
      </c>
      <c r="B869" s="9" t="str">
        <f>VLOOKUP(A869,[1]characters!$A:$C,3,FALSE)</f>
        <v>暴創の造物 チューリング</v>
      </c>
      <c r="C869" s="9" t="str">
        <f>A869&amp;+(COUNTIF(A$2:A869,A869)-1)</f>
        <v>4872</v>
      </c>
      <c r="D869" s="3" t="s">
        <v>27</v>
      </c>
      <c r="E869" s="53" t="s">
        <v>30</v>
      </c>
      <c r="F869" s="54" t="s">
        <v>1056</v>
      </c>
    </row>
    <row r="870" spans="1:6" x14ac:dyDescent="0.15">
      <c r="A870" s="38">
        <v>487</v>
      </c>
      <c r="B870" s="9" t="str">
        <f>VLOOKUP(A870,[1]characters!$A:$C,3,FALSE)</f>
        <v>暴創の造物 チューリング</v>
      </c>
      <c r="C870" s="9" t="str">
        <f>A870&amp;+(COUNTIF(A$2:A870,A870)-1)</f>
        <v>4873</v>
      </c>
      <c r="D870" s="3" t="s">
        <v>27</v>
      </c>
      <c r="E870" s="53" t="s">
        <v>30</v>
      </c>
      <c r="F870" s="54" t="s">
        <v>1055</v>
      </c>
    </row>
    <row r="871" spans="1:6" x14ac:dyDescent="0.15">
      <c r="A871" s="38">
        <v>799</v>
      </c>
      <c r="B871" s="9" t="str">
        <f>VLOOKUP(A871,[1]characters!$A:$C,3,FALSE)</f>
        <v>電讃の魔機 チューリング</v>
      </c>
      <c r="C871" s="9" t="str">
        <f>A871&amp;+(COUNTIF(A$2:A871,A871)-1)</f>
        <v>7990</v>
      </c>
      <c r="D871" s="3" t="s">
        <v>27</v>
      </c>
      <c r="E871" s="53" t="s">
        <v>30</v>
      </c>
      <c r="F871" s="77" t="s">
        <v>1164</v>
      </c>
    </row>
    <row r="872" spans="1:6" x14ac:dyDescent="0.15">
      <c r="A872" s="38">
        <v>799</v>
      </c>
      <c r="B872" s="9" t="str">
        <f>VLOOKUP(A872,[1]characters!$A:$C,3,FALSE)</f>
        <v>電讃の魔機 チューリング</v>
      </c>
      <c r="C872" s="9" t="str">
        <f>A872&amp;+(COUNTIF(A$2:A872,A872)-1)</f>
        <v>7991</v>
      </c>
      <c r="D872" s="3" t="s">
        <v>27</v>
      </c>
      <c r="E872" s="53" t="s">
        <v>30</v>
      </c>
      <c r="F872" s="82" t="s">
        <v>1165</v>
      </c>
    </row>
    <row r="873" spans="1:6" x14ac:dyDescent="0.15">
      <c r="A873" s="38">
        <v>790</v>
      </c>
      <c r="B873" s="9" t="str">
        <f>VLOOKUP(A873,[1]characters!$A:$C,3,FALSE)</f>
        <v>戦略級の才脳 ノイマン</v>
      </c>
      <c r="C873" s="9" t="str">
        <f>A873&amp;+(COUNTIF(A$2:A873,A873)-1)</f>
        <v>7900</v>
      </c>
      <c r="D873" s="3" t="s">
        <v>27</v>
      </c>
      <c r="E873" s="53" t="s">
        <v>30</v>
      </c>
      <c r="F873" s="54" t="s">
        <v>1058</v>
      </c>
    </row>
    <row r="874" spans="1:6" x14ac:dyDescent="0.15">
      <c r="A874" s="38">
        <v>790</v>
      </c>
      <c r="B874" s="9" t="str">
        <f>VLOOKUP(A874,[1]characters!$A:$C,3,FALSE)</f>
        <v>戦略級の才脳 ノイマン</v>
      </c>
      <c r="C874" s="9" t="str">
        <f>A874&amp;+(COUNTIF(A$2:A874,A874)-1)</f>
        <v>7901</v>
      </c>
      <c r="D874" s="3" t="s">
        <v>27</v>
      </c>
      <c r="E874" s="53" t="s">
        <v>30</v>
      </c>
      <c r="F874" s="54" t="s">
        <v>1059</v>
      </c>
    </row>
    <row r="875" spans="1:6" x14ac:dyDescent="0.15">
      <c r="A875" s="38">
        <v>790</v>
      </c>
      <c r="B875" s="9" t="str">
        <f>VLOOKUP(A875,[1]characters!$A:$C,3,FALSE)</f>
        <v>戦略級の才脳 ノイマン</v>
      </c>
      <c r="C875" s="9" t="str">
        <f>A875&amp;+(COUNTIF(A$2:A875,A875)-1)</f>
        <v>7902</v>
      </c>
      <c r="D875" s="3" t="s">
        <v>27</v>
      </c>
      <c r="E875" s="53" t="s">
        <v>30</v>
      </c>
      <c r="F875" s="54" t="s">
        <v>1060</v>
      </c>
    </row>
    <row r="876" spans="1:6" x14ac:dyDescent="0.15">
      <c r="A876" s="38">
        <v>790</v>
      </c>
      <c r="B876" s="9" t="str">
        <f>VLOOKUP(A876,[1]characters!$A:$C,3,FALSE)</f>
        <v>戦略級の才脳 ノイマン</v>
      </c>
      <c r="C876" s="9" t="str">
        <f>A876&amp;+(COUNTIF(A$2:A876,A876)-1)</f>
        <v>7903</v>
      </c>
      <c r="D876" s="3" t="s">
        <v>27</v>
      </c>
      <c r="E876" s="53" t="s">
        <v>30</v>
      </c>
      <c r="F876" s="54" t="s">
        <v>1061</v>
      </c>
    </row>
    <row r="877" spans="1:6" x14ac:dyDescent="0.15">
      <c r="A877" s="38">
        <v>760</v>
      </c>
      <c r="B877" s="9" t="str">
        <f>VLOOKUP(A877,[1]characters!$A:$C,3,FALSE)</f>
        <v>限論顕現 クロネッカー</v>
      </c>
      <c r="C877" s="9" t="str">
        <f>A877&amp;+(COUNTIF(A$2:A877,A877)-1)</f>
        <v>7600</v>
      </c>
      <c r="D877" s="3" t="s">
        <v>27</v>
      </c>
      <c r="E877" s="53" t="s">
        <v>30</v>
      </c>
      <c r="F877" s="54" t="s">
        <v>1063</v>
      </c>
    </row>
    <row r="878" spans="1:6" x14ac:dyDescent="0.15">
      <c r="A878" s="38">
        <v>760</v>
      </c>
      <c r="B878" s="9" t="str">
        <f>VLOOKUP(A878,[1]characters!$A:$C,3,FALSE)</f>
        <v>限論顕現 クロネッカー</v>
      </c>
      <c r="C878" s="9" t="str">
        <f>A878&amp;+(COUNTIF(A$2:A878,A878)-1)</f>
        <v>7601</v>
      </c>
      <c r="D878" s="3" t="s">
        <v>27</v>
      </c>
      <c r="E878" s="53" t="s">
        <v>30</v>
      </c>
      <c r="F878" s="54" t="s">
        <v>1065</v>
      </c>
    </row>
    <row r="879" spans="1:6" x14ac:dyDescent="0.15">
      <c r="A879" s="38">
        <v>760</v>
      </c>
      <c r="B879" s="9" t="str">
        <f>VLOOKUP(A879,[1]characters!$A:$C,3,FALSE)</f>
        <v>限論顕現 クロネッカー</v>
      </c>
      <c r="C879" s="9" t="str">
        <f>A879&amp;+(COUNTIF(A$2:A879,A879)-1)</f>
        <v>7602</v>
      </c>
      <c r="D879" s="3" t="s">
        <v>27</v>
      </c>
      <c r="E879" s="53" t="s">
        <v>30</v>
      </c>
      <c r="F879" s="54" t="s">
        <v>1064</v>
      </c>
    </row>
    <row r="880" spans="1:6" x14ac:dyDescent="0.15">
      <c r="A880" s="38">
        <v>760</v>
      </c>
      <c r="B880" s="9" t="str">
        <f>VLOOKUP(A880,[1]characters!$A:$C,3,FALSE)</f>
        <v>限論顕現 クロネッカー</v>
      </c>
      <c r="C880" s="9" t="str">
        <f>A880&amp;+(COUNTIF(A$2:A880,A880)-1)</f>
        <v>7603</v>
      </c>
      <c r="D880" s="3" t="s">
        <v>27</v>
      </c>
      <c r="E880" s="53" t="s">
        <v>30</v>
      </c>
      <c r="F880" s="54" t="s">
        <v>1066</v>
      </c>
    </row>
    <row r="881" spans="1:6" x14ac:dyDescent="0.15">
      <c r="A881" s="38">
        <v>761</v>
      </c>
      <c r="B881" s="9" t="str">
        <f>VLOOKUP(A881,[1]characters!$A:$C,3,FALSE)</f>
        <v>唯限の崇嬢 クロネッカー</v>
      </c>
      <c r="C881" s="9" t="str">
        <f>A881&amp;+(COUNTIF(A$2:A881,A881)-1)</f>
        <v>7610</v>
      </c>
      <c r="D881" s="3" t="s">
        <v>27</v>
      </c>
      <c r="E881" s="53" t="s">
        <v>30</v>
      </c>
      <c r="F881" s="54" t="s">
        <v>1170</v>
      </c>
    </row>
    <row r="882" spans="1:6" x14ac:dyDescent="0.15">
      <c r="A882" s="38">
        <v>761</v>
      </c>
      <c r="B882" s="9" t="str">
        <f>VLOOKUP(A882,[1]characters!$A:$C,3,FALSE)</f>
        <v>唯限の崇嬢 クロネッカー</v>
      </c>
      <c r="C882" s="9" t="str">
        <f>A882&amp;+(COUNTIF(A$2:A882,A882)-1)</f>
        <v>7611</v>
      </c>
      <c r="D882" s="3" t="s">
        <v>27</v>
      </c>
      <c r="E882" s="53" t="s">
        <v>30</v>
      </c>
      <c r="F882" s="54" t="s">
        <v>1171</v>
      </c>
    </row>
    <row r="883" spans="1:6" x14ac:dyDescent="0.15">
      <c r="A883" s="38">
        <v>792</v>
      </c>
      <c r="B883" s="9" t="str">
        <f>VLOOKUP(A883,[1]characters!$A:$C,3,FALSE)</f>
        <v>片還の収波 フーリエ</v>
      </c>
      <c r="C883" s="9" t="str">
        <f>A883&amp;+(COUNTIF(A$2:A883,A883)-1)</f>
        <v>7920</v>
      </c>
      <c r="D883" s="3" t="s">
        <v>27</v>
      </c>
      <c r="E883" s="53" t="s">
        <v>31</v>
      </c>
      <c r="F883" s="54" t="s">
        <v>1067</v>
      </c>
    </row>
    <row r="884" spans="1:6" x14ac:dyDescent="0.15">
      <c r="A884" s="38">
        <v>792</v>
      </c>
      <c r="B884" s="9" t="str">
        <f>VLOOKUP(A884,[1]characters!$A:$C,3,FALSE)</f>
        <v>片還の収波 フーリエ</v>
      </c>
      <c r="C884" s="9" t="str">
        <f>A884&amp;+(COUNTIF(A$2:A884,A884)-1)</f>
        <v>7921</v>
      </c>
      <c r="D884" s="3" t="s">
        <v>27</v>
      </c>
      <c r="E884" s="53" t="s">
        <v>30</v>
      </c>
      <c r="F884" s="54" t="s">
        <v>1069</v>
      </c>
    </row>
    <row r="885" spans="1:6" x14ac:dyDescent="0.15">
      <c r="A885" s="38">
        <v>792</v>
      </c>
      <c r="B885" s="9" t="str">
        <f>VLOOKUP(A885,[1]characters!$A:$C,3,FALSE)</f>
        <v>片還の収波 フーリエ</v>
      </c>
      <c r="C885" s="9" t="str">
        <f>A885&amp;+(COUNTIF(A$2:A885,A885)-1)</f>
        <v>7922</v>
      </c>
      <c r="D885" s="3" t="s">
        <v>27</v>
      </c>
      <c r="E885" s="53" t="s">
        <v>30</v>
      </c>
      <c r="F885" s="54" t="s">
        <v>1070</v>
      </c>
    </row>
    <row r="886" spans="1:6" x14ac:dyDescent="0.15">
      <c r="A886" s="38">
        <v>792</v>
      </c>
      <c r="B886" s="9" t="str">
        <f>VLOOKUP(A886,[1]characters!$A:$C,3,FALSE)</f>
        <v>片還の収波 フーリエ</v>
      </c>
      <c r="C886" s="9" t="str">
        <f>A886&amp;+(COUNTIF(A$2:A886,A886)-1)</f>
        <v>7923</v>
      </c>
      <c r="D886" s="3" t="s">
        <v>27</v>
      </c>
      <c r="E886" s="53" t="s">
        <v>30</v>
      </c>
      <c r="F886" s="54" t="s">
        <v>1068</v>
      </c>
    </row>
    <row r="887" spans="1:6" x14ac:dyDescent="0.15">
      <c r="A887" s="38">
        <v>793</v>
      </c>
      <c r="B887" s="9" t="str">
        <f>VLOOKUP(A887,[1]characters!$A:$C,3,FALSE)</f>
        <v>熱解する求波導 フーリエ</v>
      </c>
      <c r="C887" s="9" t="str">
        <f>A887&amp;+(COUNTIF(A$2:A887,A887)-1)</f>
        <v>7930</v>
      </c>
      <c r="D887" s="3" t="s">
        <v>27</v>
      </c>
      <c r="E887" s="53" t="s">
        <v>31</v>
      </c>
      <c r="F887" s="54" t="s">
        <v>1209</v>
      </c>
    </row>
    <row r="888" spans="1:6" x14ac:dyDescent="0.15">
      <c r="A888" s="38">
        <v>793</v>
      </c>
      <c r="B888" s="9" t="str">
        <f>VLOOKUP(A888,[1]characters!$A:$C,3,FALSE)</f>
        <v>熱解する求波導 フーリエ</v>
      </c>
      <c r="C888" s="9" t="str">
        <f>A888&amp;+(COUNTIF(A$2:A888,A888)-1)</f>
        <v>7931</v>
      </c>
      <c r="D888" s="3" t="s">
        <v>27</v>
      </c>
      <c r="E888" s="53" t="s">
        <v>30</v>
      </c>
      <c r="F888" s="54" t="s">
        <v>1069</v>
      </c>
    </row>
    <row r="889" spans="1:6" x14ac:dyDescent="0.15">
      <c r="A889" s="38">
        <v>793</v>
      </c>
      <c r="B889" s="9" t="str">
        <f>VLOOKUP(A889,[1]characters!$A:$C,3,FALSE)</f>
        <v>熱解する求波導 フーリエ</v>
      </c>
      <c r="C889" s="9" t="str">
        <f>A889&amp;+(COUNTIF(A$2:A889,A889)-1)</f>
        <v>7932</v>
      </c>
      <c r="D889" s="3" t="s">
        <v>27</v>
      </c>
      <c r="E889" s="53" t="s">
        <v>30</v>
      </c>
      <c r="F889" s="54" t="s">
        <v>1070</v>
      </c>
    </row>
    <row r="890" spans="1:6" x14ac:dyDescent="0.15">
      <c r="A890" s="38">
        <v>793</v>
      </c>
      <c r="B890" s="9" t="str">
        <f>VLOOKUP(A890,[1]characters!$A:$C,3,FALSE)</f>
        <v>熱解する求波導 フーリエ</v>
      </c>
      <c r="C890" s="9" t="str">
        <f>A890&amp;+(COUNTIF(A$2:A890,A890)-1)</f>
        <v>7933</v>
      </c>
      <c r="D890" s="3" t="s">
        <v>27</v>
      </c>
      <c r="E890" s="53" t="s">
        <v>30</v>
      </c>
      <c r="F890" s="54" t="s">
        <v>1068</v>
      </c>
    </row>
    <row r="891" spans="1:6" x14ac:dyDescent="0.15">
      <c r="A891" s="38">
        <v>793</v>
      </c>
      <c r="B891" s="9" t="str">
        <f>VLOOKUP(A891,[1]characters!$A:$C,3,FALSE)</f>
        <v>熱解する求波導 フーリエ</v>
      </c>
      <c r="C891" s="9" t="str">
        <f>A891&amp;+(COUNTIF(A$2:A891,A891)-1)</f>
        <v>7934</v>
      </c>
      <c r="D891" s="3" t="s">
        <v>27</v>
      </c>
      <c r="E891" s="53" t="s">
        <v>30</v>
      </c>
      <c r="F891" s="54" t="s">
        <v>1210</v>
      </c>
    </row>
    <row r="892" spans="1:6" x14ac:dyDescent="0.15">
      <c r="A892" s="38">
        <v>786</v>
      </c>
      <c r="B892" s="9" t="str">
        <f>VLOOKUP(A892,[1]characters!$A:$C,3,FALSE)</f>
        <v>ヘイウェイ</v>
      </c>
      <c r="C892" s="9" t="str">
        <f>A892&amp;+(COUNTIF(A$2:A892,A892)-1)</f>
        <v>7860</v>
      </c>
      <c r="D892" s="3" t="s">
        <v>27</v>
      </c>
      <c r="E892" s="71" t="s">
        <v>30</v>
      </c>
      <c r="F892" s="72" t="s">
        <v>1079</v>
      </c>
    </row>
    <row r="893" spans="1:6" x14ac:dyDescent="0.15">
      <c r="A893" s="38">
        <v>786</v>
      </c>
      <c r="B893" s="9" t="str">
        <f>VLOOKUP(A893,[1]characters!$A:$C,3,FALSE)</f>
        <v>ヘイウェイ</v>
      </c>
      <c r="C893" s="9" t="str">
        <f>A893&amp;+(COUNTIF(A$2:A893,A893)-1)</f>
        <v>7861</v>
      </c>
      <c r="D893" s="3" t="s">
        <v>27</v>
      </c>
      <c r="E893" s="71" t="s">
        <v>30</v>
      </c>
      <c r="F893" s="72" t="s">
        <v>1087</v>
      </c>
    </row>
    <row r="894" spans="1:6" x14ac:dyDescent="0.15">
      <c r="A894" s="38">
        <v>786</v>
      </c>
      <c r="B894" s="9" t="str">
        <f>VLOOKUP(A894,[1]characters!$A:$C,3,FALSE)</f>
        <v>ヘイウェイ</v>
      </c>
      <c r="C894" s="9" t="str">
        <f>A894&amp;+(COUNTIF(A$2:A894,A894)-1)</f>
        <v>7862</v>
      </c>
      <c r="D894" s="3" t="s">
        <v>27</v>
      </c>
      <c r="E894" s="71" t="s">
        <v>1081</v>
      </c>
      <c r="F894" s="72" t="s">
        <v>1084</v>
      </c>
    </row>
    <row r="895" spans="1:6" x14ac:dyDescent="0.15">
      <c r="A895" s="38">
        <v>786</v>
      </c>
      <c r="B895" s="9" t="str">
        <f>VLOOKUP(A895,[1]characters!$A:$C,3,FALSE)</f>
        <v>ヘイウェイ</v>
      </c>
      <c r="C895" s="9" t="str">
        <f>A895&amp;+(COUNTIF(A$2:A895,A895)-1)</f>
        <v>7863</v>
      </c>
      <c r="D895" s="3" t="s">
        <v>27</v>
      </c>
      <c r="E895" s="71" t="s">
        <v>1082</v>
      </c>
      <c r="F895" s="72" t="s">
        <v>1085</v>
      </c>
    </row>
    <row r="896" spans="1:6" x14ac:dyDescent="0.15">
      <c r="A896" s="38">
        <v>787</v>
      </c>
      <c r="B896" s="9" t="str">
        <f>VLOOKUP(A896,[1]characters!$A:$C,3,FALSE)</f>
        <v>極閃描牙 ヘイウェイ</v>
      </c>
      <c r="C896" s="9" t="str">
        <f>A896&amp;+(COUNTIF(A$2:A896,A896)-1)</f>
        <v>7870</v>
      </c>
      <c r="D896" s="3" t="s">
        <v>27</v>
      </c>
      <c r="E896" s="71" t="s">
        <v>1083</v>
      </c>
      <c r="F896" s="72" t="s">
        <v>1080</v>
      </c>
    </row>
    <row r="897" spans="1:6" x14ac:dyDescent="0.15">
      <c r="A897" s="38">
        <v>787</v>
      </c>
      <c r="B897" s="9" t="str">
        <f>VLOOKUP(A897,[1]characters!$A:$C,3,FALSE)</f>
        <v>極閃描牙 ヘイウェイ</v>
      </c>
      <c r="C897" s="9" t="str">
        <f>A897&amp;+(COUNTIF(A$2:A897,A897)-1)</f>
        <v>7871</v>
      </c>
      <c r="D897" s="3" t="s">
        <v>27</v>
      </c>
      <c r="E897" s="71" t="s">
        <v>1083</v>
      </c>
      <c r="F897" s="72" t="s">
        <v>1086</v>
      </c>
    </row>
    <row r="898" spans="1:6" x14ac:dyDescent="0.15">
      <c r="A898" s="38">
        <v>791</v>
      </c>
      <c r="B898" s="9" t="str">
        <f>VLOOKUP(A898,[1]characters!$A:$C,3,FALSE)</f>
        <v>無差別求の破者 ノイマン</v>
      </c>
      <c r="C898" s="9" t="str">
        <f>A898&amp;+(COUNTIF(A$2:A898,A898)-1)</f>
        <v>7910</v>
      </c>
      <c r="D898" s="3" t="s">
        <v>27</v>
      </c>
      <c r="E898" s="53" t="s">
        <v>30</v>
      </c>
      <c r="F898" s="54" t="s">
        <v>1089</v>
      </c>
    </row>
    <row r="899" spans="1:6" x14ac:dyDescent="0.15">
      <c r="A899" s="38">
        <v>791</v>
      </c>
      <c r="B899" s="9" t="str">
        <f>VLOOKUP(A899,[1]characters!$A:$C,3,FALSE)</f>
        <v>無差別求の破者 ノイマン</v>
      </c>
      <c r="C899" s="9" t="str">
        <f>A899&amp;+(COUNTIF(A$2:A899,A899)-1)</f>
        <v>7911</v>
      </c>
      <c r="D899" s="3" t="s">
        <v>27</v>
      </c>
      <c r="E899" s="53" t="s">
        <v>30</v>
      </c>
      <c r="F899" s="54" t="s">
        <v>1059</v>
      </c>
    </row>
    <row r="900" spans="1:6" x14ac:dyDescent="0.15">
      <c r="A900" s="38">
        <v>791</v>
      </c>
      <c r="B900" s="9" t="str">
        <f>VLOOKUP(A900,[1]characters!$A:$C,3,FALSE)</f>
        <v>無差別求の破者 ノイマン</v>
      </c>
      <c r="C900" s="9" t="str">
        <f>A900&amp;+(COUNTIF(A$2:A900,A900)-1)</f>
        <v>7912</v>
      </c>
      <c r="D900" s="3" t="s">
        <v>27</v>
      </c>
      <c r="E900" s="53" t="s">
        <v>30</v>
      </c>
      <c r="F900" s="54" t="s">
        <v>1060</v>
      </c>
    </row>
    <row r="901" spans="1:6" x14ac:dyDescent="0.15">
      <c r="A901" s="38">
        <v>791</v>
      </c>
      <c r="B901" s="9" t="str">
        <f>VLOOKUP(A901,[1]characters!$A:$C,3,FALSE)</f>
        <v>無差別求の破者 ノイマン</v>
      </c>
      <c r="C901" s="9" t="str">
        <f>A901&amp;+(COUNTIF(A$2:A901,A901)-1)</f>
        <v>7913</v>
      </c>
      <c r="D901" s="3" t="s">
        <v>27</v>
      </c>
      <c r="E901" s="53" t="s">
        <v>30</v>
      </c>
      <c r="F901" s="54" t="s">
        <v>1061</v>
      </c>
    </row>
    <row r="902" spans="1:6" x14ac:dyDescent="0.15">
      <c r="A902" s="38">
        <v>791</v>
      </c>
      <c r="B902" s="9" t="str">
        <f>VLOOKUP(A902,[1]characters!$A:$C,3,FALSE)</f>
        <v>無差別求の破者 ノイマン</v>
      </c>
      <c r="C902" s="9" t="str">
        <f>A902&amp;+(COUNTIF(A$2:A902,A902)-1)</f>
        <v>7914</v>
      </c>
      <c r="D902" s="3" t="s">
        <v>27</v>
      </c>
      <c r="E902" s="53" t="s">
        <v>30</v>
      </c>
      <c r="F902" s="54" t="s">
        <v>1088</v>
      </c>
    </row>
    <row r="903" spans="1:6" x14ac:dyDescent="0.15">
      <c r="A903" s="38">
        <v>762</v>
      </c>
      <c r="B903" s="9" t="str">
        <f>VLOOKUP(A903,[1]characters!$A:$C,3,FALSE)</f>
        <v>フィボナッチ</v>
      </c>
      <c r="C903" s="9" t="str">
        <f>A903&amp;+(COUNTIF(A$2:A903,A903)-1)</f>
        <v>7620</v>
      </c>
      <c r="D903" s="3" t="s">
        <v>27</v>
      </c>
      <c r="E903" s="71" t="s">
        <v>1091</v>
      </c>
      <c r="F903" s="72" t="s">
        <v>1090</v>
      </c>
    </row>
    <row r="904" spans="1:6" x14ac:dyDescent="0.15">
      <c r="A904" s="38">
        <v>762</v>
      </c>
      <c r="B904" s="9" t="str">
        <f>VLOOKUP(A904,[1]characters!$A:$C,3,FALSE)</f>
        <v>フィボナッチ</v>
      </c>
      <c r="C904" s="9" t="str">
        <f>A904&amp;+(COUNTIF(A$2:A904,A904)-1)</f>
        <v>7621</v>
      </c>
      <c r="D904" s="3" t="s">
        <v>27</v>
      </c>
      <c r="E904" s="71" t="s">
        <v>31</v>
      </c>
      <c r="F904" s="72" t="s">
        <v>1092</v>
      </c>
    </row>
    <row r="905" spans="1:6" x14ac:dyDescent="0.15">
      <c r="A905" s="38">
        <v>762</v>
      </c>
      <c r="B905" s="9" t="str">
        <f>VLOOKUP(A905,[1]characters!$A:$C,3,FALSE)</f>
        <v>フィボナッチ</v>
      </c>
      <c r="C905" s="9" t="str">
        <f>A905&amp;+(COUNTIF(A$2:A905,A905)-1)</f>
        <v>7622</v>
      </c>
      <c r="D905" s="3" t="s">
        <v>27</v>
      </c>
      <c r="E905" s="71" t="s">
        <v>1093</v>
      </c>
      <c r="F905" s="72" t="s">
        <v>1094</v>
      </c>
    </row>
    <row r="906" spans="1:6" x14ac:dyDescent="0.15">
      <c r="A906" s="38">
        <v>762</v>
      </c>
      <c r="B906" s="9" t="str">
        <f>VLOOKUP(A906,[1]characters!$A:$C,3,FALSE)</f>
        <v>フィボナッチ</v>
      </c>
      <c r="C906" s="9" t="str">
        <f>A906&amp;+(COUNTIF(A$2:A906,A906)-1)</f>
        <v>7623</v>
      </c>
      <c r="D906" s="3" t="s">
        <v>27</v>
      </c>
      <c r="E906" s="71" t="s">
        <v>31</v>
      </c>
      <c r="F906" s="72" t="s">
        <v>1095</v>
      </c>
    </row>
    <row r="907" spans="1:6" x14ac:dyDescent="0.15">
      <c r="A907" s="38">
        <v>763</v>
      </c>
      <c r="B907" s="9" t="str">
        <f>VLOOKUP(A907,[1]characters!$A:$C,3,FALSE)</f>
        <v>螺旋の皇魂比 フィボナッチ</v>
      </c>
      <c r="C907" s="9" t="str">
        <f>A907&amp;+(COUNTIF(A$2:A907,A907)-1)</f>
        <v>7630</v>
      </c>
      <c r="D907" s="3" t="s">
        <v>27</v>
      </c>
      <c r="E907" s="82" t="s">
        <v>31</v>
      </c>
      <c r="F907" s="82" t="s">
        <v>1208</v>
      </c>
    </row>
    <row r="908" spans="1:6" x14ac:dyDescent="0.15">
      <c r="A908" s="38">
        <v>763</v>
      </c>
      <c r="B908" s="9" t="str">
        <f>VLOOKUP(A908,[1]characters!$A:$C,3,FALSE)</f>
        <v>螺旋の皇魂比 フィボナッチ</v>
      </c>
      <c r="C908" s="9" t="str">
        <f>A908&amp;+(COUNTIF(A$2:A908,A908)-1)</f>
        <v>7631</v>
      </c>
      <c r="D908" s="3" t="s">
        <v>27</v>
      </c>
      <c r="E908" s="82" t="s">
        <v>31</v>
      </c>
      <c r="F908" s="82" t="s">
        <v>1207</v>
      </c>
    </row>
    <row r="909" spans="1:6" x14ac:dyDescent="0.15">
      <c r="A909" s="38">
        <v>690</v>
      </c>
      <c r="B909" s="9" t="str">
        <f>VLOOKUP(A909,[1]characters!$A:$C,3,FALSE)</f>
        <v>不朽の極論 ユークリッド</v>
      </c>
      <c r="C909" s="9" t="str">
        <f>A909&amp;+(COUNTIF(A$2:A909,A909)-1)</f>
        <v>6900</v>
      </c>
      <c r="D909" s="3" t="s">
        <v>27</v>
      </c>
      <c r="E909" s="71" t="s">
        <v>1096</v>
      </c>
      <c r="F909" s="72" t="s">
        <v>1097</v>
      </c>
    </row>
    <row r="910" spans="1:6" x14ac:dyDescent="0.15">
      <c r="A910" s="38">
        <v>690</v>
      </c>
      <c r="B910" s="9" t="str">
        <f>VLOOKUP(A910,[1]characters!$A:$C,3,FALSE)</f>
        <v>不朽の極論 ユークリッド</v>
      </c>
      <c r="C910" s="9" t="str">
        <f>A910&amp;+(COUNTIF(A$2:A910,A910)-1)</f>
        <v>6901</v>
      </c>
      <c r="D910" s="3" t="s">
        <v>27</v>
      </c>
      <c r="E910" s="71" t="s">
        <v>1098</v>
      </c>
      <c r="F910" s="72" t="s">
        <v>1099</v>
      </c>
    </row>
    <row r="911" spans="1:6" x14ac:dyDescent="0.15">
      <c r="A911" s="38">
        <v>796</v>
      </c>
      <c r="B911" s="9" t="str">
        <f>VLOOKUP(A911,[1]characters!$A:$C,3,FALSE)</f>
        <v>超越凌駕 ラグランジュ</v>
      </c>
      <c r="C911" s="9" t="str">
        <f>A911&amp;+(COUNTIF(A$2:A911,A911)-1)</f>
        <v>7961</v>
      </c>
      <c r="D911" s="3" t="s">
        <v>27</v>
      </c>
      <c r="E911" s="71" t="s">
        <v>1098</v>
      </c>
      <c r="F911" s="72" t="s">
        <v>1125</v>
      </c>
    </row>
    <row r="912" spans="1:6" x14ac:dyDescent="0.15">
      <c r="A912" s="38">
        <v>870</v>
      </c>
      <c r="B912" s="9" t="str">
        <f>VLOOKUP(A912,[1]characters!$A:$C,3,FALSE)</f>
        <v>フロイト</v>
      </c>
      <c r="C912" s="9" t="str">
        <f>A912&amp;+(COUNTIF(A$2:A912,A912)-1)</f>
        <v>8701</v>
      </c>
      <c r="D912" s="3" t="s">
        <v>27</v>
      </c>
      <c r="E912" s="71" t="s">
        <v>31</v>
      </c>
      <c r="F912" s="72" t="s">
        <v>1120</v>
      </c>
    </row>
    <row r="913" spans="1:6" x14ac:dyDescent="0.15">
      <c r="A913" s="38">
        <v>870</v>
      </c>
      <c r="B913" s="9" t="str">
        <f>VLOOKUP(A913,[1]characters!$A:$C,3,FALSE)</f>
        <v>フロイト</v>
      </c>
      <c r="C913" s="9" t="str">
        <f>A913&amp;+(COUNTIF(A$2:A913,A913)-1)</f>
        <v>8702</v>
      </c>
      <c r="D913" s="3" t="s">
        <v>27</v>
      </c>
      <c r="E913" s="71" t="s">
        <v>31</v>
      </c>
      <c r="F913" s="72" t="s">
        <v>1121</v>
      </c>
    </row>
    <row r="914" spans="1:6" x14ac:dyDescent="0.15">
      <c r="A914" s="38">
        <v>870</v>
      </c>
      <c r="B914" s="9" t="str">
        <f>VLOOKUP(A914,[1]characters!$A:$C,3,FALSE)</f>
        <v>フロイト</v>
      </c>
      <c r="C914" s="9" t="str">
        <f>A914&amp;+(COUNTIF(A$2:A914,A914)-1)</f>
        <v>8703</v>
      </c>
      <c r="D914" s="3" t="s">
        <v>27</v>
      </c>
      <c r="E914" s="71" t="s">
        <v>30</v>
      </c>
      <c r="F914" s="72" t="s">
        <v>1122</v>
      </c>
    </row>
    <row r="915" spans="1:6" x14ac:dyDescent="0.15">
      <c r="A915" s="38">
        <v>871</v>
      </c>
      <c r="B915" s="9" t="str">
        <f>VLOOKUP(A915,[1]characters!$A:$C,3,FALSE)</f>
        <v>無我夢中の羊狩り フロイト</v>
      </c>
      <c r="C915" s="9" t="str">
        <f>A915&amp;+(COUNTIF(A$2:A915,A915)-1)</f>
        <v>8711</v>
      </c>
      <c r="D915" s="3" t="s">
        <v>27</v>
      </c>
      <c r="E915" s="71" t="s">
        <v>31</v>
      </c>
      <c r="F915" s="72" t="s">
        <v>1123</v>
      </c>
    </row>
    <row r="916" spans="1:6" x14ac:dyDescent="0.15">
      <c r="A916" s="38">
        <v>872</v>
      </c>
      <c r="B916" s="9" t="str">
        <f>VLOOKUP(A916,[1]characters!$A:$C,3,FALSE)</f>
        <v>シュヴァルツシルト</v>
      </c>
      <c r="C916" s="9" t="str">
        <f>A916&amp;+(COUNTIF(A$2:A916,A916)-1)</f>
        <v>8721</v>
      </c>
      <c r="D916" s="3" t="s">
        <v>27</v>
      </c>
      <c r="E916" s="71" t="s">
        <v>30</v>
      </c>
      <c r="F916" s="72" t="s">
        <v>1180</v>
      </c>
    </row>
    <row r="917" spans="1:6" x14ac:dyDescent="0.15">
      <c r="A917" s="38">
        <v>872</v>
      </c>
      <c r="B917" s="9" t="str">
        <f>VLOOKUP(A917,[1]characters!$A:$C,3,FALSE)</f>
        <v>シュヴァルツシルト</v>
      </c>
      <c r="C917" s="9" t="str">
        <f>A917&amp;+(COUNTIF(A$2:A917,A917)-1)</f>
        <v>8722</v>
      </c>
      <c r="D917" s="3" t="s">
        <v>27</v>
      </c>
      <c r="E917" s="71" t="s">
        <v>30</v>
      </c>
      <c r="F917" s="72" t="s">
        <v>1181</v>
      </c>
    </row>
    <row r="918" spans="1:6" x14ac:dyDescent="0.15">
      <c r="A918" s="38">
        <v>872</v>
      </c>
      <c r="B918" s="9" t="str">
        <f>VLOOKUP(A918,[1]characters!$A:$C,3,FALSE)</f>
        <v>シュヴァルツシルト</v>
      </c>
      <c r="C918" s="9" t="str">
        <f>A918&amp;+(COUNTIF(A$2:A918,A918)-1)</f>
        <v>8723</v>
      </c>
      <c r="D918" s="3" t="s">
        <v>27</v>
      </c>
      <c r="E918" s="71" t="s">
        <v>30</v>
      </c>
      <c r="F918" s="72" t="s">
        <v>1182</v>
      </c>
    </row>
    <row r="919" spans="1:6" x14ac:dyDescent="0.15">
      <c r="A919" s="38">
        <v>873</v>
      </c>
      <c r="B919" s="9" t="str">
        <f>VLOOKUP(A919,[1]characters!$A:$C,3,FALSE)</f>
        <v>時歪の特異天 シュヴァルツシルト</v>
      </c>
      <c r="C919" s="9" t="str">
        <f>A919&amp;+(COUNTIF(A$2:A919,A919)-1)</f>
        <v>8731</v>
      </c>
      <c r="D919" s="3" t="s">
        <v>27</v>
      </c>
      <c r="E919" s="71" t="s">
        <v>30</v>
      </c>
      <c r="F919" s="72" t="s">
        <v>1183</v>
      </c>
    </row>
    <row r="920" spans="1:6" x14ac:dyDescent="0.15">
      <c r="A920" s="38">
        <v>874</v>
      </c>
      <c r="B920" s="9" t="str">
        <f>VLOOKUP(A920,[1]characters!$A:$C,3,FALSE)</f>
        <v>フレネル</v>
      </c>
      <c r="C920" s="9" t="str">
        <f>A920&amp;+(COUNTIF(A$2:A920,A920)-1)</f>
        <v>8741</v>
      </c>
      <c r="D920" s="3" t="s">
        <v>27</v>
      </c>
      <c r="E920" s="85" t="s">
        <v>31</v>
      </c>
      <c r="F920" s="85" t="s">
        <v>1201</v>
      </c>
    </row>
    <row r="921" spans="1:6" x14ac:dyDescent="0.15">
      <c r="A921" s="38">
        <v>874</v>
      </c>
      <c r="B921" s="9" t="str">
        <f>VLOOKUP(A921,[1]characters!$A:$C,3,FALSE)</f>
        <v>フレネル</v>
      </c>
      <c r="C921" s="9" t="str">
        <f>A921&amp;+(COUNTIF(A$2:A921,A921)-1)</f>
        <v>8742</v>
      </c>
      <c r="D921" s="3" t="s">
        <v>27</v>
      </c>
      <c r="E921" s="86" t="s">
        <v>31</v>
      </c>
      <c r="F921" s="86" t="s">
        <v>1202</v>
      </c>
    </row>
    <row r="922" spans="1:6" x14ac:dyDescent="0.15">
      <c r="A922" s="38">
        <v>874</v>
      </c>
      <c r="B922" s="9" t="str">
        <f>VLOOKUP(A922,[1]characters!$A:$C,3,FALSE)</f>
        <v>フレネル</v>
      </c>
      <c r="C922" s="9" t="str">
        <f>A922&amp;+(COUNTIF(A$2:A922,A922)-1)</f>
        <v>8743</v>
      </c>
      <c r="D922" s="3" t="s">
        <v>27</v>
      </c>
      <c r="E922" s="85" t="s">
        <v>31</v>
      </c>
      <c r="F922" s="85" t="s">
        <v>1203</v>
      </c>
    </row>
    <row r="923" spans="1:6" x14ac:dyDescent="0.15">
      <c r="A923" s="38">
        <v>875</v>
      </c>
      <c r="B923" s="9" t="str">
        <f>VLOOKUP(A923,[1]characters!$A:$C,3,FALSE)</f>
        <v>覇導の光跡 フレネル</v>
      </c>
      <c r="C923" s="9" t="str">
        <f>A923&amp;+(COUNTIF(A$2:A923,A923)-1)</f>
        <v>8751</v>
      </c>
      <c r="D923" s="3" t="s">
        <v>27</v>
      </c>
      <c r="E923" s="85" t="s">
        <v>31</v>
      </c>
      <c r="F923" s="85" t="s">
        <v>1204</v>
      </c>
    </row>
    <row r="924" spans="1:6" x14ac:dyDescent="0.15">
      <c r="A924" s="38">
        <v>880</v>
      </c>
      <c r="B924" s="9" t="str">
        <f>VLOOKUP(A924,[1]characters!$A:$C,3,FALSE)</f>
        <v>ハーシェル</v>
      </c>
      <c r="C924" s="9" t="str">
        <f>A924&amp;+(COUNTIF(A$2:A924,A924)-1)</f>
        <v>8801</v>
      </c>
      <c r="D924" s="3" t="s">
        <v>27</v>
      </c>
      <c r="E924" s="71" t="s">
        <v>30</v>
      </c>
      <c r="F924" s="72" t="s">
        <v>1156</v>
      </c>
    </row>
    <row r="925" spans="1:6" x14ac:dyDescent="0.15">
      <c r="A925" s="38">
        <v>880</v>
      </c>
      <c r="B925" s="9" t="str">
        <f>VLOOKUP(A925,[1]characters!$A:$C,3,FALSE)</f>
        <v>ハーシェル</v>
      </c>
      <c r="C925" s="9" t="str">
        <f>A925&amp;+(COUNTIF(A$2:A925,A925)-1)</f>
        <v>8802</v>
      </c>
      <c r="D925" s="3" t="s">
        <v>27</v>
      </c>
      <c r="E925" s="71" t="s">
        <v>31</v>
      </c>
      <c r="F925" s="72" t="s">
        <v>1157</v>
      </c>
    </row>
    <row r="926" spans="1:6" x14ac:dyDescent="0.15">
      <c r="A926" s="38">
        <v>880</v>
      </c>
      <c r="B926" s="9" t="str">
        <f>VLOOKUP(A926,[1]characters!$A:$C,3,FALSE)</f>
        <v>ハーシェル</v>
      </c>
      <c r="C926" s="9" t="str">
        <f>A926&amp;+(COUNTIF(A$2:A926,A926)-1)</f>
        <v>8803</v>
      </c>
      <c r="D926" s="3" t="s">
        <v>27</v>
      </c>
      <c r="E926" s="71" t="s">
        <v>30</v>
      </c>
      <c r="F926" s="72" t="s">
        <v>1158</v>
      </c>
    </row>
    <row r="927" spans="1:6" x14ac:dyDescent="0.15">
      <c r="A927" s="38">
        <v>881</v>
      </c>
      <c r="B927" s="9" t="str">
        <f>VLOOKUP(A927,[1]characters!$A:$C,3,FALSE)</f>
        <v>銀河究星の望観者 ハーシェル</v>
      </c>
      <c r="C927" s="9" t="str">
        <f>A927&amp;+(COUNTIF(A$2:A927,A927)-1)</f>
        <v>8811</v>
      </c>
      <c r="D927" s="3" t="s">
        <v>27</v>
      </c>
      <c r="E927" s="71" t="s">
        <v>31</v>
      </c>
      <c r="F927" s="72" t="s">
        <v>1159</v>
      </c>
    </row>
    <row r="928" spans="1:6" x14ac:dyDescent="0.15">
      <c r="A928" s="11">
        <v>750</v>
      </c>
      <c r="B928" s="9" t="str">
        <f>VLOOKUP(A928,[1]characters!$A:$C,3,FALSE)</f>
        <v>ポアソン</v>
      </c>
      <c r="C928" s="9" t="str">
        <f>A928&amp;+(COUNTIF(A$2:A928,A928)-1)</f>
        <v>7501</v>
      </c>
      <c r="D928" s="3" t="s">
        <v>27</v>
      </c>
      <c r="E928" s="82" t="s">
        <v>504</v>
      </c>
      <c r="F928" s="81" t="s">
        <v>1192</v>
      </c>
    </row>
    <row r="929" spans="1:6" x14ac:dyDescent="0.15">
      <c r="A929" s="11">
        <v>750</v>
      </c>
      <c r="B929" s="9" t="str">
        <f>VLOOKUP(A929,[1]characters!$A:$C,3,FALSE)</f>
        <v>ポアソン</v>
      </c>
      <c r="C929" s="9" t="str">
        <f>A929&amp;+(COUNTIF(A$2:A929,A929)-1)</f>
        <v>7502</v>
      </c>
      <c r="D929" s="3" t="s">
        <v>27</v>
      </c>
      <c r="E929" s="82" t="s">
        <v>504</v>
      </c>
      <c r="F929" s="84" t="s">
        <v>1193</v>
      </c>
    </row>
    <row r="930" spans="1:6" x14ac:dyDescent="0.15">
      <c r="A930" s="11">
        <v>750</v>
      </c>
      <c r="B930" s="9" t="str">
        <f>VLOOKUP(A930,[1]characters!$A:$C,3,FALSE)</f>
        <v>ポアソン</v>
      </c>
      <c r="C930" s="9" t="str">
        <f>A930&amp;+(COUNTIF(A$2:A930,A930)-1)</f>
        <v>7503</v>
      </c>
      <c r="D930" s="3" t="s">
        <v>27</v>
      </c>
      <c r="E930" s="78" t="s">
        <v>504</v>
      </c>
      <c r="F930" s="81" t="s">
        <v>1194</v>
      </c>
    </row>
    <row r="931" spans="1:6" x14ac:dyDescent="0.15">
      <c r="A931" s="11">
        <v>751</v>
      </c>
      <c r="B931" s="9" t="str">
        <f>VLOOKUP(A931,[1]characters!$A:$C,3,FALSE)</f>
        <v>交錯の旋匣 ポアソン</v>
      </c>
      <c r="C931" s="9" t="str">
        <f>A931&amp;+(COUNTIF(A$2:A931,A931)-1)</f>
        <v>7511</v>
      </c>
      <c r="D931" s="3" t="s">
        <v>27</v>
      </c>
      <c r="E931" s="78" t="s">
        <v>1195</v>
      </c>
      <c r="F931" s="81" t="s">
        <v>1196</v>
      </c>
    </row>
    <row r="932" spans="1:6" x14ac:dyDescent="0.15">
      <c r="A932" s="38">
        <v>953</v>
      </c>
      <c r="B932" s="9" t="str">
        <f>VLOOKUP(A932,[1]characters!$A:$C,3,FALSE)</f>
        <v>ハイゼンベルク</v>
      </c>
      <c r="C932" s="9" t="str">
        <f>A932&amp;+(COUNTIF(A$2:A932,A932)-1)</f>
        <v>9531</v>
      </c>
      <c r="D932" s="3" t="s">
        <v>27</v>
      </c>
      <c r="E932" s="71" t="s">
        <v>31</v>
      </c>
      <c r="F932" s="72" t="s">
        <v>1160</v>
      </c>
    </row>
    <row r="933" spans="1:6" x14ac:dyDescent="0.15">
      <c r="A933" s="38">
        <v>953</v>
      </c>
      <c r="B933" s="9" t="str">
        <f>VLOOKUP(A933,[1]characters!$A:$C,3,FALSE)</f>
        <v>ハイゼンベルク</v>
      </c>
      <c r="C933" s="9" t="str">
        <f>A933&amp;+(COUNTIF(A$2:A933,A933)-1)</f>
        <v>9532</v>
      </c>
      <c r="D933" s="3" t="s">
        <v>27</v>
      </c>
      <c r="E933" s="71" t="s">
        <v>30</v>
      </c>
      <c r="F933" s="72" t="s">
        <v>1161</v>
      </c>
    </row>
    <row r="934" spans="1:6" x14ac:dyDescent="0.15">
      <c r="A934" s="38">
        <v>953</v>
      </c>
      <c r="B934" s="9" t="str">
        <f>VLOOKUP(A934,[1]characters!$A:$C,3,FALSE)</f>
        <v>ハイゼンベルク</v>
      </c>
      <c r="C934" s="9" t="str">
        <f>A934&amp;+(COUNTIF(A$2:A934,A934)-1)</f>
        <v>9533</v>
      </c>
      <c r="D934" s="3" t="s">
        <v>27</v>
      </c>
      <c r="E934" s="71" t="s">
        <v>30</v>
      </c>
      <c r="F934" s="72" t="s">
        <v>1162</v>
      </c>
    </row>
    <row r="935" spans="1:6" x14ac:dyDescent="0.15">
      <c r="A935" s="38">
        <v>954</v>
      </c>
      <c r="B935" s="9" t="str">
        <f>VLOOKUP(A935,[1]characters!$A:$C,3,FALSE)</f>
        <v>不確の量熔者 ハイゼンベルク</v>
      </c>
      <c r="C935" s="9" t="str">
        <f>A935&amp;+(COUNTIF(A$2:A935,A935)-1)</f>
        <v>9541</v>
      </c>
      <c r="D935" s="3" t="s">
        <v>27</v>
      </c>
      <c r="E935" s="71" t="s">
        <v>31</v>
      </c>
      <c r="F935" s="72" t="s">
        <v>1163</v>
      </c>
    </row>
    <row r="936" spans="1:6" x14ac:dyDescent="0.15">
      <c r="A936" s="38">
        <v>974</v>
      </c>
      <c r="B936" s="9" t="str">
        <f>VLOOKUP(A936,[1]characters!$A:$C,3,FALSE)</f>
        <v>ブール</v>
      </c>
      <c r="C936" s="9" t="str">
        <f>A936&amp;+(COUNTIF(A$2:A936,A936)-1)</f>
        <v>9741</v>
      </c>
      <c r="D936" s="3" t="s">
        <v>27</v>
      </c>
      <c r="E936" s="71" t="s">
        <v>31</v>
      </c>
      <c r="F936" s="72" t="s">
        <v>1175</v>
      </c>
    </row>
    <row r="937" spans="1:6" x14ac:dyDescent="0.15">
      <c r="A937" s="38">
        <v>974</v>
      </c>
      <c r="B937" s="9" t="str">
        <f>VLOOKUP(A937,[1]characters!$A:$C,3,FALSE)</f>
        <v>ブール</v>
      </c>
      <c r="C937" s="9" t="str">
        <f>A937&amp;+(COUNTIF(A$2:A937,A937)-1)</f>
        <v>9742</v>
      </c>
      <c r="D937" s="3" t="s">
        <v>27</v>
      </c>
      <c r="E937" s="71" t="s">
        <v>30</v>
      </c>
      <c r="F937" s="72" t="s">
        <v>1176</v>
      </c>
    </row>
    <row r="938" spans="1:6" x14ac:dyDescent="0.15">
      <c r="A938" s="38">
        <v>974</v>
      </c>
      <c r="B938" s="9" t="str">
        <f>VLOOKUP(A938,[1]characters!$A:$C,3,FALSE)</f>
        <v>ブール</v>
      </c>
      <c r="C938" s="9" t="str">
        <f>A938&amp;+(COUNTIF(A$2:A938,A938)-1)</f>
        <v>9743</v>
      </c>
      <c r="D938" s="3" t="s">
        <v>27</v>
      </c>
      <c r="E938" s="71" t="s">
        <v>32</v>
      </c>
      <c r="F938" s="72" t="s">
        <v>1177</v>
      </c>
    </row>
    <row r="939" spans="1:6" x14ac:dyDescent="0.15">
      <c r="A939" s="38">
        <v>975</v>
      </c>
      <c r="B939" s="9" t="str">
        <f>VLOOKUP(A939,[1]characters!$A:$C,3,FALSE)</f>
        <v>綺号を巡る輝翼 ブール</v>
      </c>
      <c r="C939" s="9" t="str">
        <f>A939&amp;+(COUNTIF(A$2:A939,A939)-1)</f>
        <v>9751</v>
      </c>
      <c r="D939" s="3" t="s">
        <v>27</v>
      </c>
      <c r="E939" s="71" t="s">
        <v>32</v>
      </c>
      <c r="F939" s="72" t="s">
        <v>1174</v>
      </c>
    </row>
    <row r="940" spans="1:6" x14ac:dyDescent="0.15">
      <c r="A940" s="38">
        <v>1039</v>
      </c>
      <c r="B940" s="9" t="str">
        <f>VLOOKUP(A940,[1]characters!$A:$C,3,FALSE)</f>
        <v>ディラック</v>
      </c>
      <c r="C940" s="9" t="str">
        <f>A940&amp;+(COUNTIF(A$2:A940,A940)-1)</f>
        <v>10391</v>
      </c>
      <c r="D940" s="3" t="s">
        <v>27</v>
      </c>
      <c r="E940" s="71" t="s">
        <v>30</v>
      </c>
      <c r="F940" s="72" t="s">
        <v>1211</v>
      </c>
    </row>
    <row r="941" spans="1:6" x14ac:dyDescent="0.15">
      <c r="A941" s="38">
        <v>1039</v>
      </c>
      <c r="B941" s="9" t="str">
        <f>VLOOKUP(A941,[1]characters!$A:$C,3,FALSE)</f>
        <v>ディラック</v>
      </c>
      <c r="C941" s="9" t="str">
        <f>A941&amp;+(COUNTIF(A$2:A941,A941)-1)</f>
        <v>10392</v>
      </c>
      <c r="D941" s="3" t="s">
        <v>27</v>
      </c>
      <c r="E941" s="71" t="s">
        <v>30</v>
      </c>
      <c r="F941" s="72" t="s">
        <v>1212</v>
      </c>
    </row>
    <row r="942" spans="1:6" x14ac:dyDescent="0.15">
      <c r="A942" s="38">
        <v>1039</v>
      </c>
      <c r="B942" s="9" t="str">
        <f>VLOOKUP(A942,[1]characters!$A:$C,3,FALSE)</f>
        <v>ディラック</v>
      </c>
      <c r="C942" s="9" t="str">
        <f>A942&amp;+(COUNTIF(A$2:A942,A942)-1)</f>
        <v>10393</v>
      </c>
      <c r="D942" s="3" t="s">
        <v>27</v>
      </c>
      <c r="E942" s="71" t="s">
        <v>30</v>
      </c>
      <c r="F942" s="72" t="s">
        <v>1213</v>
      </c>
    </row>
    <row r="943" spans="1:6" x14ac:dyDescent="0.15">
      <c r="A943" s="38">
        <v>1040</v>
      </c>
      <c r="B943" s="9" t="str">
        <f>VLOOKUP(A943,[1]characters!$A:$C,3,FALSE)</f>
        <v>蒼流の電磁団 ディラック</v>
      </c>
      <c r="C943" s="9" t="str">
        <f>A943&amp;+(COUNTIF(A$2:A943,A943)-1)</f>
        <v>10401</v>
      </c>
      <c r="D943" s="3" t="s">
        <v>27</v>
      </c>
      <c r="E943" s="71" t="s">
        <v>30</v>
      </c>
      <c r="F943" s="72" t="s">
        <v>1214</v>
      </c>
    </row>
    <row r="944" spans="1:6" x14ac:dyDescent="0.15">
      <c r="A944" s="38">
        <v>1109</v>
      </c>
      <c r="B944" s="9" t="str">
        <f>VLOOKUP(A944,[1]characters!$A:$C,3,FALSE)</f>
        <v>セキ</v>
      </c>
      <c r="C944" s="9" t="str">
        <f>A944&amp;+(COUNTIF(A$2:A944,A944)-1)</f>
        <v>11091</v>
      </c>
      <c r="D944" s="3" t="s">
        <v>27</v>
      </c>
      <c r="E944" s="92" t="s">
        <v>1098</v>
      </c>
      <c r="F944" s="92" t="s">
        <v>1220</v>
      </c>
    </row>
    <row r="945" spans="1:6" x14ac:dyDescent="0.15">
      <c r="A945" s="38">
        <v>1109</v>
      </c>
      <c r="B945" s="9" t="str">
        <f>VLOOKUP(A945,[1]characters!$A:$C,3,FALSE)</f>
        <v>セキ</v>
      </c>
      <c r="C945" s="9" t="str">
        <f>A945&amp;+(COUNTIF(A$2:A945,A945)-1)</f>
        <v>11092</v>
      </c>
      <c r="D945" s="3" t="s">
        <v>27</v>
      </c>
      <c r="E945" s="92" t="s">
        <v>1098</v>
      </c>
      <c r="F945" s="92" t="s">
        <v>1221</v>
      </c>
    </row>
    <row r="946" spans="1:6" x14ac:dyDescent="0.15">
      <c r="A946" s="38">
        <v>1109</v>
      </c>
      <c r="B946" s="9" t="str">
        <f>VLOOKUP(A946,[1]characters!$A:$C,3,FALSE)</f>
        <v>セキ</v>
      </c>
      <c r="C946" s="9" t="str">
        <f>A946&amp;+(COUNTIF(A$2:A946,A946)-1)</f>
        <v>11093</v>
      </c>
      <c r="D946" s="3" t="s">
        <v>27</v>
      </c>
      <c r="E946" s="92" t="s">
        <v>1098</v>
      </c>
      <c r="F946" s="92" t="s">
        <v>1222</v>
      </c>
    </row>
    <row r="947" spans="1:6" x14ac:dyDescent="0.15">
      <c r="A947" s="38">
        <v>1110</v>
      </c>
      <c r="B947" s="9" t="str">
        <f>VLOOKUP(A947,[1]characters!$A:$C,3,FALSE)</f>
        <v>天竄の炎斬式 セキ</v>
      </c>
      <c r="C947" s="9" t="str">
        <f>A947&amp;+(COUNTIF(A$2:A947,A947)-1)</f>
        <v>11101</v>
      </c>
      <c r="D947" s="3" t="s">
        <v>27</v>
      </c>
      <c r="E947" s="92" t="s">
        <v>1096</v>
      </c>
      <c r="F947" s="92" t="s">
        <v>1223</v>
      </c>
    </row>
  </sheetData>
  <phoneticPr fontId="1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2:B4"/>
  <sheetViews>
    <sheetView workbookViewId="0">
      <selection activeCell="E36" sqref="E36"/>
    </sheetView>
  </sheetViews>
  <sheetFormatPr baseColWidth="12" defaultRowHeight="15" x14ac:dyDescent="0.15"/>
  <sheetData>
    <row r="2" spans="1:2" x14ac:dyDescent="0.15">
      <c r="A2" t="s">
        <v>933</v>
      </c>
      <c r="B2" t="s">
        <v>934</v>
      </c>
    </row>
    <row r="3" spans="1:2" x14ac:dyDescent="0.15">
      <c r="A3" t="s">
        <v>935</v>
      </c>
      <c r="B3" t="s">
        <v>936</v>
      </c>
    </row>
    <row r="4" spans="1:2" x14ac:dyDescent="0.15">
      <c r="A4" t="s">
        <v>937</v>
      </c>
      <c r="B4" t="s">
        <v>938</v>
      </c>
    </row>
  </sheetData>
  <phoneticPr fontId="1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unit_serifs</vt:lpstr>
      <vt:lpstr>unit_serifs_i18n</vt:lpstr>
      <vt:lpstr>tmp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2017-01-30T05:30:04Z</dcterms:modified>
</cp:coreProperties>
</file>