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460" yWindow="480" windowWidth="27000" windowHeight="16100" tabRatio="721" activeTab="1"/>
  </bookViews>
  <sheets>
    <sheet name="output" sheetId="10" r:id="rId1"/>
    <sheet name="stage_hints" sheetId="3" r:id="rId2"/>
    <sheet name="Sheet1" sheetId="11" r:id="rId3"/>
    <sheet name="Sheet2" sheetId="12" r:id="rId4"/>
  </sheets>
  <definedNames>
    <definedName name="_xlnm._FilterDatabase" localSheetId="1" hidden="1">stage_hints!$A$1:$D$1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" i="3" l="1"/>
  <c r="G9" i="11"/>
  <c r="G3" i="11"/>
  <c r="G4" i="11"/>
  <c r="G5" i="11"/>
  <c r="G6" i="11"/>
  <c r="G7" i="11"/>
  <c r="G8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2" i="11"/>
  <c r="E39" i="11"/>
  <c r="F39" i="11"/>
  <c r="E38" i="11"/>
  <c r="F38" i="11"/>
  <c r="E37" i="11"/>
  <c r="F37" i="11"/>
  <c r="E36" i="11"/>
  <c r="F36" i="11"/>
  <c r="E35" i="11"/>
  <c r="F35" i="11"/>
  <c r="E34" i="11"/>
  <c r="F34" i="11"/>
  <c r="E33" i="11"/>
  <c r="F33" i="11"/>
  <c r="E32" i="11"/>
  <c r="F32" i="11"/>
  <c r="E31" i="11"/>
  <c r="F31" i="11"/>
  <c r="E30" i="11"/>
  <c r="F30" i="11"/>
  <c r="E29" i="11"/>
  <c r="F29" i="11"/>
  <c r="E28" i="11"/>
  <c r="F28" i="11"/>
  <c r="E27" i="11"/>
  <c r="F27" i="11"/>
  <c r="E26" i="11"/>
  <c r="F26" i="11"/>
  <c r="E25" i="11"/>
  <c r="F25" i="11"/>
  <c r="E24" i="11"/>
  <c r="F24" i="11"/>
  <c r="E23" i="11"/>
  <c r="F23" i="11"/>
  <c r="E22" i="11"/>
  <c r="F22" i="11"/>
  <c r="E21" i="11"/>
  <c r="F21" i="11"/>
  <c r="E20" i="11"/>
  <c r="F20" i="11"/>
  <c r="E19" i="11"/>
  <c r="F19" i="11"/>
  <c r="E18" i="11"/>
  <c r="F18" i="11"/>
  <c r="E17" i="11"/>
  <c r="F17" i="11"/>
  <c r="E16" i="11"/>
  <c r="F16" i="11"/>
  <c r="E15" i="11"/>
  <c r="F15" i="11"/>
  <c r="E14" i="11"/>
  <c r="F14" i="11"/>
  <c r="E13" i="11"/>
  <c r="F13" i="11"/>
  <c r="E12" i="11"/>
  <c r="F12" i="11"/>
  <c r="E11" i="11"/>
  <c r="F11" i="11"/>
  <c r="E10" i="11"/>
  <c r="F10" i="11"/>
  <c r="E9" i="11"/>
  <c r="F9" i="11"/>
  <c r="E8" i="11"/>
  <c r="F8" i="11"/>
  <c r="E7" i="11"/>
  <c r="F7" i="11"/>
  <c r="E6" i="11"/>
  <c r="F6" i="11"/>
  <c r="E5" i="11"/>
  <c r="F5" i="11"/>
  <c r="E4" i="11"/>
  <c r="F4" i="11"/>
  <c r="E3" i="11"/>
  <c r="F3" i="11"/>
  <c r="E2" i="11"/>
  <c r="F2" i="11"/>
  <c r="F3" i="3"/>
  <c r="F4" i="3"/>
  <c r="F5" i="3"/>
  <c r="F6" i="3"/>
  <c r="F7" i="3"/>
  <c r="F8" i="3"/>
  <c r="F9" i="3"/>
  <c r="F10" i="3"/>
  <c r="E3" i="10"/>
  <c r="E2" i="10"/>
</calcChain>
</file>

<file path=xl/sharedStrings.xml><?xml version="1.0" encoding="utf-8"?>
<sst xmlns="http://schemas.openxmlformats.org/spreadsheetml/2006/main" count="577" uniqueCount="293">
  <si>
    <t>stage_id</t>
    <phoneticPr fontId="3"/>
  </si>
  <si>
    <t>hint</t>
    <phoneticPr fontId="3"/>
  </si>
  <si>
    <t>quest_id</t>
    <phoneticPr fontId="3"/>
  </si>
  <si>
    <t>hint_id</t>
    <phoneticPr fontId="3"/>
  </si>
  <si>
    <t>language</t>
    <phoneticPr fontId="3"/>
  </si>
  <si>
    <t>hint</t>
    <phoneticPr fontId="3"/>
  </si>
  <si>
    <t>stage_hints</t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</si>
  <si>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</si>
  <si>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</si>
  <si>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</si>
  <si>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</si>
  <si>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</si>
  <si>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</si>
  <si>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language</t>
    <phoneticPr fontId="3"/>
  </si>
  <si>
    <t>出力flg</t>
    <rPh sb="0" eb="2">
      <t>シュツリョク</t>
    </rPh>
    <phoneticPr fontId="3"/>
  </si>
  <si>
    <t>floor_id</t>
    <phoneticPr fontId="3"/>
  </si>
  <si>
    <t>filename</t>
  </si>
  <si>
    <t>filename</t>
    <phoneticPr fontId="3"/>
  </si>
  <si>
    <t>NULL</t>
    <phoneticPr fontId="3"/>
  </si>
  <si>
    <t>title</t>
    <phoneticPr fontId="3"/>
  </si>
  <si>
    <t>title</t>
    <phoneticPr fontId="3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</si>
  <si>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3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</si>
  <si>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3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</si>
  <si>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3"/>
  </si>
  <si>
    <t>base</t>
    <phoneticPr fontId="3"/>
  </si>
  <si>
    <t>hint_type</t>
    <phoneticPr fontId="3"/>
  </si>
  <si>
    <t>お気に入り登録</t>
  </si>
  <si>
    <t>赤には青、青には黄、黄には緑、緑には赤　
効果を発揮できるパーティ編成がオススメだ！</t>
    <rPh sb="0" eb="1">
      <t>アカ</t>
    </rPh>
    <rPh sb="3" eb="4">
      <t>アオ</t>
    </rPh>
    <rPh sb="5" eb="6">
      <t>アオ</t>
    </rPh>
    <rPh sb="8" eb="9">
      <t>キイロ</t>
    </rPh>
    <rPh sb="10" eb="11">
      <t>キイロ</t>
    </rPh>
    <rPh sb="13" eb="14">
      <t>ミドリ</t>
    </rPh>
    <rPh sb="15" eb="16">
      <t>ミドリ</t>
    </rPh>
    <rPh sb="18" eb="19">
      <t>アカ</t>
    </rPh>
    <rPh sb="21" eb="23">
      <t>コウカ</t>
    </rPh>
    <rPh sb="24" eb="26">
      <t>ハッキ</t>
    </rPh>
    <rPh sb="33" eb="35">
      <t>ヘンセイ</t>
    </rPh>
    <phoneticPr fontId="3"/>
  </si>
  <si>
    <t>マルチプレイが熱い！　その3</t>
  </si>
  <si>
    <t>len check</t>
    <phoneticPr fontId="3"/>
  </si>
  <si>
    <t>お邪魔はフィーバーで落とせ！</t>
    <rPh sb="1" eb="3">
      <t>ジャマ</t>
    </rPh>
    <rPh sb="10" eb="11">
      <t>オ</t>
    </rPh>
    <phoneticPr fontId="3"/>
  </si>
  <si>
    <t>skip</t>
    <phoneticPr fontId="34"/>
  </si>
  <si>
    <t>tips_all_id</t>
    <phoneticPr fontId="3"/>
  </si>
  <si>
    <t>title</t>
  </si>
  <si>
    <t>hint</t>
  </si>
  <si>
    <t>長くつなげて大ダメージ</t>
  </si>
  <si>
    <t>敵の属性に対抗しよう！</t>
  </si>
  <si>
    <t>ターゲット</t>
  </si>
  <si>
    <t>ボーナスクエスト</t>
  </si>
  <si>
    <t>ユニット強化</t>
  </si>
  <si>
    <t>強化の属性ボーナス</t>
  </si>
  <si>
    <t>メタルダックをつかって強化しよう！</t>
  </si>
  <si>
    <t>ゲリラを見逃すな！</t>
  </si>
  <si>
    <t>ゴールドダックを売却すると大量ビット</t>
  </si>
  <si>
    <t>土日クエストで大量ビットをGET！！</t>
  </si>
  <si>
    <t>ユニットを覚醒させよう！</t>
  </si>
  <si>
    <t>覚醒するにはレベルをMAXに！</t>
  </si>
  <si>
    <t>覚醒素材をGETしよう！</t>
  </si>
  <si>
    <t>マルチプレイが熱い！　その1</t>
  </si>
  <si>
    <t>リンクガチャを引いてみよう</t>
  </si>
  <si>
    <t>マルチプレイが熱い！　その2</t>
  </si>
  <si>
    <t>チャレンジタワー</t>
  </si>
  <si>
    <t>スキルを有効に使おう</t>
  </si>
  <si>
    <t>フィーバーを使って一発逆転</t>
  </si>
  <si>
    <t>フィーバーは虹パネルを狙おう！</t>
  </si>
  <si>
    <t>リンゴをつかって限界突破！</t>
  </si>
  <si>
    <t>クリスタルリンゴはスキルLvUP！</t>
  </si>
  <si>
    <t>スキルLv</t>
  </si>
  <si>
    <t>ホーム画面からデッキを編成！</t>
  </si>
  <si>
    <t>詳細情報は長押しで！</t>
  </si>
  <si>
    <t>ステータスのバグって何？</t>
  </si>
  <si>
    <t>ステータスのバグを増やす方法</t>
  </si>
  <si>
    <t>イベントを見逃すな！</t>
  </si>
  <si>
    <t>連続攻撃をしてくる敵には</t>
  </si>
  <si>
    <t>カウンターブレイク！</t>
  </si>
  <si>
    <t>敵のDOWNを上書きしよう！</t>
  </si>
  <si>
    <t>敵のUPを上書きしよう！</t>
  </si>
  <si>
    <t>チャレンジタワーのボス</t>
  </si>
  <si>
    <t>限界突破の引継</t>
  </si>
  <si>
    <t>敵ユニットにタッチすると
その敵を狙い撃ちできるぞ！</t>
  </si>
  <si>
    <t>ノーマルクエストを進めると
ボーナスクエストが登場する。
どんどん先に進んでボーナスをGETしよう！</t>
  </si>
  <si>
    <t>ユニットは「ユニット強化」をすることで
経験値を取得しレベルアップしていく。
「ユニット強化」をしてクエストを有利に進めよう！</t>
  </si>
  <si>
    <t>ユニット強化の際に
同じ属性のユニットを素材にすると
経験値にボーナスがつくぞ！</t>
  </si>
  <si>
    <t>メタルピヨピヨやメタルダックなどの
「メタルなアヒル」を素材にして
ユニット強化をすると大量の経験値が入るぞ！</t>
  </si>
  <si>
    <t>時間限定ゲリラクエスト
「【緊急!!】アヒル捕獲作戦」ではメタルダック等
経験値素材ユニットが多く手に入る。要チェック！</t>
  </si>
  <si>
    <t>ゴールドピヨピヨやゴールドダックなどの
「金アヒル」をユニット売却すると
大量のビットが手に入るぞ！</t>
  </si>
  <si>
    <t>売却すると大量ビットが手に入る
「ゴールドダック」は土日限定の
「ゴールドカジノ」で手に入るぞ！</t>
  </si>
  <si>
    <t>大事なユニットは
フォルダからお気に入り登録しよう！</t>
  </si>
  <si>
    <t>ユニットを覚醒させると
これまでとは比べものにならない強さになるぞ！</t>
  </si>
  <si>
    <t>ユニットの更なる力を引き出すのが覚醒！
覚醒するにはユニットのレベルを
最大まで上げる必要があるぞ！</t>
  </si>
  <si>
    <t>覚醒に必要な覚醒素材は
「曜日クエスト」で手に入るぞ！</t>
  </si>
  <si>
    <t>全国の友達とマルチプレイをすると
初顔合わせボーナスで100人まで
ポリゴンがもらえるぞ！</t>
  </si>
  <si>
    <t>リンクガチャを回すと
メタルダックやゴールドダックが出現しやすい。
リンクガチャを回して強化素材をGETしよう！</t>
  </si>
  <si>
    <t>マルチプレイはもらえるリンクが2倍！
マルチで遊んでリンクガチャを回そう！</t>
  </si>
  <si>
    <t>イベントクエストの「チャレンジタワー」を
クリアすると報酬がもらえるぞ！
報酬を手に入れながら頂上を目指そう！</t>
  </si>
  <si>
    <t>マルチプレイへの参加はエナジー消費なし！
どんどん参加してどんどんユニットをGETしよう！</t>
  </si>
  <si>
    <t>ユニットはターン経過で
スキルが使えるようになる。
ユニットに「Skill OK」というアイコンが出たら
スキルを使うチャンス！</t>
  </si>
  <si>
    <t>ピンチの時はフィーバーで一発逆転を狙おう！</t>
  </si>
  <si>
    <t>フィーバー中にたまに落ちてくる
虹色のパネルを壊すと
全てのパネルを消すことができるぞ！</t>
  </si>
  <si>
    <t>攻めの果実、生命の果実、癒しの果実は
ユニット強化に使うと
各パラメーターを上げることができる。
合計＋99まで強化できるぞ！</t>
  </si>
  <si>
    <t>秘術の果実をユニット強化に使うと
スキルLvが上げることができる。
お気に入りユニットのスキルLvを上げてみよう！</t>
  </si>
  <si>
    <t>スキルLvが上がると
より短いターンでスキルを打つことができるぞ！</t>
  </si>
  <si>
    <t>ホーム画面でパーティを確認している時
ユニットの画像を長押しすると
パーティ構成画面に移動することができるぞ！</t>
  </si>
  <si>
    <t>ユニット強化やユニット覚醒などの画面で
ユニットを長押しすれば
ユニットの詳細情報を見ることができるぞ！</t>
  </si>
  <si>
    <t>バグが高いとクエストの報酬確率がアップする！</t>
  </si>
  <si>
    <t>同じユニット同士を使ってユニット強化をすると
バグを増やすことができるぞ！</t>
  </si>
  <si>
    <t>各イベントでしか入手できない
ユニットがいるので要チェックだ！</t>
  </si>
  <si>
    <t>連続攻撃する敵には「カウンター」スキルが有効
ダメージを受けた回数分カウンターを返せるぞ！</t>
  </si>
  <si>
    <t>カウンターを使ってくる敵には
「カウンターブレイク」のスキルが有効だ！
カウンターを解除して大ダメージを
与えることができるぞ！</t>
  </si>
  <si>
    <t>攻撃力DOWNの攻撃を受けたときは
攻撃力UPスキルを使うと効果を上書きできる！</t>
  </si>
  <si>
    <t>敵の攻撃力がUPしたときは
攻撃力DOWNスキルを使うと
効果を上書きできる！</t>
  </si>
  <si>
    <t>チャレンジタワーのボス
（テスラ、シャルル、ボイル）は
一定確率でドロップします！</t>
  </si>
  <si>
    <t>限界突破（+値）の引継ぎは同じユニットか
同じ覚醒系のユニットのみ可能。
ユニット強化の際は注意しよう！</t>
  </si>
  <si>
    <t>パネルを長くつなげればつなげるほど
敵に大ダメージを与えることが出来るぞ！</t>
    <phoneticPr fontId="3"/>
  </si>
  <si>
    <t>消すことの出来ないお邪魔パネルは
フィーバーを使うと下に落とすことができるぞ！</t>
    <phoneticPr fontId="3"/>
  </si>
  <si>
    <t>一定ランクに到達すると
新たにクエストが開放される場合がある。
ランク開放クエストをクリアして報酬をGETだ！</t>
    <rPh sb="20" eb="21">
      <t>ヒラk</t>
    </rPh>
    <rPh sb="35" eb="37">
      <t>カイホ</t>
    </rPh>
    <phoneticPr fontId="3"/>
  </si>
  <si>
    <t>ランク開放クエスト</t>
    <rPh sb="3" eb="5">
      <t>カイホ</t>
    </rPh>
    <phoneticPr fontId="3"/>
  </si>
  <si>
    <t>old</t>
    <phoneticPr fontId="34"/>
  </si>
  <si>
    <t>template</t>
    <phoneticPr fontId="3"/>
  </si>
  <si>
    <t>ja</t>
    <phoneticPr fontId="3"/>
  </si>
  <si>
    <t>ja</t>
    <phoneticPr fontId="3"/>
  </si>
  <si>
    <t>文字数テスト</t>
    <rPh sb="0" eb="3">
      <t>モジスウ</t>
    </rPh>
    <phoneticPr fontId="3"/>
  </si>
  <si>
    <t>hint_id</t>
    <phoneticPr fontId="3"/>
  </si>
  <si>
    <t>パネルを長くつなげるほど
大ダメージを与えることができます</t>
    <rPh sb="4" eb="5">
      <t>ナガ</t>
    </rPh>
    <rPh sb="13" eb="14">
      <t>ダイ</t>
    </rPh>
    <rPh sb="19" eb="20">
      <t>アタ</t>
    </rPh>
    <phoneticPr fontId="3"/>
  </si>
  <si>
    <t>赤＞青　青＞黄　黄＞緑　緑＞赤
敵属性に最適なパーティがオススメです</t>
    <rPh sb="0" eb="1">
      <t>アカ</t>
    </rPh>
    <rPh sb="2" eb="3">
      <t>アオ</t>
    </rPh>
    <rPh sb="4" eb="5">
      <t>アオ</t>
    </rPh>
    <rPh sb="6" eb="7">
      <t>キイロ</t>
    </rPh>
    <rPh sb="8" eb="9">
      <t>キイロ</t>
    </rPh>
    <rPh sb="10" eb="11">
      <t>ミドリ</t>
    </rPh>
    <rPh sb="12" eb="13">
      <t>ミドリ</t>
    </rPh>
    <rPh sb="14" eb="15">
      <t>アカ</t>
    </rPh>
    <rPh sb="16" eb="19">
      <t>テキゾクセイ</t>
    </rPh>
    <rPh sb="20" eb="22">
      <t>サイテキ</t>
    </rPh>
    <phoneticPr fontId="3"/>
  </si>
  <si>
    <t>敵ユニットをタップすると
その敵を狙い撃ちできます</t>
    <rPh sb="15" eb="16">
      <t>テキ</t>
    </rPh>
    <phoneticPr fontId="3"/>
  </si>
  <si>
    <t>ノーマルクエストを進めると
嬉しいボーナスクエストが登場します</t>
    <rPh sb="9" eb="10">
      <t>スス</t>
    </rPh>
    <rPh sb="14" eb="15">
      <t>ウレ</t>
    </rPh>
    <rPh sb="26" eb="28">
      <t>トウジョウ</t>
    </rPh>
    <phoneticPr fontId="3"/>
  </si>
  <si>
    <t>「ユニット強化」でレベルアップすると
勝てない敵にも勝てるようになります</t>
    <rPh sb="5" eb="7">
      <t>キョウカ</t>
    </rPh>
    <rPh sb="19" eb="20">
      <t>カ</t>
    </rPh>
    <rPh sb="23" eb="24">
      <t>テキ</t>
    </rPh>
    <rPh sb="26" eb="27">
      <t>カ</t>
    </rPh>
    <phoneticPr fontId="3"/>
  </si>
  <si>
    <t>同属性ユニットを強化素材にすると
経験値が多くもらえます</t>
    <rPh sb="0" eb="1">
      <t>ドウ</t>
    </rPh>
    <rPh sb="8" eb="10">
      <t>キョウカ</t>
    </rPh>
    <rPh sb="10" eb="12">
      <t>ソザイ</t>
    </rPh>
    <rPh sb="21" eb="22">
      <t>オオ</t>
    </rPh>
    <phoneticPr fontId="3"/>
  </si>
  <si>
    <t>「メタルなアヒル」を強化素材にすると
大量の経験値がもらえます</t>
    <rPh sb="10" eb="12">
      <t>キョウカ</t>
    </rPh>
    <rPh sb="12" eb="14">
      <t>ソザイ</t>
    </rPh>
    <rPh sb="19" eb="21">
      <t>タイリョウ</t>
    </rPh>
    <rPh sb="22" eb="25">
      <t>ケイケンチ</t>
    </rPh>
    <phoneticPr fontId="3"/>
  </si>
  <si>
    <t>時間限定の「【緊急!!】アヒル捕獲作戦」では
経験値素材ユニットが多く手に入ります</t>
    <rPh sb="0" eb="4">
      <t>ジカンゲンテイ</t>
    </rPh>
    <rPh sb="33" eb="35">
      <t>オオk</t>
    </rPh>
    <rPh sb="35" eb="38">
      <t xml:space="preserve"> </t>
    </rPh>
    <phoneticPr fontId="3"/>
  </si>
  <si>
    <t>「ゴールドなアヒル」を売却すると
大量のビットがもらえます</t>
    <rPh sb="11" eb="13">
      <t>バイキャク</t>
    </rPh>
    <rPh sb="17" eb="19">
      <t>タイリョウ</t>
    </rPh>
    <phoneticPr fontId="3"/>
  </si>
  <si>
    <t>土日限定の「ゴールドカジノ」では
売却素材ユニットが多く手に入ります</t>
    <rPh sb="17" eb="19">
      <t>バイキャク</t>
    </rPh>
    <rPh sb="19" eb="21">
      <t>ソザイ</t>
    </rPh>
    <rPh sb="26" eb="27">
      <t>オオ</t>
    </rPh>
    <rPh sb="28" eb="29">
      <t>テ</t>
    </rPh>
    <rPh sb="30" eb="31">
      <t>ハイ</t>
    </rPh>
    <phoneticPr fontId="3"/>
  </si>
  <si>
    <t>一定ランクに到達すると
報酬付きのランク開放クエストが現れます</t>
    <rPh sb="0" eb="2">
      <t>イッテイ</t>
    </rPh>
    <rPh sb="6" eb="8">
      <t>トウタツ</t>
    </rPh>
    <rPh sb="12" eb="15">
      <t>ホウシュウツ</t>
    </rPh>
    <rPh sb="20" eb="22">
      <t>カイホウ</t>
    </rPh>
    <rPh sb="27" eb="28">
      <t>アラワ</t>
    </rPh>
    <phoneticPr fontId="3"/>
  </si>
  <si>
    <t>大事なユニットは
フォルダから「お気に入り登録」しましょう</t>
    <phoneticPr fontId="3"/>
  </si>
  <si>
    <t>ユニットを覚醒させると
比べものにならない強さが手に入ります</t>
    <rPh sb="5" eb="7">
      <t>カクセイ</t>
    </rPh>
    <rPh sb="12" eb="13">
      <t>クラ</t>
    </rPh>
    <rPh sb="21" eb="22">
      <t>ツヨ</t>
    </rPh>
    <rPh sb="24" eb="25">
      <t>テ</t>
    </rPh>
    <rPh sb="26" eb="27">
      <t>ハイ</t>
    </rPh>
    <phoneticPr fontId="3"/>
  </si>
  <si>
    <t>覚醒するにはユニットのレベルを
最大まで上げる必要があります</t>
    <rPh sb="0" eb="2">
      <t>カクセイ</t>
    </rPh>
    <rPh sb="16" eb="18">
      <t>サイダイ</t>
    </rPh>
    <rPh sb="20" eb="21">
      <t>ア</t>
    </rPh>
    <rPh sb="23" eb="25">
      <t>ヒツヨウ</t>
    </rPh>
    <phoneticPr fontId="3"/>
  </si>
  <si>
    <t>「曜日クエスト」では
覚醒に必要な覚醒素材が手に入ります</t>
    <rPh sb="11" eb="13">
      <t>カクセイ</t>
    </rPh>
    <rPh sb="14" eb="16">
      <t>ヒツヨウ</t>
    </rPh>
    <rPh sb="17" eb="19">
      <t>カクセイ</t>
    </rPh>
    <rPh sb="19" eb="21">
      <t>ソザイ</t>
    </rPh>
    <rPh sb="22" eb="23">
      <t>テ</t>
    </rPh>
    <rPh sb="24" eb="25">
      <t>ハイ</t>
    </rPh>
    <phoneticPr fontId="3"/>
  </si>
  <si>
    <t>マルチプレイをすると
初顔合わせボーナスで
100人までポリゴンがもらえます</t>
    <rPh sb="11" eb="14">
      <t>ハツカオア</t>
    </rPh>
    <rPh sb="25" eb="26">
      <t>ニン</t>
    </rPh>
    <phoneticPr fontId="3"/>
  </si>
  <si>
    <t>リンクガチャを回して
メタルダックやゴールドダックを獲得しましょう</t>
    <rPh sb="7" eb="8">
      <t>マワs</t>
    </rPh>
    <rPh sb="26" eb="28">
      <t>カクトク</t>
    </rPh>
    <phoneticPr fontId="3"/>
  </si>
  <si>
    <t>マルチプレイなら
2倍のリンクがもらえます</t>
    <rPh sb="10" eb="11">
      <t>バイ</t>
    </rPh>
    <phoneticPr fontId="3"/>
  </si>
  <si>
    <t>「チャレンジタワー」をクリアすると
各フロアごとに報酬がもらえます</t>
    <rPh sb="18" eb="19">
      <t>カク</t>
    </rPh>
    <rPh sb="25" eb="27">
      <t>ホウシュウ</t>
    </rPh>
    <phoneticPr fontId="3"/>
  </si>
  <si>
    <t>マルチプレイへの参加は
エナジー消費がありません</t>
    <phoneticPr fontId="3"/>
  </si>
  <si>
    <t>ターン経過でユニットは
強力なスキルが使えるようになります</t>
    <rPh sb="3" eb="5">
      <t>ケイカ</t>
    </rPh>
    <rPh sb="12" eb="14">
      <t>キョウリョク</t>
    </rPh>
    <rPh sb="19" eb="20">
      <t>ツカ</t>
    </rPh>
    <phoneticPr fontId="3"/>
  </si>
  <si>
    <t>ピンチの時はフィーバーで
一発逆転を狙いましょう</t>
    <rPh sb="4" eb="5">
      <t>トk</t>
    </rPh>
    <rPh sb="13" eb="17">
      <t>イッパツギャクテン</t>
    </rPh>
    <rPh sb="18" eb="19">
      <t>ネラ</t>
    </rPh>
    <phoneticPr fontId="3"/>
  </si>
  <si>
    <t>フィーバー中は虹色のパネルを壊して
大ダメージを狙いましょう</t>
    <rPh sb="5" eb="6">
      <t>チュウ</t>
    </rPh>
    <rPh sb="7" eb="9">
      <t>ニジイロ</t>
    </rPh>
    <rPh sb="14" eb="15">
      <t>コワ</t>
    </rPh>
    <rPh sb="18" eb="19">
      <t>ダイ</t>
    </rPh>
    <rPh sb="24" eb="25">
      <t>ネラ</t>
    </rPh>
    <phoneticPr fontId="3"/>
  </si>
  <si>
    <t>「クリスタルのりんご」を強化に使うと
スキルLvを上げることができます</t>
    <rPh sb="12" eb="14">
      <t>キョウカ</t>
    </rPh>
    <rPh sb="15" eb="18">
      <t>ツカ</t>
    </rPh>
    <rPh sb="25" eb="33">
      <t>アガr</t>
    </rPh>
    <phoneticPr fontId="3"/>
  </si>
  <si>
    <t>スキルLvが上がると
短いターンでスキルを使うことができます</t>
    <rPh sb="21" eb="22">
      <t>ツカ</t>
    </rPh>
    <phoneticPr fontId="3"/>
  </si>
  <si>
    <t>ホームでユニットを長押しすると
すぐにパーティ編成に移動できます</t>
    <rPh sb="9" eb="11">
      <t>ナガオ</t>
    </rPh>
    <rPh sb="23" eb="25">
      <t>ヘンセイ</t>
    </rPh>
    <rPh sb="26" eb="28">
      <t>イドウ</t>
    </rPh>
    <phoneticPr fontId="3"/>
  </si>
  <si>
    <t>ユニットのアイコンを長押しすると
ステータス情報を見ることができます</t>
    <rPh sb="10" eb="12">
      <t>ナガオ</t>
    </rPh>
    <rPh sb="22" eb="24">
      <t>ジョウホウ</t>
    </rPh>
    <rPh sb="25" eb="26">
      <t>ミ</t>
    </rPh>
    <phoneticPr fontId="3"/>
  </si>
  <si>
    <t>同じユニット同士を強化すると
「バグ」を増やすことができます</t>
    <rPh sb="0" eb="1">
      <t>オナ</t>
    </rPh>
    <rPh sb="6" eb="8">
      <t>ドウシ</t>
    </rPh>
    <rPh sb="9" eb="11">
      <t>キョウカ</t>
    </rPh>
    <rPh sb="20" eb="21">
      <t>フ</t>
    </rPh>
    <phoneticPr fontId="3"/>
  </si>
  <si>
    <t>特定のイベントでしか入手できない
ユニットがいるようです</t>
    <rPh sb="0" eb="2">
      <t>トクテイ</t>
    </rPh>
    <phoneticPr fontId="3"/>
  </si>
  <si>
    <t>消せない「お邪魔パネル」は
フィーバーで落としてしまいましょう</t>
    <rPh sb="0" eb="1">
      <t>ケ</t>
    </rPh>
    <rPh sb="6" eb="8">
      <t>ジャマ</t>
    </rPh>
    <rPh sb="20" eb="21">
      <t>オ</t>
    </rPh>
    <phoneticPr fontId="3"/>
  </si>
  <si>
    <t>攻撃力ダウンを受けたときは
攻撃力アップスキルで効果を上書きできます</t>
    <rPh sb="0" eb="3">
      <t>コウゲキリョク</t>
    </rPh>
    <rPh sb="7" eb="8">
      <t>ウ</t>
    </rPh>
    <rPh sb="14" eb="17">
      <t>コウゲキリョク</t>
    </rPh>
    <rPh sb="24" eb="26">
      <t>コウカ</t>
    </rPh>
    <rPh sb="27" eb="29">
      <t>ウワガ</t>
    </rPh>
    <phoneticPr fontId="3"/>
  </si>
  <si>
    <t>敵の攻撃力がアップしたときは
攻撃力ダウンスキルで効果を上書きできます</t>
    <rPh sb="0" eb="1">
      <t>テキ</t>
    </rPh>
    <rPh sb="2" eb="5">
      <t>コウゲキリョク</t>
    </rPh>
    <rPh sb="15" eb="18">
      <t>コウゲキリョク</t>
    </rPh>
    <rPh sb="25" eb="27">
      <t>コウカ</t>
    </rPh>
    <rPh sb="28" eb="30">
      <t>ウワガ</t>
    </rPh>
    <phoneticPr fontId="3"/>
  </si>
  <si>
    <t>限界突破の+値は同じユニットなら
覚醒前後でも強化で引き継がれます</t>
    <rPh sb="0" eb="4">
      <t>ゲンカイトッパ</t>
    </rPh>
    <rPh sb="6" eb="7">
      <t>アタイ</t>
    </rPh>
    <rPh sb="8" eb="9">
      <t>オナ</t>
    </rPh>
    <rPh sb="17" eb="21">
      <t>カクセイケイ</t>
    </rPh>
    <rPh sb="23" eb="25">
      <t>キョウカ</t>
    </rPh>
    <rPh sb="26" eb="27">
      <t>ヒ</t>
    </rPh>
    <rPh sb="28" eb="29">
      <t>ツ</t>
    </rPh>
    <phoneticPr fontId="3"/>
  </si>
  <si>
    <t>赤りんご(攻撃力)、青りんご(回復力)、
緑りんご(体力)は
合計99個までステータスを上げられます</t>
    <rPh sb="0" eb="1">
      <t>アカ</t>
    </rPh>
    <rPh sb="10" eb="11">
      <t>アオ</t>
    </rPh>
    <rPh sb="21" eb="22">
      <t>ミドリ</t>
    </rPh>
    <rPh sb="31" eb="33">
      <t>ゴウケイ</t>
    </rPh>
    <rPh sb="35" eb="36">
      <t>コ</t>
    </rPh>
    <rPh sb="44" eb="45">
      <t>ア</t>
    </rPh>
    <phoneticPr fontId="3"/>
  </si>
  <si>
    <t>敵の連続攻撃には「カウンター」スキルが有効！
ダメージ回数分の攻撃を返せます</t>
    <rPh sb="0" eb="1">
      <t>テキ</t>
    </rPh>
    <rPh sb="2" eb="6">
      <t>レンゾクコウゲキ</t>
    </rPh>
    <rPh sb="19" eb="21">
      <t>ユウコウ</t>
    </rPh>
    <rPh sb="27" eb="30">
      <t>カイスウブン</t>
    </rPh>
    <rPh sb="31" eb="33">
      <t>コウゲキ</t>
    </rPh>
    <rPh sb="34" eb="35">
      <t>カエ</t>
    </rPh>
    <phoneticPr fontId="3"/>
  </si>
  <si>
    <t>敵のカウンターには「カウンターブレイク」！
カウンターを解除して攻撃をしかけましょう</t>
    <rPh sb="0" eb="1">
      <t>テキ</t>
    </rPh>
    <rPh sb="28" eb="30">
      <t>カイジョ</t>
    </rPh>
    <rPh sb="32" eb="34">
      <t>コウゲキ</t>
    </rPh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</si>
  <si>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</si>
  <si>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</si>
  <si>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初級</t>
    <rPh sb="0" eb="1">
      <t>ショキュウ</t>
    </rPh>
    <phoneticPr fontId="3"/>
  </si>
  <si>
    <t>中級</t>
    <rPh sb="0" eb="1">
      <t>チュウキュウ</t>
    </rPh>
    <phoneticPr fontId="3"/>
  </si>
  <si>
    <t>上級</t>
    <rPh sb="0" eb="1">
      <t>ジョウキュウ</t>
    </rPh>
    <phoneticPr fontId="3"/>
  </si>
  <si>
    <t>超級</t>
    <rPh sb="0" eb="1">
      <t>チョウキュウ</t>
    </rPh>
    <phoneticPr fontId="3"/>
  </si>
  <si>
    <t>超絶</t>
    <rPh sb="0" eb="1">
      <t>チョウゼツ</t>
    </rPh>
    <phoneticPr fontId="3"/>
  </si>
  <si>
    <t>Wiz</t>
    <phoneticPr fontId="3"/>
  </si>
  <si>
    <t>1-1</t>
    <phoneticPr fontId="3"/>
  </si>
  <si>
    <t>○</t>
    <phoneticPr fontId="3"/>
  </si>
  <si>
    <t>1-2</t>
  </si>
  <si>
    <t>1-3</t>
  </si>
  <si>
    <t>11-6</t>
    <phoneticPr fontId="3"/>
  </si>
  <si>
    <t>2-1</t>
    <phoneticPr fontId="3"/>
  </si>
  <si>
    <t>11-6</t>
    <phoneticPr fontId="3"/>
  </si>
  <si>
    <t>11-6</t>
    <phoneticPr fontId="3"/>
  </si>
  <si>
    <t>○</t>
  </si>
  <si>
    <t>3-2</t>
  </si>
  <si>
    <t>3-3</t>
  </si>
  <si>
    <t>3-4</t>
  </si>
  <si>
    <t>4-2</t>
  </si>
  <si>
    <t>4-3</t>
  </si>
  <si>
    <t>4-4</t>
  </si>
  <si>
    <t>5-2</t>
  </si>
  <si>
    <t>5-3</t>
  </si>
  <si>
    <t>5-4</t>
  </si>
  <si>
    <t>6-2</t>
  </si>
  <si>
    <t>11-6</t>
    <phoneticPr fontId="3"/>
  </si>
  <si>
    <t>6-3</t>
  </si>
  <si>
    <t>11-6</t>
    <phoneticPr fontId="3"/>
  </si>
  <si>
    <t>7-1</t>
    <phoneticPr fontId="3"/>
  </si>
  <si>
    <t>7-2</t>
    <phoneticPr fontId="3"/>
  </si>
  <si>
    <t>7-3〜</t>
    <phoneticPr fontId="3"/>
  </si>
  <si>
    <t>11-6</t>
  </si>
  <si>
    <t>12-1〜</t>
    <phoneticPr fontId="3"/>
  </si>
  <si>
    <t>26-6</t>
    <phoneticPr fontId="3"/>
  </si>
  <si>
    <t>2-2</t>
    <phoneticPr fontId="3"/>
  </si>
  <si>
    <t>11-6</t>
    <phoneticPr fontId="3"/>
  </si>
  <si>
    <t>2-3</t>
    <phoneticPr fontId="3"/>
  </si>
  <si>
    <t>2-4</t>
    <phoneticPr fontId="3"/>
  </si>
  <si>
    <t>11-6</t>
    <phoneticPr fontId="3"/>
  </si>
  <si>
    <t>3-1</t>
    <phoneticPr fontId="3"/>
  </si>
  <si>
    <t>11-6</t>
    <phoneticPr fontId="3"/>
  </si>
  <si>
    <t>4-1</t>
    <phoneticPr fontId="3"/>
  </si>
  <si>
    <t>11-6</t>
    <phoneticPr fontId="3"/>
  </si>
  <si>
    <t>11-6</t>
    <phoneticPr fontId="3"/>
  </si>
  <si>
    <t>11-6</t>
    <phoneticPr fontId="3"/>
  </si>
  <si>
    <t>11-6</t>
    <phoneticPr fontId="3"/>
  </si>
  <si>
    <t>5-1</t>
    <phoneticPr fontId="3"/>
  </si>
  <si>
    <t>11-6</t>
    <phoneticPr fontId="3"/>
  </si>
  <si>
    <t>11-6</t>
    <phoneticPr fontId="3"/>
  </si>
  <si>
    <t>11-6</t>
    <phoneticPr fontId="3"/>
  </si>
  <si>
    <t>11-6</t>
    <phoneticPr fontId="3"/>
  </si>
  <si>
    <t>6-1</t>
    <phoneticPr fontId="3"/>
  </si>
  <si>
    <t>11-6</t>
    <phoneticPr fontId="3"/>
  </si>
  <si>
    <t>1-4</t>
  </si>
  <si>
    <t>6-6</t>
    <phoneticPr fontId="3"/>
  </si>
  <si>
    <t>11-6</t>
    <phoneticPr fontId="3"/>
  </si>
  <si>
    <t>チャレンジタワー15F、20F、25Fのボスユニットは
一定確率でドロップするようです</t>
    <rPh sb="28" eb="32">
      <t>イッテイカクリツ</t>
    </rPh>
    <phoneticPr fontId="3"/>
  </si>
  <si>
    <t>チャレンジタワー15F、20F、25Fのボスは
一定確率でドロップするようです</t>
    <rPh sb="24" eb="28">
      <t>イッテイカクリツ</t>
    </rPh>
    <phoneticPr fontId="3"/>
  </si>
  <si>
    <t>「バグ」を上げると
報酬をもらえる確率がアップします</t>
    <rPh sb="5" eb="6">
      <t>ア</t>
    </rPh>
    <rPh sb="10" eb="19">
      <t>ホウシュウカクリツ</t>
    </rPh>
    <phoneticPr fontId="3"/>
  </si>
  <si>
    <t>長くつなげて大ダメージ</t>
    <rPh sb="0" eb="1">
      <t>ナガ</t>
    </rPh>
    <rPh sb="6" eb="7">
      <t>ダイ</t>
    </rPh>
    <phoneticPr fontId="1"/>
  </si>
  <si>
    <t>パネルを長くつなげるほど
大ダメージを与えることができます</t>
    <rPh sb="4" eb="5">
      <t>ナガ</t>
    </rPh>
    <rPh sb="13" eb="14">
      <t>ダイ</t>
    </rPh>
    <rPh sb="19" eb="20">
      <t>アタ</t>
    </rPh>
    <phoneticPr fontId="1"/>
  </si>
  <si>
    <t>属性の相性</t>
    <rPh sb="0" eb="2">
      <t>ユウリゾクセイ</t>
    </rPh>
    <rPh sb="3" eb="5">
      <t>アイショウ</t>
    </rPh>
    <phoneticPr fontId="1"/>
  </si>
  <si>
    <t>赤＞青　青＞黄　黄＞緑　緑＞赤
敵属性に最適なパーティがオススメです</t>
    <rPh sb="0" eb="1">
      <t>アカ</t>
    </rPh>
    <rPh sb="2" eb="3">
      <t>アオ</t>
    </rPh>
    <rPh sb="4" eb="5">
      <t>アオ</t>
    </rPh>
    <rPh sb="6" eb="7">
      <t>キイロ</t>
    </rPh>
    <rPh sb="8" eb="9">
      <t>キイロ</t>
    </rPh>
    <rPh sb="10" eb="11">
      <t>ミドリ</t>
    </rPh>
    <rPh sb="12" eb="13">
      <t>ミドリ</t>
    </rPh>
    <rPh sb="14" eb="15">
      <t>アカ</t>
    </rPh>
    <rPh sb="16" eb="19">
      <t>テキゾクセイ</t>
    </rPh>
    <rPh sb="20" eb="22">
      <t>サイテキ</t>
    </rPh>
    <phoneticPr fontId="1"/>
  </si>
  <si>
    <t>敵ユニットをタップすると
その敵を狙い撃ちできます</t>
    <rPh sb="15" eb="16">
      <t>テキ</t>
    </rPh>
    <phoneticPr fontId="1"/>
  </si>
  <si>
    <t>ノーマルクエストを進めると
嬉しいボーナスクエストが登場します</t>
    <rPh sb="9" eb="10">
      <t>スス</t>
    </rPh>
    <rPh sb="14" eb="15">
      <t>ウレ</t>
    </rPh>
    <rPh sb="26" eb="28">
      <t>トウジョウ</t>
    </rPh>
    <phoneticPr fontId="1"/>
  </si>
  <si>
    <t>ユニット強化でレベルアップ</t>
    <rPh sb="4" eb="6">
      <t>キョウカ</t>
    </rPh>
    <phoneticPr fontId="1"/>
  </si>
  <si>
    <t>ユニット強化の属性ボーナス</t>
    <rPh sb="4" eb="6">
      <t>キョウカ</t>
    </rPh>
    <phoneticPr fontId="1"/>
  </si>
  <si>
    <t>メタルダックで経験値を獲得</t>
    <rPh sb="7" eb="10">
      <t>ケイケンチ</t>
    </rPh>
    <rPh sb="11" eb="13">
      <t>カクトク</t>
    </rPh>
    <phoneticPr fontId="1"/>
  </si>
  <si>
    <t>ゲリラクエストは要チェック</t>
    <rPh sb="8" eb="9">
      <t>ヨウ</t>
    </rPh>
    <phoneticPr fontId="1"/>
  </si>
  <si>
    <t>ゴールドダックでビットを獲得</t>
    <rPh sb="12" eb="14">
      <t>カクトク</t>
    </rPh>
    <phoneticPr fontId="1"/>
  </si>
  <si>
    <t>土日に大量のビットを獲得</t>
    <rPh sb="0" eb="2">
      <t>ドニチ</t>
    </rPh>
    <rPh sb="3" eb="5">
      <t>タイリョウ</t>
    </rPh>
    <rPh sb="10" eb="12">
      <t>カクトク</t>
    </rPh>
    <phoneticPr fontId="1"/>
  </si>
  <si>
    <t>ユニットのお気に入り登録</t>
  </si>
  <si>
    <t>ユニットの覚醒</t>
    <rPh sb="5" eb="7">
      <t>カクセイ</t>
    </rPh>
    <phoneticPr fontId="1"/>
  </si>
  <si>
    <t>覚醒するにはレベルを最大に</t>
    <rPh sb="0" eb="2">
      <t>カクセイ</t>
    </rPh>
    <rPh sb="10" eb="12">
      <t>サイダイ</t>
    </rPh>
    <phoneticPr fontId="1"/>
  </si>
  <si>
    <t>覚醒素材を獲得</t>
    <rPh sb="0" eb="2">
      <t>カクセイ</t>
    </rPh>
    <rPh sb="2" eb="4">
      <t>ソザイ</t>
    </rPh>
    <rPh sb="5" eb="7">
      <t>カクトク</t>
    </rPh>
    <phoneticPr fontId="1"/>
  </si>
  <si>
    <t>マルチプレイのメリット（その1）</t>
  </si>
  <si>
    <t>リンクガチャ</t>
  </si>
  <si>
    <t>マルチプレイのメリット（その2）</t>
  </si>
  <si>
    <t>マルチプレイのメリット（その3）</t>
  </si>
  <si>
    <t>スキルを有効に</t>
    <rPh sb="4" eb="6">
      <t>ユウコウ</t>
    </rPh>
    <phoneticPr fontId="1"/>
  </si>
  <si>
    <t>フィーバーで一発逆転（その1）</t>
    <rPh sb="6" eb="8">
      <t>イッパツ</t>
    </rPh>
    <rPh sb="8" eb="10">
      <t>ギャクテン</t>
    </rPh>
    <phoneticPr fontId="1"/>
  </si>
  <si>
    <t>フィーバーで一発逆転（その2）</t>
    <rPh sb="6" eb="10">
      <t>イッパツギャクテン</t>
    </rPh>
    <phoneticPr fontId="1"/>
  </si>
  <si>
    <t>「ユニット強化」でレベルアップすると
勝てない敵にも勝てるようになります</t>
    <rPh sb="5" eb="7">
      <t>キョウカ</t>
    </rPh>
    <rPh sb="19" eb="20">
      <t>カ</t>
    </rPh>
    <rPh sb="23" eb="24">
      <t>テキ</t>
    </rPh>
    <rPh sb="26" eb="27">
      <t>カ</t>
    </rPh>
    <phoneticPr fontId="1"/>
  </si>
  <si>
    <t>同属性ユニットを強化素材にすると
経験値が多くもらえます</t>
    <rPh sb="0" eb="1">
      <t>ドウ</t>
    </rPh>
    <rPh sb="8" eb="10">
      <t>キョウカ</t>
    </rPh>
    <rPh sb="10" eb="12">
      <t>ソザイ</t>
    </rPh>
    <rPh sb="21" eb="22">
      <t>オオ</t>
    </rPh>
    <phoneticPr fontId="1"/>
  </si>
  <si>
    <t>「メタルなアヒル」を強化素材にすると
大量の経験値がもらえます</t>
    <rPh sb="10" eb="12">
      <t>キョウカ</t>
    </rPh>
    <rPh sb="12" eb="14">
      <t>ソザイ</t>
    </rPh>
    <rPh sb="19" eb="21">
      <t>タイリョウ</t>
    </rPh>
    <rPh sb="22" eb="25">
      <t>ケイケンチ</t>
    </rPh>
    <phoneticPr fontId="1"/>
  </si>
  <si>
    <t>時間限定の「アヒル捕獲作戦」では
経験値素材ユニットが多く手に入ります</t>
    <rPh sb="0" eb="4">
      <t>ジカンゲンテイ</t>
    </rPh>
    <rPh sb="27" eb="29">
      <t>オオk</t>
    </rPh>
    <rPh sb="29" eb="32">
      <t xml:space="preserve"> </t>
    </rPh>
    <phoneticPr fontId="1"/>
  </si>
  <si>
    <t>「ゴールドなアヒル」を売却すると
大量のビットがもらえます</t>
    <rPh sb="11" eb="13">
      <t>バイキャク</t>
    </rPh>
    <rPh sb="17" eb="19">
      <t>タイリョウ</t>
    </rPh>
    <phoneticPr fontId="1"/>
  </si>
  <si>
    <t>土日限定の「ゴールドカジノ」では
売却素材ユニットが多く手に入ります</t>
    <rPh sb="17" eb="19">
      <t>バイキャク</t>
    </rPh>
    <rPh sb="19" eb="21">
      <t>ソザイ</t>
    </rPh>
    <rPh sb="26" eb="27">
      <t>オオ</t>
    </rPh>
    <rPh sb="28" eb="29">
      <t>テ</t>
    </rPh>
    <rPh sb="30" eb="31">
      <t>ハイ</t>
    </rPh>
    <phoneticPr fontId="1"/>
  </si>
  <si>
    <t>大事なユニットを誤って消さないように
フォルダから「お気に入り登録」しましょう</t>
    <rPh sb="8" eb="9">
      <t>アヤマ</t>
    </rPh>
    <rPh sb="11" eb="12">
      <t>ケ</t>
    </rPh>
    <phoneticPr fontId="1"/>
  </si>
  <si>
    <t>ユニットを覚醒させると
比べものにならない強さが手に入ります</t>
    <rPh sb="5" eb="7">
      <t>カクセイ</t>
    </rPh>
    <rPh sb="12" eb="13">
      <t>クラ</t>
    </rPh>
    <rPh sb="21" eb="22">
      <t>ツヨ</t>
    </rPh>
    <rPh sb="24" eb="25">
      <t>テ</t>
    </rPh>
    <rPh sb="26" eb="27">
      <t>ハイ</t>
    </rPh>
    <phoneticPr fontId="1"/>
  </si>
  <si>
    <t>覚醒するにはユニットのレベルを
最大まで上げる必要があります</t>
    <rPh sb="0" eb="2">
      <t>カクセイ</t>
    </rPh>
    <rPh sb="16" eb="18">
      <t>サイダイ</t>
    </rPh>
    <rPh sb="20" eb="21">
      <t>ア</t>
    </rPh>
    <rPh sb="23" eb="25">
      <t>ヒツヨウ</t>
    </rPh>
    <phoneticPr fontId="1"/>
  </si>
  <si>
    <t>「曜日クエスト」では
ユニットの覚醒に必要な素材が手に入ります</t>
    <rPh sb="16" eb="18">
      <t>カクセイ</t>
    </rPh>
    <rPh sb="19" eb="21">
      <t>ヒツヨウ</t>
    </rPh>
    <rPh sb="22" eb="24">
      <t>ソザイ</t>
    </rPh>
    <rPh sb="25" eb="26">
      <t>テ</t>
    </rPh>
    <rPh sb="27" eb="28">
      <t>ハイ</t>
    </rPh>
    <phoneticPr fontId="1"/>
  </si>
  <si>
    <t>他のプレイヤーとマルチプレイで遊ぶと
ポリゴンがもらえます（100人まで）</t>
    <rPh sb="0" eb="1">
      <t>ホカ</t>
    </rPh>
    <rPh sb="15" eb="16">
      <t>アソ</t>
    </rPh>
    <rPh sb="33" eb="34">
      <t>ニン</t>
    </rPh>
    <phoneticPr fontId="1"/>
  </si>
  <si>
    <t>無料のリンクガチャを回して
経験値素材や売却素材を獲得しましょう</t>
    <rPh sb="0" eb="2">
      <t>ムリョウ</t>
    </rPh>
    <rPh sb="10" eb="11">
      <t>マワs</t>
    </rPh>
    <rPh sb="14" eb="19">
      <t>ケイケンチソザイ</t>
    </rPh>
    <rPh sb="20" eb="24">
      <t>バイキャクソザイ</t>
    </rPh>
    <rPh sb="25" eb="27">
      <t>カクトク</t>
    </rPh>
    <phoneticPr fontId="1"/>
  </si>
  <si>
    <t>マルチプレイならリンクが2倍もらえます
リンクガチャをたくさん回しましょう</t>
    <rPh sb="31" eb="32">
      <t>マワ</t>
    </rPh>
    <phoneticPr fontId="1"/>
  </si>
  <si>
    <t>マルチプレイへの参加はエナジー消費ゼロ
いつでも好きなだけ遊ぶことができます</t>
    <rPh sb="24" eb="25">
      <t>ス</t>
    </rPh>
    <rPh sb="29" eb="30">
      <t>アソ</t>
    </rPh>
    <phoneticPr fontId="1"/>
  </si>
  <si>
    <t>ターン経過でユニットのスキルが使えます
強力スキルでバトルを有利に進めましょう</t>
    <rPh sb="3" eb="5">
      <t>ケイカ</t>
    </rPh>
    <rPh sb="15" eb="16">
      <t>ツカ</t>
    </rPh>
    <rPh sb="20" eb="22">
      <t>キョウリョク</t>
    </rPh>
    <rPh sb="30" eb="32">
      <t>ユウリ</t>
    </rPh>
    <rPh sb="33" eb="34">
      <t>スス</t>
    </rPh>
    <phoneticPr fontId="1"/>
  </si>
  <si>
    <t>フィーバーは攻撃と回復を兼ね備えます
ピンチからの一発逆転を狙いましょう</t>
    <rPh sb="6" eb="8">
      <t>コウゲキ</t>
    </rPh>
    <rPh sb="9" eb="11">
      <t>カイフク</t>
    </rPh>
    <rPh sb="12" eb="13">
      <t>カ</t>
    </rPh>
    <rPh sb="14" eb="15">
      <t>ソナ</t>
    </rPh>
    <rPh sb="25" eb="29">
      <t>イッパツギャクテン</t>
    </rPh>
    <rPh sb="30" eb="31">
      <t>ネラ</t>
    </rPh>
    <phoneticPr fontId="1"/>
  </si>
  <si>
    <t>フィーバー中は虹色のボムパネルを狙って
画面上のパネルを一気に破壊しましょう</t>
    <rPh sb="5" eb="6">
      <t>チュウ</t>
    </rPh>
    <rPh sb="7" eb="9">
      <t>ニジイロ</t>
    </rPh>
    <rPh sb="16" eb="17">
      <t>ネラ</t>
    </rPh>
    <rPh sb="20" eb="23">
      <t>ガメン</t>
    </rPh>
    <rPh sb="28" eb="30">
      <t>イッキ</t>
    </rPh>
    <rPh sb="31" eb="33">
      <t>ハカイ</t>
    </rPh>
    <phoneticPr fontId="1"/>
  </si>
  <si>
    <t>スキルレベルアップ</t>
  </si>
  <si>
    <t>スキルレベルの効果</t>
    <rPh sb="7" eb="9">
      <t>コウカ</t>
    </rPh>
    <phoneticPr fontId="1"/>
  </si>
  <si>
    <t>ホーム画面からデッキを編成</t>
    <rPh sb="3" eb="5">
      <t>ガメン</t>
    </rPh>
    <rPh sb="11" eb="13">
      <t>ヘンセイ</t>
    </rPh>
    <phoneticPr fontId="1"/>
  </si>
  <si>
    <t>ステータス情報は長押しで</t>
    <rPh sb="5" eb="7">
      <t>ショウサイジョウホウ</t>
    </rPh>
    <rPh sb="8" eb="10">
      <t>ナガオ</t>
    </rPh>
    <phoneticPr fontId="1"/>
  </si>
  <si>
    <t>「バグ」のメリット</t>
  </si>
  <si>
    <t>「バグ」の増やし方</t>
    <rPh sb="5" eb="6">
      <t>フ</t>
    </rPh>
    <rPh sb="8" eb="9">
      <t>カタ</t>
    </rPh>
    <phoneticPr fontId="1"/>
  </si>
  <si>
    <t>イベントはお知らせでチェック</t>
    <rPh sb="6" eb="7">
      <t>シ</t>
    </rPh>
    <phoneticPr fontId="1"/>
  </si>
  <si>
    <t>お邪魔パネルはフィーバーで</t>
    <rPh sb="1" eb="3">
      <t>ジャマ</t>
    </rPh>
    <phoneticPr fontId="1"/>
  </si>
  <si>
    <t>敵の連続攻撃には</t>
    <rPh sb="0" eb="1">
      <t>テキ</t>
    </rPh>
    <rPh sb="2" eb="6">
      <t>レンゾクコウゲキ</t>
    </rPh>
    <phoneticPr fontId="1"/>
  </si>
  <si>
    <t>敵のカウンター攻撃には</t>
    <rPh sb="0" eb="1">
      <t>テキ</t>
    </rPh>
    <rPh sb="7" eb="9">
      <t>コウゲキ</t>
    </rPh>
    <phoneticPr fontId="1"/>
  </si>
  <si>
    <t>ステータスをスキルで下げられたら</t>
    <rPh sb="10" eb="11">
      <t>サ</t>
    </rPh>
    <phoneticPr fontId="1"/>
  </si>
  <si>
    <t>敵のステータスがスキルで上がったら</t>
    <rPh sb="0" eb="1">
      <t>テキ</t>
    </rPh>
    <rPh sb="12" eb="13">
      <t>ア</t>
    </rPh>
    <phoneticPr fontId="1"/>
  </si>
  <si>
    <t>限界突破値の引き継ぎ</t>
    <rPh sb="0" eb="4">
      <t>ゲンカイトッパ</t>
    </rPh>
    <rPh sb="4" eb="5">
      <t>アタイ</t>
    </rPh>
    <rPh sb="6" eb="7">
      <t>ヒ</t>
    </rPh>
    <rPh sb="8" eb="9">
      <t>ツ</t>
    </rPh>
    <phoneticPr fontId="1"/>
  </si>
  <si>
    <t>スキルレベルが上がると
短いターンでスキルを使うことができます</t>
    <rPh sb="22" eb="23">
      <t>ツカ</t>
    </rPh>
    <phoneticPr fontId="1"/>
  </si>
  <si>
    <t>ホーム画面でユニットを長押しすると
すぐにパーティ編成に移動できます</t>
    <rPh sb="3" eb="5">
      <t>ガメン</t>
    </rPh>
    <rPh sb="11" eb="13">
      <t>ナガオ</t>
    </rPh>
    <rPh sb="25" eb="27">
      <t>ヘンセイ</t>
    </rPh>
    <rPh sb="28" eb="30">
      <t>イドウ</t>
    </rPh>
    <phoneticPr fontId="1"/>
  </si>
  <si>
    <t>ユニットのアイコンを長押しすると
ステータス情報を確認することができます</t>
    <rPh sb="10" eb="12">
      <t>ナガオ</t>
    </rPh>
    <rPh sb="22" eb="24">
      <t>ジョウホウ</t>
    </rPh>
    <rPh sb="25" eb="27">
      <t>カクニン</t>
    </rPh>
    <phoneticPr fontId="1"/>
  </si>
  <si>
    <t>ユニットの「バグ」を増やすと
報酬をもらえる確率がアップします</t>
    <rPh sb="10" eb="11">
      <t>フ</t>
    </rPh>
    <rPh sb="15" eb="24">
      <t>ホウシュウカクリツ</t>
    </rPh>
    <phoneticPr fontId="1"/>
  </si>
  <si>
    <t>同じユニット同士を強化で合成すると
「バグ」を増やすことができます</t>
    <rPh sb="0" eb="1">
      <t>オナ</t>
    </rPh>
    <rPh sb="6" eb="8">
      <t>ドウシ</t>
    </rPh>
    <rPh sb="9" eb="11">
      <t>キョウカ</t>
    </rPh>
    <rPh sb="12" eb="14">
      <t>ゴウセイ</t>
    </rPh>
    <rPh sb="23" eb="24">
      <t>フ</t>
    </rPh>
    <phoneticPr fontId="1"/>
  </si>
  <si>
    <t>イベント限定ユニットを取り忘れないように
お知らせをこまめにチェックしましょう</t>
    <rPh sb="4" eb="6">
      <t>ゲンテイ</t>
    </rPh>
    <rPh sb="11" eb="12">
      <t>ト</t>
    </rPh>
    <rPh sb="13" eb="14">
      <t>ワス</t>
    </rPh>
    <rPh sb="22" eb="23">
      <t>シ</t>
    </rPh>
    <phoneticPr fontId="1"/>
  </si>
  <si>
    <t>つなげて消せない「お邪魔パネル」は
フィーバーで下へ落としてしまいましょう</t>
    <rPh sb="4" eb="5">
      <t>ケ</t>
    </rPh>
    <rPh sb="10" eb="12">
      <t>ジャマ</t>
    </rPh>
    <rPh sb="24" eb="25">
      <t>シタ</t>
    </rPh>
    <rPh sb="26" eb="27">
      <t>オ</t>
    </rPh>
    <phoneticPr fontId="1"/>
  </si>
  <si>
    <t>カウンタースキルを持つユニットがいれば
ダメージ回数分の反撃ができます</t>
    <rPh sb="9" eb="10">
      <t>モ</t>
    </rPh>
    <rPh sb="24" eb="27">
      <t>カイスウブン</t>
    </rPh>
    <rPh sb="28" eb="30">
      <t>ハンゲキ</t>
    </rPh>
    <phoneticPr fontId="1"/>
  </si>
  <si>
    <t>カウンターブレイクスキルを持っていれば
敵のカウンターを解除して攻撃ができます</t>
    <rPh sb="13" eb="14">
      <t>モ</t>
    </rPh>
    <rPh sb="20" eb="21">
      <t>テキ</t>
    </rPh>
    <rPh sb="28" eb="30">
      <t>カイジョ</t>
    </rPh>
    <rPh sb="32" eb="34">
      <t>コウゲキ</t>
    </rPh>
    <phoneticPr fontId="1"/>
  </si>
  <si>
    <t>ステータスダウンのスキルを受けたら
ステータスアップスキルで上書きしましょう</t>
    <rPh sb="13" eb="14">
      <t>ウ</t>
    </rPh>
    <rPh sb="30" eb="32">
      <t>ウワガ</t>
    </rPh>
    <phoneticPr fontId="1"/>
  </si>
  <si>
    <t>敵のステータスがスキルでアップしたときは
ステータスダウンスキルで上書きしましょう</t>
    <rPh sb="0" eb="1">
      <t>テキ</t>
    </rPh>
    <rPh sb="33" eb="35">
      <t>ウワガ</t>
    </rPh>
    <phoneticPr fontId="1"/>
  </si>
  <si>
    <t>同じユニットを強化で合成すると
限界突破値を引き継げます（覚醒前後も可）</t>
    <rPh sb="7" eb="9">
      <t>キョウカ</t>
    </rPh>
    <rPh sb="10" eb="12">
      <t>ゴウセイ</t>
    </rPh>
    <rPh sb="16" eb="20">
      <t>ゲンカイトッパ</t>
    </rPh>
    <rPh sb="20" eb="21">
      <t>アタイ</t>
    </rPh>
    <rPh sb="22" eb="23">
      <t>ヒ</t>
    </rPh>
    <rPh sb="24" eb="25">
      <t>ツ</t>
    </rPh>
    <rPh sb="29" eb="33">
      <t>カクセイゼンゴ</t>
    </rPh>
    <rPh sb="34" eb="35">
      <t>カノウ</t>
    </rPh>
    <phoneticPr fontId="1"/>
  </si>
  <si>
    <t>システム適合者を確認</t>
    <rPh sb="4" eb="7">
      <t>テキゴウシャ</t>
    </rPh>
    <rPh sb="8" eb="10">
      <t>カクニン</t>
    </rPh>
    <phoneticPr fontId="3"/>
  </si>
  <si>
    <t>26-6</t>
    <phoneticPr fontId="3"/>
  </si>
  <si>
    <t>オーディン事件の真相</t>
    <phoneticPr fontId="3"/>
  </si>
  <si>
    <t>オーディンは女王勢力を内側から
抑えていた。
貴方の力を認めたオーディンは
女王事件の事を託し、
再びALICEの守護に就いた</t>
    <rPh sb="11" eb="13">
      <t>ウt</t>
    </rPh>
    <rPh sb="13" eb="15">
      <t>ナイb</t>
    </rPh>
    <rPh sb="16" eb="18">
      <t>オサ</t>
    </rPh>
    <rPh sb="23" eb="25">
      <t>アナタ</t>
    </rPh>
    <phoneticPr fontId="3"/>
  </si>
  <si>
    <t>ケロケロを使って経験値を獲得</t>
    <rPh sb="5" eb="8">
      <t>ツカッt</t>
    </rPh>
    <rPh sb="8" eb="12">
      <t>ケイケンt</t>
    </rPh>
    <rPh sb="12" eb="14">
      <t>カk</t>
    </rPh>
    <phoneticPr fontId="1"/>
  </si>
  <si>
    <t>「ケロケロ」を育てて
「メタルフロッグ」に覚醒させましょう
超大量の経験値素材になります</t>
    <rPh sb="31" eb="34">
      <t>チョウタイリョウ</t>
    </rPh>
    <phoneticPr fontId="1"/>
  </si>
  <si>
    <t>ALICEが 「アナタ」を呼んでいます</t>
    <phoneticPr fontId="3"/>
  </si>
  <si>
    <t>ソロ専用タワーオブザクイーン</t>
    <phoneticPr fontId="1"/>
  </si>
  <si>
    <t>ソロ専用の「タワーオブザクイーン」は
期間限定で定期的に開催されます
ここでしか獲得できない報酬もあるようです</t>
    <phoneticPr fontId="1"/>
  </si>
  <si>
    <t>タワーオブザクイーンのボス</t>
    <phoneticPr fontId="3"/>
  </si>
  <si>
    <t>「タワーオブザクイーン」最上階のボスは
15階の初回クリア報酬で獲得できるほか
その階にて低確率でドロップもします</t>
    <phoneticPr fontId="1"/>
  </si>
  <si>
    <t>「秘術の果実」を強化に使うと
スキルレベルを上げることができます</t>
    <rPh sb="8" eb="10">
      <t>キョウカ</t>
    </rPh>
    <rPh sb="11" eb="14">
      <t>ツカ</t>
    </rPh>
    <rPh sb="22" eb="30">
      <t>アガr</t>
    </rPh>
    <phoneticPr fontId="1"/>
  </si>
  <si>
    <t>攻めの果実 癒しの果実
生命の果実をユニット強化に使うと
ステータスが限界突破します（計99個迄）</t>
    <rPh sb="22" eb="24">
      <t>キョウカ</t>
    </rPh>
    <rPh sb="25" eb="26">
      <t>ツカ</t>
    </rPh>
    <rPh sb="35" eb="37">
      <t>ゲンカイチ</t>
    </rPh>
    <rPh sb="37" eb="39">
      <t>トッパ</t>
    </rPh>
    <rPh sb="47" eb="48">
      <t>マデ</t>
    </rPh>
    <phoneticPr fontId="1"/>
  </si>
  <si>
    <t>果実を使って限界突破</t>
    <rPh sb="0" eb="2">
      <t>カジツ</t>
    </rPh>
    <rPh sb="3" eb="4">
      <t>ツカ</t>
    </rPh>
    <rPh sb="6" eb="10">
      <t>ゲンカイトッパ</t>
    </rPh>
    <phoneticPr fontId="1"/>
  </si>
  <si>
    <t>ja</t>
    <phoneticPr fontId="3"/>
  </si>
  <si>
    <t>NULL</t>
    <phoneticPr fontId="3"/>
  </si>
  <si>
    <t>11-6</t>
    <phoneticPr fontId="3"/>
  </si>
  <si>
    <t>○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</si>
</sst>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0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"/>
      <color rgb="FF000000"/>
      <name val="Arial"/>
      <family val="2"/>
    </font>
    <font>
      <sz val="10"/>
      <color theme="1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</font>
    <font>
      <sz val="9.6"/>
      <color rgb="FF000000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9.6"/>
      <color rgb="FF000000"/>
      <name val="ＭＳ Ｐゴシック"/>
      <family val="2"/>
      <charset val="128"/>
    </font>
  </fonts>
  <fills count="2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888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0" fillId="5" borderId="2" applyNumberFormat="0" applyAlignment="0" applyProtection="0"/>
    <xf numFmtId="0" fontId="11" fillId="6" borderId="0" applyNumberFormat="0" applyBorder="0" applyAlignment="0" applyProtection="0"/>
    <xf numFmtId="0" fontId="12" fillId="7" borderId="3" applyNumberFormat="0" applyAlignment="0" applyProtection="0"/>
    <xf numFmtId="0" fontId="13" fillId="0" borderId="0" applyNumberFormat="0" applyFill="0" applyBorder="0" applyAlignment="0" applyProtection="0"/>
    <xf numFmtId="0" fontId="14" fillId="8" borderId="0" applyNumberFormat="0" applyBorder="0" applyAlignment="0" applyProtection="0"/>
    <xf numFmtId="0" fontId="15" fillId="9" borderId="4" applyNumberFormat="0" applyAlignment="0" applyProtection="0"/>
    <xf numFmtId="0" fontId="16" fillId="0" borderId="0" applyNumberFormat="0" applyFill="0" applyBorder="0" applyAlignment="0" applyProtection="0"/>
    <xf numFmtId="0" fontId="17" fillId="0" borderId="5" applyNumberFormat="0" applyFill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9" fillId="0" borderId="0" applyNumberFormat="0" applyFill="0" applyBorder="0" applyAlignment="0" applyProtection="0"/>
    <xf numFmtId="0" fontId="20" fillId="7" borderId="0" applyNumberFormat="0" applyBorder="0" applyAlignment="0" applyProtection="0"/>
    <xf numFmtId="0" fontId="20" fillId="6" borderId="0" applyNumberFormat="0" applyBorder="0" applyAlignment="0" applyProtection="0"/>
    <xf numFmtId="0" fontId="20" fillId="10" borderId="0" applyNumberFormat="0" applyBorder="0" applyAlignment="0" applyProtection="0"/>
    <xf numFmtId="0" fontId="20" fillId="7" borderId="0" applyNumberFormat="0" applyBorder="0" applyAlignment="0" applyProtection="0"/>
    <xf numFmtId="0" fontId="20" fillId="11" borderId="0" applyNumberFormat="0" applyBorder="0" applyAlignment="0" applyProtection="0"/>
    <xf numFmtId="0" fontId="20" fillId="5" borderId="0" applyNumberFormat="0" applyBorder="0" applyAlignment="0" applyProtection="0"/>
    <xf numFmtId="0" fontId="20" fillId="7" borderId="0" applyNumberFormat="0" applyBorder="0" applyAlignment="0" applyProtection="0"/>
    <xf numFmtId="0" fontId="20" fillId="12" borderId="0" applyNumberFormat="0" applyBorder="0" applyAlignment="0" applyProtection="0"/>
    <xf numFmtId="0" fontId="20" fillId="10" borderId="0" applyNumberFormat="0" applyBorder="0" applyAlignment="0" applyProtection="0"/>
    <xf numFmtId="0" fontId="20" fillId="7" borderId="0" applyNumberFormat="0" applyBorder="0" applyAlignment="0" applyProtection="0"/>
    <xf numFmtId="0" fontId="20" fillId="13" borderId="0" applyNumberFormat="0" applyBorder="0" applyAlignment="0" applyProtection="0"/>
    <xf numFmtId="0" fontId="20" fillId="6" borderId="0" applyNumberFormat="0" applyBorder="0" applyAlignment="0" applyProtection="0"/>
    <xf numFmtId="0" fontId="21" fillId="14" borderId="0" applyNumberFormat="0" applyBorder="0" applyAlignment="0" applyProtection="0"/>
    <xf numFmtId="0" fontId="21" fillId="12" borderId="0" applyNumberFormat="0" applyBorder="0" applyAlignment="0" applyProtection="0"/>
    <xf numFmtId="0" fontId="21" fillId="10" borderId="0" applyNumberFormat="0" applyBorder="0" applyAlignment="0" applyProtection="0"/>
    <xf numFmtId="0" fontId="21" fillId="7" borderId="0" applyNumberFormat="0" applyBorder="0" applyAlignment="0" applyProtection="0"/>
    <xf numFmtId="0" fontId="21" fillId="14" borderId="0" applyNumberFormat="0" applyBorder="0" applyAlignment="0" applyProtection="0"/>
    <xf numFmtId="0" fontId="21" fillId="6" borderId="0" applyNumberFormat="0" applyBorder="0" applyAlignment="0" applyProtection="0"/>
    <xf numFmtId="0" fontId="13" fillId="0" borderId="0" applyNumberFormat="0" applyFill="0" applyBorder="0" applyAlignment="0" applyProtection="0"/>
    <xf numFmtId="0" fontId="21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0" borderId="0" applyNumberFormat="0" applyBorder="0" applyAlignment="0" applyProtection="0"/>
    <xf numFmtId="0" fontId="21" fillId="16" borderId="0" applyNumberFormat="0" applyBorder="0" applyAlignment="0" applyProtection="0"/>
    <xf numFmtId="0" fontId="21" fillId="14" borderId="0" applyNumberFormat="0" applyBorder="0" applyAlignment="0" applyProtection="0"/>
    <xf numFmtId="0" fontId="21" fillId="12" borderId="0" applyNumberFormat="0" applyBorder="0" applyAlignment="0" applyProtection="0"/>
    <xf numFmtId="0" fontId="22" fillId="17" borderId="0" applyNumberFormat="0" applyBorder="0" applyAlignment="0" applyProtection="0"/>
    <xf numFmtId="0" fontId="11" fillId="6" borderId="0" applyNumberFormat="0" applyBorder="0" applyAlignment="0" applyProtection="0"/>
    <xf numFmtId="0" fontId="23" fillId="0" borderId="0"/>
    <xf numFmtId="0" fontId="24" fillId="0" borderId="8" applyNumberFormat="0" applyFill="0" applyAlignment="0" applyProtection="0"/>
    <xf numFmtId="0" fontId="25" fillId="7" borderId="9" applyNumberFormat="0" applyAlignment="0" applyProtection="0"/>
    <xf numFmtId="0" fontId="25" fillId="18" borderId="9" applyNumberFormat="0" applyAlignment="0" applyProtection="0"/>
    <xf numFmtId="0" fontId="12" fillId="6" borderId="3" applyNumberFormat="0" applyAlignment="0" applyProtection="0"/>
    <xf numFmtId="0" fontId="26" fillId="0" borderId="10" applyNumberFormat="0" applyFill="0" applyAlignment="0" applyProtection="0"/>
    <xf numFmtId="0" fontId="27" fillId="18" borderId="3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11" applyNumberFormat="0" applyFill="0" applyAlignment="0" applyProtection="0"/>
    <xf numFmtId="0" fontId="30" fillId="19" borderId="0" applyNumberFormat="0" applyBorder="0" applyAlignment="0" applyProtection="0"/>
    <xf numFmtId="0" fontId="31" fillId="20" borderId="0" applyNumberFormat="0" applyBorder="0" applyAlignment="0" applyProtection="0"/>
    <xf numFmtId="0" fontId="32" fillId="0" borderId="0"/>
    <xf numFmtId="0" fontId="1" fillId="0" borderId="0"/>
    <xf numFmtId="0" fontId="1" fillId="0" borderId="0"/>
    <xf numFmtId="0" fontId="33" fillId="20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5" fillId="2" borderId="1" xfId="0" applyFont="1" applyFill="1" applyBorder="1" applyAlignment="1">
      <alignment horizontal="center"/>
    </xf>
    <xf numFmtId="56" fontId="5" fillId="3" borderId="1" xfId="0" applyNumberFormat="1" applyFont="1" applyFill="1" applyBorder="1" applyAlignment="1">
      <alignment horizontal="center"/>
    </xf>
    <xf numFmtId="0" fontId="4" fillId="0" borderId="1" xfId="0" applyFont="1" applyFill="1" applyBorder="1"/>
    <xf numFmtId="0" fontId="9" fillId="4" borderId="1" xfId="455" applyFont="1" applyFill="1" applyBorder="1"/>
    <xf numFmtId="0" fontId="1" fillId="4" borderId="1" xfId="455" applyFill="1" applyBorder="1"/>
    <xf numFmtId="0" fontId="1" fillId="0" borderId="0" xfId="455"/>
    <xf numFmtId="0" fontId="1" fillId="0" borderId="1" xfId="455" applyBorder="1"/>
    <xf numFmtId="0" fontId="5" fillId="2" borderId="1" xfId="456" applyFont="1" applyFill="1" applyBorder="1" applyAlignment="1">
      <alignment horizontal="left"/>
    </xf>
    <xf numFmtId="0" fontId="5" fillId="3" borderId="1" xfId="0" applyFont="1" applyFill="1" applyBorder="1" applyAlignment="1">
      <alignment horizontal="center"/>
    </xf>
    <xf numFmtId="0" fontId="9" fillId="4" borderId="1" xfId="0" applyFont="1" applyFill="1" applyBorder="1"/>
    <xf numFmtId="56" fontId="5" fillId="2" borderId="1" xfId="0" applyNumberFormat="1" applyFont="1" applyFill="1" applyBorder="1" applyAlignment="1">
      <alignment horizontal="center"/>
    </xf>
    <xf numFmtId="0" fontId="1" fillId="21" borderId="1" xfId="455" applyFill="1" applyBorder="1"/>
    <xf numFmtId="0" fontId="0" fillId="2" borderId="1" xfId="455" applyFont="1" applyFill="1" applyBorder="1"/>
    <xf numFmtId="0" fontId="1" fillId="2" borderId="0" xfId="455" applyFill="1"/>
    <xf numFmtId="0" fontId="0" fillId="3" borderId="1" xfId="0" applyFill="1" applyBorder="1"/>
    <xf numFmtId="0" fontId="0" fillId="0" borderId="1" xfId="0" applyBorder="1"/>
    <xf numFmtId="0" fontId="0" fillId="2" borderId="0" xfId="455" applyFont="1" applyFill="1"/>
    <xf numFmtId="0" fontId="0" fillId="0" borderId="1" xfId="455" applyFont="1" applyBorder="1"/>
    <xf numFmtId="0" fontId="0" fillId="0" borderId="1" xfId="0" applyFont="1" applyBorder="1"/>
    <xf numFmtId="0" fontId="5" fillId="0" borderId="1" xfId="0" applyFont="1" applyBorder="1" applyAlignment="1">
      <alignment wrapText="1"/>
    </xf>
    <xf numFmtId="0" fontId="5" fillId="0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35" fillId="0" borderId="1" xfId="0" applyFont="1" applyFill="1" applyBorder="1"/>
    <xf numFmtId="0" fontId="0" fillId="0" borderId="1" xfId="0" applyFont="1" applyBorder="1" applyAlignment="1">
      <alignment wrapText="1"/>
    </xf>
    <xf numFmtId="0" fontId="36" fillId="0" borderId="1" xfId="0" applyFont="1" applyBorder="1" applyAlignment="1">
      <alignment wrapText="1"/>
    </xf>
    <xf numFmtId="0" fontId="0" fillId="0" borderId="1" xfId="0" applyFont="1" applyFill="1" applyBorder="1" applyAlignment="1">
      <alignment wrapText="1"/>
    </xf>
    <xf numFmtId="0" fontId="37" fillId="0" borderId="1" xfId="0" applyFont="1" applyBorder="1" applyAlignment="1">
      <alignment wrapText="1"/>
    </xf>
    <xf numFmtId="0" fontId="0" fillId="22" borderId="1" xfId="0" applyFont="1" applyFill="1" applyBorder="1" applyAlignment="1">
      <alignment horizontal="center"/>
    </xf>
    <xf numFmtId="0" fontId="0" fillId="22" borderId="1" xfId="0" quotePrefix="1" applyFont="1" applyFill="1" applyBorder="1" applyAlignment="1">
      <alignment horizontal="center"/>
    </xf>
    <xf numFmtId="0" fontId="0" fillId="0" borderId="1" xfId="0" quotePrefix="1" applyFont="1" applyBorder="1"/>
    <xf numFmtId="0" fontId="0" fillId="0" borderId="1" xfId="0" quotePrefix="1" applyFont="1" applyFill="1" applyBorder="1"/>
    <xf numFmtId="0" fontId="37" fillId="0" borderId="1" xfId="0" applyFont="1" applyBorder="1"/>
    <xf numFmtId="0" fontId="0" fillId="0" borderId="12" xfId="0" quotePrefix="1" applyFont="1" applyFill="1" applyBorder="1"/>
    <xf numFmtId="0" fontId="0" fillId="0" borderId="0" xfId="0" applyFont="1" applyBorder="1"/>
    <xf numFmtId="0" fontId="38" fillId="0" borderId="1" xfId="0" applyFont="1" applyFill="1" applyBorder="1"/>
    <xf numFmtId="0" fontId="39" fillId="23" borderId="1" xfId="0" applyFont="1" applyFill="1" applyBorder="1"/>
  </cellXfs>
  <cellStyles count="888">
    <cellStyle name="20% - ANZg1" xfId="469"/>
    <cellStyle name="20% - ANZg2" xfId="470"/>
    <cellStyle name="20% - ANZg3" xfId="471"/>
    <cellStyle name="20% - ANZg4" xfId="472"/>
    <cellStyle name="20% - ANZg5" xfId="473"/>
    <cellStyle name="20% - ANZg6" xfId="474"/>
    <cellStyle name="40% - ANZg1" xfId="475"/>
    <cellStyle name="40% - ANZg2" xfId="476"/>
    <cellStyle name="40% - ANZg3" xfId="477"/>
    <cellStyle name="40% - ANZg4" xfId="478"/>
    <cellStyle name="40% - ANZg5" xfId="479"/>
    <cellStyle name="40% - ANZg6" xfId="480"/>
    <cellStyle name="60% - ANZg1" xfId="481"/>
    <cellStyle name="60% - ANZg2" xfId="482"/>
    <cellStyle name="60% - ANZg3" xfId="483"/>
    <cellStyle name="60% - ANZg4" xfId="484"/>
    <cellStyle name="60% - ANZg5" xfId="485"/>
    <cellStyle name="60% - ANZg6" xfId="486"/>
    <cellStyle name="Excel Built-in Normal" xfId="496"/>
    <cellStyle name="^Cg" xfId="464"/>
    <cellStyle name="`FbN Z" xfId="463"/>
    <cellStyle name="ANZg 1" xfId="488"/>
    <cellStyle name="ANZg 2" xfId="489"/>
    <cellStyle name="ANZg 3" xfId="490"/>
    <cellStyle name="ANZg 4" xfId="491"/>
    <cellStyle name="ANZg 5" xfId="492"/>
    <cellStyle name="ANZg 6" xfId="493"/>
    <cellStyle name="" xfId="458"/>
    <cellStyle name="N Z" xfId="497"/>
    <cellStyle name="_" xfId="459"/>
    <cellStyle name="«¢" xfId="462"/>
    <cellStyle name="vZ" xfId="502"/>
    <cellStyle name="x÷" xfId="504"/>
    <cellStyle name="x¶" xfId="503"/>
    <cellStyle name="ýo_ 1" xfId="505"/>
    <cellStyle name="©oµ 1" xfId="465"/>
    <cellStyle name="©oµ 2" xfId="466"/>
    <cellStyle name="©oµ 3" xfId="467"/>
    <cellStyle name="©oµ 4" xfId="468"/>
    <cellStyle name="v" xfId="501"/>
    <cellStyle name="o_" xfId="498"/>
    <cellStyle name="oÍ" xfId="499"/>
    <cellStyle name="__÷" xfId="461"/>
    <cellStyle name="à¾¶" xfId="487"/>
    <cellStyle name="__" xfId="460"/>
    <cellStyle name="üÍ" xfId="500"/>
    <cellStyle name="Ê" xfId="495"/>
    <cellStyle name="Ç¢" xfId="494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桁区切り 2" xfId="139"/>
    <cellStyle name="標準" xfId="0" builtinId="0"/>
    <cellStyle name="標準 2" xfId="238"/>
    <cellStyle name="標準 3" xfId="508"/>
    <cellStyle name="標準 4" xfId="456"/>
    <cellStyle name="標準 4 2" xfId="457"/>
    <cellStyle name="標準 5" xfId="509"/>
    <cellStyle name="標準 5 2" xfId="510"/>
    <cellStyle name="標準 6" xfId="455"/>
    <cellStyle name="無題1" xfId="5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赤字強調" xfId="507"/>
    <cellStyle name="青字強調" xfId="506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K3"/>
  <sheetViews>
    <sheetView workbookViewId="0">
      <selection activeCell="F11" sqref="F11"/>
    </sheetView>
  </sheetViews>
  <sheetFormatPr baseColWidth="12" defaultRowHeight="15" x14ac:dyDescent="0.15"/>
  <cols>
    <col min="1" max="1" width="12.83203125" style="6"/>
    <col min="2" max="2" width="17.1640625" style="6" bestFit="1" customWidth="1"/>
    <col min="3" max="4" width="12.83203125" style="6"/>
    <col min="5" max="5" width="20.5" style="6" bestFit="1" customWidth="1"/>
    <col min="6" max="6" width="16" style="6" bestFit="1" customWidth="1"/>
    <col min="7" max="16384" width="12.83203125" style="6"/>
  </cols>
  <sheetData>
    <row r="1" spans="1:11" x14ac:dyDescent="0.15">
      <c r="A1" s="10" t="s">
        <v>14</v>
      </c>
      <c r="B1" s="4" t="s">
        <v>7</v>
      </c>
      <c r="C1" s="4" t="s">
        <v>8</v>
      </c>
      <c r="D1" s="4" t="s">
        <v>9</v>
      </c>
      <c r="E1" s="4" t="s">
        <v>10</v>
      </c>
      <c r="F1" s="4" t="s">
        <v>11</v>
      </c>
      <c r="G1" s="4" t="s">
        <v>12</v>
      </c>
      <c r="H1" s="5"/>
      <c r="I1" s="5"/>
      <c r="J1" s="12"/>
      <c r="K1" s="12"/>
    </row>
    <row r="2" spans="1:11" x14ac:dyDescent="0.15">
      <c r="A2" s="18" t="s">
        <v>31</v>
      </c>
      <c r="B2" s="18" t="s">
        <v>22</v>
      </c>
      <c r="C2" s="18" t="s">
        <v>24</v>
      </c>
      <c r="D2" s="18" t="s">
        <v>21</v>
      </c>
      <c r="E2" s="5" t="str">
        <f t="shared" ref="E2:E3" si="0">B2&amp;C2&amp;D2</f>
        <v>stage_hints_data_base.tmp</v>
      </c>
      <c r="F2" s="7" t="s">
        <v>6</v>
      </c>
      <c r="G2" s="1" t="s">
        <v>2</v>
      </c>
      <c r="H2" s="1" t="s">
        <v>0</v>
      </c>
      <c r="I2" s="11" t="s">
        <v>3</v>
      </c>
      <c r="J2" s="13" t="s">
        <v>15</v>
      </c>
      <c r="K2" s="17" t="s">
        <v>25</v>
      </c>
    </row>
    <row r="3" spans="1:11" x14ac:dyDescent="0.15">
      <c r="A3" s="18" t="s">
        <v>107</v>
      </c>
      <c r="B3" s="18" t="s">
        <v>23</v>
      </c>
      <c r="C3" s="18" t="s">
        <v>108</v>
      </c>
      <c r="D3" s="18" t="s">
        <v>21</v>
      </c>
      <c r="E3" s="5" t="str">
        <f t="shared" si="0"/>
        <v>stage_hints_i18n_template.tmp</v>
      </c>
      <c r="F3" s="7" t="s">
        <v>6</v>
      </c>
      <c r="G3" s="11" t="s">
        <v>3</v>
      </c>
      <c r="H3" s="8" t="s">
        <v>4</v>
      </c>
      <c r="I3" s="1" t="s">
        <v>5</v>
      </c>
      <c r="J3" s="14" t="s">
        <v>16</v>
      </c>
      <c r="K3" s="17" t="s">
        <v>19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O43"/>
  <sheetViews>
    <sheetView showGridLines="0" tabSelected="1" workbookViewId="0">
      <pane ySplit="1" topLeftCell="A2" activePane="bottomLeft" state="frozen"/>
      <selection pane="bottomLeft"/>
    </sheetView>
  </sheetViews>
  <sheetFormatPr baseColWidth="12" defaultColWidth="13" defaultRowHeight="15" x14ac:dyDescent="0.15"/>
  <cols>
    <col min="1" max="1" width="11.1640625" bestFit="1" customWidth="1"/>
    <col min="2" max="2" width="11.1640625" customWidth="1"/>
    <col min="3" max="3" width="26.6640625" bestFit="1" customWidth="1"/>
    <col min="4" max="4" width="44.83203125" customWidth="1"/>
  </cols>
  <sheetData>
    <row r="1" spans="1:14" x14ac:dyDescent="0.15">
      <c r="A1" s="1" t="s">
        <v>112</v>
      </c>
      <c r="B1" s="9" t="s">
        <v>13</v>
      </c>
      <c r="C1" s="9" t="s">
        <v>20</v>
      </c>
      <c r="D1" s="2" t="s">
        <v>1</v>
      </c>
      <c r="E1" s="15" t="s">
        <v>17</v>
      </c>
      <c r="F1" t="s">
        <v>29</v>
      </c>
      <c r="G1" s="28" t="s">
        <v>149</v>
      </c>
      <c r="H1" s="28" t="s">
        <v>150</v>
      </c>
      <c r="I1" s="29" t="s">
        <v>151</v>
      </c>
      <c r="J1" s="29" t="s">
        <v>152</v>
      </c>
      <c r="K1" s="29" t="s">
        <v>153</v>
      </c>
      <c r="L1" s="29" t="s">
        <v>154</v>
      </c>
      <c r="M1" s="29" t="s">
        <v>155</v>
      </c>
      <c r="N1" s="29" t="s">
        <v>156</v>
      </c>
    </row>
    <row r="2" spans="1:14" ht="30" x14ac:dyDescent="0.15">
      <c r="A2" s="3">
        <v>1</v>
      </c>
      <c r="B2" s="23" t="s">
        <v>109</v>
      </c>
      <c r="C2" s="23" t="s">
        <v>210</v>
      </c>
      <c r="D2" s="25" t="s">
        <v>211</v>
      </c>
      <c r="E2" s="16" t="s">
        <v>18</v>
      </c>
      <c r="F2" t="str">
        <f t="shared" ref="F2:F10" si="0">IF(LEN(D2)&gt;64,"◉", "")</f>
        <v/>
      </c>
      <c r="G2" s="30" t="s">
        <v>157</v>
      </c>
      <c r="H2" s="30" t="s">
        <v>157</v>
      </c>
      <c r="I2" s="31" t="s">
        <v>158</v>
      </c>
      <c r="J2" s="31"/>
      <c r="K2" s="31"/>
      <c r="L2" s="31"/>
      <c r="M2" s="31"/>
      <c r="N2" s="31"/>
    </row>
    <row r="3" spans="1:14" ht="30" x14ac:dyDescent="0.15">
      <c r="A3" s="3">
        <v>2</v>
      </c>
      <c r="B3" s="23" t="s">
        <v>109</v>
      </c>
      <c r="C3" s="23" t="s">
        <v>212</v>
      </c>
      <c r="D3" s="25" t="s">
        <v>213</v>
      </c>
      <c r="E3" s="16" t="s">
        <v>18</v>
      </c>
      <c r="F3" t="str">
        <f t="shared" si="0"/>
        <v/>
      </c>
      <c r="G3" s="30" t="s">
        <v>159</v>
      </c>
      <c r="H3" s="30" t="s">
        <v>159</v>
      </c>
      <c r="I3" s="31" t="s">
        <v>158</v>
      </c>
      <c r="J3" s="31"/>
      <c r="K3" s="31"/>
      <c r="L3" s="31"/>
      <c r="M3" s="31"/>
      <c r="N3" s="31"/>
    </row>
    <row r="4" spans="1:14" ht="30" x14ac:dyDescent="0.15">
      <c r="A4" s="3">
        <v>3</v>
      </c>
      <c r="B4" s="23" t="s">
        <v>109</v>
      </c>
      <c r="C4" s="23" t="s">
        <v>37</v>
      </c>
      <c r="D4" s="25" t="s">
        <v>214</v>
      </c>
      <c r="E4" s="16" t="s">
        <v>18</v>
      </c>
      <c r="F4" t="str">
        <f t="shared" si="0"/>
        <v/>
      </c>
      <c r="G4" s="30" t="s">
        <v>160</v>
      </c>
      <c r="H4" s="31" t="s">
        <v>161</v>
      </c>
      <c r="I4" s="31" t="s">
        <v>158</v>
      </c>
      <c r="J4" s="31" t="s">
        <v>158</v>
      </c>
      <c r="K4" s="31" t="s">
        <v>158</v>
      </c>
      <c r="L4" s="31"/>
      <c r="M4" s="31"/>
      <c r="N4" s="31"/>
    </row>
    <row r="5" spans="1:14" ht="30" x14ac:dyDescent="0.15">
      <c r="A5" s="3">
        <v>4</v>
      </c>
      <c r="B5" s="23" t="s">
        <v>109</v>
      </c>
      <c r="C5" s="23" t="s">
        <v>38</v>
      </c>
      <c r="D5" s="25" t="s">
        <v>215</v>
      </c>
      <c r="E5" s="16" t="s">
        <v>18</v>
      </c>
      <c r="F5" t="str">
        <f t="shared" si="0"/>
        <v/>
      </c>
      <c r="G5" s="30" t="s">
        <v>204</v>
      </c>
      <c r="H5" s="30" t="s">
        <v>204</v>
      </c>
      <c r="I5" s="31"/>
      <c r="J5" s="31"/>
      <c r="K5" s="31"/>
      <c r="L5" s="31"/>
      <c r="M5" s="31"/>
      <c r="N5" s="31"/>
    </row>
    <row r="6" spans="1:14" ht="30" x14ac:dyDescent="0.15">
      <c r="A6" s="3">
        <v>5</v>
      </c>
      <c r="B6" s="23" t="s">
        <v>109</v>
      </c>
      <c r="C6" s="23" t="s">
        <v>216</v>
      </c>
      <c r="D6" s="24" t="s">
        <v>233</v>
      </c>
      <c r="E6" s="16" t="s">
        <v>18</v>
      </c>
      <c r="F6" t="str">
        <f t="shared" si="0"/>
        <v/>
      </c>
      <c r="G6" s="31" t="s">
        <v>162</v>
      </c>
      <c r="H6" s="31" t="s">
        <v>163</v>
      </c>
      <c r="I6" s="31" t="s">
        <v>158</v>
      </c>
      <c r="J6" s="31"/>
      <c r="K6" s="31"/>
      <c r="L6" s="31"/>
      <c r="M6" s="31"/>
      <c r="N6" s="31"/>
    </row>
    <row r="7" spans="1:14" ht="30" x14ac:dyDescent="0.15">
      <c r="A7" s="3">
        <v>6</v>
      </c>
      <c r="B7" s="23" t="s">
        <v>109</v>
      </c>
      <c r="C7" s="23" t="s">
        <v>217</v>
      </c>
      <c r="D7" s="24" t="s">
        <v>234</v>
      </c>
      <c r="E7" s="16" t="s">
        <v>18</v>
      </c>
      <c r="F7" t="str">
        <f t="shared" si="0"/>
        <v/>
      </c>
      <c r="G7" s="31" t="s">
        <v>185</v>
      </c>
      <c r="H7" s="31" t="s">
        <v>186</v>
      </c>
      <c r="I7" s="31" t="s">
        <v>158</v>
      </c>
      <c r="J7" s="31" t="s">
        <v>158</v>
      </c>
      <c r="K7" s="31" t="s">
        <v>158</v>
      </c>
      <c r="L7" s="31"/>
      <c r="M7" s="31"/>
      <c r="N7" s="31"/>
    </row>
    <row r="8" spans="1:14" ht="30" x14ac:dyDescent="0.15">
      <c r="A8" s="3">
        <v>7</v>
      </c>
      <c r="B8" s="23" t="s">
        <v>109</v>
      </c>
      <c r="C8" s="23" t="s">
        <v>218</v>
      </c>
      <c r="D8" s="24" t="s">
        <v>235</v>
      </c>
      <c r="E8" s="16" t="s">
        <v>18</v>
      </c>
      <c r="F8" t="str">
        <f t="shared" si="0"/>
        <v/>
      </c>
      <c r="G8" s="31" t="s">
        <v>187</v>
      </c>
      <c r="H8" s="31" t="s">
        <v>178</v>
      </c>
      <c r="I8" s="31" t="s">
        <v>158</v>
      </c>
      <c r="J8" s="31" t="s">
        <v>158</v>
      </c>
      <c r="K8" s="31" t="s">
        <v>158</v>
      </c>
      <c r="L8" s="31"/>
      <c r="M8" s="31"/>
      <c r="N8" s="31"/>
    </row>
    <row r="9" spans="1:14" ht="30" x14ac:dyDescent="0.15">
      <c r="A9" s="3">
        <v>8</v>
      </c>
      <c r="B9" s="23" t="s">
        <v>109</v>
      </c>
      <c r="C9" s="23" t="s">
        <v>219</v>
      </c>
      <c r="D9" s="24" t="s">
        <v>236</v>
      </c>
      <c r="E9" s="16" t="s">
        <v>18</v>
      </c>
      <c r="F9" t="str">
        <f t="shared" si="0"/>
        <v/>
      </c>
      <c r="G9" s="31" t="s">
        <v>188</v>
      </c>
      <c r="H9" s="31" t="s">
        <v>189</v>
      </c>
      <c r="I9" s="31" t="s">
        <v>158</v>
      </c>
      <c r="J9" s="32" t="s">
        <v>165</v>
      </c>
      <c r="K9" s="31" t="s">
        <v>158</v>
      </c>
      <c r="L9" s="31"/>
      <c r="M9" s="31"/>
      <c r="N9" s="31"/>
    </row>
    <row r="10" spans="1:14" ht="30" x14ac:dyDescent="0.15">
      <c r="A10" s="3">
        <v>9</v>
      </c>
      <c r="B10" s="23" t="s">
        <v>109</v>
      </c>
      <c r="C10" s="23" t="s">
        <v>220</v>
      </c>
      <c r="D10" s="24" t="s">
        <v>237</v>
      </c>
      <c r="E10" s="16" t="s">
        <v>18</v>
      </c>
      <c r="F10" t="str">
        <f t="shared" si="0"/>
        <v/>
      </c>
      <c r="G10" s="31" t="s">
        <v>190</v>
      </c>
      <c r="H10" s="31" t="s">
        <v>164</v>
      </c>
      <c r="I10" s="31" t="s">
        <v>158</v>
      </c>
      <c r="J10" s="31" t="s">
        <v>158</v>
      </c>
      <c r="K10" s="31" t="s">
        <v>158</v>
      </c>
      <c r="L10" s="31"/>
      <c r="M10" s="31"/>
      <c r="N10" s="31"/>
    </row>
    <row r="11" spans="1:14" ht="30" x14ac:dyDescent="0.15">
      <c r="A11" s="3">
        <v>10</v>
      </c>
      <c r="B11" s="23" t="s">
        <v>109</v>
      </c>
      <c r="C11" s="23" t="s">
        <v>221</v>
      </c>
      <c r="D11" s="24" t="s">
        <v>238</v>
      </c>
      <c r="E11" s="16" t="s">
        <v>18</v>
      </c>
      <c r="G11" s="31" t="s">
        <v>166</v>
      </c>
      <c r="H11" s="31" t="s">
        <v>191</v>
      </c>
      <c r="I11" s="31" t="s">
        <v>158</v>
      </c>
      <c r="J11" s="32" t="s">
        <v>165</v>
      </c>
      <c r="K11" s="31" t="s">
        <v>158</v>
      </c>
      <c r="L11" s="31"/>
      <c r="M11" s="31"/>
      <c r="N11" s="31"/>
    </row>
    <row r="12" spans="1:14" ht="30" x14ac:dyDescent="0.15">
      <c r="A12" s="3">
        <v>11</v>
      </c>
      <c r="B12" s="23" t="s">
        <v>289</v>
      </c>
      <c r="C12" s="23" t="s">
        <v>219</v>
      </c>
      <c r="D12" s="24" t="s">
        <v>236</v>
      </c>
      <c r="E12" s="16" t="s">
        <v>290</v>
      </c>
      <c r="G12" s="31" t="s">
        <v>167</v>
      </c>
      <c r="H12" s="31" t="s">
        <v>291</v>
      </c>
      <c r="I12" s="31" t="s">
        <v>292</v>
      </c>
      <c r="J12" s="31" t="s">
        <v>292</v>
      </c>
      <c r="K12" s="31" t="s">
        <v>292</v>
      </c>
      <c r="L12" s="31"/>
      <c r="M12" s="31"/>
      <c r="N12" s="31"/>
    </row>
    <row r="13" spans="1:14" ht="30" x14ac:dyDescent="0.15">
      <c r="A13" s="3">
        <v>12</v>
      </c>
      <c r="B13" s="23" t="s">
        <v>109</v>
      </c>
      <c r="C13" s="23" t="s">
        <v>222</v>
      </c>
      <c r="D13" s="24" t="s">
        <v>239</v>
      </c>
      <c r="E13" s="16" t="s">
        <v>18</v>
      </c>
      <c r="G13" s="31" t="s">
        <v>168</v>
      </c>
      <c r="H13" s="31" t="s">
        <v>176</v>
      </c>
      <c r="I13" s="31" t="s">
        <v>158</v>
      </c>
      <c r="J13" s="31" t="s">
        <v>158</v>
      </c>
      <c r="K13" s="31" t="s">
        <v>158</v>
      </c>
      <c r="L13" s="31" t="s">
        <v>158</v>
      </c>
      <c r="M13" s="31" t="s">
        <v>158</v>
      </c>
      <c r="N13" s="31" t="s">
        <v>158</v>
      </c>
    </row>
    <row r="14" spans="1:14" ht="30" x14ac:dyDescent="0.15">
      <c r="A14" s="3">
        <v>13</v>
      </c>
      <c r="B14" s="23" t="s">
        <v>109</v>
      </c>
      <c r="C14" s="23" t="s">
        <v>223</v>
      </c>
      <c r="D14" s="24" t="s">
        <v>240</v>
      </c>
      <c r="E14" s="16" t="s">
        <v>18</v>
      </c>
      <c r="G14" s="31" t="s">
        <v>192</v>
      </c>
      <c r="H14" s="31" t="s">
        <v>193</v>
      </c>
      <c r="I14" s="31" t="s">
        <v>158</v>
      </c>
      <c r="J14" s="31" t="s">
        <v>158</v>
      </c>
      <c r="K14" s="31" t="s">
        <v>158</v>
      </c>
      <c r="L14" s="31"/>
      <c r="M14" s="31"/>
      <c r="N14" s="31"/>
    </row>
    <row r="15" spans="1:14" ht="30" x14ac:dyDescent="0.15">
      <c r="A15" s="3">
        <v>14</v>
      </c>
      <c r="B15" s="23" t="s">
        <v>109</v>
      </c>
      <c r="C15" s="23" t="s">
        <v>224</v>
      </c>
      <c r="D15" s="24" t="s">
        <v>241</v>
      </c>
      <c r="E15" s="16" t="s">
        <v>18</v>
      </c>
      <c r="G15" s="31" t="s">
        <v>169</v>
      </c>
      <c r="H15" s="31" t="s">
        <v>194</v>
      </c>
      <c r="I15" s="31" t="s">
        <v>158</v>
      </c>
      <c r="J15" s="31" t="s">
        <v>158</v>
      </c>
      <c r="K15" s="31" t="s">
        <v>158</v>
      </c>
      <c r="L15" s="31"/>
      <c r="M15" s="31"/>
      <c r="N15" s="31"/>
    </row>
    <row r="16" spans="1:14" ht="30" x14ac:dyDescent="0.15">
      <c r="A16" s="3">
        <v>15</v>
      </c>
      <c r="B16" s="23" t="s">
        <v>109</v>
      </c>
      <c r="C16" s="23" t="s">
        <v>225</v>
      </c>
      <c r="D16" s="24" t="s">
        <v>242</v>
      </c>
      <c r="E16" s="16" t="s">
        <v>18</v>
      </c>
      <c r="G16" s="31" t="s">
        <v>170</v>
      </c>
      <c r="H16" s="31" t="s">
        <v>195</v>
      </c>
      <c r="I16" s="31" t="s">
        <v>158</v>
      </c>
      <c r="J16" s="31" t="s">
        <v>158</v>
      </c>
      <c r="K16" s="31" t="s">
        <v>158</v>
      </c>
      <c r="L16" s="31"/>
      <c r="M16" s="31"/>
      <c r="N16" s="31"/>
    </row>
    <row r="17" spans="1:14" ht="30" x14ac:dyDescent="0.15">
      <c r="A17" s="3">
        <v>16</v>
      </c>
      <c r="B17" s="23" t="s">
        <v>109</v>
      </c>
      <c r="C17" s="23" t="s">
        <v>226</v>
      </c>
      <c r="D17" s="24" t="s">
        <v>243</v>
      </c>
      <c r="E17" s="16" t="s">
        <v>18</v>
      </c>
      <c r="G17" s="31" t="s">
        <v>171</v>
      </c>
      <c r="H17" s="31" t="s">
        <v>196</v>
      </c>
      <c r="I17" s="31" t="s">
        <v>158</v>
      </c>
      <c r="J17" s="31" t="s">
        <v>158</v>
      </c>
      <c r="K17" s="31" t="s">
        <v>158</v>
      </c>
      <c r="L17" s="31"/>
      <c r="M17" s="31"/>
      <c r="N17" s="31"/>
    </row>
    <row r="18" spans="1:14" ht="30" x14ac:dyDescent="0.15">
      <c r="A18" s="3">
        <v>17</v>
      </c>
      <c r="B18" s="23" t="s">
        <v>109</v>
      </c>
      <c r="C18" s="23" t="s">
        <v>227</v>
      </c>
      <c r="D18" s="26" t="s">
        <v>244</v>
      </c>
      <c r="E18" s="16" t="s">
        <v>18</v>
      </c>
      <c r="G18" s="31" t="s">
        <v>197</v>
      </c>
      <c r="H18" s="31" t="s">
        <v>198</v>
      </c>
      <c r="I18" s="31" t="s">
        <v>158</v>
      </c>
      <c r="J18" s="31" t="s">
        <v>158</v>
      </c>
      <c r="K18" s="31" t="s">
        <v>158</v>
      </c>
      <c r="L18" s="31" t="s">
        <v>158</v>
      </c>
      <c r="M18" s="31" t="s">
        <v>158</v>
      </c>
      <c r="N18" s="31" t="s">
        <v>158</v>
      </c>
    </row>
    <row r="19" spans="1:14" ht="30" x14ac:dyDescent="0.15">
      <c r="A19" s="3">
        <v>18</v>
      </c>
      <c r="B19" s="23" t="s">
        <v>109</v>
      </c>
      <c r="C19" s="23" t="s">
        <v>228</v>
      </c>
      <c r="D19" s="24" t="s">
        <v>245</v>
      </c>
      <c r="E19" s="16" t="s">
        <v>18</v>
      </c>
      <c r="G19" s="31" t="s">
        <v>172</v>
      </c>
      <c r="H19" s="31" t="s">
        <v>199</v>
      </c>
      <c r="I19" s="31" t="s">
        <v>158</v>
      </c>
      <c r="J19" s="31" t="s">
        <v>158</v>
      </c>
      <c r="K19" s="31" t="s">
        <v>158</v>
      </c>
      <c r="L19" s="30"/>
      <c r="M19" s="30"/>
      <c r="N19" s="30"/>
    </row>
    <row r="20" spans="1:14" ht="45" x14ac:dyDescent="0.15">
      <c r="A20" s="3">
        <v>19</v>
      </c>
      <c r="B20" s="23" t="s">
        <v>109</v>
      </c>
      <c r="C20" s="23" t="s">
        <v>282</v>
      </c>
      <c r="D20" s="26" t="s">
        <v>283</v>
      </c>
      <c r="E20" s="16" t="s">
        <v>18</v>
      </c>
      <c r="G20" s="31" t="s">
        <v>173</v>
      </c>
      <c r="H20" s="31" t="s">
        <v>200</v>
      </c>
      <c r="I20" s="31" t="s">
        <v>158</v>
      </c>
      <c r="J20" s="31" t="s">
        <v>158</v>
      </c>
      <c r="K20" s="31" t="s">
        <v>158</v>
      </c>
      <c r="L20" s="31" t="s">
        <v>158</v>
      </c>
      <c r="M20" s="31" t="s">
        <v>158</v>
      </c>
      <c r="N20" s="31" t="s">
        <v>158</v>
      </c>
    </row>
    <row r="21" spans="1:14" ht="30" x14ac:dyDescent="0.15">
      <c r="A21" s="3">
        <v>20</v>
      </c>
      <c r="B21" s="23" t="s">
        <v>109</v>
      </c>
      <c r="C21" s="23" t="s">
        <v>229</v>
      </c>
      <c r="D21" s="27" t="s">
        <v>246</v>
      </c>
      <c r="E21" s="16" t="s">
        <v>18</v>
      </c>
      <c r="G21" s="31" t="s">
        <v>174</v>
      </c>
      <c r="H21" s="31" t="s">
        <v>201</v>
      </c>
      <c r="I21" s="31" t="s">
        <v>158</v>
      </c>
      <c r="J21" s="31" t="s">
        <v>158</v>
      </c>
      <c r="K21" s="31" t="s">
        <v>158</v>
      </c>
      <c r="L21" s="30"/>
      <c r="M21" s="30"/>
      <c r="N21" s="30"/>
    </row>
    <row r="22" spans="1:14" ht="30" x14ac:dyDescent="0.15">
      <c r="A22" s="3">
        <v>21</v>
      </c>
      <c r="B22" s="23" t="s">
        <v>109</v>
      </c>
      <c r="C22" s="23" t="s">
        <v>230</v>
      </c>
      <c r="D22" s="26" t="s">
        <v>247</v>
      </c>
      <c r="E22" s="16" t="s">
        <v>18</v>
      </c>
      <c r="G22" s="31" t="s">
        <v>202</v>
      </c>
      <c r="H22" s="31" t="s">
        <v>176</v>
      </c>
      <c r="I22" s="31" t="s">
        <v>158</v>
      </c>
      <c r="J22" s="31" t="s">
        <v>158</v>
      </c>
      <c r="K22" s="31" t="s">
        <v>158</v>
      </c>
      <c r="L22" s="31" t="s">
        <v>158</v>
      </c>
      <c r="M22" s="31" t="s">
        <v>158</v>
      </c>
      <c r="N22" s="31" t="s">
        <v>158</v>
      </c>
    </row>
    <row r="23" spans="1:14" ht="30" x14ac:dyDescent="0.15">
      <c r="A23" s="3">
        <v>22</v>
      </c>
      <c r="B23" s="23" t="s">
        <v>109</v>
      </c>
      <c r="C23" s="23" t="s">
        <v>231</v>
      </c>
      <c r="D23" s="26" t="s">
        <v>248</v>
      </c>
      <c r="E23" s="16" t="s">
        <v>18</v>
      </c>
      <c r="G23" s="31" t="s">
        <v>175</v>
      </c>
      <c r="H23" s="31" t="s">
        <v>178</v>
      </c>
      <c r="I23" s="31" t="s">
        <v>158</v>
      </c>
      <c r="J23" s="31" t="s">
        <v>158</v>
      </c>
      <c r="K23" s="31" t="s">
        <v>158</v>
      </c>
      <c r="L23" s="30"/>
      <c r="M23" s="30"/>
      <c r="N23" s="30"/>
    </row>
    <row r="24" spans="1:14" ht="30" x14ac:dyDescent="0.15">
      <c r="A24" s="3">
        <v>23</v>
      </c>
      <c r="B24" s="23" t="s">
        <v>109</v>
      </c>
      <c r="C24" s="23" t="s">
        <v>232</v>
      </c>
      <c r="D24" s="26" t="s">
        <v>249</v>
      </c>
      <c r="E24" s="16" t="s">
        <v>18</v>
      </c>
      <c r="G24" s="31" t="s">
        <v>177</v>
      </c>
      <c r="H24" s="31" t="s">
        <v>203</v>
      </c>
      <c r="I24" s="31" t="s">
        <v>158</v>
      </c>
      <c r="J24" s="31" t="s">
        <v>158</v>
      </c>
      <c r="K24" s="31" t="s">
        <v>158</v>
      </c>
      <c r="L24" s="30"/>
      <c r="M24" s="30"/>
      <c r="N24" s="30"/>
    </row>
    <row r="25" spans="1:14" ht="45" x14ac:dyDescent="0.15">
      <c r="A25" s="3">
        <v>24</v>
      </c>
      <c r="B25" s="23" t="s">
        <v>109</v>
      </c>
      <c r="C25" s="23" t="s">
        <v>288</v>
      </c>
      <c r="D25" s="24" t="s">
        <v>287</v>
      </c>
      <c r="E25" s="16" t="s">
        <v>18</v>
      </c>
      <c r="G25" s="33" t="s">
        <v>205</v>
      </c>
      <c r="H25" s="31" t="s">
        <v>206</v>
      </c>
      <c r="I25" s="32" t="s">
        <v>165</v>
      </c>
      <c r="J25" s="32" t="s">
        <v>165</v>
      </c>
      <c r="K25" s="32" t="s">
        <v>165</v>
      </c>
      <c r="L25" s="30"/>
      <c r="M25" s="30"/>
      <c r="N25" s="30"/>
    </row>
    <row r="26" spans="1:14" ht="30" x14ac:dyDescent="0.15">
      <c r="A26" s="3">
        <v>25</v>
      </c>
      <c r="B26" s="23" t="s">
        <v>109</v>
      </c>
      <c r="C26" s="23" t="s">
        <v>250</v>
      </c>
      <c r="D26" s="26" t="s">
        <v>286</v>
      </c>
      <c r="E26" s="16" t="s">
        <v>18</v>
      </c>
      <c r="G26" s="33" t="s">
        <v>179</v>
      </c>
      <c r="H26" s="31" t="s">
        <v>163</v>
      </c>
      <c r="I26" s="32" t="s">
        <v>165</v>
      </c>
      <c r="J26" s="32" t="s">
        <v>165</v>
      </c>
      <c r="K26" s="32" t="s">
        <v>165</v>
      </c>
      <c r="L26" s="30"/>
      <c r="M26" s="30"/>
      <c r="N26" s="30"/>
    </row>
    <row r="27" spans="1:14" ht="30" x14ac:dyDescent="0.15">
      <c r="A27" s="3">
        <v>26</v>
      </c>
      <c r="B27" s="23" t="s">
        <v>109</v>
      </c>
      <c r="C27" s="23" t="s">
        <v>251</v>
      </c>
      <c r="D27" s="26" t="s">
        <v>263</v>
      </c>
      <c r="E27" s="16" t="s">
        <v>18</v>
      </c>
      <c r="G27" s="33" t="s">
        <v>180</v>
      </c>
      <c r="H27" s="31" t="s">
        <v>163</v>
      </c>
      <c r="I27" s="32" t="s">
        <v>165</v>
      </c>
      <c r="J27" s="32" t="s">
        <v>165</v>
      </c>
      <c r="K27" s="32" t="s">
        <v>165</v>
      </c>
      <c r="L27" s="30"/>
      <c r="M27" s="30"/>
      <c r="N27" s="30"/>
    </row>
    <row r="28" spans="1:14" ht="30" x14ac:dyDescent="0.15">
      <c r="A28" s="3">
        <v>27</v>
      </c>
      <c r="B28" s="23" t="s">
        <v>109</v>
      </c>
      <c r="C28" s="23" t="s">
        <v>252</v>
      </c>
      <c r="D28" s="24" t="s">
        <v>264</v>
      </c>
      <c r="E28" s="16" t="s">
        <v>18</v>
      </c>
      <c r="G28" s="30" t="s">
        <v>181</v>
      </c>
      <c r="H28" s="31" t="s">
        <v>163</v>
      </c>
      <c r="I28" s="19"/>
      <c r="J28" s="32" t="s">
        <v>165</v>
      </c>
      <c r="K28" s="32" t="s">
        <v>165</v>
      </c>
      <c r="L28" s="32" t="s">
        <v>165</v>
      </c>
      <c r="M28" s="19"/>
      <c r="N28" s="19"/>
    </row>
    <row r="29" spans="1:14" ht="30" x14ac:dyDescent="0.15">
      <c r="A29" s="3">
        <v>28</v>
      </c>
      <c r="B29" s="23" t="s">
        <v>109</v>
      </c>
      <c r="C29" s="23" t="s">
        <v>253</v>
      </c>
      <c r="D29" s="24" t="s">
        <v>265</v>
      </c>
      <c r="E29" s="16" t="s">
        <v>18</v>
      </c>
      <c r="G29" s="30" t="s">
        <v>181</v>
      </c>
      <c r="H29" s="31" t="s">
        <v>163</v>
      </c>
      <c r="I29" s="19"/>
      <c r="J29" s="32" t="s">
        <v>165</v>
      </c>
      <c r="K29" s="32" t="s">
        <v>165</v>
      </c>
      <c r="L29" s="32" t="s">
        <v>165</v>
      </c>
      <c r="M29" s="19"/>
      <c r="N29" s="19"/>
    </row>
    <row r="30" spans="1:14" ht="30" x14ac:dyDescent="0.15">
      <c r="A30" s="3">
        <v>29</v>
      </c>
      <c r="B30" s="23" t="s">
        <v>109</v>
      </c>
      <c r="C30" s="23" t="s">
        <v>254</v>
      </c>
      <c r="D30" s="24" t="s">
        <v>266</v>
      </c>
      <c r="E30" s="16" t="s">
        <v>18</v>
      </c>
      <c r="G30" s="30" t="s">
        <v>181</v>
      </c>
      <c r="H30" s="31" t="s">
        <v>163</v>
      </c>
      <c r="I30" s="19"/>
      <c r="J30" s="32" t="s">
        <v>165</v>
      </c>
      <c r="K30" s="32" t="s">
        <v>165</v>
      </c>
      <c r="L30" s="32" t="s">
        <v>165</v>
      </c>
      <c r="M30" s="32" t="s">
        <v>165</v>
      </c>
      <c r="N30" s="32" t="s">
        <v>165</v>
      </c>
    </row>
    <row r="31" spans="1:14" ht="30" x14ac:dyDescent="0.15">
      <c r="A31" s="3">
        <v>30</v>
      </c>
      <c r="B31" s="23" t="s">
        <v>109</v>
      </c>
      <c r="C31" s="23" t="s">
        <v>255</v>
      </c>
      <c r="D31" s="26" t="s">
        <v>267</v>
      </c>
      <c r="E31" s="16" t="s">
        <v>18</v>
      </c>
      <c r="G31" s="30" t="s">
        <v>181</v>
      </c>
      <c r="H31" s="31" t="s">
        <v>182</v>
      </c>
      <c r="I31" s="19"/>
      <c r="J31" s="32" t="s">
        <v>165</v>
      </c>
      <c r="K31" s="32" t="s">
        <v>165</v>
      </c>
      <c r="L31" s="32" t="s">
        <v>165</v>
      </c>
      <c r="M31" s="32" t="s">
        <v>165</v>
      </c>
      <c r="N31" s="32" t="s">
        <v>165</v>
      </c>
    </row>
    <row r="32" spans="1:14" ht="30" x14ac:dyDescent="0.15">
      <c r="A32" s="3">
        <v>31</v>
      </c>
      <c r="B32" s="23" t="s">
        <v>109</v>
      </c>
      <c r="C32" s="23" t="s">
        <v>256</v>
      </c>
      <c r="D32" s="27" t="s">
        <v>268</v>
      </c>
      <c r="E32" s="16" t="s">
        <v>18</v>
      </c>
      <c r="G32" s="30" t="s">
        <v>181</v>
      </c>
      <c r="H32" s="31" t="s">
        <v>182</v>
      </c>
      <c r="I32" s="32"/>
      <c r="J32" s="32"/>
      <c r="K32" s="19"/>
      <c r="L32" s="19"/>
      <c r="M32" s="19"/>
      <c r="N32" s="19"/>
    </row>
    <row r="33" spans="1:15" ht="30" x14ac:dyDescent="0.15">
      <c r="A33" s="3">
        <v>38</v>
      </c>
      <c r="B33" s="23" t="s">
        <v>109</v>
      </c>
      <c r="C33" s="23" t="s">
        <v>257</v>
      </c>
      <c r="D33" s="26" t="s">
        <v>269</v>
      </c>
      <c r="E33" s="16" t="s">
        <v>18</v>
      </c>
      <c r="G33" s="30" t="s">
        <v>181</v>
      </c>
      <c r="H33" s="31" t="s">
        <v>182</v>
      </c>
      <c r="I33" s="19"/>
      <c r="J33" s="32" t="s">
        <v>165</v>
      </c>
      <c r="K33" s="32" t="s">
        <v>165</v>
      </c>
      <c r="L33" s="32"/>
      <c r="M33" s="32"/>
      <c r="N33" s="32"/>
    </row>
    <row r="34" spans="1:15" ht="30" x14ac:dyDescent="0.15">
      <c r="A34" s="3">
        <v>32</v>
      </c>
      <c r="B34" s="23" t="s">
        <v>109</v>
      </c>
      <c r="C34" s="23" t="s">
        <v>258</v>
      </c>
      <c r="D34" s="26" t="s">
        <v>270</v>
      </c>
      <c r="E34" s="16" t="s">
        <v>18</v>
      </c>
      <c r="G34" s="30" t="s">
        <v>183</v>
      </c>
      <c r="H34" s="30" t="s">
        <v>184</v>
      </c>
      <c r="I34" s="19"/>
      <c r="J34" s="32" t="s">
        <v>165</v>
      </c>
      <c r="K34" s="32" t="s">
        <v>165</v>
      </c>
      <c r="L34" s="32" t="s">
        <v>165</v>
      </c>
      <c r="M34" s="32" t="s">
        <v>165</v>
      </c>
      <c r="N34" s="32" t="s">
        <v>165</v>
      </c>
    </row>
    <row r="35" spans="1:15" ht="30" x14ac:dyDescent="0.15">
      <c r="A35" s="3">
        <v>33</v>
      </c>
      <c r="B35" s="23" t="s">
        <v>109</v>
      </c>
      <c r="C35" s="23" t="s">
        <v>259</v>
      </c>
      <c r="D35" s="24" t="s">
        <v>271</v>
      </c>
      <c r="E35" s="16" t="s">
        <v>18</v>
      </c>
      <c r="G35" s="30" t="s">
        <v>183</v>
      </c>
      <c r="H35" s="30" t="s">
        <v>184</v>
      </c>
      <c r="I35" s="19"/>
      <c r="J35" s="32" t="s">
        <v>165</v>
      </c>
      <c r="K35" s="32" t="s">
        <v>165</v>
      </c>
      <c r="L35" s="32" t="s">
        <v>165</v>
      </c>
      <c r="M35" s="32" t="s">
        <v>165</v>
      </c>
      <c r="N35" s="32" t="s">
        <v>165</v>
      </c>
    </row>
    <row r="36" spans="1:15" ht="30" x14ac:dyDescent="0.15">
      <c r="A36" s="3">
        <v>34</v>
      </c>
      <c r="B36" s="23" t="s">
        <v>109</v>
      </c>
      <c r="C36" s="23" t="s">
        <v>260</v>
      </c>
      <c r="D36" s="24" t="s">
        <v>272</v>
      </c>
      <c r="E36" s="16" t="s">
        <v>18</v>
      </c>
      <c r="G36" s="30" t="s">
        <v>183</v>
      </c>
      <c r="H36" s="30" t="s">
        <v>184</v>
      </c>
      <c r="I36" s="19"/>
      <c r="J36" s="32" t="s">
        <v>165</v>
      </c>
      <c r="K36" s="32" t="s">
        <v>165</v>
      </c>
      <c r="L36" s="32" t="s">
        <v>165</v>
      </c>
      <c r="M36" s="32" t="s">
        <v>165</v>
      </c>
      <c r="N36" s="32" t="s">
        <v>165</v>
      </c>
    </row>
    <row r="37" spans="1:15" ht="30" x14ac:dyDescent="0.15">
      <c r="A37" s="3">
        <v>35</v>
      </c>
      <c r="B37" s="23" t="s">
        <v>109</v>
      </c>
      <c r="C37" s="23" t="s">
        <v>261</v>
      </c>
      <c r="D37" s="24" t="s">
        <v>273</v>
      </c>
      <c r="E37" s="16" t="s">
        <v>18</v>
      </c>
      <c r="G37" s="30" t="s">
        <v>183</v>
      </c>
      <c r="H37" s="30" t="s">
        <v>184</v>
      </c>
      <c r="I37" s="19"/>
      <c r="J37" s="32" t="s">
        <v>165</v>
      </c>
      <c r="K37" s="32" t="s">
        <v>165</v>
      </c>
      <c r="L37" s="32" t="s">
        <v>165</v>
      </c>
      <c r="M37" s="32" t="s">
        <v>165</v>
      </c>
      <c r="N37" s="32" t="s">
        <v>165</v>
      </c>
    </row>
    <row r="38" spans="1:15" ht="45" x14ac:dyDescent="0.15">
      <c r="A38" s="3">
        <v>36</v>
      </c>
      <c r="B38" s="23" t="s">
        <v>109</v>
      </c>
      <c r="C38" s="23" t="s">
        <v>284</v>
      </c>
      <c r="D38" s="26" t="s">
        <v>285</v>
      </c>
      <c r="E38" s="16" t="s">
        <v>18</v>
      </c>
      <c r="G38" s="30" t="s">
        <v>183</v>
      </c>
      <c r="H38" s="30" t="s">
        <v>184</v>
      </c>
      <c r="I38" s="19"/>
      <c r="J38" s="32"/>
      <c r="K38" s="32" t="s">
        <v>165</v>
      </c>
      <c r="L38" s="32" t="s">
        <v>165</v>
      </c>
      <c r="M38" s="32" t="s">
        <v>165</v>
      </c>
      <c r="N38" s="32" t="s">
        <v>165</v>
      </c>
    </row>
    <row r="39" spans="1:15" ht="30" x14ac:dyDescent="0.15">
      <c r="A39" s="3">
        <v>37</v>
      </c>
      <c r="B39" s="23" t="s">
        <v>109</v>
      </c>
      <c r="C39" s="23" t="s">
        <v>262</v>
      </c>
      <c r="D39" s="26" t="s">
        <v>274</v>
      </c>
      <c r="E39" s="16" t="s">
        <v>18</v>
      </c>
      <c r="G39" s="30" t="s">
        <v>183</v>
      </c>
      <c r="H39" s="30" t="s">
        <v>184</v>
      </c>
      <c r="I39" s="19"/>
      <c r="J39" s="32"/>
      <c r="K39" s="32" t="s">
        <v>165</v>
      </c>
      <c r="L39" s="32" t="s">
        <v>165</v>
      </c>
      <c r="M39" s="32" t="s">
        <v>165</v>
      </c>
      <c r="N39" s="32" t="s">
        <v>165</v>
      </c>
    </row>
    <row r="40" spans="1:15" x14ac:dyDescent="0.15">
      <c r="A40" s="3">
        <v>39</v>
      </c>
      <c r="B40" s="23" t="s">
        <v>109</v>
      </c>
      <c r="C40" s="19" t="s">
        <v>275</v>
      </c>
      <c r="D40" s="19" t="s">
        <v>281</v>
      </c>
      <c r="E40" s="16" t="s">
        <v>18</v>
      </c>
      <c r="G40" s="30" t="s">
        <v>181</v>
      </c>
      <c r="H40" s="30" t="s">
        <v>276</v>
      </c>
      <c r="I40" s="32" t="s">
        <v>165</v>
      </c>
      <c r="J40" s="32" t="s">
        <v>165</v>
      </c>
      <c r="K40" s="32" t="s">
        <v>165</v>
      </c>
      <c r="L40" s="32" t="s">
        <v>165</v>
      </c>
      <c r="M40" s="32" t="s">
        <v>165</v>
      </c>
      <c r="N40" s="32" t="s">
        <v>165</v>
      </c>
      <c r="O40" s="34"/>
    </row>
    <row r="41" spans="1:15" ht="60" x14ac:dyDescent="0.15">
      <c r="A41" s="3">
        <v>40</v>
      </c>
      <c r="B41" s="23" t="s">
        <v>109</v>
      </c>
      <c r="C41" s="23" t="s">
        <v>279</v>
      </c>
      <c r="D41" s="26" t="s">
        <v>280</v>
      </c>
      <c r="E41" s="16" t="s">
        <v>18</v>
      </c>
    </row>
    <row r="42" spans="1:15" ht="30" x14ac:dyDescent="0.15">
      <c r="A42" s="3">
        <v>65535</v>
      </c>
      <c r="B42" s="23" t="s">
        <v>110</v>
      </c>
      <c r="C42" s="23" t="s">
        <v>111</v>
      </c>
      <c r="D42" s="26" t="s">
        <v>208</v>
      </c>
      <c r="E42" s="16" t="s">
        <v>18</v>
      </c>
    </row>
    <row r="43" spans="1:15" ht="75" x14ac:dyDescent="0.15">
      <c r="A43" s="35">
        <v>50002001</v>
      </c>
      <c r="B43" s="23" t="s">
        <v>109</v>
      </c>
      <c r="C43" s="36" t="s">
        <v>277</v>
      </c>
      <c r="D43" s="26" t="s">
        <v>278</v>
      </c>
      <c r="E43" s="16" t="s">
        <v>18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40"/>
  <sheetViews>
    <sheetView workbookViewId="0">
      <selection activeCell="C23" sqref="C23"/>
    </sheetView>
  </sheetViews>
  <sheetFormatPr baseColWidth="12" defaultRowHeight="15" x14ac:dyDescent="0.15"/>
  <cols>
    <col min="2" max="2" width="33.83203125" customWidth="1"/>
    <col min="3" max="3" width="75.33203125" customWidth="1"/>
  </cols>
  <sheetData>
    <row r="1" spans="1:7" x14ac:dyDescent="0.15">
      <c r="A1" t="s">
        <v>32</v>
      </c>
      <c r="B1" t="s">
        <v>33</v>
      </c>
      <c r="C1" t="s">
        <v>34</v>
      </c>
    </row>
    <row r="2" spans="1:7" ht="30" x14ac:dyDescent="0.15">
      <c r="A2">
        <v>1</v>
      </c>
      <c r="B2" t="s">
        <v>35</v>
      </c>
      <c r="C2" s="25" t="s">
        <v>113</v>
      </c>
      <c r="D2">
        <v>1</v>
      </c>
      <c r="E2">
        <f>LEN(C2)</f>
        <v>29</v>
      </c>
      <c r="F2">
        <f>IF(E2&gt;64,1,)</f>
        <v>0</v>
      </c>
      <c r="G2" t="str">
        <f>IF(ISERROR(FIND("解放",B2))=1,"回","")</f>
        <v/>
      </c>
    </row>
    <row r="3" spans="1:7" ht="30" x14ac:dyDescent="0.15">
      <c r="A3">
        <v>2</v>
      </c>
      <c r="B3" t="s">
        <v>36</v>
      </c>
      <c r="C3" s="25" t="s">
        <v>114</v>
      </c>
      <c r="D3">
        <v>1</v>
      </c>
      <c r="E3">
        <f t="shared" ref="E3:E39" si="0">LEN(C3)</f>
        <v>34</v>
      </c>
      <c r="F3">
        <f t="shared" ref="F3:F39" si="1">IF(E3&gt;64,1,)</f>
        <v>0</v>
      </c>
      <c r="G3" t="str">
        <f t="shared" ref="G3:G39" si="2">IF(ISERROR(FIND("解放",B3))=1,"回","")</f>
        <v/>
      </c>
    </row>
    <row r="4" spans="1:7" ht="30" x14ac:dyDescent="0.15">
      <c r="A4">
        <v>3</v>
      </c>
      <c r="B4" t="s">
        <v>37</v>
      </c>
      <c r="C4" s="25" t="s">
        <v>115</v>
      </c>
      <c r="D4">
        <v>1</v>
      </c>
      <c r="E4">
        <f t="shared" si="0"/>
        <v>25</v>
      </c>
      <c r="F4">
        <f t="shared" si="1"/>
        <v>0</v>
      </c>
      <c r="G4" t="str">
        <f t="shared" si="2"/>
        <v/>
      </c>
    </row>
    <row r="5" spans="1:7" ht="30" x14ac:dyDescent="0.15">
      <c r="A5">
        <v>4</v>
      </c>
      <c r="B5" t="s">
        <v>38</v>
      </c>
      <c r="C5" s="25" t="s">
        <v>116</v>
      </c>
      <c r="D5">
        <v>1</v>
      </c>
      <c r="E5">
        <f t="shared" si="0"/>
        <v>31</v>
      </c>
      <c r="F5">
        <f t="shared" si="1"/>
        <v>0</v>
      </c>
      <c r="G5" t="str">
        <f t="shared" si="2"/>
        <v/>
      </c>
    </row>
    <row r="6" spans="1:7" ht="30" x14ac:dyDescent="0.15">
      <c r="A6">
        <v>5</v>
      </c>
      <c r="B6" t="s">
        <v>39</v>
      </c>
      <c r="C6" s="24" t="s">
        <v>117</v>
      </c>
      <c r="D6">
        <v>1</v>
      </c>
      <c r="E6">
        <f>LEN(C6)</f>
        <v>36</v>
      </c>
      <c r="F6">
        <f t="shared" si="1"/>
        <v>0</v>
      </c>
      <c r="G6" t="str">
        <f t="shared" si="2"/>
        <v/>
      </c>
    </row>
    <row r="7" spans="1:7" ht="30" x14ac:dyDescent="0.15">
      <c r="A7">
        <v>6</v>
      </c>
      <c r="B7" t="s">
        <v>40</v>
      </c>
      <c r="C7" s="24" t="s">
        <v>118</v>
      </c>
      <c r="D7">
        <v>1</v>
      </c>
      <c r="E7">
        <f t="shared" si="0"/>
        <v>28</v>
      </c>
      <c r="F7">
        <f t="shared" si="1"/>
        <v>0</v>
      </c>
      <c r="G7" t="str">
        <f t="shared" si="2"/>
        <v/>
      </c>
    </row>
    <row r="8" spans="1:7" ht="30" x14ac:dyDescent="0.15">
      <c r="A8">
        <v>7</v>
      </c>
      <c r="B8" t="s">
        <v>41</v>
      </c>
      <c r="C8" s="24" t="s">
        <v>119</v>
      </c>
      <c r="D8">
        <v>1</v>
      </c>
      <c r="E8">
        <f t="shared" si="0"/>
        <v>31</v>
      </c>
      <c r="F8">
        <f t="shared" si="1"/>
        <v>0</v>
      </c>
      <c r="G8" t="str">
        <f t="shared" si="2"/>
        <v/>
      </c>
    </row>
    <row r="9" spans="1:7" ht="30" x14ac:dyDescent="0.15">
      <c r="A9">
        <v>8</v>
      </c>
      <c r="B9" t="s">
        <v>42</v>
      </c>
      <c r="C9" s="24" t="s">
        <v>120</v>
      </c>
      <c r="D9">
        <v>1</v>
      </c>
      <c r="E9">
        <f t="shared" si="0"/>
        <v>41</v>
      </c>
      <c r="F9">
        <f t="shared" si="1"/>
        <v>0</v>
      </c>
      <c r="G9" t="str">
        <f>IF(ISERROR(FIND("解放",B9))=1,"回","")</f>
        <v/>
      </c>
    </row>
    <row r="10" spans="1:7" ht="30" x14ac:dyDescent="0.15">
      <c r="A10">
        <v>9</v>
      </c>
      <c r="B10" t="s">
        <v>43</v>
      </c>
      <c r="C10" s="24" t="s">
        <v>121</v>
      </c>
      <c r="D10">
        <v>1</v>
      </c>
      <c r="E10">
        <f t="shared" si="0"/>
        <v>29</v>
      </c>
      <c r="F10">
        <f t="shared" si="1"/>
        <v>0</v>
      </c>
      <c r="G10" t="str">
        <f t="shared" si="2"/>
        <v/>
      </c>
    </row>
    <row r="11" spans="1:7" ht="30" x14ac:dyDescent="0.15">
      <c r="A11">
        <v>10</v>
      </c>
      <c r="B11" t="s">
        <v>44</v>
      </c>
      <c r="C11" s="24" t="s">
        <v>122</v>
      </c>
      <c r="D11">
        <v>1</v>
      </c>
      <c r="E11">
        <f t="shared" si="0"/>
        <v>34</v>
      </c>
      <c r="F11">
        <f t="shared" si="1"/>
        <v>0</v>
      </c>
      <c r="G11" t="str">
        <f t="shared" si="2"/>
        <v/>
      </c>
    </row>
    <row r="12" spans="1:7" ht="30" x14ac:dyDescent="0.15">
      <c r="A12">
        <v>11</v>
      </c>
      <c r="B12" t="s">
        <v>106</v>
      </c>
      <c r="C12" s="26" t="s">
        <v>123</v>
      </c>
      <c r="D12">
        <v>1</v>
      </c>
      <c r="E12">
        <f t="shared" si="0"/>
        <v>31</v>
      </c>
      <c r="F12">
        <f t="shared" si="1"/>
        <v>0</v>
      </c>
      <c r="G12" t="str">
        <f t="shared" si="2"/>
        <v/>
      </c>
    </row>
    <row r="13" spans="1:7" ht="30" x14ac:dyDescent="0.15">
      <c r="A13">
        <v>12</v>
      </c>
      <c r="B13" t="s">
        <v>26</v>
      </c>
      <c r="C13" s="24" t="s">
        <v>124</v>
      </c>
      <c r="D13">
        <v>1</v>
      </c>
      <c r="E13">
        <f t="shared" si="0"/>
        <v>29</v>
      </c>
      <c r="F13">
        <f t="shared" si="1"/>
        <v>0</v>
      </c>
      <c r="G13" t="str">
        <f t="shared" si="2"/>
        <v/>
      </c>
    </row>
    <row r="14" spans="1:7" ht="30" x14ac:dyDescent="0.15">
      <c r="A14">
        <v>13</v>
      </c>
      <c r="B14" t="s">
        <v>45</v>
      </c>
      <c r="C14" s="24" t="s">
        <v>125</v>
      </c>
      <c r="D14">
        <v>1</v>
      </c>
      <c r="E14">
        <f t="shared" si="0"/>
        <v>30</v>
      </c>
      <c r="F14">
        <f t="shared" si="1"/>
        <v>0</v>
      </c>
      <c r="G14" t="str">
        <f t="shared" si="2"/>
        <v/>
      </c>
    </row>
    <row r="15" spans="1:7" ht="30" x14ac:dyDescent="0.15">
      <c r="A15">
        <v>14</v>
      </c>
      <c r="B15" t="s">
        <v>46</v>
      </c>
      <c r="C15" s="24" t="s">
        <v>126</v>
      </c>
      <c r="D15">
        <v>1</v>
      </c>
      <c r="E15">
        <f t="shared" si="0"/>
        <v>30</v>
      </c>
      <c r="F15">
        <f t="shared" si="1"/>
        <v>0</v>
      </c>
      <c r="G15" t="str">
        <f t="shared" si="2"/>
        <v/>
      </c>
    </row>
    <row r="16" spans="1:7" ht="30" x14ac:dyDescent="0.15">
      <c r="A16">
        <v>15</v>
      </c>
      <c r="B16" t="s">
        <v>47</v>
      </c>
      <c r="C16" s="24" t="s">
        <v>127</v>
      </c>
      <c r="D16">
        <v>1</v>
      </c>
      <c r="E16">
        <f t="shared" si="0"/>
        <v>28</v>
      </c>
      <c r="F16">
        <f t="shared" si="1"/>
        <v>0</v>
      </c>
      <c r="G16" t="str">
        <f t="shared" si="2"/>
        <v/>
      </c>
    </row>
    <row r="17" spans="1:7" ht="45" x14ac:dyDescent="0.15">
      <c r="A17">
        <v>16</v>
      </c>
      <c r="B17" t="s">
        <v>48</v>
      </c>
      <c r="C17" s="24" t="s">
        <v>128</v>
      </c>
      <c r="D17">
        <v>1</v>
      </c>
      <c r="E17">
        <f t="shared" si="0"/>
        <v>38</v>
      </c>
      <c r="F17">
        <f t="shared" si="1"/>
        <v>0</v>
      </c>
      <c r="G17" t="str">
        <f t="shared" si="2"/>
        <v/>
      </c>
    </row>
    <row r="18" spans="1:7" ht="30" x14ac:dyDescent="0.15">
      <c r="A18">
        <v>17</v>
      </c>
      <c r="B18" t="s">
        <v>49</v>
      </c>
      <c r="C18" s="26" t="s">
        <v>129</v>
      </c>
      <c r="D18">
        <v>1</v>
      </c>
      <c r="E18">
        <f t="shared" si="0"/>
        <v>33</v>
      </c>
      <c r="F18">
        <f t="shared" si="1"/>
        <v>0</v>
      </c>
      <c r="G18" t="str">
        <f t="shared" si="2"/>
        <v/>
      </c>
    </row>
    <row r="19" spans="1:7" ht="30" x14ac:dyDescent="0.15">
      <c r="A19">
        <v>18</v>
      </c>
      <c r="B19" t="s">
        <v>50</v>
      </c>
      <c r="C19" s="24" t="s">
        <v>130</v>
      </c>
      <c r="D19">
        <v>1</v>
      </c>
      <c r="E19">
        <f t="shared" si="0"/>
        <v>21</v>
      </c>
      <c r="F19">
        <f t="shared" si="1"/>
        <v>0</v>
      </c>
      <c r="G19" t="str">
        <f t="shared" si="2"/>
        <v/>
      </c>
    </row>
    <row r="20" spans="1:7" ht="30" x14ac:dyDescent="0.15">
      <c r="A20">
        <v>19</v>
      </c>
      <c r="B20" t="s">
        <v>51</v>
      </c>
      <c r="C20" s="26" t="s">
        <v>131</v>
      </c>
      <c r="D20">
        <v>1</v>
      </c>
      <c r="E20">
        <f t="shared" si="0"/>
        <v>33</v>
      </c>
      <c r="F20">
        <f t="shared" si="1"/>
        <v>0</v>
      </c>
      <c r="G20" t="str">
        <f t="shared" si="2"/>
        <v/>
      </c>
    </row>
    <row r="21" spans="1:7" ht="30" x14ac:dyDescent="0.15">
      <c r="A21">
        <v>20</v>
      </c>
      <c r="B21" t="s">
        <v>28</v>
      </c>
      <c r="C21" s="27" t="s">
        <v>132</v>
      </c>
      <c r="D21">
        <v>1</v>
      </c>
      <c r="E21">
        <f t="shared" si="0"/>
        <v>24</v>
      </c>
      <c r="F21">
        <f t="shared" si="1"/>
        <v>0</v>
      </c>
      <c r="G21" t="str">
        <f t="shared" si="2"/>
        <v/>
      </c>
    </row>
    <row r="22" spans="1:7" ht="30" x14ac:dyDescent="0.15">
      <c r="A22">
        <v>21</v>
      </c>
      <c r="B22" t="s">
        <v>52</v>
      </c>
      <c r="C22" s="26" t="s">
        <v>133</v>
      </c>
      <c r="D22">
        <v>1</v>
      </c>
      <c r="E22">
        <f t="shared" si="0"/>
        <v>29</v>
      </c>
      <c r="F22">
        <f t="shared" si="1"/>
        <v>0</v>
      </c>
      <c r="G22" t="str">
        <f t="shared" si="2"/>
        <v/>
      </c>
    </row>
    <row r="23" spans="1:7" ht="30" x14ac:dyDescent="0.15">
      <c r="A23">
        <v>22</v>
      </c>
      <c r="B23" t="s">
        <v>53</v>
      </c>
      <c r="C23" s="26" t="s">
        <v>134</v>
      </c>
      <c r="D23">
        <v>1</v>
      </c>
      <c r="E23">
        <f t="shared" si="0"/>
        <v>24</v>
      </c>
      <c r="F23">
        <f t="shared" si="1"/>
        <v>0</v>
      </c>
      <c r="G23" t="str">
        <f t="shared" si="2"/>
        <v/>
      </c>
    </row>
    <row r="24" spans="1:7" ht="30" x14ac:dyDescent="0.15">
      <c r="A24">
        <v>23</v>
      </c>
      <c r="B24" t="s">
        <v>54</v>
      </c>
      <c r="C24" s="26" t="s">
        <v>135</v>
      </c>
      <c r="D24">
        <v>1</v>
      </c>
      <c r="E24">
        <f t="shared" si="0"/>
        <v>30</v>
      </c>
      <c r="F24">
        <f t="shared" si="1"/>
        <v>0</v>
      </c>
      <c r="G24" t="str">
        <f t="shared" si="2"/>
        <v/>
      </c>
    </row>
    <row r="25" spans="1:7" ht="45" x14ac:dyDescent="0.15">
      <c r="A25">
        <v>24</v>
      </c>
      <c r="B25" t="s">
        <v>55</v>
      </c>
      <c r="C25" s="24" t="s">
        <v>146</v>
      </c>
      <c r="D25">
        <v>1</v>
      </c>
      <c r="E25">
        <f t="shared" si="0"/>
        <v>50</v>
      </c>
      <c r="F25">
        <f t="shared" si="1"/>
        <v>0</v>
      </c>
      <c r="G25" t="str">
        <f t="shared" si="2"/>
        <v/>
      </c>
    </row>
    <row r="26" spans="1:7" ht="30" x14ac:dyDescent="0.15">
      <c r="A26">
        <v>25</v>
      </c>
      <c r="B26" t="s">
        <v>56</v>
      </c>
      <c r="C26" s="26" t="s">
        <v>136</v>
      </c>
      <c r="D26">
        <v>1</v>
      </c>
      <c r="E26">
        <f t="shared" si="0"/>
        <v>35</v>
      </c>
      <c r="F26">
        <f t="shared" si="1"/>
        <v>0</v>
      </c>
      <c r="G26" t="str">
        <f t="shared" si="2"/>
        <v/>
      </c>
    </row>
    <row r="27" spans="1:7" ht="30" x14ac:dyDescent="0.15">
      <c r="A27">
        <v>26</v>
      </c>
      <c r="B27" t="s">
        <v>57</v>
      </c>
      <c r="C27" s="26" t="s">
        <v>137</v>
      </c>
      <c r="D27">
        <v>1</v>
      </c>
      <c r="E27">
        <f t="shared" si="0"/>
        <v>30</v>
      </c>
      <c r="F27">
        <f t="shared" si="1"/>
        <v>0</v>
      </c>
      <c r="G27" t="str">
        <f t="shared" si="2"/>
        <v/>
      </c>
    </row>
    <row r="28" spans="1:7" ht="30" x14ac:dyDescent="0.15">
      <c r="A28">
        <v>27</v>
      </c>
      <c r="B28" t="s">
        <v>58</v>
      </c>
      <c r="C28" s="24" t="s">
        <v>138</v>
      </c>
      <c r="D28">
        <v>1</v>
      </c>
      <c r="E28">
        <f t="shared" si="0"/>
        <v>32</v>
      </c>
      <c r="F28">
        <f t="shared" si="1"/>
        <v>0</v>
      </c>
      <c r="G28" t="str">
        <f t="shared" si="2"/>
        <v/>
      </c>
    </row>
    <row r="29" spans="1:7" ht="30" x14ac:dyDescent="0.15">
      <c r="A29">
        <v>28</v>
      </c>
      <c r="B29" t="s">
        <v>59</v>
      </c>
      <c r="C29" s="24" t="s">
        <v>139</v>
      </c>
      <c r="D29">
        <v>1</v>
      </c>
      <c r="E29">
        <f t="shared" si="0"/>
        <v>34</v>
      </c>
      <c r="F29">
        <f t="shared" si="1"/>
        <v>0</v>
      </c>
      <c r="G29" t="str">
        <f t="shared" si="2"/>
        <v/>
      </c>
    </row>
    <row r="30" spans="1:7" ht="30" x14ac:dyDescent="0.15">
      <c r="A30">
        <v>29</v>
      </c>
      <c r="B30" t="s">
        <v>60</v>
      </c>
      <c r="C30" s="24" t="s">
        <v>209</v>
      </c>
      <c r="D30">
        <v>1</v>
      </c>
      <c r="E30">
        <f t="shared" si="0"/>
        <v>26</v>
      </c>
      <c r="F30">
        <f t="shared" si="1"/>
        <v>0</v>
      </c>
      <c r="G30" t="str">
        <f t="shared" si="2"/>
        <v/>
      </c>
    </row>
    <row r="31" spans="1:7" ht="30" x14ac:dyDescent="0.15">
      <c r="A31">
        <v>30</v>
      </c>
      <c r="B31" t="s">
        <v>61</v>
      </c>
      <c r="C31" s="26" t="s">
        <v>140</v>
      </c>
      <c r="D31">
        <v>1</v>
      </c>
      <c r="E31">
        <f t="shared" si="0"/>
        <v>30</v>
      </c>
      <c r="F31">
        <f t="shared" si="1"/>
        <v>0</v>
      </c>
      <c r="G31" t="str">
        <f t="shared" si="2"/>
        <v/>
      </c>
    </row>
    <row r="32" spans="1:7" ht="30" x14ac:dyDescent="0.15">
      <c r="A32">
        <v>31</v>
      </c>
      <c r="B32" t="s">
        <v>62</v>
      </c>
      <c r="C32" s="27" t="s">
        <v>141</v>
      </c>
      <c r="D32">
        <v>1</v>
      </c>
      <c r="E32">
        <f t="shared" si="0"/>
        <v>28</v>
      </c>
      <c r="F32">
        <f t="shared" si="1"/>
        <v>0</v>
      </c>
      <c r="G32" t="str">
        <f t="shared" si="2"/>
        <v/>
      </c>
    </row>
    <row r="33" spans="1:7" ht="30" x14ac:dyDescent="0.15">
      <c r="A33">
        <v>38</v>
      </c>
      <c r="B33" s="19" t="s">
        <v>30</v>
      </c>
      <c r="C33" s="26" t="s">
        <v>142</v>
      </c>
      <c r="D33">
        <v>1</v>
      </c>
      <c r="E33">
        <f t="shared" si="0"/>
        <v>31</v>
      </c>
      <c r="F33">
        <f t="shared" si="1"/>
        <v>0</v>
      </c>
      <c r="G33" t="str">
        <f t="shared" si="2"/>
        <v/>
      </c>
    </row>
    <row r="34" spans="1:7" ht="30" x14ac:dyDescent="0.15">
      <c r="A34">
        <v>32</v>
      </c>
      <c r="B34" t="s">
        <v>63</v>
      </c>
      <c r="C34" s="26" t="s">
        <v>147</v>
      </c>
      <c r="D34">
        <v>1</v>
      </c>
      <c r="E34">
        <f t="shared" si="0"/>
        <v>38</v>
      </c>
      <c r="F34">
        <f t="shared" si="1"/>
        <v>0</v>
      </c>
      <c r="G34" t="str">
        <f t="shared" si="2"/>
        <v/>
      </c>
    </row>
    <row r="35" spans="1:7" ht="30" x14ac:dyDescent="0.15">
      <c r="A35">
        <v>33</v>
      </c>
      <c r="B35" t="s">
        <v>64</v>
      </c>
      <c r="C35" s="24" t="s">
        <v>148</v>
      </c>
      <c r="D35">
        <v>1</v>
      </c>
      <c r="E35">
        <f t="shared" si="0"/>
        <v>42</v>
      </c>
      <c r="F35">
        <f t="shared" si="1"/>
        <v>0</v>
      </c>
      <c r="G35" t="str">
        <f t="shared" si="2"/>
        <v/>
      </c>
    </row>
    <row r="36" spans="1:7" ht="30" x14ac:dyDescent="0.15">
      <c r="A36">
        <v>34</v>
      </c>
      <c r="B36" t="s">
        <v>65</v>
      </c>
      <c r="C36" s="24" t="s">
        <v>143</v>
      </c>
      <c r="D36">
        <v>1</v>
      </c>
      <c r="E36">
        <f t="shared" si="0"/>
        <v>34</v>
      </c>
      <c r="F36">
        <f t="shared" si="1"/>
        <v>0</v>
      </c>
      <c r="G36" t="str">
        <f t="shared" si="2"/>
        <v/>
      </c>
    </row>
    <row r="37" spans="1:7" ht="30" x14ac:dyDescent="0.15">
      <c r="A37">
        <v>35</v>
      </c>
      <c r="B37" t="s">
        <v>66</v>
      </c>
      <c r="C37" s="24" t="s">
        <v>144</v>
      </c>
      <c r="D37">
        <v>1</v>
      </c>
      <c r="E37">
        <f t="shared" si="0"/>
        <v>35</v>
      </c>
      <c r="F37">
        <f t="shared" si="1"/>
        <v>0</v>
      </c>
      <c r="G37" t="str">
        <f t="shared" si="2"/>
        <v/>
      </c>
    </row>
    <row r="38" spans="1:7" ht="30" x14ac:dyDescent="0.15">
      <c r="A38">
        <v>36</v>
      </c>
      <c r="B38" t="s">
        <v>67</v>
      </c>
      <c r="C38" s="26" t="s">
        <v>207</v>
      </c>
      <c r="D38">
        <v>1</v>
      </c>
      <c r="E38">
        <f t="shared" si="0"/>
        <v>43</v>
      </c>
      <c r="F38">
        <f t="shared" si="1"/>
        <v>0</v>
      </c>
      <c r="G38" t="str">
        <f t="shared" si="2"/>
        <v/>
      </c>
    </row>
    <row r="39" spans="1:7" ht="30" x14ac:dyDescent="0.15">
      <c r="A39">
        <v>37</v>
      </c>
      <c r="B39" t="s">
        <v>68</v>
      </c>
      <c r="C39" s="26" t="s">
        <v>145</v>
      </c>
      <c r="D39">
        <v>1</v>
      </c>
      <c r="E39">
        <f t="shared" si="0"/>
        <v>33</v>
      </c>
      <c r="F39">
        <f t="shared" si="1"/>
        <v>0</v>
      </c>
      <c r="G39" t="str">
        <f t="shared" si="2"/>
        <v/>
      </c>
    </row>
    <row r="40" spans="1:7" x14ac:dyDescent="0.15">
      <c r="A40">
        <v>40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39"/>
  <sheetViews>
    <sheetView workbookViewId="0">
      <selection activeCell="A53" sqref="A53"/>
    </sheetView>
  </sheetViews>
  <sheetFormatPr baseColWidth="12" defaultRowHeight="15" x14ac:dyDescent="0.15"/>
  <cols>
    <col min="1" max="1" width="33.83203125" customWidth="1"/>
    <col min="2" max="2" width="54.6640625" customWidth="1"/>
  </cols>
  <sheetData>
    <row r="1" spans="1:3" x14ac:dyDescent="0.15">
      <c r="A1" t="s">
        <v>33</v>
      </c>
      <c r="C1" t="s">
        <v>32</v>
      </c>
    </row>
    <row r="2" spans="1:3" ht="30" x14ac:dyDescent="0.15">
      <c r="A2" t="s">
        <v>35</v>
      </c>
      <c r="B2" s="22" t="s">
        <v>103</v>
      </c>
      <c r="C2">
        <v>1</v>
      </c>
    </row>
    <row r="3" spans="1:3" ht="28" x14ac:dyDescent="0.15">
      <c r="A3" t="s">
        <v>36</v>
      </c>
      <c r="B3" s="20" t="s">
        <v>27</v>
      </c>
      <c r="C3">
        <v>2</v>
      </c>
    </row>
    <row r="4" spans="1:3" ht="30" x14ac:dyDescent="0.15">
      <c r="A4" t="s">
        <v>37</v>
      </c>
      <c r="B4" s="22" t="s">
        <v>69</v>
      </c>
      <c r="C4">
        <v>3</v>
      </c>
    </row>
    <row r="5" spans="1:3" ht="45" x14ac:dyDescent="0.15">
      <c r="A5" t="s">
        <v>38</v>
      </c>
      <c r="B5" s="22" t="s">
        <v>70</v>
      </c>
      <c r="C5">
        <v>4</v>
      </c>
    </row>
    <row r="6" spans="1:3" ht="45" x14ac:dyDescent="0.15">
      <c r="A6" t="s">
        <v>39</v>
      </c>
      <c r="B6" s="22" t="s">
        <v>71</v>
      </c>
      <c r="C6">
        <v>5</v>
      </c>
    </row>
    <row r="7" spans="1:3" ht="45" x14ac:dyDescent="0.15">
      <c r="A7" t="s">
        <v>40</v>
      </c>
      <c r="B7" s="22" t="s">
        <v>72</v>
      </c>
      <c r="C7">
        <v>6</v>
      </c>
    </row>
    <row r="8" spans="1:3" ht="45" x14ac:dyDescent="0.15">
      <c r="A8" t="s">
        <v>41</v>
      </c>
      <c r="B8" s="22" t="s">
        <v>73</v>
      </c>
      <c r="C8">
        <v>7</v>
      </c>
    </row>
    <row r="9" spans="1:3" ht="45" x14ac:dyDescent="0.15">
      <c r="A9" t="s">
        <v>42</v>
      </c>
      <c r="B9" s="22" t="s">
        <v>74</v>
      </c>
      <c r="C9">
        <v>8</v>
      </c>
    </row>
    <row r="10" spans="1:3" ht="45" x14ac:dyDescent="0.15">
      <c r="A10" t="s">
        <v>43</v>
      </c>
      <c r="B10" s="22" t="s">
        <v>75</v>
      </c>
      <c r="C10">
        <v>9</v>
      </c>
    </row>
    <row r="11" spans="1:3" ht="45" x14ac:dyDescent="0.15">
      <c r="A11" t="s">
        <v>44</v>
      </c>
      <c r="B11" s="22" t="s">
        <v>76</v>
      </c>
      <c r="C11">
        <v>10</v>
      </c>
    </row>
    <row r="12" spans="1:3" ht="45" x14ac:dyDescent="0.15">
      <c r="A12" t="s">
        <v>106</v>
      </c>
      <c r="B12" s="22" t="s">
        <v>105</v>
      </c>
      <c r="C12">
        <v>11</v>
      </c>
    </row>
    <row r="13" spans="1:3" ht="30" x14ac:dyDescent="0.15">
      <c r="A13" t="s">
        <v>26</v>
      </c>
      <c r="B13" s="22" t="s">
        <v>77</v>
      </c>
      <c r="C13">
        <v>12</v>
      </c>
    </row>
    <row r="14" spans="1:3" ht="30" x14ac:dyDescent="0.15">
      <c r="A14" t="s">
        <v>45</v>
      </c>
      <c r="B14" s="22" t="s">
        <v>78</v>
      </c>
      <c r="C14">
        <v>13</v>
      </c>
    </row>
    <row r="15" spans="1:3" ht="45" x14ac:dyDescent="0.15">
      <c r="A15" t="s">
        <v>46</v>
      </c>
      <c r="B15" s="22" t="s">
        <v>79</v>
      </c>
      <c r="C15">
        <v>14</v>
      </c>
    </row>
    <row r="16" spans="1:3" ht="30" x14ac:dyDescent="0.15">
      <c r="A16" t="s">
        <v>47</v>
      </c>
      <c r="B16" s="22" t="s">
        <v>80</v>
      </c>
      <c r="C16">
        <v>15</v>
      </c>
    </row>
    <row r="17" spans="1:3" ht="45" x14ac:dyDescent="0.15">
      <c r="A17" t="s">
        <v>48</v>
      </c>
      <c r="B17" s="22" t="s">
        <v>81</v>
      </c>
      <c r="C17">
        <v>16</v>
      </c>
    </row>
    <row r="18" spans="1:3" ht="45" x14ac:dyDescent="0.15">
      <c r="A18" t="s">
        <v>49</v>
      </c>
      <c r="B18" s="22" t="s">
        <v>82</v>
      </c>
      <c r="C18">
        <v>17</v>
      </c>
    </row>
    <row r="19" spans="1:3" ht="30" x14ac:dyDescent="0.15">
      <c r="A19" t="s">
        <v>50</v>
      </c>
      <c r="B19" s="22" t="s">
        <v>83</v>
      </c>
      <c r="C19">
        <v>18</v>
      </c>
    </row>
    <row r="20" spans="1:3" ht="45" x14ac:dyDescent="0.15">
      <c r="A20" t="s">
        <v>51</v>
      </c>
      <c r="B20" s="22" t="s">
        <v>84</v>
      </c>
      <c r="C20">
        <v>19</v>
      </c>
    </row>
    <row r="21" spans="1:3" ht="30" x14ac:dyDescent="0.15">
      <c r="A21" t="s">
        <v>28</v>
      </c>
      <c r="B21" s="22" t="s">
        <v>85</v>
      </c>
      <c r="C21">
        <v>20</v>
      </c>
    </row>
    <row r="22" spans="1:3" ht="60" x14ac:dyDescent="0.15">
      <c r="A22" t="s">
        <v>52</v>
      </c>
      <c r="B22" s="22" t="s">
        <v>86</v>
      </c>
      <c r="C22">
        <v>21</v>
      </c>
    </row>
    <row r="23" spans="1:3" x14ac:dyDescent="0.15">
      <c r="A23" t="s">
        <v>53</v>
      </c>
      <c r="B23" t="s">
        <v>87</v>
      </c>
      <c r="C23">
        <v>22</v>
      </c>
    </row>
    <row r="24" spans="1:3" ht="45" x14ac:dyDescent="0.15">
      <c r="A24" t="s">
        <v>54</v>
      </c>
      <c r="B24" s="22" t="s">
        <v>88</v>
      </c>
      <c r="C24">
        <v>23</v>
      </c>
    </row>
    <row r="25" spans="1:3" ht="60" x14ac:dyDescent="0.15">
      <c r="A25" t="s">
        <v>55</v>
      </c>
      <c r="B25" s="22" t="s">
        <v>89</v>
      </c>
      <c r="C25">
        <v>24</v>
      </c>
    </row>
    <row r="26" spans="1:3" ht="45" x14ac:dyDescent="0.15">
      <c r="A26" t="s">
        <v>56</v>
      </c>
      <c r="B26" s="22" t="s">
        <v>90</v>
      </c>
      <c r="C26">
        <v>25</v>
      </c>
    </row>
    <row r="27" spans="1:3" ht="30" x14ac:dyDescent="0.15">
      <c r="A27" t="s">
        <v>57</v>
      </c>
      <c r="B27" s="22" t="s">
        <v>91</v>
      </c>
      <c r="C27">
        <v>26</v>
      </c>
    </row>
    <row r="28" spans="1:3" ht="45" x14ac:dyDescent="0.15">
      <c r="A28" t="s">
        <v>58</v>
      </c>
      <c r="B28" s="22" t="s">
        <v>92</v>
      </c>
      <c r="C28">
        <v>27</v>
      </c>
    </row>
    <row r="29" spans="1:3" ht="45" x14ac:dyDescent="0.15">
      <c r="A29" t="s">
        <v>59</v>
      </c>
      <c r="B29" s="22" t="s">
        <v>93</v>
      </c>
      <c r="C29">
        <v>28</v>
      </c>
    </row>
    <row r="30" spans="1:3" x14ac:dyDescent="0.15">
      <c r="A30" t="s">
        <v>60</v>
      </c>
      <c r="B30" t="s">
        <v>94</v>
      </c>
      <c r="C30">
        <v>29</v>
      </c>
    </row>
    <row r="31" spans="1:3" ht="30" x14ac:dyDescent="0.15">
      <c r="A31" t="s">
        <v>61</v>
      </c>
      <c r="B31" s="22" t="s">
        <v>95</v>
      </c>
      <c r="C31">
        <v>30</v>
      </c>
    </row>
    <row r="32" spans="1:3" ht="30" x14ac:dyDescent="0.15">
      <c r="A32" t="s">
        <v>62</v>
      </c>
      <c r="B32" s="22" t="s">
        <v>96</v>
      </c>
      <c r="C32">
        <v>31</v>
      </c>
    </row>
    <row r="33" spans="1:3" ht="28" x14ac:dyDescent="0.15">
      <c r="A33" s="19" t="s">
        <v>30</v>
      </c>
      <c r="B33" s="21" t="s">
        <v>104</v>
      </c>
      <c r="C33">
        <v>38</v>
      </c>
    </row>
    <row r="34" spans="1:3" ht="30" x14ac:dyDescent="0.15">
      <c r="A34" t="s">
        <v>63</v>
      </c>
      <c r="B34" s="22" t="s">
        <v>97</v>
      </c>
      <c r="C34">
        <v>32</v>
      </c>
    </row>
    <row r="35" spans="1:3" ht="60" x14ac:dyDescent="0.15">
      <c r="A35" t="s">
        <v>64</v>
      </c>
      <c r="B35" s="22" t="s">
        <v>98</v>
      </c>
      <c r="C35">
        <v>33</v>
      </c>
    </row>
    <row r="36" spans="1:3" ht="30" x14ac:dyDescent="0.15">
      <c r="A36" t="s">
        <v>65</v>
      </c>
      <c r="B36" s="22" t="s">
        <v>99</v>
      </c>
      <c r="C36">
        <v>34</v>
      </c>
    </row>
    <row r="37" spans="1:3" ht="45" x14ac:dyDescent="0.15">
      <c r="A37" t="s">
        <v>66</v>
      </c>
      <c r="B37" s="22" t="s">
        <v>100</v>
      </c>
      <c r="C37">
        <v>35</v>
      </c>
    </row>
    <row r="38" spans="1:3" ht="45" x14ac:dyDescent="0.15">
      <c r="A38" t="s">
        <v>67</v>
      </c>
      <c r="B38" s="22" t="s">
        <v>101</v>
      </c>
      <c r="C38">
        <v>36</v>
      </c>
    </row>
    <row r="39" spans="1:3" ht="45" x14ac:dyDescent="0.15">
      <c r="A39" t="s">
        <v>68</v>
      </c>
      <c r="B39" s="22" t="s">
        <v>102</v>
      </c>
      <c r="C39">
        <v>37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stage_hints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Microsoft Office ユーザー</cp:lastModifiedBy>
  <dcterms:created xsi:type="dcterms:W3CDTF">2013-10-07T08:00:17Z</dcterms:created>
  <dcterms:modified xsi:type="dcterms:W3CDTF">2017-03-10T02:08:37Z</dcterms:modified>
</cp:coreProperties>
</file>