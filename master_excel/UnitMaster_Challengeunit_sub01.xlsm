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060" yWindow="500" windowWidth="27740" windowHeight="15940" tabRatio="963" activeTab="11"/>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ghosts_label" sheetId="59" r:id="rId11"/>
    <sheet name="コスト" sheetId="13" r:id="rId12"/>
    <sheet name="レベル" sheetId="12" r:id="rId13"/>
    <sheet name="経験値" sheetId="10" r:id="rId14"/>
    <sheet name="RC6SV" sheetId="11" r:id="rId15"/>
    <sheet name="ビット" sheetId="15" r:id="rId16"/>
    <sheet name="チェックシート" sheetId="55" r:id="rId17"/>
  </sheets>
  <externalReferences>
    <externalReference r:id="rId18"/>
    <externalReference r:id="rId19"/>
    <externalReference r:id="rId20"/>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alcMode="manual"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3" i="23" l="1"/>
  <c r="BR3" i="23"/>
  <c r="H2" i="23"/>
  <c r="BR2" i="23"/>
  <c r="E2" i="57"/>
  <c r="J2" i="3"/>
  <c r="J6" i="3"/>
  <c r="H6" i="3"/>
  <c r="C6" i="3"/>
  <c r="F6" i="3"/>
  <c r="E6" i="3"/>
  <c r="D6" i="3"/>
  <c r="A6" i="3"/>
  <c r="E3" i="54"/>
  <c r="E4" i="54"/>
  <c r="E5" i="54"/>
  <c r="E6" i="54"/>
  <c r="E7" i="54"/>
  <c r="E8" i="54"/>
  <c r="E9" i="54"/>
  <c r="E10" i="54"/>
  <c r="E2" i="54"/>
  <c r="D10" i="54"/>
  <c r="B10" i="54"/>
  <c r="B4" i="54"/>
  <c r="D9" i="54"/>
  <c r="B9" i="54"/>
  <c r="D8" i="54"/>
  <c r="B8" i="54"/>
  <c r="D7" i="54"/>
  <c r="B7" i="54"/>
  <c r="D6" i="54"/>
  <c r="B6" i="54"/>
  <c r="D5" i="54"/>
  <c r="D4" i="54"/>
  <c r="D3" i="54"/>
  <c r="B3" i="54"/>
  <c r="G2" i="58"/>
  <c r="U2" i="58"/>
  <c r="G2" i="23"/>
  <c r="BC2" i="23"/>
  <c r="BD2" i="23"/>
  <c r="Q2" i="23"/>
  <c r="S2" i="23"/>
  <c r="W2" i="23"/>
  <c r="AA2" i="23"/>
  <c r="I2" i="23"/>
  <c r="J2" i="23"/>
  <c r="BK2" i="23"/>
  <c r="G3" i="23"/>
  <c r="BC3" i="23"/>
  <c r="BD3" i="23"/>
  <c r="Q3" i="23"/>
  <c r="S3" i="23"/>
  <c r="W3" i="23"/>
  <c r="AA3" i="23"/>
  <c r="I3" i="23"/>
  <c r="J3" i="23"/>
  <c r="BK3" i="23"/>
  <c r="J4" i="3"/>
  <c r="J3" i="3"/>
  <c r="J5" i="3"/>
  <c r="H5" i="3"/>
  <c r="C5" i="3"/>
  <c r="F5" i="3"/>
  <c r="E5" i="3"/>
  <c r="D5" i="3"/>
  <c r="A5" i="3"/>
  <c r="H4" i="3"/>
  <c r="C4" i="3"/>
  <c r="F4" i="3"/>
  <c r="E4" i="3"/>
  <c r="D4" i="3"/>
  <c r="A4" i="3"/>
  <c r="H3" i="3"/>
  <c r="C3" i="3"/>
  <c r="F3" i="3"/>
  <c r="E3" i="3"/>
  <c r="D3" i="3"/>
  <c r="A3" i="3"/>
  <c r="F2" i="57"/>
  <c r="B2" i="57"/>
  <c r="C2" i="3"/>
  <c r="D2" i="3"/>
  <c r="T3" i="23"/>
  <c r="AB3" i="23"/>
  <c r="K3" i="23"/>
  <c r="BL3" i="23"/>
  <c r="T2" i="23"/>
  <c r="AB2" i="23"/>
  <c r="K2" i="23"/>
  <c r="BL2" i="23"/>
  <c r="V3" i="23"/>
  <c r="AD3" i="23"/>
  <c r="M3" i="23"/>
  <c r="BN3" i="23"/>
  <c r="V2" i="23"/>
  <c r="AD2" i="23"/>
  <c r="M2" i="23"/>
  <c r="BN2" i="23"/>
  <c r="AL3" i="23"/>
  <c r="H2" i="3"/>
  <c r="S2" i="58"/>
  <c r="T2" i="58"/>
  <c r="R2" i="58"/>
  <c r="B2" i="58"/>
  <c r="D2" i="54"/>
  <c r="B2" i="54"/>
  <c r="G2" i="53"/>
  <c r="AH3" i="23"/>
  <c r="AH2" i="23"/>
  <c r="G10" i="13"/>
  <c r="G11" i="13"/>
  <c r="G9" i="13"/>
  <c r="B2" i="23"/>
  <c r="B3" i="23"/>
  <c r="G3" i="13"/>
  <c r="G4" i="13"/>
  <c r="R3" i="23"/>
  <c r="R2" i="23"/>
  <c r="J2" i="52"/>
  <c r="AQ2" i="23"/>
  <c r="H2" i="5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K2" i="52"/>
  <c r="E3" i="49"/>
  <c r="E5" i="49"/>
  <c r="F2" i="3"/>
  <c r="E2" i="3"/>
  <c r="O2" i="58"/>
  <c r="N2" i="58"/>
  <c r="M2" i="58"/>
  <c r="L2" i="58"/>
  <c r="J2" i="58"/>
  <c r="K2" i="58"/>
  <c r="I2" i="58"/>
  <c r="H2" i="58"/>
  <c r="F2" i="58"/>
  <c r="E2" i="58"/>
  <c r="D2" i="58"/>
  <c r="C2" i="58"/>
  <c r="E15" i="49"/>
  <c r="E14" i="49"/>
  <c r="E13" i="49"/>
  <c r="P2" i="23"/>
  <c r="G8" i="1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5" i="54"/>
  <c r="E2" i="53"/>
  <c r="H2" i="52"/>
  <c r="E2" i="52"/>
  <c r="E10" i="49"/>
  <c r="E9" i="49"/>
  <c r="E8" i="49"/>
  <c r="E7" i="49"/>
  <c r="E11" i="49"/>
  <c r="E12" i="49"/>
  <c r="E4" i="49"/>
  <c r="E6" i="49"/>
  <c r="E2" i="49"/>
</calcChain>
</file>

<file path=xl/sharedStrings.xml><?xml version="1.0" encoding="utf-8"?>
<sst xmlns="http://schemas.openxmlformats.org/spreadsheetml/2006/main" count="884" uniqueCount="360">
  <si>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</si>
  <si>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</si>
  <si>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</si>
  <si>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</si>
  <si>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</si>
  <si>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</si>
  <si>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</si>
  <si>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</si>
  <si>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</si>
  <si>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</si>
  <si>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</si>
  <si>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</si>
  <si>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</si>
  <si>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</si>
  <si>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</si>
  <si>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</si>
  <si>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</si>
  <si>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</si>
  <si>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</si>
  <si>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</si>
  <si>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</si>
  <si>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</si>
  <si>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</si>
  <si>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</si>
  <si>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</si>
  <si>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</si>
  <si>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</si>
  <si>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</si>
  <si>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</si>
  <si>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</si>
  <si>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</si>
  <si>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</si>
  <si>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</si>
  <si>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</si>
  <si>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</si>
  <si>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</si>
  <si>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</si>
  <si>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</si>
  <si>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</si>
  <si>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</si>
  <si>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</si>
  <si>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</si>
  <si>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</si>
  <si>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</si>
  <si>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</si>
  <si>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</si>
  <si>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</si>
  <si>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</si>
  <si>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</si>
  <si>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</si>
  <si>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</si>
  <si>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</si>
  <si>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</si>
  <si>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</si>
  <si>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</si>
  <si>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</si>
  <si>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</si>
  <si>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</si>
  <si>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</si>
  <si>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</si>
  <si>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</si>
  <si>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</si>
  <si>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</si>
  <si>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</si>
  <si>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</si>
  <si>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</si>
  <si>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</si>
  <si>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</si>
  <si>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</si>
  <si>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</si>
  <si>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</si>
  <si>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</si>
  <si>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</si>
  <si>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</si>
  <si>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</si>
  <si>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</si>
  <si>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</si>
  <si>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</si>
  <si>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</si>
  <si>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</si>
  <si>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</si>
  <si>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</si>
  <si>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</si>
  <si>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</si>
  <si>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</si>
  <si>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</si>
  <si>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</si>
  <si>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</si>
  <si>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</si>
  <si>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</si>
  <si>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</si>
  <si>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</si>
  <si>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</si>
  <si>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</si>
  <si>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</si>
  <si>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</si>
  <si>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</si>
  <si>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</si>
  <si>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</si>
  <si>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</si>
  <si>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</si>
  <si>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</si>
  <si>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</si>
  <si>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</si>
  <si>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</si>
  <si>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</si>
  <si>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</si>
  <si>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</si>
  <si>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</si>
  <si>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</si>
  <si>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</si>
  <si>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</si>
  <si>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</si>
  <si>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</si>
  <si>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</si>
  <si>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</si>
  <si>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</si>
  <si>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</si>
  <si>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</si>
  <si>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</si>
  <si>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</si>
  <si>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</si>
  <si>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</si>
  <si>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</si>
  <si>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</si>
  <si>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</si>
  <si>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</si>
  <si>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</si>
  <si>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</si>
  <si>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</si>
  <si>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</si>
  <si>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</si>
  <si>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</si>
  <si>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</si>
  <si>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</si>
  <si>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</si>
  <si>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</si>
  <si>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</si>
  <si>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</si>
  <si>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</si>
  <si>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</si>
  <si>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</si>
  <si>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</si>
  <si>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</si>
  <si>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</si>
  <si>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</si>
  <si>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</si>
  <si>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</si>
  <si>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</si>
  <si>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</si>
  <si>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</si>
  <si>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</si>
  <si>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</si>
  <si>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</si>
  <si>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</si>
  <si>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</si>
  <si>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</si>
  <si>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</si>
  <si>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</si>
  <si>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</si>
  <si>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</si>
  <si>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</si>
  <si>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</si>
  <si>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</si>
  <si>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</si>
  <si>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</si>
  <si>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</si>
  <si>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</si>
  <si>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</si>
  <si>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</si>
  <si>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</si>
  <si>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</si>
  <si>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</si>
  <si>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</si>
  <si>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</si>
  <si>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</si>
  <si>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</si>
  <si>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</si>
  <si>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</si>
  <si>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</si>
  <si>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</si>
  <si>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</si>
  <si>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</si>
  <si>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</si>
  <si>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</si>
  <si>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</si>
  <si>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</si>
  <si>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</si>
  <si>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</si>
  <si>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</si>
  <si>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</si>
  <si>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</si>
  <si>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</si>
  <si>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</si>
  <si>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</si>
  <si>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</si>
  <si>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</si>
  <si>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</si>
  <si>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</si>
  <si>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</si>
  <si>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</si>
  <si>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</si>
  <si>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</si>
  <si>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</si>
  <si>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</si>
  <si>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</si>
  <si>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</si>
  <si>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</si>
  <si>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</si>
  <si>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</si>
  <si>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</si>
  <si>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</si>
  <si>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</si>
  <si>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</si>
  <si>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</si>
  <si>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</si>
  <si>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</si>
  <si>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</si>
  <si>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</si>
  <si>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</si>
  <si>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</si>
  <si>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</si>
  <si>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</si>
  <si>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</si>
  <si>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</si>
  <si>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</si>
  <si>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</si>
  <si>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</si>
  <si>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</si>
  <si>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</si>
  <si>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</si>
  <si>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</si>
  <si>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</si>
  <si>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</si>
  <si>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</si>
  <si>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</si>
  <si>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</si>
  <si>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</si>
  <si>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</si>
  <si>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</si>
  <si>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</si>
  <si>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</si>
  <si>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</si>
  <si>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</si>
  <si>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</si>
  <si>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</si>
  <si>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</si>
  <si>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</si>
  <si>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</si>
  <si>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</si>
  <si>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</si>
  <si>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</si>
  <si>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</si>
  <si>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abilities_</t>
    <phoneticPr fontId="22"/>
  </si>
  <si>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</si>
  <si>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</si>
  <si>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</si>
  <si>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</si>
  <si>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</si>
  <si>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</si>
  <si>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</si>
  <si>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</si>
  <si>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</si>
  <si>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</si>
  <si>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</si>
  <si>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</si>
  <si>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</si>
  <si>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</si>
  <si>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</si>
  <si>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</si>
  <si>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</si>
  <si>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</si>
  <si>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</si>
  <si>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</si>
  <si>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</si>
  <si>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</si>
  <si>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</si>
  <si>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</si>
  <si>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</si>
  <si>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</si>
  <si>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</si>
  <si>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</si>
  <si>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</si>
  <si>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</si>
  <si>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</si>
  <si>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</si>
  <si>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</si>
  <si>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</si>
  <si>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</si>
  <si>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</si>
  <si>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</si>
  <si>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</si>
  <si>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</si>
  <si>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</si>
  <si>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</si>
  <si>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</si>
  <si>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</si>
  <si>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</si>
  <si>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</si>
  <si>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</si>
  <si>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</si>
  <si>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</si>
  <si>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</si>
  <si>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</si>
  <si>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</si>
  <si>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</si>
  <si>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</si>
  <si>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</si>
  <si>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</si>
  <si>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</si>
  <si>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</si>
  <si>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</si>
  <si>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</si>
  <si>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</si>
  <si>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</si>
  <si>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</si>
  <si>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1</t>
    <phoneticPr fontId="22"/>
  </si>
  <si>
    <t>old</t>
    <phoneticPr fontId="22"/>
  </si>
  <si>
    <t>Challengeunitsub01</t>
    <phoneticPr fontId="22"/>
  </si>
  <si>
    <t>赤パネルをCパネルに変換＋1ターンの間黄属性の攻撃力を超大UPし、防御力大UP</t>
    <phoneticPr fontId="22"/>
  </si>
  <si>
    <t>[effect:damage, target:enemy_one, color:yellow, val:2.25, animation:damage_one_yellow04]</t>
    <phoneticPr fontId="22"/>
  </si>
  <si>
    <t>[effect:damage, target:enemy_one, color:yellow, val:2.25, animation:damage_one_yellow04],[effect:enhance_unit, target:unit_all, turn:1, status:heal, val:0.03, calc:mul, animation:enhance_unit_all_heal02_unit01]</t>
  </si>
  <si>
    <t>1体に特大ダメージ+
1ターン全ユニットの回復力UP</t>
    <phoneticPr fontId="22"/>
  </si>
  <si>
    <t>月艦アルテミス通信！</t>
    <phoneticPr fontId="22"/>
  </si>
  <si>
    <t>月艦アルテミス通信特大号！</t>
    <phoneticPr fontId="22"/>
  </si>
  <si>
    <t>雷月予告！</t>
    <phoneticPr fontId="22"/>
  </si>
  <si>
    <t>特報・雷月予告！</t>
    <phoneticPr fontId="22"/>
  </si>
  <si>
    <t>さあ、ブチかますわよー！</t>
    <phoneticPr fontId="22"/>
  </si>
  <si>
    <t>パパのお墨付きなのよね</t>
    <phoneticPr fontId="22"/>
  </si>
  <si>
    <t>決定事項は覆らないの！</t>
    <phoneticPr fontId="22"/>
  </si>
  <si>
    <t>どんどん激しくなるわよ</t>
    <phoneticPr fontId="22"/>
  </si>
  <si>
    <t>giza</t>
  </si>
  <si>
    <t>どんどん拡散するわよ！</t>
    <phoneticPr fontId="22"/>
  </si>
  <si>
    <t>1体に特大ダメージ</t>
    <rPh sb="3" eb="4">
      <t>トク</t>
    </rPh>
    <phoneticPr fontId="22"/>
  </si>
  <si>
    <t>赤パネルをCパネルに変換＋2ターンの間黄属性の攻撃力を超大UPし、防御力特大UP</t>
    <phoneticPr fontId="22"/>
  </si>
  <si>
    <t>[effect:force_change_block, new_block:crash, target:block_red, count:0, val:6, animation:change_block],[effect:enhance_unit, target:unit_yellow, turn:1, status:attack, val:0.25, calc:mul, animation:enhance_unit_all_attack04_unit01],[effect:enhance_unit, target:unit_yellow, turn:1, status:defense, val:720, calc:add, animation:enhance_unit_all_defense03_unit01]</t>
    <phoneticPr fontId="22"/>
  </si>
  <si>
    <t>[effect:force_change_block, new_block:crash, target:block_red, count:0, val:6, animation:change_block],[effect:enhance_unit, target:unit_yellow, turn:2, status:attack, val:0.25, calc:mul, animation:enhance_unit_all_attack04_unit01],[effect:enhance_unit, target:unit_yellow, turn:2, status:defense, val:1080, calc:add, animation:enhance_unit_all_defense04_unit01]</t>
    <phoneticPr fontId="22"/>
  </si>
  <si>
    <t>よーし！例のやーつ！</t>
    <phoneticPr fontId="22"/>
  </si>
  <si>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</si>
  <si>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</si>
  <si>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</si>
  <si>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</si>
  <si>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</si>
  <si>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</si>
  <si>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</si>
  <si>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</si>
  <si>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</si>
  <si>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</si>
  <si>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</si>
  <si>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</si>
  <si>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</si>
  <si>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</si>
  <si>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</si>
  <si>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</si>
  <si>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</si>
  <si>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</si>
  <si>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</si>
  <si>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</si>
  <si>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sell_ghosts</t>
    <phoneticPr fontId="22"/>
  </si>
  <si>
    <t>sell_ghosts</t>
    <phoneticPr fontId="10"/>
  </si>
</sst>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30">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rgb="FFFF0000"/>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1">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0" fontId="14" fillId="29" borderId="4" xfId="0" applyFont="1" applyFill="1" applyBorder="1" applyAlignment="1">
      <alignment horizontal="left" vertical="center" wrapText="1"/>
    </xf>
    <xf numFmtId="0" fontId="13" fillId="29" borderId="4" xfId="0" applyFont="1" applyFill="1" applyBorder="1" applyAlignment="1">
      <alignment horizontal="left" vertical="center" wrapText="1"/>
    </xf>
    <xf numFmtId="0" fontId="13" fillId="29" borderId="4" xfId="0" applyFont="1" applyFill="1" applyBorder="1" applyAlignment="1">
      <alignment vertical="center"/>
    </xf>
    <xf numFmtId="0" fontId="16" fillId="29" borderId="4" xfId="0" applyFont="1" applyFill="1" applyBorder="1" applyAlignment="1">
      <alignment horizontal="center" vertical="center"/>
    </xf>
    <xf numFmtId="49" fontId="12" fillId="29" borderId="4" xfId="0" applyNumberFormat="1" applyFont="1" applyFill="1" applyBorder="1" applyAlignment="1">
      <alignment horizontal="center" vertical="center"/>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32">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DropWizSS</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自身が先頭の時、時限式ダメージパネルを破壊できる</v>
          </cell>
        </row>
        <row r="9">
          <cell r="A9">
            <v>107</v>
          </cell>
          <cell r="B9" t="str">
            <v>ja</v>
          </cell>
          <cell r="C9" t="str">
            <v>時限式ブレイク</v>
          </cell>
          <cell r="D9" t="str">
            <v>自身が先頭の時、時限式ダメージパネルを破壊できる</v>
          </cell>
        </row>
        <row r="10">
          <cell r="A10">
            <v>108</v>
          </cell>
          <cell r="B10" t="str">
            <v>ja</v>
          </cell>
          <cell r="C10" t="str">
            <v>時限式ブレイク</v>
          </cell>
          <cell r="D10" t="str">
            <v>自身が先頭の時、時限式ダメージパネルを破壊できる</v>
          </cell>
        </row>
        <row r="11">
          <cell r="A11">
            <v>109</v>
          </cell>
          <cell r="B11" t="str">
            <v>ja</v>
          </cell>
          <cell r="C11" t="str">
            <v>ダメージパネルブレイク</v>
          </cell>
          <cell r="D11" t="str">
            <v>自身が先頭の時、ダメージを受けずにダメージパネルを破壊できる</v>
          </cell>
        </row>
        <row r="12">
          <cell r="A12">
            <v>200</v>
          </cell>
          <cell r="B12" t="str">
            <v>ja</v>
          </cell>
          <cell r="C12" t="str">
            <v>ウィルス無効</v>
          </cell>
          <cell r="D12" t="str">
            <v>自身にかかるウィルスを無効化する</v>
          </cell>
        </row>
        <row r="13">
          <cell r="A13">
            <v>201</v>
          </cell>
          <cell r="B13" t="str">
            <v>ja</v>
          </cell>
          <cell r="C13" t="str">
            <v>スキルバインド無効</v>
          </cell>
          <cell r="D13" t="str">
            <v>自身にかかるスキルバインドを無効化する</v>
          </cell>
        </row>
        <row r="14">
          <cell r="A14">
            <v>202</v>
          </cell>
          <cell r="B14" t="str">
            <v>ja</v>
          </cell>
          <cell r="C14" t="str">
            <v>スリープ無効</v>
          </cell>
          <cell r="D14" t="str">
            <v>自身にかかるスリープを無効化する</v>
          </cell>
        </row>
        <row r="15">
          <cell r="A15">
            <v>203</v>
          </cell>
          <cell r="B15" t="str">
            <v>ja</v>
          </cell>
          <cell r="C15" t="str">
            <v>爆風軽減無効</v>
          </cell>
          <cell r="D15" t="str">
            <v>自身が先頭の時、爆風軽減を無効化する</v>
          </cell>
        </row>
        <row r="16">
          <cell r="A16">
            <v>204</v>
          </cell>
          <cell r="B16" t="str">
            <v>ja</v>
          </cell>
          <cell r="C16" t="str">
            <v>爆風強化</v>
          </cell>
          <cell r="D16" t="str">
            <v>自身が先頭の時、ボムの爆風を強化する</v>
          </cell>
        </row>
        <row r="17">
          <cell r="A17">
            <v>205</v>
          </cell>
          <cell r="B17" t="str">
            <v>ja</v>
          </cell>
          <cell r="C17" t="str">
            <v>ハート無効化耐性</v>
          </cell>
          <cell r="D17" t="str">
            <v>自身が先頭の時、ハート無効化の影響を受けない</v>
          </cell>
        </row>
        <row r="18">
          <cell r="A18">
            <v>206</v>
          </cell>
          <cell r="B18" t="str">
            <v>ja</v>
          </cell>
          <cell r="C18" t="str">
            <v>赤・緑パネル無効化耐性</v>
          </cell>
          <cell r="D18" t="str">
            <v>自身が先頭の時、赤・緑パネル無効化の影響を受けない</v>
          </cell>
        </row>
        <row r="19">
          <cell r="A19">
            <v>207</v>
          </cell>
          <cell r="B19" t="str">
            <v>ja</v>
          </cell>
          <cell r="C19" t="str">
            <v>赤・青パネル無効化耐性</v>
          </cell>
          <cell r="D19" t="str">
            <v>自身が先頭の時、赤・青パネル無効化の影響を受けない</v>
          </cell>
        </row>
        <row r="20">
          <cell r="A20">
            <v>208</v>
          </cell>
          <cell r="B20" t="str">
            <v>ja</v>
          </cell>
          <cell r="C20" t="str">
            <v>黄・緑パネル無効化耐性</v>
          </cell>
          <cell r="D20" t="str">
            <v>自身が先頭の時、黄・緑パネル無効化の影響を受けない</v>
          </cell>
        </row>
        <row r="21">
          <cell r="A21">
            <v>209</v>
          </cell>
          <cell r="B21" t="str">
            <v>ja</v>
          </cell>
          <cell r="C21" t="str">
            <v>黄・ハートパネル無効化耐性</v>
          </cell>
          <cell r="D21" t="str">
            <v>自身が先頭の時、黄・ハートパネル無効化の影響を受けない</v>
          </cell>
        </row>
        <row r="22">
          <cell r="A22">
            <v>210</v>
          </cell>
          <cell r="B22" t="str">
            <v>ja</v>
          </cell>
          <cell r="C22" t="str">
            <v>緑・赤・青・黄パネル無効化耐性</v>
          </cell>
          <cell r="D22" t="str">
            <v>自身が先頭の時、緑・赤・青・黄パネル無効化の影響を受けない</v>
          </cell>
        </row>
        <row r="23">
          <cell r="A23">
            <v>211</v>
          </cell>
          <cell r="B23" t="str">
            <v>ja</v>
          </cell>
          <cell r="C23" t="str">
            <v>全パネル無効化耐性</v>
          </cell>
          <cell r="D23" t="str">
            <v>自身が先頭の時、全てのパネル無効化の影響を受けない</v>
          </cell>
        </row>
        <row r="24">
          <cell r="A24">
            <v>300</v>
          </cell>
          <cell r="B24" t="str">
            <v>ja</v>
          </cell>
          <cell r="C24" t="str">
            <v>対ゴッド ダメージUP</v>
          </cell>
          <cell r="D24" t="str">
            <v>自身の攻撃対象が種族ゴッドの場合全ての攻撃の威力をUP</v>
          </cell>
        </row>
        <row r="25">
          <cell r="A25">
            <v>301</v>
          </cell>
          <cell r="B25" t="str">
            <v>ja</v>
          </cell>
          <cell r="C25" t="str">
            <v>対ゴッド ダメージ大UP</v>
          </cell>
          <cell r="D25" t="str">
            <v>自身の攻撃対象が種族ゴッドの場合全ての攻撃の威力をUP</v>
          </cell>
        </row>
        <row r="26">
          <cell r="A26">
            <v>302</v>
          </cell>
          <cell r="B26" t="str">
            <v>ja</v>
          </cell>
          <cell r="C26" t="str">
            <v>対ゴッド ダメージ特大UP</v>
          </cell>
          <cell r="D26" t="str">
            <v>自身の攻撃対象が種族ゴッドの場合全ての攻撃の威力をUP</v>
          </cell>
        </row>
        <row r="27">
          <cell r="A27">
            <v>303</v>
          </cell>
          <cell r="B27" t="str">
            <v>ja</v>
          </cell>
          <cell r="C27" t="str">
            <v>対ゴッド ダメージ超大UP</v>
          </cell>
          <cell r="D27" t="str">
            <v>自身の攻撃対象が種族ゴッドの場合全ての攻撃の威力をUP</v>
          </cell>
        </row>
        <row r="28">
          <cell r="A28">
            <v>304</v>
          </cell>
          <cell r="B28" t="str">
            <v>ja</v>
          </cell>
          <cell r="C28" t="str">
            <v>対ヒューマン ダメージUP</v>
          </cell>
          <cell r="D28" t="str">
            <v>自身の攻撃対象が種族ヒューマンの場合全ての攻撃の威力をUP</v>
          </cell>
        </row>
        <row r="29">
          <cell r="A29">
            <v>305</v>
          </cell>
          <cell r="B29" t="str">
            <v>ja</v>
          </cell>
          <cell r="C29" t="str">
            <v>対ヒューマン ダメージUP</v>
          </cell>
          <cell r="D29" t="str">
            <v>自身の攻撃対象が種族ヒューマンの場合全ての攻撃の威力をUP</v>
          </cell>
        </row>
        <row r="30">
          <cell r="A30">
            <v>306</v>
          </cell>
          <cell r="B30" t="str">
            <v>ja</v>
          </cell>
          <cell r="C30" t="str">
            <v>対ヒューマン ダメージUP</v>
          </cell>
          <cell r="D30" t="str">
            <v>自身の攻撃対象が種族ヒューマンの場合全ての攻撃の威力をUP</v>
          </cell>
        </row>
        <row r="31">
          <cell r="A31">
            <v>307</v>
          </cell>
          <cell r="B31" t="str">
            <v>ja</v>
          </cell>
          <cell r="C31" t="str">
            <v>対ヒューマン ダメージUP</v>
          </cell>
          <cell r="D31" t="str">
            <v>自身の攻撃対象が種族ヒューマンの場合全ての攻撃の威力をUP</v>
          </cell>
        </row>
        <row r="32">
          <cell r="A32">
            <v>308</v>
          </cell>
          <cell r="B32" t="str">
            <v>ja</v>
          </cell>
          <cell r="C32" t="str">
            <v>対アニマル ダメージUP</v>
          </cell>
          <cell r="D32" t="str">
            <v>自身の攻撃対象が種族アニマルの場合全ての攻撃の威力をUP</v>
          </cell>
        </row>
        <row r="33">
          <cell r="A33">
            <v>309</v>
          </cell>
          <cell r="B33" t="str">
            <v>ja</v>
          </cell>
          <cell r="C33" t="str">
            <v>対アニマル ダメージUP</v>
          </cell>
          <cell r="D33" t="str">
            <v>自身の攻撃対象が種族アニマルの場合全ての攻撃の威力をUP</v>
          </cell>
        </row>
        <row r="34">
          <cell r="A34">
            <v>310</v>
          </cell>
          <cell r="B34" t="str">
            <v>ja</v>
          </cell>
          <cell r="C34" t="str">
            <v>対アニマル ダメージUP</v>
          </cell>
          <cell r="D34" t="str">
            <v>自身の攻撃対象が種族アニマルの場合全ての攻撃の威力をUP</v>
          </cell>
        </row>
        <row r="35">
          <cell r="A35">
            <v>311</v>
          </cell>
          <cell r="B35" t="str">
            <v>ja</v>
          </cell>
          <cell r="C35" t="str">
            <v>対アニマル ダメージUP</v>
          </cell>
          <cell r="D35" t="str">
            <v>自身の攻撃対象が種族アニマルの場合全ての攻撃の威力をUP</v>
          </cell>
        </row>
        <row r="36">
          <cell r="A36">
            <v>312</v>
          </cell>
          <cell r="B36" t="str">
            <v>ja</v>
          </cell>
          <cell r="C36" t="str">
            <v>対ドラゴン ダメージUP</v>
          </cell>
          <cell r="D36" t="str">
            <v>自身の攻撃対象が種族ドラゴンの場合全ての攻撃の威力をUP</v>
          </cell>
        </row>
        <row r="37">
          <cell r="A37">
            <v>313</v>
          </cell>
          <cell r="B37" t="str">
            <v>ja</v>
          </cell>
          <cell r="C37" t="str">
            <v>対ドラゴン ダメージUP</v>
          </cell>
          <cell r="D37" t="str">
            <v>自身の攻撃対象が種族ドラゴンの場合全ての攻撃の威力をUP</v>
          </cell>
        </row>
        <row r="38">
          <cell r="A38">
            <v>314</v>
          </cell>
          <cell r="B38" t="str">
            <v>ja</v>
          </cell>
          <cell r="C38" t="str">
            <v>対ドラゴン ダメージUP</v>
          </cell>
          <cell r="D38" t="str">
            <v>自身の攻撃対象が種族ドラゴンの場合全ての攻撃の威力をUP</v>
          </cell>
        </row>
        <row r="39">
          <cell r="A39">
            <v>315</v>
          </cell>
          <cell r="B39" t="str">
            <v>ja</v>
          </cell>
          <cell r="C39" t="str">
            <v>対ドラゴン ダメージUP</v>
          </cell>
          <cell r="D39" t="str">
            <v>自身の攻撃対象が種族ドラゴンの場合全ての攻撃の威力をUP</v>
          </cell>
        </row>
        <row r="40">
          <cell r="A40">
            <v>316</v>
          </cell>
          <cell r="B40" t="str">
            <v>ja</v>
          </cell>
          <cell r="C40" t="str">
            <v>対Unknown ダメージUP</v>
          </cell>
          <cell r="D40" t="str">
            <v>自身の攻撃対象が種族Unknownの場合全ての攻撃の威力をUP</v>
          </cell>
        </row>
        <row r="41">
          <cell r="A41">
            <v>317</v>
          </cell>
          <cell r="B41" t="str">
            <v>ja</v>
          </cell>
          <cell r="C41" t="str">
            <v>対Unknown ダメージUP</v>
          </cell>
          <cell r="D41" t="str">
            <v>自身の攻撃対象が種族Unknownの場合全ての攻撃の威力をUP</v>
          </cell>
        </row>
        <row r="42">
          <cell r="A42">
            <v>318</v>
          </cell>
          <cell r="B42" t="str">
            <v>ja</v>
          </cell>
          <cell r="C42" t="str">
            <v>対Unknown ダメージUP</v>
          </cell>
          <cell r="D42" t="str">
            <v>自身の攻撃対象が種族Unknownの場合全ての攻撃の威力をUP</v>
          </cell>
        </row>
        <row r="43">
          <cell r="A43">
            <v>319</v>
          </cell>
          <cell r="B43" t="str">
            <v>ja</v>
          </cell>
          <cell r="C43" t="str">
            <v>対Unknown ダメージUP</v>
          </cell>
          <cell r="D43" t="str">
            <v>自身の攻撃対象が種族Unknownの場合全ての攻撃の威力をUP</v>
          </cell>
        </row>
        <row r="44">
          <cell r="A44">
            <v>320</v>
          </cell>
          <cell r="B44" t="str">
            <v>ja</v>
          </cell>
          <cell r="C44" t="str">
            <v>対サムライ ダメージUP</v>
          </cell>
          <cell r="D44" t="str">
            <v>自身の攻撃対象が種族サムライの場合全ての攻撃の威力をUP</v>
          </cell>
        </row>
        <row r="45">
          <cell r="A45">
            <v>321</v>
          </cell>
          <cell r="B45" t="str">
            <v>ja</v>
          </cell>
          <cell r="C45" t="str">
            <v>対サムライ ダメージUP</v>
          </cell>
          <cell r="D45" t="str">
            <v>自身の攻撃対象が種族サムライの場合全ての攻撃の威力をUP</v>
          </cell>
        </row>
        <row r="46">
          <cell r="A46">
            <v>322</v>
          </cell>
          <cell r="B46" t="str">
            <v>ja</v>
          </cell>
          <cell r="C46" t="str">
            <v>対サムライ ダメージUP</v>
          </cell>
          <cell r="D46" t="str">
            <v>自身の攻撃対象が種族サムライの場合全ての攻撃の威力をUP</v>
          </cell>
        </row>
        <row r="47">
          <cell r="A47">
            <v>323</v>
          </cell>
          <cell r="B47" t="str">
            <v>ja</v>
          </cell>
          <cell r="C47" t="str">
            <v>対サムライ ダメージUP</v>
          </cell>
          <cell r="D47" t="str">
            <v>自身の攻撃対象が種族サムライの場合全ての攻撃の威力をUP</v>
          </cell>
        </row>
        <row r="48">
          <cell r="A48">
            <v>324</v>
          </cell>
          <cell r="B48" t="str">
            <v>ja</v>
          </cell>
          <cell r="C48" t="str">
            <v>対ウェポン ダメージUP</v>
          </cell>
          <cell r="D48" t="str">
            <v>自身の攻撃対象が種族ウェポンの場合全ての攻撃の威力をUP</v>
          </cell>
        </row>
        <row r="49">
          <cell r="A49">
            <v>325</v>
          </cell>
          <cell r="B49" t="str">
            <v>ja</v>
          </cell>
          <cell r="C49" t="str">
            <v>対ウェポン ダメージUP</v>
          </cell>
          <cell r="D49" t="str">
            <v>自身の攻撃対象が種族ウェポンの場合全ての攻撃の威力をUP</v>
          </cell>
        </row>
        <row r="50">
          <cell r="A50">
            <v>326</v>
          </cell>
          <cell r="B50" t="str">
            <v>ja</v>
          </cell>
          <cell r="C50" t="str">
            <v>対ウェポン ダメージUP</v>
          </cell>
          <cell r="D50" t="str">
            <v>自身の攻撃対象が種族ウェポンの場合全ての攻撃の威力をUP</v>
          </cell>
        </row>
        <row r="51">
          <cell r="A51">
            <v>327</v>
          </cell>
          <cell r="B51" t="str">
            <v>ja</v>
          </cell>
          <cell r="C51" t="str">
            <v>対ウェポン ダメージUP</v>
          </cell>
          <cell r="D51" t="str">
            <v>自身の攻撃対象が種族ウェポンの場合全ての攻撃の威力をUP</v>
          </cell>
        </row>
        <row r="52">
          <cell r="A52">
            <v>328</v>
          </cell>
          <cell r="B52" t="str">
            <v>ja</v>
          </cell>
          <cell r="C52" t="str">
            <v>対アカデミア ダメージUP</v>
          </cell>
          <cell r="D52" t="str">
            <v>自身の攻撃対象が種族アカデミアの場合全ての攻撃の威力をUP</v>
          </cell>
        </row>
        <row r="53">
          <cell r="A53">
            <v>329</v>
          </cell>
          <cell r="B53" t="str">
            <v>ja</v>
          </cell>
          <cell r="C53" t="str">
            <v>対アカデミア ダメージUP</v>
          </cell>
          <cell r="D53" t="str">
            <v>自身の攻撃対象が種族アカデミアの場合全ての攻撃の威力をUP</v>
          </cell>
        </row>
        <row r="54">
          <cell r="A54">
            <v>330</v>
          </cell>
          <cell r="B54" t="str">
            <v>ja</v>
          </cell>
          <cell r="C54" t="str">
            <v>対アカデミア ダメージUP</v>
          </cell>
          <cell r="D54" t="str">
            <v>自身の攻撃対象が種族アカデミアの場合全ての攻撃の威力をUP</v>
          </cell>
        </row>
        <row r="55">
          <cell r="A55">
            <v>331</v>
          </cell>
          <cell r="B55" t="str">
            <v>ja</v>
          </cell>
          <cell r="C55" t="str">
            <v>対アカデミア ダメージUP</v>
          </cell>
          <cell r="D55" t="str">
            <v>自身の攻撃対象が種族アカデミアの場合全ての攻撃の威力をUP</v>
          </cell>
        </row>
        <row r="56">
          <cell r="A56">
            <v>332</v>
          </cell>
          <cell r="B56" t="str">
            <v>ja</v>
          </cell>
          <cell r="C56" t="str">
            <v>対タイタン ダメージUP</v>
          </cell>
          <cell r="D56" t="str">
            <v>自身の攻撃対象が種族タイタンの場合全ての攻撃の威力をUP</v>
          </cell>
        </row>
        <row r="57">
          <cell r="A57">
            <v>333</v>
          </cell>
          <cell r="B57" t="str">
            <v>ja</v>
          </cell>
          <cell r="C57" t="str">
            <v>対タイタン ダメージUP</v>
          </cell>
          <cell r="D57" t="str">
            <v>自身の攻撃対象が種族タイタンの場合全ての攻撃の威力をUP</v>
          </cell>
        </row>
        <row r="58">
          <cell r="A58">
            <v>334</v>
          </cell>
          <cell r="B58" t="str">
            <v>ja</v>
          </cell>
          <cell r="C58" t="str">
            <v>対タイタン ダメージUP</v>
          </cell>
          <cell r="D58" t="str">
            <v>自身の攻撃対象が種族タイタンの場合全ての攻撃の威力をUP</v>
          </cell>
        </row>
        <row r="59">
          <cell r="A59">
            <v>335</v>
          </cell>
          <cell r="B59" t="str">
            <v>ja</v>
          </cell>
          <cell r="C59" t="str">
            <v>対タイタン ダメージUP</v>
          </cell>
          <cell r="D59" t="str">
            <v>自身の攻撃対象が種族タイタンの場合全ての攻撃の威力をUP</v>
          </cell>
        </row>
        <row r="60">
          <cell r="A60">
            <v>336</v>
          </cell>
          <cell r="B60" t="str">
            <v>ja</v>
          </cell>
          <cell r="C60" t="str">
            <v>対マシン ダメージUP</v>
          </cell>
          <cell r="D60" t="str">
            <v>自身の攻撃対象が種族マシンの場合全ての攻撃の威力をUP</v>
          </cell>
        </row>
        <row r="61">
          <cell r="A61">
            <v>337</v>
          </cell>
          <cell r="B61" t="str">
            <v>ja</v>
          </cell>
          <cell r="C61" t="str">
            <v>対マシン ダメージUP</v>
          </cell>
          <cell r="D61" t="str">
            <v>自身の攻撃対象が種族マシンの場合全ての攻撃の威力をUP</v>
          </cell>
        </row>
        <row r="62">
          <cell r="A62">
            <v>338</v>
          </cell>
          <cell r="B62" t="str">
            <v>ja</v>
          </cell>
          <cell r="C62" t="str">
            <v>対マシン ダメージUP</v>
          </cell>
          <cell r="D62" t="str">
            <v>自身の攻撃対象が種族マシンの場合全ての攻撃の威力をUP</v>
          </cell>
        </row>
        <row r="63">
          <cell r="A63">
            <v>339</v>
          </cell>
          <cell r="B63" t="str">
            <v>ja</v>
          </cell>
          <cell r="C63" t="str">
            <v>対マシン ダメージUP</v>
          </cell>
          <cell r="D63" t="str">
            <v>自身の攻撃対象が種族マシンの場合全ての攻撃の威力をUP</v>
          </cell>
        </row>
        <row r="64">
          <cell r="A64">
            <v>400</v>
          </cell>
          <cell r="B64" t="str">
            <v>ja</v>
          </cell>
          <cell r="C64" t="str">
            <v>攻撃タイプキラー</v>
          </cell>
          <cell r="D64" t="str">
            <v>攻撃対象が攻撃タイプの場合威力UP</v>
          </cell>
        </row>
        <row r="65">
          <cell r="A65">
            <v>401</v>
          </cell>
          <cell r="B65" t="str">
            <v>ja</v>
          </cell>
          <cell r="C65" t="str">
            <v>攻撃タイプキラー</v>
          </cell>
          <cell r="D65" t="str">
            <v>攻撃対象が攻撃タイプの場合威力UP</v>
          </cell>
        </row>
        <row r="66">
          <cell r="A66">
            <v>402</v>
          </cell>
          <cell r="B66" t="str">
            <v>ja</v>
          </cell>
          <cell r="C66" t="str">
            <v>攻撃タイプキラー</v>
          </cell>
          <cell r="D66" t="str">
            <v>攻撃対象が攻撃タイプの場合威力UP</v>
          </cell>
        </row>
        <row r="67">
          <cell r="A67">
            <v>403</v>
          </cell>
          <cell r="B67" t="str">
            <v>ja</v>
          </cell>
          <cell r="C67" t="str">
            <v>攻撃タイプキラー</v>
          </cell>
          <cell r="D67" t="str">
            <v>攻撃対象が攻撃タイプの場合威力UP</v>
          </cell>
        </row>
        <row r="68">
          <cell r="A68">
            <v>404</v>
          </cell>
          <cell r="B68" t="str">
            <v>ja</v>
          </cell>
          <cell r="C68" t="str">
            <v>バランスタイプキラー</v>
          </cell>
          <cell r="D68" t="str">
            <v>攻撃対象が攻撃タイプの場合威力UP</v>
          </cell>
        </row>
        <row r="69">
          <cell r="A69">
            <v>405</v>
          </cell>
          <cell r="B69" t="str">
            <v>ja</v>
          </cell>
          <cell r="C69" t="str">
            <v>バランスタイプキラー</v>
          </cell>
          <cell r="D69" t="str">
            <v>攻撃対象が攻撃タイプの場合威力UP</v>
          </cell>
        </row>
        <row r="70">
          <cell r="A70">
            <v>406</v>
          </cell>
          <cell r="B70" t="str">
            <v>ja</v>
          </cell>
          <cell r="C70" t="str">
            <v>バランスタイプキラー</v>
          </cell>
          <cell r="D70" t="str">
            <v>攻撃対象が攻撃タイプの場合威力UP</v>
          </cell>
        </row>
        <row r="71">
          <cell r="A71">
            <v>407</v>
          </cell>
          <cell r="B71" t="str">
            <v>ja</v>
          </cell>
          <cell r="C71" t="str">
            <v>バランスタイプキラー</v>
          </cell>
          <cell r="D71" t="str">
            <v>攻撃対象が攻撃タイプの場合威力UP</v>
          </cell>
        </row>
        <row r="72">
          <cell r="A72">
            <v>408</v>
          </cell>
          <cell r="B72" t="str">
            <v>ja</v>
          </cell>
          <cell r="C72" t="str">
            <v>体力タイプキラー</v>
          </cell>
          <cell r="D72" t="str">
            <v>攻撃対象が攻撃タイプの場合威力UP</v>
          </cell>
        </row>
        <row r="73">
          <cell r="A73">
            <v>409</v>
          </cell>
          <cell r="B73" t="str">
            <v>ja</v>
          </cell>
          <cell r="C73" t="str">
            <v>体力タイプキラー</v>
          </cell>
          <cell r="D73" t="str">
            <v>攻撃対象が攻撃タイプの場合威力UP</v>
          </cell>
        </row>
        <row r="74">
          <cell r="A74">
            <v>410</v>
          </cell>
          <cell r="B74" t="str">
            <v>ja</v>
          </cell>
          <cell r="C74" t="str">
            <v>体力タイプキラー</v>
          </cell>
          <cell r="D74" t="str">
            <v>攻撃対象が攻撃タイプの場合威力UP</v>
          </cell>
        </row>
        <row r="75">
          <cell r="A75">
            <v>411</v>
          </cell>
          <cell r="B75" t="str">
            <v>ja</v>
          </cell>
          <cell r="C75" t="str">
            <v>体力タイプキラー</v>
          </cell>
          <cell r="D75" t="str">
            <v>攻撃対象が攻撃タイプの場合威力UP</v>
          </cell>
        </row>
        <row r="76">
          <cell r="A76">
            <v>412</v>
          </cell>
          <cell r="B76" t="str">
            <v>ja</v>
          </cell>
          <cell r="C76" t="str">
            <v>テクニカルタイプキラー</v>
          </cell>
          <cell r="D76" t="str">
            <v>攻撃対象が攻撃タイプの場合威力UP</v>
          </cell>
        </row>
        <row r="77">
          <cell r="A77">
            <v>413</v>
          </cell>
          <cell r="B77" t="str">
            <v>ja</v>
          </cell>
          <cell r="C77" t="str">
            <v>テクニカルタイプキラー</v>
          </cell>
          <cell r="D77" t="str">
            <v>攻撃対象が攻撃タイプの場合威力UP</v>
          </cell>
        </row>
        <row r="78">
          <cell r="A78">
            <v>414</v>
          </cell>
          <cell r="B78" t="str">
            <v>ja</v>
          </cell>
          <cell r="C78" t="str">
            <v>テクニカルタイプキラー</v>
          </cell>
          <cell r="D78" t="str">
            <v>攻撃対象が攻撃タイプの場合威力UP</v>
          </cell>
        </row>
        <row r="79">
          <cell r="A79">
            <v>415</v>
          </cell>
          <cell r="B79" t="str">
            <v>ja</v>
          </cell>
          <cell r="C79" t="str">
            <v>テクニカルタイプキラー</v>
          </cell>
          <cell r="D79" t="str">
            <v>攻撃対象が攻撃タイプの場合威力UP</v>
          </cell>
        </row>
        <row r="80">
          <cell r="A80">
            <v>416</v>
          </cell>
          <cell r="B80" t="str">
            <v>ja</v>
          </cell>
          <cell r="C80" t="str">
            <v>回復タイプキラー</v>
          </cell>
          <cell r="D80" t="str">
            <v>攻撃対象が攻撃タイプの場合威力UP</v>
          </cell>
        </row>
        <row r="81">
          <cell r="A81">
            <v>417</v>
          </cell>
          <cell r="B81" t="str">
            <v>ja</v>
          </cell>
          <cell r="C81" t="str">
            <v>回復タイプキラー</v>
          </cell>
          <cell r="D81" t="str">
            <v>攻撃対象が攻撃タイプの場合威力UP</v>
          </cell>
        </row>
        <row r="82">
          <cell r="A82">
            <v>418</v>
          </cell>
          <cell r="B82" t="str">
            <v>ja</v>
          </cell>
          <cell r="C82" t="str">
            <v>回復タイプキラー</v>
          </cell>
          <cell r="D82" t="str">
            <v>攻撃対象が攻撃タイプの場合威力UP</v>
          </cell>
        </row>
        <row r="83">
          <cell r="A83">
            <v>419</v>
          </cell>
          <cell r="B83" t="str">
            <v>ja</v>
          </cell>
          <cell r="C83" t="str">
            <v>回復タイプキラー</v>
          </cell>
          <cell r="D83" t="str">
            <v>攻撃対象が攻撃タイプの場合威力UP</v>
          </cell>
        </row>
        <row r="84">
          <cell r="A84">
            <v>420</v>
          </cell>
          <cell r="B84" t="str">
            <v>ja</v>
          </cell>
          <cell r="C84" t="str">
            <v>強化素材タイプキラー</v>
          </cell>
          <cell r="D84" t="str">
            <v>攻撃対象が攻撃タイプの場合威力UP</v>
          </cell>
        </row>
        <row r="85">
          <cell r="A85">
            <v>421</v>
          </cell>
          <cell r="B85" t="str">
            <v>ja</v>
          </cell>
          <cell r="C85" t="str">
            <v>強化素材タイプキラー</v>
          </cell>
          <cell r="D85" t="str">
            <v>攻撃対象が攻撃タイプの場合威力UP</v>
          </cell>
        </row>
        <row r="86">
          <cell r="A86">
            <v>422</v>
          </cell>
          <cell r="B86" t="str">
            <v>ja</v>
          </cell>
          <cell r="C86" t="str">
            <v>強化素材タイプキラー</v>
          </cell>
          <cell r="D86" t="str">
            <v>攻撃対象が攻撃タイプの場合威力UP</v>
          </cell>
        </row>
        <row r="87">
          <cell r="A87">
            <v>423</v>
          </cell>
          <cell r="B87" t="str">
            <v>ja</v>
          </cell>
          <cell r="C87" t="str">
            <v>強化素材タイプキラー</v>
          </cell>
          <cell r="D87" t="str">
            <v>攻撃対象が攻撃タイプの場合威力UP</v>
          </cell>
        </row>
        <row r="88">
          <cell r="A88">
            <v>424</v>
          </cell>
          <cell r="B88" t="str">
            <v>ja</v>
          </cell>
          <cell r="C88" t="str">
            <v>コインタイプキラー</v>
          </cell>
          <cell r="D88" t="str">
            <v>攻撃対象が攻撃タイプの場合威力UP</v>
          </cell>
        </row>
        <row r="89">
          <cell r="A89">
            <v>425</v>
          </cell>
          <cell r="B89" t="str">
            <v>ja</v>
          </cell>
          <cell r="C89" t="str">
            <v>コインタイプキラー</v>
          </cell>
          <cell r="D89" t="str">
            <v>攻撃対象が攻撃タイプの場合威力UP</v>
          </cell>
        </row>
        <row r="90">
          <cell r="A90">
            <v>426</v>
          </cell>
          <cell r="B90" t="str">
            <v>ja</v>
          </cell>
          <cell r="C90" t="str">
            <v>コインタイプキラー</v>
          </cell>
          <cell r="D90" t="str">
            <v>攻撃対象が攻撃タイプの場合威力UP</v>
          </cell>
        </row>
        <row r="91">
          <cell r="A91">
            <v>427</v>
          </cell>
          <cell r="B91" t="str">
            <v>ja</v>
          </cell>
          <cell r="C91" t="str">
            <v>コインタイプキラー</v>
          </cell>
          <cell r="D91" t="str">
            <v>攻撃対象が攻撃タイプの場合威力UP</v>
          </cell>
        </row>
        <row r="92">
          <cell r="A92">
            <v>428</v>
          </cell>
          <cell r="B92" t="str">
            <v>ja</v>
          </cell>
          <cell r="C92" t="str">
            <v>限界突破素材タイプキラー</v>
          </cell>
          <cell r="D92" t="str">
            <v>攻撃対象が攻撃タイプの場合威力UP</v>
          </cell>
        </row>
        <row r="93">
          <cell r="A93">
            <v>429</v>
          </cell>
          <cell r="B93" t="str">
            <v>ja</v>
          </cell>
          <cell r="C93" t="str">
            <v>限界突破素材タイプキラー</v>
          </cell>
          <cell r="D93" t="str">
            <v>攻撃対象が攻撃タイプの場合威力UP</v>
          </cell>
        </row>
        <row r="94">
          <cell r="A94">
            <v>430</v>
          </cell>
          <cell r="B94" t="str">
            <v>ja</v>
          </cell>
          <cell r="C94" t="str">
            <v>限界突破素材タイプキラー</v>
          </cell>
          <cell r="D94" t="str">
            <v>攻撃対象が攻撃タイプの場合威力UP</v>
          </cell>
        </row>
        <row r="95">
          <cell r="A95">
            <v>431</v>
          </cell>
          <cell r="B95" t="str">
            <v>ja</v>
          </cell>
          <cell r="C95" t="str">
            <v>限界突破素材タイプキラー</v>
          </cell>
          <cell r="D95" t="str">
            <v>攻撃対象が攻撃タイプの場合威力UP</v>
          </cell>
        </row>
        <row r="96">
          <cell r="A96">
            <v>432</v>
          </cell>
          <cell r="B96" t="str">
            <v>ja</v>
          </cell>
          <cell r="C96" t="str">
            <v>スキルレベル素材タイプキラー</v>
          </cell>
          <cell r="D96" t="str">
            <v>攻撃対象が攻撃タイプの場合威力UP</v>
          </cell>
        </row>
        <row r="97">
          <cell r="A97">
            <v>433</v>
          </cell>
          <cell r="B97" t="str">
            <v>ja</v>
          </cell>
          <cell r="C97" t="str">
            <v>スキルレベル素材タイプキラー</v>
          </cell>
          <cell r="D97" t="str">
            <v>攻撃対象が攻撃タイプの場合威力UP</v>
          </cell>
        </row>
        <row r="98">
          <cell r="A98">
            <v>434</v>
          </cell>
          <cell r="B98" t="str">
            <v>ja</v>
          </cell>
          <cell r="C98" t="str">
            <v>スキルレベル素材タイプキラー</v>
          </cell>
          <cell r="D98" t="str">
            <v>攻撃対象が攻撃タイプの場合威力UP</v>
          </cell>
        </row>
        <row r="99">
          <cell r="A99">
            <v>435</v>
          </cell>
          <cell r="B99" t="str">
            <v>ja</v>
          </cell>
          <cell r="C99" t="str">
            <v>スキルレベル素材タイプキラー</v>
          </cell>
          <cell r="D99" t="str">
            <v>攻撃対象が攻撃タイプの場合威力UP</v>
          </cell>
        </row>
        <row r="100">
          <cell r="A100">
            <v>600</v>
          </cell>
          <cell r="B100" t="str">
            <v>ja</v>
          </cell>
          <cell r="C100" t="str">
            <v>赤属性耐性25</v>
          </cell>
          <cell r="D100" t="str">
            <v>自身に対する赤属性の敵からの攻撃を25％軽減</v>
          </cell>
        </row>
        <row r="101">
          <cell r="A101">
            <v>601</v>
          </cell>
          <cell r="B101" t="str">
            <v>ja</v>
          </cell>
          <cell r="C101" t="str">
            <v>赤属性耐性25</v>
          </cell>
          <cell r="D101" t="str">
            <v>自身に対する赤属性の敵からの攻撃を25％軽減</v>
          </cell>
        </row>
        <row r="102">
          <cell r="A102">
            <v>602</v>
          </cell>
          <cell r="B102" t="str">
            <v>ja</v>
          </cell>
          <cell r="C102" t="str">
            <v>赤属性耐性25</v>
          </cell>
          <cell r="D102" t="str">
            <v>自身に対する赤属性の敵からの攻撃を25％軽減</v>
          </cell>
        </row>
        <row r="103">
          <cell r="A103">
            <v>603</v>
          </cell>
          <cell r="B103" t="str">
            <v>ja</v>
          </cell>
          <cell r="C103" t="str">
            <v>青属性耐性25</v>
          </cell>
          <cell r="D103" t="str">
            <v>自身に対する青属性の敵からの攻撃を25％軽減</v>
          </cell>
        </row>
        <row r="104">
          <cell r="A104">
            <v>604</v>
          </cell>
          <cell r="B104" t="str">
            <v>ja</v>
          </cell>
          <cell r="C104" t="str">
            <v>青属性耐性25</v>
          </cell>
          <cell r="D104" t="str">
            <v>自身に対する青属性の敵からの攻撃を25％軽減</v>
          </cell>
        </row>
        <row r="105">
          <cell r="A105">
            <v>605</v>
          </cell>
          <cell r="B105" t="str">
            <v>ja</v>
          </cell>
          <cell r="C105" t="str">
            <v>青属性耐性25</v>
          </cell>
          <cell r="D105" t="str">
            <v>自身に対する青属性の敵からの攻撃を25％軽減</v>
          </cell>
        </row>
        <row r="106">
          <cell r="A106">
            <v>606</v>
          </cell>
          <cell r="B106" t="str">
            <v>ja</v>
          </cell>
          <cell r="C106" t="str">
            <v>緑属性耐性25</v>
          </cell>
          <cell r="D106" t="str">
            <v>自身に対する緑属性の敵からの攻撃を25％軽減</v>
          </cell>
        </row>
        <row r="107">
          <cell r="A107">
            <v>607</v>
          </cell>
          <cell r="B107" t="str">
            <v>ja</v>
          </cell>
          <cell r="C107" t="str">
            <v>緑属性耐性25</v>
          </cell>
          <cell r="D107" t="str">
            <v>自身に対する緑属性の敵からの攻撃を25％軽減</v>
          </cell>
        </row>
        <row r="108">
          <cell r="A108">
            <v>608</v>
          </cell>
          <cell r="B108" t="str">
            <v>ja</v>
          </cell>
          <cell r="C108" t="str">
            <v>緑属性耐性25</v>
          </cell>
          <cell r="D108" t="str">
            <v>自身に対する緑属性の敵からの攻撃を25％軽減</v>
          </cell>
        </row>
        <row r="109">
          <cell r="A109">
            <v>609</v>
          </cell>
          <cell r="B109" t="str">
            <v>ja</v>
          </cell>
          <cell r="C109" t="str">
            <v>黄属性耐性25</v>
          </cell>
          <cell r="D109" t="str">
            <v>自身に対する黄属性の敵からの攻撃を25％軽減</v>
          </cell>
        </row>
        <row r="110">
          <cell r="A110">
            <v>610</v>
          </cell>
          <cell r="B110" t="str">
            <v>ja</v>
          </cell>
          <cell r="C110" t="str">
            <v>黄属性耐性25</v>
          </cell>
          <cell r="D110" t="str">
            <v>自身に対する黄属性の敵からの攻撃を25％軽減</v>
          </cell>
        </row>
        <row r="111">
          <cell r="A111">
            <v>611</v>
          </cell>
          <cell r="B111" t="str">
            <v>ja</v>
          </cell>
          <cell r="C111" t="str">
            <v>黄属性耐性25</v>
          </cell>
          <cell r="D111" t="str">
            <v>自身に対する黄属性の敵からの攻撃を25％軽減</v>
          </cell>
        </row>
        <row r="112">
          <cell r="A112">
            <v>612</v>
          </cell>
          <cell r="B112" t="str">
            <v>ja</v>
          </cell>
          <cell r="C112" t="str">
            <v>全属性耐性10</v>
          </cell>
          <cell r="D112" t="str">
            <v>自身に対する全属性の敵からの攻撃を10％軽減</v>
          </cell>
        </row>
        <row r="113">
          <cell r="A113">
            <v>613</v>
          </cell>
          <cell r="B113" t="str">
            <v>ja</v>
          </cell>
          <cell r="C113" t="str">
            <v>赤属性耐性10</v>
          </cell>
          <cell r="D113" t="str">
            <v>自身に対する赤属性の敵からの攻撃を10％軽減</v>
          </cell>
        </row>
        <row r="114">
          <cell r="A114">
            <v>614</v>
          </cell>
          <cell r="B114" t="str">
            <v>ja</v>
          </cell>
          <cell r="C114" t="str">
            <v>青属性耐性10</v>
          </cell>
          <cell r="D114" t="str">
            <v>自身に対する青属性の敵からの攻撃を10％軽減</v>
          </cell>
        </row>
        <row r="115">
          <cell r="A115">
            <v>615</v>
          </cell>
          <cell r="B115" t="str">
            <v>ja</v>
          </cell>
          <cell r="C115" t="str">
            <v>緑属性耐性10</v>
          </cell>
          <cell r="D115" t="str">
            <v>自身に対する緑属性の敵からの攻撃を10％軽減</v>
          </cell>
        </row>
        <row r="116">
          <cell r="A116">
            <v>616</v>
          </cell>
          <cell r="B116" t="str">
            <v>ja</v>
          </cell>
          <cell r="C116" t="str">
            <v>黄属性耐性10</v>
          </cell>
          <cell r="D116" t="str">
            <v>自身に対する黄属性の敵からの攻撃を10％軽減</v>
          </cell>
        </row>
        <row r="117">
          <cell r="A117">
            <v>617</v>
          </cell>
          <cell r="B117" t="str">
            <v>ja</v>
          </cell>
          <cell r="C117" t="str">
            <v>ゴッド種族耐性10</v>
          </cell>
          <cell r="D117" t="str">
            <v>自身に対するゴッド種族の敵からの攻撃を25％軽減</v>
          </cell>
        </row>
        <row r="118">
          <cell r="A118">
            <v>700</v>
          </cell>
          <cell r="B118" t="str">
            <v>ja</v>
          </cell>
          <cell r="C118" t="str">
            <v>フロア 回復</v>
          </cell>
          <cell r="D118" t="str">
            <v>全フロアの1ターン目終了時にパーティの合計HPの20％を回復する</v>
          </cell>
        </row>
        <row r="119">
          <cell r="A119">
            <v>800</v>
          </cell>
          <cell r="B119" t="str">
            <v>ja</v>
          </cell>
          <cell r="C119" t="str">
            <v>パネルブレイク30 攻撃力UP</v>
          </cell>
          <cell r="D119" t="str">
            <v>自身が先頭の時、1ターンの間に合計30個以上パネルを破壊した場合に攻撃力UP</v>
          </cell>
        </row>
        <row r="120">
          <cell r="A120">
            <v>801</v>
          </cell>
          <cell r="B120" t="str">
            <v>ja</v>
          </cell>
          <cell r="C120" t="str">
            <v>パネルブレイク30 回復力UP</v>
          </cell>
          <cell r="D120" t="str">
            <v>自身が先頭の時、1ターンの間に合計30個以上パネルを破壊した場合に回復力UP</v>
          </cell>
        </row>
        <row r="121">
          <cell r="A121">
            <v>802</v>
          </cell>
          <cell r="B121" t="str">
            <v>ja</v>
          </cell>
          <cell r="C121" t="str">
            <v>パネルブレイク30 防御力小UP</v>
          </cell>
          <cell r="D121" t="str">
            <v>自身が先頭の時、1ターンの間に合計30個以上パネルを破壊した場合に防御力小UP</v>
          </cell>
        </row>
        <row r="122">
          <cell r="A122">
            <v>803</v>
          </cell>
          <cell r="B122" t="str">
            <v>ja</v>
          </cell>
          <cell r="C122" t="str">
            <v>パネルブレイク30 防御力UP</v>
          </cell>
          <cell r="D122" t="str">
            <v>自身が先頭の時、1ターンの間に合計30個以上パネルを破壊した場合に防御力UP</v>
          </cell>
        </row>
        <row r="123">
          <cell r="A123">
            <v>804</v>
          </cell>
          <cell r="B123" t="str">
            <v>ja</v>
          </cell>
          <cell r="C123" t="str">
            <v>パネルブレイク30 防御力大UP</v>
          </cell>
          <cell r="D123" t="str">
            <v>自身が先頭の時、1ターンの間に合計30個以上パネルを破壊した場合に防御力大UP</v>
          </cell>
        </row>
        <row r="124">
          <cell r="A124">
            <v>805</v>
          </cell>
          <cell r="B124" t="str">
            <v>ja</v>
          </cell>
          <cell r="C124" t="str">
            <v>パネルブレイク30 防御力特大UP</v>
          </cell>
          <cell r="D124" t="str">
            <v>自身が先頭の時、1ターンの間に合計30個以上パネルを破壊した場合に防御力特大UP</v>
          </cell>
        </row>
        <row r="125">
          <cell r="A125">
            <v>806</v>
          </cell>
          <cell r="B125" t="str">
            <v>ja</v>
          </cell>
          <cell r="C125" t="str">
            <v>ボムブレイク10 防御力UP</v>
          </cell>
          <cell r="D125" t="str">
            <v>自身または味方が1ターンの間に合計10個以上ボムパネルを破壊した場合に防御力UP</v>
          </cell>
        </row>
        <row r="126">
          <cell r="A126">
            <v>807</v>
          </cell>
          <cell r="B126" t="str">
            <v>ja</v>
          </cell>
          <cell r="C126" t="str">
            <v>パネル18 破壊フィーバーゲージ上昇</v>
          </cell>
          <cell r="D126" t="str">
            <v>自身が先頭の時、1ターンの間に合計18個以上パネルを破壊した場合にフィーバーゲージ上昇</v>
          </cell>
        </row>
        <row r="127">
          <cell r="A127">
            <v>808</v>
          </cell>
          <cell r="B127" t="str">
            <v>ja</v>
          </cell>
          <cell r="C127" t="str">
            <v>パネルブレイク40 防御力UP</v>
          </cell>
          <cell r="D127" t="str">
            <v>自身が先頭の時、1ターンの間に合計40個以上パネルを破壊した場合に青属性ユニットの防御力を400UP</v>
          </cell>
        </row>
        <row r="128">
          <cell r="A128">
            <v>809</v>
          </cell>
          <cell r="B128" t="str">
            <v>ja</v>
          </cell>
          <cell r="C128" t="str">
            <v>パネルブレイク40 攻撃力UP</v>
          </cell>
          <cell r="D128" t="str">
            <v>自身が先頭の時、1ターンの間に合計40個以上パネルを破壊した場合に攻撃力UP</v>
          </cell>
        </row>
        <row r="129">
          <cell r="A129">
            <v>810</v>
          </cell>
          <cell r="B129" t="str">
            <v>ja</v>
          </cell>
          <cell r="C129" t="str">
            <v>パネルブレイク40 攻撃力小UP</v>
          </cell>
          <cell r="D129" t="str">
            <v>自身が先頭の時、1ターンの間に合計40個以上パネルを破壊した場合に攻撃力小UP</v>
          </cell>
        </row>
        <row r="130">
          <cell r="A130">
            <v>811</v>
          </cell>
          <cell r="B130" t="str">
            <v>ja</v>
          </cell>
          <cell r="C130" t="str">
            <v>パネルブレイク30 攻撃力小UP</v>
          </cell>
          <cell r="D130" t="str">
            <v>自身が先頭の時、1ターンの間に合計30個以上パネルを破壊した場合に攻撃力小UP</v>
          </cell>
        </row>
        <row r="131">
          <cell r="A131">
            <v>812</v>
          </cell>
          <cell r="B131" t="str">
            <v>ja</v>
          </cell>
          <cell r="C131" t="str">
            <v>パネルブレイク40 HP小回復</v>
          </cell>
          <cell r="D131" t="str">
            <v>自身が先頭の時、1ターンの間に合計40個以上パネルを破壊した場合にターン終了時HP小回復</v>
          </cell>
        </row>
        <row r="132">
          <cell r="A132">
            <v>900</v>
          </cell>
          <cell r="B132" t="str">
            <v>ja</v>
          </cell>
          <cell r="C132" t="str">
            <v>チェイン12 攻撃力UP</v>
          </cell>
          <cell r="D132" t="str">
            <v>自身が先頭の時、1タップで12個以上パネルを繋げた場合に攻撃力UP</v>
          </cell>
        </row>
        <row r="133">
          <cell r="A133">
            <v>901</v>
          </cell>
          <cell r="B133" t="str">
            <v>ja</v>
          </cell>
          <cell r="C133" t="str">
            <v>チェイン12 回復力UP</v>
          </cell>
          <cell r="D133" t="str">
            <v>自身が先頭の時、1タップで12個以上パネルを繋げた場合に回復力UP</v>
          </cell>
        </row>
        <row r="134">
          <cell r="A134">
            <v>902</v>
          </cell>
          <cell r="B134" t="str">
            <v>ja</v>
          </cell>
          <cell r="C134" t="str">
            <v>チェイン12 タップ回数UP</v>
          </cell>
          <cell r="D134" t="str">
            <v>自身が先頭の時、1タップで12個以上パネルを繋げた場合にタップ回数を1回増やす</v>
          </cell>
        </row>
        <row r="135">
          <cell r="A135">
            <v>903</v>
          </cell>
          <cell r="B135" t="str">
            <v>ja</v>
          </cell>
          <cell r="C135" t="str">
            <v>チェイン18 スキルゲージUP</v>
          </cell>
          <cell r="D135" t="str">
            <v>自身が先頭の時、1タップで18個以上パネルを繋げた場合に自身のスキルゲージを1増やす(1ターンに1度だけ発動)</v>
          </cell>
        </row>
        <row r="136">
          <cell r="A136">
            <v>904</v>
          </cell>
          <cell r="B136" t="str">
            <v>ja</v>
          </cell>
          <cell r="C136" t="str">
            <v>チェイン17 回復力UP</v>
          </cell>
          <cell r="D136" t="str">
            <v>自身が先頭の時、1タップで17個以上パネルを繋げた場合に自身の回復力を2017UP</v>
          </cell>
        </row>
        <row r="137">
          <cell r="A137">
            <v>905</v>
          </cell>
          <cell r="B137" t="str">
            <v>ja</v>
          </cell>
          <cell r="C137" t="str">
            <v>チェイン12 攻撃力小UP</v>
          </cell>
          <cell r="D137" t="str">
            <v>自身が先頭の時、1タップで12個以上パネルを繋げた場合に攻撃力小UP</v>
          </cell>
        </row>
        <row r="138">
          <cell r="A138">
            <v>906</v>
          </cell>
          <cell r="B138" t="str">
            <v>ja</v>
          </cell>
          <cell r="C138" t="str">
            <v>チェイン14 回復力小UP</v>
          </cell>
          <cell r="D138" t="str">
            <v>自身が先頭の時、1タップで14個以上パネルを繋げた場合に回復力小UP</v>
          </cell>
        </row>
        <row r="139">
          <cell r="A139">
            <v>907</v>
          </cell>
          <cell r="B139" t="str">
            <v>ja</v>
          </cell>
          <cell r="C139" t="str">
            <v>チェイン14 攻撃力UP</v>
          </cell>
          <cell r="D139" t="str">
            <v>自身が先頭の時、1タップで14個以上パネルを繋げた場合に攻撃力UP</v>
          </cell>
        </row>
        <row r="140">
          <cell r="A140">
            <v>1100</v>
          </cell>
          <cell r="B140" t="str">
            <v>ja</v>
          </cell>
          <cell r="C140" t="str">
            <v>Cパネル生成短縮</v>
          </cell>
          <cell r="D140" t="str">
            <v>自身が先頭の時、Cパネル生成に必要なチェイン数を1短縮する</v>
          </cell>
        </row>
        <row r="141">
          <cell r="A141">
            <v>1101</v>
          </cell>
          <cell r="B141" t="str">
            <v>ja</v>
          </cell>
          <cell r="C141" t="str">
            <v>Cパネル生成短縮(大)</v>
          </cell>
          <cell r="D141" t="str">
            <v>自身が先頭の時、Cパネル生成に必要なチェイン数を2短縮する</v>
          </cell>
        </row>
        <row r="142">
          <cell r="A142">
            <v>1200</v>
          </cell>
          <cell r="B142" t="str">
            <v>ja</v>
          </cell>
          <cell r="C142" t="str">
            <v>フィーバー攻撃UP</v>
          </cell>
          <cell r="D142" t="str">
            <v>自身が先頭の時、フィーバー発動時に緑属性の攻撃力と回復力UP</v>
          </cell>
        </row>
        <row r="143">
          <cell r="A143">
            <v>1300</v>
          </cell>
          <cell r="B143" t="str">
            <v>ja</v>
          </cell>
          <cell r="C143" t="str">
            <v>チェイン12 HP回復</v>
          </cell>
          <cell r="D143" t="str">
            <v>自身が先頭の時、1タップで12個以上パネルを繋げた場合にHPを2000回復(1ターンに1度だけ発動)</v>
          </cell>
        </row>
        <row r="144">
          <cell r="A144">
            <v>1400</v>
          </cell>
          <cell r="B144" t="str">
            <v>ja</v>
          </cell>
          <cell r="C144" t="str">
            <v>カウンター威力UP</v>
          </cell>
          <cell r="D144" t="str">
            <v>4ターン毎に自身のカウンタースキルの威力が1ターンの間UP</v>
          </cell>
        </row>
        <row r="145">
          <cell r="A145">
            <v>1500</v>
          </cell>
          <cell r="B145" t="str">
            <v>ja</v>
          </cell>
          <cell r="C145" t="str">
            <v>バリア15000</v>
          </cell>
          <cell r="D145" t="str">
            <v>戦闘開始時に、自身への直接ダメージを15000まで防ぐバリアを一度だけ展開(バリアは破壊されると復活しない)</v>
          </cell>
        </row>
        <row r="146">
          <cell r="A146">
            <v>1501</v>
          </cell>
          <cell r="B146" t="str">
            <v>ja</v>
          </cell>
          <cell r="C146" t="str">
            <v>バリア</v>
          </cell>
          <cell r="D146" t="str">
            <v>戦闘開始時に、ダメージを25000まで防ぐバリアを一度だけ展開</v>
          </cell>
        </row>
        <row r="147">
          <cell r="A147">
            <v>1502</v>
          </cell>
          <cell r="B147" t="str">
            <v>ja</v>
          </cell>
          <cell r="C147" t="str">
            <v>バリア</v>
          </cell>
          <cell r="D147" t="str">
            <v>戦闘開始時に、ダメージを50000まで防ぐバリアを一度だけ展開</v>
          </cell>
        </row>
        <row r="148">
          <cell r="A148">
            <v>1503</v>
          </cell>
          <cell r="B148" t="str">
            <v>ja</v>
          </cell>
          <cell r="C148" t="str">
            <v>バリア8000</v>
          </cell>
          <cell r="D148" t="str">
            <v>戦闘開始時に、自身への直接ダメージを8000まで防ぐバリアを一度だけ展開(バリアは破壊されると復活しない)</v>
          </cell>
        </row>
        <row r="149">
          <cell r="A149">
            <v>1504</v>
          </cell>
          <cell r="B149" t="str">
            <v>ja</v>
          </cell>
          <cell r="C149" t="str">
            <v>バリア10000</v>
          </cell>
          <cell r="D149" t="str">
            <v>戦闘開始時に、自身への直接ダメージを10000まで防ぐバリアを一度だけ展開(バリアは破壊されると復活しない)</v>
          </cell>
        </row>
        <row r="150">
          <cell r="A150">
            <v>1505</v>
          </cell>
          <cell r="B150" t="str">
            <v>ja</v>
          </cell>
          <cell r="C150" t="str">
            <v>バリア3939</v>
          </cell>
          <cell r="D150" t="str">
            <v>戦闘開始時に、自身への直接ダメージを3939まで防ぐバリアを一度だけ展開(バリアは破壊されると復活しない)</v>
          </cell>
        </row>
        <row r="151">
          <cell r="A151">
            <v>1600</v>
          </cell>
          <cell r="B151" t="str">
            <v>ja</v>
          </cell>
          <cell r="C151" t="str">
            <v>攻撃力・回復力UP</v>
          </cell>
          <cell r="D151" t="str">
            <v>自身の攻撃力と回復力をUP</v>
          </cell>
        </row>
        <row r="152">
          <cell r="A152">
            <v>1700</v>
          </cell>
          <cell r="B152" t="str">
            <v>ja</v>
          </cell>
          <cell r="C152" t="str">
            <v>パネルブレイク30 ターンHP小回復</v>
          </cell>
          <cell r="D152" t="str">
            <v>自身が先頭の時、1ターンの間に合計30個以上パネルを破壊した場合に1ターン HP小回復</v>
          </cell>
        </row>
        <row r="153">
          <cell r="A153">
            <v>1800</v>
          </cell>
          <cell r="B153" t="str">
            <v>ja</v>
          </cell>
          <cell r="C153" t="str">
            <v>フィーバー強化</v>
          </cell>
          <cell r="D153" t="str">
            <v>フィーバー時自身の攻撃力、回復力を特大UP</v>
          </cell>
        </row>
        <row r="154">
          <cell r="A154">
            <v>1900</v>
          </cell>
          <cell r="B154" t="str">
            <v>ja</v>
          </cell>
          <cell r="C154" t="str">
            <v>ハート出現率UP</v>
          </cell>
          <cell r="D154" t="str">
            <v>自身が先頭の時、ハートパネルの出現率UP</v>
          </cell>
        </row>
        <row r="155">
          <cell r="A155">
            <v>2000</v>
          </cell>
          <cell r="B155" t="str">
            <v>ja</v>
          </cell>
          <cell r="C155" t="str">
            <v>赤パネル出現率UP</v>
          </cell>
          <cell r="D155" t="str">
            <v>自身が先頭の時、赤パネルの出現率UP</v>
          </cell>
        </row>
        <row r="156">
          <cell r="A156">
            <v>2100</v>
          </cell>
          <cell r="B156" t="str">
            <v>ja</v>
          </cell>
          <cell r="C156" t="str">
            <v>緑パネル出現率UP</v>
          </cell>
          <cell r="D156" t="str">
            <v>自身が先頭の時、緑パネルの出現率UP</v>
          </cell>
        </row>
        <row r="157">
          <cell r="A157">
            <v>2200</v>
          </cell>
          <cell r="B157" t="str">
            <v>ja</v>
          </cell>
          <cell r="C157" t="str">
            <v>青パネル出現率UP</v>
          </cell>
          <cell r="D157" t="str">
            <v>自身が先頭の時、青パネルの出現率UP</v>
          </cell>
        </row>
        <row r="158">
          <cell r="A158">
            <v>2300</v>
          </cell>
          <cell r="B158" t="str">
            <v>ja</v>
          </cell>
          <cell r="C158" t="str">
            <v>黄パネル出現率UP</v>
          </cell>
          <cell r="D158" t="str">
            <v>自身が先頭の時、黄パネルの出現率UP</v>
          </cell>
        </row>
        <row r="159">
          <cell r="A159">
            <v>2400</v>
          </cell>
          <cell r="B159" t="str">
            <v>ja</v>
          </cell>
          <cell r="C159" t="str">
            <v>ハートボムパネルドロップ</v>
          </cell>
          <cell r="D159" t="str">
            <v>自身が先頭の時、ハートパネルを確率でハートボムパネルに変換しドロップ</v>
          </cell>
        </row>
        <row r="160">
          <cell r="A160">
            <v>2500</v>
          </cell>
          <cell r="B160" t="str">
            <v>ja</v>
          </cell>
          <cell r="C160" t="str">
            <v>青パネルドロップ</v>
          </cell>
          <cell r="D160" t="str">
            <v>自身が先頭の時、緑パネルを確率で青パネルに変換しドロップ</v>
          </cell>
        </row>
        <row r="161">
          <cell r="A161">
            <v>2501</v>
          </cell>
          <cell r="B161" t="str">
            <v>ja</v>
          </cell>
          <cell r="C161" t="str">
            <v>黄パネルドロップ</v>
          </cell>
          <cell r="D161" t="str">
            <v>自身が先頭の時、青パネルを確率で黄パネルに変換しドロップ</v>
          </cell>
        </row>
        <row r="162">
          <cell r="A162">
            <v>2502</v>
          </cell>
          <cell r="B162" t="str">
            <v>ja</v>
          </cell>
          <cell r="C162" t="str">
            <v>赤パネルドロップ</v>
          </cell>
          <cell r="D162" t="str">
            <v>自身が先頭の時、黄パネルを確率で赤パネルに変換しドロップ</v>
          </cell>
        </row>
        <row r="163">
          <cell r="A163">
            <v>2503</v>
          </cell>
          <cell r="B163" t="str">
            <v>ja</v>
          </cell>
          <cell r="C163" t="str">
            <v>黄パネルドロップ</v>
          </cell>
          <cell r="D163" t="str">
            <v>自身が先頭の時、赤パネルを確率で黄パネルに変換しドロップ</v>
          </cell>
        </row>
        <row r="164">
          <cell r="A164">
            <v>2504</v>
          </cell>
          <cell r="B164" t="str">
            <v>ja</v>
          </cell>
          <cell r="C164" t="str">
            <v>SCパネルドロップ</v>
          </cell>
          <cell r="D164" t="str">
            <v>自身が先頭の時、緑パネルを確率でSCパネルに変換しドロップ</v>
          </cell>
        </row>
        <row r="165">
          <cell r="A165">
            <v>2505</v>
          </cell>
          <cell r="B165" t="str">
            <v>ja</v>
          </cell>
          <cell r="C165" t="str">
            <v>緑ボムパネル(大)ドロップ</v>
          </cell>
          <cell r="D165" t="str">
            <v>自身が先頭の時、低確率で緑ボムパネル(大)をドロップ</v>
          </cell>
        </row>
        <row r="166">
          <cell r="A166">
            <v>2600</v>
          </cell>
          <cell r="B166" t="str">
            <v>ja</v>
          </cell>
          <cell r="C166" t="str">
            <v>回復力400UP</v>
          </cell>
          <cell r="D166" t="str">
            <v>自身の回復力を400UP</v>
          </cell>
        </row>
        <row r="167">
          <cell r="A167">
            <v>2601</v>
          </cell>
          <cell r="B167" t="str">
            <v>ja</v>
          </cell>
          <cell r="C167" t="str">
            <v>回復力300UP</v>
          </cell>
          <cell r="D167" t="str">
            <v>自身の回復力を300UP</v>
          </cell>
        </row>
        <row r="168">
          <cell r="A168">
            <v>2700</v>
          </cell>
          <cell r="B168" t="str">
            <v>ja</v>
          </cell>
          <cell r="C168" t="str">
            <v>攻撃力UP</v>
          </cell>
          <cell r="D168" t="str">
            <v>自身の攻撃力を300UP</v>
          </cell>
        </row>
        <row r="169">
          <cell r="A169">
            <v>2701</v>
          </cell>
          <cell r="B169" t="str">
            <v>ja</v>
          </cell>
          <cell r="C169" t="str">
            <v>攻撃力UP</v>
          </cell>
          <cell r="D169" t="str">
            <v>自身の攻撃力を500UP</v>
          </cell>
        </row>
        <row r="170">
          <cell r="A170">
            <v>2800</v>
          </cell>
          <cell r="B170" t="str">
            <v>ja</v>
          </cell>
          <cell r="C170" t="str">
            <v>防御力UP</v>
          </cell>
          <cell r="D170" t="str">
            <v>自身の防御力を250UP</v>
          </cell>
        </row>
        <row r="171">
          <cell r="A171">
            <v>2801</v>
          </cell>
          <cell r="B171" t="str">
            <v>ja</v>
          </cell>
          <cell r="C171" t="str">
            <v>防御力UP</v>
          </cell>
          <cell r="D171" t="str">
            <v>自身の防御力を350UP</v>
          </cell>
        </row>
        <row r="172">
          <cell r="A172">
            <v>2900</v>
          </cell>
          <cell r="B172" t="str">
            <v>ja</v>
          </cell>
          <cell r="C172" t="str">
            <v>フィーバー50 攻撃力小UP</v>
          </cell>
          <cell r="D172" t="str">
            <v>フィーバーゲージが50％以上の時、自身の攻撃力小UP</v>
          </cell>
        </row>
        <row r="173">
          <cell r="A173">
            <v>2901</v>
          </cell>
          <cell r="B173" t="str">
            <v>ja</v>
          </cell>
          <cell r="C173" t="str">
            <v>フィーバー40 攻撃力UP</v>
          </cell>
          <cell r="D173" t="str">
            <v>フィーバーゲージが40％以上の時、自身の攻撃力UP</v>
          </cell>
        </row>
        <row r="174">
          <cell r="A174">
            <v>9000</v>
          </cell>
          <cell r="B174" t="str">
            <v>ja</v>
          </cell>
          <cell r="C174" t="str">
            <v>ハップルチャレンジ ダメージUP</v>
          </cell>
          <cell r="D174" t="str">
            <v>ハップルチャレンジ内で自身の全ての攻撃の威力をUP</v>
          </cell>
        </row>
        <row r="175">
          <cell r="A175">
            <v>119402</v>
          </cell>
          <cell r="B175" t="str">
            <v>ja</v>
          </cell>
          <cell r="C175" t="str">
            <v>ハロウィンナイトパニック！ 威力UP</v>
          </cell>
          <cell r="D175" t="str">
            <v>ハロウィンナイトパニック！内で自身の全ての攻撃の威力を究極UP</v>
          </cell>
        </row>
        <row r="176">
          <cell r="A176">
            <v>2504</v>
          </cell>
          <cell r="B176" t="str">
            <v>ja</v>
          </cell>
          <cell r="C176" t="str">
            <v>SCパネルドロップ</v>
          </cell>
          <cell r="D176" t="str">
            <v>自身が先頭の時、緑パネルを確率でSCパネルに変換しドロップ</v>
          </cell>
        </row>
        <row r="177">
          <cell r="A177">
            <v>2505</v>
          </cell>
          <cell r="B177" t="str">
            <v>ja</v>
          </cell>
          <cell r="C177" t="str">
            <v>緑ボムパネル(大)ドロップ</v>
          </cell>
          <cell r="D177" t="str">
            <v>自身が先頭の時、低確率で緑ボムパネル(大)をドロップ</v>
          </cell>
        </row>
        <row r="178">
          <cell r="A178">
            <v>2506</v>
          </cell>
          <cell r="B178" t="str">
            <v>ja</v>
          </cell>
          <cell r="C178" t="str">
            <v>ハートボムパネル(大)ドロップ</v>
          </cell>
          <cell r="D178" t="str">
            <v>自身が先頭の時、低確率でハートボムパネル(大)をドロップ</v>
          </cell>
        </row>
        <row r="179">
          <cell r="A179">
            <v>2507</v>
          </cell>
          <cell r="B179" t="str">
            <v>ja</v>
          </cell>
          <cell r="C179" t="str">
            <v>Cパネルドロップ</v>
          </cell>
          <cell r="D179" t="str">
            <v>自身が先頭の時、低確率でCパネルをドロップ</v>
          </cell>
        </row>
        <row r="180">
          <cell r="A180">
            <v>2600</v>
          </cell>
          <cell r="B180" t="str">
            <v>ja</v>
          </cell>
          <cell r="C180" t="str">
            <v>回復力400UP</v>
          </cell>
          <cell r="D180" t="str">
            <v>自身の回復力を400UP</v>
          </cell>
        </row>
        <row r="181">
          <cell r="A181">
            <v>2601</v>
          </cell>
          <cell r="B181" t="str">
            <v>ja</v>
          </cell>
          <cell r="C181" t="str">
            <v>回復力300UP</v>
          </cell>
          <cell r="D181" t="str">
            <v>自身の回復力を300UP</v>
          </cell>
        </row>
        <row r="182">
          <cell r="A182">
            <v>2700</v>
          </cell>
          <cell r="B182" t="str">
            <v>ja</v>
          </cell>
          <cell r="C182" t="str">
            <v>攻撃力UP</v>
          </cell>
          <cell r="D182" t="str">
            <v>自身の攻撃力を300UP</v>
          </cell>
        </row>
        <row r="183">
          <cell r="A183">
            <v>2701</v>
          </cell>
          <cell r="B183" t="str">
            <v>ja</v>
          </cell>
          <cell r="C183" t="str">
            <v>攻撃力UP</v>
          </cell>
          <cell r="D183" t="str">
            <v>自身の攻撃力を500UP</v>
          </cell>
        </row>
        <row r="184">
          <cell r="A184">
            <v>2800</v>
          </cell>
          <cell r="B184" t="str">
            <v>ja</v>
          </cell>
          <cell r="C184" t="str">
            <v>防御力UP</v>
          </cell>
          <cell r="D184" t="str">
            <v>自身の防御力を250UP</v>
          </cell>
        </row>
        <row r="185">
          <cell r="A185">
            <v>2801</v>
          </cell>
          <cell r="B185" t="str">
            <v>ja</v>
          </cell>
          <cell r="C185" t="str">
            <v>防御力UP</v>
          </cell>
          <cell r="D185" t="str">
            <v>自身の防御力を350UP</v>
          </cell>
        </row>
        <row r="186">
          <cell r="A186">
            <v>2802</v>
          </cell>
          <cell r="B186" t="str">
            <v>ja</v>
          </cell>
          <cell r="C186" t="str">
            <v>防御力UP</v>
          </cell>
          <cell r="D186" t="str">
            <v>自身の防御力を300UP</v>
          </cell>
        </row>
        <row r="187">
          <cell r="A187">
            <v>2803</v>
          </cell>
          <cell r="B187" t="str">
            <v>ja</v>
          </cell>
          <cell r="C187" t="str">
            <v>防御力UP</v>
          </cell>
          <cell r="D187" t="str">
            <v>自身の防御力を400UP</v>
          </cell>
        </row>
        <row r="188">
          <cell r="A188">
            <v>2900</v>
          </cell>
          <cell r="B188" t="str">
            <v>ja</v>
          </cell>
          <cell r="C188" t="str">
            <v>フィーバー50 攻撃力小UP</v>
          </cell>
          <cell r="D188" t="str">
            <v>フィーバーゲージが50％以上の時、自身の攻撃力小UP</v>
          </cell>
        </row>
        <row r="189">
          <cell r="A189">
            <v>2901</v>
          </cell>
          <cell r="B189" t="str">
            <v>ja</v>
          </cell>
          <cell r="C189" t="str">
            <v>フィーバー40 攻撃力UP</v>
          </cell>
          <cell r="D189" t="str">
            <v>フィーバーゲージが40％以上の時、自身の攻撃力UP</v>
          </cell>
        </row>
        <row r="190">
          <cell r="A190">
            <v>9000</v>
          </cell>
          <cell r="B190" t="str">
            <v>ja</v>
          </cell>
          <cell r="C190" t="str">
            <v>ハップルチャレンジ ダメージUP</v>
          </cell>
          <cell r="D190" t="str">
            <v>ハップルチャレンジ内で自身の全ての攻撃の威力をUP</v>
          </cell>
        </row>
        <row r="191">
          <cell r="A191">
            <v>119402</v>
          </cell>
          <cell r="B191" t="str">
            <v>ja</v>
          </cell>
          <cell r="C191" t="str">
            <v>ハロウィンナイトパニック！ 威力UP</v>
          </cell>
          <cell r="D191" t="str">
            <v>ハロウィンナイトパニック！内で自身の全ての攻撃の威力を究極UP</v>
          </cell>
        </row>
        <row r="192">
          <cell r="A192">
            <v>808082</v>
          </cell>
          <cell r="B192" t="str">
            <v>ja</v>
          </cell>
          <cell r="C192" t="str">
            <v>Cパネルドロップ</v>
          </cell>
          <cell r="D192" t="str">
            <v>自身が先頭の時、低確率でCパネルをドロップ</v>
          </cell>
        </row>
        <row r="193">
          <cell r="A193">
            <v>2000</v>
          </cell>
          <cell r="B193" t="str">
            <v>ja</v>
          </cell>
          <cell r="C193" t="str">
            <v>赤パネル出現率UP</v>
          </cell>
          <cell r="D193" t="str">
            <v>自身が先頭の時、赤パネルの出現率UP</v>
          </cell>
        </row>
        <row r="194">
          <cell r="A194">
            <v>2100</v>
          </cell>
          <cell r="B194" t="str">
            <v>ja</v>
          </cell>
          <cell r="C194" t="str">
            <v>緑パネル出現率UP</v>
          </cell>
          <cell r="D194" t="str">
            <v>自身が先頭の時、緑パネルの出現率UP</v>
          </cell>
        </row>
        <row r="195">
          <cell r="A195">
            <v>2101</v>
          </cell>
          <cell r="B195" t="str">
            <v>ja</v>
          </cell>
          <cell r="C195" t="str">
            <v>緑パネル出現率UP</v>
          </cell>
          <cell r="D195" t="str">
            <v>自身が先頭の時、緑パネルの出現率UP</v>
          </cell>
        </row>
        <row r="196">
          <cell r="A196">
            <v>2200</v>
          </cell>
          <cell r="B196" t="str">
            <v>ja</v>
          </cell>
          <cell r="C196" t="str">
            <v>青パネル出現率UP</v>
          </cell>
          <cell r="D196" t="str">
            <v>自身が先頭の時、青パネルの出現率UP</v>
          </cell>
        </row>
        <row r="197">
          <cell r="A197">
            <v>2201</v>
          </cell>
          <cell r="B197" t="str">
            <v>ja</v>
          </cell>
          <cell r="C197" t="str">
            <v>青パネル出現率UP</v>
          </cell>
          <cell r="D197" t="str">
            <v>自身が先頭の時、青パネルの出現率UP</v>
          </cell>
        </row>
        <row r="198">
          <cell r="A198">
            <v>2300</v>
          </cell>
          <cell r="B198" t="str">
            <v>ja</v>
          </cell>
          <cell r="C198" t="str">
            <v>黄パネル出現率UP</v>
          </cell>
          <cell r="D198" t="str">
            <v>自身が先頭の時、黄パネルの出現率UP</v>
          </cell>
        </row>
        <row r="199">
          <cell r="A199">
            <v>2400</v>
          </cell>
          <cell r="B199" t="str">
            <v>ja</v>
          </cell>
          <cell r="C199" t="str">
            <v>ハートボムパネルドロップ</v>
          </cell>
          <cell r="D199" t="str">
            <v>自身が先頭の時、ハートパネルを確率でハートボムパネルに変換しドロップ</v>
          </cell>
        </row>
        <row r="200">
          <cell r="A200">
            <v>2401</v>
          </cell>
          <cell r="B200" t="str">
            <v>ja</v>
          </cell>
          <cell r="C200" t="str">
            <v>赤ボムパネルドロップ</v>
          </cell>
          <cell r="D200" t="str">
            <v>自身が先頭の時、赤パネルを低確率で赤ボムパネルに変換しドロップ</v>
          </cell>
        </row>
        <row r="201">
          <cell r="A201">
            <v>2402</v>
          </cell>
          <cell r="B201" t="str">
            <v>ja</v>
          </cell>
          <cell r="C201" t="str">
            <v>緑ボムパネルドロップ</v>
          </cell>
          <cell r="D201" t="str">
            <v>自身が先頭の時、緑パネルを低確率で緑ボムパネルに変換しドロップ</v>
          </cell>
        </row>
        <row r="202">
          <cell r="A202">
            <v>2403</v>
          </cell>
          <cell r="B202" t="str">
            <v>ja</v>
          </cell>
          <cell r="C202" t="str">
            <v>青ボムパネルドロップ</v>
          </cell>
          <cell r="D202" t="str">
            <v>自身が先頭の時、青パネルを確率で青ボムパネルに変換しドロップ</v>
          </cell>
        </row>
        <row r="203">
          <cell r="A203">
            <v>2500</v>
          </cell>
          <cell r="B203" t="str">
            <v>ja</v>
          </cell>
          <cell r="C203" t="str">
            <v>青パネルドロップ</v>
          </cell>
          <cell r="D203" t="str">
            <v>自身が先頭の時、緑パネルを確率で青パネルに変換しドロップ</v>
          </cell>
        </row>
        <row r="204">
          <cell r="A204">
            <v>2501</v>
          </cell>
          <cell r="B204" t="str">
            <v>ja</v>
          </cell>
          <cell r="C204" t="str">
            <v>黄パネルドロップ</v>
          </cell>
          <cell r="D204" t="str">
            <v>自身が先頭の時、青パネルを確率で黄パネルに変換しドロップ</v>
          </cell>
        </row>
        <row r="205">
          <cell r="A205">
            <v>2502</v>
          </cell>
          <cell r="B205" t="str">
            <v>ja</v>
          </cell>
          <cell r="C205" t="str">
            <v>赤パネルドロップ</v>
          </cell>
          <cell r="D205" t="str">
            <v>自身が先頭の時、黄パネルを確率で赤パネルに変換しドロップ</v>
          </cell>
        </row>
        <row r="206">
          <cell r="A206">
            <v>2503</v>
          </cell>
          <cell r="B206" t="str">
            <v>ja</v>
          </cell>
          <cell r="C206" t="str">
            <v>黄パネルドロップ</v>
          </cell>
          <cell r="D206" t="str">
            <v>自身が先頭の時、赤パネルを確率で黄パネルに変換しドロップ</v>
          </cell>
        </row>
        <row r="207">
          <cell r="A207">
            <v>2504</v>
          </cell>
          <cell r="B207" t="str">
            <v>ja</v>
          </cell>
          <cell r="C207" t="str">
            <v>SCパネルドロップ</v>
          </cell>
          <cell r="D207" t="str">
            <v>自身が先頭の時、緑パネルを確率でSCパネルに変換しドロップ</v>
          </cell>
        </row>
        <row r="208">
          <cell r="A208">
            <v>2505</v>
          </cell>
          <cell r="B208" t="str">
            <v>ja</v>
          </cell>
          <cell r="C208" t="str">
            <v>緑ボムパネル(大)ドロップ</v>
          </cell>
          <cell r="D208" t="str">
            <v>自身が先頭の時、低確率で緑ボムパネル(大)をドロップ</v>
          </cell>
        </row>
        <row r="209">
          <cell r="A209">
            <v>2506</v>
          </cell>
          <cell r="B209" t="str">
            <v>ja</v>
          </cell>
          <cell r="C209" t="str">
            <v>ハートボムパネル(大)ドロップ</v>
          </cell>
          <cell r="D209" t="str">
            <v>自身が先頭の時、低確率でハートボムパネル(大)をドロップ</v>
          </cell>
        </row>
        <row r="210">
          <cell r="A210">
            <v>2507</v>
          </cell>
          <cell r="B210" t="str">
            <v>ja</v>
          </cell>
          <cell r="C210" t="str">
            <v>Cパネルドロップ</v>
          </cell>
          <cell r="D210" t="str">
            <v>自身が先頭の時、低確率でCパネルをドロップ</v>
          </cell>
        </row>
        <row r="211">
          <cell r="A211">
            <v>2508</v>
          </cell>
          <cell r="B211" t="str">
            <v>ja</v>
          </cell>
          <cell r="C211" t="str">
            <v>黄パネルドロップ</v>
          </cell>
          <cell r="D211" t="str">
            <v>自身が先頭の時、緑パネルを確率で黄パネルに変換しドロップ</v>
          </cell>
        </row>
        <row r="212">
          <cell r="A212">
            <v>2509</v>
          </cell>
          <cell r="B212" t="str">
            <v>ja</v>
          </cell>
          <cell r="C212" t="str">
            <v>赤ボムパネル(大)ドロップ</v>
          </cell>
          <cell r="D212" t="str">
            <v>自身が先頭の時、低確率で赤ボムパネル(大)をドロップ</v>
          </cell>
        </row>
        <row r="213">
          <cell r="A213">
            <v>2510</v>
          </cell>
          <cell r="B213" t="str">
            <v>ja</v>
          </cell>
          <cell r="C213" t="str">
            <v>青ボムパネル(大)ドロップ</v>
          </cell>
          <cell r="D213" t="str">
            <v>自身が先頭の時、低確率で青ボムパネル(大)をドロップ</v>
          </cell>
        </row>
        <row r="214">
          <cell r="A214">
            <v>2511</v>
          </cell>
          <cell r="B214" t="str">
            <v>ja</v>
          </cell>
          <cell r="C214" t="str">
            <v>緑ボムパネルドロップ</v>
          </cell>
          <cell r="D214" t="str">
            <v>自身が先頭の時、ハートパネルを確率で緑ボムパネルに変換しドロップ</v>
          </cell>
        </row>
        <row r="215">
          <cell r="A215">
            <v>2512</v>
          </cell>
          <cell r="B215" t="str">
            <v>ja</v>
          </cell>
          <cell r="C215" t="str">
            <v>ハートボムパネル(大)ドロップ</v>
          </cell>
          <cell r="D215" t="str">
            <v>自身が先頭の時、低確率でハートボムパネル(大)をドロップ</v>
          </cell>
        </row>
        <row r="216">
          <cell r="A216">
            <v>2513</v>
          </cell>
          <cell r="B216" t="str">
            <v>ja</v>
          </cell>
          <cell r="C216" t="str">
            <v>緑ボムパネル(大)ドロップ</v>
          </cell>
          <cell r="D216" t="str">
            <v>自身が先頭の時、低確率で緑ボムパネル(大)をドロップ</v>
          </cell>
        </row>
        <row r="217">
          <cell r="A217">
            <v>2600</v>
          </cell>
          <cell r="B217" t="str">
            <v>ja</v>
          </cell>
          <cell r="C217" t="str">
            <v>回復力400UP</v>
          </cell>
          <cell r="D217" t="str">
            <v>自身の回復力を400UP</v>
          </cell>
        </row>
        <row r="218">
          <cell r="A218">
            <v>2601</v>
          </cell>
          <cell r="B218" t="str">
            <v>ja</v>
          </cell>
          <cell r="C218" t="str">
            <v>回復力300UP</v>
          </cell>
          <cell r="D218" t="str">
            <v>自身の回復力を300UP</v>
          </cell>
        </row>
        <row r="219">
          <cell r="A219">
            <v>2700</v>
          </cell>
          <cell r="B219" t="str">
            <v>ja</v>
          </cell>
          <cell r="C219" t="str">
            <v>攻撃力UP</v>
          </cell>
          <cell r="D219" t="str">
            <v>自身の攻撃力を300UP</v>
          </cell>
        </row>
        <row r="220">
          <cell r="A220">
            <v>2701</v>
          </cell>
          <cell r="B220" t="str">
            <v>ja</v>
          </cell>
          <cell r="C220" t="str">
            <v>攻撃力UP</v>
          </cell>
          <cell r="D220" t="str">
            <v>自身の攻撃力を500UP</v>
          </cell>
        </row>
        <row r="221">
          <cell r="A221">
            <v>2800</v>
          </cell>
          <cell r="B221" t="str">
            <v>ja</v>
          </cell>
          <cell r="C221" t="str">
            <v>防御力UP</v>
          </cell>
          <cell r="D221" t="str">
            <v>自身の防御力を250UP</v>
          </cell>
        </row>
        <row r="222">
          <cell r="A222">
            <v>2801</v>
          </cell>
          <cell r="B222" t="str">
            <v>ja</v>
          </cell>
          <cell r="C222" t="str">
            <v>防御力UP</v>
          </cell>
          <cell r="D222" t="str">
            <v>自身の防御力を350UP</v>
          </cell>
        </row>
        <row r="223">
          <cell r="A223">
            <v>2802</v>
          </cell>
          <cell r="B223" t="str">
            <v>ja</v>
          </cell>
          <cell r="C223" t="str">
            <v>防御力UP</v>
          </cell>
          <cell r="D223" t="str">
            <v>自身の防御力を300UP</v>
          </cell>
        </row>
        <row r="224">
          <cell r="A224">
            <v>2803</v>
          </cell>
          <cell r="B224" t="str">
            <v>ja</v>
          </cell>
          <cell r="C224" t="str">
            <v>防御力UP</v>
          </cell>
          <cell r="D224" t="str">
            <v>自身の防御力を400UP</v>
          </cell>
        </row>
        <row r="225">
          <cell r="A225">
            <v>2804</v>
          </cell>
          <cell r="B225" t="str">
            <v>ja</v>
          </cell>
          <cell r="C225" t="str">
            <v>防御力UP</v>
          </cell>
          <cell r="D225" t="str">
            <v>自身の防御力を280UP</v>
          </cell>
        </row>
        <row r="226">
          <cell r="A226">
            <v>2900</v>
          </cell>
          <cell r="B226" t="str">
            <v>ja</v>
          </cell>
          <cell r="C226" t="str">
            <v>フィーバー50 攻撃力小UP</v>
          </cell>
          <cell r="D226" t="str">
            <v>フィーバーゲージが50％以上の時、自身の攻撃力小UP</v>
          </cell>
        </row>
        <row r="227">
          <cell r="A227">
            <v>2901</v>
          </cell>
          <cell r="B227" t="str">
            <v>ja</v>
          </cell>
          <cell r="C227" t="str">
            <v>フィーバー40 攻撃力UP</v>
          </cell>
          <cell r="D227" t="str">
            <v>フィーバーゲージが40％以上の時、自身の攻撃力UP</v>
          </cell>
        </row>
        <row r="228">
          <cell r="A228">
            <v>2902</v>
          </cell>
          <cell r="B228" t="str">
            <v>ja</v>
          </cell>
          <cell r="C228" t="str">
            <v>フィーバー80 攻撃力大UP</v>
          </cell>
          <cell r="D228" t="str">
            <v>フィーバーゲージが80％以上の時、自身の攻撃力大UP</v>
          </cell>
        </row>
        <row r="229">
          <cell r="A229">
            <v>2903</v>
          </cell>
          <cell r="B229" t="str">
            <v>ja</v>
          </cell>
          <cell r="C229" t="str">
            <v>フィーバー100 攻撃参加</v>
          </cell>
          <cell r="D229" t="str">
            <v>フィーバーゲージが100％の時、自身が先頭以外でも通常攻撃に参加する</v>
          </cell>
        </row>
        <row r="230">
          <cell r="A230">
            <v>3000</v>
          </cell>
          <cell r="B230" t="str">
            <v>ja</v>
          </cell>
          <cell r="C230" t="str">
            <v>攻撃参加</v>
          </cell>
          <cell r="D230" t="str">
            <v>最初の1ターン目と、その後7ターン毎に自身が先頭以外でも通常攻撃に参加する</v>
          </cell>
        </row>
        <row r="231">
          <cell r="A231">
            <v>3001</v>
          </cell>
          <cell r="B231" t="str">
            <v>ja</v>
          </cell>
          <cell r="C231" t="str">
            <v>攻撃参加</v>
          </cell>
          <cell r="D231" t="str">
            <v>最初の1ターン目と、その後6ターン毎に自身が先頭以外でも通常攻撃に参加する</v>
          </cell>
        </row>
        <row r="232">
          <cell r="A232">
            <v>3002</v>
          </cell>
          <cell r="B232" t="str">
            <v>ja</v>
          </cell>
          <cell r="C232" t="str">
            <v>攻撃参加</v>
          </cell>
          <cell r="D232" t="str">
            <v>最初の1ターン目と、その後9ターン毎に自身が先頭以外でも通常攻撃に参加する</v>
          </cell>
        </row>
        <row r="233">
          <cell r="A233">
            <v>3100</v>
          </cell>
          <cell r="B233" t="str">
            <v>ja</v>
          </cell>
          <cell r="C233" t="str">
            <v>ボスフロア Cパネル生成短縮(特大)</v>
          </cell>
          <cell r="D233" t="str">
            <v>ボスフロア内で自身が先頭の時、Cパネル生成に必要なチェイン数を短縮する</v>
          </cell>
        </row>
        <row r="234">
          <cell r="A234">
            <v>3101</v>
          </cell>
          <cell r="B234" t="str">
            <v>ja</v>
          </cell>
          <cell r="C234" t="str">
            <v>ボスフロア時 バリア3000</v>
          </cell>
          <cell r="D234" t="str">
            <v>ボスフロア到達時に自身への直接ダメージを3000まで防ぐバリアを一度だけ展開(バリアは破壊されると復活しない)</v>
          </cell>
        </row>
        <row r="235">
          <cell r="A235">
            <v>3102</v>
          </cell>
          <cell r="B235" t="str">
            <v>ja</v>
          </cell>
          <cell r="C235" t="str">
            <v>ボスフロア時 Cスキル威力UP</v>
          </cell>
          <cell r="D235" t="str">
            <v>ボスフロアの1ターン目終了時に自身のCスキルの威力をUP</v>
          </cell>
        </row>
        <row r="236">
          <cell r="A236">
            <v>3103</v>
          </cell>
          <cell r="B236" t="str">
            <v>ja</v>
          </cell>
          <cell r="C236" t="str">
            <v>ボスフロア 攻撃力UP</v>
          </cell>
          <cell r="D236" t="str">
            <v>ボスフロア内で自身の攻撃力を700UP</v>
          </cell>
        </row>
        <row r="237">
          <cell r="A237">
            <v>3200</v>
          </cell>
          <cell r="B237" t="str">
            <v>ja</v>
          </cell>
          <cell r="C237" t="str">
            <v>HP33%以下 攻撃力UP</v>
          </cell>
          <cell r="D237" t="str">
            <v>自身が先頭の時、残りHPが33%以下で攻撃力特大UP</v>
          </cell>
        </row>
        <row r="238">
          <cell r="A238">
            <v>3201</v>
          </cell>
          <cell r="B238" t="str">
            <v>ja</v>
          </cell>
          <cell r="C238" t="str">
            <v>HP35%以下 回復力UP</v>
          </cell>
          <cell r="D238" t="str">
            <v>自身が先頭の時、残りHPが35%以下で回復力40%UP</v>
          </cell>
        </row>
        <row r="239">
          <cell r="A239">
            <v>3202</v>
          </cell>
          <cell r="B239" t="str">
            <v>ja</v>
          </cell>
          <cell r="C239" t="str">
            <v>HP90%以上 全属性耐性15</v>
          </cell>
          <cell r="D239" t="str">
            <v>自身が先頭の時、残りHPが90%以上で全ユニットに対する全属性の敵からの攻撃を15％軽減</v>
          </cell>
        </row>
        <row r="240">
          <cell r="A240">
            <v>3203</v>
          </cell>
          <cell r="B240" t="str">
            <v>ja</v>
          </cell>
          <cell r="C240" t="str">
            <v>HP50%以下 防御力UP</v>
          </cell>
          <cell r="D240" t="str">
            <v>自身が先頭の時、残りHPが50%以下で防御力398UP</v>
          </cell>
        </row>
        <row r="241">
          <cell r="A241">
            <v>3204</v>
          </cell>
          <cell r="B241" t="str">
            <v>ja</v>
          </cell>
          <cell r="C241" t="str">
            <v>HP30%以下 攻撃力大UP</v>
          </cell>
          <cell r="D241" t="str">
            <v>自身が先頭の時、残りHPが30%以下で攻撃力大UP</v>
          </cell>
        </row>
        <row r="242">
          <cell r="A242">
            <v>3205</v>
          </cell>
          <cell r="B242" t="str">
            <v>ja</v>
          </cell>
          <cell r="C242" t="str">
            <v>HP90%以上 ダメージ軽減</v>
          </cell>
          <cell r="D242" t="str">
            <v>残りHPが90%以上の時、全ユニットが敵からの攻撃を15％軽減</v>
          </cell>
        </row>
        <row r="243">
          <cell r="A243">
            <v>4000</v>
          </cell>
          <cell r="B243" t="str">
            <v>ja</v>
          </cell>
          <cell r="C243" t="str">
            <v>被ダメージ時 HP回復</v>
          </cell>
          <cell r="D243" t="str">
            <v>自身が攻撃を受けた場合、次のターンの開始時にHP500回復する</v>
          </cell>
        </row>
        <row r="244">
          <cell r="A244">
            <v>8000</v>
          </cell>
          <cell r="B244" t="str">
            <v>ja</v>
          </cell>
          <cell r="C244" t="str">
            <v>ユニットが一番右にいるとき 攻撃力UP</v>
          </cell>
          <cell r="D244" t="str">
            <v>自身が一番右にいる場合、全ユニットの攻撃力UP</v>
          </cell>
        </row>
        <row r="245">
          <cell r="A245">
            <v>8001</v>
          </cell>
          <cell r="B245" t="str">
            <v>ja</v>
          </cell>
          <cell r="C245" t="str">
            <v>敵に青属性がいる場合 小カウンター</v>
          </cell>
          <cell r="D245" t="str">
            <v>敵に青属性がいる場合、小カウンター</v>
          </cell>
        </row>
        <row r="246">
          <cell r="A246">
            <v>8002</v>
          </cell>
          <cell r="B246" t="str">
            <v>ja</v>
          </cell>
          <cell r="C246" t="str">
            <v>テスト</v>
          </cell>
          <cell r="D246" t="str">
            <v>フロアスタート時、1ターン全ユニットの攻撃力UP</v>
          </cell>
        </row>
        <row r="247">
          <cell r="A247">
            <v>8003</v>
          </cell>
          <cell r="B247" t="str">
            <v>ja</v>
          </cell>
          <cell r="C247" t="str">
            <v>HP70%以上 ウィルス無効</v>
          </cell>
          <cell r="D247" t="str">
            <v>残りHPが70%以上で自身にかかるウィルスを無効化する</v>
          </cell>
        </row>
        <row r="248">
          <cell r="A248">
            <v>9000</v>
          </cell>
          <cell r="B248" t="str">
            <v>ja</v>
          </cell>
          <cell r="C248" t="str">
            <v>ハップルチャレンジ ダメージUP</v>
          </cell>
          <cell r="D248" t="str">
            <v>ハップルチャレンジ内で自身の全ての攻撃の威力をUP</v>
          </cell>
        </row>
        <row r="249">
          <cell r="A249">
            <v>9001</v>
          </cell>
          <cell r="B249" t="str">
            <v>ja</v>
          </cell>
          <cell r="C249" t="str">
            <v>クロネッカーチャレンジ ダメージUP</v>
          </cell>
          <cell r="D249" t="str">
            <v>クロネッカーチャレンジ内で自身の全ての攻撃の威力をUP</v>
          </cell>
        </row>
        <row r="250">
          <cell r="A250">
            <v>9002</v>
          </cell>
          <cell r="B250" t="str">
            <v>ja</v>
          </cell>
          <cell r="C250" t="str">
            <v>クロネッカーチャレンジ ダメージUP</v>
          </cell>
          <cell r="D250" t="str">
            <v>クロネッカーチャレンジ内で自身の全ての攻撃+カウンターの威力をUP</v>
          </cell>
        </row>
        <row r="251">
          <cell r="A251">
            <v>9003</v>
          </cell>
          <cell r="B251" t="str">
            <v>ja</v>
          </cell>
          <cell r="C251" t="str">
            <v>オイラーチャレンジ ダメージUP</v>
          </cell>
          <cell r="D251" t="str">
            <v>オイラーチャレンジ内で自身の全ての攻撃の威力をUP</v>
          </cell>
        </row>
        <row r="252">
          <cell r="A252">
            <v>9004</v>
          </cell>
          <cell r="B252" t="str">
            <v>ja</v>
          </cell>
          <cell r="C252" t="str">
            <v>オイラーチャレンジ ダメージ究極UP</v>
          </cell>
          <cell r="D252" t="str">
            <v>オイラーチャレンジ内で自身の全ての攻撃の威力を究極UP</v>
          </cell>
        </row>
        <row r="253">
          <cell r="A253">
            <v>119402</v>
          </cell>
          <cell r="B253" t="str">
            <v>ja</v>
          </cell>
          <cell r="C253" t="str">
            <v>ハロウィンナイトパニック！ 威力UP</v>
          </cell>
          <cell r="D253" t="str">
            <v>ハロウィンナイトパニック！内で自身の全ての攻撃の威力を究極UP</v>
          </cell>
        </row>
        <row r="254">
          <cell r="A254">
            <v>500801</v>
          </cell>
          <cell r="B254" t="str">
            <v>ja</v>
          </cell>
          <cell r="C254" t="str">
            <v>パネルブレイク35 攻撃力小UP</v>
          </cell>
          <cell r="D254" t="str">
            <v>自身が先頭の時、1ターンの間に合計35個以上パネルを破壊した場合に攻撃力小UP</v>
          </cell>
        </row>
        <row r="255">
          <cell r="A255">
            <v>808082</v>
          </cell>
          <cell r="B255" t="str">
            <v>ja</v>
          </cell>
          <cell r="C255" t="str">
            <v>Cパネルドロップ</v>
          </cell>
          <cell r="D255" t="str">
            <v>自身が先頭の時、低確率でCパネルをドロップ</v>
          </cell>
        </row>
        <row r="256">
          <cell r="A256">
            <v>900000</v>
          </cell>
          <cell r="B256" t="str">
            <v>ja</v>
          </cell>
          <cell r="C256" t="str">
            <v>フィーバー100 プロテクトブレイク</v>
          </cell>
          <cell r="D256" t="str">
            <v>フィーバーゲージが100％以上の時、1ターンプロテクトブレイク</v>
          </cell>
        </row>
        <row r="257">
          <cell r="A257">
            <v>900001</v>
          </cell>
          <cell r="B257" t="str">
            <v>ja</v>
          </cell>
          <cell r="C257" t="str">
            <v>フィーバー100 お邪魔ブレイク</v>
          </cell>
          <cell r="D257" t="str">
            <v>フィーバーゲージが100％以上の時、1ターンお邪魔ブレイク</v>
          </cell>
        </row>
        <row r="258">
          <cell r="A258">
            <v>900402</v>
          </cell>
          <cell r="B258" t="str">
            <v>ja</v>
          </cell>
          <cell r="C258" t="str">
            <v>バリア3500</v>
          </cell>
          <cell r="D258" t="str">
            <v>戦闘開始時に、自身への直接ダメージを3500まで防ぐバリアを一度だけ展開(バリアは破壊されると復活しない)</v>
          </cell>
        </row>
        <row r="259">
          <cell r="A259">
            <v>810202</v>
          </cell>
          <cell r="B259" t="str">
            <v>ja</v>
          </cell>
          <cell r="C259" t="str">
            <v>パネルブレイク50 ダメージ軽減</v>
          </cell>
          <cell r="D259" t="str">
            <v>自身が先頭の時、1ターンの間に合計50個以上パネルを破壊した場合敵からのダメージを15%軽減（1ターンに1度だけ発動）</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topLeftCell="J1" workbookViewId="0">
      <selection activeCell="R3" sqref="R3"/>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317</v>
      </c>
      <c r="B2" s="105" t="s">
        <v>129</v>
      </c>
      <c r="C2" s="162" t="s">
        <v>318</v>
      </c>
      <c r="D2" s="105" t="s">
        <v>128</v>
      </c>
      <c r="E2" s="104" t="str">
        <f>B2&amp;C2&amp;D2</f>
        <v>units_Challengeunitsub01.tmp</v>
      </c>
      <c r="F2" s="105" t="s">
        <v>124</v>
      </c>
      <c r="G2" s="59" t="s">
        <v>17</v>
      </c>
      <c r="H2" s="60" t="s">
        <v>96</v>
      </c>
      <c r="I2" s="60" t="s">
        <v>1</v>
      </c>
      <c r="J2" s="60" t="s">
        <v>3</v>
      </c>
      <c r="K2" s="60" t="s">
        <v>2</v>
      </c>
      <c r="L2" s="60" t="s">
        <v>98</v>
      </c>
      <c r="M2" s="60" t="s">
        <v>20</v>
      </c>
      <c r="N2" s="60" t="s">
        <v>103</v>
      </c>
      <c r="O2" s="60" t="s">
        <v>101</v>
      </c>
      <c r="P2" s="60" t="s">
        <v>39</v>
      </c>
      <c r="Q2" s="60" t="s">
        <v>57</v>
      </c>
      <c r="R2" s="105" t="s">
        <v>358</v>
      </c>
      <c r="S2" s="105"/>
      <c r="T2" s="105"/>
      <c r="U2" s="105"/>
      <c r="V2" s="105"/>
      <c r="W2" s="105"/>
    </row>
    <row r="3" spans="1:29" x14ac:dyDescent="0.15">
      <c r="A3" s="105" t="s">
        <v>317</v>
      </c>
      <c r="B3" s="105" t="s">
        <v>294</v>
      </c>
      <c r="C3" s="162" t="s">
        <v>318</v>
      </c>
      <c r="D3" s="105" t="s">
        <v>128</v>
      </c>
      <c r="E3" s="104" t="str">
        <f>B3&amp;C3&amp;D3</f>
        <v>fork_awake_units_Challengeunitsub01.tmp</v>
      </c>
      <c r="F3" s="105" t="s">
        <v>295</v>
      </c>
      <c r="G3" s="59" t="s">
        <v>17</v>
      </c>
      <c r="H3" s="60" t="s">
        <v>296</v>
      </c>
      <c r="I3" s="60" t="s">
        <v>297</v>
      </c>
      <c r="J3" s="60" t="s">
        <v>298</v>
      </c>
      <c r="K3" s="108"/>
      <c r="L3" s="108"/>
      <c r="M3" s="108"/>
      <c r="N3" s="108"/>
      <c r="O3" s="108"/>
      <c r="P3" s="108"/>
      <c r="Q3" s="108"/>
      <c r="R3" s="108"/>
      <c r="S3" s="108"/>
      <c r="T3" s="108"/>
      <c r="U3" s="108"/>
      <c r="V3" s="108"/>
      <c r="W3" s="108"/>
    </row>
    <row r="4" spans="1:29" x14ac:dyDescent="0.15">
      <c r="A4" s="105" t="s">
        <v>317</v>
      </c>
      <c r="B4" s="105" t="s">
        <v>130</v>
      </c>
      <c r="C4" s="162" t="s">
        <v>318</v>
      </c>
      <c r="D4" s="105" t="s">
        <v>128</v>
      </c>
      <c r="E4" s="104" t="str">
        <f>B4&amp;C4&amp;D4</f>
        <v>awake_materials_Challengeunitsub01.tmp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317</v>
      </c>
      <c r="B5" s="105" t="s">
        <v>293</v>
      </c>
      <c r="C5" s="162" t="s">
        <v>318</v>
      </c>
      <c r="D5" s="105" t="s">
        <v>128</v>
      </c>
      <c r="E5" s="104" t="str">
        <f>B5&amp;C5&amp;D5</f>
        <v>fork_awake_materials_Challengeunitsub01.tmp</v>
      </c>
      <c r="F5" s="105" t="s">
        <v>123</v>
      </c>
      <c r="G5" s="181" t="s">
        <v>299</v>
      </c>
      <c r="H5" s="181" t="s">
        <v>300</v>
      </c>
      <c r="I5" s="181" t="s">
        <v>36</v>
      </c>
      <c r="J5" s="181" t="s">
        <v>37</v>
      </c>
      <c r="K5" s="181" t="s">
        <v>301</v>
      </c>
      <c r="L5" s="181" t="s">
        <v>302</v>
      </c>
      <c r="M5" s="108"/>
      <c r="N5" s="108"/>
      <c r="O5" s="108"/>
      <c r="P5" s="108"/>
      <c r="Q5" s="108"/>
      <c r="R5" s="108"/>
      <c r="S5" s="108"/>
      <c r="T5" s="108"/>
      <c r="U5" s="108"/>
      <c r="V5" s="108"/>
      <c r="W5" s="108"/>
    </row>
    <row r="6" spans="1:29" x14ac:dyDescent="0.15">
      <c r="A6" s="105" t="s">
        <v>317</v>
      </c>
      <c r="B6" s="105" t="s">
        <v>131</v>
      </c>
      <c r="C6" s="162" t="s">
        <v>318</v>
      </c>
      <c r="D6" s="105" t="s">
        <v>132</v>
      </c>
      <c r="E6" s="104" t="str">
        <f t="shared" ref="E6" si="0">B6&amp;C6&amp;D6</f>
        <v>unit_levels_calc_Challengeunitsub01.tmp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317</v>
      </c>
      <c r="B7" s="105" t="s">
        <v>143</v>
      </c>
      <c r="C7" s="162" t="s">
        <v>318</v>
      </c>
      <c r="D7" s="105" t="s">
        <v>144</v>
      </c>
      <c r="E7" s="104" t="str">
        <f>B7&amp;C7&amp;D7</f>
        <v>unit_skills_data_Challengeunitsub01.tmp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317</v>
      </c>
      <c r="B8" s="105" t="s">
        <v>149</v>
      </c>
      <c r="C8" s="162" t="s">
        <v>318</v>
      </c>
      <c r="D8" s="105" t="s">
        <v>128</v>
      </c>
      <c r="E8" s="104" t="str">
        <f>B8&amp;C8&amp;D8</f>
        <v>unit_skills_i18n_Challengeunitsub01.tmp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317</v>
      </c>
      <c r="B9" s="105" t="s">
        <v>153</v>
      </c>
      <c r="C9" s="162" t="s">
        <v>318</v>
      </c>
      <c r="D9" s="105" t="s">
        <v>154</v>
      </c>
      <c r="E9" s="104" t="str">
        <f>B9&amp;C9&amp;D9</f>
        <v>crash_skills_data_Challengeunitsub01.tmp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317</v>
      </c>
      <c r="B10" s="105" t="s">
        <v>157</v>
      </c>
      <c r="C10" s="162" t="s">
        <v>318</v>
      </c>
      <c r="D10" s="105" t="s">
        <v>158</v>
      </c>
      <c r="E10" s="104" t="str">
        <f t="shared" ref="E10" si="1">B10&amp;C10&amp;D10</f>
        <v>crash_skills_i18n_Challengeunitsub01.tmp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317</v>
      </c>
      <c r="B11" s="108" t="s">
        <v>135</v>
      </c>
      <c r="C11" s="162" t="s">
        <v>318</v>
      </c>
      <c r="D11" s="105" t="s">
        <v>158</v>
      </c>
      <c r="E11" s="104" t="str">
        <f t="shared" ref="E11:E12" si="2">B11&amp;C11&amp;D11</f>
        <v>unit_serifs_data_Challengeunitsub01.tmp</v>
      </c>
      <c r="F11" s="108" t="s">
        <v>137</v>
      </c>
      <c r="G11" s="111" t="s">
        <v>138</v>
      </c>
      <c r="H11" s="112" t="s">
        <v>139</v>
      </c>
      <c r="I11" s="112" t="s">
        <v>133</v>
      </c>
      <c r="J11" s="110" t="s">
        <v>190</v>
      </c>
      <c r="K11" s="105"/>
      <c r="L11" s="105"/>
      <c r="M11" s="105"/>
      <c r="N11" s="105"/>
      <c r="O11" s="105"/>
      <c r="P11" s="105"/>
      <c r="Q11" s="105"/>
      <c r="R11" s="105"/>
      <c r="S11" s="105"/>
      <c r="T11" s="105"/>
      <c r="U11" s="105"/>
      <c r="V11" s="105"/>
      <c r="W11" s="105"/>
    </row>
    <row r="12" spans="1:29" x14ac:dyDescent="0.15">
      <c r="A12" s="105" t="s">
        <v>317</v>
      </c>
      <c r="B12" s="108" t="s">
        <v>136</v>
      </c>
      <c r="C12" s="162" t="s">
        <v>318</v>
      </c>
      <c r="D12" s="105" t="s">
        <v>158</v>
      </c>
      <c r="E12" s="104" t="str">
        <f t="shared" si="2"/>
        <v>unit_serifs_i18n_Challengeunitsub01.tmp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317</v>
      </c>
      <c r="B13" s="105" t="s">
        <v>253</v>
      </c>
      <c r="C13" s="162" t="s">
        <v>318</v>
      </c>
      <c r="D13" s="105" t="s">
        <v>254</v>
      </c>
      <c r="E13" s="104" t="str">
        <f>B13&amp;C13&amp;D13</f>
        <v>abilities_Challengeunitsub01.tmp</v>
      </c>
      <c r="F13" s="105" t="s">
        <v>255</v>
      </c>
      <c r="G13" s="163" t="s">
        <v>256</v>
      </c>
      <c r="H13" s="163" t="s">
        <v>257</v>
      </c>
      <c r="I13" s="163" t="s">
        <v>258</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317</v>
      </c>
      <c r="B14" s="105" t="s">
        <v>259</v>
      </c>
      <c r="C14" s="162" t="s">
        <v>318</v>
      </c>
      <c r="D14" s="105" t="s">
        <v>128</v>
      </c>
      <c r="E14" s="104" t="str">
        <f>B14&amp;C14&amp;D14</f>
        <v>abilities_i18n_Challengeunitsub01.tmp</v>
      </c>
      <c r="F14" s="105" t="s">
        <v>260</v>
      </c>
      <c r="G14" s="163" t="s">
        <v>256</v>
      </c>
      <c r="H14" s="163" t="s">
        <v>141</v>
      </c>
      <c r="I14" s="163" t="s">
        <v>261</v>
      </c>
      <c r="J14" s="163" t="s">
        <v>152</v>
      </c>
      <c r="K14" s="164"/>
      <c r="L14" s="105"/>
      <c r="M14" s="105"/>
      <c r="N14" s="105"/>
      <c r="O14" s="105"/>
      <c r="P14" s="105"/>
      <c r="Q14" s="105"/>
      <c r="R14" s="105"/>
      <c r="S14" s="105"/>
      <c r="T14" s="105"/>
      <c r="U14" s="105"/>
      <c r="V14" s="105"/>
      <c r="W14" s="105"/>
      <c r="X14" s="105"/>
      <c r="Y14" s="105"/>
      <c r="Z14" s="105"/>
      <c r="AA14" s="105"/>
      <c r="AB14" s="105"/>
      <c r="AC14" s="105"/>
    </row>
    <row r="15" spans="1:29" x14ac:dyDescent="0.15">
      <c r="A15" s="105" t="s">
        <v>317</v>
      </c>
      <c r="B15" s="105" t="s">
        <v>262</v>
      </c>
      <c r="C15" s="162" t="s">
        <v>318</v>
      </c>
      <c r="D15" s="105" t="s">
        <v>128</v>
      </c>
      <c r="E15" s="104" t="str">
        <f>B15&amp;C15&amp;D15</f>
        <v>unit_abilities_Challengeunitsub01.tmp</v>
      </c>
      <c r="F15" s="105" t="s">
        <v>263</v>
      </c>
      <c r="G15" s="163" t="s">
        <v>138</v>
      </c>
      <c r="H15" s="165" t="s">
        <v>264</v>
      </c>
      <c r="I15" s="165" t="s">
        <v>265</v>
      </c>
      <c r="J15" s="166" t="s">
        <v>266</v>
      </c>
      <c r="K15" s="163" t="s">
        <v>267</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3"/>
  <sheetViews>
    <sheetView showGridLines="0" workbookViewId="0">
      <pane xSplit="9" ySplit="1" topLeftCell="N2" activePane="bottomRight" state="frozen"/>
      <selection pane="topRight" activeCell="J1" sqref="J1"/>
      <selection pane="bottomLeft" activeCell="A3" sqref="A3"/>
      <selection pane="bottomRight" activeCell="BT3" sqref="BT3"/>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11" t="s">
        <v>359</v>
      </c>
    </row>
    <row r="2" spans="1:70" ht="26" customHeight="1" x14ac:dyDescent="0.15">
      <c r="A2" s="186">
        <v>1214</v>
      </c>
      <c r="B2" s="53" t="str">
        <f ca="1">VLOOKUP($A2,OFFSET([1]characters!$A$1,0,0,COUNTA([1]characters!$A:$A),MATCH(B$1,[1]characters!$1:$1,0)-MATCH($A$1,[1]characters!$1:$1,0)+1),MATCH(B$1,[1]characters!$1:$1,0)-MATCH($A$1,[1]characters!$1:$1,0)+1,FALSE)</f>
        <v>アルテミス</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PremiumSSw</v>
      </c>
      <c r="I2" s="53" t="str">
        <f ca="1">VLOOKUP($A2,OFFSET([1]characters!$A$1,0,0,COUNTA([1]characters!$A:$A),MATCH(I$1,[1]characters!$1:$1,0)-MATCH($A$1,[1]characters!$1:$1,0)+1),MATCH(I$1,[1]characters!$1:$1,0)-MATCH($A$1,[1]characters!$1:$1,0)+1,FALSE)</f>
        <v>yellow</v>
      </c>
      <c r="J2" s="10">
        <f ca="1">VLOOKUP(I2,[1]属性!$A:$E,2,FALSE)</f>
        <v>0.98</v>
      </c>
      <c r="K2" s="10">
        <f ca="1">VLOOKUP(I2,[1]属性!$A:$E,3,FALSE)</f>
        <v>1.01</v>
      </c>
      <c r="L2" s="10">
        <f ca="1">VLOOKUP(I2,[1]属性!$A:$E,4,FALSE)</f>
        <v>1</v>
      </c>
      <c r="M2" s="10">
        <f ca="1">VLOOKUP(I2,[1]属性!$A:$E,5,FALSE)</f>
        <v>1.01</v>
      </c>
      <c r="N2" s="10">
        <f ca="1">INDEX(コスト!$A$1:$I$21,MATCH(H2,コスト!$A$1:$A$21,FALSE),MATCH(G2,コスト!$A$1:$I$1,FALSE))</f>
        <v>38</v>
      </c>
      <c r="O2" s="10">
        <f ca="1">INDEX(レベル!$A$1:$I$22,MATCH(H2,レベル!$A$1:$A$22,FALSE),MATCH(G2,レベル!$A$1:$I$1,FALSE))</f>
        <v>80</v>
      </c>
      <c r="P2" s="44">
        <f t="shared" ref="P2:P3" ca="1" si="0">IF(G2 &gt;= 6, 99,G2*15)</f>
        <v>75</v>
      </c>
      <c r="Q2" s="53" t="str">
        <f ca="1">VLOOKUP($A2,OFFSET([1]characters!$A$1,0,0,COUNTA([1]characters!$A:$A),MATCH(Q$1,[1]characters!$1:$1,0)-MATCH($A$1,[1]characters!$1:$1,0)+1),MATCH(Q$1,[1]characters!$1:$1,0)-MATCH($A$1,[1]characters!$1:$1,0)+1,FALSE)</f>
        <v>balance</v>
      </c>
      <c r="R2" s="5" t="str">
        <f ca="1">VLOOKUP(Q2,[1]character_type_i18n!$A:$H,3,FALSE)</f>
        <v>バランスタイプ</v>
      </c>
      <c r="S2" s="10">
        <f ca="1">VLOOKUP(Q2,[1]character_type_i18n!$A:$H,4,FALSE)</f>
        <v>1</v>
      </c>
      <c r="T2" s="10">
        <f ca="1">VLOOKUP(Q2,[1]character_type_i18n!$A:$H,5,FALSE)</f>
        <v>1</v>
      </c>
      <c r="U2" s="10">
        <f ca="1">VLOOKUP(Q2,[1]character_type_i18n!$A:$H,6,FALSE)</f>
        <v>1</v>
      </c>
      <c r="V2" s="10">
        <f ca="1">VLOOKUP(Q2,[1]character_type_i18n!$A:$H,7,FALSE)</f>
        <v>1</v>
      </c>
      <c r="W2" s="53" t="str">
        <f ca="1">VLOOKUP($A2,OFFSET([1]characters!$A$1,0,0,COUNTA([1]characters!$A:$A),MATCH(W$1,[1]characters!$1:$1,0)-MATCH($A$1,[1]characters!$1:$1,0)+1),MATCH(W$1,[1]characters!$1:$1,0)-MATCH($A$1,[1]characters!$1:$1,0)+1,FALSE)</f>
        <v>god</v>
      </c>
      <c r="X2" s="5" t="str">
        <f ca="1">VLOOKUP(W2,[1]character_tribe_i18n!$A:$H,3,FALSE)</f>
        <v>ゴッド</v>
      </c>
      <c r="Y2" s="53" t="str">
        <f ca="1">VLOOKUP($A2,OFFSET([1]characters!$A$1,0,0,COUNTA([1]characters!$A:$A),MATCH(Y$1,[1]characters!$1:$1,0)-MATCH($A$1,[1]characters!$1:$1,0)+1),MATCH(Y$1,[1]characters!$1:$1,0)-MATCH($A$1,[1]characters!$1:$1,0)+1,FALSE)</f>
        <v>animal</v>
      </c>
      <c r="Z2" s="5" t="str">
        <f ca="1">VLOOKUP(Y2,[1]character_tribe_i18n!$A:$H,3,FALSE)</f>
        <v>アニマル</v>
      </c>
      <c r="AA2" s="10">
        <f ca="1">VLOOKUP(W2,[1]character_tribe_i18n!$A:$H,4,FALSE)</f>
        <v>0.96</v>
      </c>
      <c r="AB2" s="10">
        <f ca="1">VLOOKUP(W2,[1]character_tribe_i18n!$A:$H,5,FALSE)</f>
        <v>1.02</v>
      </c>
      <c r="AC2" s="10">
        <f ca="1">VLOOKUP(W2,[1]character_tribe_i18n!$A:$H,6,FALSE)</f>
        <v>1</v>
      </c>
      <c r="AD2" s="10">
        <f ca="1">VLOOKUP(W2,[1]character_tribe_i18n!$A:$H,7,FALSE)</f>
        <v>1.02</v>
      </c>
      <c r="AE2" s="187">
        <v>1215</v>
      </c>
      <c r="AF2" s="58" t="str">
        <f ca="1">IF(AE2="NULL","",VLOOKUP($AE2,OFFSET([1]characters!$A$1,0,0,COUNTA([1]characters!$A:$A),MATCH(AF$1,[1]characters!$1:$1,0)-MATCH($A$1,[1]characters!$1:$1,0)+1),MATCH(AF$1,[1]characters!$1:$1,0)-MATCH($A$1,[1]characters!$1:$1,0)+1,FALSE))</f>
        <v>穿潮の雷月神 アルテミス</v>
      </c>
      <c r="AG2" s="187">
        <v>1214</v>
      </c>
      <c r="AH2" s="58" t="str">
        <f ca="1">VLOOKUP($AG2,OFFSET([1]characters!$A$1,0,0,COUNTA([1]characters!$A:$A),MATCH(AH$1,[1]characters!$1:$1,0)-MATCH($A$1,[1]characters!$1:$1,0)+1),MATCH(AH$1,[1]characters!$1:$1,0)-MATCH($A$1,[1]characters!$1:$1,0)+1,FALSE)</f>
        <v>アルテミス</v>
      </c>
      <c r="AI2" s="10">
        <f ca="1">IF(AE2="NULL","NULL",VLOOKUP(G2,ビット!$A$2:$B$7,2))</f>
        <v>200000</v>
      </c>
      <c r="AJ2" s="6">
        <v>2</v>
      </c>
      <c r="AK2" s="7" t="str">
        <f t="shared" ref="AK2" si="1">IF(AJ2=1,"早熟",IF(AJ2=2,"普通",IF(AJ2=3,"晩成","")))</f>
        <v>普通</v>
      </c>
      <c r="AL2" s="10" t="str">
        <f ca="1">INDEX(経験値!$A$1:$I$21,MATCH(H2,経験値!$A$1:$A$21,FALSE),MATCH(G2,経験値!$A$1:$I$1,FALSE))</f>
        <v>required_exp_200</v>
      </c>
      <c r="AM2" s="8">
        <f ca="1">VLOOKUP(G2,経験値!$A$28:$B$32,2)</f>
        <v>6400</v>
      </c>
      <c r="AN2" s="16">
        <f ca="1">VLOOKUP(G2,ビット!$G$2:$H$7,2)</f>
        <v>900</v>
      </c>
      <c r="AO2" s="41"/>
      <c r="AP2" s="63">
        <v>1214</v>
      </c>
      <c r="AQ2" s="53" t="str">
        <f ca="1">VLOOKUP($AP2,OFFSET(unit_skills!$A$1,0,0,COUNTA(unit_skills!$A:$A),MATCH(AQ$1,unit_skills!$1:$1,0)-MATCH($AP$1,unit_skills!$1:$1,0)+1),MATCH(AQ$1,unit_skills!$1:$1,0)-MATCH($AP$1,unit_skills!$1:$1,0)+1,FALSE)</f>
        <v>月艦アルテミス通信！</v>
      </c>
      <c r="AR2" s="53" t="str">
        <f ca="1">VLOOKUP($AP2,OFFSET(unit_skills!$A$1,0,0,COUNTA(unit_skills!$A:$A),MATCH(AR$1,unit_skills!$1:$1,0)-MATCH($AP$1,unit_skills!$1:$1,0)+1),MATCH(AR$1,unit_skills!$1:$1,0)-MATCH($AP$1,unit_skills!$1:$1,0)+1,FALSE)</f>
        <v>赤パネルをCパネルに変換＋1ターンの間黄属性の攻撃力を超大UPし、防御力大UP</v>
      </c>
      <c r="AS2" s="53">
        <f ca="1">VLOOKUP($AP2,OFFSET(unit_skills!$A$1,0,0,COUNTA(unit_skills!$A:$A),MATCH(AS$1,unit_skills!$1:$1,0)-MATCH($AP$1,unit_skills!$1:$1,0)+1),MATCH(AS$1,unit_skills!$1:$1,0)-MATCH($AP$1,unit_skills!$1:$1,0)+1,FALSE)</f>
        <v>0</v>
      </c>
      <c r="AT2" s="63">
        <v>1214</v>
      </c>
      <c r="AU2" s="53" t="str">
        <f ca="1">VLOOKUP($AT2,OFFSET(crash_skills!$A$1,0,0,COUNTA(crash_skills!$A:$A),MATCH(AU$1,crash_skills!$1:$1,0)-MATCH($AT$1,crash_skills!$1:$1,0)+1),MATCH(AU$1,crash_skills!$1:$1,0)-MATCH($AT$1,crash_skills!$1:$1,0)+1,FALSE)</f>
        <v>雷月予告！</v>
      </c>
      <c r="AV2" s="53" t="str">
        <f ca="1">VLOOKUP($AT2,OFFSET(crash_skills!$A$1,0,0,COUNTA(crash_skills!$A:$A),MATCH(AV$1,crash_skills!$1:$1,0)-MATCH($AT$1,crash_skills!$1:$1,0)+1),MATCH(AV$1,crash_skills!$1:$1,0)-MATCH($AT$1,crash_skills!$1:$1,0)+1,FALSE)</f>
        <v>1体に特大ダメージ</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1.1000000000000001</v>
      </c>
      <c r="AZ2" s="64">
        <v>1</v>
      </c>
      <c r="BA2" s="64">
        <v>0</v>
      </c>
      <c r="BB2" s="64">
        <v>0.9</v>
      </c>
      <c r="BC2" s="10">
        <f ca="1">INDEX('RC6SV'!$A$1:$G$21,MATCH(H2,'RC6SV'!$A$1:$A$21,FALSE),MATCH(G2,'RC6SV'!$A$1:$G$1,FALSE))</f>
        <v>10000</v>
      </c>
      <c r="BD2" s="44">
        <f t="shared" ref="BD2" ca="1" si="2">ROUND(BC2*IF(AJ2=1,0.95,IF(AJ2=2,1,IF(AJ2,1.05,0))),0)</f>
        <v>10000</v>
      </c>
      <c r="BE2" s="10">
        <f ca="1">ROUND(IFERROR(INDIRECT(ADDRESS(MATCH($A2,$AE:$AE,0),MATCH($BC$1,$1:$1,0))),0),0)</f>
        <v>0</v>
      </c>
      <c r="BF2" s="10">
        <f ca="1">ROUND(IFERROR(INDIRECT(ADDRESS(MATCH($A2,$AE:$AE,0),10)),INDIRECT(ADDRESS(MATCH($A2,$A:$A,0),10))),0)</f>
        <v>1</v>
      </c>
      <c r="BG2" s="15">
        <f ca="1">IF($BE2&lt;=0,ROUND(BK2*0.5,0), ROUND($BE2*S2*AA2*J2*AY2*0.8*[1]ステータス!$B$2,0))</f>
        <v>2587</v>
      </c>
      <c r="BH2" s="15">
        <f ca="1">IF($BE2&lt;=0,ROUND(BL2*0.5,0), ROUND($BE2*T2*AB2*K2*AZ2*0.8*[1]ステータス!$C$2,0))</f>
        <v>1546</v>
      </c>
      <c r="BI2" s="15">
        <f ca="1">IF($BE2&lt;=0,ROUND(BM2*0.5,0), ROUND($BE2*U2*AC2*L2*BA2*0.8*[1]ステータス!$D$2,0))</f>
        <v>0</v>
      </c>
      <c r="BJ2" s="15">
        <f ca="1">IF($BE2&lt;=0,ROUND(BN2*0.5,0), ROUND($BE2*V2*AD2*M2*BB2*0.8*[1]ステータス!$E$2,0))</f>
        <v>1159</v>
      </c>
      <c r="BK2" s="10">
        <f ca="1">ROUND(BD2*S2*AA2*J2*AY2*[1]ステータス!$B$2,0)</f>
        <v>5174</v>
      </c>
      <c r="BL2" s="10">
        <f ca="1">ROUND(BD2*T2*AB2*K2*AZ2*[1]ステータス!$C$2,0)</f>
        <v>3091</v>
      </c>
      <c r="BM2" s="10">
        <f ca="1">ROUND(BD2*U2*AC2*L2*BA2*[1]ステータス!$D$2,0)</f>
        <v>0</v>
      </c>
      <c r="BN2" s="10">
        <f ca="1">ROUND(BD2*V2*AD2*M2*BB2*[1]ステータス!$E$2,0)</f>
        <v>2318</v>
      </c>
      <c r="BO2" s="9">
        <v>0</v>
      </c>
      <c r="BP2" s="9">
        <v>1</v>
      </c>
      <c r="BQ2" s="36" t="s">
        <v>47</v>
      </c>
      <c r="BR2" s="11">
        <f ca="1">VLOOKUP(H2,ghosts_label!$A$2:$B$19,2,FALSE)</f>
        <v>6000</v>
      </c>
    </row>
    <row r="3" spans="1:70" ht="26" customHeight="1" x14ac:dyDescent="0.15">
      <c r="A3" s="186">
        <v>1215</v>
      </c>
      <c r="B3" s="53" t="str">
        <f ca="1">VLOOKUP($A3,OFFSET([1]characters!$A$1,0,0,COUNTA([1]characters!$A:$A),MATCH(B$1,[1]characters!$1:$1,0)-MATCH($A$1,[1]characters!$1:$1,0)+1),MATCH(B$1,[1]characters!$1:$1,0)-MATCH($A$1,[1]characters!$1:$1,0)+1,FALSE)</f>
        <v>穿潮の雷月神 アルテミス</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PremiumSSw</v>
      </c>
      <c r="I3" s="53" t="str">
        <f ca="1">VLOOKUP($A3,OFFSET([1]characters!$A$1,0,0,COUNTA([1]characters!$A:$A),MATCH(I$1,[1]characters!$1:$1,0)-MATCH($A$1,[1]characters!$1:$1,0)+1),MATCH(I$1,[1]characters!$1:$1,0)-MATCH($A$1,[1]characters!$1:$1,0)+1,FALSE)</f>
        <v>yellow</v>
      </c>
      <c r="J3" s="10">
        <f ca="1">VLOOKUP(I3,[1]属性!$A:$E,2,FALSE)</f>
        <v>0.98</v>
      </c>
      <c r="K3" s="10">
        <f ca="1">VLOOKUP(I3,[1]属性!$A:$E,3,FALSE)</f>
        <v>1.01</v>
      </c>
      <c r="L3" s="10">
        <f ca="1">VLOOKUP(I3,[1]属性!$A:$E,4,FALSE)</f>
        <v>1</v>
      </c>
      <c r="M3" s="10">
        <f ca="1">VLOOKUP(I3,[1]属性!$A:$E,5,FALSE)</f>
        <v>1.01</v>
      </c>
      <c r="N3" s="10">
        <f ca="1">INDEX(コスト!$A$1:$I$21,MATCH(H3,コスト!$A$1:$A$21,FALSE),MATCH(G3,コスト!$A$1:$I$1,FALSE))</f>
        <v>53</v>
      </c>
      <c r="O3" s="10">
        <f ca="1">INDEX(レベル!$A$1:$I$22,MATCH(H3,レベル!$A$1:$A$22,FALSE),MATCH(G3,レベル!$A$1:$I$1,FALSE))</f>
        <v>99</v>
      </c>
      <c r="P3" s="44">
        <f t="shared" ca="1" si="0"/>
        <v>99</v>
      </c>
      <c r="Q3" s="53" t="str">
        <f ca="1">VLOOKUP($A3,OFFSET([1]characters!$A$1,0,0,COUNTA([1]characters!$A:$A),MATCH(Q$1,[1]characters!$1:$1,0)-MATCH($A$1,[1]characters!$1:$1,0)+1),MATCH(Q$1,[1]characters!$1:$1,0)-MATCH($A$1,[1]characters!$1:$1,0)+1,FALSE)</f>
        <v>balance</v>
      </c>
      <c r="R3" s="5" t="str">
        <f ca="1">VLOOKUP(Q3,[1]character_type_i18n!$A:$H,3,FALSE)</f>
        <v>バランスタイプ</v>
      </c>
      <c r="S3" s="10">
        <f ca="1">VLOOKUP(Q3,[1]character_type_i18n!$A:$H,4,FALSE)</f>
        <v>1</v>
      </c>
      <c r="T3" s="10">
        <f ca="1">VLOOKUP(Q3,[1]character_type_i18n!$A:$H,5,FALSE)</f>
        <v>1</v>
      </c>
      <c r="U3" s="10">
        <f ca="1">VLOOKUP(Q3,[1]character_type_i18n!$A:$H,6,FALSE)</f>
        <v>1</v>
      </c>
      <c r="V3" s="10">
        <f ca="1">VLOOKUP(Q3,[1]character_type_i18n!$A:$H,7,FALSE)</f>
        <v>1</v>
      </c>
      <c r="W3" s="53" t="str">
        <f ca="1">VLOOKUP($A3,OFFSET([1]characters!$A$1,0,0,COUNTA([1]characters!$A:$A),MATCH(W$1,[1]characters!$1:$1,0)-MATCH($A$1,[1]characters!$1:$1,0)+1),MATCH(W$1,[1]characters!$1:$1,0)-MATCH($A$1,[1]characters!$1:$1,0)+1,FALSE)</f>
        <v>god</v>
      </c>
      <c r="X3" s="5" t="str">
        <f ca="1">VLOOKUP(W3,[1]character_tribe_i18n!$A:$H,3,FALSE)</f>
        <v>ゴッド</v>
      </c>
      <c r="Y3" s="53" t="str">
        <f ca="1">VLOOKUP($A3,OFFSET([1]characters!$A$1,0,0,COUNTA([1]characters!$A:$A),MATCH(Y$1,[1]characters!$1:$1,0)-MATCH($A$1,[1]characters!$1:$1,0)+1),MATCH(Y$1,[1]characters!$1:$1,0)-MATCH($A$1,[1]characters!$1:$1,0)+1,FALSE)</f>
        <v>animal</v>
      </c>
      <c r="Z3" s="5" t="str">
        <f ca="1">VLOOKUP(Y3,[1]character_tribe_i18n!$A:$H,3,FALSE)</f>
        <v>アニマル</v>
      </c>
      <c r="AA3" s="10">
        <f ca="1">VLOOKUP(W3,[1]character_tribe_i18n!$A:$H,4,FALSE)</f>
        <v>0.96</v>
      </c>
      <c r="AB3" s="10">
        <f ca="1">VLOOKUP(W3,[1]character_tribe_i18n!$A:$H,5,FALSE)</f>
        <v>1.02</v>
      </c>
      <c r="AC3" s="10">
        <f ca="1">VLOOKUP(W3,[1]character_tribe_i18n!$A:$H,6,FALSE)</f>
        <v>1</v>
      </c>
      <c r="AD3" s="10">
        <f ca="1">VLOOKUP(W3,[1]character_tribe_i18n!$A:$H,7,FALSE)</f>
        <v>1.02</v>
      </c>
      <c r="AE3" s="187" t="s">
        <v>183</v>
      </c>
      <c r="AF3" s="58" t="str">
        <f ca="1">IF(AE3="NULL","",VLOOKUP($AE3,OFFSET([1]characters!$A$1,0,0,COUNTA([1]characters!$A:$A),MATCH(AF$1,[1]characters!$1:$1,0)-MATCH($A$1,[1]characters!$1:$1,0)+1),MATCH(AF$1,[1]characters!$1:$1,0)-MATCH($A$1,[1]characters!$1:$1,0)+1,FALSE))</f>
        <v/>
      </c>
      <c r="AG3" s="187">
        <v>1214</v>
      </c>
      <c r="AH3" s="58" t="str">
        <f ca="1">VLOOKUP($AG3,OFFSET([1]characters!$A$1,0,0,COUNTA([1]characters!$A:$A),MATCH(AH$1,[1]characters!$1:$1,0)-MATCH($A$1,[1]characters!$1:$1,0)+1),MATCH(AH$1,[1]characters!$1:$1,0)-MATCH($A$1,[1]characters!$1:$1,0)+1,FALSE)</f>
        <v>アルテミス</v>
      </c>
      <c r="AI3" s="10" t="str">
        <f>IF(AE3="NULL","NULL",VLOOKUP(G3,ビット!$A$2:$B$7,2))</f>
        <v>NULL</v>
      </c>
      <c r="AJ3" s="6">
        <v>2</v>
      </c>
      <c r="AK3" s="7" t="str">
        <f t="shared" ref="AK3" si="3">IF(AJ3=1,"早熟",IF(AJ3=2,"普通",IF(AJ3=3,"晩成","")))</f>
        <v>普通</v>
      </c>
      <c r="AL3" s="10" t="str">
        <f ca="1">INDEX(経験値!$A$1:$I$21,MATCH(H3,経験値!$A$1:$A$21,FALSE),MATCH(G3,経験値!$A$1:$I$1,FALSE))</f>
        <v>required_exp_250</v>
      </c>
      <c r="AM3" s="8">
        <f ca="1">VLOOKUP(G3,経験値!$A$28:$B$32,2)</f>
        <v>6400</v>
      </c>
      <c r="AN3" s="16">
        <f ca="1">VLOOKUP(G3,ビット!$G$2:$H$7,2)</f>
        <v>900</v>
      </c>
      <c r="AO3" s="41"/>
      <c r="AP3" s="63">
        <v>1215</v>
      </c>
      <c r="AQ3" s="53" t="str">
        <f ca="1">VLOOKUP($AP3,OFFSET(unit_skills!$A$1,0,0,COUNTA(unit_skills!$A:$A),MATCH(AQ$1,unit_skills!$1:$1,0)-MATCH($AP$1,unit_skills!$1:$1,0)+1),MATCH(AQ$1,unit_skills!$1:$1,0)-MATCH($AP$1,unit_skills!$1:$1,0)+1,FALSE)</f>
        <v>月艦アルテミス通信特大号！</v>
      </c>
      <c r="AR3" s="53" t="str">
        <f ca="1">VLOOKUP($AP3,OFFSET(unit_skills!$A$1,0,0,COUNTA(unit_skills!$A:$A),MATCH(AR$1,unit_skills!$1:$1,0)-MATCH($AP$1,unit_skills!$1:$1,0)+1),MATCH(AR$1,unit_skills!$1:$1,0)-MATCH($AP$1,unit_skills!$1:$1,0)+1,FALSE)</f>
        <v>赤パネルをCパネルに変換＋2ターンの間黄属性の攻撃力を超大UPし、防御力特大UP</v>
      </c>
      <c r="AS3" s="53">
        <f ca="1">VLOOKUP($AP3,OFFSET(unit_skills!$A$1,0,0,COUNTA(unit_skills!$A:$A),MATCH(AS$1,unit_skills!$1:$1,0)-MATCH($AP$1,unit_skills!$1:$1,0)+1),MATCH(AS$1,unit_skills!$1:$1,0)-MATCH($AP$1,unit_skills!$1:$1,0)+1,FALSE)</f>
        <v>0</v>
      </c>
      <c r="AT3" s="63">
        <v>1215</v>
      </c>
      <c r="AU3" s="53" t="str">
        <f ca="1">VLOOKUP($AT3,OFFSET(crash_skills!$A$1,0,0,COUNTA(crash_skills!$A:$A),MATCH(AU$1,crash_skills!$1:$1,0)-MATCH($AT$1,crash_skills!$1:$1,0)+1),MATCH(AU$1,crash_skills!$1:$1,0)-MATCH($AT$1,crash_skills!$1:$1,0)+1,FALSE)</f>
        <v>特報・雷月予告！</v>
      </c>
      <c r="AV3" s="53" t="str">
        <f ca="1">VLOOKUP($AT3,OFFSET(crash_skills!$A$1,0,0,COUNTA(crash_skills!$A:$A),MATCH(AV$1,crash_skills!$1:$1,0)-MATCH($AT$1,crash_skills!$1:$1,0)+1),MATCH(AV$1,crash_skills!$1:$1,0)-MATCH($AT$1,crash_skills!$1:$1,0)+1,FALSE)</f>
        <v>1体に特大ダメージ+_x000D_1ターン全ユニットの回復力UP</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1.1000000000000001</v>
      </c>
      <c r="AZ3" s="64">
        <v>1</v>
      </c>
      <c r="BA3" s="64">
        <v>0</v>
      </c>
      <c r="BB3" s="64">
        <v>0.9</v>
      </c>
      <c r="BC3" s="10">
        <f ca="1">INDEX('RC6SV'!$A$1:$G$21,MATCH(H3,'RC6SV'!$A$1:$A$21,FALSE),MATCH(G3,'RC6SV'!$A$1:$G$1,FALSE))</f>
        <v>14000</v>
      </c>
      <c r="BD3" s="44">
        <f t="shared" ref="BD3" ca="1" si="4">ROUND(BC3*IF(AJ3=1,0.95,IF(AJ3=2,1,IF(AJ3,1.05,0))),0)</f>
        <v>14000</v>
      </c>
      <c r="BE3" s="10">
        <f ca="1">ROUND(IFERROR(INDIRECT(ADDRESS(MATCH($A3,$AE:$AE,0),MATCH($BC$1,$1:$1,0))),0),0)</f>
        <v>10000</v>
      </c>
      <c r="BF3" s="10">
        <f ca="1">ROUND(IFERROR(INDIRECT(ADDRESS(MATCH($A3,$AE:$AE,0),10)),INDIRECT(ADDRESS(MATCH($A3,$A:$A,0),10))),0)</f>
        <v>1</v>
      </c>
      <c r="BG3" s="15">
        <f ca="1">IF($BE3&lt;=0,ROUND(BK3*0.5,0), ROUND($BE3*S3*AA3*J3*AY3*0.8*[1]ステータス!$B$2,0))</f>
        <v>4140</v>
      </c>
      <c r="BH3" s="15">
        <f ca="1">IF($BE3&lt;=0,ROUND(BL3*0.5,0), ROUND($BE3*T3*AB3*K3*AZ3*0.8*[1]ステータス!$C$2,0))</f>
        <v>2472</v>
      </c>
      <c r="BI3" s="15">
        <f ca="1">IF($BE3&lt;=0,ROUND(BM3*0.5,0), ROUND($BE3*U3*AC3*L3*BA3*0.8*[1]ステータス!$D$2,0))</f>
        <v>0</v>
      </c>
      <c r="BJ3" s="15">
        <f ca="1">IF($BE3&lt;=0,ROUND(BN3*0.5,0), ROUND($BE3*V3*AD3*M3*BB3*0.8*[1]ステータス!$E$2,0))</f>
        <v>1854</v>
      </c>
      <c r="BK3" s="10">
        <f ca="1">ROUND(BD3*S3*AA3*J3*AY3*[1]ステータス!$B$2,0)</f>
        <v>7244</v>
      </c>
      <c r="BL3" s="10">
        <f ca="1">ROUND(BD3*T3*AB3*K3*AZ3*[1]ステータス!$C$2,0)</f>
        <v>4327</v>
      </c>
      <c r="BM3" s="10">
        <f ca="1">ROUND(BD3*U3*AC3*L3*BA3*[1]ステータス!$D$2,0)</f>
        <v>0</v>
      </c>
      <c r="BN3" s="10">
        <f ca="1">ROUND(BD3*V3*AD3*M3*BB3*[1]ステータス!$E$2,0)</f>
        <v>3245</v>
      </c>
      <c r="BO3" s="9">
        <v>0</v>
      </c>
      <c r="BP3" s="9">
        <v>1</v>
      </c>
      <c r="BQ3" s="9" t="s">
        <v>47</v>
      </c>
      <c r="BR3" s="11">
        <f ca="1">VLOOKUP(H3,ghosts_label!$A$2:$B$19,2,FALSE)</f>
        <v>6000</v>
      </c>
    </row>
  </sheetData>
  <autoFilter ref="A1:BQ1"/>
  <phoneticPr fontId="10"/>
  <conditionalFormatting sqref="BO1">
    <cfRule type="cellIs" dxfId="31" priority="120" stopIfTrue="1" operator="equal">
      <formula>1</formula>
    </cfRule>
  </conditionalFormatting>
  <conditionalFormatting sqref="BQ1">
    <cfRule type="cellIs" dxfId="30"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3"/>
  <sheetViews>
    <sheetView showGridLines="0" zoomScale="115" workbookViewId="0">
      <pane xSplit="4" ySplit="1" topLeftCell="E2" activePane="bottomRight" state="frozen"/>
      <selection pane="topRight" activeCell="D1" sqref="D1"/>
      <selection pane="bottomLeft" activeCell="A2" sqref="A2"/>
      <selection pane="bottomRight" activeCell="I7" sqref="I7"/>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184</v>
      </c>
      <c r="K1" s="118" t="s">
        <v>4</v>
      </c>
      <c r="L1" s="120" t="s">
        <v>167</v>
      </c>
      <c r="M1" s="121" t="s">
        <v>168</v>
      </c>
      <c r="N1" s="121" t="s">
        <v>169</v>
      </c>
      <c r="O1" s="121" t="s">
        <v>170</v>
      </c>
      <c r="P1" s="121" t="s">
        <v>171</v>
      </c>
      <c r="Q1" s="122" t="s">
        <v>172</v>
      </c>
      <c r="R1" s="123" t="s">
        <v>173</v>
      </c>
      <c r="S1" s="124" t="s">
        <v>174</v>
      </c>
    </row>
    <row r="2" spans="1:19" ht="21" customHeight="1" x14ac:dyDescent="0.15">
      <c r="A2" s="186">
        <v>1214</v>
      </c>
      <c r="B2" s="129" t="s">
        <v>185</v>
      </c>
      <c r="C2" s="188" t="s">
        <v>323</v>
      </c>
      <c r="D2" s="196" t="s">
        <v>319</v>
      </c>
      <c r="E2" s="131">
        <f t="shared" ref="E2" si="0">LEN(D2)</f>
        <v>39</v>
      </c>
      <c r="F2" s="198">
        <v>12</v>
      </c>
      <c r="G2" s="113">
        <v>5</v>
      </c>
      <c r="H2" s="132">
        <f>2001</f>
        <v>2001</v>
      </c>
      <c r="I2" s="197" t="s">
        <v>335</v>
      </c>
      <c r="J2" s="53" t="str">
        <f ca="1">VLOOKUP($A2,OFFSET([1]characters!$A$1,0,0,COUNTA([1]characters!$A:$A),MATCH("name",[1]characters!$1:$1,0)-MATCH("character_id",[1]characters!$1:$1,0)+1),MATCH("name",[1]characters!$1:$1,0)-MATCH("character_id",[1]characters!$1:$1,0)+1,FALSE)</f>
        <v>アルテミス</v>
      </c>
      <c r="K2" s="133">
        <f>IFERROR(VLOOKUP(A2,[1]characters!$A:$R,18),0)</f>
        <v>3</v>
      </c>
      <c r="L2" s="134"/>
      <c r="M2" s="135"/>
      <c r="N2" s="135"/>
      <c r="O2" s="135"/>
      <c r="P2" s="135"/>
      <c r="Q2" s="135"/>
      <c r="R2" s="130"/>
      <c r="S2" s="136"/>
    </row>
    <row r="3" spans="1:19" ht="21" customHeight="1" x14ac:dyDescent="0.15">
      <c r="A3" s="186">
        <v>1215</v>
      </c>
      <c r="B3" s="129" t="s">
        <v>185</v>
      </c>
      <c r="C3" s="188" t="s">
        <v>324</v>
      </c>
      <c r="D3" s="188" t="s">
        <v>334</v>
      </c>
      <c r="E3" s="131">
        <f t="shared" ref="E3" si="1">LEN(D3)</f>
        <v>40</v>
      </c>
      <c r="F3" s="63">
        <v>11</v>
      </c>
      <c r="G3" s="113">
        <v>5</v>
      </c>
      <c r="H3" s="132">
        <f>2001</f>
        <v>2001</v>
      </c>
      <c r="I3" s="197" t="s">
        <v>336</v>
      </c>
      <c r="J3" s="53" t="str">
        <f ca="1">VLOOKUP($A3,OFFSET([1]characters!$A$1,0,0,COUNTA([1]characters!$A:$A),MATCH("name",[1]characters!$1:$1,0)-MATCH("character_id",[1]characters!$1:$1,0)+1),MATCH("name",[1]characters!$1:$1,0)-MATCH("character_id",[1]characters!$1:$1,0)+1,FALSE)</f>
        <v>穿潮の雷月神 アルテミス</v>
      </c>
      <c r="K3" s="133">
        <f>IFERROR(VLOOKUP(A3,[1]characters!$A:$R,18),0)</f>
        <v>3</v>
      </c>
      <c r="L3" s="134"/>
      <c r="M3" s="135"/>
      <c r="N3" s="135"/>
      <c r="O3" s="135"/>
      <c r="P3" s="135"/>
      <c r="Q3" s="135"/>
      <c r="R3" s="130"/>
      <c r="S3" s="136"/>
    </row>
  </sheetData>
  <sheetProtection selectLockedCells="1" selectUnlockedCells="1"/>
  <autoFilter ref="A1:S1">
    <sortState ref="A2:T432">
      <sortCondition ref="A1:A432"/>
    </sortState>
  </autoFilter>
  <phoneticPr fontId="22"/>
  <conditionalFormatting sqref="E1 E4:E1048576">
    <cfRule type="cellIs" dxfId="29" priority="24" operator="greaterThan">
      <formula>41</formula>
    </cfRule>
  </conditionalFormatting>
  <conditionalFormatting sqref="E2">
    <cfRule type="cellIs" dxfId="28" priority="18" operator="greaterThan">
      <formula>41</formula>
    </cfRule>
  </conditionalFormatting>
  <conditionalFormatting sqref="E3">
    <cfRule type="cellIs" dxfId="27" priority="17"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3"/>
  <sheetViews>
    <sheetView showGridLines="0" workbookViewId="0">
      <pane xSplit="4" ySplit="1" topLeftCell="E2" activePane="bottomRight" state="frozen"/>
      <selection pane="topRight" activeCell="D1" sqref="D1"/>
      <selection pane="bottomLeft" activeCell="A3" sqref="A3"/>
      <selection pane="bottomRight" activeCell="D3" sqref="D3"/>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184</v>
      </c>
      <c r="H1" s="118" t="s">
        <v>176</v>
      </c>
      <c r="I1" s="119" t="s">
        <v>175</v>
      </c>
      <c r="J1" s="123" t="s">
        <v>174</v>
      </c>
    </row>
    <row r="2" spans="1:19" ht="21" customHeight="1" x14ac:dyDescent="0.15">
      <c r="A2" s="186">
        <v>1214</v>
      </c>
      <c r="B2" s="129" t="s">
        <v>186</v>
      </c>
      <c r="C2" s="188" t="s">
        <v>325</v>
      </c>
      <c r="D2" s="188" t="s">
        <v>333</v>
      </c>
      <c r="E2" s="131">
        <f t="shared" ref="E2" si="0">LEN(D2)</f>
        <v>9</v>
      </c>
      <c r="F2" s="189" t="s">
        <v>320</v>
      </c>
      <c r="G2" s="53" t="str">
        <f ca="1">VLOOKUP($A2,OFFSET([1]characters!$A$1,0,0,COUNTA([1]characters!$A:$A),MATCH("name",[1]characters!$1:$1,0)-MATCH("character_id",[1]characters!$1:$1,0)+1),MATCH("name",[1]characters!$1:$1,0)-MATCH("character_id",[1]characters!$1:$1,0)+1,FALSE)</f>
        <v>アルテミス</v>
      </c>
      <c r="H2" s="132">
        <f>IFERROR(VLOOKUP(A2,[1]characters!$A:$R,18),0)</f>
        <v>3</v>
      </c>
      <c r="I2" s="132"/>
      <c r="J2" s="137"/>
      <c r="K2" s="133">
        <v>1</v>
      </c>
      <c r="L2" s="134"/>
      <c r="M2" s="135"/>
      <c r="N2" s="135"/>
      <c r="O2" s="135"/>
      <c r="P2" s="135"/>
      <c r="Q2" s="135"/>
      <c r="R2" s="130"/>
      <c r="S2" s="136"/>
    </row>
    <row r="3" spans="1:19" ht="21" customHeight="1" x14ac:dyDescent="0.15">
      <c r="A3" s="186">
        <v>1215</v>
      </c>
      <c r="B3" s="129" t="s">
        <v>186</v>
      </c>
      <c r="C3" s="188" t="s">
        <v>326</v>
      </c>
      <c r="D3" s="188" t="s">
        <v>322</v>
      </c>
      <c r="E3" s="131">
        <f t="shared" ref="E3" si="1">LEN(D3)</f>
        <v>26</v>
      </c>
      <c r="F3" s="189" t="s">
        <v>321</v>
      </c>
      <c r="G3" s="53" t="str">
        <f ca="1">VLOOKUP($A3,OFFSET([1]characters!$A$1,0,0,COUNTA([1]characters!$A:$A),MATCH("name",[1]characters!$1:$1,0)-MATCH("character_id",[1]characters!$1:$1,0)+1),MATCH("name",[1]characters!$1:$1,0)-MATCH("character_id",[1]characters!$1:$1,0)+1,FALSE)</f>
        <v>穿潮の雷月神 アルテミス</v>
      </c>
      <c r="H3" s="132">
        <f>IFERROR(VLOOKUP(A3,[1]characters!$A:$R,18),0)</f>
        <v>3</v>
      </c>
      <c r="I3" s="132"/>
      <c r="J3" s="137"/>
      <c r="K3" s="133">
        <v>1</v>
      </c>
      <c r="L3" s="134"/>
      <c r="M3" s="135"/>
      <c r="N3" s="135"/>
      <c r="O3" s="135"/>
      <c r="P3" s="135"/>
      <c r="Q3" s="135"/>
      <c r="R3" s="130"/>
      <c r="S3" s="136"/>
    </row>
  </sheetData>
  <sheetProtection selectLockedCells="1" selectUnlockedCells="1"/>
  <autoFilter ref="A1:J1"/>
  <phoneticPr fontId="22"/>
  <conditionalFormatting sqref="E2">
    <cfRule type="cellIs" dxfId="26" priority="18" operator="greaterThan">
      <formula>41</formula>
    </cfRule>
  </conditionalFormatting>
  <conditionalFormatting sqref="E3">
    <cfRule type="cellIs" dxfId="25" priority="17"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10"/>
  <sheetViews>
    <sheetView zoomScale="110" workbookViewId="0">
      <selection activeCell="H9" sqref="H9"/>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187</v>
      </c>
      <c r="B1" s="138" t="s">
        <v>188</v>
      </c>
      <c r="C1" s="110" t="s">
        <v>189</v>
      </c>
      <c r="D1" s="138" t="s">
        <v>191</v>
      </c>
      <c r="E1" s="138" t="s">
        <v>192</v>
      </c>
      <c r="F1" s="109" t="s">
        <v>193</v>
      </c>
      <c r="G1" s="110" t="s">
        <v>190</v>
      </c>
      <c r="H1" s="109" t="s">
        <v>194</v>
      </c>
    </row>
    <row r="2" spans="1:8" x14ac:dyDescent="0.15">
      <c r="A2" s="105">
        <v>1214</v>
      </c>
      <c r="B2" s="138" t="str">
        <f>VLOOKUP(A2,[1]characters!$A:$C,3,FALSE)</f>
        <v>アルテミス</v>
      </c>
      <c r="C2" s="105" t="s">
        <v>195</v>
      </c>
      <c r="D2" s="138" t="str">
        <f t="shared" ref="D2" si="0">A2&amp;C2</f>
        <v>1214skill</v>
      </c>
      <c r="E2" s="138" t="str">
        <f>A2&amp;+(COUNTIF(A2:A$29,A2)-1)</f>
        <v>12143</v>
      </c>
      <c r="F2" s="105" t="s">
        <v>197</v>
      </c>
      <c r="G2" s="162" t="s">
        <v>331</v>
      </c>
      <c r="H2" s="162" t="s">
        <v>327</v>
      </c>
    </row>
    <row r="3" spans="1:8" x14ac:dyDescent="0.15">
      <c r="A3" s="105">
        <v>1214</v>
      </c>
      <c r="B3" s="138" t="str">
        <f>VLOOKUP(A3,[1]characters!$A:$C,3,FALSE)</f>
        <v>アルテミス</v>
      </c>
      <c r="C3" s="105" t="s">
        <v>198</v>
      </c>
      <c r="D3" s="138" t="str">
        <f>A3&amp;C3</f>
        <v>1214cskill</v>
      </c>
      <c r="E3" s="138" t="str">
        <f>A3&amp;+(COUNTIF(A3:A$29,A3)-1)</f>
        <v>12142</v>
      </c>
      <c r="F3" s="105" t="s">
        <v>186</v>
      </c>
      <c r="G3" s="162" t="s">
        <v>196</v>
      </c>
      <c r="H3" s="162" t="s">
        <v>328</v>
      </c>
    </row>
    <row r="4" spans="1:8" x14ac:dyDescent="0.15">
      <c r="A4" s="105">
        <v>1214</v>
      </c>
      <c r="B4" s="138" t="str">
        <f>VLOOKUP(A4,[1]characters!$A:$C,3,FALSE)</f>
        <v>アルテミス</v>
      </c>
      <c r="C4" s="105" t="s">
        <v>198</v>
      </c>
      <c r="D4" s="138" t="str">
        <f>A4&amp;C4</f>
        <v>1214cskill</v>
      </c>
      <c r="E4" s="138" t="str">
        <f>A4&amp;+(COUNTIF(A4:A$29,A4)-1)</f>
        <v>12141</v>
      </c>
      <c r="F4" s="105" t="s">
        <v>186</v>
      </c>
      <c r="G4" s="162" t="s">
        <v>331</v>
      </c>
      <c r="H4" s="162" t="s">
        <v>329</v>
      </c>
    </row>
    <row r="5" spans="1:8" x14ac:dyDescent="0.15">
      <c r="A5" s="105">
        <v>1214</v>
      </c>
      <c r="B5" s="138" t="str">
        <f>VLOOKUP(A5,[1]characters!$A:$C,3,FALSE)</f>
        <v>アルテミス</v>
      </c>
      <c r="C5" s="105" t="s">
        <v>198</v>
      </c>
      <c r="D5" s="138" t="str">
        <f>A5&amp;C5</f>
        <v>1214cskill</v>
      </c>
      <c r="E5" s="138" t="str">
        <f>A5&amp;+(COUNTIF(A5:A$29,A5)-1)</f>
        <v>12140</v>
      </c>
      <c r="F5" s="105" t="s">
        <v>197</v>
      </c>
      <c r="G5" s="162" t="s">
        <v>196</v>
      </c>
      <c r="H5" s="162" t="s">
        <v>330</v>
      </c>
    </row>
    <row r="6" spans="1:8" x14ac:dyDescent="0.15">
      <c r="A6" s="105">
        <v>1215</v>
      </c>
      <c r="B6" s="138" t="str">
        <f>VLOOKUP(A6,[1]characters!$A:$C,3,FALSE)</f>
        <v>穿潮の雷月神 アルテミス</v>
      </c>
      <c r="C6" s="105" t="s">
        <v>195</v>
      </c>
      <c r="D6" s="138" t="str">
        <f t="shared" ref="D6" si="1">A6&amp;C6</f>
        <v>1215skill</v>
      </c>
      <c r="E6" s="138" t="str">
        <f>A6&amp;+(COUNTIF(A6:A$29,A6)-1)</f>
        <v>12154</v>
      </c>
      <c r="F6" s="105" t="s">
        <v>186</v>
      </c>
      <c r="G6" s="162" t="s">
        <v>331</v>
      </c>
      <c r="H6" s="162" t="s">
        <v>337</v>
      </c>
    </row>
    <row r="7" spans="1:8" x14ac:dyDescent="0.15">
      <c r="A7" s="105">
        <v>1215</v>
      </c>
      <c r="B7" s="138" t="str">
        <f>VLOOKUP(A7,[1]characters!$A:$C,3,FALSE)</f>
        <v>穿潮の雷月神 アルテミス</v>
      </c>
      <c r="C7" s="105" t="s">
        <v>198</v>
      </c>
      <c r="D7" s="138" t="str">
        <f>A7&amp;C7</f>
        <v>1215cskill</v>
      </c>
      <c r="E7" s="138" t="str">
        <f>A7&amp;+(COUNTIF(A7:A$29,A7)-1)</f>
        <v>12153</v>
      </c>
      <c r="F7" s="105" t="s">
        <v>186</v>
      </c>
      <c r="G7" s="162" t="s">
        <v>196</v>
      </c>
      <c r="H7" s="162" t="s">
        <v>328</v>
      </c>
    </row>
    <row r="8" spans="1:8" x14ac:dyDescent="0.15">
      <c r="A8" s="105">
        <v>1215</v>
      </c>
      <c r="B8" s="138" t="str">
        <f>VLOOKUP(A8,[1]characters!$A:$C,3,FALSE)</f>
        <v>穿潮の雷月神 アルテミス</v>
      </c>
      <c r="C8" s="105" t="s">
        <v>198</v>
      </c>
      <c r="D8" s="138" t="str">
        <f>A8&amp;C8</f>
        <v>1215cskill</v>
      </c>
      <c r="E8" s="138" t="str">
        <f>A8&amp;+(COUNTIF(A8:A$29,A8)-1)</f>
        <v>12152</v>
      </c>
      <c r="F8" s="105" t="s">
        <v>186</v>
      </c>
      <c r="G8" s="162" t="s">
        <v>331</v>
      </c>
      <c r="H8" s="162" t="s">
        <v>329</v>
      </c>
    </row>
    <row r="9" spans="1:8" x14ac:dyDescent="0.15">
      <c r="A9" s="105">
        <v>1215</v>
      </c>
      <c r="B9" s="138" t="str">
        <f>VLOOKUP(A9,[1]characters!$A:$C,3,FALSE)</f>
        <v>穿潮の雷月神 アルテミス</v>
      </c>
      <c r="C9" s="105" t="s">
        <v>198</v>
      </c>
      <c r="D9" s="138" t="str">
        <f>A9&amp;C9</f>
        <v>1215cskill</v>
      </c>
      <c r="E9" s="138" t="str">
        <f>A9&amp;+(COUNTIF(A9:A$29,A9)-1)</f>
        <v>12151</v>
      </c>
      <c r="F9" s="105" t="s">
        <v>186</v>
      </c>
      <c r="G9" s="162" t="s">
        <v>196</v>
      </c>
      <c r="H9" s="162" t="s">
        <v>330</v>
      </c>
    </row>
    <row r="10" spans="1:8" x14ac:dyDescent="0.15">
      <c r="A10" s="105">
        <v>1215</v>
      </c>
      <c r="B10" s="138" t="str">
        <f>VLOOKUP(A10,[1]characters!$A:$C,3,FALSE)</f>
        <v>穿潮の雷月神 アルテミス</v>
      </c>
      <c r="C10" s="105" t="s">
        <v>198</v>
      </c>
      <c r="D10" s="138" t="str">
        <f>A10&amp;C10</f>
        <v>1215cskill</v>
      </c>
      <c r="E10" s="138" t="str">
        <f>A10&amp;+(COUNTIF(A10:A$29,A10)-1)</f>
        <v>12150</v>
      </c>
      <c r="F10" s="105" t="s">
        <v>186</v>
      </c>
      <c r="G10" s="162" t="s">
        <v>331</v>
      </c>
      <c r="H10" s="162" t="s">
        <v>332</v>
      </c>
    </row>
  </sheetData>
  <phoneticPr fontId="22"/>
  <dataValidations count="2">
    <dataValidation type="list" allowBlank="1" showInputMessage="1" showErrorMessage="1" sqref="G2:G10">
      <formula1>"maru,giza,kumo"</formula1>
    </dataValidation>
    <dataValidation type="list" allowBlank="1" showInputMessage="1" showErrorMessage="1" sqref="C2:C10">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2"/>
  <sheetViews>
    <sheetView showGridLines="0" workbookViewId="0">
      <pane xSplit="9" ySplit="1" topLeftCell="P2" activePane="bottomRight" state="frozen"/>
      <selection pane="topRight" activeCell="J1" sqref="J1"/>
      <selection pane="bottomLeft" activeCell="A3" sqref="A3"/>
      <selection pane="bottomRight" activeCell="R8" sqref="R8"/>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276</v>
      </c>
      <c r="B1" s="91" t="s">
        <v>277</v>
      </c>
      <c r="C1" s="82" t="s">
        <v>278</v>
      </c>
      <c r="D1" s="82" t="s">
        <v>279</v>
      </c>
      <c r="E1" s="82" t="s">
        <v>280</v>
      </c>
      <c r="F1" s="82" t="s">
        <v>281</v>
      </c>
      <c r="G1" s="82" t="s">
        <v>1</v>
      </c>
      <c r="H1" s="175" t="s">
        <v>19</v>
      </c>
      <c r="I1" s="82" t="s">
        <v>0</v>
      </c>
      <c r="J1" s="81" t="s">
        <v>282</v>
      </c>
      <c r="K1" s="82" t="s">
        <v>277</v>
      </c>
      <c r="L1" s="83" t="s">
        <v>49</v>
      </c>
      <c r="M1" s="83" t="s">
        <v>48</v>
      </c>
      <c r="N1" s="83" t="s">
        <v>283</v>
      </c>
      <c r="O1" s="83" t="s">
        <v>284</v>
      </c>
      <c r="P1" s="88" t="s">
        <v>285</v>
      </c>
      <c r="Q1" s="87" t="s">
        <v>286</v>
      </c>
      <c r="R1" s="76" t="s">
        <v>277</v>
      </c>
      <c r="S1" s="88" t="s">
        <v>287</v>
      </c>
      <c r="T1" s="76" t="s">
        <v>277</v>
      </c>
      <c r="U1" s="88" t="s">
        <v>288</v>
      </c>
    </row>
    <row r="2" spans="1:21" ht="21" customHeight="1" x14ac:dyDescent="0.15">
      <c r="A2" s="190">
        <v>1214</v>
      </c>
      <c r="B2" s="53" t="str">
        <f ca="1">VLOOKUP($A2,OFFSET([1]characters!$A$1,0,0,COUNTA([1]characters!$A:$A),MATCH(B$1,[1]characters!$1:$1,0)-MATCH($A$1,[1]characters!$1:$1,0)+1),MATCH(B$1,[1]characters!$1:$1,0)-MATCH($A$1,[1]characters!$1:$1,0)+1,FALSE)</f>
        <v>アルテミス</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PremiumSSw</v>
      </c>
      <c r="I2" s="53" t="str">
        <f ca="1">VLOOKUP($A2,OFFSET([1]characters!$A$1,0,0,COUNTA([1]characters!$A:$A),MATCH(I$1,[1]characters!$1:$1,0)-MATCH($A$1,[1]characters!$1:$1,0)+1),MATCH(I$1,[1]characters!$1:$1,0)-MATCH($A$1,[1]characters!$1:$1,0)+1,FALSE)</f>
        <v>yellow</v>
      </c>
      <c r="J2" s="53" t="str">
        <f ca="1">VLOOKUP($A2,OFFSET([1]characters!$A$1,0,0,COUNTA([1]characters!$A:$A),MATCH(J$1,[1]characters!$1:$1,0)-MATCH($A$1,[1]characters!$1:$1,0)+1),MATCH(J$1,[1]characters!$1:$1,0)-MATCH($A$1,[1]characters!$1:$1,0)+1,FALSE)</f>
        <v>animal</v>
      </c>
      <c r="K2" s="5" t="str">
        <f ca="1">VLOOKUP(J2,[1]character_tribe_i18n!$A:$H,3,FALSE)</f>
        <v>アニマル</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1215</v>
      </c>
      <c r="R2" s="58" t="str">
        <f ca="1">IF(Q2="NULL","",VLOOKUP($Q2,OFFSET([1]characters!$A$1,0,0,COUNTA([1]characters!$A:$A),MATCH(R$1,[1]characters!$1:$1,0)-MATCH($A$1,[1]characters!$1:$1,0)+1),MATCH(R$1,[1]characters!$1:$1,0)-MATCH($A$1,[1]characters!$1:$1,0)+1,FALSE))</f>
        <v>穿潮の雷月神 アルテミス</v>
      </c>
      <c r="S2" s="5">
        <f ca="1">IF(ISNA(MATCH(A2,Q:Q,0)),A2,INDIRECT(ADDRESS(MATCH(A2,Q:Q,0),COLUMN())))</f>
        <v>1214</v>
      </c>
      <c r="T2" s="58" t="str">
        <f ca="1">VLOOKUP($S2,OFFSET([1]characters!$A$1,0,0,COUNTA([1]characters!$A:$A),MATCH(T$1,[1]characters!$1:$1,0)-MATCH($A$1,[1]characters!$1:$1,0)+1),MATCH(T$1,[1]characters!$1:$1,0)-MATCH($A$1,[1]characters!$1:$1,0)+1,FALSE)</f>
        <v>アルテミス</v>
      </c>
      <c r="U2" s="10">
        <f ca="1">IF(Q2="NULL","NULL",VLOOKUP(G2,[2]ビット!$A$2:$B$7,2))</f>
        <v>200000</v>
      </c>
    </row>
  </sheetData>
  <autoFilter ref="A1:U2"/>
  <phoneticPr fontId="22"/>
  <conditionalFormatting sqref="W1:W1048576">
    <cfRule type="cellIs" dxfId="24" priority="6"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6"/>
  <sheetViews>
    <sheetView showGridLines="0" workbookViewId="0">
      <pane ySplit="1" topLeftCell="A2" activePane="bottomLeft" state="frozen"/>
      <selection pane="bottomLeft" activeCell="L3" sqref="L3"/>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289</v>
      </c>
      <c r="D1" s="18" t="s">
        <v>40</v>
      </c>
      <c r="E1" s="18" t="s">
        <v>42</v>
      </c>
      <c r="F1" s="18" t="s">
        <v>43</v>
      </c>
      <c r="G1" s="177" t="s">
        <v>290</v>
      </c>
      <c r="H1" s="18" t="s">
        <v>40</v>
      </c>
      <c r="I1" s="40" t="s">
        <v>36</v>
      </c>
      <c r="J1" s="18" t="s">
        <v>41</v>
      </c>
      <c r="K1" s="17" t="s">
        <v>37</v>
      </c>
      <c r="L1" s="179" t="s">
        <v>127</v>
      </c>
      <c r="M1" s="180" t="s">
        <v>292</v>
      </c>
    </row>
    <row r="2" spans="1:14" ht="21" customHeight="1" x14ac:dyDescent="0.15">
      <c r="A2" s="61" t="str">
        <f>B2&amp;"_"&amp;I2</f>
        <v>1214_115</v>
      </c>
      <c r="B2" s="194">
        <v>1214</v>
      </c>
      <c r="C2" s="178">
        <f>B2</f>
        <v>1214</v>
      </c>
      <c r="D2" s="53" t="str">
        <f ca="1">VLOOKUP($C2,OFFSET([1]characters!$A$1,0,0,COUNTA([1]characters!$A:$A),MATCH(D$1,[1]characters!$1:$1,0)-MATCH($C$1,[1]characters!$1:$1,0)+1),MATCH(D$1,[1]characters!$1:$1,0)-MATCH($C$1,[1]characters!$1:$1,0)+1,FALSE)</f>
        <v>アルテミス</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PremiumSSw</v>
      </c>
      <c r="G2" s="194">
        <v>1215</v>
      </c>
      <c r="H2" s="53" t="str">
        <f ca="1">VLOOKUP($G2,OFFSET([1]characters!$A$1,0,0,COUNTA([1]characters!$A:$A),MATCH(H$1,[1]characters!$1:$1,0)-MATCH($C$1,[1]characters!$1:$1,0)+1),MATCH(H$1,[1]characters!$1:$1,0)-MATCH($C$1,[1]characters!$1:$1,0)+1,FALSE)</f>
        <v>穿潮の雷月神 アルテミス</v>
      </c>
      <c r="I2" s="193">
        <v>115</v>
      </c>
      <c r="J2" s="53" t="str">
        <f ca="1">VLOOKUP($I2,OFFSET([1]characters!$A$1,0,0,COUNTA([1]characters!$A:$A),MATCH(J$1,[1]characters!$1:$1,0)-MATCH($C$1,[1]characters!$1:$1,0)+1),MATCH(J$1,[1]characters!$1:$1,0)-MATCH($C$1,[1]characters!$1:$1,0)+1,FALSE)</f>
        <v>イエローキャタップ</v>
      </c>
      <c r="K2" s="191">
        <v>1</v>
      </c>
      <c r="L2" s="192">
        <v>1</v>
      </c>
      <c r="M2" s="192">
        <v>10</v>
      </c>
      <c r="N2" s="2" t="s">
        <v>291</v>
      </c>
    </row>
    <row r="3" spans="1:14" ht="21" customHeight="1" x14ac:dyDescent="0.15">
      <c r="A3" s="61" t="str">
        <f>B3&amp;"_"&amp;I3</f>
        <v>1214_116</v>
      </c>
      <c r="B3" s="194">
        <v>1214</v>
      </c>
      <c r="C3" s="178">
        <f>B3</f>
        <v>1214</v>
      </c>
      <c r="D3" s="53" t="str">
        <f ca="1">VLOOKUP($C3,OFFSET([1]characters!$A$1,0,0,COUNTA([1]characters!$A:$A),MATCH(D$1,[1]characters!$1:$1,0)-MATCH($C$1,[1]characters!$1:$1,0)+1),MATCH(D$1,[1]characters!$1:$1,0)-MATCH($C$1,[1]characters!$1:$1,0)+1,FALSE)</f>
        <v>アルテミス</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PremiumSSw</v>
      </c>
      <c r="G3" s="194">
        <v>1215</v>
      </c>
      <c r="H3" s="53" t="str">
        <f ca="1">VLOOKUP($G3,OFFSET([1]characters!$A$1,0,0,COUNTA([1]characters!$A:$A),MATCH(H$1,[1]characters!$1:$1,0)-MATCH($C$1,[1]characters!$1:$1,0)+1),MATCH(H$1,[1]characters!$1:$1,0)-MATCH($C$1,[1]characters!$1:$1,0)+1,FALSE)</f>
        <v>穿潮の雷月神 アルテミス</v>
      </c>
      <c r="I3" s="193">
        <v>116</v>
      </c>
      <c r="J3" s="53" t="str">
        <f ca="1">VLOOKUP($I3,OFFSET([1]characters!$A$1,0,0,COUNTA([1]characters!$A:$A),MATCH(J$1,[1]characters!$1:$1,0)-MATCH($C$1,[1]characters!$1:$1,0)+1),MATCH(J$1,[1]characters!$1:$1,0)-MATCH($C$1,[1]characters!$1:$1,0)+1,FALSE)</f>
        <v>雷のマッドハッター</v>
      </c>
      <c r="K3" s="191">
        <v>1</v>
      </c>
      <c r="L3" s="192">
        <v>1</v>
      </c>
      <c r="M3" s="192">
        <v>10</v>
      </c>
      <c r="N3" s="2" t="s">
        <v>291</v>
      </c>
    </row>
    <row r="4" spans="1:14" ht="21" customHeight="1" x14ac:dyDescent="0.15">
      <c r="A4" s="61" t="str">
        <f>B4&amp;"_"&amp;I4</f>
        <v>1214_837</v>
      </c>
      <c r="B4" s="194">
        <v>1214</v>
      </c>
      <c r="C4" s="178">
        <f>B4</f>
        <v>1214</v>
      </c>
      <c r="D4" s="53" t="str">
        <f ca="1">VLOOKUP($C4,OFFSET([1]characters!$A$1,0,0,COUNTA([1]characters!$A:$A),MATCH(D$1,[1]characters!$1:$1,0)-MATCH($C$1,[1]characters!$1:$1,0)+1),MATCH(D$1,[1]characters!$1:$1,0)-MATCH($C$1,[1]characters!$1:$1,0)+1,FALSE)</f>
        <v>アルテミス</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PremiumSSw</v>
      </c>
      <c r="G4" s="194">
        <v>1215</v>
      </c>
      <c r="H4" s="53" t="str">
        <f ca="1">VLOOKUP($G4,OFFSET([1]characters!$A$1,0,0,COUNTA([1]characters!$A:$A),MATCH(H$1,[1]characters!$1:$1,0)-MATCH($C$1,[1]characters!$1:$1,0)+1),MATCH(H$1,[1]characters!$1:$1,0)-MATCH($C$1,[1]characters!$1:$1,0)+1,FALSE)</f>
        <v>穿潮の雷月神 アルテミス</v>
      </c>
      <c r="I4" s="193">
        <v>837</v>
      </c>
      <c r="J4" s="53" t="str">
        <f ca="1">VLOOKUP($I4,OFFSET([1]characters!$A$1,0,0,COUNTA([1]characters!$A:$A),MATCH(J$1,[1]characters!$1:$1,0)-MATCH($C$1,[1]characters!$1:$1,0)+1),MATCH(J$1,[1]characters!$1:$1,0)-MATCH($C$1,[1]characters!$1:$1,0)+1,FALSE)</f>
        <v>リトルハンプティ</v>
      </c>
      <c r="K4" s="191">
        <v>1</v>
      </c>
      <c r="L4" s="192">
        <v>1</v>
      </c>
      <c r="M4" s="192">
        <v>1000</v>
      </c>
      <c r="N4" s="2" t="s">
        <v>291</v>
      </c>
    </row>
    <row r="5" spans="1:14" ht="21" customHeight="1" x14ac:dyDescent="0.15">
      <c r="A5" s="61" t="str">
        <f>B5&amp;"_"&amp;I5</f>
        <v>1214_766</v>
      </c>
      <c r="B5" s="194">
        <v>1214</v>
      </c>
      <c r="C5" s="178">
        <f>B5</f>
        <v>1214</v>
      </c>
      <c r="D5" s="53" t="str">
        <f ca="1">VLOOKUP($C5,OFFSET([1]characters!$A$1,0,0,COUNTA([1]characters!$A:$A),MATCH(D$1,[1]characters!$1:$1,0)-MATCH($C$1,[1]characters!$1:$1,0)+1),MATCH(D$1,[1]characters!$1:$1,0)-MATCH($C$1,[1]characters!$1:$1,0)+1,FALSE)</f>
        <v>アルテミス</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PremiumSSw</v>
      </c>
      <c r="G5" s="194">
        <v>1215</v>
      </c>
      <c r="H5" s="53" t="str">
        <f ca="1">VLOOKUP($G5,OFFSET([1]characters!$A$1,0,0,COUNTA([1]characters!$A:$A),MATCH(H$1,[1]characters!$1:$1,0)-MATCH($C$1,[1]characters!$1:$1,0)+1),MATCH(H$1,[1]characters!$1:$1,0)-MATCH($C$1,[1]characters!$1:$1,0)+1,FALSE)</f>
        <v>穿潮の雷月神 アルテミス</v>
      </c>
      <c r="I5" s="193">
        <v>766</v>
      </c>
      <c r="J5" s="53" t="str">
        <f ca="1">VLOOKUP($I5,OFFSET([1]characters!$A$1,0,0,COUNTA([1]characters!$A:$A),MATCH(J$1,[1]characters!$1:$1,0)-MATCH($C$1,[1]characters!$1:$1,0)+1),MATCH(J$1,[1]characters!$1:$1,0)-MATCH($C$1,[1]characters!$1:$1,0)+1,FALSE)</f>
        <v>ランドラグ</v>
      </c>
      <c r="K5" s="191">
        <v>1</v>
      </c>
      <c r="L5" s="192">
        <v>1</v>
      </c>
      <c r="M5" s="192">
        <v>100</v>
      </c>
      <c r="N5" s="2" t="s">
        <v>291</v>
      </c>
    </row>
    <row r="6" spans="1:14" ht="21" customHeight="1" x14ac:dyDescent="0.15">
      <c r="A6" s="61" t="str">
        <f>B6&amp;"_"&amp;I6</f>
        <v>1214_1061</v>
      </c>
      <c r="B6" s="194">
        <v>1214</v>
      </c>
      <c r="C6" s="178">
        <f>B6</f>
        <v>1214</v>
      </c>
      <c r="D6" s="53" t="str">
        <f ca="1">VLOOKUP($C6,OFFSET([1]characters!$A$1,0,0,COUNTA([1]characters!$A:$A),MATCH(D$1,[1]characters!$1:$1,0)-MATCH($C$1,[1]characters!$1:$1,0)+1),MATCH(D$1,[1]characters!$1:$1,0)-MATCH($C$1,[1]characters!$1:$1,0)+1,FALSE)</f>
        <v>アルテミス</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PremiumSSw</v>
      </c>
      <c r="G6" s="194">
        <v>1215</v>
      </c>
      <c r="H6" s="53" t="str">
        <f ca="1">VLOOKUP($G6,OFFSET([1]characters!$A$1,0,0,COUNTA([1]characters!$A:$A),MATCH(H$1,[1]characters!$1:$1,0)-MATCH($C$1,[1]characters!$1:$1,0)+1),MATCH(H$1,[1]characters!$1:$1,0)-MATCH($C$1,[1]characters!$1:$1,0)+1,FALSE)</f>
        <v>穿潮の雷月神 アルテミス</v>
      </c>
      <c r="I6" s="193">
        <v>1061</v>
      </c>
      <c r="J6" s="53" t="str">
        <f ca="1">VLOOKUP($I6,OFFSET([1]characters!$A$1,0,0,COUNTA([1]characters!$A:$A),MATCH(J$1,[1]characters!$1:$1,0)-MATCH($C$1,[1]characters!$1:$1,0)+1),MATCH(J$1,[1]characters!$1:$1,0)-MATCH($C$1,[1]characters!$1:$1,0)+1,FALSE)</f>
        <v>フンババ</v>
      </c>
      <c r="K6" s="191">
        <v>1</v>
      </c>
      <c r="L6" s="192">
        <v>1</v>
      </c>
      <c r="M6" s="192">
        <v>100</v>
      </c>
      <c r="N6" s="2" t="s">
        <v>291</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D19" sqref="D19"/>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1" customFormat="1" ht="21" customHeight="1" x14ac:dyDescent="0.15">
      <c r="A1" s="167" t="s">
        <v>303</v>
      </c>
      <c r="B1" s="115" t="s">
        <v>304</v>
      </c>
      <c r="C1" s="116" t="s">
        <v>305</v>
      </c>
      <c r="D1" s="117" t="s">
        <v>306</v>
      </c>
      <c r="E1" s="117" t="s">
        <v>307</v>
      </c>
      <c r="F1" s="117" t="s">
        <v>308</v>
      </c>
      <c r="G1" s="117" t="s">
        <v>309</v>
      </c>
      <c r="H1" s="117" t="s">
        <v>310</v>
      </c>
      <c r="I1" s="173" t="s">
        <v>311</v>
      </c>
      <c r="J1" s="168" t="s">
        <v>312</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2"/>
  <sheetViews>
    <sheetView workbookViewId="0">
      <selection activeCell="E17" sqref="E17"/>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268</v>
      </c>
      <c r="C1" s="115" t="s">
        <v>269</v>
      </c>
      <c r="D1" s="115" t="s">
        <v>270</v>
      </c>
      <c r="E1" s="171" t="s">
        <v>271</v>
      </c>
      <c r="F1" s="171" t="s">
        <v>272</v>
      </c>
      <c r="G1" s="118" t="s">
        <v>273</v>
      </c>
      <c r="H1" s="167" t="s">
        <v>274</v>
      </c>
    </row>
    <row r="2" spans="1:8" s="4" customFormat="1" ht="21" customHeight="1" x14ac:dyDescent="0.15">
      <c r="A2" s="169">
        <v>1215</v>
      </c>
      <c r="B2" s="172" t="str">
        <f>VLOOKUP(A2,[1]characters!$A:$C,3)</f>
        <v>穿潮の雷月神 アルテミス</v>
      </c>
      <c r="C2" s="195">
        <v>1</v>
      </c>
      <c r="D2" s="199">
        <v>109</v>
      </c>
      <c r="E2" s="173" t="str">
        <f>IF(ISERROR(VLOOKUP(D2,[3]abilities!A:D,3,FALSE))=FALSE,VLOOKUP(D2,[3]abilities!A:D,3),IF(ISERROR(VLOOKUP(D2,abilities!A:D,3,FALSE))=FALSE,VLOOKUP(D2,abilities!A:D,3),"なし"))</f>
        <v>ダメージパネルブレイク</v>
      </c>
      <c r="F2" s="173" t="str">
        <f>IF(ISERROR(VLOOKUP(D2,[3]abilities!A:D,4,FALSE))=FALSE,VLOOKUP(D2,[3]abilities!A:D,4),IF(ISERROR(VLOOKUP(D2,abilities!A:D,4,FALSE))=FALSE,VLOOKUP(D2,abilities!A:D,4),"なし"))</f>
        <v>自身が先頭の時、ダメージを受けずにダメージパネルを破壊できる</v>
      </c>
      <c r="G2" s="174" t="s">
        <v>275</v>
      </c>
      <c r="H2" s="200" t="s">
        <v>316</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B19"/>
  <sheetViews>
    <sheetView workbookViewId="0">
      <selection activeCell="K34" sqref="K34"/>
    </sheetView>
  </sheetViews>
  <sheetFormatPr baseColWidth="12" defaultRowHeight="15" x14ac:dyDescent="0.15"/>
  <sheetData>
    <row r="1" spans="1:2" x14ac:dyDescent="0.15">
      <c r="A1" t="s">
        <v>338</v>
      </c>
      <c r="B1" t="s">
        <v>339</v>
      </c>
    </row>
    <row r="2" spans="1:2" x14ac:dyDescent="0.15">
      <c r="A2" t="s">
        <v>340</v>
      </c>
      <c r="B2">
        <v>1</v>
      </c>
    </row>
    <row r="3" spans="1:2" x14ac:dyDescent="0.15">
      <c r="A3" t="s">
        <v>341</v>
      </c>
      <c r="B3">
        <v>1</v>
      </c>
    </row>
    <row r="4" spans="1:2" x14ac:dyDescent="0.15">
      <c r="A4" t="s">
        <v>342</v>
      </c>
      <c r="B4">
        <v>1</v>
      </c>
    </row>
    <row r="5" spans="1:2" x14ac:dyDescent="0.15">
      <c r="A5" t="s">
        <v>343</v>
      </c>
      <c r="B5">
        <v>1</v>
      </c>
    </row>
    <row r="6" spans="1:2" x14ac:dyDescent="0.15">
      <c r="A6" t="s">
        <v>344</v>
      </c>
      <c r="B6">
        <v>1</v>
      </c>
    </row>
    <row r="7" spans="1:2" x14ac:dyDescent="0.15">
      <c r="A7" t="s">
        <v>345</v>
      </c>
      <c r="B7">
        <v>1</v>
      </c>
    </row>
    <row r="8" spans="1:2" x14ac:dyDescent="0.15">
      <c r="A8" t="s">
        <v>346</v>
      </c>
      <c r="B8">
        <v>1</v>
      </c>
    </row>
    <row r="9" spans="1:2" x14ac:dyDescent="0.15">
      <c r="A9" t="s">
        <v>347</v>
      </c>
      <c r="B9">
        <v>1</v>
      </c>
    </row>
    <row r="10" spans="1:2" x14ac:dyDescent="0.15">
      <c r="A10" t="s">
        <v>348</v>
      </c>
      <c r="B10">
        <v>1</v>
      </c>
    </row>
    <row r="11" spans="1:2" x14ac:dyDescent="0.15">
      <c r="A11" t="s">
        <v>349</v>
      </c>
      <c r="B11">
        <v>1</v>
      </c>
    </row>
    <row r="12" spans="1:2" x14ac:dyDescent="0.15">
      <c r="A12" t="s">
        <v>350</v>
      </c>
      <c r="B12">
        <v>1</v>
      </c>
    </row>
    <row r="13" spans="1:2" x14ac:dyDescent="0.15">
      <c r="A13" t="s">
        <v>351</v>
      </c>
      <c r="B13">
        <v>0</v>
      </c>
    </row>
    <row r="14" spans="1:2" x14ac:dyDescent="0.15">
      <c r="A14" t="s">
        <v>352</v>
      </c>
      <c r="B14">
        <v>500</v>
      </c>
    </row>
    <row r="15" spans="1:2" x14ac:dyDescent="0.15">
      <c r="A15" t="s">
        <v>353</v>
      </c>
      <c r="B15">
        <v>600</v>
      </c>
    </row>
    <row r="16" spans="1:2" x14ac:dyDescent="0.15">
      <c r="A16" t="s">
        <v>354</v>
      </c>
      <c r="B16">
        <v>700</v>
      </c>
    </row>
    <row r="17" spans="1:2" x14ac:dyDescent="0.15">
      <c r="A17" t="s">
        <v>355</v>
      </c>
      <c r="B17">
        <v>5500</v>
      </c>
    </row>
    <row r="18" spans="1:2" x14ac:dyDescent="0.15">
      <c r="A18" t="s">
        <v>356</v>
      </c>
      <c r="B18">
        <v>6000</v>
      </c>
    </row>
    <row r="19" spans="1:2" x14ac:dyDescent="0.15">
      <c r="A19" t="s">
        <v>357</v>
      </c>
      <c r="B19">
        <v>30000</v>
      </c>
    </row>
  </sheetData>
  <phoneticPr fontId="2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234</v>
      </c>
      <c r="B1" s="30">
        <v>1</v>
      </c>
      <c r="C1" s="30">
        <v>2</v>
      </c>
      <c r="D1" s="30">
        <v>3</v>
      </c>
      <c r="E1" s="30">
        <v>4</v>
      </c>
      <c r="F1" s="30">
        <v>5</v>
      </c>
      <c r="G1" s="30">
        <v>6</v>
      </c>
      <c r="H1" s="30">
        <v>7</v>
      </c>
      <c r="I1" s="30">
        <v>8</v>
      </c>
    </row>
    <row r="2" spans="1:9" s="4" customFormat="1" ht="21" customHeight="1" x14ac:dyDescent="0.15">
      <c r="A2" s="141" t="s">
        <v>235</v>
      </c>
      <c r="B2" s="142"/>
      <c r="C2" s="143"/>
      <c r="D2" s="144" t="s">
        <v>236</v>
      </c>
      <c r="E2" s="144">
        <v>30</v>
      </c>
      <c r="F2" s="144">
        <v>40</v>
      </c>
      <c r="G2" s="144">
        <f>15+F2</f>
        <v>55</v>
      </c>
      <c r="H2" s="143"/>
      <c r="I2" s="143"/>
    </row>
    <row r="3" spans="1:9" s="4" customFormat="1" ht="21" customHeight="1" x14ac:dyDescent="0.15">
      <c r="A3" s="141" t="s">
        <v>237</v>
      </c>
      <c r="B3" s="145"/>
      <c r="C3" s="146"/>
      <c r="D3" s="147" t="s">
        <v>236</v>
      </c>
      <c r="E3" s="147">
        <v>25</v>
      </c>
      <c r="F3" s="147">
        <v>35</v>
      </c>
      <c r="G3" s="144">
        <f t="shared" ref="G3:G4" si="0">15+F3</f>
        <v>50</v>
      </c>
      <c r="H3" s="146"/>
      <c r="I3" s="146"/>
    </row>
    <row r="4" spans="1:9" s="4" customFormat="1" ht="21" customHeight="1" x14ac:dyDescent="0.15">
      <c r="A4" s="141" t="s">
        <v>238</v>
      </c>
      <c r="B4" s="148"/>
      <c r="C4" s="149"/>
      <c r="D4" s="150">
        <v>10</v>
      </c>
      <c r="E4" s="150">
        <v>20</v>
      </c>
      <c r="F4" s="150">
        <v>30</v>
      </c>
      <c r="G4" s="150">
        <f t="shared" si="0"/>
        <v>45</v>
      </c>
      <c r="H4" s="149"/>
      <c r="I4" s="149"/>
    </row>
    <row r="5" spans="1:9" s="4" customFormat="1" ht="21" customHeight="1" x14ac:dyDescent="0.15">
      <c r="A5" s="160" t="s">
        <v>239</v>
      </c>
      <c r="B5" s="155"/>
      <c r="C5" s="156"/>
      <c r="D5" s="26">
        <v>9</v>
      </c>
      <c r="E5" s="26">
        <v>18</v>
      </c>
      <c r="F5" s="26">
        <v>28</v>
      </c>
      <c r="G5" s="37">
        <v>38</v>
      </c>
      <c r="H5" s="156"/>
      <c r="I5" s="156"/>
    </row>
    <row r="6" spans="1:9" s="4" customFormat="1" ht="21" customHeight="1" x14ac:dyDescent="0.15">
      <c r="A6" s="160" t="s">
        <v>240</v>
      </c>
      <c r="B6" s="155"/>
      <c r="C6" s="156"/>
      <c r="D6" s="26">
        <v>7</v>
      </c>
      <c r="E6" s="26">
        <v>16</v>
      </c>
      <c r="F6" s="65" t="s">
        <v>11</v>
      </c>
      <c r="G6" s="65" t="s">
        <v>11</v>
      </c>
      <c r="H6" s="156"/>
      <c r="I6" s="156"/>
    </row>
    <row r="7" spans="1:9" ht="21" customHeight="1" x14ac:dyDescent="0.15">
      <c r="A7" s="70" t="s">
        <v>241</v>
      </c>
      <c r="B7" s="43" t="s">
        <v>11</v>
      </c>
      <c r="C7" s="43" t="s">
        <v>11</v>
      </c>
      <c r="D7" s="37" t="s">
        <v>236</v>
      </c>
      <c r="E7" s="37" t="s">
        <v>236</v>
      </c>
      <c r="F7" s="37" t="s">
        <v>236</v>
      </c>
      <c r="G7" s="37" t="s">
        <v>236</v>
      </c>
      <c r="H7" s="37" t="s">
        <v>236</v>
      </c>
      <c r="I7" s="37" t="s">
        <v>236</v>
      </c>
    </row>
    <row r="8" spans="1:9" ht="21" customHeight="1" x14ac:dyDescent="0.15">
      <c r="A8" s="71" t="s">
        <v>242</v>
      </c>
      <c r="B8" s="43" t="s">
        <v>11</v>
      </c>
      <c r="C8" s="43" t="s">
        <v>11</v>
      </c>
      <c r="D8" s="37" t="s">
        <v>236</v>
      </c>
      <c r="E8" s="37">
        <v>30</v>
      </c>
      <c r="F8" s="37">
        <v>40</v>
      </c>
      <c r="G8" s="37">
        <f>15+F8</f>
        <v>55</v>
      </c>
      <c r="H8" s="37" t="s">
        <v>236</v>
      </c>
      <c r="I8" s="37" t="s">
        <v>236</v>
      </c>
    </row>
    <row r="9" spans="1:9" s="42" customFormat="1" ht="21" customHeight="1" x14ac:dyDescent="0.15">
      <c r="A9" s="72" t="s">
        <v>313</v>
      </c>
      <c r="B9" s="26" t="s">
        <v>11</v>
      </c>
      <c r="C9" s="26" t="s">
        <v>11</v>
      </c>
      <c r="D9" s="102" t="s">
        <v>109</v>
      </c>
      <c r="E9" s="102" t="s">
        <v>109</v>
      </c>
      <c r="F9" s="102">
        <v>38</v>
      </c>
      <c r="G9" s="37">
        <f>15+F9</f>
        <v>53</v>
      </c>
      <c r="H9" s="102" t="s">
        <v>109</v>
      </c>
      <c r="I9" s="102" t="s">
        <v>109</v>
      </c>
    </row>
    <row r="10" spans="1:9" s="42" customFormat="1" ht="21" customHeight="1" x14ac:dyDescent="0.15">
      <c r="A10" s="72" t="s">
        <v>243</v>
      </c>
      <c r="B10" s="26" t="s">
        <v>11</v>
      </c>
      <c r="C10" s="26" t="s">
        <v>11</v>
      </c>
      <c r="D10" s="102" t="s">
        <v>236</v>
      </c>
      <c r="E10" s="102">
        <v>25</v>
      </c>
      <c r="F10" s="102">
        <v>35</v>
      </c>
      <c r="G10" s="37">
        <f t="shared" ref="G10:G11" si="1">15+F10</f>
        <v>50</v>
      </c>
      <c r="H10" s="102" t="s">
        <v>236</v>
      </c>
      <c r="I10" s="102" t="s">
        <v>236</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244</v>
      </c>
      <c r="B12" s="65" t="s">
        <v>11</v>
      </c>
      <c r="C12" s="65" t="s">
        <v>11</v>
      </c>
      <c r="D12" s="26">
        <v>9</v>
      </c>
      <c r="E12" s="26">
        <v>18</v>
      </c>
      <c r="F12" s="26">
        <v>28</v>
      </c>
      <c r="G12" s="37">
        <v>38</v>
      </c>
      <c r="H12" s="65" t="s">
        <v>11</v>
      </c>
      <c r="I12" s="65" t="s">
        <v>11</v>
      </c>
    </row>
    <row r="13" spans="1:9" ht="21" customHeight="1" x14ac:dyDescent="0.15">
      <c r="A13" s="72" t="s">
        <v>245</v>
      </c>
      <c r="B13" s="65" t="s">
        <v>11</v>
      </c>
      <c r="C13" s="65" t="s">
        <v>11</v>
      </c>
      <c r="D13" s="26">
        <v>7</v>
      </c>
      <c r="E13" s="26">
        <v>16</v>
      </c>
      <c r="F13" s="183">
        <v>26</v>
      </c>
      <c r="G13" s="65" t="s">
        <v>11</v>
      </c>
      <c r="H13" s="65" t="s">
        <v>11</v>
      </c>
      <c r="I13" s="65" t="s">
        <v>11</v>
      </c>
    </row>
    <row r="14" spans="1:9" ht="21" customHeight="1" x14ac:dyDescent="0.15">
      <c r="A14" s="101" t="s">
        <v>246</v>
      </c>
      <c r="B14" s="65" t="s">
        <v>11</v>
      </c>
      <c r="C14" s="65" t="s">
        <v>11</v>
      </c>
      <c r="D14" s="26">
        <v>8</v>
      </c>
      <c r="E14" s="26">
        <v>17</v>
      </c>
      <c r="F14" s="26">
        <v>26</v>
      </c>
      <c r="G14" s="65" t="s">
        <v>11</v>
      </c>
      <c r="H14" s="65" t="s">
        <v>11</v>
      </c>
      <c r="I14" s="65" t="s">
        <v>11</v>
      </c>
    </row>
    <row r="15" spans="1:9" ht="21" customHeight="1" x14ac:dyDescent="0.15">
      <c r="A15" s="72" t="s">
        <v>247</v>
      </c>
      <c r="B15" s="65" t="s">
        <v>11</v>
      </c>
      <c r="C15" s="65" t="s">
        <v>11</v>
      </c>
      <c r="D15" s="26">
        <v>8</v>
      </c>
      <c r="E15" s="26">
        <v>17</v>
      </c>
      <c r="F15" s="26">
        <v>26</v>
      </c>
      <c r="G15" s="65" t="s">
        <v>11</v>
      </c>
      <c r="H15" s="65" t="s">
        <v>11</v>
      </c>
      <c r="I15" s="65" t="s">
        <v>11</v>
      </c>
    </row>
    <row r="16" spans="1:9" ht="21" customHeight="1" x14ac:dyDescent="0.15">
      <c r="A16" s="72" t="s">
        <v>248</v>
      </c>
      <c r="B16" s="65" t="s">
        <v>11</v>
      </c>
      <c r="C16" s="65" t="s">
        <v>11</v>
      </c>
      <c r="D16" s="26">
        <v>6</v>
      </c>
      <c r="E16" s="26">
        <v>14</v>
      </c>
      <c r="F16" s="65" t="s">
        <v>11</v>
      </c>
      <c r="G16" s="65" t="s">
        <v>11</v>
      </c>
      <c r="H16" s="65" t="s">
        <v>11</v>
      </c>
      <c r="I16" s="65" t="s">
        <v>11</v>
      </c>
    </row>
    <row r="17" spans="1:9" ht="21" customHeight="1" x14ac:dyDescent="0.15">
      <c r="A17" s="72" t="s">
        <v>249</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250</v>
      </c>
      <c r="B20" s="24">
        <v>1</v>
      </c>
      <c r="C20" s="24">
        <v>1</v>
      </c>
      <c r="D20" s="66" t="s">
        <v>11</v>
      </c>
      <c r="E20" s="66" t="s">
        <v>11</v>
      </c>
      <c r="F20" s="66" t="s">
        <v>11</v>
      </c>
      <c r="G20" s="66" t="s">
        <v>11</v>
      </c>
      <c r="H20" s="66" t="s">
        <v>11</v>
      </c>
      <c r="I20" s="66" t="s">
        <v>11</v>
      </c>
    </row>
    <row r="21" spans="1:9" ht="21" customHeight="1" x14ac:dyDescent="0.15">
      <c r="A21" s="35" t="s">
        <v>251</v>
      </c>
      <c r="B21" s="34">
        <v>99</v>
      </c>
      <c r="C21" s="34">
        <v>99</v>
      </c>
      <c r="D21" s="34">
        <v>99</v>
      </c>
      <c r="E21" s="34">
        <v>99</v>
      </c>
      <c r="F21" s="34">
        <v>99</v>
      </c>
      <c r="G21" s="34">
        <v>99</v>
      </c>
      <c r="H21" s="34">
        <v>99</v>
      </c>
      <c r="I21"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235</v>
      </c>
      <c r="B2" s="157"/>
      <c r="C2" s="143"/>
      <c r="D2" s="151" t="s">
        <v>109</v>
      </c>
      <c r="E2" s="151">
        <v>60</v>
      </c>
      <c r="F2" s="151">
        <v>80</v>
      </c>
      <c r="G2" s="151">
        <v>99</v>
      </c>
      <c r="H2" s="143"/>
      <c r="I2" s="143"/>
    </row>
    <row r="3" spans="1:9" s="4" customFormat="1" ht="21" customHeight="1" x14ac:dyDescent="0.15">
      <c r="A3" s="141" t="s">
        <v>237</v>
      </c>
      <c r="B3" s="158"/>
      <c r="C3" s="146"/>
      <c r="D3" s="151" t="s">
        <v>109</v>
      </c>
      <c r="E3" s="151">
        <v>60</v>
      </c>
      <c r="F3" s="151">
        <v>80</v>
      </c>
      <c r="G3" s="151">
        <v>99</v>
      </c>
      <c r="H3" s="146"/>
      <c r="I3" s="146"/>
    </row>
    <row r="4" spans="1:9" s="4" customFormat="1" ht="21" customHeight="1" x14ac:dyDescent="0.15">
      <c r="A4" s="141" t="s">
        <v>231</v>
      </c>
      <c r="B4" s="159"/>
      <c r="C4" s="149"/>
      <c r="D4" s="151">
        <v>40</v>
      </c>
      <c r="E4" s="151">
        <v>60</v>
      </c>
      <c r="F4" s="151">
        <v>80</v>
      </c>
      <c r="G4" s="151">
        <v>99</v>
      </c>
      <c r="H4" s="149"/>
      <c r="I4" s="149"/>
    </row>
    <row r="5" spans="1:9" s="4" customFormat="1" ht="21" customHeight="1" x14ac:dyDescent="0.15">
      <c r="A5" s="160" t="s">
        <v>239</v>
      </c>
      <c r="B5" s="155"/>
      <c r="C5" s="156"/>
      <c r="D5" s="151">
        <v>40</v>
      </c>
      <c r="E5" s="151">
        <v>60</v>
      </c>
      <c r="F5" s="151">
        <v>80</v>
      </c>
      <c r="G5" s="151">
        <v>99</v>
      </c>
      <c r="H5" s="156"/>
      <c r="I5" s="156"/>
    </row>
    <row r="6" spans="1:9" s="4" customFormat="1" ht="21" customHeight="1" x14ac:dyDescent="0.15">
      <c r="A6" s="160" t="s">
        <v>240</v>
      </c>
      <c r="B6" s="155"/>
      <c r="C6" s="156"/>
      <c r="D6" s="151">
        <v>40</v>
      </c>
      <c r="E6" s="151">
        <v>60</v>
      </c>
      <c r="F6" s="151" t="s">
        <v>109</v>
      </c>
      <c r="G6" s="151" t="s">
        <v>109</v>
      </c>
      <c r="H6" s="156"/>
      <c r="I6" s="156"/>
    </row>
    <row r="7" spans="1:9" ht="21" customHeight="1" x14ac:dyDescent="0.15">
      <c r="A7" s="70" t="s">
        <v>207</v>
      </c>
      <c r="B7" s="38" t="s">
        <v>109</v>
      </c>
      <c r="C7" s="38" t="s">
        <v>109</v>
      </c>
      <c r="D7" s="38" t="s">
        <v>109</v>
      </c>
      <c r="E7" s="38" t="s">
        <v>109</v>
      </c>
      <c r="F7" s="38" t="s">
        <v>109</v>
      </c>
      <c r="G7" s="38" t="s">
        <v>109</v>
      </c>
      <c r="H7" s="38" t="s">
        <v>109</v>
      </c>
      <c r="I7" s="38" t="s">
        <v>109</v>
      </c>
    </row>
    <row r="8" spans="1:9" ht="21" customHeight="1" x14ac:dyDescent="0.15">
      <c r="A8" s="71" t="s">
        <v>242</v>
      </c>
      <c r="B8" s="38" t="s">
        <v>109</v>
      </c>
      <c r="C8" s="38" t="s">
        <v>109</v>
      </c>
      <c r="D8" s="38" t="s">
        <v>109</v>
      </c>
      <c r="E8" s="38">
        <v>60</v>
      </c>
      <c r="F8" s="38">
        <v>80</v>
      </c>
      <c r="G8" s="38">
        <v>99</v>
      </c>
      <c r="H8" s="38" t="s">
        <v>109</v>
      </c>
      <c r="I8" s="38" t="s">
        <v>109</v>
      </c>
    </row>
    <row r="9" spans="1:9" s="42" customFormat="1" ht="21" customHeight="1" x14ac:dyDescent="0.15">
      <c r="A9" s="72" t="s">
        <v>314</v>
      </c>
      <c r="B9" s="62" t="s">
        <v>109</v>
      </c>
      <c r="C9" s="62" t="s">
        <v>109</v>
      </c>
      <c r="D9" s="62" t="s">
        <v>109</v>
      </c>
      <c r="E9" s="62" t="s">
        <v>109</v>
      </c>
      <c r="F9" s="62">
        <v>80</v>
      </c>
      <c r="G9" s="62">
        <v>99</v>
      </c>
      <c r="H9" s="62" t="s">
        <v>109</v>
      </c>
      <c r="I9" s="62" t="s">
        <v>109</v>
      </c>
    </row>
    <row r="10" spans="1:9" s="42" customFormat="1" ht="21" customHeight="1" x14ac:dyDescent="0.15">
      <c r="A10" s="72" t="s">
        <v>243</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210</v>
      </c>
      <c r="B12" s="67" t="s">
        <v>109</v>
      </c>
      <c r="C12" s="67" t="s">
        <v>109</v>
      </c>
      <c r="D12" s="34">
        <v>40</v>
      </c>
      <c r="E12" s="34">
        <v>60</v>
      </c>
      <c r="F12" s="34">
        <v>80</v>
      </c>
      <c r="G12" s="62">
        <v>99</v>
      </c>
      <c r="H12" s="67" t="s">
        <v>109</v>
      </c>
      <c r="I12" s="67" t="s">
        <v>109</v>
      </c>
    </row>
    <row r="13" spans="1:9" ht="21" customHeight="1" x14ac:dyDescent="0.15">
      <c r="A13" s="72" t="s">
        <v>206</v>
      </c>
      <c r="B13" s="67" t="s">
        <v>109</v>
      </c>
      <c r="C13" s="67" t="s">
        <v>109</v>
      </c>
      <c r="D13" s="34">
        <v>40</v>
      </c>
      <c r="E13" s="34">
        <v>60</v>
      </c>
      <c r="F13" s="184">
        <v>80</v>
      </c>
      <c r="G13" s="67" t="s">
        <v>109</v>
      </c>
      <c r="H13" s="67" t="s">
        <v>109</v>
      </c>
      <c r="I13" s="67" t="s">
        <v>109</v>
      </c>
    </row>
    <row r="14" spans="1:9" ht="21" customHeight="1" x14ac:dyDescent="0.15">
      <c r="A14" s="101" t="s">
        <v>246</v>
      </c>
      <c r="B14" s="67" t="s">
        <v>109</v>
      </c>
      <c r="C14" s="67" t="s">
        <v>109</v>
      </c>
      <c r="D14" s="34">
        <v>40</v>
      </c>
      <c r="E14" s="34">
        <v>60</v>
      </c>
      <c r="F14" s="34">
        <v>80</v>
      </c>
      <c r="G14" s="67" t="s">
        <v>109</v>
      </c>
      <c r="H14" s="67" t="s">
        <v>109</v>
      </c>
      <c r="I14" s="67" t="s">
        <v>109</v>
      </c>
    </row>
    <row r="15" spans="1:9" ht="21" customHeight="1" x14ac:dyDescent="0.15">
      <c r="A15" s="72" t="s">
        <v>247</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249</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216</v>
      </c>
      <c r="F19" s="67" t="s">
        <v>216</v>
      </c>
      <c r="G19" s="67" t="s">
        <v>216</v>
      </c>
      <c r="H19" s="67" t="s">
        <v>216</v>
      </c>
      <c r="I19" s="67" t="s">
        <v>216</v>
      </c>
    </row>
    <row r="20" spans="1:9" ht="21" customHeight="1" x14ac:dyDescent="0.15">
      <c r="A20" s="74" t="s">
        <v>250</v>
      </c>
      <c r="B20" s="34">
        <v>10</v>
      </c>
      <c r="C20" s="34">
        <v>20</v>
      </c>
      <c r="D20" s="67" t="s">
        <v>216</v>
      </c>
      <c r="E20" s="67" t="s">
        <v>216</v>
      </c>
      <c r="F20" s="67" t="s">
        <v>216</v>
      </c>
      <c r="G20" s="67" t="s">
        <v>216</v>
      </c>
      <c r="H20" s="67" t="s">
        <v>216</v>
      </c>
      <c r="I20" s="67" t="s">
        <v>216</v>
      </c>
    </row>
    <row r="21" spans="1:9" ht="21" customHeight="1" x14ac:dyDescent="0.15">
      <c r="A21" s="35" t="s">
        <v>251</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235</v>
      </c>
      <c r="B2" s="142"/>
      <c r="C2" s="143"/>
      <c r="D2" s="151" t="s">
        <v>109</v>
      </c>
      <c r="E2" s="152" t="s">
        <v>59</v>
      </c>
      <c r="F2" s="152" t="s">
        <v>59</v>
      </c>
      <c r="G2" s="152" t="s">
        <v>252</v>
      </c>
      <c r="H2" s="143"/>
      <c r="I2" s="143"/>
    </row>
    <row r="3" spans="1:11" s="4" customFormat="1" ht="21" customHeight="1" x14ac:dyDescent="0.15">
      <c r="A3" s="141" t="s">
        <v>237</v>
      </c>
      <c r="B3" s="145"/>
      <c r="C3" s="146"/>
      <c r="D3" s="152" t="s">
        <v>59</v>
      </c>
      <c r="E3" s="152" t="s">
        <v>59</v>
      </c>
      <c r="F3" s="152" t="s">
        <v>59</v>
      </c>
      <c r="G3" s="152" t="s">
        <v>230</v>
      </c>
      <c r="H3" s="146"/>
      <c r="I3" s="146"/>
    </row>
    <row r="4" spans="1:11" s="4" customFormat="1" ht="21" customHeight="1" x14ac:dyDescent="0.15">
      <c r="A4" s="141" t="s">
        <v>231</v>
      </c>
      <c r="B4" s="148"/>
      <c r="C4" s="149"/>
      <c r="D4" s="153" t="s">
        <v>59</v>
      </c>
      <c r="E4" s="153" t="s">
        <v>59</v>
      </c>
      <c r="F4" s="153" t="s">
        <v>59</v>
      </c>
      <c r="G4" s="152" t="s">
        <v>230</v>
      </c>
      <c r="H4" s="149"/>
      <c r="I4" s="149"/>
    </row>
    <row r="5" spans="1:11" s="4" customFormat="1" ht="21" customHeight="1" x14ac:dyDescent="0.15">
      <c r="A5" s="160" t="s">
        <v>239</v>
      </c>
      <c r="B5" s="155"/>
      <c r="C5" s="156"/>
      <c r="D5" s="153" t="s">
        <v>59</v>
      </c>
      <c r="E5" s="153" t="s">
        <v>59</v>
      </c>
      <c r="F5" s="153" t="s">
        <v>59</v>
      </c>
      <c r="G5" s="152" t="s">
        <v>220</v>
      </c>
      <c r="H5" s="156"/>
      <c r="I5" s="156"/>
    </row>
    <row r="6" spans="1:11" s="4" customFormat="1" ht="21" customHeight="1" x14ac:dyDescent="0.15">
      <c r="A6" s="160" t="s">
        <v>240</v>
      </c>
      <c r="B6" s="155"/>
      <c r="C6" s="156"/>
      <c r="D6" s="161" t="s">
        <v>60</v>
      </c>
      <c r="E6" s="161" t="s">
        <v>60</v>
      </c>
      <c r="F6" s="151" t="s">
        <v>109</v>
      </c>
      <c r="G6" s="151" t="s">
        <v>109</v>
      </c>
      <c r="H6" s="156"/>
      <c r="I6" s="156"/>
    </row>
    <row r="7" spans="1:11" ht="21" customHeight="1" x14ac:dyDescent="0.15">
      <c r="A7" s="70" t="s">
        <v>207</v>
      </c>
      <c r="B7" s="38" t="s">
        <v>109</v>
      </c>
      <c r="C7" s="38" t="s">
        <v>109</v>
      </c>
      <c r="D7" s="38" t="s">
        <v>109</v>
      </c>
      <c r="E7" s="38" t="s">
        <v>109</v>
      </c>
      <c r="F7" s="38" t="s">
        <v>109</v>
      </c>
      <c r="G7" s="38" t="s">
        <v>109</v>
      </c>
      <c r="H7" s="38" t="s">
        <v>109</v>
      </c>
      <c r="I7" s="38" t="s">
        <v>109</v>
      </c>
    </row>
    <row r="8" spans="1:11" ht="21" customHeight="1" x14ac:dyDescent="0.15">
      <c r="A8" s="71" t="s">
        <v>242</v>
      </c>
      <c r="B8" s="38" t="s">
        <v>109</v>
      </c>
      <c r="C8" s="38" t="s">
        <v>109</v>
      </c>
      <c r="D8" s="38" t="s">
        <v>217</v>
      </c>
      <c r="E8" s="48" t="s">
        <v>115</v>
      </c>
      <c r="F8" s="48" t="s">
        <v>115</v>
      </c>
      <c r="G8" s="48" t="s">
        <v>218</v>
      </c>
      <c r="H8" s="38" t="s">
        <v>217</v>
      </c>
      <c r="I8" s="38" t="s">
        <v>109</v>
      </c>
    </row>
    <row r="9" spans="1:11" s="42" customFormat="1" ht="21" customHeight="1" x14ac:dyDescent="0.15">
      <c r="A9" s="72" t="s">
        <v>313</v>
      </c>
      <c r="B9" s="62" t="s">
        <v>109</v>
      </c>
      <c r="C9" s="62" t="s">
        <v>109</v>
      </c>
      <c r="D9" s="62" t="s">
        <v>109</v>
      </c>
      <c r="E9" s="62" t="s">
        <v>109</v>
      </c>
      <c r="F9" s="48" t="s">
        <v>59</v>
      </c>
      <c r="G9" s="48" t="s">
        <v>115</v>
      </c>
      <c r="H9" s="62" t="s">
        <v>109</v>
      </c>
      <c r="I9" s="62" t="s">
        <v>109</v>
      </c>
    </row>
    <row r="10" spans="1:11" s="42" customFormat="1" ht="21" customHeight="1" x14ac:dyDescent="0.15">
      <c r="A10" s="72" t="s">
        <v>243</v>
      </c>
      <c r="B10" s="62" t="s">
        <v>109</v>
      </c>
      <c r="C10" s="62" t="s">
        <v>109</v>
      </c>
      <c r="D10" s="62" t="s">
        <v>109</v>
      </c>
      <c r="E10" s="48" t="s">
        <v>59</v>
      </c>
      <c r="F10" s="48" t="s">
        <v>59</v>
      </c>
      <c r="G10" s="48" t="s">
        <v>115</v>
      </c>
      <c r="H10" s="62" t="s">
        <v>219</v>
      </c>
      <c r="I10" s="62" t="s">
        <v>219</v>
      </c>
    </row>
    <row r="11" spans="1:11" ht="21" customHeight="1" x14ac:dyDescent="0.15">
      <c r="A11" s="72" t="s">
        <v>9</v>
      </c>
      <c r="B11" s="67" t="s">
        <v>109</v>
      </c>
      <c r="C11" s="67" t="s">
        <v>109</v>
      </c>
      <c r="D11" s="48" t="s">
        <v>59</v>
      </c>
      <c r="E11" s="48" t="s">
        <v>59</v>
      </c>
      <c r="F11" s="48" t="s">
        <v>59</v>
      </c>
      <c r="G11" s="48" t="s">
        <v>220</v>
      </c>
      <c r="H11" s="67" t="s">
        <v>219</v>
      </c>
      <c r="I11" s="67" t="s">
        <v>219</v>
      </c>
      <c r="K11" s="25" t="s">
        <v>12</v>
      </c>
    </row>
    <row r="12" spans="1:11" ht="21" customHeight="1" x14ac:dyDescent="0.15">
      <c r="A12" s="72" t="s">
        <v>210</v>
      </c>
      <c r="B12" s="67" t="s">
        <v>109</v>
      </c>
      <c r="C12" s="67" t="s">
        <v>109</v>
      </c>
      <c r="D12" s="49" t="s">
        <v>59</v>
      </c>
      <c r="E12" s="49" t="s">
        <v>59</v>
      </c>
      <c r="F12" s="49" t="s">
        <v>59</v>
      </c>
      <c r="G12" s="48" t="s">
        <v>220</v>
      </c>
      <c r="H12" s="67" t="s">
        <v>219</v>
      </c>
      <c r="I12" s="67" t="s">
        <v>219</v>
      </c>
      <c r="K12" s="27" t="s">
        <v>13</v>
      </c>
    </row>
    <row r="13" spans="1:11" ht="21" customHeight="1" x14ac:dyDescent="0.15">
      <c r="A13" s="72" t="s">
        <v>206</v>
      </c>
      <c r="B13" s="67" t="s">
        <v>109</v>
      </c>
      <c r="C13" s="67" t="s">
        <v>109</v>
      </c>
      <c r="D13" s="50" t="s">
        <v>60</v>
      </c>
      <c r="E13" s="50" t="s">
        <v>60</v>
      </c>
      <c r="F13" s="185" t="s">
        <v>59</v>
      </c>
      <c r="G13" s="67" t="s">
        <v>109</v>
      </c>
      <c r="H13" s="67" t="s">
        <v>109</v>
      </c>
      <c r="I13" s="67" t="s">
        <v>109</v>
      </c>
      <c r="K13" s="68" t="s">
        <v>35</v>
      </c>
    </row>
    <row r="14" spans="1:11" ht="21" customHeight="1" x14ac:dyDescent="0.15">
      <c r="A14" s="101" t="s">
        <v>246</v>
      </c>
      <c r="B14" s="67" t="s">
        <v>109</v>
      </c>
      <c r="C14" s="67" t="s">
        <v>109</v>
      </c>
      <c r="D14" s="51" t="s">
        <v>59</v>
      </c>
      <c r="E14" s="51" t="s">
        <v>59</v>
      </c>
      <c r="F14" s="51" t="s">
        <v>59</v>
      </c>
      <c r="G14" s="67" t="s">
        <v>109</v>
      </c>
      <c r="H14" s="67" t="s">
        <v>109</v>
      </c>
      <c r="I14" s="67" t="s">
        <v>109</v>
      </c>
      <c r="K14" s="69"/>
    </row>
    <row r="15" spans="1:11" ht="21" customHeight="1" x14ac:dyDescent="0.15">
      <c r="A15" s="72" t="s">
        <v>247</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249</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250</v>
      </c>
      <c r="B20" s="49" t="s">
        <v>63</v>
      </c>
      <c r="C20" s="49" t="s">
        <v>63</v>
      </c>
      <c r="D20" s="67" t="s">
        <v>109</v>
      </c>
      <c r="E20" s="67" t="s">
        <v>109</v>
      </c>
      <c r="F20" s="67" t="s">
        <v>109</v>
      </c>
      <c r="G20" s="67" t="s">
        <v>109</v>
      </c>
      <c r="H20" s="67" t="s">
        <v>109</v>
      </c>
      <c r="I20" s="67" t="s">
        <v>109</v>
      </c>
    </row>
    <row r="21" spans="1:9" ht="21" customHeight="1" x14ac:dyDescent="0.15">
      <c r="A21" s="35" t="s">
        <v>251</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228</v>
      </c>
      <c r="B2" s="142"/>
      <c r="C2" s="143"/>
      <c r="D2" s="154" t="s">
        <v>11</v>
      </c>
      <c r="E2" s="154">
        <v>8000</v>
      </c>
      <c r="F2" s="154">
        <v>10000</v>
      </c>
      <c r="G2" s="154">
        <v>14000</v>
      </c>
      <c r="H2" s="143"/>
      <c r="I2" s="143"/>
    </row>
    <row r="3" spans="1:9" s="4" customFormat="1" ht="21" customHeight="1" x14ac:dyDescent="0.15">
      <c r="A3" s="141" t="s">
        <v>229</v>
      </c>
      <c r="B3" s="145"/>
      <c r="C3" s="146"/>
      <c r="D3" s="154" t="s">
        <v>11</v>
      </c>
      <c r="E3" s="154">
        <v>7500</v>
      </c>
      <c r="F3" s="154">
        <v>9500</v>
      </c>
      <c r="G3" s="154">
        <v>13000</v>
      </c>
      <c r="H3" s="146"/>
      <c r="I3" s="146"/>
    </row>
    <row r="4" spans="1:9" s="4" customFormat="1" ht="21" customHeight="1" x14ac:dyDescent="0.15">
      <c r="A4" s="141" t="s">
        <v>231</v>
      </c>
      <c r="B4" s="148"/>
      <c r="C4" s="149"/>
      <c r="D4" s="154">
        <v>5000</v>
      </c>
      <c r="E4" s="154">
        <v>7000</v>
      </c>
      <c r="F4" s="154">
        <v>9000</v>
      </c>
      <c r="G4" s="154">
        <v>12000</v>
      </c>
      <c r="H4" s="149"/>
      <c r="I4" s="149"/>
    </row>
    <row r="5" spans="1:9" s="4" customFormat="1" ht="21" customHeight="1" x14ac:dyDescent="0.15">
      <c r="A5" s="160" t="s">
        <v>232</v>
      </c>
      <c r="B5" s="155"/>
      <c r="C5" s="156"/>
      <c r="D5" s="154">
        <v>4900</v>
      </c>
      <c r="E5" s="154">
        <v>6700</v>
      </c>
      <c r="F5" s="154">
        <v>8500</v>
      </c>
      <c r="G5" s="154">
        <v>11000</v>
      </c>
      <c r="H5" s="156"/>
      <c r="I5" s="156"/>
    </row>
    <row r="6" spans="1:9" s="4" customFormat="1" ht="21" customHeight="1" x14ac:dyDescent="0.15">
      <c r="A6" s="160" t="s">
        <v>233</v>
      </c>
      <c r="B6" s="155"/>
      <c r="C6" s="156"/>
      <c r="D6" s="154">
        <v>4800</v>
      </c>
      <c r="E6" s="154">
        <v>6600</v>
      </c>
      <c r="F6" s="154" t="s">
        <v>11</v>
      </c>
      <c r="G6" s="154" t="s">
        <v>11</v>
      </c>
      <c r="H6" s="156"/>
      <c r="I6" s="156"/>
    </row>
    <row r="7" spans="1:9" ht="21" customHeight="1" x14ac:dyDescent="0.15">
      <c r="A7" s="70" t="s">
        <v>207</v>
      </c>
      <c r="B7" s="43" t="s">
        <v>11</v>
      </c>
      <c r="C7" s="43" t="s">
        <v>11</v>
      </c>
      <c r="D7" s="43" t="s">
        <v>11</v>
      </c>
      <c r="E7" s="43" t="s">
        <v>11</v>
      </c>
      <c r="F7" s="43" t="s">
        <v>11</v>
      </c>
      <c r="G7" s="43" t="s">
        <v>11</v>
      </c>
      <c r="H7" s="43" t="s">
        <v>11</v>
      </c>
      <c r="I7" s="43" t="s">
        <v>11</v>
      </c>
    </row>
    <row r="8" spans="1:9" ht="21" customHeight="1" x14ac:dyDescent="0.15">
      <c r="A8" s="71" t="s">
        <v>208</v>
      </c>
      <c r="B8" s="43" t="s">
        <v>11</v>
      </c>
      <c r="C8" s="43" t="s">
        <v>11</v>
      </c>
      <c r="D8" s="43" t="s">
        <v>11</v>
      </c>
      <c r="E8" s="43">
        <v>8000</v>
      </c>
      <c r="F8" s="26">
        <v>10000</v>
      </c>
      <c r="G8" s="43">
        <v>14000</v>
      </c>
      <c r="H8" s="43" t="s">
        <v>11</v>
      </c>
      <c r="I8" s="43" t="s">
        <v>11</v>
      </c>
    </row>
    <row r="9" spans="1:9" s="42" customFormat="1" ht="21" customHeight="1" x14ac:dyDescent="0.15">
      <c r="A9" s="182" t="s">
        <v>315</v>
      </c>
      <c r="B9" s="26" t="s">
        <v>11</v>
      </c>
      <c r="C9" s="26" t="s">
        <v>11</v>
      </c>
      <c r="D9" s="26" t="s">
        <v>11</v>
      </c>
      <c r="E9" s="26" t="s">
        <v>11</v>
      </c>
      <c r="F9" s="26">
        <v>10000</v>
      </c>
      <c r="G9" s="43">
        <v>14000</v>
      </c>
      <c r="H9" s="26" t="s">
        <v>11</v>
      </c>
      <c r="I9" s="26" t="s">
        <v>11</v>
      </c>
    </row>
    <row r="10" spans="1:9" s="42" customFormat="1" ht="21" customHeight="1" x14ac:dyDescent="0.15">
      <c r="A10" s="72" t="s">
        <v>209</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210</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211</v>
      </c>
      <c r="B14" s="65" t="s">
        <v>11</v>
      </c>
      <c r="C14" s="65" t="s">
        <v>11</v>
      </c>
      <c r="D14" s="65" t="s">
        <v>11</v>
      </c>
      <c r="E14" s="26">
        <v>6300</v>
      </c>
      <c r="F14" s="65" t="s">
        <v>11</v>
      </c>
      <c r="G14" s="65" t="s">
        <v>11</v>
      </c>
      <c r="H14" s="65" t="s">
        <v>11</v>
      </c>
      <c r="I14" s="65" t="s">
        <v>11</v>
      </c>
    </row>
    <row r="15" spans="1:9" ht="21" customHeight="1" x14ac:dyDescent="0.15">
      <c r="A15" s="72" t="s">
        <v>212</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213</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214</v>
      </c>
      <c r="B20" s="26">
        <v>1500</v>
      </c>
      <c r="C20" s="26">
        <v>2300</v>
      </c>
      <c r="D20" s="65" t="s">
        <v>11</v>
      </c>
      <c r="E20" s="65" t="s">
        <v>11</v>
      </c>
      <c r="F20" s="65" t="s">
        <v>11</v>
      </c>
      <c r="G20" s="65" t="s">
        <v>11</v>
      </c>
      <c r="H20" s="65" t="s">
        <v>11</v>
      </c>
      <c r="I20" s="65" t="s">
        <v>11</v>
      </c>
    </row>
    <row r="21" spans="1:9" ht="21" customHeight="1" x14ac:dyDescent="0.15">
      <c r="A21" s="35" t="s">
        <v>215</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199</v>
      </c>
      <c r="B2" s="11">
        <v>591</v>
      </c>
    </row>
    <row r="3" spans="1:4" x14ac:dyDescent="0.15">
      <c r="A3" t="s">
        <v>200</v>
      </c>
      <c r="B3" s="128">
        <v>592</v>
      </c>
    </row>
    <row r="4" spans="1:4" x14ac:dyDescent="0.15">
      <c r="A4" t="s">
        <v>201</v>
      </c>
      <c r="B4" s="128">
        <v>593</v>
      </c>
    </row>
    <row r="7" spans="1:4" x14ac:dyDescent="0.15">
      <c r="A7" t="s">
        <v>202</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221</v>
      </c>
    </row>
    <row r="13" spans="1:4" x14ac:dyDescent="0.15">
      <c r="B13" t="s">
        <v>225</v>
      </c>
      <c r="C13" t="s">
        <v>226</v>
      </c>
      <c r="D13" t="s">
        <v>227</v>
      </c>
    </row>
    <row r="14" spans="1:4" x14ac:dyDescent="0.15">
      <c r="A14" t="s">
        <v>223</v>
      </c>
      <c r="B14" t="e">
        <f>VLOOKUP($B2,units!$A:$BN,63)</f>
        <v>#N/A</v>
      </c>
      <c r="C14" t="e">
        <f>VLOOKUP($B2,units!$A:$BN,64)</f>
        <v>#N/A</v>
      </c>
      <c r="D14" t="e">
        <f>VLOOKUP($B2,units!$A:$BN,66)</f>
        <v>#N/A</v>
      </c>
    </row>
    <row r="15" spans="1:4" x14ac:dyDescent="0.15">
      <c r="A15" t="s">
        <v>224</v>
      </c>
      <c r="B15" t="e">
        <f>VLOOKUP($B3,units!$A:$BN,63)</f>
        <v>#N/A</v>
      </c>
      <c r="C15" t="e">
        <f>VLOOKUP($B3,units!$A:$BN,64)</f>
        <v>#N/A</v>
      </c>
      <c r="D15" t="e">
        <f>VLOOKUP($B3,units!$A:$BN,66)</f>
        <v>#N/A</v>
      </c>
    </row>
    <row r="16" spans="1:4" x14ac:dyDescent="0.15">
      <c r="A16" t="s">
        <v>222</v>
      </c>
      <c r="B16" t="e">
        <f>VLOOKUP($B4,units!$A:$BN,63)</f>
        <v>#N/A</v>
      </c>
      <c r="C16" t="e">
        <f>VLOOKUP($B4,units!$A:$BN,64)</f>
        <v>#N/A</v>
      </c>
      <c r="D16" t="e">
        <f>VLOOKUP($B4,units!$A:$BN,66)</f>
        <v>#N/A</v>
      </c>
    </row>
    <row r="19" spans="1:1" ht="19" customHeight="1" x14ac:dyDescent="0.15">
      <c r="A19" t="s">
        <v>203</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204</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205</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ghosts_label</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2017-06-06T07:30:18Z</dcterms:modified>
</cp:coreProperties>
</file>