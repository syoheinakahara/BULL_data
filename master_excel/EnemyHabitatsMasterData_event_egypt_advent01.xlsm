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40" yWindow="840" windowWidth="28840" windowHeight="18940" tabRatio="740" firstSheet="2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1" l="1"/>
  <c r="B23" i="21"/>
  <c r="B22" i="21"/>
  <c r="B21" i="21"/>
  <c r="B11" i="21"/>
  <c r="B10" i="21"/>
  <c r="B9" i="21"/>
  <c r="B8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B18" i="21"/>
  <c r="I18" i="21"/>
  <c r="J18" i="21"/>
  <c r="G18" i="21"/>
  <c r="F18" i="21"/>
  <c r="D18" i="21"/>
  <c r="C18" i="21"/>
  <c r="B19" i="21"/>
  <c r="I19" i="21"/>
  <c r="J19" i="21"/>
  <c r="G19" i="21"/>
  <c r="F19" i="21"/>
  <c r="D19" i="21"/>
  <c r="C19" i="21"/>
  <c r="G57" i="9"/>
  <c r="A11" i="1"/>
  <c r="D11" i="1"/>
  <c r="E11" i="1"/>
  <c r="F11" i="1"/>
  <c r="H1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I11" i="1"/>
  <c r="J11" i="1"/>
  <c r="M11" i="1"/>
  <c r="N11" i="1"/>
  <c r="O11" i="1"/>
  <c r="P11" i="1"/>
  <c r="Q11" i="1"/>
  <c r="T11" i="1"/>
  <c r="V11" i="1"/>
  <c r="E18" i="9"/>
  <c r="X11" i="1"/>
  <c r="AD11" i="1"/>
  <c r="AE11" i="1"/>
  <c r="AF11" i="1"/>
  <c r="AG11" i="1"/>
  <c r="AI11" i="1"/>
  <c r="A12" i="1"/>
  <c r="D12" i="1"/>
  <c r="E12" i="1"/>
  <c r="F12" i="1"/>
  <c r="M12" i="1"/>
  <c r="N12" i="1"/>
  <c r="O12" i="1"/>
  <c r="P12" i="1"/>
  <c r="Q12" i="1"/>
  <c r="T12" i="1"/>
  <c r="V12" i="1"/>
  <c r="E21" i="9"/>
  <c r="X12" i="1"/>
  <c r="AD12" i="1"/>
  <c r="AE12" i="1"/>
  <c r="AF12" i="1"/>
  <c r="AG12" i="1"/>
  <c r="AI12" i="1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95" i="11"/>
  <c r="J94" i="11"/>
  <c r="J93" i="11"/>
  <c r="J92" i="11"/>
  <c r="J91" i="11"/>
  <c r="J90" i="11"/>
  <c r="J89" i="11"/>
  <c r="J88" i="11"/>
  <c r="J87" i="11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55" i="10"/>
  <c r="T55" i="10"/>
  <c r="W55" i="10"/>
  <c r="V55" i="10"/>
  <c r="X55" i="10"/>
  <c r="U55" i="10"/>
  <c r="Y55" i="10"/>
  <c r="M64" i="10"/>
  <c r="N64" i="10"/>
  <c r="Q64" i="10"/>
  <c r="P64" i="10"/>
  <c r="R64" i="10"/>
  <c r="O64" i="10"/>
  <c r="S64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M70" i="10"/>
  <c r="N70" i="10"/>
  <c r="Q70" i="10"/>
  <c r="P70" i="10"/>
  <c r="R70" i="10"/>
  <c r="O70" i="10"/>
  <c r="S70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M71" i="10"/>
  <c r="N71" i="10"/>
  <c r="Q71" i="10"/>
  <c r="P71" i="10"/>
  <c r="R71" i="10"/>
  <c r="O71" i="10"/>
  <c r="S71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M68" i="10"/>
  <c r="M78" i="10"/>
  <c r="N78" i="10"/>
  <c r="Q78" i="10"/>
  <c r="P78" i="10"/>
  <c r="R78" i="10"/>
  <c r="O78" i="10"/>
  <c r="S78" i="10"/>
  <c r="N68" i="10"/>
  <c r="Q68" i="10"/>
  <c r="P68" i="10"/>
  <c r="R68" i="10"/>
  <c r="O68" i="10"/>
  <c r="S68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M69" i="10"/>
  <c r="M77" i="10"/>
  <c r="N77" i="10"/>
  <c r="Q77" i="10"/>
  <c r="P77" i="10"/>
  <c r="R77" i="10"/>
  <c r="O77" i="10"/>
  <c r="S77" i="10"/>
  <c r="N69" i="10"/>
  <c r="Q69" i="10"/>
  <c r="P69" i="10"/>
  <c r="R69" i="10"/>
  <c r="O69" i="10"/>
  <c r="S69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M65" i="10"/>
  <c r="N65" i="10"/>
  <c r="Q65" i="10"/>
  <c r="P65" i="10"/>
  <c r="R65" i="10"/>
  <c r="O65" i="10"/>
  <c r="S65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O96" i="9"/>
  <c r="N96" i="9"/>
  <c r="M96" i="9"/>
  <c r="L96" i="9"/>
  <c r="K96" i="9"/>
  <c r="J96" i="9"/>
  <c r="I96" i="9"/>
  <c r="H96" i="9"/>
  <c r="G96" i="9"/>
  <c r="E96" i="9"/>
  <c r="D96" i="9"/>
  <c r="A96" i="9"/>
  <c r="O86" i="9"/>
  <c r="N86" i="9"/>
  <c r="M86" i="9"/>
  <c r="L86" i="9"/>
  <c r="K86" i="9"/>
  <c r="J86" i="9"/>
  <c r="I86" i="9"/>
  <c r="H86" i="9"/>
  <c r="G86" i="9"/>
  <c r="E86" i="9"/>
  <c r="D86" i="9"/>
  <c r="A86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86" i="11"/>
  <c r="J85" i="11"/>
  <c r="J45" i="11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6" i="10"/>
  <c r="T46" i="10"/>
  <c r="W46" i="10"/>
  <c r="V46" i="10"/>
  <c r="X46" i="10"/>
  <c r="U46" i="10"/>
  <c r="Y46" i="10"/>
  <c r="M66" i="10"/>
  <c r="N66" i="10"/>
  <c r="Q66" i="10"/>
  <c r="P66" i="10"/>
  <c r="R66" i="10"/>
  <c r="O66" i="10"/>
  <c r="S6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G58" i="9"/>
  <c r="H57" i="9"/>
  <c r="I57" i="9"/>
  <c r="J57" i="9"/>
  <c r="K57" i="9"/>
  <c r="L57" i="9"/>
  <c r="M57" i="9"/>
  <c r="N57" i="9"/>
  <c r="O57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1" i="9"/>
  <c r="H61" i="9"/>
  <c r="I61" i="9"/>
  <c r="J61" i="9"/>
  <c r="K61" i="9"/>
  <c r="L61" i="9"/>
  <c r="M61" i="9"/>
  <c r="N61" i="9"/>
  <c r="O61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4" i="9"/>
  <c r="H64" i="9"/>
  <c r="I64" i="9"/>
  <c r="J64" i="9"/>
  <c r="K64" i="9"/>
  <c r="L64" i="9"/>
  <c r="M64" i="9"/>
  <c r="N64" i="9"/>
  <c r="O64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7" i="9"/>
  <c r="H67" i="9"/>
  <c r="I67" i="9"/>
  <c r="J67" i="9"/>
  <c r="K67" i="9"/>
  <c r="L67" i="9"/>
  <c r="M67" i="9"/>
  <c r="N67" i="9"/>
  <c r="O67" i="9"/>
  <c r="G68" i="9"/>
  <c r="H68" i="9"/>
  <c r="I68" i="9"/>
  <c r="J68" i="9"/>
  <c r="K68" i="9"/>
  <c r="L68" i="9"/>
  <c r="M68" i="9"/>
  <c r="N68" i="9"/>
  <c r="O68" i="9"/>
  <c r="G69" i="9"/>
  <c r="H69" i="9"/>
  <c r="I69" i="9"/>
  <c r="J69" i="9"/>
  <c r="K69" i="9"/>
  <c r="L69" i="9"/>
  <c r="M69" i="9"/>
  <c r="N69" i="9"/>
  <c r="O69" i="9"/>
  <c r="G70" i="9"/>
  <c r="H70" i="9"/>
  <c r="I70" i="9"/>
  <c r="J70" i="9"/>
  <c r="K70" i="9"/>
  <c r="L70" i="9"/>
  <c r="M70" i="9"/>
  <c r="N70" i="9"/>
  <c r="O70" i="9"/>
  <c r="G71" i="9"/>
  <c r="H71" i="9"/>
  <c r="I71" i="9"/>
  <c r="J71" i="9"/>
  <c r="K71" i="9"/>
  <c r="L71" i="9"/>
  <c r="M71" i="9"/>
  <c r="N71" i="9"/>
  <c r="O71" i="9"/>
  <c r="G72" i="9"/>
  <c r="H72" i="9"/>
  <c r="I72" i="9"/>
  <c r="J72" i="9"/>
  <c r="K72" i="9"/>
  <c r="L72" i="9"/>
  <c r="M72" i="9"/>
  <c r="N72" i="9"/>
  <c r="O72" i="9"/>
  <c r="G73" i="9"/>
  <c r="H73" i="9"/>
  <c r="I73" i="9"/>
  <c r="J73" i="9"/>
  <c r="K73" i="9"/>
  <c r="L73" i="9"/>
  <c r="M73" i="9"/>
  <c r="N73" i="9"/>
  <c r="O73" i="9"/>
  <c r="G74" i="9"/>
  <c r="H74" i="9"/>
  <c r="I74" i="9"/>
  <c r="J74" i="9"/>
  <c r="K74" i="9"/>
  <c r="L74" i="9"/>
  <c r="M74" i="9"/>
  <c r="N74" i="9"/>
  <c r="O74" i="9"/>
  <c r="G75" i="9"/>
  <c r="H75" i="9"/>
  <c r="I75" i="9"/>
  <c r="J75" i="9"/>
  <c r="K75" i="9"/>
  <c r="L75" i="9"/>
  <c r="M75" i="9"/>
  <c r="N75" i="9"/>
  <c r="O75" i="9"/>
  <c r="G76" i="9"/>
  <c r="H76" i="9"/>
  <c r="I76" i="9"/>
  <c r="J76" i="9"/>
  <c r="K76" i="9"/>
  <c r="L76" i="9"/>
  <c r="M76" i="9"/>
  <c r="N76" i="9"/>
  <c r="O76" i="9"/>
  <c r="G77" i="9"/>
  <c r="H77" i="9"/>
  <c r="I77" i="9"/>
  <c r="J77" i="9"/>
  <c r="K77" i="9"/>
  <c r="L77" i="9"/>
  <c r="M77" i="9"/>
  <c r="N77" i="9"/>
  <c r="O77" i="9"/>
  <c r="G78" i="9"/>
  <c r="H78" i="9"/>
  <c r="I78" i="9"/>
  <c r="J78" i="9"/>
  <c r="K78" i="9"/>
  <c r="L78" i="9"/>
  <c r="M78" i="9"/>
  <c r="N78" i="9"/>
  <c r="O78" i="9"/>
  <c r="G79" i="9"/>
  <c r="H79" i="9"/>
  <c r="I79" i="9"/>
  <c r="J79" i="9"/>
  <c r="K79" i="9"/>
  <c r="L79" i="9"/>
  <c r="M79" i="9"/>
  <c r="N79" i="9"/>
  <c r="O79" i="9"/>
  <c r="G80" i="9"/>
  <c r="H80" i="9"/>
  <c r="I80" i="9"/>
  <c r="J80" i="9"/>
  <c r="K80" i="9"/>
  <c r="L80" i="9"/>
  <c r="M80" i="9"/>
  <c r="N80" i="9"/>
  <c r="O80" i="9"/>
  <c r="G81" i="9"/>
  <c r="H81" i="9"/>
  <c r="I81" i="9"/>
  <c r="J81" i="9"/>
  <c r="K81" i="9"/>
  <c r="L81" i="9"/>
  <c r="M81" i="9"/>
  <c r="N81" i="9"/>
  <c r="O81" i="9"/>
  <c r="G82" i="9"/>
  <c r="H82" i="9"/>
  <c r="I82" i="9"/>
  <c r="J82" i="9"/>
  <c r="K82" i="9"/>
  <c r="L82" i="9"/>
  <c r="M82" i="9"/>
  <c r="N82" i="9"/>
  <c r="O82" i="9"/>
  <c r="G83" i="9"/>
  <c r="H83" i="9"/>
  <c r="I83" i="9"/>
  <c r="J83" i="9"/>
  <c r="K83" i="9"/>
  <c r="L83" i="9"/>
  <c r="M83" i="9"/>
  <c r="N83" i="9"/>
  <c r="O83" i="9"/>
  <c r="G84" i="9"/>
  <c r="H84" i="9"/>
  <c r="I84" i="9"/>
  <c r="J84" i="9"/>
  <c r="K84" i="9"/>
  <c r="L84" i="9"/>
  <c r="M84" i="9"/>
  <c r="N84" i="9"/>
  <c r="O84" i="9"/>
  <c r="G85" i="9"/>
  <c r="H85" i="9"/>
  <c r="I85" i="9"/>
  <c r="J85" i="9"/>
  <c r="K85" i="9"/>
  <c r="L85" i="9"/>
  <c r="M85" i="9"/>
  <c r="N85" i="9"/>
  <c r="O85" i="9"/>
  <c r="E85" i="9"/>
  <c r="D85" i="9"/>
  <c r="A85" i="9"/>
  <c r="E84" i="9"/>
  <c r="D84" i="9"/>
  <c r="A84" i="9"/>
  <c r="E83" i="9"/>
  <c r="D83" i="9"/>
  <c r="A83" i="9"/>
  <c r="E82" i="9"/>
  <c r="D82" i="9"/>
  <c r="A82" i="9"/>
  <c r="E81" i="9"/>
  <c r="D81" i="9"/>
  <c r="A81" i="9"/>
  <c r="E80" i="9"/>
  <c r="D80" i="9"/>
  <c r="A80" i="9"/>
  <c r="E79" i="9"/>
  <c r="D79" i="9"/>
  <c r="A79" i="9"/>
  <c r="E78" i="9"/>
  <c r="D78" i="9"/>
  <c r="A78" i="9"/>
  <c r="E77" i="9"/>
  <c r="D77" i="9"/>
  <c r="A77" i="9"/>
  <c r="E76" i="9"/>
  <c r="D76" i="9"/>
  <c r="A76" i="9"/>
  <c r="E75" i="9"/>
  <c r="D75" i="9"/>
  <c r="A75" i="9"/>
  <c r="E74" i="9"/>
  <c r="D74" i="9"/>
  <c r="A74" i="9"/>
  <c r="E73" i="9"/>
  <c r="D73" i="9"/>
  <c r="A73" i="9"/>
  <c r="E72" i="9"/>
  <c r="D72" i="9"/>
  <c r="A72" i="9"/>
  <c r="E71" i="9"/>
  <c r="D71" i="9"/>
  <c r="A71" i="9"/>
  <c r="E70" i="9"/>
  <c r="D70" i="9"/>
  <c r="A70" i="9"/>
  <c r="E69" i="9"/>
  <c r="D69" i="9"/>
  <c r="A69" i="9"/>
  <c r="E68" i="9"/>
  <c r="D68" i="9"/>
  <c r="A68" i="9"/>
  <c r="E67" i="9"/>
  <c r="D67" i="9"/>
  <c r="A67" i="9"/>
  <c r="E66" i="9"/>
  <c r="D66" i="9"/>
  <c r="A66" i="9"/>
  <c r="E65" i="9"/>
  <c r="D65" i="9"/>
  <c r="A65" i="9"/>
  <c r="E64" i="9"/>
  <c r="D64" i="9"/>
  <c r="A64" i="9"/>
  <c r="E63" i="9"/>
  <c r="D63" i="9"/>
  <c r="A63" i="9"/>
  <c r="E62" i="9"/>
  <c r="D62" i="9"/>
  <c r="A62" i="9"/>
  <c r="E61" i="9"/>
  <c r="D61" i="9"/>
  <c r="A61" i="9"/>
  <c r="E60" i="9"/>
  <c r="D60" i="9"/>
  <c r="A60" i="9"/>
  <c r="E59" i="9"/>
  <c r="D59" i="9"/>
  <c r="A59" i="9"/>
  <c r="E58" i="9"/>
  <c r="D58" i="9"/>
  <c r="A58" i="9"/>
  <c r="E57" i="9"/>
  <c r="D57" i="9"/>
  <c r="A57" i="9"/>
  <c r="J72" i="11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T78" i="10"/>
  <c r="W78" i="10"/>
  <c r="V78" i="10"/>
  <c r="X78" i="10"/>
  <c r="U78" i="10"/>
  <c r="Y78" i="10"/>
  <c r="G78" i="10"/>
  <c r="J78" i="10"/>
  <c r="I78" i="10"/>
  <c r="K78" i="10"/>
  <c r="H78" i="10"/>
  <c r="L78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J96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B20" i="21"/>
  <c r="I20" i="21"/>
  <c r="J20" i="21"/>
  <c r="G20" i="21"/>
  <c r="F20" i="21"/>
  <c r="D20" i="21"/>
  <c r="C20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4" i="11"/>
  <c r="J28" i="11"/>
  <c r="M34" i="10"/>
  <c r="T34" i="10"/>
  <c r="W34" i="10"/>
  <c r="V34" i="10"/>
  <c r="X34" i="10"/>
  <c r="U34" i="10"/>
  <c r="Y34" i="10"/>
  <c r="M4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28" i="10"/>
  <c r="T28" i="10"/>
  <c r="W28" i="10"/>
  <c r="V28" i="10"/>
  <c r="X28" i="10"/>
  <c r="U28" i="10"/>
  <c r="Y28" i="10"/>
  <c r="M39" i="10"/>
  <c r="N39" i="10"/>
  <c r="Q39" i="10"/>
  <c r="P39" i="10"/>
  <c r="R39" i="10"/>
  <c r="O39" i="10"/>
  <c r="S39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E39" i="9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E33" i="9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E25" i="9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E23" i="9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3" i="1"/>
  <c r="AF13" i="1"/>
  <c r="AI13" i="1"/>
  <c r="AG13" i="1"/>
  <c r="AE13" i="1"/>
  <c r="E27" i="9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0" i="1"/>
  <c r="AF10" i="1"/>
  <c r="AI10" i="1"/>
  <c r="AG10" i="1"/>
  <c r="AE10" i="1"/>
  <c r="E15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AC9" i="1"/>
  <c r="E8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E7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AC7" i="1"/>
  <c r="E2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H8" i="2"/>
  <c r="E8" i="2"/>
  <c r="D8" i="2"/>
  <c r="H2" i="1"/>
  <c r="H3" i="1"/>
  <c r="H4" i="1"/>
  <c r="H5" i="1"/>
  <c r="H6" i="1"/>
  <c r="B8" i="2"/>
  <c r="H7" i="2"/>
  <c r="E7" i="2"/>
  <c r="D7" i="2"/>
  <c r="B7" i="2"/>
  <c r="H6" i="2"/>
  <c r="E6" i="2"/>
  <c r="D6" i="2"/>
  <c r="B6" i="2"/>
  <c r="H5" i="2"/>
  <c r="E5" i="2"/>
  <c r="D5" i="2"/>
  <c r="B5" i="2"/>
  <c r="Y2" i="7"/>
  <c r="N2" i="22"/>
  <c r="G2" i="22"/>
  <c r="F2" i="22"/>
  <c r="D2" i="22"/>
  <c r="C2" i="22"/>
  <c r="A2" i="22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D39" i="9"/>
  <c r="A39" i="9"/>
  <c r="J36" i="11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5" i="11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D33" i="9"/>
  <c r="A33" i="9"/>
  <c r="J30" i="11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29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D8" i="9"/>
  <c r="A8" i="9"/>
  <c r="J7" i="11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X2" i="1"/>
  <c r="H4" i="2"/>
  <c r="E4" i="2"/>
  <c r="D4" i="2"/>
  <c r="B4" i="2"/>
  <c r="H3" i="2"/>
  <c r="E3" i="2"/>
  <c r="D3" i="2"/>
  <c r="B3" i="2"/>
  <c r="V3" i="1"/>
  <c r="V2" i="1"/>
  <c r="T3" i="1"/>
  <c r="T2" i="1"/>
  <c r="E13" i="16"/>
  <c r="B12" i="21"/>
  <c r="I12" i="21"/>
  <c r="J12" i="21"/>
  <c r="G12" i="21"/>
  <c r="F12" i="21"/>
  <c r="D12" i="21"/>
  <c r="C1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AG3" i="1"/>
  <c r="AF3" i="1"/>
  <c r="AE3" i="1"/>
  <c r="AD2" i="1"/>
  <c r="AG2" i="1"/>
  <c r="AF2" i="1"/>
  <c r="AE2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<sst xmlns="http://schemas.openxmlformats.org/spreadsheetml/2006/main" count="1315" uniqueCount="434">
  <si>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</si>
  <si>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</si>
  <si>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</si>
  <si>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</si>
  <si>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</si>
  <si>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</si>
  <si>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</si>
  <si>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</si>
  <si>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</si>
  <si>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</si>
  <si>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</si>
  <si>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</si>
  <si>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</si>
  <si>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</si>
  <si>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</si>
  <si>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</si>
  <si>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</si>
  <si>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</si>
  <si>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</si>
  <si>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</si>
  <si>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</si>
  <si>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</si>
  <si>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</si>
  <si>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</si>
  <si>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</si>
  <si>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</si>
  <si>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</si>
  <si>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</si>
  <si>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</si>
  <si>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</si>
  <si>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</si>
  <si>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</si>
  <si>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</si>
  <si>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</si>
  <si>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</si>
  <si>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</si>
  <si>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</si>
  <si>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</si>
  <si>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</si>
  <si>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</si>
  <si>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</si>
  <si>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</si>
  <si>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</si>
  <si>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</si>
  <si>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</si>
  <si>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</si>
  <si>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</si>
  <si>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</si>
  <si>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</si>
  <si>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</si>
  <si>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</si>
  <si>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</si>
  <si>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</si>
  <si>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</si>
  <si>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</si>
  <si>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</si>
  <si>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</si>
  <si>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</si>
  <si>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</si>
  <si>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</si>
  <si>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</si>
  <si>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</si>
  <si>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</si>
  <si>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</si>
  <si>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</si>
  <si>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</si>
  <si>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</si>
  <si>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</si>
  <si>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</si>
  <si>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</si>
  <si>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</si>
  <si>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</si>
  <si>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</si>
  <si>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</si>
  <si>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</si>
  <si>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</si>
  <si>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</si>
  <si>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</si>
  <si>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</si>
  <si>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</si>
  <si>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</si>
  <si>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</si>
  <si>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</si>
  <si>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</si>
  <si>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</si>
  <si>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</si>
  <si>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</si>
  <si>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</si>
  <si>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</si>
  <si>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</si>
  <si>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</si>
  <si>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</si>
  <si>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</si>
  <si>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</si>
  <si>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</si>
  <si>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</si>
  <si>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</si>
  <si>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</si>
  <si>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</si>
  <si>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</si>
  <si>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</si>
  <si>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</si>
  <si>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</si>
  <si>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</si>
  <si>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</si>
  <si>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</si>
  <si>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</si>
  <si>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</si>
  <si>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</si>
  <si>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</si>
  <si>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</si>
  <si>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</si>
  <si>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</si>
  <si>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</si>
  <si>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</si>
  <si>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</si>
  <si>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</si>
  <si>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</si>
  <si>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</si>
  <si>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</si>
  <si>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</si>
  <si>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</si>
  <si>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</si>
  <si>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</si>
  <si>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</si>
  <si>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</si>
  <si>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</si>
  <si>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</si>
  <si>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</si>
  <si>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</si>
  <si>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</si>
  <si>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</si>
  <si>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</si>
  <si>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</si>
  <si>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</si>
  <si>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</si>
  <si>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</si>
  <si>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</si>
  <si>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</si>
  <si>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</si>
  <si>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</si>
  <si>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</si>
  <si>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</si>
  <si>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</si>
  <si>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</si>
  <si>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</si>
  <si>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</si>
  <si>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</si>
  <si>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</si>
  <si>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</si>
  <si>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</si>
  <si>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</si>
  <si>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</si>
  <si>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</si>
  <si>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</si>
  <si>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</si>
  <si>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</si>
  <si>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</si>
  <si>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</si>
  <si>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</si>
  <si>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</si>
  <si>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</si>
  <si>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</si>
  <si>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</si>
  <si>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</si>
  <si>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</si>
  <si>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</si>
  <si>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</si>
  <si>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</si>
  <si>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</si>
  <si>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</si>
  <si>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</si>
  <si>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</si>
  <si>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</si>
  <si>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</si>
  <si>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</si>
  <si>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</si>
  <si>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</si>
  <si>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</si>
  <si>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</si>
  <si>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</si>
  <si>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</si>
  <si>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</si>
  <si>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</si>
  <si>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</si>
  <si>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</si>
  <si>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</si>
  <si>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</si>
  <si>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</si>
  <si>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</si>
  <si>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</si>
  <si>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</si>
  <si>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</si>
  <si>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</si>
  <si>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</si>
  <si>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</si>
  <si>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</si>
  <si>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</si>
  <si>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</si>
  <si>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</si>
  <si>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</si>
  <si>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</si>
  <si>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</si>
  <si>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</si>
  <si>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</si>
  <si>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</si>
  <si>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</si>
  <si>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</si>
  <si>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</si>
  <si>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</si>
  <si>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</si>
  <si>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</si>
  <si>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</si>
  <si>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</si>
  <si>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</si>
  <si>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</si>
  <si>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</si>
  <si>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</si>
  <si>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</si>
  <si>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</si>
  <si>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</si>
  <si>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</si>
  <si>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</si>
  <si>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</si>
  <si>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</si>
  <si>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</si>
  <si>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</si>
  <si>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</si>
  <si>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</si>
  <si>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</si>
  <si>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</si>
  <si>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</si>
  <si>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</si>
  <si>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</si>
  <si>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</si>
  <si>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</si>
  <si>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</si>
  <si>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</si>
  <si>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</si>
  <si>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</si>
  <si>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</si>
  <si>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</si>
  <si>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</si>
  <si>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</si>
  <si>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</si>
  <si>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</si>
  <si>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</si>
  <si>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</si>
  <si>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</si>
  <si>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</si>
  <si>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</si>
  <si>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</si>
  <si>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</si>
  <si>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この調合はどうだ？</t>
    <phoneticPr fontId="5"/>
  </si>
  <si>
    <t>デストロイホーン</t>
    <phoneticPr fontId="5"/>
  </si>
  <si>
    <t>[effect:fix_speed, target:myself, turn:1]</t>
    <phoneticPr fontId="5"/>
  </si>
  <si>
    <t>許可も無しにどうやってここまで来たのよ！？</t>
    <phoneticPr fontId="5"/>
  </si>
  <si>
    <t>フルリール・ドルチェ</t>
    <phoneticPr fontId="5"/>
  </si>
  <si>
    <t>えーるをおくるよ！</t>
    <phoneticPr fontId="5"/>
  </si>
  <si>
    <t>3ターン自身の防御力UP</t>
    <phoneticPr fontId="5"/>
  </si>
  <si>
    <t>3ターン敵全体の防御力UP</t>
    <phoneticPr fontId="5"/>
  </si>
  <si>
    <t>2ターンウィルス</t>
    <phoneticPr fontId="5"/>
  </si>
  <si>
    <t>[effect:spread, val:0.25]</t>
    <phoneticPr fontId="5"/>
  </si>
  <si>
    <t>全体攻撃</t>
    <phoneticPr fontId="5"/>
  </si>
  <si>
    <t>もう許さないんだから！</t>
    <phoneticPr fontId="5"/>
  </si>
  <si>
    <t>痛っ！やったわね！？</t>
  </si>
  <si>
    <t>侵入者確認！</t>
    <phoneticPr fontId="5"/>
  </si>
  <si>
    <t>迎撃態勢へと移行する！</t>
    <phoneticPr fontId="5"/>
  </si>
  <si>
    <t>壊音波</t>
    <phoneticPr fontId="5"/>
  </si>
  <si>
    <t>[effect:fix_speed, target:myself, turn:2]</t>
    <phoneticPr fontId="5"/>
  </si>
  <si>
    <t>援護するよ！</t>
    <phoneticPr fontId="5"/>
  </si>
  <si>
    <t>照準OK…　撃ちぬく！</t>
    <phoneticPr fontId="5"/>
  </si>
  <si>
    <t>[effect:critical, val:1.5, animation:enemy_critical]</t>
    <phoneticPr fontId="5"/>
  </si>
  <si>
    <t>クリティカル！</t>
    <phoneticPr fontId="5"/>
  </si>
  <si>
    <t>[effect:freq_turn, target:myself, turn:-1, val:1, animation:enemy_freq_turn]</t>
    <phoneticPr fontId="5"/>
  </si>
  <si>
    <t>種族マシンのユニットに大ダメージ＋敵全体にダメージ</t>
    <phoneticPr fontId="5"/>
  </si>
  <si>
    <t>3回連続攻撃</t>
    <phoneticPr fontId="5"/>
  </si>
  <si>
    <t>本気で行くよ！</t>
    <phoneticPr fontId="5"/>
  </si>
  <si>
    <t>タイム・ディストーション</t>
    <phoneticPr fontId="5"/>
  </si>
  <si>
    <t>[effect:degrade_unit, target:unit_all, turn:3, status:heal, val:0.9, animation:degrade_unit_all_heal]</t>
    <phoneticPr fontId="5"/>
  </si>
  <si>
    <t>3ターン味方全体の回復力90%DOWN</t>
    <phoneticPr fontId="5"/>
  </si>
  <si>
    <t>null</t>
  </si>
  <si>
    <t>link</t>
  </si>
  <si>
    <t>unit</t>
  </si>
  <si>
    <t>unit</t>
    <phoneticPr fontId="7"/>
  </si>
  <si>
    <t>システムエラー修復プログラム更新</t>
    <phoneticPr fontId="5"/>
  </si>
  <si>
    <t>old</t>
    <phoneticPr fontId="5"/>
  </si>
  <si>
    <t>すぐに捕まえちゃうぞ☆</t>
    <phoneticPr fontId="5"/>
  </si>
  <si>
    <t>あんたが悪いんだからね！</t>
    <phoneticPr fontId="5"/>
  </si>
  <si>
    <t>[effect:enhance_enemy, target:enemy_animal, turn:-1, status:defense, val:5000, calc:add, animation:enemy_enhance_defense]</t>
    <phoneticPr fontId="5"/>
  </si>
  <si>
    <t>試薬の性能テストには丁度良いか</t>
    <phoneticPr fontId="5"/>
  </si>
  <si>
    <t>私はお前を止めればいいんだな</t>
    <phoneticPr fontId="5"/>
  </si>
  <si>
    <t>[effect:fix_speed, target:myself, turn:2],[effect:enhance_enemy, target:myself, turn:3, status:defense, val:5000, calc:add, animation:enemy_enhance_defense]</t>
    <phoneticPr fontId="5"/>
  </si>
  <si>
    <t>ボクの矢が見えるかな？</t>
    <phoneticPr fontId="5"/>
  </si>
  <si>
    <t>ここから先は立入禁止よ！</t>
    <phoneticPr fontId="5"/>
  </si>
  <si>
    <t>大人しくしてよね！</t>
    <phoneticPr fontId="5"/>
  </si>
  <si>
    <t>コレは細菌の死滅が早いのだが…</t>
    <phoneticPr fontId="5"/>
  </si>
  <si>
    <t>[effect:enhance_enemy, target:enemy_all, turn:3, status:defense, val:3000, calc:add, animation:enemy_enhance_defense]</t>
    <phoneticPr fontId="5"/>
  </si>
  <si>
    <t>[effect:spread, val:0.58]</t>
    <phoneticPr fontId="5"/>
  </si>
  <si>
    <t>[effect:spread, val:0.38]</t>
    <phoneticPr fontId="5"/>
  </si>
  <si>
    <t>[effect:spread, val:0.43]</t>
    <phoneticPr fontId="5"/>
  </si>
  <si>
    <t>[effect:spread, val:0.48]</t>
    <phoneticPr fontId="5"/>
  </si>
  <si>
    <t>[effect:spread, val:0.53]</t>
    <phoneticPr fontId="5"/>
  </si>
  <si>
    <t>種族マシンのユニットに大ダメージ</t>
    <phoneticPr fontId="5"/>
  </si>
  <si>
    <t>[effect:critical, val:1.5, animation:enemy_critical]</t>
    <phoneticPr fontId="5"/>
  </si>
  <si>
    <t>[effect:heal, target:enemy_attack, val:0.1, animation:enemy_heal],[effect:rush, count:1, val:1]</t>
    <phoneticPr fontId="5"/>
  </si>
  <si>
    <t>ホルスを回復＋単体攻撃</t>
    <phoneticPr fontId="5"/>
  </si>
  <si>
    <t>3ターン暗闇＋単体攻撃</t>
    <phoneticPr fontId="5"/>
  </si>
  <si>
    <t>3ターンハートパネル無効＋単体攻撃</t>
    <phoneticPr fontId="5"/>
  </si>
  <si>
    <t>[effect:dark, target:unit_all, turn:3, animation:enemy_dark],[effect:rush, count:1, val:1]</t>
    <phoneticPr fontId="5"/>
  </si>
  <si>
    <t>[effect:dis_heart, turn:3, animation:enemy_dis_heart],[effect:rush, count:1, val:1]</t>
    <phoneticPr fontId="5"/>
  </si>
  <si>
    <t>[effect:rush, count:3, val:0.44]</t>
    <phoneticPr fontId="5"/>
  </si>
  <si>
    <t>[effect:spread, val:0.5]</t>
    <phoneticPr fontId="5"/>
  </si>
  <si>
    <t>[effect:hungup, target:unit_all, turn:3, rate:1, animation:hungup01],[effect:spread, val:0.25]</t>
    <phoneticPr fontId="5"/>
  </si>
  <si>
    <t>3ターンスキルバインド＋全体攻撃</t>
    <phoneticPr fontId="5"/>
  </si>
  <si>
    <t>[effect:fix_speed, target:myself, turn:2],[effect:fix_speed, target:enemy_animal, turn:2],[effect:change_bomb_range, turn:-1, val:0.7, rate:1, animation:bomb_small]</t>
    <phoneticPr fontId="5"/>
  </si>
  <si>
    <t>[effect:enhance_enemy, target:myself, turn:3, status:defense, val:5000, calc:add, animation:enemy_enhance_defense],[effect:spread, val:0.25]</t>
    <phoneticPr fontId="5"/>
  </si>
  <si>
    <t>…ふむ　想定より大分強いな</t>
    <phoneticPr fontId="5"/>
  </si>
  <si>
    <t>全体に44444固定ダメージ</t>
    <phoneticPr fontId="5"/>
  </si>
  <si>
    <t>[effect:damage_fix_absolute, target:unit_all, val:44444]</t>
    <phoneticPr fontId="5"/>
  </si>
  <si>
    <t>[effect:enhance_enemy, target:myself, turn:3, status:attack, val:0.9, calc:mul, animation:enemy_enhance_attack]</t>
    <phoneticPr fontId="5"/>
  </si>
  <si>
    <t>6ターン確率で赤時限式ダメージパネルをドロップ</t>
    <phoneticPr fontId="5"/>
  </si>
  <si>
    <t>ストールはチカの薬の効果によって
強化されていきますが
一定ターン経過後にチカと共に撤退します</t>
    <phoneticPr fontId="5"/>
  </si>
  <si>
    <t>ホルスはHPが減るほど全体攻撃の
威力が上がっていきます
スキル等を使い早めに倒しましょう</t>
    <phoneticPr fontId="5"/>
  </si>
  <si>
    <t>スフィンクスはHPが40%以下になると
敵全体に防御力UPのスキルを使用します</t>
    <phoneticPr fontId="5"/>
  </si>
  <si>
    <t>クリエは種族マシンのユニットに対して
キラー攻撃をしてきます
パーティ編成に注意しましょう</t>
    <phoneticPr fontId="5"/>
  </si>
  <si>
    <t>ロビンフッドは赤パネルを高確率で
時限式ダメージパネルとしてドロップさせる
スキルを使います</t>
    <phoneticPr fontId="5"/>
  </si>
  <si>
    <t>冥界ノ書</t>
    <phoneticPr fontId="5"/>
  </si>
  <si>
    <t>大地ノ書</t>
    <phoneticPr fontId="5"/>
  </si>
  <si>
    <t>門ノ書</t>
    <phoneticPr fontId="5"/>
  </si>
  <si>
    <t>洞窟ノ書</t>
    <phoneticPr fontId="5"/>
  </si>
  <si>
    <t>死者ノ書</t>
    <phoneticPr fontId="5"/>
  </si>
  <si>
    <t>返り討ちにしてやるわ！</t>
    <phoneticPr fontId="5"/>
  </si>
  <si>
    <t>緑時限式ダメージパネルを3個生成＋全体攻撃</t>
    <phoneticPr fontId="5"/>
  </si>
  <si>
    <t>自身の攻撃頻度UP</t>
    <phoneticPr fontId="5"/>
  </si>
  <si>
    <t>自身の攻撃頻度UP</t>
    <phoneticPr fontId="5"/>
  </si>
  <si>
    <t>こんな所で何してるの！</t>
    <phoneticPr fontId="5"/>
  </si>
  <si>
    <t>[effect:fix_speed, target:myself, turn:2],[effect:fix_speed, target:enemy_animal, turn:2]</t>
    <phoneticPr fontId="5"/>
  </si>
  <si>
    <t>[effect:enhance_enemy, target:enemy_animal, turn:-1, status:attack, val:0.3, calc:mul, animation:enemy_enhance_attack],[effect:enemy_message, val1:2]</t>
    <phoneticPr fontId="5"/>
  </si>
  <si>
    <t>[effect:enhance_enemy, target:enemy_animal, turn:-1, status:defense, val:3000, calc:add, animation:enemy_enhance_defense]</t>
    <phoneticPr fontId="5"/>
  </si>
  <si>
    <t>[effect:virus, turn:2, target:unit_all, rate:1.0, val:0.2, animation:enemy_virus],[effect:enemy_message, val1:2]</t>
    <phoneticPr fontId="5"/>
  </si>
  <si>
    <t>[effect:critical, val:1.5, animation:enemy_critical]</t>
    <phoneticPr fontId="5"/>
  </si>
  <si>
    <t>[effect:fix_speed, target:myself, turn:2],[effect:enhance_enemy, target:myself, turn:3, status:defense, val:3000, calc:add, animation:enemy_enhance_defense]</t>
    <phoneticPr fontId="5"/>
  </si>
  <si>
    <t>[effect:enhance_enemy, target:enemy_all, turn:3, status:defense, val:3000, calc:add, animation:enemy_enhance_defense]</t>
    <phoneticPr fontId="5"/>
  </si>
  <si>
    <t>ボムの爆風を30%DOWN</t>
  </si>
  <si>
    <t>ストールの攻撃力UP</t>
  </si>
  <si>
    <t>ストールの防御力UP</t>
  </si>
  <si>
    <t>攻撃力UP</t>
  </si>
  <si>
    <t>3ターン攻撃力UP</t>
    <phoneticPr fontId="5"/>
  </si>
  <si>
    <t>3ターン防御力UP＋全体攻撃</t>
    <phoneticPr fontId="5"/>
  </si>
  <si>
    <t>3ターン攻撃力UP</t>
    <phoneticPr fontId="5"/>
  </si>
  <si>
    <t>種族ヒューマンのユニットに大ダメージ</t>
    <phoneticPr fontId="5"/>
  </si>
  <si>
    <t>種族ヒューマンのユニットに大ダメージ</t>
    <phoneticPr fontId="5"/>
  </si>
  <si>
    <t>[effect:fix_speed, target:myself, turn:2],[effect:drop_block, block_type:time_bomb, block_color:block_red, color:block_all, val:0.3, rate:0.3, turn:6, min_time_count:2, max_time_count:2, animation:time_bomb_influence04]</t>
    <phoneticPr fontId="5"/>
  </si>
  <si>
    <t>[effect:enemy_message, val1:2.5, val2:4]</t>
    <phoneticPr fontId="5"/>
  </si>
  <si>
    <t>緑時限式ダメージパネルを6個生成＋全体攻撃</t>
    <phoneticPr fontId="5"/>
  </si>
  <si>
    <t>種族ヒューマンのユニットに大ダメージ</t>
    <phoneticPr fontId="5"/>
  </si>
  <si>
    <t>種族ヒューマンのユニットに大ダメージ</t>
    <phoneticPr fontId="5"/>
  </si>
  <si>
    <t>3ターン赤パネル無効＋単体攻撃</t>
    <phoneticPr fontId="5"/>
  </si>
  <si>
    <t>[effect:dis_panel, target:block_red, turn:3, animation:enemy_dis_red],[effect:rush, count:1, val:1]</t>
    <phoneticPr fontId="5"/>
  </si>
  <si>
    <t>リミッター解放！</t>
    <phoneticPr fontId="5"/>
  </si>
  <si>
    <t>3ターン味方全体のタップ回数DOWN＋状態異常耐性</t>
    <phoneticPr fontId="5"/>
  </si>
  <si>
    <t>[effect:damage_anti_tribe, target:unit_one, tribe:human, val1:2.5, val2:1.3]</t>
    <phoneticPr fontId="5"/>
  </si>
  <si>
    <t>[effect:damage_anti_tribe, target:unit_one, tribe:human, val1:2.5, val2:1.3]</t>
    <phoneticPr fontId="5"/>
  </si>
  <si>
    <t>[effect:damage_anti_tribe, target:unit_one, tribe:human, val1:2.5, val2:1.4],[effect:degrade_unit, target:unit_all, turn:1, status:attack, val:0.2, calc:mul],[effect:enemy_message, val2:3]</t>
    <phoneticPr fontId="5"/>
  </si>
  <si>
    <t>システムエラー修復プログラム更新</t>
    <phoneticPr fontId="5"/>
  </si>
  <si>
    <t>[effect:damage_anti_tribe, target:unit_all, tribe:machine, val1:1.5, val2:0.3]</t>
    <phoneticPr fontId="5"/>
  </si>
  <si>
    <t>[effect:damage_anti_tribe, target:unit_all, tribe:machine, val1:5, val2:0.4],[effect:suicide, val:0.05, target:enemy_all]</t>
    <phoneticPr fontId="5"/>
  </si>
  <si>
    <t>ふむ　少々面倒だが…　</t>
    <phoneticPr fontId="5"/>
  </si>
  <si>
    <t>システムエラー修復プログラム更新</t>
    <phoneticPr fontId="5"/>
  </si>
  <si>
    <t>後は防衛プログラムの連中に任せるとしよう</t>
    <phoneticPr fontId="5"/>
  </si>
  <si>
    <t>後は防衛プログラムの連中に任せるとしよう</t>
    <phoneticPr fontId="5"/>
  </si>
  <si>
    <t>オシリス&lt;システムエラー&gt;と遭遇した！
ボムの爆風を70%DOWN＋Cパネル変換禁止＋
確率で黄時限式ダメージパネルをドロップ＋状態異常耐性</t>
    <phoneticPr fontId="5"/>
  </si>
  <si>
    <t>ボムの爆風を70%DOWN＋
確率で黄時限式ダメージパネルをドロップ＋状態異常耐性</t>
    <phoneticPr fontId="5"/>
  </si>
  <si>
    <t>種族ヒューマンのユニットに大ダメージ＋
1ターン味方全体の攻撃力20%DOWN</t>
    <phoneticPr fontId="5"/>
  </si>
  <si>
    <t>緑時限式ダメージパネルを6個生成＋全体攻撃</t>
    <phoneticPr fontId="5"/>
  </si>
  <si>
    <t>種族ヒューマンのユニットに大ダメージ＋
1ターン味方全体の攻撃力20%DOWN</t>
    <phoneticPr fontId="5"/>
  </si>
  <si>
    <t>ボムの爆風を50%DOWN＋
確率で黄時限式ダメージパネルをドロップ＋状態異常耐性</t>
    <phoneticPr fontId="5"/>
  </si>
  <si>
    <t>ハートの女王の勢力だと…
ヘリオポリスの力を狙っているのか！？</t>
    <phoneticPr fontId="5"/>
  </si>
  <si>
    <t>セト…　オレから奪ったその力…　全て返してもらおうか…</t>
    <phoneticPr fontId="5"/>
  </si>
  <si>
    <t>[effect:enemy_message, val1:2, val2:4]</t>
    <phoneticPr fontId="5"/>
  </si>
  <si>
    <t>[effect:enemy_message, val1:2.5, val2:3]</t>
    <phoneticPr fontId="5"/>
  </si>
  <si>
    <t>[effect:enemy_message, val1:2.5, val2:3]</t>
    <phoneticPr fontId="5"/>
  </si>
  <si>
    <t>[effect:enemy_message, val1:2, val2:3.5]</t>
    <phoneticPr fontId="5"/>
  </si>
  <si>
    <t>[effect:fix_speed, target:myself, turn:1],[effect:degrade_unit, target:unit_all, turn:3, status:action, val:1, animation:enemy_tap_down],[effect:tolerance, target:myself, turn:-1, tolerance_effect:all, count:-1, animation:enemy_tolerance],[effect:enemy_message, val1:2.5]</t>
    <phoneticPr fontId="5"/>
  </si>
  <si>
    <t>[effect:enhance_enemy, target:enemy_animal, turn:-1, status:attack, val:0.5, calc:mul, animation:enemy_enhance_attack],[effect:enemy_message, val1:2]</t>
    <phoneticPr fontId="5"/>
  </si>
  <si>
    <t>[effect:virus, turn:2, target:unit_all, rate:1.0, val:0.3, animation:enemy_virus],[effect:enemy_message, val1:2]</t>
    <phoneticPr fontId="5"/>
  </si>
  <si>
    <t>[effect:suicide, val:1, dead_type:escape, target:enemy_all],[effect:enemy_message, val1:2, val2:3]</t>
    <phoneticPr fontId="5"/>
  </si>
  <si>
    <t>[effect:suicide, val:1, dead_type:escape, target:enemy_all],[effect:enemy_message, val1:2, val2:3]</t>
    <phoneticPr fontId="5"/>
  </si>
  <si>
    <t>[effect:fix_speed, target:myself, turn:2],[effect:change_bomb_range,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val2:4]</t>
    <phoneticPr fontId="5"/>
  </si>
  <si>
    <t>オシリス&lt;システムエラー&gt;と遭遇した！
ボムの爆風を50%DOWN＋
確率で黄時限式ダメージパネルをドロップ＋状態異常耐性</t>
    <phoneticPr fontId="5"/>
  </si>
  <si>
    <t>[effect:fix_speed, target:myself, turn:1],[effect:change_bomb_range, turn:-1, val:0.3, rate:1, animation:bomb_small],[effect:drop_block,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val2:3]</t>
    <phoneticPr fontId="5"/>
  </si>
  <si>
    <t>[effect:fix_speed, target:myself, turn:1],[effect:change_bomb_range,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val2:3]</t>
    <phoneticPr fontId="5"/>
  </si>
  <si>
    <t>[effect:damage_anti_tribe, target:unit_one, tribe:human, val1:2.5, val2:1.4],[effect:degrade_unit, target:unit_all, turn:1, status:attack, val:0.2, calc:mul],[effect:enemy_message, val2:3]</t>
    <phoneticPr fontId="5"/>
  </si>
  <si>
    <t>[effect:damage_anti_tribe, target:unit_one, tribe:human, val1:2.5, val2:1.4],[effect:degrade_unit, target:unit_all, turn:1, status:attack, val:0.2, calc:mul],[effect:enemy_message, val2:3]</t>
    <phoneticPr fontId="5"/>
  </si>
  <si>
    <t>[effect:damage_anti_tribe, target:unit_one, tribe:human, val1:2.5, val2:1.4],[effect:degrade_unit, target:unit_all, turn:1, status:attack, val:0.2, calc:mul],[effect:enemy_message, val2:3]</t>
    <phoneticPr fontId="5"/>
  </si>
  <si>
    <t>…ラー　アナタの手で止めてくれてありがとう…</t>
    <phoneticPr fontId="5"/>
  </si>
  <si>
    <t>…わざわざこのようなオレを救ってくれて済まない
セトはこの先の玄室に居るだろう　…セトを頼む</t>
    <phoneticPr fontId="5"/>
  </si>
  <si>
    <t>タイム・オブリビオン</t>
    <phoneticPr fontId="5"/>
  </si>
  <si>
    <t>リムーバル・カウント</t>
    <phoneticPr fontId="5"/>
  </si>
  <si>
    <t>リムーバル・アワー</t>
    <phoneticPr fontId="5"/>
  </si>
  <si>
    <t>[effect:enhance_enemy, target:enemy_animal, turn:-1, status:attack, val:1.5, calc:mul, animation:enemy_enhance_attack]</t>
    <phoneticPr fontId="5"/>
  </si>
  <si>
    <t>エラー…ガガ　改修…改シシ　カカイゾウスル…</t>
    <phoneticPr fontId="5"/>
  </si>
  <si>
    <t>時カカ間設定　訂セセセイテイスル…</t>
    <phoneticPr fontId="5"/>
  </si>
  <si>
    <t>タイム・オブリビオン</t>
    <phoneticPr fontId="5"/>
  </si>
  <si>
    <t>ノイズ・ジャミング</t>
    <phoneticPr fontId="5"/>
  </si>
  <si>
    <t>滅びの音壊</t>
    <phoneticPr fontId="5"/>
  </si>
  <si>
    <t>…消滅寸前に自我を取り戻した…</t>
    <phoneticPr fontId="5"/>
  </si>
  <si>
    <t>不ググ合発生　修フフクシュウスル…</t>
    <phoneticPr fontId="5"/>
  </si>
  <si>
    <t>[effect:fix_speed, target:myself, turn:2],[effect:change_bomb_range, turn:-1, val:0.3, rate:1, animation:bomb_small],[effect:invalidate_change_block, target:unit_all, block_type01:crash, turn:-1, animation:panel_conversion_off],[effect:drop_block,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val2:4]</t>
    <phoneticPr fontId="5"/>
  </si>
  <si>
    <t>オレヲ　アナタガガガガ　アナタヲ破壊シロ</t>
    <phoneticPr fontId="5"/>
  </si>
  <si>
    <t>[effect:enhance_enemy, target:myself, turn:3, status:attack, val:0.9, calc:mul, animation:enemy_enhance_attack],[effect:enemy_message, val1:2]</t>
    <phoneticPr fontId="5"/>
  </si>
  <si>
    <t>時ヲ治レ治レ治レ</t>
    <phoneticPr fontId="5"/>
  </si>
  <si>
    <t>バッククグアププ　サササク成…</t>
    <phoneticPr fontId="5"/>
  </si>
  <si>
    <t>システテテム　ササイ起ドドウ…</t>
    <phoneticPr fontId="5"/>
  </si>
  <si>
    <t>時ヲ治レ治レ治レ</t>
    <phoneticPr fontId="5"/>
  </si>
  <si>
    <t>オシリスの1ゲージ目はHPが低くなると
赤パネルを3ターンの間無効にする
スキルを使用してきます</t>
    <phoneticPr fontId="5"/>
  </si>
  <si>
    <t>オシリスの2ゲージ目はHPが低くなると
ハートパネルを3ターンの間無効にする
スキルを使用してきます</t>
    <phoneticPr fontId="5"/>
  </si>
  <si>
    <t>オシリスの3ゲージ目は5ターン後に
強力な固定ダメージ攻撃をしてきます
5ターン以内に倒しましょう</t>
    <phoneticPr fontId="5"/>
  </si>
  <si>
    <t>オシリスは黄時限式ダメージパネル生成
スキルを使用してきます
爆風制限に注意してボムを活用しましょう</t>
    <phoneticPr fontId="5"/>
  </si>
  <si>
    <t>オシリスは黄時限式ダメージパネル生成
スキルを使用してきます
爆風制限に注意してボムを活用しましょう</t>
    <phoneticPr fontId="5"/>
  </si>
  <si>
    <t>complete</t>
  </si>
  <si>
    <t>時空を司るピラミッド</t>
    <phoneticPr fontId="5"/>
  </si>
  <si>
    <t>ピラミッド型の施設「ヘリオポリス」は
ALICEシステム内の時間を制御しています</t>
    <phoneticPr fontId="5"/>
  </si>
  <si>
    <t>二柱一対の管理AI</t>
    <phoneticPr fontId="5"/>
  </si>
  <si>
    <t>オシリスとセトは兄弟AIとして作られており
一つの管理権限を二分され託された存在です</t>
    <phoneticPr fontId="5"/>
  </si>
  <si>
    <t>時空の王</t>
    <phoneticPr fontId="5"/>
  </si>
  <si>
    <t>オシリスは時間の設定や四季のイベント設定
アバターの年齢管理などを統括していました</t>
    <phoneticPr fontId="5"/>
  </si>
  <si>
    <t>防衛プログラム</t>
    <phoneticPr fontId="5"/>
  </si>
  <si>
    <t>ピラミッド内を守護しているプログラムは
ALICE内で実際に活動しているアバターの
データをもとに作られています</t>
    <phoneticPr fontId="5"/>
  </si>
  <si>
    <t>[effect:force_change_block, new_block:time_bomb, target:block_all, ignore01:block_positive, ignore02:block_negative, count:6, val:0.3, min_time_count:2, max_time_count:2],[effect:spread, val:0.35]</t>
    <phoneticPr fontId="5"/>
  </si>
  <si>
    <t>[effect:force_change_block, new_block:time_bomb, target:block_all, ignore01:block_positive, ignore02:block_negative, count:3, val:0.3, min_time_count:2, max_time_count:2],[effect:spread, val:0.25]</t>
    <phoneticPr fontId="5"/>
  </si>
  <si>
    <t>[effect:force_change_block, new_block:time_bomb, target:block_all, ignore01:block_positive, ignore02:block_negative, count:3, val:0.2, min_time_count:2, max_time_count:2, animation:change_block],[effect:spread, val:0.25]</t>
    <phoneticPr fontId="5"/>
  </si>
  <si>
    <t>[effect:force_change_block, new_block:time_bomb, target:block_all, ignore01:block_positive, ignore02:block_negative, count:6, val:0.2, min_time_count:2, max_time_count:2, animation:change_block],[effect:spread, val:0.3]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</si>
</sst>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3" borderId="23" xfId="0" applyFill="1" applyBorder="1"/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3" borderId="12" xfId="0" applyFont="1" applyFill="1" applyBorder="1"/>
    <xf numFmtId="0" fontId="0" fillId="0" borderId="24" xfId="0" applyBorder="1"/>
    <xf numFmtId="0" fontId="0" fillId="3" borderId="25" xfId="0" applyFill="1" applyBorder="1"/>
    <xf numFmtId="0" fontId="27" fillId="13" borderId="7" xfId="0" applyFont="1" applyFill="1" applyBorder="1"/>
    <xf numFmtId="0" fontId="0" fillId="0" borderId="26" xfId="0" applyBorder="1"/>
    <xf numFmtId="0" fontId="0" fillId="3" borderId="27" xfId="0" applyFill="1" applyBorder="1"/>
    <xf numFmtId="0" fontId="0" fillId="0" borderId="28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27" fillId="13" borderId="28" xfId="0" applyFont="1" applyFill="1" applyBorder="1"/>
    <xf numFmtId="0" fontId="0" fillId="0" borderId="29" xfId="0" applyBorder="1"/>
    <xf numFmtId="0" fontId="0" fillId="0" borderId="7" xfId="0" applyFill="1" applyBorder="1" applyAlignment="1">
      <alignment vertical="center"/>
    </xf>
    <xf numFmtId="0" fontId="4" fillId="0" borderId="7" xfId="0" applyFont="1" applyBorder="1" applyAlignment="1">
      <alignment horizontal="right"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28" fillId="3" borderId="7" xfId="0" applyFont="1" applyFill="1" applyBorder="1"/>
    <xf numFmtId="0" fontId="31" fillId="14" borderId="7" xfId="0" applyFont="1" applyFill="1" applyBorder="1"/>
    <xf numFmtId="38" fontId="16" fillId="14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286</v>
      </c>
      <c r="B2" s="57" t="s">
        <v>107</v>
      </c>
      <c r="C2" s="63">
        <v>40022</v>
      </c>
      <c r="D2" s="57" t="s">
        <v>108</v>
      </c>
      <c r="E2" s="56" t="str">
        <f>B2&amp;C2&amp;D2</f>
        <v>floors_40022.tmp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286</v>
      </c>
      <c r="B3" s="57" t="s">
        <v>110</v>
      </c>
      <c r="C3" s="63">
        <v>40022</v>
      </c>
      <c r="D3" s="57" t="s">
        <v>108</v>
      </c>
      <c r="E3" s="56" t="str">
        <f>B3&amp;C3&amp;D3</f>
        <v>enemy_habitats_40022.tmp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286</v>
      </c>
      <c r="B4" s="57" t="s">
        <v>112</v>
      </c>
      <c r="C4" s="63">
        <v>40022</v>
      </c>
      <c r="D4" s="57" t="s">
        <v>108</v>
      </c>
      <c r="E4" s="56" t="str">
        <f>B4&amp;C4&amp;D4</f>
        <v>enemy_habitat_S_40022.tmp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286</v>
      </c>
      <c r="B5" s="57" t="s">
        <v>114</v>
      </c>
      <c r="C5" s="63">
        <v>40022</v>
      </c>
      <c r="D5" s="57" t="s">
        <v>108</v>
      </c>
      <c r="E5" s="56" t="str">
        <f>B5&amp;C5&amp;D5</f>
        <v>enemy_skill_sets_40022.tmp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286</v>
      </c>
      <c r="B6" s="57" t="s">
        <v>116</v>
      </c>
      <c r="C6" s="63">
        <v>40022</v>
      </c>
      <c r="D6" s="57" t="s">
        <v>117</v>
      </c>
      <c r="E6" s="56" t="str">
        <f t="shared" ref="E6:E10" si="0">B6&amp;C6&amp;D6</f>
        <v>enemy_skills_tmp_40022.tmp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286</v>
      </c>
      <c r="B7" s="57" t="s">
        <v>118</v>
      </c>
      <c r="C7" s="63">
        <v>40022</v>
      </c>
      <c r="D7" s="57" t="s">
        <v>108</v>
      </c>
      <c r="E7" s="56" t="str">
        <f>B7&amp;C7&amp;D7</f>
        <v>enemy_skills_i18n_40022.tmp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286</v>
      </c>
      <c r="B8" s="57" t="s">
        <v>120</v>
      </c>
      <c r="C8" s="63">
        <v>40022</v>
      </c>
      <c r="D8" s="57" t="s">
        <v>121</v>
      </c>
      <c r="E8" s="56" t="str">
        <f t="shared" si="0"/>
        <v>enemy_skill_triggers_40022.tmp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286</v>
      </c>
      <c r="B9" s="68" t="s">
        <v>178</v>
      </c>
      <c r="C9" s="63">
        <v>40022</v>
      </c>
      <c r="D9" s="68" t="s">
        <v>172</v>
      </c>
      <c r="E9" s="69" t="str">
        <f t="shared" si="0"/>
        <v>stage_bug_bonuses_40022.tmp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286</v>
      </c>
      <c r="B10" s="68" t="s">
        <v>201</v>
      </c>
      <c r="C10" s="63">
        <v>40022</v>
      </c>
      <c r="D10" s="68" t="s">
        <v>181</v>
      </c>
      <c r="E10" s="69" t="str">
        <f t="shared" si="0"/>
        <v>stage_hints_data_c_40022.tmp</v>
      </c>
      <c r="F10" s="68" t="s">
        <v>209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286</v>
      </c>
      <c r="B11" s="68" t="s">
        <v>202</v>
      </c>
      <c r="C11" s="63">
        <v>40022</v>
      </c>
      <c r="D11" s="68" t="s">
        <v>172</v>
      </c>
      <c r="E11" s="69" t="str">
        <f t="shared" ref="E11:E13" si="1">B11&amp;C11&amp;D11</f>
        <v>stage_hints_data_f_40022.tmp</v>
      </c>
      <c r="F11" s="68" t="s">
        <v>210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286</v>
      </c>
      <c r="B12" s="68" t="s">
        <v>203</v>
      </c>
      <c r="C12" s="63">
        <v>40022</v>
      </c>
      <c r="D12" s="68" t="s">
        <v>172</v>
      </c>
      <c r="E12" s="69" t="str">
        <f t="shared" si="1"/>
        <v>stage_hints_i18n_40022.tmp</v>
      </c>
      <c r="F12" s="68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7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286</v>
      </c>
      <c r="B13" s="68" t="s">
        <v>250</v>
      </c>
      <c r="C13" s="63">
        <v>40022</v>
      </c>
      <c r="D13" s="68" t="s">
        <v>231</v>
      </c>
      <c r="E13" s="69" t="str">
        <f t="shared" si="1"/>
        <v>stage_bonuses_40022.tmp</v>
      </c>
      <c r="F13" s="68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"/>
  <sheetViews>
    <sheetView showGridLines="0" workbookViewId="0">
      <pane ySplit="1" topLeftCell="A2" activePane="bottomLeft" state="frozen"/>
      <selection activeCell="V2" sqref="V2:X34"/>
      <selection pane="bottomLeft" activeCell="F4" sqref="F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8" si="0">G2&amp;"-"&amp;I2</f>
        <v>40022_1-1</v>
      </c>
      <c r="B2" s="16" t="str">
        <f>IF(COUNTIF(enemy_habitats!$H:$H,A2),"OK","NG")</f>
        <v>OK</v>
      </c>
      <c r="C2" s="7">
        <v>40022</v>
      </c>
      <c r="D2" s="11" t="str">
        <f ca="1">VLOOKUP($C2,OFFSET([2]quests!$A$1,0,0,COUNTA([2]quests!$A:$A),MATCH(D$1,[2]quests!$1:$1,0)-MATCH($C$1,[2]quests!$1:$1,0)+1),MATCH(D$1,[2]quests!$1:$1,0)-MATCH($C$1,[2]quests!$1:$1,0)+1,FALSE)</f>
        <v>オシリス襲来！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降臨22</v>
      </c>
      <c r="F2" s="21">
        <v>1</v>
      </c>
      <c r="G2" s="23" t="str">
        <f t="shared" ref="G2:G8" si="1">C2&amp;"_"&amp;F2</f>
        <v>40022_1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【超絶級】オシリス襲来 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40022_1-2</v>
      </c>
      <c r="B3" s="16" t="str">
        <f>IF(COUNTIF(enemy_habitats!$H:$H,A3),"OK","NG")</f>
        <v>OK</v>
      </c>
      <c r="C3" s="7">
        <v>40022</v>
      </c>
      <c r="D3" s="11" t="str">
        <f ca="1">VLOOKUP($C3,OFFSET([2]quests!$A$1,0,0,COUNTA([2]quests!$A:$A),MATCH(D$1,[2]quests!$1:$1,0)-MATCH($C$1,[2]quests!$1:$1,0)+1),MATCH(D$1,[2]quests!$1:$1,0)-MATCH($C$1,[2]quests!$1:$1,0)+1,FALSE)</f>
        <v>オシリス襲来！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降臨22</v>
      </c>
      <c r="F3" s="21">
        <v>1</v>
      </c>
      <c r="G3" s="23" t="str">
        <f t="shared" si="1"/>
        <v>40022_1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【超絶級】オシリス襲来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40022_1-3</v>
      </c>
      <c r="B4" s="16" t="str">
        <f>IF(COUNTIF(enemy_habitats!$H:$H,A4),"OK","NG")</f>
        <v>OK</v>
      </c>
      <c r="C4" s="7">
        <v>40022</v>
      </c>
      <c r="D4" s="11" t="str">
        <f ca="1">VLOOKUP($C4,OFFSET([2]quests!$A$1,0,0,COUNTA([2]quests!$A:$A),MATCH(D$1,[2]quests!$1:$1,0)-MATCH($C$1,[2]quests!$1:$1,0)+1),MATCH(D$1,[2]quests!$1:$1,0)-MATCH($C$1,[2]quests!$1:$1,0)+1,FALSE)</f>
        <v>オシリス襲来！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降臨22</v>
      </c>
      <c r="F4" s="21">
        <v>1</v>
      </c>
      <c r="G4" s="23" t="str">
        <f t="shared" si="1"/>
        <v>40022_1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【超絶級】オシリス襲来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40022_2-1</v>
      </c>
      <c r="B5" s="16" t="str">
        <f>IF(COUNTIF(enemy_habitats!$H:$H,A5),"OK","NG")</f>
        <v>OK</v>
      </c>
      <c r="C5" s="7">
        <v>40022</v>
      </c>
      <c r="D5" s="11" t="str">
        <f ca="1">VLOOKUP($C5,OFFSET([2]quests!$A$1,0,0,COUNTA([2]quests!$A:$A),MATCH(D$1,[2]quests!$1:$1,0)-MATCH($C$1,[2]quests!$1:$1,0)+1),MATCH(D$1,[2]quests!$1:$1,0)-MATCH($C$1,[2]quests!$1:$1,0)+1,FALSE)</f>
        <v>オシリス襲来！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降臨22</v>
      </c>
      <c r="F5" s="21">
        <v>2</v>
      </c>
      <c r="G5" s="23" t="str">
        <f t="shared" si="1"/>
        <v>40022_2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【ウィザード級】オシリス襲来</v>
      </c>
      <c r="I5" s="21">
        <v>1</v>
      </c>
      <c r="J5" s="12">
        <v>50</v>
      </c>
      <c r="K5" s="12">
        <v>50</v>
      </c>
    </row>
    <row r="6" spans="1:11" ht="21" customHeight="1" x14ac:dyDescent="0.15">
      <c r="A6" s="16" t="str">
        <f t="shared" si="0"/>
        <v>40022_2-2</v>
      </c>
      <c r="B6" s="16" t="str">
        <f>IF(COUNTIF(enemy_habitats!$H:$H,A6),"OK","NG")</f>
        <v>OK</v>
      </c>
      <c r="C6" s="7">
        <v>40022</v>
      </c>
      <c r="D6" s="11" t="str">
        <f ca="1">VLOOKUP($C6,OFFSET([2]quests!$A$1,0,0,COUNTA([2]quests!$A:$A),MATCH(D$1,[2]quests!$1:$1,0)-MATCH($C$1,[2]quests!$1:$1,0)+1),MATCH(D$1,[2]quests!$1:$1,0)-MATCH($C$1,[2]quests!$1:$1,0)+1,FALSE)</f>
        <v>オシリス襲来！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降臨22</v>
      </c>
      <c r="F6" s="21">
        <v>2</v>
      </c>
      <c r="G6" s="23" t="str">
        <f t="shared" si="1"/>
        <v>40022_2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【ウィザード級】オシリス襲来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40022_2-3</v>
      </c>
      <c r="B7" s="16" t="str">
        <f>IF(COUNTIF(enemy_habitats!$H:$H,A7),"OK","NG")</f>
        <v>OK</v>
      </c>
      <c r="C7" s="7">
        <v>40022</v>
      </c>
      <c r="D7" s="11" t="str">
        <f ca="1">VLOOKUP($C7,OFFSET([2]quests!$A$1,0,0,COUNTA([2]quests!$A:$A),MATCH(D$1,[2]quests!$1:$1,0)-MATCH($C$1,[2]quests!$1:$1,0)+1),MATCH(D$1,[2]quests!$1:$1,0)-MATCH($C$1,[2]quests!$1:$1,0)+1,FALSE)</f>
        <v>オシリス襲来！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降臨22</v>
      </c>
      <c r="F7" s="21">
        <v>2</v>
      </c>
      <c r="G7" s="23" t="str">
        <f t="shared" si="1"/>
        <v>40022_2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【ウィザード級】オシリス襲来</v>
      </c>
      <c r="I7" s="21">
        <v>3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40022_2-4</v>
      </c>
      <c r="B8" s="16" t="str">
        <f>IF(COUNTIF(enemy_habitats!$H:$H,A8),"OK","NG")</f>
        <v>OK</v>
      </c>
      <c r="C8" s="7">
        <v>40022</v>
      </c>
      <c r="D8" s="11" t="str">
        <f ca="1">VLOOKUP($C8,OFFSET([2]quests!$A$1,0,0,COUNTA([2]quests!$A:$A),MATCH(D$1,[2]quests!$1:$1,0)-MATCH($C$1,[2]quests!$1:$1,0)+1),MATCH(D$1,[2]quests!$1:$1,0)-MATCH($C$1,[2]quests!$1:$1,0)+1,FALSE)</f>
        <v>オシリス襲来！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降臨22</v>
      </c>
      <c r="F8" s="21">
        <v>2</v>
      </c>
      <c r="G8" s="23" t="str">
        <f t="shared" si="1"/>
        <v>40022_2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【ウィザード級】オシリス襲来</v>
      </c>
      <c r="I8" s="21">
        <v>4</v>
      </c>
      <c r="J8" s="12">
        <v>60</v>
      </c>
      <c r="K8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G6" sqref="G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6" ca="1" si="0">B2&amp;"_"&amp;C2&amp;"-"&amp;G2&amp;"/"&amp;L2&amp;"&lt;lv"&amp;R2&amp;"&gt;s"&amp;AC2</f>
        <v>40022_1-1/301&lt;lv80&gt;s2</v>
      </c>
      <c r="B2" s="22">
        <v>40022</v>
      </c>
      <c r="C2" s="21">
        <v>1</v>
      </c>
      <c r="D2" s="2" t="str">
        <f t="shared" ref="D2:D6" si="1">B2&amp;"_"&amp;C2</f>
        <v>40022_1</v>
      </c>
      <c r="E2" s="4" t="str">
        <f ca="1">VLOOKUP($B2,OFFSET([2]quests!$A$1,0,0,COUNTA([2]quests!$A:$A),MATCH(E$1,[2]quests!$1:$1,0)-MATCH($B$1,[2]quests!$1:$1,0)+1),MATCH(E$1,[2]quests!$1:$1,0)-MATCH($B$1,[2]quests!$1:$1,0)+1,FALSE)</f>
        <v>オシリス襲来！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2" s="21">
        <v>1</v>
      </c>
      <c r="H2" s="15" t="str">
        <f>B2&amp;"_"&amp;C2&amp;"-"&amp;G2</f>
        <v>40022_1-1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301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宿痾の葬送 チカ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2.5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253962.5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8018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ふむ　少々面倒だが…　</v>
      </c>
      <c r="Y2" s="62">
        <v>40022012</v>
      </c>
      <c r="Z2" s="6">
        <v>1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 t="shared" ref="AD2:AD6" si="2">L2</f>
        <v>301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宿痾の葬送 チカ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Drop2W</v>
      </c>
      <c r="AH2" s="7">
        <v>1</v>
      </c>
      <c r="AI2" s="24">
        <f t="shared" ref="AI2:AI6" ca="1" si="3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40022_1-1/69&lt;lv80&gt;s2</v>
      </c>
      <c r="B3" s="22">
        <v>40022</v>
      </c>
      <c r="C3" s="21">
        <v>1</v>
      </c>
      <c r="D3" s="2" t="str">
        <f t="shared" si="1"/>
        <v>40022_1</v>
      </c>
      <c r="E3" s="4" t="str">
        <f ca="1">VLOOKUP($B3,OFFSET([2]quests!$A$1,0,0,COUNTA([2]quests!$A:$A),MATCH(E$1,[2]quests!$1:$1,0)-MATCH($B$1,[2]quests!$1:$1,0)+1),MATCH(E$1,[2]quests!$1:$1,0)-MATCH($B$1,[2]quests!$1:$1,0)+1,FALSE)</f>
        <v>オシリス襲来！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3" s="21">
        <v>1</v>
      </c>
      <c r="H3" s="15" t="str">
        <f>B3&amp;"_"&amp;C3&amp;"-"&amp;G3</f>
        <v>40022_1-1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69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思想家 ストール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2.5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198887.5</v>
      </c>
      <c r="U3" s="25">
        <v>0.5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3764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62">
        <v>40022013</v>
      </c>
      <c r="Z3" s="6">
        <v>1</v>
      </c>
      <c r="AA3" s="6">
        <v>100</v>
      </c>
      <c r="AB3" s="6">
        <v>1</v>
      </c>
      <c r="AC3" s="122">
        <v>2</v>
      </c>
      <c r="AD3" s="7">
        <v>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3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ca="1" si="0"/>
        <v>40022_1-2/188&lt;lv80&gt;s1</v>
      </c>
      <c r="B4" s="22">
        <v>40022</v>
      </c>
      <c r="C4" s="21">
        <v>1</v>
      </c>
      <c r="D4" s="2" t="str">
        <f t="shared" si="1"/>
        <v>40022_1</v>
      </c>
      <c r="E4" s="4" t="str">
        <f ca="1">VLOOKUP($B4,OFFSET([2]quests!$A$1,0,0,COUNTA([2]quests!$A:$A),MATCH(E$1,[2]quests!$1:$1,0)-MATCH($B$1,[2]quests!$1:$1,0)+1),MATCH(E$1,[2]quests!$1:$1,0)-MATCH($B$1,[2]quests!$1:$1,0)+1,FALSE)</f>
        <v>オシリス襲来！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4" s="21">
        <v>2</v>
      </c>
      <c r="H4" s="15" t="str">
        <f>B4&amp;"_"&amp;C4&amp;"-"&amp;G4</f>
        <v>40022_1-2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188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猛禽 ホルス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2.4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249194.4</v>
      </c>
      <c r="U4" s="25">
        <v>0.6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7326.5999999999995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許可も無しにどうやってここまで来たのよ！？</v>
      </c>
      <c r="Y4" s="62">
        <v>40022014</v>
      </c>
      <c r="Z4" s="6">
        <v>1</v>
      </c>
      <c r="AA4" s="6">
        <v>100</v>
      </c>
      <c r="AB4" s="6">
        <v>0</v>
      </c>
      <c r="AC4" s="17">
        <f ca="1">VLOOKUP($L4,OFFSET([3]enemies!$A$1,0,0,COUNTA([3]enemies!$A:$A),MATCH(AC$1,[3]enemies!$1:$1,0)-MATCH($L$1,[3]enemies!$1:$1,0)+1),MATCH(AC$1,[3]enemies!$1:$1,0)-MATCH($L$1,[3]enemies!$1:$1,0)+1,FALSE)</f>
        <v>1</v>
      </c>
      <c r="AD4" s="24">
        <f t="shared" si="2"/>
        <v>188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猛禽 ホルス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40022_1-2/388&lt;lv80&gt;s2</v>
      </c>
      <c r="B5" s="22">
        <v>40022</v>
      </c>
      <c r="C5" s="21">
        <v>1</v>
      </c>
      <c r="D5" s="2" t="str">
        <f t="shared" si="1"/>
        <v>40022_1</v>
      </c>
      <c r="E5" s="4" t="str">
        <f ca="1">VLOOKUP($B5,OFFSET([2]quests!$A$1,0,0,COUNTA([2]quests!$A:$A),MATCH(E$1,[2]quests!$1:$1,0)-MATCH($B$1,[2]quests!$1:$1,0)+1),MATCH(E$1,[2]quests!$1:$1,0)-MATCH($B$1,[2]quests!$1:$1,0)+1,FALSE)</f>
        <v>オシリス襲来！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5" s="21">
        <v>2</v>
      </c>
      <c r="H5" s="15" t="str">
        <f>B5&amp;"_"&amp;C5&amp;"-"&amp;G5</f>
        <v>40022_1-2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388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神円の恋姫 スフィンクス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2.4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199356</v>
      </c>
      <c r="U5" s="25">
        <v>0.4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2864.8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3ターン自身の防御力UP</v>
      </c>
      <c r="Y5" s="62">
        <v>40022015</v>
      </c>
      <c r="Z5" s="6">
        <v>1</v>
      </c>
      <c r="AA5" s="6">
        <v>100</v>
      </c>
      <c r="AB5" s="6">
        <v>1</v>
      </c>
      <c r="AC5" s="122">
        <v>2</v>
      </c>
      <c r="AD5" s="24">
        <f t="shared" si="2"/>
        <v>388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神円の恋姫 スフィンクス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3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40022_1-3/1008&lt;lv80&gt;s2</v>
      </c>
      <c r="B6" s="22">
        <v>40022</v>
      </c>
      <c r="C6" s="21">
        <v>1</v>
      </c>
      <c r="D6" s="2" t="str">
        <f t="shared" si="1"/>
        <v>40022_1</v>
      </c>
      <c r="E6" s="4" t="str">
        <f ca="1">VLOOKUP($B6,OFFSET([2]quests!$A$1,0,0,COUNTA([2]quests!$A:$A),MATCH(E$1,[2]quests!$1:$1,0)-MATCH($B$1,[2]quests!$1:$1,0)+1),MATCH(E$1,[2]quests!$1:$1,0)-MATCH($B$1,[2]quests!$1:$1,0)+1,FALSE)</f>
        <v>オシリス襲来！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6" s="21">
        <v>3</v>
      </c>
      <c r="H6" s="15" t="str">
        <f t="shared" ref="H6:H11" si="4">B6&amp;"_"&amp;C6&amp;"-"&amp;G6</f>
        <v>40022_1-3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1008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オシリス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2.4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325603.20000000001</v>
      </c>
      <c r="U6" s="25">
        <v>0.8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9465.6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オシリス&lt;システムエラー&gt;と遭遇した！_x000D_ボムの爆風を50%DOWN＋_x000D_確率で黄時限式ダメージパネルをドロップ＋状態異常耐性</v>
      </c>
      <c r="Y6" s="62">
        <v>40022016</v>
      </c>
      <c r="Z6" s="6">
        <v>1</v>
      </c>
      <c r="AA6" s="6">
        <v>100</v>
      </c>
      <c r="AB6" s="6">
        <v>1</v>
      </c>
      <c r="AC6" s="122">
        <v>2</v>
      </c>
      <c r="AD6" s="24">
        <f t="shared" si="2"/>
        <v>1008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オシリス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3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ref="A7:A13" ca="1" si="5">B7&amp;"_"&amp;C7&amp;"-"&amp;G7&amp;"/"&amp;L7&amp;"&lt;lv"&amp;R7&amp;"&gt;s"&amp;AC7</f>
        <v>40022_2-1/301&lt;lv80&gt;s2</v>
      </c>
      <c r="B7" s="22">
        <v>40022</v>
      </c>
      <c r="C7" s="21">
        <v>2</v>
      </c>
      <c r="D7" s="2" t="str">
        <f t="shared" ref="D7:D13" si="6">B7&amp;"_"&amp;C7</f>
        <v>40022_2</v>
      </c>
      <c r="E7" s="4" t="str">
        <f ca="1">VLOOKUP($B7,OFFSET([2]quests!$A$1,0,0,COUNTA([2]quests!$A:$A),MATCH(E$1,[2]quests!$1:$1,0)-MATCH($B$1,[2]quests!$1:$1,0)+1),MATCH(E$1,[2]quests!$1:$1,0)-MATCH($B$1,[2]quests!$1:$1,0)+1,FALSE)</f>
        <v>オシリス襲来！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【ウィザード級】オシリス襲来</v>
      </c>
      <c r="G7" s="21">
        <v>1</v>
      </c>
      <c r="H7" s="15" t="str">
        <f t="shared" si="4"/>
        <v>40022_2-1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53</v>
      </c>
      <c r="L7" s="20">
        <v>301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宿痾の葬送 チカ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3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304755</v>
      </c>
      <c r="U7" s="25">
        <v>1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8018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ボムの爆風を30%DOWN</v>
      </c>
      <c r="Y7" s="62">
        <v>40022001</v>
      </c>
      <c r="Z7" s="6">
        <v>1</v>
      </c>
      <c r="AA7" s="6">
        <v>100</v>
      </c>
      <c r="AB7" s="6">
        <v>0</v>
      </c>
      <c r="AC7" s="17">
        <f ca="1">VLOOKUP($L7,OFFSET([3]enemies!$A$1,0,0,COUNTA([3]enemies!$A:$A),MATCH(AC$1,[3]enemies!$1:$1,0)-MATCH($L$1,[3]enemies!$1:$1,0)+1),MATCH(AC$1,[3]enemies!$1:$1,0)-MATCH($L$1,[3]enemies!$1:$1,0)+1,FALSE)</f>
        <v>2</v>
      </c>
      <c r="AD7" s="24">
        <f t="shared" ref="AD7:AD13" si="7">L7</f>
        <v>301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宿痾の葬送 チカ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Drop2W</v>
      </c>
      <c r="AH7" s="7">
        <v>1</v>
      </c>
      <c r="AI7" s="24">
        <f t="shared" ref="AI7:AI13" ca="1" si="8">AF7</f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5"/>
        <v>40022_2-1/69&lt;lv80&gt;s2</v>
      </c>
      <c r="B8" s="22">
        <v>40022</v>
      </c>
      <c r="C8" s="21">
        <v>2</v>
      </c>
      <c r="D8" s="2" t="str">
        <f t="shared" si="6"/>
        <v>40022_2</v>
      </c>
      <c r="E8" s="4" t="str">
        <f ca="1">VLOOKUP($B8,OFFSET([2]quests!$A$1,0,0,COUNTA([2]quests!$A:$A),MATCH(E$1,[2]quests!$1:$1,0)-MATCH($B$1,[2]quests!$1:$1,0)+1),MATCH(E$1,[2]quests!$1:$1,0)-MATCH($B$1,[2]quests!$1:$1,0)+1,FALSE)</f>
        <v>オシリス襲来！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【ウィザード級】オシリス襲来</v>
      </c>
      <c r="G8" s="21">
        <v>1</v>
      </c>
      <c r="H8" s="15" t="str">
        <f t="shared" si="4"/>
        <v>40022_2-1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69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思想家 ストール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80</v>
      </c>
      <c r="S8" s="25">
        <v>3.1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246620.5</v>
      </c>
      <c r="U8" s="25">
        <v>0.7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5269.5999999999995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8" s="62">
        <v>40022002</v>
      </c>
      <c r="Z8" s="6">
        <v>1</v>
      </c>
      <c r="AA8" s="6">
        <v>100</v>
      </c>
      <c r="AB8" s="6">
        <v>1</v>
      </c>
      <c r="AC8" s="122">
        <v>2</v>
      </c>
      <c r="AD8" s="7">
        <v>68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8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ca="1" si="5"/>
        <v>40022_2-2/188&lt;lv80&gt;s1</v>
      </c>
      <c r="B9" s="22">
        <v>40022</v>
      </c>
      <c r="C9" s="21">
        <v>2</v>
      </c>
      <c r="D9" s="2" t="str">
        <f t="shared" si="6"/>
        <v>40022_2</v>
      </c>
      <c r="E9" s="4" t="str">
        <f ca="1">VLOOKUP($B9,OFFSET([2]quests!$A$1,0,0,COUNTA([2]quests!$A:$A),MATCH(E$1,[2]quests!$1:$1,0)-MATCH($B$1,[2]quests!$1:$1,0)+1),MATCH(E$1,[2]quests!$1:$1,0)-MATCH($B$1,[2]quests!$1:$1,0)+1,FALSE)</f>
        <v>オシリス襲来！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【ウィザード級】オシリス襲来</v>
      </c>
      <c r="G9" s="21">
        <v>2</v>
      </c>
      <c r="H9" s="15" t="str">
        <f t="shared" si="4"/>
        <v>40022_2-2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188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猛禽 ホルス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80</v>
      </c>
      <c r="S9" s="25">
        <v>2.9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301109.89999999997</v>
      </c>
      <c r="U9" s="25">
        <v>0.6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7326.5999999999995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許可も無しにどうやってここまで来たのよ！？</v>
      </c>
      <c r="Y9" s="62">
        <v>40022003</v>
      </c>
      <c r="Z9" s="6">
        <v>1</v>
      </c>
      <c r="AA9" s="6">
        <v>100</v>
      </c>
      <c r="AB9" s="6">
        <v>0</v>
      </c>
      <c r="AC9" s="17">
        <f ca="1">VLOOKUP($L9,OFFSET([3]enemies!$A$1,0,0,COUNTA([3]enemies!$A:$A),MATCH(AC$1,[3]enemies!$1:$1,0)-MATCH($L$1,[3]enemies!$1:$1,0)+1),MATCH(AC$1,[3]enemies!$1:$1,0)-MATCH($L$1,[3]enemies!$1:$1,0)+1,FALSE)</f>
        <v>1</v>
      </c>
      <c r="AD9" s="24">
        <f t="shared" si="7"/>
        <v>188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猛禽 ホルス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9" s="7">
        <v>1</v>
      </c>
      <c r="AI9" s="24">
        <f t="shared" ca="1" si="8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5"/>
        <v>40022_2-2/388&lt;lv80&gt;s2</v>
      </c>
      <c r="B10" s="22">
        <v>40022</v>
      </c>
      <c r="C10" s="21">
        <v>2</v>
      </c>
      <c r="D10" s="2" t="str">
        <f t="shared" si="6"/>
        <v>40022_2</v>
      </c>
      <c r="E10" s="4" t="str">
        <f ca="1">VLOOKUP($B10,OFFSET([2]quests!$A$1,0,0,COUNTA([2]quests!$A:$A),MATCH(E$1,[2]quests!$1:$1,0)-MATCH($B$1,[2]quests!$1:$1,0)+1),MATCH(E$1,[2]quests!$1:$1,0)-MATCH($B$1,[2]quests!$1:$1,0)+1,FALSE)</f>
        <v>オシリス襲来！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【ウィザード級】オシリス襲来</v>
      </c>
      <c r="G10" s="21">
        <v>2</v>
      </c>
      <c r="H10" s="15" t="str">
        <f t="shared" si="4"/>
        <v>40022_2-2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388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神円の恋姫 スフィンクス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5">
        <v>3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249195</v>
      </c>
      <c r="U10" s="25">
        <v>0.4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2864.8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3ターン自身の防御力UP</v>
      </c>
      <c r="Y10" s="62">
        <v>40022004</v>
      </c>
      <c r="Z10" s="6">
        <v>1</v>
      </c>
      <c r="AA10" s="6">
        <v>100</v>
      </c>
      <c r="AB10" s="6">
        <v>1</v>
      </c>
      <c r="AC10" s="122">
        <v>2</v>
      </c>
      <c r="AD10" s="24">
        <f t="shared" si="7"/>
        <v>388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神円の恋姫 スフィンクス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ca="1" si="8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40022_2-3/161&lt;lv80&gt;s2</v>
      </c>
      <c r="B11" s="22">
        <v>40022</v>
      </c>
      <c r="C11" s="21">
        <v>2</v>
      </c>
      <c r="D11" s="2" t="str">
        <f t="shared" si="6"/>
        <v>40022_2</v>
      </c>
      <c r="E11" s="4" t="str">
        <f ca="1">VLOOKUP($B11,OFFSET([2]quests!$A$1,0,0,COUNTA([2]quests!$A:$A),MATCH(E$1,[2]quests!$1:$1,0)-MATCH($B$1,[2]quests!$1:$1,0)+1),MATCH(E$1,[2]quests!$1:$1,0)-MATCH($B$1,[2]quests!$1:$1,0)+1,FALSE)</f>
        <v>オシリス襲来！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【ウィザード級】オシリス襲来</v>
      </c>
      <c r="G11" s="21">
        <v>3</v>
      </c>
      <c r="H11" s="15" t="str">
        <f t="shared" si="4"/>
        <v>40022_2-3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161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咆哮の先導者 クリエ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80</v>
      </c>
      <c r="S11" s="25">
        <v>1.6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243803.2</v>
      </c>
      <c r="U11" s="25">
        <v>1.9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11719.199999999999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迎撃態勢へと移行する！</v>
      </c>
      <c r="Y11" s="62">
        <v>40022005</v>
      </c>
      <c r="Z11" s="6">
        <v>1</v>
      </c>
      <c r="AA11" s="6">
        <v>100</v>
      </c>
      <c r="AB11" s="6">
        <v>0</v>
      </c>
      <c r="AC11" s="122">
        <v>2</v>
      </c>
      <c r="AD11" s="24">
        <f t="shared" si="7"/>
        <v>161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咆哮の先導者 クリエ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8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40022_2-3/194&lt;lv80&gt;s2</v>
      </c>
      <c r="B12" s="22">
        <v>40022</v>
      </c>
      <c r="C12" s="21">
        <v>2</v>
      </c>
      <c r="D12" s="2" t="str">
        <f t="shared" si="6"/>
        <v>40022_2</v>
      </c>
      <c r="E12" s="4" t="str">
        <f ca="1">VLOOKUP($B12,OFFSET([2]quests!$A$1,0,0,COUNTA([2]quests!$A:$A),MATCH(E$1,[2]quests!$1:$1,0)-MATCH($B$1,[2]quests!$1:$1,0)+1),MATCH(E$1,[2]quests!$1:$1,0)-MATCH($B$1,[2]quests!$1:$1,0)+1,FALSE)</f>
        <v>オシリス襲来！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【ウィザード級】オシリス襲来</v>
      </c>
      <c r="G12" s="21">
        <v>3</v>
      </c>
      <c r="H12" s="21">
        <v>3</v>
      </c>
      <c r="I12" s="21">
        <v>3</v>
      </c>
      <c r="J12" s="21">
        <v>3</v>
      </c>
      <c r="K12" s="38">
        <v>2</v>
      </c>
      <c r="L12" s="20">
        <v>194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スナイパー ロビンフッド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80</v>
      </c>
      <c r="S12" s="25">
        <v>2.4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243804</v>
      </c>
      <c r="U12" s="25">
        <v>0.8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6414.4000000000005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6ターン確率で赤時限式ダメージパネルをドロップ</v>
      </c>
      <c r="Y12" s="62">
        <v>40022006</v>
      </c>
      <c r="Z12" s="6">
        <v>1</v>
      </c>
      <c r="AA12" s="6">
        <v>100</v>
      </c>
      <c r="AB12" s="6">
        <v>1</v>
      </c>
      <c r="AC12" s="122">
        <v>2</v>
      </c>
      <c r="AD12" s="24">
        <f t="shared" si="7"/>
        <v>194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スナイパー ロビンフッド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2" s="7">
        <v>1</v>
      </c>
      <c r="AI12" s="24">
        <f t="shared" ca="1" si="8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40022_2-4/1008&lt;lv80&gt;s2</v>
      </c>
      <c r="B13" s="22">
        <v>40022</v>
      </c>
      <c r="C13" s="21">
        <v>2</v>
      </c>
      <c r="D13" s="2" t="str">
        <f t="shared" si="6"/>
        <v>40022_2</v>
      </c>
      <c r="E13" s="4" t="str">
        <f ca="1">VLOOKUP($B13,OFFSET([2]quests!$A$1,0,0,COUNTA([2]quests!$A:$A),MATCH(E$1,[2]quests!$1:$1,0)-MATCH($B$1,[2]quests!$1:$1,0)+1),MATCH(E$1,[2]quests!$1:$1,0)-MATCH($B$1,[2]quests!$1:$1,0)+1,FALSE)</f>
        <v>オシリス襲来！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【ウィザード級】オシリス襲来</v>
      </c>
      <c r="G13" s="21">
        <v>4</v>
      </c>
      <c r="H13" s="15" t="str">
        <f>B13&amp;"_"&amp;C13&amp;"-"&amp;G13</f>
        <v>40022_2-4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3</v>
      </c>
      <c r="L13" s="20">
        <v>1008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オシリス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5">
        <v>3.3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447704.39999999997</v>
      </c>
      <c r="U13" s="25">
        <v>1.1000000000000001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13015.2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オシリス&lt;システムエラー&gt;と遭遇した！_x000D_ボムの爆風を70%DOWN＋Cパネル変換禁止＋_x000D_確率で黄時限式ダメージパネルをドロップ＋状態異常耐性</v>
      </c>
      <c r="Y13" s="62">
        <v>40022009</v>
      </c>
      <c r="Z13" s="6">
        <v>1</v>
      </c>
      <c r="AA13" s="6">
        <v>100</v>
      </c>
      <c r="AB13" s="6">
        <v>1</v>
      </c>
      <c r="AC13" s="122">
        <v>2</v>
      </c>
      <c r="AD13" s="24">
        <f t="shared" si="7"/>
        <v>1008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オシリス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8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6"/>
  <sheetViews>
    <sheetView showGridLines="0" zoomScale="75" zoomScaleNormal="75" zoomScalePageLayoutView="75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Z2" sqref="Z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6" si="0">B2&amp;"_"&amp;C2&amp;"-"&amp;G2&amp;"/"&amp;M2&amp;"&lt;lv"&amp;S2&amp;"&gt;sq"&amp;K2&amp;"st"&amp;L2</f>
        <v>40022_1-3/1009&lt;lv80&gt;sq1st2</v>
      </c>
      <c r="B2" s="22">
        <v>40022</v>
      </c>
      <c r="C2" s="21">
        <v>1</v>
      </c>
      <c r="D2" s="2" t="str">
        <f t="shared" ref="D2:D6" si="1">B2&amp;"_"&amp;C2</f>
        <v>40022_1</v>
      </c>
      <c r="E2" s="4" t="str">
        <f ca="1">VLOOKUP($B2,OFFSET([2]quests!$A$1,0,0,COUNTA([2]quests!$A:$A),MATCH(E$1,[2]quests!$1:$1,0)-MATCH($B$1,[2]quests!$1:$1,0)+1),MATCH(E$1,[2]quests!$1:$1,0)-MATCH($B$1,[2]quests!$1:$1,0)+1,FALSE)</f>
        <v>オシリス襲来！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【超絶級】オシリス襲来 </v>
      </c>
      <c r="G2" s="21">
        <v>3</v>
      </c>
      <c r="H2" s="15" t="str">
        <f t="shared" ref="H2:H6" si="2">B2&amp;"_"&amp;C2&amp;"-"&amp;G2</f>
        <v>40022_1-3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1009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再醒の冥皇神 オシリス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2.6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352736.8</v>
      </c>
      <c r="V2" s="25">
        <v>0.6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7099.2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ボムの爆風を50%DOWN＋_x000D_確率で黄時限式ダメージパネルをドロップ＋状態異常耐性</v>
      </c>
      <c r="Z2" s="62">
        <v>40022017</v>
      </c>
      <c r="AA2" s="123">
        <v>1</v>
      </c>
    </row>
    <row r="3" spans="1:27" ht="21" customHeight="1" x14ac:dyDescent="0.15">
      <c r="A3" s="16" t="str">
        <f t="shared" si="0"/>
        <v>40022_2-3/161&lt;lv80&gt;sq1st2</v>
      </c>
      <c r="B3" s="22">
        <v>40022</v>
      </c>
      <c r="C3" s="21">
        <v>2</v>
      </c>
      <c r="D3" s="2" t="str">
        <f t="shared" si="1"/>
        <v>40022_2</v>
      </c>
      <c r="E3" s="4" t="str">
        <f ca="1">VLOOKUP($B3,OFFSET([2]quests!$A$1,0,0,COUNTA([2]quests!$A:$A),MATCH(E$1,[2]quests!$1:$1,0)-MATCH($B$1,[2]quests!$1:$1,0)+1),MATCH(E$1,[2]quests!$1:$1,0)-MATCH($B$1,[2]quests!$1:$1,0)+1,FALSE)</f>
        <v>オシリス襲来！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【ウィザード級】オシリス襲来</v>
      </c>
      <c r="G3" s="21">
        <v>3</v>
      </c>
      <c r="H3" s="15" t="str">
        <f t="shared" si="2"/>
        <v>40022_2-3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161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咆哮の先導者 クリエ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PremiumW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80</v>
      </c>
      <c r="T3" s="25">
        <v>1.6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243803.2</v>
      </c>
      <c r="V3" s="25">
        <v>2.2999999999999998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14186.4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自身の攻撃頻度UP</v>
      </c>
      <c r="Z3" s="62">
        <v>40022007</v>
      </c>
      <c r="AA3" s="123">
        <v>2</v>
      </c>
    </row>
    <row r="4" spans="1:27" ht="21" customHeight="1" x14ac:dyDescent="0.15">
      <c r="A4" s="16" t="str">
        <f t="shared" si="0"/>
        <v>40022_2-3/194&lt;lv80&gt;sq2st2</v>
      </c>
      <c r="B4" s="22">
        <v>40022</v>
      </c>
      <c r="C4" s="21">
        <v>2</v>
      </c>
      <c r="D4" s="2" t="str">
        <f t="shared" si="1"/>
        <v>40022_2</v>
      </c>
      <c r="E4" s="4" t="str">
        <f ca="1">VLOOKUP($B4,OFFSET([2]quests!$A$1,0,0,COUNTA([2]quests!$A:$A),MATCH(E$1,[2]quests!$1:$1,0)-MATCH($B$1,[2]quests!$1:$1,0)+1),MATCH(E$1,[2]quests!$1:$1,0)-MATCH($B$1,[2]quests!$1:$1,0)+1,FALSE)</f>
        <v>オシリス襲来！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【ウィザード級】オシリス襲来</v>
      </c>
      <c r="G4" s="21">
        <v>3</v>
      </c>
      <c r="H4" s="15" t="str">
        <f t="shared" si="2"/>
        <v>40022_2-3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194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スナイパー ロビンフッド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80</v>
      </c>
      <c r="T4" s="25">
        <v>2.4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243804</v>
      </c>
      <c r="V4" s="25">
        <v>1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8018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自身の攻撃頻度UP</v>
      </c>
      <c r="Z4" s="62">
        <v>40022008</v>
      </c>
      <c r="AA4" s="123">
        <v>2</v>
      </c>
    </row>
    <row r="5" spans="1:27" ht="21" customHeight="1" x14ac:dyDescent="0.15">
      <c r="A5" s="16" t="str">
        <f t="shared" si="0"/>
        <v>40022_2-4/1009&lt;lv80&gt;sq3st2</v>
      </c>
      <c r="B5" s="22">
        <v>40022</v>
      </c>
      <c r="C5" s="21">
        <v>2</v>
      </c>
      <c r="D5" s="2" t="str">
        <f t="shared" si="1"/>
        <v>40022_2</v>
      </c>
      <c r="E5" s="4" t="str">
        <f ca="1">VLOOKUP($B5,OFFSET([2]quests!$A$1,0,0,COUNTA([2]quests!$A:$A),MATCH(E$1,[2]quests!$1:$1,0)-MATCH($B$1,[2]quests!$1:$1,0)+1),MATCH(E$1,[2]quests!$1:$1,0)-MATCH($B$1,[2]quests!$1:$1,0)+1,FALSE)</f>
        <v>オシリス襲来！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【ウィザード級】オシリス襲来</v>
      </c>
      <c r="G5" s="21">
        <v>4</v>
      </c>
      <c r="H5" s="15" t="str">
        <f t="shared" si="2"/>
        <v>40022_2-4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1009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再醒の冥皇神 オシリス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3.4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461271.2</v>
      </c>
      <c r="V5" s="25">
        <v>0.8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9465.6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ボムの爆風を70%DOWN＋_x000D_確率で黄時限式ダメージパネルをドロップ＋状態異常耐性</v>
      </c>
      <c r="Z5" s="62">
        <v>40022010</v>
      </c>
      <c r="AA5" s="123">
        <v>1</v>
      </c>
    </row>
    <row r="6" spans="1:27" ht="21" customHeight="1" x14ac:dyDescent="0.15">
      <c r="A6" s="16" t="str">
        <f t="shared" si="0"/>
        <v>40022_2-4/1009&lt;lv80&gt;sq3st3</v>
      </c>
      <c r="B6" s="22">
        <v>40022</v>
      </c>
      <c r="C6" s="21">
        <v>2</v>
      </c>
      <c r="D6" s="2" t="str">
        <f t="shared" si="1"/>
        <v>40022_2</v>
      </c>
      <c r="E6" s="4" t="str">
        <f ca="1">VLOOKUP($B6,OFFSET([2]quests!$A$1,0,0,COUNTA([2]quests!$A:$A),MATCH(E$1,[2]quests!$1:$1,0)-MATCH($B$1,[2]quests!$1:$1,0)+1),MATCH(E$1,[2]quests!$1:$1,0)-MATCH($B$1,[2]quests!$1:$1,0)+1,FALSE)</f>
        <v>オシリス襲来！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【ウィザード級】オシリス襲来</v>
      </c>
      <c r="G6" s="21">
        <v>4</v>
      </c>
      <c r="H6" s="15" t="str">
        <f t="shared" si="2"/>
        <v>40022_2-4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38">
        <v>3</v>
      </c>
      <c r="M6" s="20">
        <v>1009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再醒の冥皇神 オシリス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3.8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515538.39999999997</v>
      </c>
      <c r="V6" s="25">
        <v>0.8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9465.6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3ターン味方全体のタップ回数DOWN＋状態異常耐性</v>
      </c>
      <c r="Z6" s="62">
        <v>40022011</v>
      </c>
      <c r="AA6" s="123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6"/>
  <sheetViews>
    <sheetView showGridLines="0" tabSelected="1" workbookViewId="0">
      <pane ySplit="1" topLeftCell="A59" activePane="bottomLeft" state="frozenSplit"/>
      <selection pane="bottomLeft" activeCell="B85" sqref="B8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25">
        <v>40022001</v>
      </c>
      <c r="B2" s="47" t="s">
        <v>315</v>
      </c>
      <c r="C2" s="50">
        <v>3</v>
      </c>
      <c r="D2" s="50" t="s">
        <v>128</v>
      </c>
      <c r="E2" s="51" t="s">
        <v>291</v>
      </c>
      <c r="F2" s="51" t="s">
        <v>344</v>
      </c>
      <c r="G2" s="64" t="str">
        <f t="shared" ref="G2:G17" si="0">IFERROR(LEFT(B2,FIND("],",B2)),B2)</f>
        <v>[effect:fix_speed, target:myself, turn:2]</v>
      </c>
      <c r="H2" s="64">
        <f t="shared" ref="H2:H38" si="1">FIND("effect:",G2)+7</f>
        <v>9</v>
      </c>
      <c r="I2" s="64">
        <f t="shared" ref="I2:I17" si="2">IFERROR(FIND(",",G2),LEN(G2))</f>
        <v>18</v>
      </c>
      <c r="J2" s="64">
        <f t="shared" ref="J2:J17" si="3">FIND("target:",G2)+7</f>
        <v>27</v>
      </c>
      <c r="K2" s="64">
        <f t="shared" ref="K2:K17" si="4">FIND(",",G2,I2+1)</f>
        <v>33</v>
      </c>
      <c r="L2" s="64" t="str">
        <f>IFERROR(VLOOKUP(MID(G2,J2,K2-J2),[5]skilldef!$C:$D,2,FALSE),"-") &amp; " / " &amp; IFERROR(VLOOKUP(MID(G2,H2,I2-H2),[5]skilldef!$A:$B,2,FALSE),"-")</f>
        <v>自分自身に / 行動値設定</v>
      </c>
      <c r="M2" s="64" t="str">
        <f t="shared" ref="M2:M17" si="5">IFERROR(RIGHT(B2,LEN(B2)-FIND("],",B2)-1),"none")</f>
        <v>[effect:fix_speed, target:enemy_animal, turn:2],[effect:change_bomb_range, turn:-1, val:0.7, rate:1, animation:bomb_small]</v>
      </c>
      <c r="N2" s="48" t="str">
        <f t="shared" ref="N2:N12" si="6">IFERROR(LEFT(M2,FIND("],",M2)+S17),M2)</f>
        <v>[effect:fix_speed, target:enemy_animal, turn:2],[effect:change_bomb_range, turn:-1, val:0.7, rate:1, animation:bomb_small]</v>
      </c>
      <c r="O2" s="64">
        <f t="shared" ref="O2:O38" si="7">FIND("effect:",N2)+7</f>
        <v>9</v>
      </c>
      <c r="P2" s="64">
        <f t="shared" ref="P2:P17" si="8">IFERROR(FIND(",",N2),LEN(N2))</f>
        <v>18</v>
      </c>
      <c r="Q2" s="64">
        <f t="shared" ref="Q2:Q17" si="9">FIND("target:",N2)+7</f>
        <v>27</v>
      </c>
      <c r="R2" s="64">
        <f t="shared" ref="R2:R17" si="10">FIND(",",N2,P2+1)</f>
        <v>39</v>
      </c>
      <c r="S2" s="64" t="str">
        <f>IFERROR(VLOOKUP(MID(N2,Q2,R2-Q2),[5]skilldef!$C:$D,2,FALSE),"-") &amp; " / " &amp; IFERROR(VLOOKUP(MID(N2,O2,P2-O2),[5]skilldef!$A:$B,2,FALSE),"-")</f>
        <v>- / 行動値設定</v>
      </c>
      <c r="T2" s="48" t="str">
        <f t="shared" ref="T2:T17" si="11">IFERROR(RIGHT(M2,LEN(M2)-FIND("],",M2)-1),"none")</f>
        <v>[effect:change_bomb_range, turn:-1, val:0.7, rate:1, animation:bomb_small]</v>
      </c>
      <c r="U2" s="64">
        <f t="shared" ref="U2:U38" si="12">FIND("effect:",T2)+7</f>
        <v>9</v>
      </c>
      <c r="V2" s="64">
        <f t="shared" ref="V2:V17" si="13">IFERROR(FIND(",",T2),LEN(T2))</f>
        <v>26</v>
      </c>
      <c r="W2" s="64" t="e">
        <f t="shared" ref="W2:W17" si="14">FIND("target:",T2)+7</f>
        <v>#VALUE!</v>
      </c>
      <c r="X2" s="64">
        <f t="shared" ref="X2:X17" si="15">FIND(",",T2,V2+1)</f>
        <v>35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125">
        <v>40022002</v>
      </c>
      <c r="B3" s="47" t="s">
        <v>385</v>
      </c>
      <c r="C3" s="50">
        <v>3</v>
      </c>
      <c r="D3" s="50" t="s">
        <v>128</v>
      </c>
      <c r="E3" s="51" t="s">
        <v>290</v>
      </c>
      <c r="F3" s="51" t="s">
        <v>345</v>
      </c>
      <c r="G3" s="64" t="str">
        <f t="shared" si="0"/>
        <v>[effect:enhance_enemy, target:enemy_animal, turn:-1, status:attack, val:0.5, calc:mul, animation:enemy_enhance_attack]</v>
      </c>
      <c r="H3" s="64">
        <f t="shared" si="1"/>
        <v>9</v>
      </c>
      <c r="I3" s="64">
        <f t="shared" si="2"/>
        <v>22</v>
      </c>
      <c r="J3" s="64">
        <f t="shared" si="3"/>
        <v>31</v>
      </c>
      <c r="K3" s="64">
        <f t="shared" si="4"/>
        <v>43</v>
      </c>
      <c r="L3" s="64" t="str">
        <f>IFERROR(VLOOKUP(MID(G3,J3,K3-J3),[5]skilldef!$C:$D,2,FALSE),"-") &amp; " / " &amp; IFERROR(VLOOKUP(MID(G3,H3,I3-H3),[5]skilldef!$A:$B,2,FALSE),"-")</f>
        <v>- / ステータス強化</v>
      </c>
      <c r="M3" s="64" t="str">
        <f t="shared" si="5"/>
        <v>[effect:enemy_message, val1:2]</v>
      </c>
      <c r="N3" s="48" t="str">
        <f t="shared" si="6"/>
        <v>[effect:enemy_message, val1:2]</v>
      </c>
      <c r="O3" s="64">
        <f t="shared" si="7"/>
        <v>9</v>
      </c>
      <c r="P3" s="64">
        <f t="shared" si="8"/>
        <v>22</v>
      </c>
      <c r="Q3" s="64" t="e">
        <f t="shared" si="9"/>
        <v>#VALUE!</v>
      </c>
      <c r="R3" s="64" t="e">
        <f t="shared" si="10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25">
        <v>40022003</v>
      </c>
      <c r="B4" s="47" t="s">
        <v>289</v>
      </c>
      <c r="C4" s="50">
        <v>3</v>
      </c>
      <c r="D4" s="50" t="s">
        <v>128</v>
      </c>
      <c r="E4" s="51" t="s">
        <v>253</v>
      </c>
      <c r="F4" s="51" t="s">
        <v>346</v>
      </c>
      <c r="G4" s="64" t="str">
        <f t="shared" si="0"/>
        <v>[effect:enhance_enemy, target:enemy_animal, turn:-1, status:defense, val:5000, calc:add, animation:enemy_enhance_defense]</v>
      </c>
      <c r="H4" s="64">
        <f t="shared" si="1"/>
        <v>9</v>
      </c>
      <c r="I4" s="64">
        <f t="shared" si="2"/>
        <v>22</v>
      </c>
      <c r="J4" s="64">
        <f t="shared" si="3"/>
        <v>31</v>
      </c>
      <c r="K4" s="64">
        <f t="shared" si="4"/>
        <v>43</v>
      </c>
      <c r="L4" s="64" t="str">
        <f>IFERROR(VLOOKUP(MID(G4,J4,K4-J4),[5]skilldef!$C:$D,2,FALSE),"-") &amp; " / " &amp; IFERROR(VLOOKUP(MID(G4,H4,I4-H4),[5]skilldef!$A:$B,2,FALSE),"-")</f>
        <v>- / ステータス強化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125">
        <v>40022004</v>
      </c>
      <c r="B5" s="47" t="s">
        <v>386</v>
      </c>
      <c r="C5" s="50">
        <v>3</v>
      </c>
      <c r="D5" s="50" t="s">
        <v>128</v>
      </c>
      <c r="E5" s="51" t="s">
        <v>296</v>
      </c>
      <c r="F5" s="51" t="s">
        <v>261</v>
      </c>
      <c r="G5" s="64" t="str">
        <f t="shared" si="0"/>
        <v>[effect:virus, turn:2, target:unit_all, rate:1.0, val:0.3, animation:enemy_virus]</v>
      </c>
      <c r="H5" s="64">
        <f t="shared" si="1"/>
        <v>9</v>
      </c>
      <c r="I5" s="64">
        <f t="shared" si="2"/>
        <v>14</v>
      </c>
      <c r="J5" s="64">
        <f t="shared" si="3"/>
        <v>31</v>
      </c>
      <c r="K5" s="64">
        <f t="shared" si="4"/>
        <v>22</v>
      </c>
      <c r="L5" s="64" t="str">
        <f>IFERROR(VLOOKUP(MID(G5,J5,K5-J5),[5]skilldef!$C:$D,2,FALSE),"-") &amp; " / " &amp; IFERROR(VLOOKUP(MID(G5,H5,I5-H5),[5]skilldef!$A:$B,2,FALSE),"-")</f>
        <v>- / ウィルス</v>
      </c>
      <c r="M5" s="64" t="str">
        <f t="shared" si="5"/>
        <v>[effect:enemy_message, val1:2]</v>
      </c>
      <c r="N5" s="48" t="str">
        <f t="shared" si="6"/>
        <v>[effect:enemy_message, val1:2]</v>
      </c>
      <c r="O5" s="64">
        <f t="shared" si="7"/>
        <v>9</v>
      </c>
      <c r="P5" s="64">
        <f t="shared" si="8"/>
        <v>22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125">
        <v>40022005</v>
      </c>
      <c r="B6" s="47" t="s">
        <v>387</v>
      </c>
      <c r="C6" s="50">
        <v>3</v>
      </c>
      <c r="D6" s="50" t="s">
        <v>128</v>
      </c>
      <c r="E6" s="51" t="s">
        <v>317</v>
      </c>
      <c r="F6" s="51" t="s">
        <v>371</v>
      </c>
      <c r="G6" s="64" t="str">
        <f t="shared" si="0"/>
        <v>[effect:suicide, val:1, dead_type:escape, target:enemy_all]</v>
      </c>
      <c r="H6" s="64">
        <f t="shared" si="1"/>
        <v>9</v>
      </c>
      <c r="I6" s="64">
        <f t="shared" si="2"/>
        <v>16</v>
      </c>
      <c r="J6" s="64">
        <f t="shared" si="3"/>
        <v>50</v>
      </c>
      <c r="K6" s="64">
        <f t="shared" si="4"/>
        <v>23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[effect:enemy_message, val1:2, val2:3]</v>
      </c>
      <c r="N6" s="48" t="str">
        <f t="shared" si="6"/>
        <v>[effect:enemy_message, val1:2, val2:3]</v>
      </c>
      <c r="O6" s="64">
        <f t="shared" si="7"/>
        <v>9</v>
      </c>
      <c r="P6" s="64">
        <f t="shared" si="8"/>
        <v>22</v>
      </c>
      <c r="Q6" s="64" t="e">
        <f t="shared" si="9"/>
        <v>#VALUE!</v>
      </c>
      <c r="R6" s="64">
        <f t="shared" si="10"/>
        <v>30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125">
        <v>40022006</v>
      </c>
      <c r="B7" s="47" t="s">
        <v>304</v>
      </c>
      <c r="C7" s="50">
        <v>3</v>
      </c>
      <c r="D7" s="50" t="s">
        <v>128</v>
      </c>
      <c r="E7" s="51" t="s">
        <v>254</v>
      </c>
      <c r="F7" s="51" t="s">
        <v>273</v>
      </c>
      <c r="G7" s="64" t="str">
        <f t="shared" si="0"/>
        <v>[effect:critical, val:1.5, animation:enemy_critical]</v>
      </c>
      <c r="H7" s="64">
        <f t="shared" si="1"/>
        <v>9</v>
      </c>
      <c r="I7" s="64">
        <f t="shared" si="2"/>
        <v>17</v>
      </c>
      <c r="J7" s="64" t="e">
        <f t="shared" si="3"/>
        <v>#VALUE!</v>
      </c>
      <c r="K7" s="64">
        <f t="shared" si="4"/>
        <v>26</v>
      </c>
      <c r="L7" s="64" t="str">
        <f>IFERROR(VLOOKUP(MID(G7,J7,K7-J7),[5]skilldef!$C:$D,2,FALSE),"-") &amp; " / " &amp; IFERROR(VLOOKUP(MID(G7,H7,I7-H7),[5]skilldef!$A:$B,2,FALSE),"-")</f>
        <v>- / 大攻撃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25">
        <v>40022007</v>
      </c>
      <c r="B8" s="47" t="s">
        <v>255</v>
      </c>
      <c r="C8" s="50">
        <v>3</v>
      </c>
      <c r="D8" s="50" t="s">
        <v>128</v>
      </c>
      <c r="E8" s="51" t="s">
        <v>336</v>
      </c>
      <c r="F8" s="51" t="s">
        <v>256</v>
      </c>
      <c r="G8" s="64" t="str">
        <f t="shared" si="0"/>
        <v>[effect:fix_speed, target:myself, turn:1]</v>
      </c>
      <c r="H8" s="64">
        <f t="shared" si="1"/>
        <v>9</v>
      </c>
      <c r="I8" s="64">
        <f t="shared" si="2"/>
        <v>18</v>
      </c>
      <c r="J8" s="64">
        <f t="shared" si="3"/>
        <v>27</v>
      </c>
      <c r="K8" s="64">
        <f t="shared" si="4"/>
        <v>33</v>
      </c>
      <c r="L8" s="64" t="str">
        <f>IFERROR(VLOOKUP(MID(G8,J8,K8-J8),[5]skilldef!$C:$D,2,FALSE),"-") &amp; " / " &amp; IFERROR(VLOOKUP(MID(G8,H8,I8-H8),[5]skilldef!$A:$B,2,FALSE),"-")</f>
        <v>自分自身に / 行動値設定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125">
        <v>40022008</v>
      </c>
      <c r="B9" s="47" t="s">
        <v>262</v>
      </c>
      <c r="C9" s="50">
        <v>3</v>
      </c>
      <c r="D9" s="50" t="s">
        <v>128</v>
      </c>
      <c r="E9" s="51" t="s">
        <v>295</v>
      </c>
      <c r="F9" s="51" t="s">
        <v>263</v>
      </c>
      <c r="G9" s="64" t="str">
        <f t="shared" si="0"/>
        <v>[effect:spread, val:0.25]</v>
      </c>
      <c r="H9" s="64">
        <f t="shared" si="1"/>
        <v>9</v>
      </c>
      <c r="I9" s="64">
        <f t="shared" si="2"/>
        <v>15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IFERROR(VLOOKUP(MID(G9,J9,K9-J9),[5]skilldef!$C:$D,2,FALSE),"-") &amp; " / " &amp; IFERROR(VLOOKUP(MID(G9,H9,I9-H9),[5]skilldef!$A:$B,2,FALSE),"-")</f>
        <v>- / 全体攻撃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125">
        <v>40022009</v>
      </c>
      <c r="B10" s="47" t="s">
        <v>299</v>
      </c>
      <c r="C10" s="50">
        <v>3</v>
      </c>
      <c r="D10" s="50" t="s">
        <v>128</v>
      </c>
      <c r="E10" s="51" t="s">
        <v>294</v>
      </c>
      <c r="F10" s="51" t="s">
        <v>263</v>
      </c>
      <c r="G10" s="64" t="str">
        <f t="shared" si="0"/>
        <v>[effect:spread, val:0.38]</v>
      </c>
      <c r="H10" s="64">
        <f t="shared" si="1"/>
        <v>9</v>
      </c>
      <c r="I10" s="64">
        <f t="shared" si="2"/>
        <v>15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IFERROR(VLOOKUP(MID(G10,J10,K10-J10),[5]skilldef!$C:$D,2,FALSE),"-") &amp; " / " &amp; IFERROR(VLOOKUP(MID(G10,H10,I10-H10),[5]skilldef!$A:$B,2,FALSE),"-")</f>
        <v>- / 全体攻撃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125">
        <v>40022010</v>
      </c>
      <c r="B11" s="47" t="s">
        <v>300</v>
      </c>
      <c r="C11" s="50">
        <v>3</v>
      </c>
      <c r="D11" s="50" t="s">
        <v>128</v>
      </c>
      <c r="E11" s="51" t="s">
        <v>265</v>
      </c>
      <c r="F11" s="51" t="s">
        <v>263</v>
      </c>
      <c r="G11" s="64" t="str">
        <f t="shared" si="0"/>
        <v>[effect:spread, val:0.43]</v>
      </c>
      <c r="H11" s="64">
        <f t="shared" si="1"/>
        <v>9</v>
      </c>
      <c r="I11" s="64">
        <f t="shared" si="2"/>
        <v>15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IFERROR(VLOOKUP(MID(G11,J11,K11-J11),[5]skilldef!$C:$D,2,FALSE),"-") &amp; " / " &amp; IFERROR(VLOOKUP(MID(G11,H11,I11-H11),[5]skilldef!$A:$B,2,FALSE),"-")</f>
        <v>- / 全体攻撃</v>
      </c>
      <c r="M11" s="64" t="str">
        <f t="shared" si="5"/>
        <v>none</v>
      </c>
      <c r="N11" s="48" t="str">
        <f t="shared" si="6"/>
        <v>none</v>
      </c>
      <c r="O11" s="64" t="e">
        <f t="shared" si="7"/>
        <v>#VALUE!</v>
      </c>
      <c r="P11" s="64">
        <f t="shared" si="8"/>
        <v>4</v>
      </c>
      <c r="Q11" s="64" t="e">
        <f t="shared" si="9"/>
        <v>#VALUE!</v>
      </c>
      <c r="R11" s="64" t="e">
        <f t="shared" si="10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125">
        <v>40022011</v>
      </c>
      <c r="B12" s="47" t="s">
        <v>301</v>
      </c>
      <c r="C12" s="50">
        <v>3</v>
      </c>
      <c r="D12" s="50" t="s">
        <v>128</v>
      </c>
      <c r="E12" s="51" t="s">
        <v>332</v>
      </c>
      <c r="F12" s="51" t="s">
        <v>263</v>
      </c>
      <c r="G12" s="64" t="str">
        <f t="shared" si="0"/>
        <v>[effect:spread, val:0.48]</v>
      </c>
      <c r="H12" s="64">
        <f t="shared" si="1"/>
        <v>9</v>
      </c>
      <c r="I12" s="64">
        <f t="shared" si="2"/>
        <v>15</v>
      </c>
      <c r="J12" s="64" t="e">
        <f t="shared" si="3"/>
        <v>#VALUE!</v>
      </c>
      <c r="K12" s="64" t="e">
        <f t="shared" si="4"/>
        <v>#VALUE!</v>
      </c>
      <c r="L12" s="64" t="str">
        <f>IFERROR(VLOOKUP(MID(G12,J12,K12-J12),[5]skilldef!$C:$D,2,FALSE),"-") &amp; " / " &amp; IFERROR(VLOOKUP(MID(G12,H12,I12-H12),[5]skilldef!$A:$B,2,FALSE),"-")</f>
        <v>- / 全体攻撃</v>
      </c>
      <c r="M12" s="64" t="str">
        <f t="shared" si="5"/>
        <v>none</v>
      </c>
      <c r="N12" s="48" t="str">
        <f t="shared" si="6"/>
        <v>none</v>
      </c>
      <c r="O12" s="64" t="e">
        <f t="shared" si="7"/>
        <v>#VALUE!</v>
      </c>
      <c r="P12" s="64">
        <f t="shared" si="8"/>
        <v>4</v>
      </c>
      <c r="Q12" s="64" t="e">
        <f t="shared" si="9"/>
        <v>#VALUE!</v>
      </c>
      <c r="R12" s="64" t="e">
        <f t="shared" si="10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125">
        <v>40022012</v>
      </c>
      <c r="B13" s="47" t="s">
        <v>302</v>
      </c>
      <c r="C13" s="50">
        <v>3</v>
      </c>
      <c r="D13" s="50" t="s">
        <v>128</v>
      </c>
      <c r="E13" s="51" t="s">
        <v>288</v>
      </c>
      <c r="F13" s="51" t="s">
        <v>263</v>
      </c>
      <c r="G13" s="64" t="str">
        <f t="shared" si="0"/>
        <v>[effect:spread, val:0.53]</v>
      </c>
      <c r="H13" s="64">
        <f t="shared" si="1"/>
        <v>9</v>
      </c>
      <c r="I13" s="64">
        <f t="shared" si="2"/>
        <v>15</v>
      </c>
      <c r="J13" s="64" t="e">
        <f t="shared" si="3"/>
        <v>#VALUE!</v>
      </c>
      <c r="K13" s="64" t="e">
        <f t="shared" si="4"/>
        <v>#VALUE!</v>
      </c>
      <c r="L13" s="64" t="str">
        <f>IFERROR(VLOOKUP(MID(G13,J13,K13-J13),[5]skilldef!$C:$D,2,FALSE),"-") &amp; " / " &amp; IFERROR(VLOOKUP(MID(G13,H13,I13-H13),[5]skilldef!$A:$B,2,FALSE),"-")</f>
        <v>- / 全体攻撃</v>
      </c>
      <c r="M13" s="64" t="str">
        <f t="shared" si="5"/>
        <v>none</v>
      </c>
      <c r="N13" s="48" t="str">
        <f>IFERROR(LEFT(M13,FIND("],",M13)+S32),M13)</f>
        <v>none</v>
      </c>
      <c r="O13" s="64" t="e">
        <f t="shared" si="7"/>
        <v>#VALUE!</v>
      </c>
      <c r="P13" s="64">
        <f t="shared" si="8"/>
        <v>4</v>
      </c>
      <c r="Q13" s="64" t="e">
        <f t="shared" si="9"/>
        <v>#VALUE!</v>
      </c>
      <c r="R13" s="64" t="e">
        <f t="shared" si="10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25">
        <v>40022013</v>
      </c>
      <c r="B14" s="47" t="s">
        <v>298</v>
      </c>
      <c r="C14" s="50">
        <v>3</v>
      </c>
      <c r="D14" s="50" t="s">
        <v>128</v>
      </c>
      <c r="E14" s="51" t="s">
        <v>264</v>
      </c>
      <c r="F14" s="51" t="s">
        <v>263</v>
      </c>
      <c r="G14" s="64" t="str">
        <f t="shared" si="0"/>
        <v>[effect:spread, val:0.58]</v>
      </c>
      <c r="H14" s="64">
        <f t="shared" si="1"/>
        <v>9</v>
      </c>
      <c r="I14" s="64">
        <f t="shared" si="2"/>
        <v>15</v>
      </c>
      <c r="J14" s="64" t="e">
        <f t="shared" si="3"/>
        <v>#VALUE!</v>
      </c>
      <c r="K14" s="64" t="e">
        <f t="shared" si="4"/>
        <v>#VALUE!</v>
      </c>
      <c r="L14" s="64" t="str">
        <f>IFERROR(VLOOKUP(MID(G14,J14,K14-J14),[5]skilldef!$C:$D,2,FALSE),"-") &amp; " / " &amp; IFERROR(VLOOKUP(MID(G14,H14,I14-H14),[5]skilldef!$A:$B,2,FALSE),"-")</f>
        <v>- / 全体攻撃</v>
      </c>
      <c r="M14" s="64" t="str">
        <f t="shared" si="5"/>
        <v>none</v>
      </c>
      <c r="N14" s="48" t="str">
        <f>IFERROR(LEFT(M14,FIND("],",M14)+S31),M14)</f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25">
        <v>40022014</v>
      </c>
      <c r="B15" s="47" t="s">
        <v>292</v>
      </c>
      <c r="C15" s="50">
        <v>3</v>
      </c>
      <c r="D15" s="50" t="s">
        <v>128</v>
      </c>
      <c r="E15" s="51" t="s">
        <v>287</v>
      </c>
      <c r="F15" s="51" t="s">
        <v>259</v>
      </c>
      <c r="G15" s="64" t="str">
        <f t="shared" si="0"/>
        <v>[effect:fix_speed, target:myself, turn:2]</v>
      </c>
      <c r="H15" s="64">
        <f t="shared" si="1"/>
        <v>9</v>
      </c>
      <c r="I15" s="64">
        <f t="shared" si="2"/>
        <v>18</v>
      </c>
      <c r="J15" s="64">
        <f t="shared" si="3"/>
        <v>27</v>
      </c>
      <c r="K15" s="64">
        <f t="shared" si="4"/>
        <v>33</v>
      </c>
      <c r="L15" s="64" t="str">
        <f>IFERROR(VLOOKUP(MID(G15,J15,K15-J15),[5]skilldef!$C:$D,2,FALSE),"-") &amp; " / " &amp; IFERROR(VLOOKUP(MID(G15,H15,I15-H15),[5]skilldef!$A:$B,2,FALSE),"-")</f>
        <v>自分自身に / 行動値設定</v>
      </c>
      <c r="M15" s="64" t="str">
        <f t="shared" si="5"/>
        <v>[effect:enhance_enemy, target:myself, turn:3, status:defense, val:5000, calc:add, animation:enemy_enhance_defense]</v>
      </c>
      <c r="N15" s="48" t="str">
        <f t="shared" ref="N15:N18" si="16">IFERROR(LEFT(M15,FIND("],",M15)+S24),M15)</f>
        <v>[effect:enhance_enemy, target:myself, turn:3, status:defense, val:5000, calc:add, animation:enemy_enhance_defense]</v>
      </c>
      <c r="O15" s="64">
        <f t="shared" si="7"/>
        <v>9</v>
      </c>
      <c r="P15" s="64">
        <f t="shared" si="8"/>
        <v>22</v>
      </c>
      <c r="Q15" s="64">
        <f t="shared" si="9"/>
        <v>31</v>
      </c>
      <c r="R15" s="64">
        <f t="shared" si="10"/>
        <v>37</v>
      </c>
      <c r="S15" s="64" t="str">
        <f>IFERROR(VLOOKUP(MID(N15,Q15,R15-Q15),[5]skilldef!$C:$D,2,FALSE),"-") &amp; " / " &amp; IFERROR(VLOOKUP(MID(N15,O15,P15-O15),[5]skilldef!$A:$B,2,FALSE),"-")</f>
        <v>自分自身に / ステータス強化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125">
        <v>40022015</v>
      </c>
      <c r="B16" s="47" t="s">
        <v>305</v>
      </c>
      <c r="C16" s="50">
        <v>3</v>
      </c>
      <c r="D16" s="50" t="s">
        <v>128</v>
      </c>
      <c r="E16" s="51" t="s">
        <v>257</v>
      </c>
      <c r="F16" s="51" t="s">
        <v>306</v>
      </c>
      <c r="G16" s="64" t="str">
        <f t="shared" si="0"/>
        <v>[effect:heal, target:enemy_attack, val:0.1, animation:enemy_heal]</v>
      </c>
      <c r="H16" s="64">
        <f t="shared" si="1"/>
        <v>9</v>
      </c>
      <c r="I16" s="64">
        <f t="shared" si="2"/>
        <v>13</v>
      </c>
      <c r="J16" s="64">
        <f t="shared" si="3"/>
        <v>22</v>
      </c>
      <c r="K16" s="64">
        <f t="shared" si="4"/>
        <v>34</v>
      </c>
      <c r="L16" s="64" t="str">
        <f>IFERROR(VLOOKUP(MID(G16,J16,K16-J16),[5]skilldef!$C:$D,2,FALSE),"-") &amp; " / " &amp; IFERROR(VLOOKUP(MID(G16,H16,I16-H16),[5]skilldef!$A:$B,2,FALSE),"-")</f>
        <v>- / 回復</v>
      </c>
      <c r="M16" s="64" t="str">
        <f t="shared" si="5"/>
        <v>[effect:rush, count:1, val:1]</v>
      </c>
      <c r="N16" s="48" t="str">
        <f t="shared" si="16"/>
        <v>[effect:rush, count:1, val:1]</v>
      </c>
      <c r="O16" s="64">
        <f t="shared" si="7"/>
        <v>9</v>
      </c>
      <c r="P16" s="64">
        <f t="shared" si="8"/>
        <v>13</v>
      </c>
      <c r="Q16" s="64" t="e">
        <f t="shared" si="9"/>
        <v>#VALUE!</v>
      </c>
      <c r="R16" s="64">
        <f t="shared" si="10"/>
        <v>22</v>
      </c>
      <c r="S16" s="64" t="str">
        <f>IFERROR(VLOOKUP(MID(N16,Q16,R16-Q16),[5]skilldef!$C:$D,2,FALSE),"-") &amp; " / " &amp; IFERROR(VLOOKUP(MID(N16,O16,P16-O16),[5]skilldef!$A:$B,2,FALSE),"-")</f>
        <v>- / 連続攻撃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25">
        <v>40022016</v>
      </c>
      <c r="B17" s="47" t="s">
        <v>297</v>
      </c>
      <c r="C17" s="50">
        <v>3</v>
      </c>
      <c r="D17" s="50" t="s">
        <v>128</v>
      </c>
      <c r="E17" s="51" t="s">
        <v>258</v>
      </c>
      <c r="F17" s="51" t="s">
        <v>260</v>
      </c>
      <c r="G17" s="64" t="str">
        <f t="shared" si="0"/>
        <v>[effect:enhance_enemy, target:enemy_all, turn:3, status:defense, val:3000, calc:add, animation:enemy_enhance_defense]</v>
      </c>
      <c r="H17" s="64">
        <f t="shared" si="1"/>
        <v>9</v>
      </c>
      <c r="I17" s="64">
        <f t="shared" si="2"/>
        <v>22</v>
      </c>
      <c r="J17" s="64">
        <f t="shared" si="3"/>
        <v>31</v>
      </c>
      <c r="K17" s="64">
        <f t="shared" si="4"/>
        <v>40</v>
      </c>
      <c r="L17" s="64" t="str">
        <f>IFERROR(VLOOKUP(MID(G17,J17,K17-J17),[5]skilldef!$C:$D,2,FALSE),"-") &amp; " / " &amp; IFERROR(VLOOKUP(MID(G17,H17,I17-H17),[5]skilldef!$A:$B,2,FALSE),"-")</f>
        <v>敵全体に / ステータス強化</v>
      </c>
      <c r="M17" s="64" t="str">
        <f t="shared" si="5"/>
        <v>none</v>
      </c>
      <c r="N17" s="48" t="str">
        <f t="shared" si="16"/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125">
        <v>40022017</v>
      </c>
      <c r="B18" s="47" t="s">
        <v>269</v>
      </c>
      <c r="C18" s="50">
        <v>3</v>
      </c>
      <c r="D18" s="50" t="s">
        <v>128</v>
      </c>
      <c r="E18" s="51" t="s">
        <v>266</v>
      </c>
      <c r="F18" s="51" t="s">
        <v>267</v>
      </c>
      <c r="G18" s="64" t="str">
        <f t="shared" ref="G18" si="17">IFERROR(LEFT(B18,FIND("],",B18)),B18)</f>
        <v>[effect:fix_speed, target:myself, turn:2]</v>
      </c>
      <c r="H18" s="64">
        <f t="shared" si="1"/>
        <v>9</v>
      </c>
      <c r="I18" s="64">
        <f t="shared" ref="I18" si="18">IFERROR(FIND(",",G18),LEN(G18))</f>
        <v>18</v>
      </c>
      <c r="J18" s="64">
        <f t="shared" ref="J18" si="19">FIND("target:",G18)+7</f>
        <v>27</v>
      </c>
      <c r="K18" s="64">
        <f t="shared" ref="K18" si="20">FIND(",",G18,I18+1)</f>
        <v>33</v>
      </c>
      <c r="L18" s="64" t="str">
        <f>IFERROR(VLOOKUP(MID(G18,J18,K18-J18),[5]skilldef!$C:$D,2,FALSE),"-") &amp; " / " &amp; IFERROR(VLOOKUP(MID(G18,H18,I18-H18),[5]skilldef!$A:$B,2,FALSE),"-")</f>
        <v>自分自身に / 行動値設定</v>
      </c>
      <c r="M18" s="64" t="str">
        <f t="shared" ref="M18" si="21">IFERROR(RIGHT(B18,LEN(B18)-FIND("],",B18)-1),"none")</f>
        <v>none</v>
      </c>
      <c r="N18" s="48" t="str">
        <f t="shared" si="16"/>
        <v>none</v>
      </c>
      <c r="O18" s="64" t="e">
        <f t="shared" si="7"/>
        <v>#VALUE!</v>
      </c>
      <c r="P18" s="64">
        <f t="shared" ref="P18" si="22">IFERROR(FIND(",",N18),LEN(N18))</f>
        <v>4</v>
      </c>
      <c r="Q18" s="64" t="e">
        <f t="shared" ref="Q18" si="23">FIND("target:",N18)+7</f>
        <v>#VALUE!</v>
      </c>
      <c r="R18" s="64" t="e">
        <f t="shared" ref="R18" si="24">FIND(",",N18,P18+1)</f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25">IFERROR(RIGHT(M18,LEN(M18)-FIND("],",M18)-1),"none")</f>
        <v>none</v>
      </c>
      <c r="U18" s="64" t="e">
        <f t="shared" si="12"/>
        <v>#VALUE!</v>
      </c>
      <c r="V18" s="64">
        <f t="shared" ref="V18" si="26">IFERROR(FIND(",",T18),LEN(T18))</f>
        <v>4</v>
      </c>
      <c r="W18" s="64" t="e">
        <f t="shared" ref="W18" si="27">FIND("target:",T18)+7</f>
        <v>#VALUE!</v>
      </c>
      <c r="X18" s="64" t="e">
        <f t="shared" ref="X18" si="28">FIND(",",T18,V18+1)</f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125">
        <v>40022018</v>
      </c>
      <c r="B19" s="47" t="s">
        <v>366</v>
      </c>
      <c r="C19" s="50">
        <v>3</v>
      </c>
      <c r="D19" s="50" t="s">
        <v>128</v>
      </c>
      <c r="E19" s="51" t="s">
        <v>268</v>
      </c>
      <c r="F19" s="51" t="s">
        <v>303</v>
      </c>
      <c r="G19" s="64" t="str">
        <f t="shared" ref="G19" si="29">IFERROR(LEFT(B19,FIND("],",B19)),B19)</f>
        <v>[effect:damage_anti_tribe, target:unit_all, tribe:machine, val1:1.5, val2:0.3]</v>
      </c>
      <c r="H19" s="64">
        <f t="shared" si="1"/>
        <v>9</v>
      </c>
      <c r="I19" s="64">
        <f t="shared" ref="I19" si="30">IFERROR(FIND(",",G19),LEN(G19))</f>
        <v>26</v>
      </c>
      <c r="J19" s="64">
        <f t="shared" ref="J19" si="31">FIND("target:",G19)+7</f>
        <v>35</v>
      </c>
      <c r="K19" s="64">
        <f t="shared" ref="K19" si="32">FIND(",",G19,I19+1)</f>
        <v>43</v>
      </c>
      <c r="L19" s="64" t="str">
        <f>IFERROR(VLOOKUP(MID(G19,J19,K19-J19),[5]skilldef!$C:$D,2,FALSE),"-") &amp; " / " &amp; IFERROR(VLOOKUP(MID(G19,H19,I19-H19),[5]skilldef!$A:$B,2,FALSE),"-")</f>
        <v>味方全体に / 種族キラー</v>
      </c>
      <c r="M19" s="64" t="str">
        <f t="shared" ref="M19" si="33">IFERROR(RIGHT(B19,LEN(B19)-FIND("],",B19)-1),"none")</f>
        <v>none</v>
      </c>
      <c r="N19" s="48" t="str">
        <f>IFERROR(LEFT(M19,FIND("],",M19)+S32),M19)</f>
        <v>none</v>
      </c>
      <c r="O19" s="64" t="e">
        <f t="shared" si="7"/>
        <v>#VALUE!</v>
      </c>
      <c r="P19" s="64">
        <f t="shared" ref="P19" si="34">IFERROR(FIND(",",N19),LEN(N19))</f>
        <v>4</v>
      </c>
      <c r="Q19" s="64" t="e">
        <f t="shared" ref="Q19" si="35">FIND("target:",N19)+7</f>
        <v>#VALUE!</v>
      </c>
      <c r="R19" s="64" t="e">
        <f t="shared" ref="R19" si="36">FIND(",",N19,P19+1)</f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37">IFERROR(RIGHT(M19,LEN(M19)-FIND("],",M19)-1),"none")</f>
        <v>none</v>
      </c>
      <c r="U19" s="64" t="e">
        <f t="shared" si="12"/>
        <v>#VALUE!</v>
      </c>
      <c r="V19" s="64">
        <f t="shared" ref="V19" si="38">IFERROR(FIND(",",T19),LEN(T19))</f>
        <v>4</v>
      </c>
      <c r="W19" s="64" t="e">
        <f t="shared" ref="W19" si="39">FIND("target:",T19)+7</f>
        <v>#VALUE!</v>
      </c>
      <c r="X19" s="64" t="e">
        <f t="shared" ref="X19" si="40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25">
        <v>40022019</v>
      </c>
      <c r="B20" s="47" t="s">
        <v>313</v>
      </c>
      <c r="C20" s="50">
        <v>3</v>
      </c>
      <c r="D20" s="50" t="s">
        <v>128</v>
      </c>
      <c r="E20" s="51" t="s">
        <v>405</v>
      </c>
      <c r="F20" s="51" t="s">
        <v>314</v>
      </c>
      <c r="G20" s="64" t="str">
        <f t="shared" ref="G20" si="41">IFERROR(LEFT(B20,FIND("],",B20)),B20)</f>
        <v>[effect:hungup, target:unit_all, turn:3, rate:1, animation:hungup01]</v>
      </c>
      <c r="H20" s="64">
        <f t="shared" si="1"/>
        <v>9</v>
      </c>
      <c r="I20" s="64">
        <f t="shared" ref="I20" si="42">IFERROR(FIND(",",G20),LEN(G20))</f>
        <v>15</v>
      </c>
      <c r="J20" s="64">
        <f t="shared" ref="J20" si="43">FIND("target:",G20)+7</f>
        <v>24</v>
      </c>
      <c r="K20" s="64">
        <f t="shared" ref="K20" si="44">FIND(",",G20,I20+1)</f>
        <v>32</v>
      </c>
      <c r="L20" s="64" t="str">
        <f>IFERROR(VLOOKUP(MID(G20,J20,K20-J20),[5]skilldef!$C:$D,2,FALSE),"-") &amp; " / " &amp; IFERROR(VLOOKUP(MID(G20,H20,I20-H20),[5]skilldef!$A:$B,2,FALSE),"-")</f>
        <v>味方全体に / ハングアップ</v>
      </c>
      <c r="M20" s="64" t="str">
        <f t="shared" ref="M20" si="45">IFERROR(RIGHT(B20,LEN(B20)-FIND("],",B20)-1),"none")</f>
        <v>[effect:spread, val:0.25]</v>
      </c>
      <c r="N20" s="48" t="str">
        <f>IFERROR(LEFT(M20,FIND("],",M20)+S31),M20)</f>
        <v>[effect:spread, val:0.25]</v>
      </c>
      <c r="O20" s="64">
        <f t="shared" si="7"/>
        <v>9</v>
      </c>
      <c r="P20" s="64">
        <f t="shared" ref="P20" si="46">IFERROR(FIND(",",N20),LEN(N20))</f>
        <v>15</v>
      </c>
      <c r="Q20" s="64" t="e">
        <f t="shared" ref="Q20" si="47">FIND("target:",N20)+7</f>
        <v>#VALUE!</v>
      </c>
      <c r="R20" s="64" t="e">
        <f t="shared" ref="R20" si="48">FIND(",",N20,P20+1)</f>
        <v>#VALUE!</v>
      </c>
      <c r="S20" s="64" t="str">
        <f>IFERROR(VLOOKUP(MID(N20,Q20,R20-Q20),[5]skilldef!$C:$D,2,FALSE),"-") &amp; " / " &amp; IFERROR(VLOOKUP(MID(N20,O20,P20-O20),[5]skilldef!$A:$B,2,FALSE),"-")</f>
        <v>- / 全体攻撃</v>
      </c>
      <c r="T20" s="48" t="str">
        <f t="shared" ref="T20" si="49">IFERROR(RIGHT(M20,LEN(M20)-FIND("],",M20)-1),"none")</f>
        <v>none</v>
      </c>
      <c r="U20" s="64" t="e">
        <f t="shared" si="12"/>
        <v>#VALUE!</v>
      </c>
      <c r="V20" s="64">
        <f t="shared" ref="V20" si="50">IFERROR(FIND(",",T20),LEN(T20))</f>
        <v>4</v>
      </c>
      <c r="W20" s="64" t="e">
        <f t="shared" ref="W20" si="51">FIND("target:",T20)+7</f>
        <v>#VALUE!</v>
      </c>
      <c r="X20" s="64" t="e">
        <f t="shared" ref="X20" si="52">FIND(",",T20,V20+1)</f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125">
        <v>40022020</v>
      </c>
      <c r="B21" s="47" t="s">
        <v>353</v>
      </c>
      <c r="C21" s="50">
        <v>3</v>
      </c>
      <c r="D21" s="50" t="s">
        <v>128</v>
      </c>
      <c r="E21" s="51" t="s">
        <v>270</v>
      </c>
      <c r="F21" s="51" t="s">
        <v>321</v>
      </c>
      <c r="G21" s="64" t="str">
        <f t="shared" ref="G21" si="53">IFERROR(LEFT(B21,FIND("],",B21)),B21)</f>
        <v>[effect:fix_speed, target:myself, turn:2]</v>
      </c>
      <c r="H21" s="64">
        <f t="shared" si="1"/>
        <v>9</v>
      </c>
      <c r="I21" s="64">
        <f t="shared" ref="I21" si="54">IFERROR(FIND(",",G21),LEN(G21))</f>
        <v>18</v>
      </c>
      <c r="J21" s="64">
        <f t="shared" ref="J21" si="55">FIND("target:",G21)+7</f>
        <v>27</v>
      </c>
      <c r="K21" s="64">
        <f t="shared" ref="K21" si="56">FIND(",",G21,I21+1)</f>
        <v>33</v>
      </c>
      <c r="L21" s="64" t="str">
        <f>IFERROR(VLOOKUP(MID(G21,J21,K21-J21),[5]skilldef!$C:$D,2,FALSE),"-") &amp; " / " &amp; IFERROR(VLOOKUP(MID(G21,H21,I21-H21),[5]skilldef!$A:$B,2,FALSE),"-")</f>
        <v>自分自身に / 行動値設定</v>
      </c>
      <c r="M21" s="64" t="str">
        <f t="shared" ref="M21" si="57">IFERROR(RIGHT(B21,LEN(B21)-FIND("],",B21)-1),"none")</f>
        <v>[effect:drop_block, block_type:time_bomb, block_color:block_red, color:block_all, val:0.3, rate:0.3, turn:6, min_time_count:2, max_time_count:2, animation:time_bomb_influence04]</v>
      </c>
      <c r="N21" s="48" t="str">
        <f>IFERROR(LEFT(M21,FIND("],",M21)+S29),M21)</f>
        <v>[effect:drop_block, block_type:time_bomb, block_color:block_red, color:block_all, val:0.3, rate:0.3, turn:6, min_time_count:2, max_time_count:2, animation:time_bomb_influence04]</v>
      </c>
      <c r="O21" s="64">
        <f t="shared" si="7"/>
        <v>9</v>
      </c>
      <c r="P21" s="64">
        <f t="shared" ref="P21" si="58">IFERROR(FIND(",",N21),LEN(N21))</f>
        <v>19</v>
      </c>
      <c r="Q21" s="64" t="e">
        <f t="shared" ref="Q21" si="59">FIND("target:",N21)+7</f>
        <v>#VALUE!</v>
      </c>
      <c r="R21" s="64">
        <f t="shared" ref="R21" si="60">FIND(",",N21,P21+1)</f>
        <v>41</v>
      </c>
      <c r="S21" s="64" t="str">
        <f>IFERROR(VLOOKUP(MID(N21,Q21,R21-Q21),[5]skilldef!$C:$D,2,FALSE),"-") &amp; " / " &amp; IFERROR(VLOOKUP(MID(N21,O21,P21-O21),[5]skilldef!$A:$B,2,FALSE),"-")</f>
        <v>- / 特定ブロックの割合ドロップ</v>
      </c>
      <c r="T21" s="48" t="str">
        <f t="shared" ref="T21" si="61">IFERROR(RIGHT(M21,LEN(M21)-FIND("],",M21)-1),"none")</f>
        <v>none</v>
      </c>
      <c r="U21" s="64" t="e">
        <f t="shared" si="12"/>
        <v>#VALUE!</v>
      </c>
      <c r="V21" s="64">
        <f t="shared" ref="V21" si="62">IFERROR(FIND(",",T21),LEN(T21))</f>
        <v>4</v>
      </c>
      <c r="W21" s="64" t="e">
        <f t="shared" ref="W21" si="63">FIND("target:",T21)+7</f>
        <v>#VALUE!</v>
      </c>
      <c r="X21" s="64" t="e">
        <f t="shared" ref="X21" si="64">FIND(",",T21,V21+1)</f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25">
        <v>40022021</v>
      </c>
      <c r="B22" s="47" t="s">
        <v>272</v>
      </c>
      <c r="C22" s="50">
        <v>3</v>
      </c>
      <c r="D22" s="50" t="s">
        <v>128</v>
      </c>
      <c r="E22" s="51" t="s">
        <v>271</v>
      </c>
      <c r="F22" s="51" t="s">
        <v>273</v>
      </c>
      <c r="G22" s="64" t="str">
        <f t="shared" ref="G22:G23" si="65">IFERROR(LEFT(B22,FIND("],",B22)),B22)</f>
        <v>[effect:critical, val:1.5, animation:enemy_critical]</v>
      </c>
      <c r="H22" s="64">
        <f t="shared" si="1"/>
        <v>9</v>
      </c>
      <c r="I22" s="64">
        <f t="shared" ref="I22:I23" si="66">IFERROR(FIND(",",G22),LEN(G22))</f>
        <v>17</v>
      </c>
      <c r="J22" s="64" t="e">
        <f t="shared" ref="J22:J23" si="67">FIND("target:",G22)+7</f>
        <v>#VALUE!</v>
      </c>
      <c r="K22" s="64">
        <f t="shared" ref="K22:K23" si="68">FIND(",",G22,I22+1)</f>
        <v>26</v>
      </c>
      <c r="L22" s="64" t="str">
        <f>IFERROR(VLOOKUP(MID(G22,J22,K22-J22),[5]skilldef!$C:$D,2,FALSE),"-") &amp; " / " &amp; IFERROR(VLOOKUP(MID(G22,H22,I22-H22),[5]skilldef!$A:$B,2,FALSE),"-")</f>
        <v>- / 大攻撃</v>
      </c>
      <c r="M22" s="64" t="str">
        <f t="shared" ref="M22:M23" si="69">IFERROR(RIGHT(B22,LEN(B22)-FIND("],",B22)-1),"none")</f>
        <v>none</v>
      </c>
      <c r="N22" s="48" t="str">
        <f>IFERROR(LEFT(M22,FIND("],",M22)+S30),M22)</f>
        <v>none</v>
      </c>
      <c r="O22" s="64" t="e">
        <f t="shared" si="7"/>
        <v>#VALUE!</v>
      </c>
      <c r="P22" s="64">
        <f t="shared" ref="P22:P23" si="70">IFERROR(FIND(",",N22),LEN(N22))</f>
        <v>4</v>
      </c>
      <c r="Q22" s="64" t="e">
        <f t="shared" ref="Q22:Q23" si="71">FIND("target:",N22)+7</f>
        <v>#VALUE!</v>
      </c>
      <c r="R22" s="64" t="e">
        <f t="shared" ref="R22:R23" si="72">FIND(",",N22,P22+1)</f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:T23" si="73">IFERROR(RIGHT(M22,LEN(M22)-FIND("],",M22)-1),"none")</f>
        <v>none</v>
      </c>
      <c r="U22" s="64" t="e">
        <f t="shared" si="12"/>
        <v>#VALUE!</v>
      </c>
      <c r="V22" s="64">
        <f t="shared" ref="V22:V23" si="74">IFERROR(FIND(",",T22),LEN(T22))</f>
        <v>4</v>
      </c>
      <c r="W22" s="64" t="e">
        <f t="shared" ref="W22:W23" si="75">FIND("target:",T22)+7</f>
        <v>#VALUE!</v>
      </c>
      <c r="X22" s="64" t="e">
        <f t="shared" ref="X22:X23" si="76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125">
        <v>40022022</v>
      </c>
      <c r="B23" s="47" t="s">
        <v>274</v>
      </c>
      <c r="C23" s="50">
        <v>3</v>
      </c>
      <c r="D23" s="50" t="s">
        <v>128</v>
      </c>
      <c r="E23" s="51" t="s">
        <v>360</v>
      </c>
      <c r="F23" s="51" t="s">
        <v>335</v>
      </c>
      <c r="G23" s="64" t="str">
        <f t="shared" si="65"/>
        <v>[effect:freq_turn, target:myself, turn:-1, val:1, animation:enemy_freq_turn]</v>
      </c>
      <c r="H23" s="64">
        <f t="shared" si="1"/>
        <v>9</v>
      </c>
      <c r="I23" s="64">
        <f t="shared" si="66"/>
        <v>18</v>
      </c>
      <c r="J23" s="64">
        <f t="shared" si="67"/>
        <v>27</v>
      </c>
      <c r="K23" s="64">
        <f t="shared" si="68"/>
        <v>33</v>
      </c>
      <c r="L23" s="64" t="str">
        <f>IFERROR(VLOOKUP(MID(G23,J23,K23-J23),[5]skilldef!$C:$D,2,FALSE),"-") &amp; " / " &amp; IFERROR(VLOOKUP(MID(G23,H23,I23-H23),[5]skilldef!$A:$B,2,FALSE),"-")</f>
        <v>自分自身に / 攻撃頻度がUP</v>
      </c>
      <c r="M23" s="64" t="str">
        <f t="shared" si="69"/>
        <v>none</v>
      </c>
      <c r="N23" s="48" t="str">
        <f>IFERROR(LEFT(M23,FIND("],",M23)+S33),M23)</f>
        <v>none</v>
      </c>
      <c r="O23" s="64" t="e">
        <f t="shared" si="7"/>
        <v>#VALUE!</v>
      </c>
      <c r="P23" s="64">
        <f t="shared" si="70"/>
        <v>4</v>
      </c>
      <c r="Q23" s="64" t="e">
        <f t="shared" si="71"/>
        <v>#VALUE!</v>
      </c>
      <c r="R23" s="64" t="e">
        <f t="shared" si="72"/>
        <v>#VALUE!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73"/>
        <v>none</v>
      </c>
      <c r="U23" s="64" t="e">
        <f t="shared" si="12"/>
        <v>#VALUE!</v>
      </c>
      <c r="V23" s="64">
        <f t="shared" si="74"/>
        <v>4</v>
      </c>
      <c r="W23" s="64" t="e">
        <f t="shared" si="75"/>
        <v>#VALUE!</v>
      </c>
      <c r="X23" s="64" t="e">
        <f t="shared" si="76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125">
        <v>40022023</v>
      </c>
      <c r="B24" s="47" t="s">
        <v>367</v>
      </c>
      <c r="C24" s="50">
        <v>3</v>
      </c>
      <c r="D24" s="50" t="s">
        <v>128</v>
      </c>
      <c r="E24" s="51" t="s">
        <v>406</v>
      </c>
      <c r="F24" s="51" t="s">
        <v>275</v>
      </c>
      <c r="G24" s="64" t="str">
        <f t="shared" ref="G24:G25" si="77">IFERROR(LEFT(B24,FIND("],",B24)),B24)</f>
        <v>[effect:damage_anti_tribe, target:unit_all, tribe:machine, val1:5, val2:0.4]</v>
      </c>
      <c r="H24" s="64">
        <f t="shared" si="1"/>
        <v>9</v>
      </c>
      <c r="I24" s="64">
        <f t="shared" ref="I24:I25" si="78">IFERROR(FIND(",",G24),LEN(G24))</f>
        <v>26</v>
      </c>
      <c r="J24" s="64">
        <f t="shared" ref="J24:J25" si="79">FIND("target:",G24)+7</f>
        <v>35</v>
      </c>
      <c r="K24" s="64">
        <f t="shared" ref="K24:K25" si="80">FIND(",",G24,I24+1)</f>
        <v>43</v>
      </c>
      <c r="L24" s="64" t="str">
        <f>IFERROR(VLOOKUP(MID(G24,J24,K24-J24),[5]skilldef!$C:$D,2,FALSE),"-") &amp; " / " &amp; IFERROR(VLOOKUP(MID(G24,H24,I24-H24),[5]skilldef!$A:$B,2,FALSE),"-")</f>
        <v>味方全体に / 種族キラー</v>
      </c>
      <c r="M24" s="64" t="str">
        <f t="shared" ref="M24:M25" si="81">IFERROR(RIGHT(B24,LEN(B24)-FIND("],",B24)-1),"none")</f>
        <v>[effect:suicide, val:0.05, target:enemy_all]</v>
      </c>
      <c r="N24" s="48" t="str">
        <f>IFERROR(LEFT(M24,FIND("],",M24)+S38),M24)</f>
        <v>[effect:suicide, val:0.05, target:enemy_all]</v>
      </c>
      <c r="O24" s="64">
        <f t="shared" si="7"/>
        <v>9</v>
      </c>
      <c r="P24" s="64">
        <f t="shared" ref="P24:P25" si="82">IFERROR(FIND(",",N24),LEN(N24))</f>
        <v>16</v>
      </c>
      <c r="Q24" s="64">
        <f t="shared" ref="Q24:Q25" si="83">FIND("target:",N24)+7</f>
        <v>35</v>
      </c>
      <c r="R24" s="64">
        <f t="shared" ref="R24:R25" si="84">FIND(",",N24,P24+1)</f>
        <v>26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:T25" si="85">IFERROR(RIGHT(M24,LEN(M24)-FIND("],",M24)-1),"none")</f>
        <v>none</v>
      </c>
      <c r="U24" s="64" t="e">
        <f t="shared" si="12"/>
        <v>#VALUE!</v>
      </c>
      <c r="V24" s="64">
        <f t="shared" ref="V24:V25" si="86">IFERROR(FIND(",",T24),LEN(T24))</f>
        <v>4</v>
      </c>
      <c r="W24" s="64" t="e">
        <f t="shared" ref="W24:W25" si="87">FIND("target:",T24)+7</f>
        <v>#VALUE!</v>
      </c>
      <c r="X24" s="64" t="e">
        <f t="shared" ref="X24:X25" si="88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125">
        <v>40022024</v>
      </c>
      <c r="B25" s="47" t="s">
        <v>274</v>
      </c>
      <c r="C25" s="50">
        <v>3</v>
      </c>
      <c r="D25" s="50" t="s">
        <v>128</v>
      </c>
      <c r="E25" s="51" t="s">
        <v>277</v>
      </c>
      <c r="F25" s="51" t="s">
        <v>334</v>
      </c>
      <c r="G25" s="64" t="str">
        <f t="shared" si="77"/>
        <v>[effect:freq_turn, target:myself, turn:-1, val:1, animation:enemy_freq_turn]</v>
      </c>
      <c r="H25" s="64">
        <f t="shared" si="1"/>
        <v>9</v>
      </c>
      <c r="I25" s="64">
        <f t="shared" si="78"/>
        <v>18</v>
      </c>
      <c r="J25" s="64">
        <f t="shared" si="79"/>
        <v>27</v>
      </c>
      <c r="K25" s="64">
        <f t="shared" si="80"/>
        <v>33</v>
      </c>
      <c r="L25" s="64" t="str">
        <f>IFERROR(VLOOKUP(MID(G25,J25,K25-J25),[5]skilldef!$C:$D,2,FALSE),"-") &amp; " / " &amp; IFERROR(VLOOKUP(MID(G25,H25,I25-H25),[5]skilldef!$A:$B,2,FALSE),"-")</f>
        <v>自分自身に / 攻撃頻度がUP</v>
      </c>
      <c r="M25" s="64" t="str">
        <f t="shared" si="81"/>
        <v>none</v>
      </c>
      <c r="N25" s="48" t="str">
        <f>IFERROR(LEFT(M25,FIND("],",M25)+S37),M25)</f>
        <v>none</v>
      </c>
      <c r="O25" s="64" t="e">
        <f t="shared" si="7"/>
        <v>#VALUE!</v>
      </c>
      <c r="P25" s="64">
        <f t="shared" si="82"/>
        <v>4</v>
      </c>
      <c r="Q25" s="64" t="e">
        <f t="shared" si="83"/>
        <v>#VALUE!</v>
      </c>
      <c r="R25" s="64" t="e">
        <f t="shared" si="84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85"/>
        <v>none</v>
      </c>
      <c r="U25" s="64" t="e">
        <f t="shared" si="12"/>
        <v>#VALUE!</v>
      </c>
      <c r="V25" s="64">
        <f t="shared" si="86"/>
        <v>4</v>
      </c>
      <c r="W25" s="64" t="e">
        <f t="shared" si="87"/>
        <v>#VALUE!</v>
      </c>
      <c r="X25" s="64" t="e">
        <f t="shared" si="88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125">
        <v>40022025</v>
      </c>
      <c r="B26" s="47" t="s">
        <v>311</v>
      </c>
      <c r="C26" s="50">
        <v>3</v>
      </c>
      <c r="D26" s="50" t="s">
        <v>128</v>
      </c>
      <c r="E26" s="51" t="s">
        <v>293</v>
      </c>
      <c r="F26" s="51" t="s">
        <v>276</v>
      </c>
      <c r="G26" s="64" t="str">
        <f t="shared" ref="G26" si="89">IFERROR(LEFT(B26,FIND("],",B26)),B26)</f>
        <v>[effect:rush, count:3, val:0.44]</v>
      </c>
      <c r="H26" s="64">
        <f t="shared" si="1"/>
        <v>9</v>
      </c>
      <c r="I26" s="64">
        <f t="shared" ref="I26" si="90">IFERROR(FIND(",",G26),LEN(G26))</f>
        <v>13</v>
      </c>
      <c r="J26" s="64" t="e">
        <f t="shared" ref="J26" si="91">FIND("target:",G26)+7</f>
        <v>#VALUE!</v>
      </c>
      <c r="K26" s="64">
        <f t="shared" ref="K26" si="92">FIND(",",G26,I26+1)</f>
        <v>22</v>
      </c>
      <c r="L26" s="64" t="str">
        <f>IFERROR(VLOOKUP(MID(G26,J26,K26-J26),[5]skilldef!$C:$D,2,FALSE),"-") &amp; " / " &amp; IFERROR(VLOOKUP(MID(G26,H26,I26-H26),[5]skilldef!$A:$B,2,FALSE),"-")</f>
        <v>- / 連続攻撃</v>
      </c>
      <c r="M26" s="64" t="str">
        <f t="shared" ref="M26" si="93">IFERROR(RIGHT(B26,LEN(B26)-FIND("],",B26)-1),"none")</f>
        <v>none</v>
      </c>
      <c r="N26" s="48" t="str">
        <f>IFERROR(LEFT(M26,FIND("],",M26)+S35),M26)</f>
        <v>none</v>
      </c>
      <c r="O26" s="64" t="e">
        <f t="shared" si="7"/>
        <v>#VALUE!</v>
      </c>
      <c r="P26" s="64">
        <f t="shared" ref="P26" si="94">IFERROR(FIND(",",N26),LEN(N26))</f>
        <v>4</v>
      </c>
      <c r="Q26" s="64" t="e">
        <f t="shared" ref="Q26" si="95">FIND("target:",N26)+7</f>
        <v>#VALUE!</v>
      </c>
      <c r="R26" s="64" t="e">
        <f t="shared" ref="R26" si="96">FIND(",",N26,P26+1)</f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ref="T26" si="97">IFERROR(RIGHT(M26,LEN(M26)-FIND("],",M26)-1),"none")</f>
        <v>none</v>
      </c>
      <c r="U26" s="64" t="e">
        <f t="shared" si="12"/>
        <v>#VALUE!</v>
      </c>
      <c r="V26" s="64">
        <f t="shared" ref="V26" si="98">IFERROR(FIND(",",T26),LEN(T26))</f>
        <v>4</v>
      </c>
      <c r="W26" s="64" t="e">
        <f t="shared" ref="W26" si="99">FIND("target:",T26)+7</f>
        <v>#VALUE!</v>
      </c>
      <c r="X26" s="64" t="e">
        <f t="shared" ref="X26" si="100">FIND(",",T26,V26+1)</f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25">
        <v>40022026</v>
      </c>
      <c r="B27" s="47" t="s">
        <v>409</v>
      </c>
      <c r="C27" s="50">
        <v>3</v>
      </c>
      <c r="D27" s="50" t="s">
        <v>128</v>
      </c>
      <c r="E27" s="51" t="s">
        <v>403</v>
      </c>
      <c r="F27" s="51" t="s">
        <v>372</v>
      </c>
      <c r="G27" s="64" t="str">
        <f t="shared" ref="G27:G28" si="101">IFERROR(LEFT(B27,FIND("],",B27)),B27)</f>
        <v>[effect:fix_speed, target:myself, turn:2]</v>
      </c>
      <c r="H27" s="64">
        <f t="shared" si="1"/>
        <v>9</v>
      </c>
      <c r="I27" s="64">
        <f t="shared" ref="I27:I28" si="102">IFERROR(FIND(",",G27),LEN(G27))</f>
        <v>18</v>
      </c>
      <c r="J27" s="64">
        <f t="shared" ref="J27:J28" si="103">FIND("target:",G27)+7</f>
        <v>27</v>
      </c>
      <c r="K27" s="64">
        <f t="shared" ref="K27:K28" si="104">FIND(",",G27,I27+1)</f>
        <v>33</v>
      </c>
      <c r="L27" s="64" t="str">
        <f>IFERROR(VLOOKUP(MID(G27,J27,K27-J27),[5]skilldef!$C:$D,2,FALSE),"-") &amp; " / " &amp; IFERROR(VLOOKUP(MID(G27,H27,I27-H27),[5]skilldef!$A:$B,2,FALSE),"-")</f>
        <v>自分自身に / 行動値設定</v>
      </c>
      <c r="M27" s="64" t="str">
        <f t="shared" ref="M27:M28" si="105">IFERROR(RIGHT(B27,LEN(B27)-FIND("],",B27)-1),"none")</f>
        <v>[effect:change_bomb_range, turn:-1, val:0.3, rate:1, animation:bomb_small],[effect:invalidate_change_block, target:unit_all, block_type01:crash, turn:-1, animation:panel_conversion_off],[effect:drop_block,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val2:4]</v>
      </c>
      <c r="N27" s="48" t="str">
        <f>IFERROR(LEFT(M27,FIND("],",M27)+S36),M27)</f>
        <v>[effect:change_bomb_range, turn:-1, val:0.3, rate:1, animation:bomb_small],[effect:invalidate_change_block, target:unit_all, block_type01:crash, turn:-1, animation:panel_conversion_off],[effect:drop_block,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val2:4]</v>
      </c>
      <c r="O27" s="64">
        <f t="shared" si="7"/>
        <v>9</v>
      </c>
      <c r="P27" s="64">
        <f t="shared" ref="P27:P28" si="106">IFERROR(FIND(",",N27),LEN(N27))</f>
        <v>26</v>
      </c>
      <c r="Q27" s="64">
        <f t="shared" ref="Q27:Q28" si="107">FIND("target:",N27)+7</f>
        <v>116</v>
      </c>
      <c r="R27" s="64">
        <f t="shared" ref="R27:R28" si="108">FIND(",",N27,P27+1)</f>
        <v>35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ref="T27:T28" si="109">IFERROR(RIGHT(M27,LEN(M27)-FIND("],",M27)-1),"none")</f>
        <v>[effect:invalidate_change_block, target:unit_all, block_type01:crash, turn:-1, animation:panel_conversion_off],[effect:drop_block,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val2:4]</v>
      </c>
      <c r="U27" s="64">
        <f t="shared" si="12"/>
        <v>9</v>
      </c>
      <c r="V27" s="64">
        <f t="shared" ref="V27:V28" si="110">IFERROR(FIND(",",T27),LEN(T27))</f>
        <v>32</v>
      </c>
      <c r="W27" s="64">
        <f t="shared" ref="W27:W28" si="111">FIND("target:",T27)+7</f>
        <v>41</v>
      </c>
      <c r="X27" s="64">
        <f t="shared" ref="X27:X28" si="112">FIND(",",T27,V27+1)</f>
        <v>49</v>
      </c>
      <c r="Y27" s="64" t="str">
        <f>IFERROR(VLOOKUP(MID(T27,W27,X27-W27),[5]skilldef!$C:$D,2,FALSE),"-") &amp; " / " &amp; IFERROR(VLOOKUP(MID(T27,U27,V27-U27),[5]skilldef!$A:$B,2,FALSE),"-")</f>
        <v>味方全体に / -</v>
      </c>
      <c r="Z27" s="50"/>
      <c r="AA27" s="52"/>
      <c r="AB27" s="50"/>
    </row>
    <row r="28" spans="1:28" ht="21" customHeight="1" x14ac:dyDescent="0.15">
      <c r="A28" s="125">
        <v>40022027</v>
      </c>
      <c r="B28" s="47" t="s">
        <v>363</v>
      </c>
      <c r="C28" s="50">
        <v>3</v>
      </c>
      <c r="D28" s="50" t="s">
        <v>128</v>
      </c>
      <c r="E28" s="51" t="s">
        <v>404</v>
      </c>
      <c r="F28" s="51" t="s">
        <v>357</v>
      </c>
      <c r="G28" s="64" t="str">
        <f t="shared" si="101"/>
        <v>[effect:damage_anti_tribe, target:unit_one, tribe:human, val1:2.5, val2:1.3]</v>
      </c>
      <c r="H28" s="64">
        <f>FIND("effect:",G28)+7</f>
        <v>9</v>
      </c>
      <c r="I28" s="64">
        <f t="shared" si="102"/>
        <v>26</v>
      </c>
      <c r="J28" s="64">
        <f t="shared" si="103"/>
        <v>35</v>
      </c>
      <c r="K28" s="64">
        <f t="shared" si="104"/>
        <v>43</v>
      </c>
      <c r="L28" s="64" t="str">
        <f>IFERROR(VLOOKUP(MID(G28,J28,K28-J28),[5]skilldef!$C:$D,2,FALSE),"-") &amp; " / " &amp; IFERROR(VLOOKUP(MID(G28,H28,I28-H28),[5]skilldef!$A:$B,2,FALSE),"-")</f>
        <v>味方単体に / 種族キラー</v>
      </c>
      <c r="M28" s="64" t="str">
        <f t="shared" si="105"/>
        <v>none</v>
      </c>
      <c r="N28" s="48" t="str">
        <f>IFERROR(LEFT(M28,FIND("],",M28)+S39),M28)</f>
        <v>none</v>
      </c>
      <c r="O28" s="64" t="e">
        <f>FIND("effect:",N28)+7</f>
        <v>#VALUE!</v>
      </c>
      <c r="P28" s="64">
        <f t="shared" si="106"/>
        <v>4</v>
      </c>
      <c r="Q28" s="64" t="e">
        <f t="shared" si="107"/>
        <v>#VALUE!</v>
      </c>
      <c r="R28" s="64" t="e">
        <f t="shared" si="108"/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09"/>
        <v>none</v>
      </c>
      <c r="U28" s="64" t="e">
        <f>FIND("effect:",T28)+7</f>
        <v>#VALUE!</v>
      </c>
      <c r="V28" s="64">
        <f t="shared" si="110"/>
        <v>4</v>
      </c>
      <c r="W28" s="64" t="e">
        <f t="shared" si="111"/>
        <v>#VALUE!</v>
      </c>
      <c r="X28" s="64" t="e">
        <f t="shared" si="112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125">
        <v>40022028</v>
      </c>
      <c r="B29" s="47" t="s">
        <v>359</v>
      </c>
      <c r="C29" s="50">
        <v>3</v>
      </c>
      <c r="D29" s="50" t="s">
        <v>128</v>
      </c>
      <c r="E29" s="51" t="s">
        <v>413</v>
      </c>
      <c r="F29" s="51" t="s">
        <v>358</v>
      </c>
      <c r="G29" s="64" t="str">
        <f t="shared" ref="G29:G30" si="113">IFERROR(LEFT(B29,FIND("],",B29)),B29)</f>
        <v>[effect:dis_panel, target:block_red, turn:3, animation:enemy_dis_red]</v>
      </c>
      <c r="H29" s="64">
        <f>FIND("effect:",G29)+7</f>
        <v>9</v>
      </c>
      <c r="I29" s="64">
        <f t="shared" ref="I29:I30" si="114">IFERROR(FIND(",",G29),LEN(G29))</f>
        <v>18</v>
      </c>
      <c r="J29" s="64">
        <f t="shared" ref="J29:J30" si="115">FIND("target:",G29)+7</f>
        <v>27</v>
      </c>
      <c r="K29" s="64">
        <f t="shared" ref="K29:K30" si="116">FIND(",",G29,I29+1)</f>
        <v>36</v>
      </c>
      <c r="L29" s="64" t="str">
        <f>IFERROR(VLOOKUP(MID(G29,J29,K29-J29),[5]skilldef!$C:$D,2,FALSE),"-") &amp; " / " &amp; IFERROR(VLOOKUP(MID(G29,H29,I29-H29),[5]skilldef!$A:$B,2,FALSE),"-")</f>
        <v>赤パネルを / ディスパネル</v>
      </c>
      <c r="M29" s="64" t="str">
        <f t="shared" ref="M29:M30" si="117">IFERROR(RIGHT(B29,LEN(B29)-FIND("],",B29)-1),"none")</f>
        <v>[effect:rush, count:1, val:1]</v>
      </c>
      <c r="N29" s="48" t="str">
        <f>IFERROR(LEFT(M29,FIND("],",M29)+S41),M29)</f>
        <v>[effect:rush, count:1, val:1]</v>
      </c>
      <c r="O29" s="64">
        <f>FIND("effect:",N29)+7</f>
        <v>9</v>
      </c>
      <c r="P29" s="64">
        <f t="shared" ref="P29:P30" si="118">IFERROR(FIND(",",N29),LEN(N29))</f>
        <v>13</v>
      </c>
      <c r="Q29" s="64" t="e">
        <f t="shared" ref="Q29:Q30" si="119">FIND("target:",N29)+7</f>
        <v>#VALUE!</v>
      </c>
      <c r="R29" s="64">
        <f t="shared" ref="R29:R30" si="120">FIND(",",N29,P29+1)</f>
        <v>22</v>
      </c>
      <c r="S29" s="64" t="str">
        <f>IFERROR(VLOOKUP(MID(N29,Q29,R29-Q29),[5]skilldef!$C:$D,2,FALSE),"-") &amp; " / " &amp; IFERROR(VLOOKUP(MID(N29,O29,P29-O29),[5]skilldef!$A:$B,2,FALSE),"-")</f>
        <v>- / 連続攻撃</v>
      </c>
      <c r="T29" s="48" t="str">
        <f t="shared" ref="T29:T30" si="121">IFERROR(RIGHT(M29,LEN(M29)-FIND("],",M29)-1),"none")</f>
        <v>none</v>
      </c>
      <c r="U29" s="64" t="e">
        <f>FIND("effect:",T29)+7</f>
        <v>#VALUE!</v>
      </c>
      <c r="V29" s="64">
        <f t="shared" ref="V29:V30" si="122">IFERROR(FIND(",",T29),LEN(T29))</f>
        <v>4</v>
      </c>
      <c r="W29" s="64" t="e">
        <f t="shared" ref="W29:W30" si="123">FIND("target:",T29)+7</f>
        <v>#VALUE!</v>
      </c>
      <c r="X29" s="64" t="e">
        <f t="shared" ref="X29:X30" si="124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125">
        <v>40022029</v>
      </c>
      <c r="B30" s="47" t="s">
        <v>309</v>
      </c>
      <c r="C30" s="50">
        <v>3</v>
      </c>
      <c r="D30" s="50" t="s">
        <v>128</v>
      </c>
      <c r="E30" s="51" t="s">
        <v>414</v>
      </c>
      <c r="F30" s="51" t="s">
        <v>307</v>
      </c>
      <c r="G30" s="64" t="str">
        <f t="shared" si="113"/>
        <v>[effect:dark, target:unit_all, turn:3, animation:enemy_dark]</v>
      </c>
      <c r="H30" s="64">
        <f>FIND("effect:",G30)+7</f>
        <v>9</v>
      </c>
      <c r="I30" s="64">
        <f t="shared" si="114"/>
        <v>13</v>
      </c>
      <c r="J30" s="64">
        <f t="shared" si="115"/>
        <v>22</v>
      </c>
      <c r="K30" s="64">
        <f t="shared" si="116"/>
        <v>30</v>
      </c>
      <c r="L30" s="64" t="str">
        <f>IFERROR(VLOOKUP(MID(G30,J30,K30-J30),[5]skilldef!$C:$D,2,FALSE),"-") &amp; " / " &amp; IFERROR(VLOOKUP(MID(G30,H30,I30-H30),[5]skilldef!$A:$B,2,FALSE),"-")</f>
        <v>味方全体に / 暗黒</v>
      </c>
      <c r="M30" s="64" t="str">
        <f t="shared" si="117"/>
        <v>[effect:rush, count:1, val:1]</v>
      </c>
      <c r="N30" s="48" t="str">
        <f>IFERROR(LEFT(M30,FIND("],",M30)+S42),M30)</f>
        <v>[effect:rush, count:1, val:1]</v>
      </c>
      <c r="O30" s="64">
        <f>FIND("effect:",N30)+7</f>
        <v>9</v>
      </c>
      <c r="P30" s="64">
        <f t="shared" si="118"/>
        <v>13</v>
      </c>
      <c r="Q30" s="64" t="e">
        <f t="shared" si="119"/>
        <v>#VALUE!</v>
      </c>
      <c r="R30" s="64">
        <f t="shared" si="120"/>
        <v>22</v>
      </c>
      <c r="S30" s="64" t="str">
        <f>IFERROR(VLOOKUP(MID(N30,Q30,R30-Q30),[5]skilldef!$C:$D,2,FALSE),"-") &amp; " / " &amp; IFERROR(VLOOKUP(MID(N30,O30,P30-O30),[5]skilldef!$A:$B,2,FALSE),"-")</f>
        <v>- / 連続攻撃</v>
      </c>
      <c r="T30" s="48" t="str">
        <f t="shared" si="121"/>
        <v>none</v>
      </c>
      <c r="U30" s="64" t="e">
        <f>FIND("effect:",T30)+7</f>
        <v>#VALUE!</v>
      </c>
      <c r="V30" s="64">
        <f t="shared" si="122"/>
        <v>4</v>
      </c>
      <c r="W30" s="64" t="e">
        <f t="shared" si="123"/>
        <v>#VALUE!</v>
      </c>
      <c r="X30" s="64" t="e">
        <f t="shared" si="124"/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125">
        <v>40022030</v>
      </c>
      <c r="B31" s="47" t="s">
        <v>362</v>
      </c>
      <c r="C31" s="50">
        <v>3</v>
      </c>
      <c r="D31" s="50" t="s">
        <v>128</v>
      </c>
      <c r="E31" s="51" t="s">
        <v>398</v>
      </c>
      <c r="F31" s="51" t="s">
        <v>356</v>
      </c>
      <c r="G31" s="64" t="str">
        <f>IFERROR(LEFT(B31,FIND("],",B31)),B31)</f>
        <v>[effect:damage_anti_tribe, target:unit_one, tribe:human, val1:2.5, val2:1.3]</v>
      </c>
      <c r="H31" s="64">
        <f>FIND("effect:",G31)+7</f>
        <v>9</v>
      </c>
      <c r="I31" s="64">
        <f>IFERROR(FIND(",",G31),LEN(G31))</f>
        <v>26</v>
      </c>
      <c r="J31" s="64">
        <f>FIND("target:",G31)+7</f>
        <v>35</v>
      </c>
      <c r="K31" s="64">
        <f>FIND(",",G31,I31+1)</f>
        <v>43</v>
      </c>
      <c r="L31" s="64" t="str">
        <f>IFERROR(VLOOKUP(MID(G31,J31,K31-J31),[5]skilldef!$C:$D,2,FALSE),"-") &amp; " / " &amp; IFERROR(VLOOKUP(MID(G31,H31,I31-H31),[5]skilldef!$A:$B,2,FALSE),"-")</f>
        <v>味方単体に / 種族キラー</v>
      </c>
      <c r="M31" s="64" t="str">
        <f>IFERROR(RIGHT(B31,LEN(B31)-FIND("],",B31)-1),"none")</f>
        <v>none</v>
      </c>
      <c r="N31" s="48" t="str">
        <f>IFERROR(LEFT(M31,FIND("],",M31)+S40),M31)</f>
        <v>none</v>
      </c>
      <c r="O31" s="64" t="e">
        <f>FIND("effect:",N31)+7</f>
        <v>#VALUE!</v>
      </c>
      <c r="P31" s="64">
        <f>IFERROR(FIND(",",N31),LEN(N31))</f>
        <v>4</v>
      </c>
      <c r="Q31" s="64" t="e">
        <f>FIND("target:",N31)+7</f>
        <v>#VALUE!</v>
      </c>
      <c r="R31" s="64" t="e">
        <f>FIND(",",N31,P31+1)</f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>IFERROR(RIGHT(M31,LEN(M31)-FIND("],",M31)-1),"none")</f>
        <v>none</v>
      </c>
      <c r="U31" s="64" t="e">
        <f>FIND("effect:",T31)+7</f>
        <v>#VALUE!</v>
      </c>
      <c r="V31" s="64">
        <f>IFERROR(FIND(",",T31),LEN(T31))</f>
        <v>4</v>
      </c>
      <c r="W31" s="64" t="e">
        <f>FIND("target:",T31)+7</f>
        <v>#VALUE!</v>
      </c>
      <c r="X31" s="64" t="e">
        <f>FIND(",",T31,V31+1)</f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125">
        <v>40022031</v>
      </c>
      <c r="B32" s="47" t="s">
        <v>431</v>
      </c>
      <c r="C32" s="50">
        <v>3</v>
      </c>
      <c r="D32" s="50" t="s">
        <v>128</v>
      </c>
      <c r="E32" s="51" t="s">
        <v>399</v>
      </c>
      <c r="F32" s="51" t="s">
        <v>333</v>
      </c>
      <c r="G32" s="64" t="str">
        <f t="shared" ref="G32" si="125">IFERROR(LEFT(B32,FIND("],",B32)),B32)</f>
        <v>[effect:force_change_block, new_block:time_bomb, target:block_all, ignore01:block_positive, ignore02:block_negative, count:3, val:0.3, min_time_count:2, max_time_count:2]</v>
      </c>
      <c r="H32" s="64">
        <f t="shared" si="1"/>
        <v>9</v>
      </c>
      <c r="I32" s="64">
        <f t="shared" ref="I32" si="126">IFERROR(FIND(",",G32),LEN(G32))</f>
        <v>27</v>
      </c>
      <c r="J32" s="64">
        <f t="shared" ref="J32" si="127">FIND("target:",G32)+7</f>
        <v>57</v>
      </c>
      <c r="K32" s="64">
        <f t="shared" ref="K32" si="128">FIND(",",G32,I32+1)</f>
        <v>48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ref="M32" si="129">IFERROR(RIGHT(B32,LEN(B32)-FIND("],",B32)-1),"none")</f>
        <v>[effect:spread, val:0.25]</v>
      </c>
      <c r="N32" s="48" t="str">
        <f>IFERROR(LEFT(M32,FIND("],",M32)+S39),M32)</f>
        <v>[effect:spread, val:0.25]</v>
      </c>
      <c r="O32" s="64">
        <f t="shared" si="7"/>
        <v>9</v>
      </c>
      <c r="P32" s="64">
        <f t="shared" ref="P32" si="130">IFERROR(FIND(",",N32),LEN(N32))</f>
        <v>15</v>
      </c>
      <c r="Q32" s="64" t="e">
        <f t="shared" ref="Q32" si="131">FIND("target:",N32)+7</f>
        <v>#VALUE!</v>
      </c>
      <c r="R32" s="64" t="e">
        <f t="shared" ref="R32" si="132">FIND(",",N32,P32+1)</f>
        <v>#VALUE!</v>
      </c>
      <c r="S32" s="64" t="str">
        <f>IFERROR(VLOOKUP(MID(N32,Q32,R32-Q32),[5]skilldef!$C:$D,2,FALSE),"-") &amp; " / " &amp; IFERROR(VLOOKUP(MID(N32,O32,P32-O32),[5]skilldef!$A:$B,2,FALSE),"-")</f>
        <v>- / 全体攻撃</v>
      </c>
      <c r="T32" s="48" t="str">
        <f t="shared" ref="T32" si="133">IFERROR(RIGHT(M32,LEN(M32)-FIND("],",M32)-1),"none")</f>
        <v>none</v>
      </c>
      <c r="U32" s="64" t="e">
        <f t="shared" si="12"/>
        <v>#VALUE!</v>
      </c>
      <c r="V32" s="64">
        <f t="shared" ref="V32" si="134">IFERROR(FIND(",",T32),LEN(T32))</f>
        <v>4</v>
      </c>
      <c r="W32" s="64" t="e">
        <f t="shared" ref="W32" si="135">FIND("target:",T32)+7</f>
        <v>#VALUE!</v>
      </c>
      <c r="X32" s="64" t="e">
        <f t="shared" ref="X32" si="136">FIND(",",T32,V32+1)</f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125">
        <v>40022032</v>
      </c>
      <c r="B33" s="47" t="s">
        <v>391</v>
      </c>
      <c r="C33" s="50">
        <v>3</v>
      </c>
      <c r="D33" s="50" t="s">
        <v>128</v>
      </c>
      <c r="E33" s="51" t="s">
        <v>408</v>
      </c>
      <c r="F33" s="51" t="s">
        <v>373</v>
      </c>
      <c r="G33" s="64" t="str">
        <f t="shared" ref="G33:G38" si="137">IFERROR(LEFT(B33,FIND("],",B33)),B33)</f>
        <v>[effect:fix_speed, target:myself, turn:1]</v>
      </c>
      <c r="H33" s="64">
        <f t="shared" si="1"/>
        <v>9</v>
      </c>
      <c r="I33" s="64">
        <f t="shared" ref="I33:I38" si="138">IFERROR(FIND(",",G33),LEN(G33))</f>
        <v>18</v>
      </c>
      <c r="J33" s="64">
        <f t="shared" ref="J33:J38" si="139">FIND("target:",G33)+7</f>
        <v>27</v>
      </c>
      <c r="K33" s="64">
        <f t="shared" ref="K33:K38" si="140">FIND(",",G33,I33+1)</f>
        <v>33</v>
      </c>
      <c r="L33" s="64" t="str">
        <f>IFERROR(VLOOKUP(MID(G33,J33,K33-J33),[5]skilldef!$C:$D,2,FALSE),"-") &amp; " / " &amp; IFERROR(VLOOKUP(MID(G33,H33,I33-H33),[5]skilldef!$A:$B,2,FALSE),"-")</f>
        <v>自分自身に / 行動値設定</v>
      </c>
      <c r="M33" s="64" t="str">
        <f t="shared" ref="M33:M38" si="141">IFERROR(RIGHT(B33,LEN(B33)-FIND("],",B33)-1),"none")</f>
        <v>[effect:change_bomb_range, turn:-1, val:0.3, rate:1, animation:bomb_small],[effect:drop_block,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val2:3]</v>
      </c>
      <c r="N33" s="48" t="str">
        <f>IFERROR(LEFT(M33,FIND("],",M33)+S43),M33)</f>
        <v>[effect:change_bomb_range, turn:-1, val:0.3, rate:1, animation:bomb_small],[effect:drop_block,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val2:3]</v>
      </c>
      <c r="O33" s="64">
        <f t="shared" si="7"/>
        <v>9</v>
      </c>
      <c r="P33" s="64">
        <f t="shared" ref="P33:P38" si="142">IFERROR(FIND(",",N33),LEN(N33))</f>
        <v>26</v>
      </c>
      <c r="Q33" s="64">
        <f t="shared" ref="Q33:Q38" si="143">FIND("target:",N33)+7</f>
        <v>285</v>
      </c>
      <c r="R33" s="64">
        <f t="shared" ref="R33:R38" si="144">FIND(",",N33,P33+1)</f>
        <v>35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ref="T33:T38" si="145">IFERROR(RIGHT(M33,LEN(M33)-FIND("],",M33)-1),"none")</f>
        <v>[effect:drop_block, block_type:time_bomb, block_color:block_yellow, color:block_all, val:0.2, rate:0.05, turn:-1, min_time_count:4, max_time_count:4, animation:time_bomb_influence04],[effect:tolerance, target:myself, turn:-1, tolerance_effect:all, count:-1, animation:enemy_tolerance],[effect:enemy_message, val1:2, val2:3]</v>
      </c>
      <c r="U33" s="64">
        <f t="shared" si="12"/>
        <v>9</v>
      </c>
      <c r="V33" s="64">
        <f t="shared" ref="V33:V38" si="146">IFERROR(FIND(",",T33),LEN(T33))</f>
        <v>19</v>
      </c>
      <c r="W33" s="64">
        <f t="shared" ref="W33:W38" si="147">FIND("target:",T33)+7</f>
        <v>210</v>
      </c>
      <c r="X33" s="64">
        <f t="shared" ref="X33:X38" si="148">FIND(",",T33,V33+1)</f>
        <v>41</v>
      </c>
      <c r="Y33" s="64" t="str">
        <f>IFERROR(VLOOKUP(MID(T33,W33,X33-W33),[5]skilldef!$C:$D,2,FALSE),"-") &amp; " / " &amp; IFERROR(VLOOKUP(MID(T33,U33,V33-U33),[5]skilldef!$A:$B,2,FALSE),"-")</f>
        <v>- / 特定ブロックの割合ドロップ</v>
      </c>
      <c r="Z33" s="50"/>
      <c r="AA33" s="52"/>
      <c r="AB33" s="50"/>
    </row>
    <row r="34" spans="1:28" ht="21" customHeight="1" x14ac:dyDescent="0.15">
      <c r="A34" s="125">
        <v>40022033</v>
      </c>
      <c r="B34" s="47" t="s">
        <v>393</v>
      </c>
      <c r="C34" s="50">
        <v>3</v>
      </c>
      <c r="D34" s="50" t="s">
        <v>128</v>
      </c>
      <c r="E34" s="51" t="s">
        <v>278</v>
      </c>
      <c r="F34" s="51" t="s">
        <v>374</v>
      </c>
      <c r="G34" s="64" t="str">
        <f>IFERROR(LEFT(B34,FIND("],",B34)),B34)</f>
        <v>[effect:damage_anti_tribe, target:unit_one, tribe:human, val1:2.5, val2:1.4]</v>
      </c>
      <c r="H34" s="64">
        <f>FIND("effect:",G34)+7</f>
        <v>9</v>
      </c>
      <c r="I34" s="64">
        <f>IFERROR(FIND(",",G34),LEN(G34))</f>
        <v>26</v>
      </c>
      <c r="J34" s="64">
        <f>FIND("target:",G34)+7</f>
        <v>35</v>
      </c>
      <c r="K34" s="64">
        <f>FIND(",",G34,I34+1)</f>
        <v>43</v>
      </c>
      <c r="L34" s="64" t="str">
        <f>IFERROR(VLOOKUP(MID(G34,J34,K34-J34),[5]skilldef!$C:$D,2,FALSE),"-") &amp; " / " &amp; IFERROR(VLOOKUP(MID(G34,H34,I34-H34),[5]skilldef!$A:$B,2,FALSE),"-")</f>
        <v>味方単体に / 種族キラー</v>
      </c>
      <c r="M34" s="64" t="str">
        <f>IFERROR(RIGHT(B34,LEN(B34)-FIND("],",B34)-1),"none")</f>
        <v>[effect:degrade_unit, target:unit_all, turn:1, status:attack, val:0.2, calc:mul],[effect:enemy_message, val2:3]</v>
      </c>
      <c r="N34" s="48" t="str">
        <f>IFERROR(LEFT(M34,FIND("],",M34)+S44),M34)</f>
        <v>[effect:degrade_unit, target:unit_all, turn:1, status:attack, val:0.2, calc:mul],[effect:enemy_message, val2:3]</v>
      </c>
      <c r="O34" s="64">
        <f>FIND("effect:",N34)+7</f>
        <v>9</v>
      </c>
      <c r="P34" s="64">
        <f>IFERROR(FIND(",",N34),LEN(N34))</f>
        <v>21</v>
      </c>
      <c r="Q34" s="64">
        <f>FIND("target:",N34)+7</f>
        <v>30</v>
      </c>
      <c r="R34" s="64">
        <f>FIND(",",N34,P34+1)</f>
        <v>38</v>
      </c>
      <c r="S34" s="64" t="str">
        <f>IFERROR(VLOOKUP(MID(N34,Q34,R34-Q34),[5]skilldef!$C:$D,2,FALSE),"-") &amp; " / " &amp; IFERROR(VLOOKUP(MID(N34,O34,P34-O34),[5]skilldef!$A:$B,2,FALSE),"-")</f>
        <v>味方全体に / ステータスDOWN</v>
      </c>
      <c r="T34" s="48" t="str">
        <f>IFERROR(RIGHT(M34,LEN(M34)-FIND("],",M34)-1),"none")</f>
        <v>[effect:enemy_message, val2:3]</v>
      </c>
      <c r="U34" s="64">
        <f>FIND("effect:",T34)+7</f>
        <v>9</v>
      </c>
      <c r="V34" s="64">
        <f>IFERROR(FIND(",",T34),LEN(T34))</f>
        <v>22</v>
      </c>
      <c r="W34" s="64" t="e">
        <f>FIND("target:",T34)+7</f>
        <v>#VALUE!</v>
      </c>
      <c r="X34" s="64" t="e">
        <f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125">
        <v>40022034</v>
      </c>
      <c r="B35" s="47" t="s">
        <v>310</v>
      </c>
      <c r="C35" s="50">
        <v>3</v>
      </c>
      <c r="D35" s="50" t="s">
        <v>128</v>
      </c>
      <c r="E35" s="51" t="s">
        <v>412</v>
      </c>
      <c r="F35" s="51" t="s">
        <v>308</v>
      </c>
      <c r="G35" s="64" t="str">
        <f>IFERROR(LEFT(B35,FIND("],",B35)),B35)</f>
        <v>[effect:dis_heart, turn:3, animation:enemy_dis_heart]</v>
      </c>
      <c r="H35" s="64">
        <f>FIND("effect:",G35)+7</f>
        <v>9</v>
      </c>
      <c r="I35" s="64">
        <f>IFERROR(FIND(",",G35),LEN(G35))</f>
        <v>18</v>
      </c>
      <c r="J35" s="64" t="e">
        <f>FIND("target:",G35)+7</f>
        <v>#VALUE!</v>
      </c>
      <c r="K35" s="64">
        <f>FIND(",",G35,I35+1)</f>
        <v>26</v>
      </c>
      <c r="L35" s="64" t="str">
        <f>IFERROR(VLOOKUP(MID(G35,J35,K35-J35),[5]skilldef!$C:$D,2,FALSE),"-") &amp; " / " &amp; IFERROR(VLOOKUP(MID(G35,H35,I35-H35),[5]skilldef!$A:$B,2,FALSE),"-")</f>
        <v>- / ディスハート</v>
      </c>
      <c r="M35" s="64" t="str">
        <f>IFERROR(RIGHT(B35,LEN(B35)-FIND("],",B35)-1),"none")</f>
        <v>[effect:rush, count:1, val:1]</v>
      </c>
      <c r="N35" s="48" t="str">
        <f>IFERROR(LEFT(M35,FIND("],",M35)+S57),M35)</f>
        <v>[effect:rush, count:1, val:1]</v>
      </c>
      <c r="O35" s="64">
        <f>FIND("effect:",N35)+7</f>
        <v>9</v>
      </c>
      <c r="P35" s="64">
        <f>IFERROR(FIND(",",N35),LEN(N35))</f>
        <v>13</v>
      </c>
      <c r="Q35" s="64" t="e">
        <f>FIND("target:",N35)+7</f>
        <v>#VALUE!</v>
      </c>
      <c r="R35" s="64">
        <f>FIND(",",N35,P35+1)</f>
        <v>22</v>
      </c>
      <c r="S35" s="64" t="str">
        <f>IFERROR(VLOOKUP(MID(N35,Q35,R35-Q35),[5]skilldef!$C:$D,2,FALSE),"-") &amp; " / " &amp; IFERROR(VLOOKUP(MID(N35,O35,P35-O35),[5]skilldef!$A:$B,2,FALSE),"-")</f>
        <v>- / 連続攻撃</v>
      </c>
      <c r="T35" s="48" t="str">
        <f>IFERROR(RIGHT(M35,LEN(M35)-FIND("],",M35)-1),"none")</f>
        <v>none</v>
      </c>
      <c r="U35" s="64" t="e">
        <f>FIND("effect:",T35)+7</f>
        <v>#VALUE!</v>
      </c>
      <c r="V35" s="64">
        <f>IFERROR(FIND(",",T35),LEN(T35))</f>
        <v>4</v>
      </c>
      <c r="W35" s="64" t="e">
        <f>FIND("target:",T35)+7</f>
        <v>#VALUE!</v>
      </c>
      <c r="X35" s="64" t="e">
        <f>FIND(",",T35,V35+1)</f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125">
        <v>40022035</v>
      </c>
      <c r="B36" s="47" t="s">
        <v>411</v>
      </c>
      <c r="C36" s="50">
        <v>3</v>
      </c>
      <c r="D36" s="50" t="s">
        <v>128</v>
      </c>
      <c r="E36" s="51" t="s">
        <v>410</v>
      </c>
      <c r="F36" s="51" t="s">
        <v>350</v>
      </c>
      <c r="G36" s="64" t="str">
        <f>IFERROR(LEFT(B36,FIND("],",B36)),B36)</f>
        <v>[effect:enhance_enemy, target:myself, turn:3, status:attack, val:0.9, calc:mul, animation:enemy_enhance_attack]</v>
      </c>
      <c r="H36" s="64">
        <f>FIND("effect:",G36)+7</f>
        <v>9</v>
      </c>
      <c r="I36" s="64">
        <f>IFERROR(FIND(",",G36),LEN(G36))</f>
        <v>22</v>
      </c>
      <c r="J36" s="64">
        <f>FIND("target:",G36)+7</f>
        <v>31</v>
      </c>
      <c r="K36" s="64">
        <f>FIND(",",G36,I36+1)</f>
        <v>37</v>
      </c>
      <c r="L36" s="64" t="str">
        <f>IFERROR(VLOOKUP(MID(G36,J36,K36-J36),[5]skilldef!$C:$D,2,FALSE),"-") &amp; " / " &amp; IFERROR(VLOOKUP(MID(G36,H36,I36-H36),[5]skilldef!$A:$B,2,FALSE),"-")</f>
        <v>自分自身に / ステータス強化</v>
      </c>
      <c r="M36" s="64" t="str">
        <f>IFERROR(RIGHT(B36,LEN(B36)-FIND("],",B36)-1),"none")</f>
        <v>[effect:enemy_message, val1:2]</v>
      </c>
      <c r="N36" s="48" t="str">
        <f>IFERROR(LEFT(M36,FIND("],",M36)+S58),M36)</f>
        <v>[effect:enemy_message, val1:2]</v>
      </c>
      <c r="O36" s="64">
        <f>FIND("effect:",N36)+7</f>
        <v>9</v>
      </c>
      <c r="P36" s="64">
        <f>IFERROR(FIND(",",N36),LEN(N36))</f>
        <v>22</v>
      </c>
      <c r="Q36" s="64" t="e">
        <f>FIND("target:",N36)+7</f>
        <v>#VALUE!</v>
      </c>
      <c r="R36" s="64" t="e">
        <f>FIND(",",N36,P36+1)</f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>IFERROR(RIGHT(M36,LEN(M36)-FIND("],",M36)-1),"none")</f>
        <v>none</v>
      </c>
      <c r="U36" s="64" t="e">
        <f>FIND("effect:",T36)+7</f>
        <v>#VALUE!</v>
      </c>
      <c r="V36" s="64">
        <f>IFERROR(FIND(",",T36),LEN(T36))</f>
        <v>4</v>
      </c>
      <c r="W36" s="64" t="e">
        <f>FIND("target:",T36)+7</f>
        <v>#VALUE!</v>
      </c>
      <c r="X36" s="64" t="e">
        <f>FIND(",",T36,V36+1)</f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125">
        <v>40022036</v>
      </c>
      <c r="B37" s="47" t="s">
        <v>364</v>
      </c>
      <c r="C37" s="50">
        <v>3</v>
      </c>
      <c r="D37" s="50" t="s">
        <v>128</v>
      </c>
      <c r="E37" s="51" t="s">
        <v>278</v>
      </c>
      <c r="F37" s="51" t="s">
        <v>376</v>
      </c>
      <c r="G37" s="64" t="str">
        <f>IFERROR(LEFT(B37,FIND("],",B37)),B37)</f>
        <v>[effect:damage_anti_tribe, target:unit_one, tribe:human, val1:2.5, val2:1.4]</v>
      </c>
      <c r="H37" s="64">
        <f>FIND("effect:",G37)+7</f>
        <v>9</v>
      </c>
      <c r="I37" s="64">
        <f>IFERROR(FIND(",",G37),LEN(G37))</f>
        <v>26</v>
      </c>
      <c r="J37" s="64">
        <f>FIND("target:",G37)+7</f>
        <v>35</v>
      </c>
      <c r="K37" s="64">
        <f>FIND(",",G37,I37+1)</f>
        <v>43</v>
      </c>
      <c r="L37" s="64" t="str">
        <f>IFERROR(VLOOKUP(MID(G37,J37,K37-J37),[5]skilldef!$C:$D,2,FALSE),"-") &amp; " / " &amp; IFERROR(VLOOKUP(MID(G37,H37,I37-H37),[5]skilldef!$A:$B,2,FALSE),"-")</f>
        <v>味方単体に / 種族キラー</v>
      </c>
      <c r="M37" s="64" t="str">
        <f>IFERROR(RIGHT(B37,LEN(B37)-FIND("],",B37)-1),"none")</f>
        <v>[effect:degrade_unit, target:unit_all, turn:1, status:attack, val:0.2, calc:mul],[effect:enemy_message, val2:3]</v>
      </c>
      <c r="N37" s="48" t="str">
        <f>IFERROR(LEFT(M37,FIND("],",M37)+S56),M37)</f>
        <v>[effect:degrade_unit, target:unit_all, turn:1, status:attack, val:0.2, calc:mul],[effect:enemy_message, val2:3]</v>
      </c>
      <c r="O37" s="64">
        <f>FIND("effect:",N37)+7</f>
        <v>9</v>
      </c>
      <c r="P37" s="64">
        <f>IFERROR(FIND(",",N37),LEN(N37))</f>
        <v>21</v>
      </c>
      <c r="Q37" s="64">
        <f>FIND("target:",N37)+7</f>
        <v>30</v>
      </c>
      <c r="R37" s="64">
        <f>FIND(",",N37,P37+1)</f>
        <v>38</v>
      </c>
      <c r="S37" s="64" t="str">
        <f>IFERROR(VLOOKUP(MID(N37,Q37,R37-Q37),[5]skilldef!$C:$D,2,FALSE),"-") &amp; " / " &amp; IFERROR(VLOOKUP(MID(N37,O37,P37-O37),[5]skilldef!$A:$B,2,FALSE),"-")</f>
        <v>味方全体に / ステータスDOWN</v>
      </c>
      <c r="T37" s="48" t="str">
        <f>IFERROR(RIGHT(M37,LEN(M37)-FIND("],",M37)-1),"none")</f>
        <v>[effect:enemy_message, val2:3]</v>
      </c>
      <c r="U37" s="64">
        <f>FIND("effect:",T37)+7</f>
        <v>9</v>
      </c>
      <c r="V37" s="64">
        <f>IFERROR(FIND(",",T37),LEN(T37))</f>
        <v>22</v>
      </c>
      <c r="W37" s="64" t="e">
        <f>FIND("target:",T37)+7</f>
        <v>#VALUE!</v>
      </c>
      <c r="X37" s="64" t="e">
        <f>FIND(",",T37,V37+1)</f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125">
        <v>40022037</v>
      </c>
      <c r="B38" s="47" t="s">
        <v>430</v>
      </c>
      <c r="C38" s="50">
        <v>3</v>
      </c>
      <c r="D38" s="50" t="s">
        <v>128</v>
      </c>
      <c r="E38" s="51" t="s">
        <v>400</v>
      </c>
      <c r="F38" s="51" t="s">
        <v>355</v>
      </c>
      <c r="G38" s="64" t="str">
        <f t="shared" si="137"/>
        <v>[effect:force_change_block, new_block:time_bomb, target:block_all, ignore01:block_positive, ignore02:block_negative, count:6, val:0.3, min_time_count:2, max_time_count:2]</v>
      </c>
      <c r="H38" s="64">
        <f t="shared" si="1"/>
        <v>9</v>
      </c>
      <c r="I38" s="64">
        <f t="shared" si="138"/>
        <v>27</v>
      </c>
      <c r="J38" s="64">
        <f t="shared" si="139"/>
        <v>57</v>
      </c>
      <c r="K38" s="64">
        <f t="shared" si="140"/>
        <v>48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141"/>
        <v>[effect:spread, val:0.35]</v>
      </c>
      <c r="N38" s="48" t="str">
        <f>IFERROR(LEFT(M38,FIND("],",M38)+S44),M38)</f>
        <v>[effect:spread, val:0.35]</v>
      </c>
      <c r="O38" s="64">
        <f t="shared" si="7"/>
        <v>9</v>
      </c>
      <c r="P38" s="64">
        <f t="shared" si="142"/>
        <v>15</v>
      </c>
      <c r="Q38" s="64" t="e">
        <f t="shared" si="143"/>
        <v>#VALUE!</v>
      </c>
      <c r="R38" s="64" t="e">
        <f t="shared" si="144"/>
        <v>#VALUE!</v>
      </c>
      <c r="S38" s="64" t="str">
        <f>IFERROR(VLOOKUP(MID(N38,Q38,R38-Q38),[5]skilldef!$C:$D,2,FALSE),"-") &amp; " / " &amp; IFERROR(VLOOKUP(MID(N38,O38,P38-O38),[5]skilldef!$A:$B,2,FALSE),"-")</f>
        <v>- / 全体攻撃</v>
      </c>
      <c r="T38" s="48" t="str">
        <f t="shared" si="145"/>
        <v>none</v>
      </c>
      <c r="U38" s="64" t="e">
        <f t="shared" si="12"/>
        <v>#VALUE!</v>
      </c>
      <c r="V38" s="64">
        <f t="shared" si="146"/>
        <v>4</v>
      </c>
      <c r="W38" s="64" t="e">
        <f t="shared" si="147"/>
        <v>#VALUE!</v>
      </c>
      <c r="X38" s="64" t="e">
        <f t="shared" si="148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125">
        <v>40022038</v>
      </c>
      <c r="B39" s="47" t="s">
        <v>384</v>
      </c>
      <c r="C39" s="50">
        <v>3</v>
      </c>
      <c r="D39" s="50" t="s">
        <v>128</v>
      </c>
      <c r="E39" s="51" t="s">
        <v>402</v>
      </c>
      <c r="F39" s="51" t="s">
        <v>361</v>
      </c>
      <c r="G39" s="64" t="str">
        <f t="shared" ref="G39" si="149">IFERROR(LEFT(B39,FIND("],",B39)),B39)</f>
        <v>[effect:fix_speed, target:myself, turn:1]</v>
      </c>
      <c r="H39" s="64">
        <f t="shared" ref="H39" si="150">FIND("effect:",G39)+7</f>
        <v>9</v>
      </c>
      <c r="I39" s="64">
        <f t="shared" ref="I39" si="151">IFERROR(FIND(",",G39),LEN(G39))</f>
        <v>18</v>
      </c>
      <c r="J39" s="64">
        <f t="shared" ref="J39" si="152">FIND("target:",G39)+7</f>
        <v>27</v>
      </c>
      <c r="K39" s="64">
        <f t="shared" ref="K39" si="153">FIND(",",G39,I39+1)</f>
        <v>33</v>
      </c>
      <c r="L39" s="64" t="str">
        <f>IFERROR(VLOOKUP(MID(G39,J39,K39-J39),[5]skilldef!$C:$D,2,FALSE),"-") &amp; " / " &amp; IFERROR(VLOOKUP(MID(G39,H39,I39-H39),[5]skilldef!$A:$B,2,FALSE),"-")</f>
        <v>自分自身に / 行動値設定</v>
      </c>
      <c r="M39" s="64" t="str">
        <f t="shared" ref="M39" si="154">IFERROR(RIGHT(B39,LEN(B39)-FIND("],",B39)-1),"none")</f>
        <v>[effect:degrade_unit, target:unit_all, turn:3, status:action, val:1, animation:enemy_tap_down],[effect:tolerance, target:myself, turn:-1, tolerance_effect:all, count:-1, animation:enemy_tolerance],[effect:enemy_message, val1:2.5]</v>
      </c>
      <c r="N39" s="48" t="str">
        <f>IFERROR(LEFT(M39,FIND("],",M39)+S59),M39)</f>
        <v>[effect:degrade_unit, target:unit_all, turn:3, status:action, val:1, animation:enemy_tap_down],[effect:tolerance, target:myself, turn:-1, tolerance_effect:all, count:-1, animation:enemy_tolerance],[effect:enemy_message, val1:2.5]</v>
      </c>
      <c r="O39" s="64">
        <f t="shared" ref="O39" si="155">FIND("effect:",N39)+7</f>
        <v>9</v>
      </c>
      <c r="P39" s="64">
        <f t="shared" ref="P39" si="156">IFERROR(FIND(",",N39),LEN(N39))</f>
        <v>21</v>
      </c>
      <c r="Q39" s="64">
        <f t="shared" ref="Q39" si="157">FIND("target:",N39)+7</f>
        <v>30</v>
      </c>
      <c r="R39" s="64">
        <f t="shared" ref="R39" si="158">FIND(",",N39,P39+1)</f>
        <v>38</v>
      </c>
      <c r="S39" s="64" t="str">
        <f>IFERROR(VLOOKUP(MID(N39,Q39,R39-Q39),[5]skilldef!$C:$D,2,FALSE),"-") &amp; " / " &amp; IFERROR(VLOOKUP(MID(N39,O39,P39-O39),[5]skilldef!$A:$B,2,FALSE),"-")</f>
        <v>味方全体に / ステータスDOWN</v>
      </c>
      <c r="T39" s="48" t="str">
        <f t="shared" ref="T39" si="159">IFERROR(RIGHT(M39,LEN(M39)-FIND("],",M39)-1),"none")</f>
        <v>[effect:tolerance, target:myself, turn:-1, tolerance_effect:all, count:-1, animation:enemy_tolerance],[effect:enemy_message, val1:2.5]</v>
      </c>
      <c r="U39" s="64">
        <f t="shared" ref="U39" si="160">FIND("effect:",T39)+7</f>
        <v>9</v>
      </c>
      <c r="V39" s="64">
        <f t="shared" ref="V39" si="161">IFERROR(FIND(",",T39),LEN(T39))</f>
        <v>18</v>
      </c>
      <c r="W39" s="64">
        <f t="shared" ref="W39" si="162">FIND("target:",T39)+7</f>
        <v>27</v>
      </c>
      <c r="X39" s="64">
        <f t="shared" ref="X39" si="163">FIND(",",T39,V39+1)</f>
        <v>33</v>
      </c>
      <c r="Y39" s="64" t="str">
        <f>IFERROR(VLOOKUP(MID(T39,W39,X39-W39),[5]skilldef!$C:$D,2,FALSE),"-") &amp; " / " &amp; IFERROR(VLOOKUP(MID(T39,U39,V39-U39),[5]skilldef!$A:$B,2,FALSE),"-")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125">
        <v>40022039</v>
      </c>
      <c r="B40" s="47" t="s">
        <v>279</v>
      </c>
      <c r="C40" s="50">
        <v>3</v>
      </c>
      <c r="D40" s="50" t="s">
        <v>128</v>
      </c>
      <c r="E40" s="51" t="s">
        <v>327</v>
      </c>
      <c r="F40" s="51" t="s">
        <v>280</v>
      </c>
      <c r="G40" s="64" t="str">
        <f t="shared" ref="G40:G41" si="164">IFERROR(LEFT(B40,FIND("],",B40)),B40)</f>
        <v>[effect:degrade_unit, target:unit_all, turn:3, status:heal, val:0.9, animation:degrade_unit_all_heal]</v>
      </c>
      <c r="H40" s="64">
        <f t="shared" ref="H40:H41" si="165">FIND("effect:",G40)+7</f>
        <v>9</v>
      </c>
      <c r="I40" s="64">
        <f t="shared" ref="I40:I41" si="166">IFERROR(FIND(",",G40),LEN(G40))</f>
        <v>21</v>
      </c>
      <c r="J40" s="64">
        <f t="shared" ref="J40:J41" si="167">FIND("target:",G40)+7</f>
        <v>30</v>
      </c>
      <c r="K40" s="64">
        <f t="shared" ref="K40:K41" si="168">FIND(",",G40,I40+1)</f>
        <v>38</v>
      </c>
      <c r="L40" s="64" t="str">
        <f>IFERROR(VLOOKUP(MID(G40,J40,K40-J40),[5]skilldef!$C:$D,2,FALSE),"-") &amp; " / " &amp; IFERROR(VLOOKUP(MID(G40,H40,I40-H40),[5]skilldef!$A:$B,2,FALSE),"-")</f>
        <v>味方全体に / ステータスDOWN</v>
      </c>
      <c r="M40" s="64" t="str">
        <f t="shared" ref="M40:M41" si="169">IFERROR(RIGHT(B40,LEN(B40)-FIND("],",B40)-1),"none")</f>
        <v>none</v>
      </c>
      <c r="N40" s="48" t="str">
        <f>IFERROR(LEFT(M40,FIND("],",M40)+S60),M40)</f>
        <v>none</v>
      </c>
      <c r="O40" s="64" t="e">
        <f t="shared" ref="O40:O41" si="170">FIND("effect:",N40)+7</f>
        <v>#VALUE!</v>
      </c>
      <c r="P40" s="64">
        <f t="shared" ref="P40:P41" si="171">IFERROR(FIND(",",N40),LEN(N40))</f>
        <v>4</v>
      </c>
      <c r="Q40" s="64" t="e">
        <f t="shared" ref="Q40:Q41" si="172">FIND("target:",N40)+7</f>
        <v>#VALUE!</v>
      </c>
      <c r="R40" s="64" t="e">
        <f t="shared" ref="R40:R41" si="173">FIND(",",N40,P40+1)</f>
        <v>#VALUE!</v>
      </c>
      <c r="S40" s="64" t="str">
        <f>IFERROR(VLOOKUP(MID(N40,Q40,R40-Q40),[5]skilldef!$C:$D,2,FALSE),"-") &amp; " / " &amp; IFERROR(VLOOKUP(MID(N40,O40,P40-O40),[5]skilldef!$A:$B,2,FALSE),"-")</f>
        <v>- / -</v>
      </c>
      <c r="T40" s="48" t="str">
        <f t="shared" ref="T40:T41" si="174">IFERROR(RIGHT(M40,LEN(M40)-FIND("],",M40)-1),"none")</f>
        <v>none</v>
      </c>
      <c r="U40" s="64" t="e">
        <f t="shared" ref="U40:U41" si="175">FIND("effect:",T40)+7</f>
        <v>#VALUE!</v>
      </c>
      <c r="V40" s="64">
        <f t="shared" ref="V40:V41" si="176">IFERROR(FIND(",",T40),LEN(T40))</f>
        <v>4</v>
      </c>
      <c r="W40" s="64" t="e">
        <f t="shared" ref="W40:W41" si="177">FIND("target:",T40)+7</f>
        <v>#VALUE!</v>
      </c>
      <c r="X40" s="64" t="e">
        <f t="shared" ref="X40:X41" si="178">FIND(",",T40,V40+1)</f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125">
        <v>40022040</v>
      </c>
      <c r="B41" s="47" t="s">
        <v>312</v>
      </c>
      <c r="C41" s="50">
        <v>3</v>
      </c>
      <c r="D41" s="50" t="s">
        <v>128</v>
      </c>
      <c r="E41" s="51" t="s">
        <v>328</v>
      </c>
      <c r="F41" s="51" t="s">
        <v>263</v>
      </c>
      <c r="G41" s="64" t="str">
        <f t="shared" si="164"/>
        <v>[effect:spread, val:0.5]</v>
      </c>
      <c r="H41" s="64">
        <f t="shared" si="165"/>
        <v>9</v>
      </c>
      <c r="I41" s="64">
        <f t="shared" si="166"/>
        <v>15</v>
      </c>
      <c r="J41" s="64" t="e">
        <f t="shared" si="167"/>
        <v>#VALUE!</v>
      </c>
      <c r="K41" s="64" t="e">
        <f t="shared" si="168"/>
        <v>#VALUE!</v>
      </c>
      <c r="L41" s="64" t="str">
        <f>IFERROR(VLOOKUP(MID(G41,J41,K41-J41),[5]skilldef!$C:$D,2,FALSE),"-") &amp; " / " &amp; IFERROR(VLOOKUP(MID(G41,H41,I41-H41),[5]skilldef!$A:$B,2,FALSE),"-")</f>
        <v>- / 全体攻撃</v>
      </c>
      <c r="M41" s="64" t="str">
        <f t="shared" si="169"/>
        <v>none</v>
      </c>
      <c r="N41" s="48" t="str">
        <f>IFERROR(LEFT(M41,FIND("],",M41)+S67),M41)</f>
        <v>none</v>
      </c>
      <c r="O41" s="64" t="e">
        <f t="shared" si="170"/>
        <v>#VALUE!</v>
      </c>
      <c r="P41" s="64">
        <f t="shared" si="171"/>
        <v>4</v>
      </c>
      <c r="Q41" s="64" t="e">
        <f t="shared" si="172"/>
        <v>#VALUE!</v>
      </c>
      <c r="R41" s="64" t="e">
        <f t="shared" si="173"/>
        <v>#VALUE!</v>
      </c>
      <c r="S41" s="64" t="str">
        <f>IFERROR(VLOOKUP(MID(N41,Q41,R41-Q41),[5]skilldef!$C:$D,2,FALSE),"-") &amp; " / " &amp; IFERROR(VLOOKUP(MID(N41,O41,P41-O41),[5]skilldef!$A:$B,2,FALSE),"-")</f>
        <v>- / -</v>
      </c>
      <c r="T41" s="48" t="str">
        <f t="shared" si="174"/>
        <v>none</v>
      </c>
      <c r="U41" s="64" t="e">
        <f t="shared" si="175"/>
        <v>#VALUE!</v>
      </c>
      <c r="V41" s="64">
        <f t="shared" si="176"/>
        <v>4</v>
      </c>
      <c r="W41" s="64" t="e">
        <f t="shared" si="177"/>
        <v>#VALUE!</v>
      </c>
      <c r="X41" s="64" t="e">
        <f t="shared" si="178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125">
        <v>40022041</v>
      </c>
      <c r="B42" s="47" t="s">
        <v>316</v>
      </c>
      <c r="C42" s="50">
        <v>3</v>
      </c>
      <c r="D42" s="50" t="s">
        <v>128</v>
      </c>
      <c r="E42" s="51" t="s">
        <v>329</v>
      </c>
      <c r="F42" s="51" t="s">
        <v>349</v>
      </c>
      <c r="G42" s="64" t="str">
        <f t="shared" ref="G42:G44" si="179">IFERROR(LEFT(B42,FIND("],",B42)),B42)</f>
        <v>[effect:enhance_enemy, target:myself, turn:3, status:defense, val:5000, calc:add, animation:enemy_enhance_defense]</v>
      </c>
      <c r="H42" s="64">
        <f t="shared" ref="H42:H44" si="180">FIND("effect:",G42)+7</f>
        <v>9</v>
      </c>
      <c r="I42" s="64">
        <f t="shared" ref="I42:I44" si="181">IFERROR(FIND(",",G42),LEN(G42))</f>
        <v>22</v>
      </c>
      <c r="J42" s="64">
        <f t="shared" ref="J42:J44" si="182">FIND("target:",G42)+7</f>
        <v>31</v>
      </c>
      <c r="K42" s="64">
        <f t="shared" ref="K42:K44" si="183">FIND(",",G42,I42+1)</f>
        <v>37</v>
      </c>
      <c r="L42" s="64" t="str">
        <f>IFERROR(VLOOKUP(MID(G42,J42,K42-J42),[5]skilldef!$C:$D,2,FALSE),"-") &amp; " / " &amp; IFERROR(VLOOKUP(MID(G42,H42,I42-H42),[5]skilldef!$A:$B,2,FALSE),"-")</f>
        <v>自分自身に / ステータス強化</v>
      </c>
      <c r="M42" s="64" t="str">
        <f t="shared" ref="M42:M44" si="184">IFERROR(RIGHT(B42,LEN(B42)-FIND("],",B42)-1),"none")</f>
        <v>[effect:spread, val:0.25]</v>
      </c>
      <c r="N42" s="48" t="str">
        <f>IFERROR(LEFT(M42,FIND("],",M42)+S62),M42)</f>
        <v>[effect:spread, val:0.25]</v>
      </c>
      <c r="O42" s="64">
        <f t="shared" ref="O42:O44" si="185">FIND("effect:",N42)+7</f>
        <v>9</v>
      </c>
      <c r="P42" s="64">
        <f t="shared" ref="P42:P44" si="186">IFERROR(FIND(",",N42),LEN(N42))</f>
        <v>15</v>
      </c>
      <c r="Q42" s="64" t="e">
        <f t="shared" ref="Q42:Q44" si="187">FIND("target:",N42)+7</f>
        <v>#VALUE!</v>
      </c>
      <c r="R42" s="64" t="e">
        <f t="shared" ref="R42:R44" si="188">FIND(",",N42,P42+1)</f>
        <v>#VALUE!</v>
      </c>
      <c r="S42" s="64" t="str">
        <f>IFERROR(VLOOKUP(MID(N42,Q42,R42-Q42),[5]skilldef!$C:$D,2,FALSE),"-") &amp; " / " &amp; IFERROR(VLOOKUP(MID(N42,O42,P42-O42),[5]skilldef!$A:$B,2,FALSE),"-")</f>
        <v>- / 全体攻撃</v>
      </c>
      <c r="T42" s="48" t="str">
        <f t="shared" ref="T42:T44" si="189">IFERROR(RIGHT(M42,LEN(M42)-FIND("],",M42)-1),"none")</f>
        <v>none</v>
      </c>
      <c r="U42" s="64" t="e">
        <f t="shared" ref="U42:U44" si="190">FIND("effect:",T42)+7</f>
        <v>#VALUE!</v>
      </c>
      <c r="V42" s="64">
        <f t="shared" ref="V42:V44" si="191">IFERROR(FIND(",",T42),LEN(T42))</f>
        <v>4</v>
      </c>
      <c r="W42" s="64" t="e">
        <f t="shared" ref="W42:W44" si="192">FIND("target:",T42)+7</f>
        <v>#VALUE!</v>
      </c>
      <c r="X42" s="64" t="e">
        <f t="shared" ref="X42:X44" si="193">FIND(",",T42,V42+1)</f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125">
        <v>40022042</v>
      </c>
      <c r="B43" s="47" t="s">
        <v>401</v>
      </c>
      <c r="C43" s="50">
        <v>3</v>
      </c>
      <c r="D43" s="50" t="s">
        <v>128</v>
      </c>
      <c r="E43" s="51" t="s">
        <v>330</v>
      </c>
      <c r="F43" s="51" t="s">
        <v>347</v>
      </c>
      <c r="G43" s="64" t="str">
        <f t="shared" si="179"/>
        <v>[effect:enhance_enemy, target:enemy_animal, turn:-1, status:attack, val:1.5, calc:mul, animation:enemy_enhance_attack]</v>
      </c>
      <c r="H43" s="64">
        <f t="shared" si="180"/>
        <v>9</v>
      </c>
      <c r="I43" s="64">
        <f t="shared" si="181"/>
        <v>22</v>
      </c>
      <c r="J43" s="64">
        <f t="shared" si="182"/>
        <v>31</v>
      </c>
      <c r="K43" s="64">
        <f t="shared" si="183"/>
        <v>43</v>
      </c>
      <c r="L43" s="64" t="str">
        <f>IFERROR(VLOOKUP(MID(G43,J43,K43-J43),[5]skilldef!$C:$D,2,FALSE),"-") &amp; " / " &amp; IFERROR(VLOOKUP(MID(G43,H43,I43-H43),[5]skilldef!$A:$B,2,FALSE),"-")</f>
        <v>- / ステータス強化</v>
      </c>
      <c r="M43" s="64" t="str">
        <f t="shared" si="184"/>
        <v>none</v>
      </c>
      <c r="N43" s="48" t="str">
        <f>IFERROR(LEFT(M43,FIND("],",M43)+S63),M43)</f>
        <v>none</v>
      </c>
      <c r="O43" s="64" t="e">
        <f t="shared" si="185"/>
        <v>#VALUE!</v>
      </c>
      <c r="P43" s="64">
        <f t="shared" si="186"/>
        <v>4</v>
      </c>
      <c r="Q43" s="64" t="e">
        <f t="shared" si="187"/>
        <v>#VALUE!</v>
      </c>
      <c r="R43" s="64" t="e">
        <f t="shared" si="188"/>
        <v>#VALUE!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si="189"/>
        <v>none</v>
      </c>
      <c r="U43" s="64" t="e">
        <f t="shared" si="190"/>
        <v>#VALUE!</v>
      </c>
      <c r="V43" s="64">
        <f t="shared" si="191"/>
        <v>4</v>
      </c>
      <c r="W43" s="64" t="e">
        <f t="shared" si="192"/>
        <v>#VALUE!</v>
      </c>
      <c r="X43" s="64" t="e">
        <f t="shared" si="193"/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125">
        <v>40022043</v>
      </c>
      <c r="B44" s="47" t="s">
        <v>319</v>
      </c>
      <c r="C44" s="50">
        <v>3</v>
      </c>
      <c r="D44" s="50" t="s">
        <v>128</v>
      </c>
      <c r="E44" s="51" t="s">
        <v>331</v>
      </c>
      <c r="F44" s="51" t="s">
        <v>318</v>
      </c>
      <c r="G44" s="64" t="str">
        <f t="shared" si="179"/>
        <v>[effect:damage_fix_absolute, target:unit_all, val:44444]</v>
      </c>
      <c r="H44" s="64">
        <f t="shared" si="180"/>
        <v>9</v>
      </c>
      <c r="I44" s="64">
        <f t="shared" si="181"/>
        <v>28</v>
      </c>
      <c r="J44" s="64">
        <f t="shared" si="182"/>
        <v>37</v>
      </c>
      <c r="K44" s="64">
        <f t="shared" si="183"/>
        <v>45</v>
      </c>
      <c r="L44" s="64" t="str">
        <f>IFERROR(VLOOKUP(MID(G44,J44,K44-J44),[5]skilldef!$C:$D,2,FALSE),"-") &amp; " / " &amp; IFERROR(VLOOKUP(MID(G44,H44,I44-H44),[5]skilldef!$A:$B,2,FALSE),"-")</f>
        <v>味方全体に / -</v>
      </c>
      <c r="M44" s="64" t="str">
        <f t="shared" si="184"/>
        <v>none</v>
      </c>
      <c r="N44" s="48" t="str">
        <f>IFERROR(LEFT(M44,FIND("],",M44)+S64),M44)</f>
        <v>none</v>
      </c>
      <c r="O44" s="64" t="e">
        <f t="shared" si="185"/>
        <v>#VALUE!</v>
      </c>
      <c r="P44" s="64">
        <f t="shared" si="186"/>
        <v>4</v>
      </c>
      <c r="Q44" s="64" t="e">
        <f t="shared" si="187"/>
        <v>#VALUE!</v>
      </c>
      <c r="R44" s="64" t="e">
        <f t="shared" si="188"/>
        <v>#VALUE!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189"/>
        <v>none</v>
      </c>
      <c r="U44" s="64" t="e">
        <f t="shared" si="190"/>
        <v>#VALUE!</v>
      </c>
      <c r="V44" s="64">
        <f t="shared" si="191"/>
        <v>4</v>
      </c>
      <c r="W44" s="64" t="e">
        <f t="shared" si="192"/>
        <v>#VALUE!</v>
      </c>
      <c r="X44" s="64" t="e">
        <f t="shared" si="193"/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125">
        <v>40022044</v>
      </c>
      <c r="B45" s="47" t="s">
        <v>382</v>
      </c>
      <c r="C45" s="50">
        <v>3</v>
      </c>
      <c r="D45" s="50" t="s">
        <v>128</v>
      </c>
      <c r="E45" s="51" t="s">
        <v>365</v>
      </c>
      <c r="F45" s="51" t="s">
        <v>396</v>
      </c>
      <c r="G45" s="64" t="str">
        <f t="shared" ref="G45:G76" si="194">IFERROR(LEFT(B45,FIND("],",B45)),B45)</f>
        <v>[effect:enemy_message, val1:2.5, val2:3]</v>
      </c>
      <c r="H45" s="64">
        <f t="shared" ref="H45:H73" si="195">FIND("effect:",G45)+7</f>
        <v>9</v>
      </c>
      <c r="I45" s="64">
        <f t="shared" ref="I45:I76" si="196">IFERROR(FIND(",",G45),LEN(G45))</f>
        <v>22</v>
      </c>
      <c r="J45" s="64" t="e">
        <f t="shared" ref="J45:J76" si="197">FIND("target:",G45)+7</f>
        <v>#VALUE!</v>
      </c>
      <c r="K45" s="64">
        <f t="shared" ref="K45:K76" si="198">FIND(",",G45,I45+1)</f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ref="M45:M76" si="199">IFERROR(RIGHT(B45,LEN(B45)-FIND("],",B45)-1),"none")</f>
        <v>none</v>
      </c>
      <c r="N45" s="48" t="str">
        <f>IFERROR(LEFT(M45,FIND("],",M45)+S65),M45)</f>
        <v>none</v>
      </c>
      <c r="O45" s="64" t="e">
        <f t="shared" ref="O45:O73" si="200">FIND("effect:",N45)+7</f>
        <v>#VALUE!</v>
      </c>
      <c r="P45" s="64">
        <f t="shared" ref="P45:P76" si="201">IFERROR(FIND(",",N45),LEN(N45))</f>
        <v>4</v>
      </c>
      <c r="Q45" s="64" t="e">
        <f t="shared" ref="Q45:Q76" si="202">FIND("target:",N45)+7</f>
        <v>#VALUE!</v>
      </c>
      <c r="R45" s="64" t="e">
        <f t="shared" ref="R45:R76" si="203">FIND(",",N45,P45+1)</f>
        <v>#VALUE!</v>
      </c>
      <c r="S45" s="64" t="str">
        <f>IFERROR(VLOOKUP(MID(N45,Q45,R45-Q45),[5]skilldef!$C:$D,2,FALSE),"-") &amp; " / " &amp; IFERROR(VLOOKUP(MID(N45,O45,P45-O45),[5]skilldef!$A:$B,2,FALSE),"-")</f>
        <v>- / -</v>
      </c>
      <c r="T45" s="48" t="str">
        <f t="shared" ref="T45:T76" si="204">IFERROR(RIGHT(M45,LEN(M45)-FIND("],",M45)-1),"none")</f>
        <v>none</v>
      </c>
      <c r="U45" s="64" t="e">
        <f t="shared" ref="U45:U73" si="205">FIND("effect:",T45)+7</f>
        <v>#VALUE!</v>
      </c>
      <c r="V45" s="64">
        <f t="shared" ref="V45:V76" si="206">IFERROR(FIND(",",T45),LEN(T45))</f>
        <v>4</v>
      </c>
      <c r="W45" s="64" t="e">
        <f t="shared" ref="W45:W76" si="207">FIND("target:",T45)+7</f>
        <v>#VALUE!</v>
      </c>
      <c r="X45" s="64" t="e">
        <f t="shared" ref="X45:X76" si="208">FIND(",",T45,V45+1)</f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125">
        <v>40022045</v>
      </c>
      <c r="B46" s="47" t="s">
        <v>381</v>
      </c>
      <c r="C46" s="50">
        <v>3</v>
      </c>
      <c r="D46" s="50" t="s">
        <v>128</v>
      </c>
      <c r="E46" s="51" t="s">
        <v>285</v>
      </c>
      <c r="F46" s="51" t="s">
        <v>396</v>
      </c>
      <c r="G46" s="64" t="str">
        <f t="shared" ref="G46:G47" si="209">IFERROR(LEFT(B46,FIND("],",B46)),B46)</f>
        <v>[effect:enemy_message, val1:2.5, val2:3]</v>
      </c>
      <c r="H46" s="64">
        <f t="shared" ref="H46:H47" si="210">FIND("effect:",G46)+7</f>
        <v>9</v>
      </c>
      <c r="I46" s="64">
        <f t="shared" ref="I46:I47" si="211">IFERROR(FIND(",",G46),LEN(G46))</f>
        <v>22</v>
      </c>
      <c r="J46" s="64" t="e">
        <f t="shared" ref="J46:J47" si="212">FIND("target:",G46)+7</f>
        <v>#VALUE!</v>
      </c>
      <c r="K46" s="64">
        <f t="shared" ref="K46:K47" si="213">FIND(",",G46,I46+1)</f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ref="M46:M47" si="214">IFERROR(RIGHT(B46,LEN(B46)-FIND("],",B46)-1),"none")</f>
        <v>none</v>
      </c>
      <c r="N46" s="48" t="str">
        <f>IFERROR(LEFT(M46,FIND("],",M46)+S66),M46)</f>
        <v>none</v>
      </c>
      <c r="O46" s="64" t="e">
        <f t="shared" ref="O46:O47" si="215">FIND("effect:",N46)+7</f>
        <v>#VALUE!</v>
      </c>
      <c r="P46" s="64">
        <f t="shared" ref="P46:P47" si="216">IFERROR(FIND(",",N46),LEN(N46))</f>
        <v>4</v>
      </c>
      <c r="Q46" s="64" t="e">
        <f t="shared" ref="Q46:Q47" si="217">FIND("target:",N46)+7</f>
        <v>#VALUE!</v>
      </c>
      <c r="R46" s="64" t="e">
        <f t="shared" ref="R46:R47" si="218">FIND(",",N46,P46+1)</f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ref="T46:T47" si="219">IFERROR(RIGHT(M46,LEN(M46)-FIND("],",M46)-1),"none")</f>
        <v>none</v>
      </c>
      <c r="U46" s="64" t="e">
        <f t="shared" ref="U46:U47" si="220">FIND("effect:",T46)+7</f>
        <v>#VALUE!</v>
      </c>
      <c r="V46" s="64">
        <f t="shared" ref="V46:V47" si="221">IFERROR(FIND(",",T46),LEN(T46))</f>
        <v>4</v>
      </c>
      <c r="W46" s="64" t="e">
        <f t="shared" ref="W46:W47" si="222">FIND("target:",T46)+7</f>
        <v>#VALUE!</v>
      </c>
      <c r="X46" s="64" t="e">
        <f t="shared" ref="X46:X47" si="223">FIND(",",T46,V46+1)</f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21" customHeight="1" x14ac:dyDescent="0.15">
      <c r="A47" s="125">
        <v>40022046</v>
      </c>
      <c r="B47" s="47" t="s">
        <v>383</v>
      </c>
      <c r="C47" s="50">
        <v>3</v>
      </c>
      <c r="D47" s="50" t="s">
        <v>128</v>
      </c>
      <c r="E47" s="51" t="s">
        <v>407</v>
      </c>
      <c r="F47" s="51" t="s">
        <v>379</v>
      </c>
      <c r="G47" s="64" t="str">
        <f t="shared" si="209"/>
        <v>[effect:enemy_message, val1:2, val2:3.5]</v>
      </c>
      <c r="H47" s="64">
        <f t="shared" si="210"/>
        <v>9</v>
      </c>
      <c r="I47" s="64">
        <f t="shared" si="211"/>
        <v>22</v>
      </c>
      <c r="J47" s="64" t="e">
        <f t="shared" si="212"/>
        <v>#VALUE!</v>
      </c>
      <c r="K47" s="64">
        <f t="shared" si="213"/>
        <v>30</v>
      </c>
      <c r="L47" s="64" t="str">
        <f>IFERROR(VLOOKUP(MID(G47,J47,K47-J47),[5]skilldef!$C:$D,2,FALSE),"-") &amp; " / " &amp; IFERROR(VLOOKUP(MID(G47,H47,I47-H47),[5]skilldef!$A:$B,2,FALSE),"-")</f>
        <v>- / -</v>
      </c>
      <c r="M47" s="64" t="str">
        <f t="shared" si="214"/>
        <v>none</v>
      </c>
      <c r="N47" s="48" t="str">
        <f>IFERROR(LEFT(M47,FIND("],",M47)+S65),M47)</f>
        <v>none</v>
      </c>
      <c r="O47" s="64" t="e">
        <f t="shared" si="215"/>
        <v>#VALUE!</v>
      </c>
      <c r="P47" s="64">
        <f t="shared" si="216"/>
        <v>4</v>
      </c>
      <c r="Q47" s="64" t="e">
        <f t="shared" si="217"/>
        <v>#VALUE!</v>
      </c>
      <c r="R47" s="64" t="e">
        <f t="shared" si="218"/>
        <v>#VALUE!</v>
      </c>
      <c r="S47" s="64" t="str">
        <f>IFERROR(VLOOKUP(MID(N47,Q47,R47-Q47),[5]skilldef!$C:$D,2,FALSE),"-") &amp; " / " &amp; IFERROR(VLOOKUP(MID(N47,O47,P47-O47),[5]skilldef!$A:$B,2,FALSE),"-")</f>
        <v>- / -</v>
      </c>
      <c r="T47" s="48" t="str">
        <f t="shared" si="219"/>
        <v>none</v>
      </c>
      <c r="U47" s="64" t="e">
        <f t="shared" si="220"/>
        <v>#VALUE!</v>
      </c>
      <c r="V47" s="64">
        <f t="shared" si="221"/>
        <v>4</v>
      </c>
      <c r="W47" s="64" t="e">
        <f t="shared" si="222"/>
        <v>#VALUE!</v>
      </c>
      <c r="X47" s="64" t="e">
        <f t="shared" si="223"/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125">
        <v>40022047</v>
      </c>
      <c r="B48" s="47" t="s">
        <v>383</v>
      </c>
      <c r="C48" s="50">
        <v>3</v>
      </c>
      <c r="D48" s="50" t="s">
        <v>128</v>
      </c>
      <c r="E48" s="51" t="s">
        <v>407</v>
      </c>
      <c r="F48" s="51" t="s">
        <v>379</v>
      </c>
      <c r="G48" s="64" t="str">
        <f>IFERROR(LEFT(B48,FIND("],",B48)),B48)</f>
        <v>[effect:enemy_message, val1:2, val2:3.5]</v>
      </c>
      <c r="H48" s="64">
        <f>FIND("effect:",G48)+7</f>
        <v>9</v>
      </c>
      <c r="I48" s="64">
        <f>IFERROR(FIND(",",G48),LEN(G48))</f>
        <v>22</v>
      </c>
      <c r="J48" s="64" t="e">
        <f>FIND("target:",G48)+7</f>
        <v>#VALUE!</v>
      </c>
      <c r="K48" s="64">
        <f>FIND(",",G48,I48+1)</f>
        <v>30</v>
      </c>
      <c r="L48" s="64" t="str">
        <f>IFERROR(VLOOKUP(MID(G48,J48,K48-J48),[5]skilldef!$C:$D,2,FALSE),"-") &amp; " / " &amp; IFERROR(VLOOKUP(MID(G48,H48,I48-H48),[5]skilldef!$A:$B,2,FALSE),"-")</f>
        <v>- / -</v>
      </c>
      <c r="M48" s="64" t="str">
        <f>IFERROR(RIGHT(B48,LEN(B48)-FIND("],",B48)-1),"none")</f>
        <v>none</v>
      </c>
      <c r="N48" s="48" t="str">
        <f>IFERROR(LEFT(M48,FIND("],",M48)+S64),M48)</f>
        <v>none</v>
      </c>
      <c r="O48" s="64" t="e">
        <f>FIND("effect:",N48)+7</f>
        <v>#VALUE!</v>
      </c>
      <c r="P48" s="64">
        <f>IFERROR(FIND(",",N48),LEN(N48))</f>
        <v>4</v>
      </c>
      <c r="Q48" s="64" t="e">
        <f>FIND("target:",N48)+7</f>
        <v>#VALUE!</v>
      </c>
      <c r="R48" s="64" t="e">
        <f>FIND(",",N48,P48+1)</f>
        <v>#VALUE!</v>
      </c>
      <c r="S48" s="64" t="str">
        <f>IFERROR(VLOOKUP(MID(N48,Q48,R48-Q48),[5]skilldef!$C:$D,2,FALSE),"-") &amp; " / " &amp; IFERROR(VLOOKUP(MID(N48,O48,P48-O48),[5]skilldef!$A:$B,2,FALSE),"-")</f>
        <v>- / -</v>
      </c>
      <c r="T48" s="48" t="str">
        <f>IFERROR(RIGHT(M48,LEN(M48)-FIND("],",M48)-1),"none")</f>
        <v>none</v>
      </c>
      <c r="U48" s="64" t="e">
        <f>FIND("effect:",T48)+7</f>
        <v>#VALUE!</v>
      </c>
      <c r="V48" s="64">
        <f>IFERROR(FIND(",",T48),LEN(T48))</f>
        <v>4</v>
      </c>
      <c r="W48" s="64" t="e">
        <f>FIND("target:",T48)+7</f>
        <v>#VALUE!</v>
      </c>
      <c r="X48" s="64" t="e">
        <f>FIND(",",T48,V48+1)</f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125">
        <v>40022048</v>
      </c>
      <c r="B49" s="47" t="s">
        <v>380</v>
      </c>
      <c r="C49" s="50">
        <v>3</v>
      </c>
      <c r="D49" s="50" t="s">
        <v>128</v>
      </c>
      <c r="E49" s="51" t="s">
        <v>407</v>
      </c>
      <c r="F49" s="51" t="s">
        <v>378</v>
      </c>
      <c r="G49" s="64" t="str">
        <f t="shared" ref="G49:G51" si="224">IFERROR(LEFT(B49,FIND("],",B49)),B49)</f>
        <v>[effect:enemy_message, val1:2, val2:4]</v>
      </c>
      <c r="H49" s="64">
        <f t="shared" ref="H49:H51" si="225">FIND("effect:",G49)+7</f>
        <v>9</v>
      </c>
      <c r="I49" s="64">
        <f t="shared" ref="I49:I51" si="226">IFERROR(FIND(",",G49),LEN(G49))</f>
        <v>22</v>
      </c>
      <c r="J49" s="64" t="e">
        <f t="shared" ref="J49:J51" si="227">FIND("target:",G49)+7</f>
        <v>#VALUE!</v>
      </c>
      <c r="K49" s="64">
        <f t="shared" ref="K49:K51" si="228">FIND(",",G49,I49+1)</f>
        <v>30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ref="M49:M51" si="229">IFERROR(RIGHT(B49,LEN(B49)-FIND("],",B49)-1),"none")</f>
        <v>none</v>
      </c>
      <c r="N49" s="48" t="str">
        <f>IFERROR(LEFT(M49,FIND("],",M49)+S69),M49)</f>
        <v>none</v>
      </c>
      <c r="O49" s="64" t="e">
        <f t="shared" ref="O49:O51" si="230">FIND("effect:",N49)+7</f>
        <v>#VALUE!</v>
      </c>
      <c r="P49" s="64">
        <f t="shared" ref="P49:P51" si="231">IFERROR(FIND(",",N49),LEN(N49))</f>
        <v>4</v>
      </c>
      <c r="Q49" s="64" t="e">
        <f t="shared" ref="Q49:Q51" si="232">FIND("target:",N49)+7</f>
        <v>#VALUE!</v>
      </c>
      <c r="R49" s="64" t="e">
        <f t="shared" ref="R49:R51" si="233">FIND(",",N49,P49+1)</f>
        <v>#VALUE!</v>
      </c>
      <c r="S49" s="64" t="str">
        <f>IFERROR(VLOOKUP(MID(N49,Q49,R49-Q49),[5]skilldef!$C:$D,2,FALSE),"-") &amp; " / " &amp; IFERROR(VLOOKUP(MID(N49,O49,P49-O49),[5]skilldef!$A:$B,2,FALSE),"-")</f>
        <v>- / -</v>
      </c>
      <c r="T49" s="48" t="str">
        <f t="shared" ref="T49:T51" si="234">IFERROR(RIGHT(M49,LEN(M49)-FIND("],",M49)-1),"none")</f>
        <v>none</v>
      </c>
      <c r="U49" s="64" t="e">
        <f t="shared" ref="U49:U51" si="235">FIND("effect:",T49)+7</f>
        <v>#VALUE!</v>
      </c>
      <c r="V49" s="64">
        <f t="shared" ref="V49:V51" si="236">IFERROR(FIND(",",T49),LEN(T49))</f>
        <v>4</v>
      </c>
      <c r="W49" s="64" t="e">
        <f t="shared" ref="W49:W51" si="237">FIND("target:",T49)+7</f>
        <v>#VALUE!</v>
      </c>
      <c r="X49" s="64" t="e">
        <f t="shared" ref="X49:X51" si="238">FIND(",",T49,V49+1)</f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125">
        <v>40022049</v>
      </c>
      <c r="B50" s="47" t="s">
        <v>380</v>
      </c>
      <c r="C50" s="50">
        <v>3</v>
      </c>
      <c r="D50" s="50" t="s">
        <v>128</v>
      </c>
      <c r="E50" s="51" t="s">
        <v>407</v>
      </c>
      <c r="F50" s="51" t="s">
        <v>378</v>
      </c>
      <c r="G50" s="64" t="str">
        <f t="shared" si="224"/>
        <v>[effect:enemy_message, val1:2, val2:4]</v>
      </c>
      <c r="H50" s="64">
        <f t="shared" si="225"/>
        <v>9</v>
      </c>
      <c r="I50" s="64">
        <f t="shared" si="226"/>
        <v>22</v>
      </c>
      <c r="J50" s="64" t="e">
        <f t="shared" si="227"/>
        <v>#VALUE!</v>
      </c>
      <c r="K50" s="64">
        <f t="shared" si="228"/>
        <v>30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229"/>
        <v>none</v>
      </c>
      <c r="N50" s="48" t="str">
        <f>IFERROR(LEFT(M50,FIND("],",M50)+S70),M50)</f>
        <v>none</v>
      </c>
      <c r="O50" s="64" t="e">
        <f t="shared" si="230"/>
        <v>#VALUE!</v>
      </c>
      <c r="P50" s="64">
        <f t="shared" si="231"/>
        <v>4</v>
      </c>
      <c r="Q50" s="64" t="e">
        <f t="shared" si="232"/>
        <v>#VALUE!</v>
      </c>
      <c r="R50" s="64" t="e">
        <f t="shared" si="233"/>
        <v>#VALUE!</v>
      </c>
      <c r="S50" s="64" t="str">
        <f>IFERROR(VLOOKUP(MID(N50,Q50,R50-Q50),[5]skilldef!$C:$D,2,FALSE),"-") &amp; " / " &amp; IFERROR(VLOOKUP(MID(N50,O50,P50-O50),[5]skilldef!$A:$B,2,FALSE),"-")</f>
        <v>- / -</v>
      </c>
      <c r="T50" s="48" t="str">
        <f t="shared" si="234"/>
        <v>none</v>
      </c>
      <c r="U50" s="64" t="e">
        <f t="shared" si="235"/>
        <v>#VALUE!</v>
      </c>
      <c r="V50" s="64">
        <f t="shared" si="236"/>
        <v>4</v>
      </c>
      <c r="W50" s="64" t="e">
        <f t="shared" si="237"/>
        <v>#VALUE!</v>
      </c>
      <c r="X50" s="64" t="e">
        <f t="shared" si="238"/>
        <v>#VALUE!</v>
      </c>
      <c r="Y50" s="64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125">
        <v>40022050</v>
      </c>
      <c r="B51" s="47" t="s">
        <v>380</v>
      </c>
      <c r="C51" s="50">
        <v>3</v>
      </c>
      <c r="D51" s="50" t="s">
        <v>128</v>
      </c>
      <c r="E51" s="51" t="s">
        <v>407</v>
      </c>
      <c r="F51" s="51" t="s">
        <v>378</v>
      </c>
      <c r="G51" s="64" t="str">
        <f t="shared" si="224"/>
        <v>[effect:enemy_message, val1:2, val2:4]</v>
      </c>
      <c r="H51" s="64">
        <f t="shared" si="225"/>
        <v>9</v>
      </c>
      <c r="I51" s="64">
        <f t="shared" si="226"/>
        <v>22</v>
      </c>
      <c r="J51" s="64" t="e">
        <f t="shared" si="227"/>
        <v>#VALUE!</v>
      </c>
      <c r="K51" s="64">
        <f t="shared" si="228"/>
        <v>30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si="229"/>
        <v>none</v>
      </c>
      <c r="N51" s="48" t="str">
        <f>IFERROR(LEFT(M51,FIND("],",M51)+S69),M51)</f>
        <v>none</v>
      </c>
      <c r="O51" s="64" t="e">
        <f t="shared" si="230"/>
        <v>#VALUE!</v>
      </c>
      <c r="P51" s="64">
        <f t="shared" si="231"/>
        <v>4</v>
      </c>
      <c r="Q51" s="64" t="e">
        <f t="shared" si="232"/>
        <v>#VALUE!</v>
      </c>
      <c r="R51" s="64" t="e">
        <f t="shared" si="233"/>
        <v>#VALUE!</v>
      </c>
      <c r="S51" s="64" t="str">
        <f>IFERROR(VLOOKUP(MID(N51,Q51,R51-Q51),[5]skilldef!$C:$D,2,FALSE),"-") &amp; " / " &amp; IFERROR(VLOOKUP(MID(N51,O51,P51-O51),[5]skilldef!$A:$B,2,FALSE),"-")</f>
        <v>- / -</v>
      </c>
      <c r="T51" s="48" t="str">
        <f t="shared" si="234"/>
        <v>none</v>
      </c>
      <c r="U51" s="64" t="e">
        <f t="shared" si="235"/>
        <v>#VALUE!</v>
      </c>
      <c r="V51" s="64">
        <f t="shared" si="236"/>
        <v>4</v>
      </c>
      <c r="W51" s="64" t="e">
        <f t="shared" si="237"/>
        <v>#VALUE!</v>
      </c>
      <c r="X51" s="64" t="e">
        <f t="shared" si="238"/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125">
        <v>40022051</v>
      </c>
      <c r="B52" s="47" t="s">
        <v>380</v>
      </c>
      <c r="C52" s="50">
        <v>3</v>
      </c>
      <c r="D52" s="50" t="s">
        <v>128</v>
      </c>
      <c r="E52" s="51" t="s">
        <v>407</v>
      </c>
      <c r="F52" s="51" t="s">
        <v>378</v>
      </c>
      <c r="G52" s="64" t="str">
        <f>IFERROR(LEFT(B52,FIND("],",B52)),B52)</f>
        <v>[effect:enemy_message, val1:2, val2:4]</v>
      </c>
      <c r="H52" s="64">
        <f>FIND("effect:",G52)+7</f>
        <v>9</v>
      </c>
      <c r="I52" s="64">
        <f>IFERROR(FIND(",",G52),LEN(G52))</f>
        <v>22</v>
      </c>
      <c r="J52" s="64" t="e">
        <f>FIND("target:",G52)+7</f>
        <v>#VALUE!</v>
      </c>
      <c r="K52" s="64">
        <f>FIND(",",G52,I52+1)</f>
        <v>30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>IFERROR(RIGHT(B52,LEN(B52)-FIND("],",B52)-1),"none")</f>
        <v>none</v>
      </c>
      <c r="N52" s="48" t="str">
        <f>IFERROR(LEFT(M52,FIND("],",M52)+S68),M52)</f>
        <v>none</v>
      </c>
      <c r="O52" s="64" t="e">
        <f>FIND("effect:",N52)+7</f>
        <v>#VALUE!</v>
      </c>
      <c r="P52" s="64">
        <f>IFERROR(FIND(",",N52),LEN(N52))</f>
        <v>4</v>
      </c>
      <c r="Q52" s="64" t="e">
        <f>FIND("target:",N52)+7</f>
        <v>#VALUE!</v>
      </c>
      <c r="R52" s="64" t="e">
        <f>FIND(",",N52,P52+1)</f>
        <v>#VALUE!</v>
      </c>
      <c r="S52" s="64" t="str">
        <f>IFERROR(VLOOKUP(MID(N52,Q52,R52-Q52),[5]skilldef!$C:$D,2,FALSE),"-") &amp; " / " &amp; IFERROR(VLOOKUP(MID(N52,O52,P52-O52),[5]skilldef!$A:$B,2,FALSE),"-")</f>
        <v>- / -</v>
      </c>
      <c r="T52" s="48" t="str">
        <f>IFERROR(RIGHT(M52,LEN(M52)-FIND("],",M52)-1),"none")</f>
        <v>none</v>
      </c>
      <c r="U52" s="64" t="e">
        <f>FIND("effect:",T52)+7</f>
        <v>#VALUE!</v>
      </c>
      <c r="V52" s="64">
        <f>IFERROR(FIND(",",T52),LEN(T52))</f>
        <v>4</v>
      </c>
      <c r="W52" s="64" t="e">
        <f>FIND("target:",T52)+7</f>
        <v>#VALUE!</v>
      </c>
      <c r="X52" s="64" t="e">
        <f>FIND(",",T52,V52+1)</f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125">
        <v>40022052</v>
      </c>
      <c r="B53" s="47" t="s">
        <v>380</v>
      </c>
      <c r="C53" s="50">
        <v>3</v>
      </c>
      <c r="D53" s="50" t="s">
        <v>128</v>
      </c>
      <c r="E53" s="51" t="s">
        <v>407</v>
      </c>
      <c r="F53" s="51" t="s">
        <v>378</v>
      </c>
      <c r="G53" s="64" t="str">
        <f t="shared" ref="G53" si="239">IFERROR(LEFT(B53,FIND("],",B53)),B53)</f>
        <v>[effect:enemy_message, val1:2, val2:4]</v>
      </c>
      <c r="H53" s="64">
        <f t="shared" ref="H53" si="240">FIND("effect:",G53)+7</f>
        <v>9</v>
      </c>
      <c r="I53" s="64">
        <f t="shared" ref="I53" si="241">IFERROR(FIND(",",G53),LEN(G53))</f>
        <v>22</v>
      </c>
      <c r="J53" s="64" t="e">
        <f t="shared" ref="J53" si="242">FIND("target:",G53)+7</f>
        <v>#VALUE!</v>
      </c>
      <c r="K53" s="64">
        <f t="shared" ref="K53" si="243">FIND(",",G53,I53+1)</f>
        <v>30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ref="M53" si="244">IFERROR(RIGHT(B53,LEN(B53)-FIND("],",B53)-1),"none")</f>
        <v>none</v>
      </c>
      <c r="N53" s="48" t="str">
        <f>IFERROR(LEFT(M53,FIND("],",M53)+S71),M53)</f>
        <v>none</v>
      </c>
      <c r="O53" s="64" t="e">
        <f t="shared" ref="O53" si="245">FIND("effect:",N53)+7</f>
        <v>#VALUE!</v>
      </c>
      <c r="P53" s="64">
        <f t="shared" ref="P53" si="246">IFERROR(FIND(",",N53),LEN(N53))</f>
        <v>4</v>
      </c>
      <c r="Q53" s="64" t="e">
        <f t="shared" ref="Q53" si="247">FIND("target:",N53)+7</f>
        <v>#VALUE!</v>
      </c>
      <c r="R53" s="64" t="e">
        <f t="shared" ref="R53" si="248">FIND(",",N53,P53+1)</f>
        <v>#VALUE!</v>
      </c>
      <c r="S53" s="64" t="str">
        <f>IFERROR(VLOOKUP(MID(N53,Q53,R53-Q53),[5]skilldef!$C:$D,2,FALSE),"-") &amp; " / " &amp; IFERROR(VLOOKUP(MID(N53,O53,P53-O53),[5]skilldef!$A:$B,2,FALSE),"-")</f>
        <v>- / -</v>
      </c>
      <c r="T53" s="48" t="str">
        <f t="shared" ref="T53" si="249">IFERROR(RIGHT(M53,LEN(M53)-FIND("],",M53)-1),"none")</f>
        <v>none</v>
      </c>
      <c r="U53" s="64" t="e">
        <f t="shared" ref="U53" si="250">FIND("effect:",T53)+7</f>
        <v>#VALUE!</v>
      </c>
      <c r="V53" s="64">
        <f t="shared" ref="V53" si="251">IFERROR(FIND(",",T53),LEN(T53))</f>
        <v>4</v>
      </c>
      <c r="W53" s="64" t="e">
        <f t="shared" ref="W53" si="252">FIND("target:",T53)+7</f>
        <v>#VALUE!</v>
      </c>
      <c r="X53" s="64" t="e">
        <f t="shared" ref="X53" si="253">FIND(",",T53,V53+1)</f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125">
        <v>40022053</v>
      </c>
      <c r="B54" s="47" t="s">
        <v>380</v>
      </c>
      <c r="C54" s="50">
        <v>3</v>
      </c>
      <c r="D54" s="50" t="s">
        <v>128</v>
      </c>
      <c r="E54" s="51" t="s">
        <v>407</v>
      </c>
      <c r="F54" s="51" t="s">
        <v>378</v>
      </c>
      <c r="G54" s="64" t="str">
        <f>IFERROR(LEFT(B54,FIND("],",B54)),B54)</f>
        <v>[effect:enemy_message, val1:2, val2:4]</v>
      </c>
      <c r="H54" s="64">
        <f>FIND("effect:",G54)+7</f>
        <v>9</v>
      </c>
      <c r="I54" s="64">
        <f>IFERROR(FIND(",",G54),LEN(G54))</f>
        <v>22</v>
      </c>
      <c r="J54" s="64" t="e">
        <f>FIND("target:",G54)+7</f>
        <v>#VALUE!</v>
      </c>
      <c r="K54" s="64">
        <f>FIND(",",G54,I54+1)</f>
        <v>30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>IFERROR(RIGHT(B54,LEN(B54)-FIND("],",B54)-1),"none")</f>
        <v>none</v>
      </c>
      <c r="N54" s="48" t="str">
        <f>IFERROR(LEFT(M54,FIND("],",M54)+S70),M54)</f>
        <v>none</v>
      </c>
      <c r="O54" s="64" t="e">
        <f>FIND("effect:",N54)+7</f>
        <v>#VALUE!</v>
      </c>
      <c r="P54" s="64">
        <f>IFERROR(FIND(",",N54),LEN(N54))</f>
        <v>4</v>
      </c>
      <c r="Q54" s="64" t="e">
        <f>FIND("target:",N54)+7</f>
        <v>#VALUE!</v>
      </c>
      <c r="R54" s="64" t="e">
        <f>FIND(",",N54,P54+1)</f>
        <v>#VALUE!</v>
      </c>
      <c r="S54" s="64" t="str">
        <f>IFERROR(VLOOKUP(MID(N54,Q54,R54-Q54),[5]skilldef!$C:$D,2,FALSE),"-") &amp; " / " &amp; IFERROR(VLOOKUP(MID(N54,O54,P54-O54),[5]skilldef!$A:$B,2,FALSE),"-")</f>
        <v>- / -</v>
      </c>
      <c r="T54" s="48" t="str">
        <f>IFERROR(RIGHT(M54,LEN(M54)-FIND("],",M54)-1),"none")</f>
        <v>none</v>
      </c>
      <c r="U54" s="64" t="e">
        <f>FIND("effect:",T54)+7</f>
        <v>#VALUE!</v>
      </c>
      <c r="V54" s="64">
        <f>IFERROR(FIND(",",T54),LEN(T54))</f>
        <v>4</v>
      </c>
      <c r="W54" s="64" t="e">
        <f>FIND("target:",T54)+7</f>
        <v>#VALUE!</v>
      </c>
      <c r="X54" s="64" t="e">
        <f>FIND(",",T54,V54+1)</f>
        <v>#VALUE!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125">
        <v>40022054</v>
      </c>
      <c r="B55" s="47" t="s">
        <v>380</v>
      </c>
      <c r="C55" s="50">
        <v>3</v>
      </c>
      <c r="D55" s="50" t="s">
        <v>128</v>
      </c>
      <c r="E55" s="51" t="s">
        <v>407</v>
      </c>
      <c r="F55" s="51" t="s">
        <v>378</v>
      </c>
      <c r="G55" s="64" t="str">
        <f>IFERROR(LEFT(B55,FIND("],",B55)),B55)</f>
        <v>[effect:enemy_message, val1:2, val2:4]</v>
      </c>
      <c r="H55" s="64">
        <f>FIND("effect:",G55)+7</f>
        <v>9</v>
      </c>
      <c r="I55" s="64">
        <f>IFERROR(FIND(",",G55),LEN(G55))</f>
        <v>22</v>
      </c>
      <c r="J55" s="64" t="e">
        <f>FIND("target:",G55)+7</f>
        <v>#VALUE!</v>
      </c>
      <c r="K55" s="64">
        <f>FIND(",",G55,I55+1)</f>
        <v>30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>IFERROR(RIGHT(B55,LEN(B55)-FIND("],",B55)-1),"none")</f>
        <v>none</v>
      </c>
      <c r="N55" s="48" t="str">
        <f>IFERROR(LEFT(M55,FIND("],",M55)+S64),M55)</f>
        <v>none</v>
      </c>
      <c r="O55" s="64" t="e">
        <f>FIND("effect:",N55)+7</f>
        <v>#VALUE!</v>
      </c>
      <c r="P55" s="64">
        <f>IFERROR(FIND(",",N55),LEN(N55))</f>
        <v>4</v>
      </c>
      <c r="Q55" s="64" t="e">
        <f>FIND("target:",N55)+7</f>
        <v>#VALUE!</v>
      </c>
      <c r="R55" s="64" t="e">
        <f>FIND(",",N55,P55+1)</f>
        <v>#VALUE!</v>
      </c>
      <c r="S55" s="64" t="str">
        <f>IFERROR(VLOOKUP(MID(N55,Q55,R55-Q55),[5]skilldef!$C:$D,2,FALSE),"-") &amp; " / " &amp; IFERROR(VLOOKUP(MID(N55,O55,P55-O55),[5]skilldef!$A:$B,2,FALSE),"-")</f>
        <v>- / -</v>
      </c>
      <c r="T55" s="48" t="str">
        <f>IFERROR(RIGHT(M55,LEN(M55)-FIND("],",M55)-1),"none")</f>
        <v>none</v>
      </c>
      <c r="U55" s="64" t="e">
        <f>FIND("effect:",T55)+7</f>
        <v>#VALUE!</v>
      </c>
      <c r="V55" s="64">
        <f>IFERROR(FIND(",",T55),LEN(T55))</f>
        <v>4</v>
      </c>
      <c r="W55" s="64" t="e">
        <f>FIND("target:",T55)+7</f>
        <v>#VALUE!</v>
      </c>
      <c r="X55" s="64" t="e">
        <f>FIND(",",T55,V55+1)</f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125">
        <v>40022055</v>
      </c>
      <c r="B56" s="47" t="s">
        <v>354</v>
      </c>
      <c r="C56" s="50">
        <v>3</v>
      </c>
      <c r="D56" s="50" t="s">
        <v>128</v>
      </c>
      <c r="E56" s="51" t="s">
        <v>285</v>
      </c>
      <c r="F56" s="51" t="s">
        <v>397</v>
      </c>
      <c r="G56" s="64" t="str">
        <f>IFERROR(LEFT(B56,FIND("],",B56)),B56)</f>
        <v>[effect:enemy_message, val1:2.5, val2:4]</v>
      </c>
      <c r="H56" s="64">
        <f>FIND("effect:",G56)+7</f>
        <v>9</v>
      </c>
      <c r="I56" s="64">
        <f>IFERROR(FIND(",",G56),LEN(G56))</f>
        <v>22</v>
      </c>
      <c r="J56" s="64" t="e">
        <f>FIND("target:",G56)+7</f>
        <v>#VALUE!</v>
      </c>
      <c r="K56" s="64">
        <f>FIND(",",G56,I56+1)</f>
        <v>32</v>
      </c>
      <c r="L56" s="64" t="str">
        <f>IFERROR(VLOOKUP(MID(G56,J56,K56-J56),[5]skilldef!$C:$D,2,FALSE),"-") &amp; " / " &amp; IFERROR(VLOOKUP(MID(G56,H56,I56-H56),[5]skilldef!$A:$B,2,FALSE),"-")</f>
        <v>- / -</v>
      </c>
      <c r="M56" s="64" t="str">
        <f>IFERROR(RIGHT(B56,LEN(B56)-FIND("],",B56)-1),"none")</f>
        <v>none</v>
      </c>
      <c r="N56" s="48" t="str">
        <f>IFERROR(LEFT(M56,FIND("],",M56)+S65),M56)</f>
        <v>none</v>
      </c>
      <c r="O56" s="64" t="e">
        <f>FIND("effect:",N56)+7</f>
        <v>#VALUE!</v>
      </c>
      <c r="P56" s="64">
        <f>IFERROR(FIND(",",N56),LEN(N56))</f>
        <v>4</v>
      </c>
      <c r="Q56" s="64" t="e">
        <f>FIND("target:",N56)+7</f>
        <v>#VALUE!</v>
      </c>
      <c r="R56" s="64" t="e">
        <f>FIND(",",N56,P56+1)</f>
        <v>#VALUE!</v>
      </c>
      <c r="S56" s="64" t="str">
        <f>IFERROR(VLOOKUP(MID(N56,Q56,R56-Q56),[5]skilldef!$C:$D,2,FALSE),"-") &amp; " / " &amp; IFERROR(VLOOKUP(MID(N56,O56,P56-O56),[5]skilldef!$A:$B,2,FALSE),"-")</f>
        <v>- / -</v>
      </c>
      <c r="T56" s="48" t="str">
        <f>IFERROR(RIGHT(M56,LEN(M56)-FIND("],",M56)-1),"none")</f>
        <v>none</v>
      </c>
      <c r="U56" s="64" t="e">
        <f>FIND("effect:",T56)+7</f>
        <v>#VALUE!</v>
      </c>
      <c r="V56" s="64">
        <f>IFERROR(FIND(",",T56),LEN(T56))</f>
        <v>4</v>
      </c>
      <c r="W56" s="64" t="e">
        <f>FIND("target:",T56)+7</f>
        <v>#VALUE!</v>
      </c>
      <c r="X56" s="64" t="e">
        <f>FIND(",",T56,V56+1)</f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126">
        <v>40022056</v>
      </c>
      <c r="B57" s="47" t="s">
        <v>337</v>
      </c>
      <c r="C57" s="50">
        <v>3</v>
      </c>
      <c r="D57" s="50" t="s">
        <v>128</v>
      </c>
      <c r="E57" s="51" t="s">
        <v>291</v>
      </c>
      <c r="F57" s="51" t="s">
        <v>368</v>
      </c>
      <c r="G57" s="64" t="str">
        <f t="shared" si="194"/>
        <v>[effect:fix_speed, target:myself, turn:2]</v>
      </c>
      <c r="H57" s="64">
        <f t="shared" si="195"/>
        <v>9</v>
      </c>
      <c r="I57" s="64">
        <f t="shared" si="196"/>
        <v>18</v>
      </c>
      <c r="J57" s="64">
        <f t="shared" si="197"/>
        <v>27</v>
      </c>
      <c r="K57" s="64">
        <f t="shared" si="198"/>
        <v>33</v>
      </c>
      <c r="L57" s="64" t="str">
        <f>IFERROR(VLOOKUP(MID(G57,J57,K57-J57),[5]skilldef!$C:$D,2,FALSE),"-") &amp; " / " &amp; IFERROR(VLOOKUP(MID(G57,H57,I57-H57),[5]skilldef!$A:$B,2,FALSE),"-")</f>
        <v>自分自身に / 行動値設定</v>
      </c>
      <c r="M57" s="64" t="str">
        <f t="shared" si="199"/>
        <v>[effect:fix_speed, target:enemy_animal, turn:2]</v>
      </c>
      <c r="N57" s="48" t="str">
        <f t="shared" ref="N57" si="254">IFERROR(LEFT(M57,FIND("],",M57)+S72),M57)</f>
        <v>[effect:fix_speed, target:enemy_animal, turn:2]</v>
      </c>
      <c r="O57" s="64">
        <f t="shared" si="200"/>
        <v>9</v>
      </c>
      <c r="P57" s="64">
        <f t="shared" si="201"/>
        <v>18</v>
      </c>
      <c r="Q57" s="64">
        <f t="shared" si="202"/>
        <v>27</v>
      </c>
      <c r="R57" s="64">
        <f t="shared" si="203"/>
        <v>39</v>
      </c>
      <c r="S57" s="64" t="str">
        <f>IFERROR(VLOOKUP(MID(N57,Q57,R57-Q57),[5]skilldef!$C:$D,2,FALSE),"-") &amp; " / " &amp; IFERROR(VLOOKUP(MID(N57,O57,P57-O57),[5]skilldef!$A:$B,2,FALSE),"-")</f>
        <v>- / 行動値設定</v>
      </c>
      <c r="T57" s="48" t="str">
        <f t="shared" si="204"/>
        <v>none</v>
      </c>
      <c r="U57" s="64" t="e">
        <f t="shared" si="205"/>
        <v>#VALUE!</v>
      </c>
      <c r="V57" s="64">
        <f t="shared" si="206"/>
        <v>4</v>
      </c>
      <c r="W57" s="64" t="e">
        <f t="shared" si="207"/>
        <v>#VALUE!</v>
      </c>
      <c r="X57" s="64" t="e">
        <f t="shared" si="208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126">
        <v>40022057</v>
      </c>
      <c r="B58" s="47" t="s">
        <v>338</v>
      </c>
      <c r="C58" s="50">
        <v>3</v>
      </c>
      <c r="D58" s="50" t="s">
        <v>128</v>
      </c>
      <c r="E58" s="51" t="s">
        <v>290</v>
      </c>
      <c r="F58" s="51" t="s">
        <v>345</v>
      </c>
      <c r="G58" s="64" t="str">
        <f t="shared" si="194"/>
        <v>[effect:enhance_enemy, target:enemy_animal, turn:-1, status:attack, val:0.3, calc:mul, animation:enemy_enhance_attack]</v>
      </c>
      <c r="H58" s="64">
        <f t="shared" si="195"/>
        <v>9</v>
      </c>
      <c r="I58" s="64">
        <f t="shared" si="196"/>
        <v>22</v>
      </c>
      <c r="J58" s="64">
        <f t="shared" si="197"/>
        <v>31</v>
      </c>
      <c r="K58" s="64">
        <f t="shared" si="198"/>
        <v>43</v>
      </c>
      <c r="L58" s="64" t="str">
        <f>IFERROR(VLOOKUP(MID(G58,J58,K58-J58),[5]skilldef!$C:$D,2,FALSE),"-") &amp; " / " &amp; IFERROR(VLOOKUP(MID(G58,H58,I58-H58),[5]skilldef!$A:$B,2,FALSE),"-")</f>
        <v>- / ステータス強化</v>
      </c>
      <c r="M58" s="64" t="str">
        <f t="shared" si="199"/>
        <v>[effect:enemy_message, val1:2]</v>
      </c>
      <c r="N58" s="48" t="str">
        <f>IFERROR(LEFT(M58,FIND("],",M58)+#REF!),M58)</f>
        <v>[effect:enemy_message, val1:2]</v>
      </c>
      <c r="O58" s="64">
        <f t="shared" si="200"/>
        <v>9</v>
      </c>
      <c r="P58" s="64">
        <f t="shared" si="201"/>
        <v>22</v>
      </c>
      <c r="Q58" s="64" t="e">
        <f t="shared" si="202"/>
        <v>#VALUE!</v>
      </c>
      <c r="R58" s="64" t="e">
        <f t="shared" si="203"/>
        <v>#VALUE!</v>
      </c>
      <c r="S58" s="64" t="str">
        <f>IFERROR(VLOOKUP(MID(N58,Q58,R58-Q58),[5]skilldef!$C:$D,2,FALSE),"-") &amp; " / " &amp; IFERROR(VLOOKUP(MID(N58,O58,P58-O58),[5]skilldef!$A:$B,2,FALSE),"-")</f>
        <v>- / -</v>
      </c>
      <c r="T58" s="48" t="str">
        <f t="shared" si="204"/>
        <v>none</v>
      </c>
      <c r="U58" s="64" t="e">
        <f t="shared" si="205"/>
        <v>#VALUE!</v>
      </c>
      <c r="V58" s="64">
        <f t="shared" si="206"/>
        <v>4</v>
      </c>
      <c r="W58" s="64" t="e">
        <f t="shared" si="207"/>
        <v>#VALUE!</v>
      </c>
      <c r="X58" s="64" t="e">
        <f t="shared" si="208"/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126">
        <v>40022058</v>
      </c>
      <c r="B59" s="47" t="s">
        <v>339</v>
      </c>
      <c r="C59" s="50">
        <v>3</v>
      </c>
      <c r="D59" s="50" t="s">
        <v>128</v>
      </c>
      <c r="E59" s="51" t="s">
        <v>253</v>
      </c>
      <c r="F59" s="51" t="s">
        <v>346</v>
      </c>
      <c r="G59" s="64" t="str">
        <f t="shared" si="194"/>
        <v>[effect:enhance_enemy, target:enemy_animal, turn:-1, status:defense, val:3000, calc:add, animation:enemy_enhance_defense]</v>
      </c>
      <c r="H59" s="64">
        <f t="shared" si="195"/>
        <v>9</v>
      </c>
      <c r="I59" s="64">
        <f t="shared" si="196"/>
        <v>22</v>
      </c>
      <c r="J59" s="64">
        <f t="shared" si="197"/>
        <v>31</v>
      </c>
      <c r="K59" s="64">
        <f t="shared" si="198"/>
        <v>43</v>
      </c>
      <c r="L59" s="64" t="str">
        <f>IFERROR(VLOOKUP(MID(G59,J59,K59-J59),[5]skilldef!$C:$D,2,FALSE),"-") &amp; " / " &amp; IFERROR(VLOOKUP(MID(G59,H59,I59-H59),[5]skilldef!$A:$B,2,FALSE),"-")</f>
        <v>- / ステータス強化</v>
      </c>
      <c r="M59" s="64" t="str">
        <f t="shared" si="199"/>
        <v>none</v>
      </c>
      <c r="N59" s="48" t="str">
        <f>IFERROR(LEFT(M59,FIND("],",M59)+#REF!),M59)</f>
        <v>none</v>
      </c>
      <c r="O59" s="64" t="e">
        <f t="shared" si="200"/>
        <v>#VALUE!</v>
      </c>
      <c r="P59" s="64">
        <f t="shared" si="201"/>
        <v>4</v>
      </c>
      <c r="Q59" s="64" t="e">
        <f t="shared" si="202"/>
        <v>#VALUE!</v>
      </c>
      <c r="R59" s="64" t="e">
        <f t="shared" si="203"/>
        <v>#VALUE!</v>
      </c>
      <c r="S59" s="64" t="str">
        <f>IFERROR(VLOOKUP(MID(N59,Q59,R59-Q59),[5]skilldef!$C:$D,2,FALSE),"-") &amp; " / " &amp; IFERROR(VLOOKUP(MID(N59,O59,P59-O59),[5]skilldef!$A:$B,2,FALSE),"-")</f>
        <v>- / -</v>
      </c>
      <c r="T59" s="48" t="str">
        <f t="shared" si="204"/>
        <v>none</v>
      </c>
      <c r="U59" s="64" t="e">
        <f t="shared" si="205"/>
        <v>#VALUE!</v>
      </c>
      <c r="V59" s="64">
        <f t="shared" si="206"/>
        <v>4</v>
      </c>
      <c r="W59" s="64" t="e">
        <f t="shared" si="207"/>
        <v>#VALUE!</v>
      </c>
      <c r="X59" s="64" t="e">
        <f t="shared" si="208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126">
        <v>40022059</v>
      </c>
      <c r="B60" s="47" t="s">
        <v>340</v>
      </c>
      <c r="C60" s="50">
        <v>3</v>
      </c>
      <c r="D60" s="50" t="s">
        <v>128</v>
      </c>
      <c r="E60" s="51" t="s">
        <v>296</v>
      </c>
      <c r="F60" s="51" t="s">
        <v>261</v>
      </c>
      <c r="G60" s="64" t="str">
        <f t="shared" si="194"/>
        <v>[effect:virus, turn:2, target:unit_all, rate:1.0, val:0.2, animation:enemy_virus]</v>
      </c>
      <c r="H60" s="64">
        <f t="shared" si="195"/>
        <v>9</v>
      </c>
      <c r="I60" s="64">
        <f t="shared" si="196"/>
        <v>14</v>
      </c>
      <c r="J60" s="64">
        <f t="shared" si="197"/>
        <v>31</v>
      </c>
      <c r="K60" s="64">
        <f t="shared" si="198"/>
        <v>22</v>
      </c>
      <c r="L60" s="64" t="str">
        <f>IFERROR(VLOOKUP(MID(G60,J60,K60-J60),[5]skilldef!$C:$D,2,FALSE),"-") &amp; " / " &amp; IFERROR(VLOOKUP(MID(G60,H60,I60-H60),[5]skilldef!$A:$B,2,FALSE),"-")</f>
        <v>- / ウィルス</v>
      </c>
      <c r="M60" s="64" t="str">
        <f t="shared" si="199"/>
        <v>[effect:enemy_message, val1:2]</v>
      </c>
      <c r="N60" s="48" t="str">
        <f>IFERROR(LEFT(M60,FIND("],",M60)+#REF!),M60)</f>
        <v>[effect:enemy_message, val1:2]</v>
      </c>
      <c r="O60" s="64">
        <f t="shared" si="200"/>
        <v>9</v>
      </c>
      <c r="P60" s="64">
        <f t="shared" si="201"/>
        <v>22</v>
      </c>
      <c r="Q60" s="64" t="e">
        <f t="shared" si="202"/>
        <v>#VALUE!</v>
      </c>
      <c r="R60" s="64" t="e">
        <f t="shared" si="203"/>
        <v>#VALUE!</v>
      </c>
      <c r="S60" s="64" t="str">
        <f>IFERROR(VLOOKUP(MID(N60,Q60,R60-Q60),[5]skilldef!$C:$D,2,FALSE),"-") &amp; " / " &amp; IFERROR(VLOOKUP(MID(N60,O60,P60-O60),[5]skilldef!$A:$B,2,FALSE),"-")</f>
        <v>- / -</v>
      </c>
      <c r="T60" s="48" t="str">
        <f t="shared" si="204"/>
        <v>none</v>
      </c>
      <c r="U60" s="64" t="e">
        <f t="shared" si="205"/>
        <v>#VALUE!</v>
      </c>
      <c r="V60" s="64">
        <f t="shared" si="206"/>
        <v>4</v>
      </c>
      <c r="W60" s="64" t="e">
        <f t="shared" si="207"/>
        <v>#VALUE!</v>
      </c>
      <c r="X60" s="64" t="e">
        <f t="shared" si="208"/>
        <v>#VALUE!</v>
      </c>
      <c r="Y60" s="64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 x14ac:dyDescent="0.15">
      <c r="A61" s="126">
        <v>40022060</v>
      </c>
      <c r="B61" s="47" t="s">
        <v>388</v>
      </c>
      <c r="C61" s="50">
        <v>3</v>
      </c>
      <c r="D61" s="50" t="s">
        <v>128</v>
      </c>
      <c r="E61" s="51" t="s">
        <v>317</v>
      </c>
      <c r="F61" s="51" t="s">
        <v>370</v>
      </c>
      <c r="G61" s="64" t="str">
        <f t="shared" si="194"/>
        <v>[effect:suicide, val:1, dead_type:escape, target:enemy_all]</v>
      </c>
      <c r="H61" s="64">
        <f t="shared" si="195"/>
        <v>9</v>
      </c>
      <c r="I61" s="64">
        <f t="shared" si="196"/>
        <v>16</v>
      </c>
      <c r="J61" s="64">
        <f t="shared" si="197"/>
        <v>50</v>
      </c>
      <c r="K61" s="64">
        <f t="shared" si="198"/>
        <v>23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199"/>
        <v>[effect:enemy_message, val1:2, val2:3]</v>
      </c>
      <c r="N61" s="48" t="str">
        <f>IFERROR(LEFT(M61,FIND("],",M61)+#REF!),M61)</f>
        <v>[effect:enemy_message, val1:2, val2:3]</v>
      </c>
      <c r="O61" s="64">
        <f t="shared" si="200"/>
        <v>9</v>
      </c>
      <c r="P61" s="64">
        <f t="shared" si="201"/>
        <v>22</v>
      </c>
      <c r="Q61" s="64" t="e">
        <f t="shared" si="202"/>
        <v>#VALUE!</v>
      </c>
      <c r="R61" s="64">
        <f t="shared" si="203"/>
        <v>30</v>
      </c>
      <c r="S61" s="64" t="str">
        <f>IFERROR(VLOOKUP(MID(N61,Q61,R61-Q61),[5]skilldef!$C:$D,2,FALSE),"-") &amp; " / " &amp; IFERROR(VLOOKUP(MID(N61,O61,P61-O61),[5]skilldef!$A:$B,2,FALSE),"-")</f>
        <v>- / -</v>
      </c>
      <c r="T61" s="48" t="str">
        <f t="shared" si="204"/>
        <v>none</v>
      </c>
      <c r="U61" s="64" t="e">
        <f t="shared" si="205"/>
        <v>#VALUE!</v>
      </c>
      <c r="V61" s="64">
        <f t="shared" si="206"/>
        <v>4</v>
      </c>
      <c r="W61" s="64" t="e">
        <f t="shared" si="207"/>
        <v>#VALUE!</v>
      </c>
      <c r="X61" s="64" t="e">
        <f t="shared" si="208"/>
        <v>#VALUE!</v>
      </c>
      <c r="Y61" s="64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21" customHeight="1" x14ac:dyDescent="0.15">
      <c r="A62" s="126">
        <v>40022061</v>
      </c>
      <c r="B62" s="47" t="s">
        <v>341</v>
      </c>
      <c r="C62" s="50">
        <v>3</v>
      </c>
      <c r="D62" s="50" t="s">
        <v>128</v>
      </c>
      <c r="E62" s="51" t="s">
        <v>254</v>
      </c>
      <c r="F62" s="51" t="s">
        <v>273</v>
      </c>
      <c r="G62" s="64" t="str">
        <f t="shared" si="194"/>
        <v>[effect:critical, val:1.5, animation:enemy_critical]</v>
      </c>
      <c r="H62" s="64">
        <f t="shared" si="195"/>
        <v>9</v>
      </c>
      <c r="I62" s="64">
        <f t="shared" si="196"/>
        <v>17</v>
      </c>
      <c r="J62" s="64" t="e">
        <f t="shared" si="197"/>
        <v>#VALUE!</v>
      </c>
      <c r="K62" s="64">
        <f t="shared" si="198"/>
        <v>26</v>
      </c>
      <c r="L62" s="64" t="str">
        <f>IFERROR(VLOOKUP(MID(G62,J62,K62-J62),[5]skilldef!$C:$D,2,FALSE),"-") &amp; " / " &amp; IFERROR(VLOOKUP(MID(G62,H62,I62-H62),[5]skilldef!$A:$B,2,FALSE),"-")</f>
        <v>- / 大攻撃</v>
      </c>
      <c r="M62" s="64" t="str">
        <f t="shared" si="199"/>
        <v>none</v>
      </c>
      <c r="N62" s="48" t="str">
        <f>IFERROR(LEFT(M62,FIND("],",M62)+#REF!),M62)</f>
        <v>none</v>
      </c>
      <c r="O62" s="64" t="e">
        <f t="shared" si="200"/>
        <v>#VALUE!</v>
      </c>
      <c r="P62" s="64">
        <f t="shared" si="201"/>
        <v>4</v>
      </c>
      <c r="Q62" s="64" t="e">
        <f t="shared" si="202"/>
        <v>#VALUE!</v>
      </c>
      <c r="R62" s="64" t="e">
        <f t="shared" si="203"/>
        <v>#VALUE!</v>
      </c>
      <c r="S62" s="64" t="str">
        <f>IFERROR(VLOOKUP(MID(N62,Q62,R62-Q62),[5]skilldef!$C:$D,2,FALSE),"-") &amp; " / " &amp; IFERROR(VLOOKUP(MID(N62,O62,P62-O62),[5]skilldef!$A:$B,2,FALSE),"-")</f>
        <v>- / -</v>
      </c>
      <c r="T62" s="48" t="str">
        <f t="shared" si="204"/>
        <v>none</v>
      </c>
      <c r="U62" s="64" t="e">
        <f t="shared" si="205"/>
        <v>#VALUE!</v>
      </c>
      <c r="V62" s="64">
        <f t="shared" si="206"/>
        <v>4</v>
      </c>
      <c r="W62" s="64" t="e">
        <f t="shared" si="207"/>
        <v>#VALUE!</v>
      </c>
      <c r="X62" s="64" t="e">
        <f t="shared" si="208"/>
        <v>#VALUE!</v>
      </c>
      <c r="Y62" s="64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1" customHeight="1" x14ac:dyDescent="0.15">
      <c r="A63" s="126">
        <v>40022062</v>
      </c>
      <c r="B63" s="47" t="s">
        <v>255</v>
      </c>
      <c r="C63" s="50">
        <v>3</v>
      </c>
      <c r="D63" s="50" t="s">
        <v>128</v>
      </c>
      <c r="E63" s="51" t="s">
        <v>336</v>
      </c>
      <c r="F63" s="51" t="s">
        <v>256</v>
      </c>
      <c r="G63" s="64" t="str">
        <f t="shared" si="194"/>
        <v>[effect:fix_speed, target:myself, turn:1]</v>
      </c>
      <c r="H63" s="64">
        <f t="shared" si="195"/>
        <v>9</v>
      </c>
      <c r="I63" s="64">
        <f t="shared" si="196"/>
        <v>18</v>
      </c>
      <c r="J63" s="64">
        <f t="shared" si="197"/>
        <v>27</v>
      </c>
      <c r="K63" s="64">
        <f t="shared" si="198"/>
        <v>33</v>
      </c>
      <c r="L63" s="64" t="str">
        <f>IFERROR(VLOOKUP(MID(G63,J63,K63-J63),[5]skilldef!$C:$D,2,FALSE),"-") &amp; " / " &amp; IFERROR(VLOOKUP(MID(G63,H63,I63-H63),[5]skilldef!$A:$B,2,FALSE),"-")</f>
        <v>自分自身に / 行動値設定</v>
      </c>
      <c r="M63" s="64" t="str">
        <f t="shared" si="199"/>
        <v>none</v>
      </c>
      <c r="N63" s="48" t="str">
        <f>IFERROR(LEFT(M63,FIND("],",M63)+#REF!),M63)</f>
        <v>none</v>
      </c>
      <c r="O63" s="64" t="e">
        <f t="shared" si="200"/>
        <v>#VALUE!</v>
      </c>
      <c r="P63" s="64">
        <f t="shared" si="201"/>
        <v>4</v>
      </c>
      <c r="Q63" s="64" t="e">
        <f t="shared" si="202"/>
        <v>#VALUE!</v>
      </c>
      <c r="R63" s="64" t="e">
        <f t="shared" si="203"/>
        <v>#VALUE!</v>
      </c>
      <c r="S63" s="64" t="str">
        <f>IFERROR(VLOOKUP(MID(N63,Q63,R63-Q63),[5]skilldef!$C:$D,2,FALSE),"-") &amp; " / " &amp; IFERROR(VLOOKUP(MID(N63,O63,P63-O63),[5]skilldef!$A:$B,2,FALSE),"-")</f>
        <v>- / -</v>
      </c>
      <c r="T63" s="48" t="str">
        <f t="shared" si="204"/>
        <v>none</v>
      </c>
      <c r="U63" s="64" t="e">
        <f t="shared" si="205"/>
        <v>#VALUE!</v>
      </c>
      <c r="V63" s="64">
        <f t="shared" si="206"/>
        <v>4</v>
      </c>
      <c r="W63" s="64" t="e">
        <f t="shared" si="207"/>
        <v>#VALUE!</v>
      </c>
      <c r="X63" s="64" t="e">
        <f t="shared" si="208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21" customHeight="1" x14ac:dyDescent="0.15">
      <c r="A64" s="126">
        <v>40022063</v>
      </c>
      <c r="B64" s="47" t="s">
        <v>262</v>
      </c>
      <c r="C64" s="50">
        <v>3</v>
      </c>
      <c r="D64" s="50" t="s">
        <v>128</v>
      </c>
      <c r="E64" s="51" t="s">
        <v>295</v>
      </c>
      <c r="F64" s="51" t="s">
        <v>263</v>
      </c>
      <c r="G64" s="64" t="str">
        <f t="shared" si="194"/>
        <v>[effect:spread, val:0.25]</v>
      </c>
      <c r="H64" s="64">
        <f t="shared" si="195"/>
        <v>9</v>
      </c>
      <c r="I64" s="64">
        <f t="shared" si="196"/>
        <v>15</v>
      </c>
      <c r="J64" s="64" t="e">
        <f t="shared" si="197"/>
        <v>#VALUE!</v>
      </c>
      <c r="K64" s="64" t="e">
        <f t="shared" si="198"/>
        <v>#VALUE!</v>
      </c>
      <c r="L64" s="64" t="str">
        <f>IFERROR(VLOOKUP(MID(G64,J64,K64-J64),[5]skilldef!$C:$D,2,FALSE),"-") &amp; " / " &amp; IFERROR(VLOOKUP(MID(G64,H64,I64-H64),[5]skilldef!$A:$B,2,FALSE),"-")</f>
        <v>- / 全体攻撃</v>
      </c>
      <c r="M64" s="64" t="str">
        <f t="shared" si="199"/>
        <v>none</v>
      </c>
      <c r="N64" s="48" t="str">
        <f>IFERROR(LEFT(M64,FIND("],",M64)+#REF!),M64)</f>
        <v>none</v>
      </c>
      <c r="O64" s="64" t="e">
        <f t="shared" si="200"/>
        <v>#VALUE!</v>
      </c>
      <c r="P64" s="64">
        <f t="shared" si="201"/>
        <v>4</v>
      </c>
      <c r="Q64" s="64" t="e">
        <f t="shared" si="202"/>
        <v>#VALUE!</v>
      </c>
      <c r="R64" s="64" t="e">
        <f t="shared" si="203"/>
        <v>#VALUE!</v>
      </c>
      <c r="S64" s="64" t="str">
        <f>IFERROR(VLOOKUP(MID(N64,Q64,R64-Q64),[5]skilldef!$C:$D,2,FALSE),"-") &amp; " / " &amp; IFERROR(VLOOKUP(MID(N64,O64,P64-O64),[5]skilldef!$A:$B,2,FALSE),"-")</f>
        <v>- / -</v>
      </c>
      <c r="T64" s="48" t="str">
        <f t="shared" si="204"/>
        <v>none</v>
      </c>
      <c r="U64" s="64" t="e">
        <f t="shared" si="205"/>
        <v>#VALUE!</v>
      </c>
      <c r="V64" s="64">
        <f t="shared" si="206"/>
        <v>4</v>
      </c>
      <c r="W64" s="64" t="e">
        <f t="shared" si="207"/>
        <v>#VALUE!</v>
      </c>
      <c r="X64" s="64" t="e">
        <f t="shared" si="208"/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21" customHeight="1" x14ac:dyDescent="0.15">
      <c r="A65" s="126">
        <v>40022064</v>
      </c>
      <c r="B65" s="47" t="s">
        <v>299</v>
      </c>
      <c r="C65" s="50">
        <v>3</v>
      </c>
      <c r="D65" s="50" t="s">
        <v>128</v>
      </c>
      <c r="E65" s="51" t="s">
        <v>294</v>
      </c>
      <c r="F65" s="51" t="s">
        <v>263</v>
      </c>
      <c r="G65" s="64" t="str">
        <f t="shared" si="194"/>
        <v>[effect:spread, val:0.38]</v>
      </c>
      <c r="H65" s="64">
        <f t="shared" si="195"/>
        <v>9</v>
      </c>
      <c r="I65" s="64">
        <f t="shared" si="196"/>
        <v>15</v>
      </c>
      <c r="J65" s="64" t="e">
        <f t="shared" si="197"/>
        <v>#VALUE!</v>
      </c>
      <c r="K65" s="64" t="e">
        <f t="shared" si="198"/>
        <v>#VALUE!</v>
      </c>
      <c r="L65" s="64" t="str">
        <f>IFERROR(VLOOKUP(MID(G65,J65,K65-J65),[5]skilldef!$C:$D,2,FALSE),"-") &amp; " / " &amp; IFERROR(VLOOKUP(MID(G65,H65,I65-H65),[5]skilldef!$A:$B,2,FALSE),"-")</f>
        <v>- / 全体攻撃</v>
      </c>
      <c r="M65" s="64" t="str">
        <f t="shared" si="199"/>
        <v>none</v>
      </c>
      <c r="N65" s="48" t="str">
        <f>IFERROR(LEFT(M65,FIND("],",M65)+#REF!),M65)</f>
        <v>none</v>
      </c>
      <c r="O65" s="64" t="e">
        <f t="shared" si="200"/>
        <v>#VALUE!</v>
      </c>
      <c r="P65" s="64">
        <f t="shared" si="201"/>
        <v>4</v>
      </c>
      <c r="Q65" s="64" t="e">
        <f t="shared" si="202"/>
        <v>#VALUE!</v>
      </c>
      <c r="R65" s="64" t="e">
        <f t="shared" si="203"/>
        <v>#VALUE!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si="204"/>
        <v>none</v>
      </c>
      <c r="U65" s="64" t="e">
        <f t="shared" si="205"/>
        <v>#VALUE!</v>
      </c>
      <c r="V65" s="64">
        <f t="shared" si="206"/>
        <v>4</v>
      </c>
      <c r="W65" s="64" t="e">
        <f t="shared" si="207"/>
        <v>#VALUE!</v>
      </c>
      <c r="X65" s="64" t="e">
        <f t="shared" si="208"/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21" customHeight="1" x14ac:dyDescent="0.15">
      <c r="A66" s="126">
        <v>40022065</v>
      </c>
      <c r="B66" s="47" t="s">
        <v>300</v>
      </c>
      <c r="C66" s="50">
        <v>3</v>
      </c>
      <c r="D66" s="50" t="s">
        <v>128</v>
      </c>
      <c r="E66" s="51" t="s">
        <v>265</v>
      </c>
      <c r="F66" s="51" t="s">
        <v>263</v>
      </c>
      <c r="G66" s="64" t="str">
        <f t="shared" si="194"/>
        <v>[effect:spread, val:0.43]</v>
      </c>
      <c r="H66" s="64">
        <f t="shared" si="195"/>
        <v>9</v>
      </c>
      <c r="I66" s="64">
        <f t="shared" si="196"/>
        <v>15</v>
      </c>
      <c r="J66" s="64" t="e">
        <f t="shared" si="197"/>
        <v>#VALUE!</v>
      </c>
      <c r="K66" s="64" t="e">
        <f t="shared" si="198"/>
        <v>#VALUE!</v>
      </c>
      <c r="L66" s="64" t="str">
        <f>IFERROR(VLOOKUP(MID(G66,J66,K66-J66),[5]skilldef!$C:$D,2,FALSE),"-") &amp; " / " &amp; IFERROR(VLOOKUP(MID(G66,H66,I66-H66),[5]skilldef!$A:$B,2,FALSE),"-")</f>
        <v>- / 全体攻撃</v>
      </c>
      <c r="M66" s="64" t="str">
        <f t="shared" si="199"/>
        <v>none</v>
      </c>
      <c r="N66" s="48" t="str">
        <f>IFERROR(LEFT(M66,FIND("],",M66)+#REF!),M66)</f>
        <v>none</v>
      </c>
      <c r="O66" s="64" t="e">
        <f t="shared" si="200"/>
        <v>#VALUE!</v>
      </c>
      <c r="P66" s="64">
        <f t="shared" si="201"/>
        <v>4</v>
      </c>
      <c r="Q66" s="64" t="e">
        <f t="shared" si="202"/>
        <v>#VALUE!</v>
      </c>
      <c r="R66" s="64" t="e">
        <f t="shared" si="203"/>
        <v>#VALUE!</v>
      </c>
      <c r="S66" s="64" t="str">
        <f>IFERROR(VLOOKUP(MID(N66,Q66,R66-Q66),[5]skilldef!$C:$D,2,FALSE),"-") &amp; " / " &amp; IFERROR(VLOOKUP(MID(N66,O66,P66-O66),[5]skilldef!$A:$B,2,FALSE),"-")</f>
        <v>- / -</v>
      </c>
      <c r="T66" s="48" t="str">
        <f t="shared" si="204"/>
        <v>none</v>
      </c>
      <c r="U66" s="64" t="e">
        <f t="shared" si="205"/>
        <v>#VALUE!</v>
      </c>
      <c r="V66" s="64">
        <f t="shared" si="206"/>
        <v>4</v>
      </c>
      <c r="W66" s="64" t="e">
        <f t="shared" si="207"/>
        <v>#VALUE!</v>
      </c>
      <c r="X66" s="64" t="e">
        <f t="shared" si="208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21" customHeight="1" x14ac:dyDescent="0.15">
      <c r="A67" s="126">
        <v>40022066</v>
      </c>
      <c r="B67" s="47" t="s">
        <v>301</v>
      </c>
      <c r="C67" s="50">
        <v>3</v>
      </c>
      <c r="D67" s="50" t="s">
        <v>128</v>
      </c>
      <c r="E67" s="51" t="s">
        <v>332</v>
      </c>
      <c r="F67" s="51" t="s">
        <v>263</v>
      </c>
      <c r="G67" s="64" t="str">
        <f t="shared" si="194"/>
        <v>[effect:spread, val:0.48]</v>
      </c>
      <c r="H67" s="64">
        <f t="shared" si="195"/>
        <v>9</v>
      </c>
      <c r="I67" s="64">
        <f t="shared" si="196"/>
        <v>15</v>
      </c>
      <c r="J67" s="64" t="e">
        <f t="shared" si="197"/>
        <v>#VALUE!</v>
      </c>
      <c r="K67" s="64" t="e">
        <f t="shared" si="198"/>
        <v>#VALUE!</v>
      </c>
      <c r="L67" s="64" t="str">
        <f>IFERROR(VLOOKUP(MID(G67,J67,K67-J67),[5]skilldef!$C:$D,2,FALSE),"-") &amp; " / " &amp; IFERROR(VLOOKUP(MID(G67,H67,I67-H67),[5]skilldef!$A:$B,2,FALSE),"-")</f>
        <v>- / 全体攻撃</v>
      </c>
      <c r="M67" s="64" t="str">
        <f t="shared" si="199"/>
        <v>none</v>
      </c>
      <c r="N67" s="48" t="str">
        <f>IFERROR(LEFT(M67,FIND("],",M67)+S73),M67)</f>
        <v>none</v>
      </c>
      <c r="O67" s="64" t="e">
        <f t="shared" si="200"/>
        <v>#VALUE!</v>
      </c>
      <c r="P67" s="64">
        <f t="shared" si="201"/>
        <v>4</v>
      </c>
      <c r="Q67" s="64" t="e">
        <f t="shared" si="202"/>
        <v>#VALUE!</v>
      </c>
      <c r="R67" s="64" t="e">
        <f t="shared" si="203"/>
        <v>#VALUE!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si="204"/>
        <v>none</v>
      </c>
      <c r="U67" s="64" t="e">
        <f t="shared" si="205"/>
        <v>#VALUE!</v>
      </c>
      <c r="V67" s="64">
        <f t="shared" si="206"/>
        <v>4</v>
      </c>
      <c r="W67" s="64" t="e">
        <f t="shared" si="207"/>
        <v>#VALUE!</v>
      </c>
      <c r="X67" s="64" t="e">
        <f t="shared" si="208"/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1" customHeight="1" x14ac:dyDescent="0.15">
      <c r="A68" s="126">
        <v>40022067</v>
      </c>
      <c r="B68" s="47" t="s">
        <v>302</v>
      </c>
      <c r="C68" s="50">
        <v>3</v>
      </c>
      <c r="D68" s="50" t="s">
        <v>128</v>
      </c>
      <c r="E68" s="51" t="s">
        <v>288</v>
      </c>
      <c r="F68" s="51" t="s">
        <v>263</v>
      </c>
      <c r="G68" s="64" t="str">
        <f t="shared" si="194"/>
        <v>[effect:spread, val:0.53]</v>
      </c>
      <c r="H68" s="64">
        <f t="shared" si="195"/>
        <v>9</v>
      </c>
      <c r="I68" s="64">
        <f t="shared" si="196"/>
        <v>15</v>
      </c>
      <c r="J68" s="64" t="e">
        <f t="shared" si="197"/>
        <v>#VALUE!</v>
      </c>
      <c r="K68" s="64" t="e">
        <f t="shared" si="198"/>
        <v>#VALUE!</v>
      </c>
      <c r="L68" s="64" t="str">
        <f>IFERROR(VLOOKUP(MID(G68,J68,K68-J68),[5]skilldef!$C:$D,2,FALSE),"-") &amp; " / " &amp; IFERROR(VLOOKUP(MID(G68,H68,I68-H68),[5]skilldef!$A:$B,2,FALSE),"-")</f>
        <v>- / 全体攻撃</v>
      </c>
      <c r="M68" s="64" t="str">
        <f t="shared" si="199"/>
        <v>none</v>
      </c>
      <c r="N68" s="48" t="str">
        <f>IFERROR(LEFT(M68,FIND("],",M68)+S78),M68)</f>
        <v>none</v>
      </c>
      <c r="O68" s="64" t="e">
        <f t="shared" si="200"/>
        <v>#VALUE!</v>
      </c>
      <c r="P68" s="64">
        <f t="shared" si="201"/>
        <v>4</v>
      </c>
      <c r="Q68" s="64" t="e">
        <f t="shared" si="202"/>
        <v>#VALUE!</v>
      </c>
      <c r="R68" s="64" t="e">
        <f t="shared" si="203"/>
        <v>#VALUE!</v>
      </c>
      <c r="S68" s="64" t="str">
        <f>IFERROR(VLOOKUP(MID(N68,Q68,R68-Q68),[5]skilldef!$C:$D,2,FALSE),"-") &amp; " / " &amp; IFERROR(VLOOKUP(MID(N68,O68,P68-O68),[5]skilldef!$A:$B,2,FALSE),"-")</f>
        <v>- / -</v>
      </c>
      <c r="T68" s="48" t="str">
        <f t="shared" si="204"/>
        <v>none</v>
      </c>
      <c r="U68" s="64" t="e">
        <f t="shared" si="205"/>
        <v>#VALUE!</v>
      </c>
      <c r="V68" s="64">
        <f t="shared" si="206"/>
        <v>4</v>
      </c>
      <c r="W68" s="64" t="e">
        <f t="shared" si="207"/>
        <v>#VALUE!</v>
      </c>
      <c r="X68" s="64" t="e">
        <f t="shared" si="208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21" customHeight="1" x14ac:dyDescent="0.15">
      <c r="A69" s="126">
        <v>40022068</v>
      </c>
      <c r="B69" s="47" t="s">
        <v>298</v>
      </c>
      <c r="C69" s="50">
        <v>3</v>
      </c>
      <c r="D69" s="50" t="s">
        <v>128</v>
      </c>
      <c r="E69" s="51" t="s">
        <v>264</v>
      </c>
      <c r="F69" s="51" t="s">
        <v>263</v>
      </c>
      <c r="G69" s="64" t="str">
        <f t="shared" si="194"/>
        <v>[effect:spread, val:0.58]</v>
      </c>
      <c r="H69" s="64">
        <f t="shared" si="195"/>
        <v>9</v>
      </c>
      <c r="I69" s="64">
        <f t="shared" si="196"/>
        <v>15</v>
      </c>
      <c r="J69" s="64" t="e">
        <f t="shared" si="197"/>
        <v>#VALUE!</v>
      </c>
      <c r="K69" s="64" t="e">
        <f t="shared" si="198"/>
        <v>#VALUE!</v>
      </c>
      <c r="L69" s="64" t="str">
        <f>IFERROR(VLOOKUP(MID(G69,J69,K69-J69),[5]skilldef!$C:$D,2,FALSE),"-") &amp; " / " &amp; IFERROR(VLOOKUP(MID(G69,H69,I69-H69),[5]skilldef!$A:$B,2,FALSE),"-")</f>
        <v>- / 全体攻撃</v>
      </c>
      <c r="M69" s="64" t="str">
        <f t="shared" si="199"/>
        <v>none</v>
      </c>
      <c r="N69" s="48" t="str">
        <f>IFERROR(LEFT(M69,FIND("],",M69)+S77),M69)</f>
        <v>none</v>
      </c>
      <c r="O69" s="64" t="e">
        <f t="shared" si="200"/>
        <v>#VALUE!</v>
      </c>
      <c r="P69" s="64">
        <f t="shared" si="201"/>
        <v>4</v>
      </c>
      <c r="Q69" s="64" t="e">
        <f t="shared" si="202"/>
        <v>#VALUE!</v>
      </c>
      <c r="R69" s="64" t="e">
        <f t="shared" si="203"/>
        <v>#VALUE!</v>
      </c>
      <c r="S69" s="64" t="str">
        <f>IFERROR(VLOOKUP(MID(N69,Q69,R69-Q69),[5]skilldef!$C:$D,2,FALSE),"-") &amp; " / " &amp; IFERROR(VLOOKUP(MID(N69,O69,P69-O69),[5]skilldef!$A:$B,2,FALSE),"-")</f>
        <v>- / -</v>
      </c>
      <c r="T69" s="48" t="str">
        <f t="shared" si="204"/>
        <v>none</v>
      </c>
      <c r="U69" s="64" t="e">
        <f t="shared" si="205"/>
        <v>#VALUE!</v>
      </c>
      <c r="V69" s="64">
        <f t="shared" si="206"/>
        <v>4</v>
      </c>
      <c r="W69" s="64" t="e">
        <f t="shared" si="207"/>
        <v>#VALUE!</v>
      </c>
      <c r="X69" s="64" t="e">
        <f t="shared" si="208"/>
        <v>#VALUE!</v>
      </c>
      <c r="Y69" s="64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21" customHeight="1" x14ac:dyDescent="0.15">
      <c r="A70" s="126">
        <v>40022069</v>
      </c>
      <c r="B70" s="47" t="s">
        <v>342</v>
      </c>
      <c r="C70" s="50">
        <v>3</v>
      </c>
      <c r="D70" s="50" t="s">
        <v>128</v>
      </c>
      <c r="E70" s="51" t="s">
        <v>287</v>
      </c>
      <c r="F70" s="51" t="s">
        <v>259</v>
      </c>
      <c r="G70" s="64" t="str">
        <f t="shared" si="194"/>
        <v>[effect:fix_speed, target:myself, turn:2]</v>
      </c>
      <c r="H70" s="64">
        <f t="shared" si="195"/>
        <v>9</v>
      </c>
      <c r="I70" s="64">
        <f t="shared" si="196"/>
        <v>18</v>
      </c>
      <c r="J70" s="64">
        <f t="shared" si="197"/>
        <v>27</v>
      </c>
      <c r="K70" s="64">
        <f t="shared" si="198"/>
        <v>33</v>
      </c>
      <c r="L70" s="64" t="str">
        <f>IFERROR(VLOOKUP(MID(G70,J70,K70-J70),[5]skilldef!$C:$D,2,FALSE),"-") &amp; " / " &amp; IFERROR(VLOOKUP(MID(G70,H70,I70-H70),[5]skilldef!$A:$B,2,FALSE),"-")</f>
        <v>自分自身に / 行動値設定</v>
      </c>
      <c r="M70" s="64" t="str">
        <f t="shared" si="199"/>
        <v>[effect:enhance_enemy, target:myself, turn:3, status:defense, val:3000, calc:add, animation:enemy_enhance_defense]</v>
      </c>
      <c r="N70" s="48" t="str">
        <f>IFERROR(LEFT(M70,FIND("],",M70)+#REF!),M70)</f>
        <v>[effect:enhance_enemy, target:myself, turn:3, status:defense, val:3000, calc:add, animation:enemy_enhance_defense]</v>
      </c>
      <c r="O70" s="64">
        <f t="shared" si="200"/>
        <v>9</v>
      </c>
      <c r="P70" s="64">
        <f t="shared" si="201"/>
        <v>22</v>
      </c>
      <c r="Q70" s="64">
        <f t="shared" si="202"/>
        <v>31</v>
      </c>
      <c r="R70" s="64">
        <f t="shared" si="203"/>
        <v>37</v>
      </c>
      <c r="S70" s="64" t="str">
        <f>IFERROR(VLOOKUP(MID(N70,Q70,R70-Q70),[5]skilldef!$C:$D,2,FALSE),"-") &amp; " / " &amp; IFERROR(VLOOKUP(MID(N70,O70,P70-O70),[5]skilldef!$A:$B,2,FALSE),"-")</f>
        <v>自分自身に / ステータス強化</v>
      </c>
      <c r="T70" s="48" t="str">
        <f t="shared" si="204"/>
        <v>none</v>
      </c>
      <c r="U70" s="64" t="e">
        <f t="shared" si="205"/>
        <v>#VALUE!</v>
      </c>
      <c r="V70" s="64">
        <f t="shared" si="206"/>
        <v>4</v>
      </c>
      <c r="W70" s="64" t="e">
        <f t="shared" si="207"/>
        <v>#VALUE!</v>
      </c>
      <c r="X70" s="64" t="e">
        <f t="shared" si="208"/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21" customHeight="1" x14ac:dyDescent="0.15">
      <c r="A71" s="126">
        <v>40022070</v>
      </c>
      <c r="B71" s="47" t="s">
        <v>305</v>
      </c>
      <c r="C71" s="50">
        <v>3</v>
      </c>
      <c r="D71" s="50" t="s">
        <v>128</v>
      </c>
      <c r="E71" s="51" t="s">
        <v>257</v>
      </c>
      <c r="F71" s="51" t="s">
        <v>306</v>
      </c>
      <c r="G71" s="64" t="str">
        <f t="shared" si="194"/>
        <v>[effect:heal, target:enemy_attack, val:0.1, animation:enemy_heal]</v>
      </c>
      <c r="H71" s="64">
        <f t="shared" si="195"/>
        <v>9</v>
      </c>
      <c r="I71" s="64">
        <f t="shared" si="196"/>
        <v>13</v>
      </c>
      <c r="J71" s="64">
        <f t="shared" si="197"/>
        <v>22</v>
      </c>
      <c r="K71" s="64">
        <f t="shared" si="198"/>
        <v>34</v>
      </c>
      <c r="L71" s="64" t="str">
        <f>IFERROR(VLOOKUP(MID(G71,J71,K71-J71),[5]skilldef!$C:$D,2,FALSE),"-") &amp; " / " &amp; IFERROR(VLOOKUP(MID(G71,H71,I71-H71),[5]skilldef!$A:$B,2,FALSE),"-")</f>
        <v>- / 回復</v>
      </c>
      <c r="M71" s="64" t="str">
        <f t="shared" si="199"/>
        <v>[effect:rush, count:1, val:1]</v>
      </c>
      <c r="N71" s="48" t="str">
        <f>IFERROR(LEFT(M71,FIND("],",M71)+#REF!),M71)</f>
        <v>[effect:rush, count:1, val:1]</v>
      </c>
      <c r="O71" s="64">
        <f t="shared" si="200"/>
        <v>9</v>
      </c>
      <c r="P71" s="64">
        <f t="shared" si="201"/>
        <v>13</v>
      </c>
      <c r="Q71" s="64" t="e">
        <f t="shared" si="202"/>
        <v>#VALUE!</v>
      </c>
      <c r="R71" s="64">
        <f t="shared" si="203"/>
        <v>22</v>
      </c>
      <c r="S71" s="64" t="str">
        <f>IFERROR(VLOOKUP(MID(N71,Q71,R71-Q71),[5]skilldef!$C:$D,2,FALSE),"-") &amp; " / " &amp; IFERROR(VLOOKUP(MID(N71,O71,P71-O71),[5]skilldef!$A:$B,2,FALSE),"-")</f>
        <v>- / 連続攻撃</v>
      </c>
      <c r="T71" s="48" t="str">
        <f t="shared" si="204"/>
        <v>none</v>
      </c>
      <c r="U71" s="64" t="e">
        <f t="shared" si="205"/>
        <v>#VALUE!</v>
      </c>
      <c r="V71" s="64">
        <f t="shared" si="206"/>
        <v>4</v>
      </c>
      <c r="W71" s="64" t="e">
        <f t="shared" si="207"/>
        <v>#VALUE!</v>
      </c>
      <c r="X71" s="64" t="e">
        <f t="shared" si="208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</row>
    <row r="72" spans="1:28" ht="21" customHeight="1" x14ac:dyDescent="0.15">
      <c r="A72" s="126">
        <v>40022071</v>
      </c>
      <c r="B72" s="47" t="s">
        <v>343</v>
      </c>
      <c r="C72" s="50">
        <v>3</v>
      </c>
      <c r="D72" s="50" t="s">
        <v>128</v>
      </c>
      <c r="E72" s="51" t="s">
        <v>258</v>
      </c>
      <c r="F72" s="51" t="s">
        <v>260</v>
      </c>
      <c r="G72" s="64" t="str">
        <f t="shared" si="194"/>
        <v>[effect:enhance_enemy, target:enemy_all, turn:3, status:defense, val:3000, calc:add, animation:enemy_enhance_defense]</v>
      </c>
      <c r="H72" s="64">
        <f t="shared" si="195"/>
        <v>9</v>
      </c>
      <c r="I72" s="64">
        <f t="shared" si="196"/>
        <v>22</v>
      </c>
      <c r="J72" s="64">
        <f t="shared" si="197"/>
        <v>31</v>
      </c>
      <c r="K72" s="64">
        <f t="shared" si="198"/>
        <v>40</v>
      </c>
      <c r="L72" s="64" t="str">
        <f>IFERROR(VLOOKUP(MID(G72,J72,K72-J72),[5]skilldef!$C:$D,2,FALSE),"-") &amp; " / " &amp; IFERROR(VLOOKUP(MID(G72,H72,I72-H72),[5]skilldef!$A:$B,2,FALSE),"-")</f>
        <v>敵全体に / ステータス強化</v>
      </c>
      <c r="M72" s="64" t="str">
        <f t="shared" si="199"/>
        <v>none</v>
      </c>
      <c r="N72" s="48" t="str">
        <f>IFERROR(LEFT(M72,FIND("],",M72)+#REF!),M72)</f>
        <v>none</v>
      </c>
      <c r="O72" s="64" t="e">
        <f t="shared" si="200"/>
        <v>#VALUE!</v>
      </c>
      <c r="P72" s="64">
        <f t="shared" si="201"/>
        <v>4</v>
      </c>
      <c r="Q72" s="64" t="e">
        <f t="shared" si="202"/>
        <v>#VALUE!</v>
      </c>
      <c r="R72" s="64" t="e">
        <f t="shared" si="203"/>
        <v>#VALUE!</v>
      </c>
      <c r="S72" s="64" t="str">
        <f>IFERROR(VLOOKUP(MID(N72,Q72,R72-Q72),[5]skilldef!$C:$D,2,FALSE),"-") &amp; " / " &amp; IFERROR(VLOOKUP(MID(N72,O72,P72-O72),[5]skilldef!$A:$B,2,FALSE),"-")</f>
        <v>- / -</v>
      </c>
      <c r="T72" s="48" t="str">
        <f t="shared" si="204"/>
        <v>none</v>
      </c>
      <c r="U72" s="64" t="e">
        <f t="shared" si="205"/>
        <v>#VALUE!</v>
      </c>
      <c r="V72" s="64">
        <f t="shared" si="206"/>
        <v>4</v>
      </c>
      <c r="W72" s="64" t="e">
        <f t="shared" si="207"/>
        <v>#VALUE!</v>
      </c>
      <c r="X72" s="64" t="e">
        <f t="shared" si="208"/>
        <v>#VALUE!</v>
      </c>
      <c r="Y72" s="64" t="str">
        <f>IFERROR(VLOOKUP(MID(T72,W72,X72-W72),[5]skilldef!$C:$D,2,FALSE),"-") &amp; " / " &amp; IFERROR(VLOOKUP(MID(T72,U72,V72-U72),[5]skilldef!$A:$B,2,FALSE),"-")</f>
        <v>- / -</v>
      </c>
      <c r="Z72" s="50"/>
      <c r="AA72" s="52"/>
      <c r="AB72" s="50"/>
    </row>
    <row r="73" spans="1:28" ht="21" customHeight="1" x14ac:dyDescent="0.15">
      <c r="A73" s="126">
        <v>40022072</v>
      </c>
      <c r="B73" s="47" t="s">
        <v>389</v>
      </c>
      <c r="C73" s="50">
        <v>3</v>
      </c>
      <c r="D73" s="50" t="s">
        <v>128</v>
      </c>
      <c r="E73" s="51" t="s">
        <v>403</v>
      </c>
      <c r="F73" s="51" t="s">
        <v>390</v>
      </c>
      <c r="G73" s="64" t="str">
        <f t="shared" si="194"/>
        <v>[effect:fix_speed, target:myself, turn:2]</v>
      </c>
      <c r="H73" s="64">
        <f t="shared" si="195"/>
        <v>9</v>
      </c>
      <c r="I73" s="64">
        <f t="shared" si="196"/>
        <v>18</v>
      </c>
      <c r="J73" s="64">
        <f t="shared" si="197"/>
        <v>27</v>
      </c>
      <c r="K73" s="64">
        <f t="shared" si="198"/>
        <v>33</v>
      </c>
      <c r="L73" s="64" t="str">
        <f>IFERROR(VLOOKUP(MID(G73,J73,K73-J73),[5]skilldef!$C:$D,2,FALSE),"-") &amp; " / " &amp; IFERROR(VLOOKUP(MID(G73,H73,I73-H73),[5]skilldef!$A:$B,2,FALSE),"-")</f>
        <v>自分自身に / 行動値設定</v>
      </c>
      <c r="M73" s="64" t="str">
        <f t="shared" si="199"/>
        <v>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val2:4]</v>
      </c>
      <c r="N73" s="48" t="str">
        <f>IFERROR(LEFT(M73,FIND("],",M73)+S82),M73)</f>
        <v>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val2:4]</v>
      </c>
      <c r="O73" s="64">
        <f t="shared" si="200"/>
        <v>9</v>
      </c>
      <c r="P73" s="64">
        <f t="shared" si="201"/>
        <v>26</v>
      </c>
      <c r="Q73" s="64">
        <f t="shared" si="202"/>
        <v>285</v>
      </c>
      <c r="R73" s="64">
        <f t="shared" si="203"/>
        <v>35</v>
      </c>
      <c r="S73" s="64" t="str">
        <f>IFERROR(VLOOKUP(MID(N73,Q73,R73-Q73),[5]skilldef!$C:$D,2,FALSE),"-") &amp; " / " &amp; IFERROR(VLOOKUP(MID(N73,O73,P73-O73),[5]skilldef!$A:$B,2,FALSE),"-")</f>
        <v>- / -</v>
      </c>
      <c r="T73" s="48" t="str">
        <f t="shared" si="204"/>
        <v>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val2:4]</v>
      </c>
      <c r="U73" s="64">
        <f t="shared" si="205"/>
        <v>9</v>
      </c>
      <c r="V73" s="64">
        <f t="shared" si="206"/>
        <v>19</v>
      </c>
      <c r="W73" s="64">
        <f t="shared" si="207"/>
        <v>210</v>
      </c>
      <c r="X73" s="64">
        <f t="shared" si="208"/>
        <v>41</v>
      </c>
      <c r="Y73" s="64" t="str">
        <f>IFERROR(VLOOKUP(MID(T73,W73,X73-W73),[5]skilldef!$C:$D,2,FALSE),"-") &amp; " / " &amp; IFERROR(VLOOKUP(MID(T73,U73,V73-U73),[5]skilldef!$A:$B,2,FALSE),"-")</f>
        <v>- / 特定ブロックの割合ドロップ</v>
      </c>
      <c r="Z73" s="50"/>
      <c r="AA73" s="52"/>
      <c r="AB73" s="50"/>
    </row>
    <row r="74" spans="1:28" ht="21" customHeight="1" x14ac:dyDescent="0.15">
      <c r="A74" s="126">
        <v>40022073</v>
      </c>
      <c r="B74" s="47" t="s">
        <v>363</v>
      </c>
      <c r="C74" s="50">
        <v>3</v>
      </c>
      <c r="D74" s="50" t="s">
        <v>128</v>
      </c>
      <c r="E74" s="51" t="s">
        <v>404</v>
      </c>
      <c r="F74" s="51" t="s">
        <v>351</v>
      </c>
      <c r="G74" s="64" t="str">
        <f t="shared" si="194"/>
        <v>[effect:damage_anti_tribe, target:unit_one, tribe:human, val1:2.5, val2:1.3]</v>
      </c>
      <c r="H74" s="64">
        <f>FIND("effect:",G74)+7</f>
        <v>9</v>
      </c>
      <c r="I74" s="64">
        <f t="shared" si="196"/>
        <v>26</v>
      </c>
      <c r="J74" s="64">
        <f t="shared" si="197"/>
        <v>35</v>
      </c>
      <c r="K74" s="64">
        <f t="shared" si="198"/>
        <v>43</v>
      </c>
      <c r="L74" s="64" t="str">
        <f>IFERROR(VLOOKUP(MID(G74,J74,K74-J74),[5]skilldef!$C:$D,2,FALSE),"-") &amp; " / " &amp; IFERROR(VLOOKUP(MID(G74,H74,I74-H74),[5]skilldef!$A:$B,2,FALSE),"-")</f>
        <v>味方単体に / 種族キラー</v>
      </c>
      <c r="M74" s="64" t="str">
        <f t="shared" si="199"/>
        <v>none</v>
      </c>
      <c r="N74" s="48" t="str">
        <f>IFERROR(LEFT(M74,FIND("],",M74)+#REF!),M74)</f>
        <v>none</v>
      </c>
      <c r="O74" s="64" t="e">
        <f>FIND("effect:",N74)+7</f>
        <v>#VALUE!</v>
      </c>
      <c r="P74" s="64">
        <f t="shared" si="201"/>
        <v>4</v>
      </c>
      <c r="Q74" s="64" t="e">
        <f t="shared" si="202"/>
        <v>#VALUE!</v>
      </c>
      <c r="R74" s="64" t="e">
        <f t="shared" si="203"/>
        <v>#VALUE!</v>
      </c>
      <c r="S74" s="64" t="str">
        <f>IFERROR(VLOOKUP(MID(N74,Q74,R74-Q74),[5]skilldef!$C:$D,2,FALSE),"-") &amp; " / " &amp; IFERROR(VLOOKUP(MID(N74,O74,P74-O74),[5]skilldef!$A:$B,2,FALSE),"-")</f>
        <v>- / -</v>
      </c>
      <c r="T74" s="48" t="str">
        <f t="shared" si="204"/>
        <v>none</v>
      </c>
      <c r="U74" s="64" t="e">
        <f>FIND("effect:",T74)+7</f>
        <v>#VALUE!</v>
      </c>
      <c r="V74" s="64">
        <f t="shared" si="206"/>
        <v>4</v>
      </c>
      <c r="W74" s="64" t="e">
        <f t="shared" si="207"/>
        <v>#VALUE!</v>
      </c>
      <c r="X74" s="64" t="e">
        <f t="shared" si="208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126">
        <v>40022074</v>
      </c>
      <c r="B75" s="47" t="s">
        <v>359</v>
      </c>
      <c r="C75" s="50">
        <v>3</v>
      </c>
      <c r="D75" s="50" t="s">
        <v>128</v>
      </c>
      <c r="E75" s="51" t="s">
        <v>413</v>
      </c>
      <c r="F75" s="51" t="s">
        <v>358</v>
      </c>
      <c r="G75" s="64" t="str">
        <f t="shared" si="194"/>
        <v>[effect:dis_panel, target:block_red, turn:3, animation:enemy_dis_red]</v>
      </c>
      <c r="H75" s="64">
        <f>FIND("effect:",G75)+7</f>
        <v>9</v>
      </c>
      <c r="I75" s="64">
        <f t="shared" si="196"/>
        <v>18</v>
      </c>
      <c r="J75" s="64">
        <f t="shared" si="197"/>
        <v>27</v>
      </c>
      <c r="K75" s="64">
        <f t="shared" si="198"/>
        <v>36</v>
      </c>
      <c r="L75" s="64" t="str">
        <f>IFERROR(VLOOKUP(MID(G75,J75,K75-J75),[5]skilldef!$C:$D,2,FALSE),"-") &amp; " / " &amp; IFERROR(VLOOKUP(MID(G75,H75,I75-H75),[5]skilldef!$A:$B,2,FALSE),"-")</f>
        <v>赤パネルを / ディスパネル</v>
      </c>
      <c r="M75" s="64" t="str">
        <f t="shared" si="199"/>
        <v>[effect:rush, count:1, val:1]</v>
      </c>
      <c r="N75" s="48" t="str">
        <f>IFERROR(LEFT(M75,FIND("],",M75)+#REF!),M75)</f>
        <v>[effect:rush, count:1, val:1]</v>
      </c>
      <c r="O75" s="64">
        <f>FIND("effect:",N75)+7</f>
        <v>9</v>
      </c>
      <c r="P75" s="64">
        <f t="shared" si="201"/>
        <v>13</v>
      </c>
      <c r="Q75" s="64" t="e">
        <f t="shared" si="202"/>
        <v>#VALUE!</v>
      </c>
      <c r="R75" s="64">
        <f t="shared" si="203"/>
        <v>22</v>
      </c>
      <c r="S75" s="64" t="str">
        <f>IFERROR(VLOOKUP(MID(N75,Q75,R75-Q75),[5]skilldef!$C:$D,2,FALSE),"-") &amp; " / " &amp; IFERROR(VLOOKUP(MID(N75,O75,P75-O75),[5]skilldef!$A:$B,2,FALSE),"-")</f>
        <v>- / 連続攻撃</v>
      </c>
      <c r="T75" s="48" t="str">
        <f t="shared" si="204"/>
        <v>none</v>
      </c>
      <c r="U75" s="64" t="e">
        <f>FIND("effect:",T75)+7</f>
        <v>#VALUE!</v>
      </c>
      <c r="V75" s="64">
        <f t="shared" si="206"/>
        <v>4</v>
      </c>
      <c r="W75" s="64" t="e">
        <f t="shared" si="207"/>
        <v>#VALUE!</v>
      </c>
      <c r="X75" s="64" t="e">
        <f t="shared" si="208"/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21" customHeight="1" x14ac:dyDescent="0.15">
      <c r="A76" s="126">
        <v>40022075</v>
      </c>
      <c r="B76" s="47" t="s">
        <v>309</v>
      </c>
      <c r="C76" s="50">
        <v>3</v>
      </c>
      <c r="D76" s="50" t="s">
        <v>128</v>
      </c>
      <c r="E76" s="51" t="s">
        <v>414</v>
      </c>
      <c r="F76" s="51" t="s">
        <v>307</v>
      </c>
      <c r="G76" s="64" t="str">
        <f t="shared" si="194"/>
        <v>[effect:dark, target:unit_all, turn:3, animation:enemy_dark]</v>
      </c>
      <c r="H76" s="64">
        <f>FIND("effect:",G76)+7</f>
        <v>9</v>
      </c>
      <c r="I76" s="64">
        <f t="shared" si="196"/>
        <v>13</v>
      </c>
      <c r="J76" s="64">
        <f t="shared" si="197"/>
        <v>22</v>
      </c>
      <c r="K76" s="64">
        <f t="shared" si="198"/>
        <v>30</v>
      </c>
      <c r="L76" s="64" t="str">
        <f>IFERROR(VLOOKUP(MID(G76,J76,K76-J76),[5]skilldef!$C:$D,2,FALSE),"-") &amp; " / " &amp; IFERROR(VLOOKUP(MID(G76,H76,I76-H76),[5]skilldef!$A:$B,2,FALSE),"-")</f>
        <v>味方全体に / 暗黒</v>
      </c>
      <c r="M76" s="64" t="str">
        <f t="shared" si="199"/>
        <v>[effect:rush, count:1, val:1]</v>
      </c>
      <c r="N76" s="48" t="str">
        <f>IFERROR(LEFT(M76,FIND("],",M76)+#REF!),M76)</f>
        <v>[effect:rush, count:1, val:1]</v>
      </c>
      <c r="O76" s="64">
        <f>FIND("effect:",N76)+7</f>
        <v>9</v>
      </c>
      <c r="P76" s="64">
        <f t="shared" si="201"/>
        <v>13</v>
      </c>
      <c r="Q76" s="64" t="e">
        <f t="shared" si="202"/>
        <v>#VALUE!</v>
      </c>
      <c r="R76" s="64">
        <f t="shared" si="203"/>
        <v>22</v>
      </c>
      <c r="S76" s="64" t="str">
        <f>IFERROR(VLOOKUP(MID(N76,Q76,R76-Q76),[5]skilldef!$C:$D,2,FALSE),"-") &amp; " / " &amp; IFERROR(VLOOKUP(MID(N76,O76,P76-O76),[5]skilldef!$A:$B,2,FALSE),"-")</f>
        <v>- / 連続攻撃</v>
      </c>
      <c r="T76" s="48" t="str">
        <f t="shared" si="204"/>
        <v>none</v>
      </c>
      <c r="U76" s="64" t="e">
        <f>FIND("effect:",T76)+7</f>
        <v>#VALUE!</v>
      </c>
      <c r="V76" s="64">
        <f t="shared" si="206"/>
        <v>4</v>
      </c>
      <c r="W76" s="64" t="e">
        <f t="shared" si="207"/>
        <v>#VALUE!</v>
      </c>
      <c r="X76" s="64" t="e">
        <f t="shared" si="208"/>
        <v>#VALUE!</v>
      </c>
      <c r="Y76" s="64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21" customHeight="1" x14ac:dyDescent="0.15">
      <c r="A77" s="126">
        <v>40022076</v>
      </c>
      <c r="B77" s="47" t="s">
        <v>363</v>
      </c>
      <c r="C77" s="50">
        <v>3</v>
      </c>
      <c r="D77" s="50" t="s">
        <v>128</v>
      </c>
      <c r="E77" s="51" t="s">
        <v>398</v>
      </c>
      <c r="F77" s="51" t="s">
        <v>352</v>
      </c>
      <c r="G77" s="64" t="str">
        <f>IFERROR(LEFT(B77,FIND("],",B77)),B77)</f>
        <v>[effect:damage_anti_tribe, target:unit_one, tribe:human, val1:2.5, val2:1.3]</v>
      </c>
      <c r="H77" s="64">
        <f>FIND("effect:",G77)+7</f>
        <v>9</v>
      </c>
      <c r="I77" s="64">
        <f>IFERROR(FIND(",",G77),LEN(G77))</f>
        <v>26</v>
      </c>
      <c r="J77" s="64">
        <f>FIND("target:",G77)+7</f>
        <v>35</v>
      </c>
      <c r="K77" s="64">
        <f>FIND(",",G77,I77+1)</f>
        <v>43</v>
      </c>
      <c r="L77" s="64" t="str">
        <f>IFERROR(VLOOKUP(MID(G77,J77,K77-J77),[5]skilldef!$C:$D,2,FALSE),"-") &amp; " / " &amp; IFERROR(VLOOKUP(MID(G77,H77,I77-H77),[5]skilldef!$A:$B,2,FALSE),"-")</f>
        <v>味方単体に / 種族キラー</v>
      </c>
      <c r="M77" s="64" t="str">
        <f>IFERROR(RIGHT(B77,LEN(B77)-FIND("],",B77)-1),"none")</f>
        <v>none</v>
      </c>
      <c r="N77" s="48" t="str">
        <f>IFERROR(LEFT(M77,FIND("],",M77)+#REF!),M77)</f>
        <v>none</v>
      </c>
      <c r="O77" s="64" t="e">
        <f>FIND("effect:",N77)+7</f>
        <v>#VALUE!</v>
      </c>
      <c r="P77" s="64">
        <f>IFERROR(FIND(",",N77),LEN(N77))</f>
        <v>4</v>
      </c>
      <c r="Q77" s="64" t="e">
        <f>FIND("target:",N77)+7</f>
        <v>#VALUE!</v>
      </c>
      <c r="R77" s="64" t="e">
        <f>FIND(",",N77,P77+1)</f>
        <v>#VALUE!</v>
      </c>
      <c r="S77" s="64" t="str">
        <f>IFERROR(VLOOKUP(MID(N77,Q77,R77-Q77),[5]skilldef!$C:$D,2,FALSE),"-") &amp; " / " &amp; IFERROR(VLOOKUP(MID(N77,O77,P77-O77),[5]skilldef!$A:$B,2,FALSE),"-")</f>
        <v>- / -</v>
      </c>
      <c r="T77" s="48" t="str">
        <f>IFERROR(RIGHT(M77,LEN(M77)-FIND("],",M77)-1),"none")</f>
        <v>none</v>
      </c>
      <c r="U77" s="64" t="e">
        <f>FIND("effect:",T77)+7</f>
        <v>#VALUE!</v>
      </c>
      <c r="V77" s="64">
        <f>IFERROR(FIND(",",T77),LEN(T77))</f>
        <v>4</v>
      </c>
      <c r="W77" s="64" t="e">
        <f>FIND("target:",T77)+7</f>
        <v>#VALUE!</v>
      </c>
      <c r="X77" s="64" t="e">
        <f>FIND(",",T77,V77+1)</f>
        <v>#VALUE!</v>
      </c>
      <c r="Y77" s="64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ht="21" customHeight="1" x14ac:dyDescent="0.15">
      <c r="A78" s="126">
        <v>40022077</v>
      </c>
      <c r="B78" s="47" t="s">
        <v>432</v>
      </c>
      <c r="C78" s="50">
        <v>3</v>
      </c>
      <c r="D78" s="50" t="s">
        <v>128</v>
      </c>
      <c r="E78" s="51" t="s">
        <v>399</v>
      </c>
      <c r="F78" s="51" t="s">
        <v>333</v>
      </c>
      <c r="G78" s="64" t="str">
        <f t="shared" ref="G78:G79" si="255">IFERROR(LEFT(B78,FIND("],",B78)),B78)</f>
        <v>[effect:force_change_block, new_block:time_bomb, target:block_all, ignore01:block_positive, ignore02:block_negative, count:3, val:0.2, min_time_count:2, max_time_count:2, animation:change_block]</v>
      </c>
      <c r="H78" s="64">
        <f t="shared" ref="H78:H79" si="256">FIND("effect:",G78)+7</f>
        <v>9</v>
      </c>
      <c r="I78" s="64">
        <f t="shared" ref="I78:I79" si="257">IFERROR(FIND(",",G78),LEN(G78))</f>
        <v>27</v>
      </c>
      <c r="J78" s="64">
        <f t="shared" ref="J78:J79" si="258">FIND("target:",G78)+7</f>
        <v>57</v>
      </c>
      <c r="K78" s="64">
        <f t="shared" ref="K78:K79" si="259">FIND(",",G78,I78+1)</f>
        <v>48</v>
      </c>
      <c r="L78" s="64" t="str">
        <f>IFERROR(VLOOKUP(MID(G78,J78,K78-J78),[5]skilldef!$C:$D,2,FALSE),"-") &amp; " / " &amp; IFERROR(VLOOKUP(MID(G78,H78,I78-H78),[5]skilldef!$A:$B,2,FALSE),"-")</f>
        <v>- / -</v>
      </c>
      <c r="M78" s="64" t="str">
        <f t="shared" ref="M78:M79" si="260">IFERROR(RIGHT(B78,LEN(B78)-FIND("],",B78)-1),"none")</f>
        <v>[effect:spread, val:0.25]</v>
      </c>
      <c r="N78" s="48" t="str">
        <f>IFERROR(LEFT(M78,FIND("],",M78)+#REF!),M78)</f>
        <v>[effect:spread, val:0.25]</v>
      </c>
      <c r="O78" s="64">
        <f t="shared" ref="O78:O79" si="261">FIND("effect:",N78)+7</f>
        <v>9</v>
      </c>
      <c r="P78" s="64">
        <f t="shared" ref="P78:P79" si="262">IFERROR(FIND(",",N78),LEN(N78))</f>
        <v>15</v>
      </c>
      <c r="Q78" s="64" t="e">
        <f t="shared" ref="Q78:Q79" si="263">FIND("target:",N78)+7</f>
        <v>#VALUE!</v>
      </c>
      <c r="R78" s="64" t="e">
        <f t="shared" ref="R78:R79" si="264">FIND(",",N78,P78+1)</f>
        <v>#VALUE!</v>
      </c>
      <c r="S78" s="64" t="str">
        <f>IFERROR(VLOOKUP(MID(N78,Q78,R78-Q78),[5]skilldef!$C:$D,2,FALSE),"-") &amp; " / " &amp; IFERROR(VLOOKUP(MID(N78,O78,P78-O78),[5]skilldef!$A:$B,2,FALSE),"-")</f>
        <v>- / 全体攻撃</v>
      </c>
      <c r="T78" s="48" t="str">
        <f t="shared" ref="T78:T79" si="265">IFERROR(RIGHT(M78,LEN(M78)-FIND("],",M78)-1),"none")</f>
        <v>none</v>
      </c>
      <c r="U78" s="64" t="e">
        <f t="shared" ref="U78:U79" si="266">FIND("effect:",T78)+7</f>
        <v>#VALUE!</v>
      </c>
      <c r="V78" s="64">
        <f t="shared" ref="V78:V79" si="267">IFERROR(FIND(",",T78),LEN(T78))</f>
        <v>4</v>
      </c>
      <c r="W78" s="64" t="e">
        <f t="shared" ref="W78:W79" si="268">FIND("target:",T78)+7</f>
        <v>#VALUE!</v>
      </c>
      <c r="X78" s="64" t="e">
        <f t="shared" ref="X78:X79" si="269">FIND(",",T78,V78+1)</f>
        <v>#VALUE!</v>
      </c>
      <c r="Y78" s="64" t="str">
        <f>IFERROR(VLOOKUP(MID(T78,W78,X78-W78),[5]skilldef!$C:$D,2,FALSE),"-") &amp; " / " &amp; IFERROR(VLOOKUP(MID(T78,U78,V78-U78),[5]skilldef!$A:$B,2,FALSE),"-")</f>
        <v>- / -</v>
      </c>
      <c r="Z78" s="50"/>
      <c r="AA78" s="52"/>
      <c r="AB78" s="50"/>
    </row>
    <row r="79" spans="1:28" ht="21" customHeight="1" x14ac:dyDescent="0.15">
      <c r="A79" s="126">
        <v>40022078</v>
      </c>
      <c r="B79" s="47" t="s">
        <v>392</v>
      </c>
      <c r="C79" s="50">
        <v>3</v>
      </c>
      <c r="D79" s="50" t="s">
        <v>128</v>
      </c>
      <c r="E79" s="51" t="s">
        <v>408</v>
      </c>
      <c r="F79" s="51" t="s">
        <v>377</v>
      </c>
      <c r="G79" s="64" t="str">
        <f t="shared" si="255"/>
        <v>[effect:fix_speed, target:myself, turn:1]</v>
      </c>
      <c r="H79" s="64">
        <f t="shared" si="256"/>
        <v>9</v>
      </c>
      <c r="I79" s="64">
        <f t="shared" si="257"/>
        <v>18</v>
      </c>
      <c r="J79" s="64">
        <f t="shared" si="258"/>
        <v>27</v>
      </c>
      <c r="K79" s="64">
        <f t="shared" si="259"/>
        <v>33</v>
      </c>
      <c r="L79" s="64" t="str">
        <f>IFERROR(VLOOKUP(MID(G79,J79,K79-J79),[5]skilldef!$C:$D,2,FALSE),"-") &amp; " / " &amp; IFERROR(VLOOKUP(MID(G79,H79,I79-H79),[5]skilldef!$A:$B,2,FALSE),"-")</f>
        <v>自分自身に / 行動値設定</v>
      </c>
      <c r="M79" s="64" t="str">
        <f t="shared" si="260"/>
        <v>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val2:3]</v>
      </c>
      <c r="N79" s="48" t="str">
        <f>IFERROR(LEFT(M79,FIND("],",M79)+#REF!),M79)</f>
        <v>[effect:change_bomb_range, turn:-1, val:0.5, rate:1, animation:bomb_small],[effect:drop_block,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val2:3]</v>
      </c>
      <c r="O79" s="64">
        <f t="shared" si="261"/>
        <v>9</v>
      </c>
      <c r="P79" s="64">
        <f t="shared" si="262"/>
        <v>26</v>
      </c>
      <c r="Q79" s="64">
        <f t="shared" si="263"/>
        <v>285</v>
      </c>
      <c r="R79" s="64">
        <f t="shared" si="264"/>
        <v>35</v>
      </c>
      <c r="S79" s="64" t="str">
        <f>IFERROR(VLOOKUP(MID(N79,Q79,R79-Q79),[5]skilldef!$C:$D,2,FALSE),"-") &amp; " / " &amp; IFERROR(VLOOKUP(MID(N79,O79,P79-O79),[5]skilldef!$A:$B,2,FALSE),"-")</f>
        <v>- / -</v>
      </c>
      <c r="T79" s="48" t="str">
        <f t="shared" si="265"/>
        <v>[effect:drop_block, block_type:time_bomb, block_color:block_yellow, color:block_all, val:0.1, rate:0.05, turn:-1, min_time_count:4, max_time_count:4, animation:time_bomb_influence04],[effect:tolerance, target:myself, turn:-1, tolerance_effect:all, count:-1, animation:enemy_tolerance],[effect:enemy_message, val1:2, val2:3]</v>
      </c>
      <c r="U79" s="64">
        <f t="shared" si="266"/>
        <v>9</v>
      </c>
      <c r="V79" s="64">
        <f t="shared" si="267"/>
        <v>19</v>
      </c>
      <c r="W79" s="64">
        <f t="shared" si="268"/>
        <v>210</v>
      </c>
      <c r="X79" s="64">
        <f t="shared" si="269"/>
        <v>41</v>
      </c>
      <c r="Y79" s="64" t="str">
        <f>IFERROR(VLOOKUP(MID(T79,W79,X79-W79),[5]skilldef!$C:$D,2,FALSE),"-") &amp; " / " &amp; IFERROR(VLOOKUP(MID(T79,U79,V79-U79),[5]skilldef!$A:$B,2,FALSE),"-")</f>
        <v>- / 特定ブロックの割合ドロップ</v>
      </c>
      <c r="Z79" s="50"/>
      <c r="AA79" s="52"/>
      <c r="AB79" s="50"/>
    </row>
    <row r="80" spans="1:28" ht="21" customHeight="1" x14ac:dyDescent="0.15">
      <c r="A80" s="126">
        <v>40022079</v>
      </c>
      <c r="B80" s="47" t="s">
        <v>394</v>
      </c>
      <c r="C80" s="50">
        <v>3</v>
      </c>
      <c r="D80" s="50" t="s">
        <v>128</v>
      </c>
      <c r="E80" s="51" t="s">
        <v>278</v>
      </c>
      <c r="F80" s="51" t="s">
        <v>374</v>
      </c>
      <c r="G80" s="64" t="str">
        <f>IFERROR(LEFT(B80,FIND("],",B80)),B80)</f>
        <v>[effect:damage_anti_tribe, target:unit_one, tribe:human, val1:2.5, val2:1.4]</v>
      </c>
      <c r="H80" s="64">
        <f>FIND("effect:",G80)+7</f>
        <v>9</v>
      </c>
      <c r="I80" s="64">
        <f>IFERROR(FIND(",",G80),LEN(G80))</f>
        <v>26</v>
      </c>
      <c r="J80" s="64">
        <f>FIND("target:",G80)+7</f>
        <v>35</v>
      </c>
      <c r="K80" s="64">
        <f>FIND(",",G80,I80+1)</f>
        <v>43</v>
      </c>
      <c r="L80" s="64" t="str">
        <f>IFERROR(VLOOKUP(MID(G80,J80,K80-J80),[5]skilldef!$C:$D,2,FALSE),"-") &amp; " / " &amp; IFERROR(VLOOKUP(MID(G80,H80,I80-H80),[5]skilldef!$A:$B,2,FALSE),"-")</f>
        <v>味方単体に / 種族キラー</v>
      </c>
      <c r="M80" s="64" t="str">
        <f>IFERROR(RIGHT(B80,LEN(B80)-FIND("],",B80)-1),"none")</f>
        <v>[effect:degrade_unit, target:unit_all, turn:1, status:attack, val:0.2, calc:mul],[effect:enemy_message, val2:3]</v>
      </c>
      <c r="N80" s="48" t="str">
        <f>IFERROR(LEFT(M80,FIND("],",M80)+#REF!),M80)</f>
        <v>[effect:degrade_unit, target:unit_all, turn:1, status:attack, val:0.2, calc:mul],[effect:enemy_message, val2:3]</v>
      </c>
      <c r="O80" s="64">
        <f>FIND("effect:",N80)+7</f>
        <v>9</v>
      </c>
      <c r="P80" s="64">
        <f>IFERROR(FIND(",",N80),LEN(N80))</f>
        <v>21</v>
      </c>
      <c r="Q80" s="64">
        <f>FIND("target:",N80)+7</f>
        <v>30</v>
      </c>
      <c r="R80" s="64">
        <f>FIND(",",N80,P80+1)</f>
        <v>38</v>
      </c>
      <c r="S80" s="64" t="str">
        <f>IFERROR(VLOOKUP(MID(N80,Q80,R80-Q80),[5]skilldef!$C:$D,2,FALSE),"-") &amp; " / " &amp; IFERROR(VLOOKUP(MID(N80,O80,P80-O80),[5]skilldef!$A:$B,2,FALSE),"-")</f>
        <v>味方全体に / ステータスDOWN</v>
      </c>
      <c r="T80" s="48" t="str">
        <f>IFERROR(RIGHT(M80,LEN(M80)-FIND("],",M80)-1),"none")</f>
        <v>[effect:enemy_message, val2:3]</v>
      </c>
      <c r="U80" s="64">
        <f>FIND("effect:",T80)+7</f>
        <v>9</v>
      </c>
      <c r="V80" s="64">
        <f>IFERROR(FIND(",",T80),LEN(T80))</f>
        <v>22</v>
      </c>
      <c r="W80" s="64" t="e">
        <f>FIND("target:",T80)+7</f>
        <v>#VALUE!</v>
      </c>
      <c r="X80" s="64" t="e">
        <f>FIND(",",T80,V80+1)</f>
        <v>#VALUE!</v>
      </c>
      <c r="Y80" s="64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21" customHeight="1" x14ac:dyDescent="0.15">
      <c r="A81" s="126">
        <v>40022080</v>
      </c>
      <c r="B81" s="47" t="s">
        <v>310</v>
      </c>
      <c r="C81" s="50">
        <v>3</v>
      </c>
      <c r="D81" s="50" t="s">
        <v>128</v>
      </c>
      <c r="E81" s="51" t="s">
        <v>415</v>
      </c>
      <c r="F81" s="51" t="s">
        <v>308</v>
      </c>
      <c r="G81" s="64" t="str">
        <f>IFERROR(LEFT(B81,FIND("],",B81)),B81)</f>
        <v>[effect:dis_heart, turn:3, animation:enemy_dis_heart]</v>
      </c>
      <c r="H81" s="64">
        <f>FIND("effect:",G81)+7</f>
        <v>9</v>
      </c>
      <c r="I81" s="64">
        <f>IFERROR(FIND(",",G81),LEN(G81))</f>
        <v>18</v>
      </c>
      <c r="J81" s="64" t="e">
        <f>FIND("target:",G81)+7</f>
        <v>#VALUE!</v>
      </c>
      <c r="K81" s="64">
        <f>FIND(",",G81,I81+1)</f>
        <v>26</v>
      </c>
      <c r="L81" s="64" t="str">
        <f>IFERROR(VLOOKUP(MID(G81,J81,K81-J81),[5]skilldef!$C:$D,2,FALSE),"-") &amp; " / " &amp; IFERROR(VLOOKUP(MID(G81,H81,I81-H81),[5]skilldef!$A:$B,2,FALSE),"-")</f>
        <v>- / ディスハート</v>
      </c>
      <c r="M81" s="64" t="str">
        <f>IFERROR(RIGHT(B81,LEN(B81)-FIND("],",B81)-1),"none")</f>
        <v>[effect:rush, count:1, val:1]</v>
      </c>
      <c r="N81" s="48" t="str">
        <f>IFERROR(LEFT(M81,FIND("],",M81)+S85),M81)</f>
        <v>[effect:rush, count:1, val:1]</v>
      </c>
      <c r="O81" s="64">
        <f>FIND("effect:",N81)+7</f>
        <v>9</v>
      </c>
      <c r="P81" s="64">
        <f>IFERROR(FIND(",",N81),LEN(N81))</f>
        <v>13</v>
      </c>
      <c r="Q81" s="64" t="e">
        <f>FIND("target:",N81)+7</f>
        <v>#VALUE!</v>
      </c>
      <c r="R81" s="64">
        <f>FIND(",",N81,P81+1)</f>
        <v>22</v>
      </c>
      <c r="S81" s="64" t="str">
        <f>IFERROR(VLOOKUP(MID(N81,Q81,R81-Q81),[5]skilldef!$C:$D,2,FALSE),"-") &amp; " / " &amp; IFERROR(VLOOKUP(MID(N81,O81,P81-O81),[5]skilldef!$A:$B,2,FALSE),"-")</f>
        <v>- / 連続攻撃</v>
      </c>
      <c r="T81" s="48" t="str">
        <f>IFERROR(RIGHT(M81,LEN(M81)-FIND("],",M81)-1),"none")</f>
        <v>none</v>
      </c>
      <c r="U81" s="64" t="e">
        <f>FIND("effect:",T81)+7</f>
        <v>#VALUE!</v>
      </c>
      <c r="V81" s="64">
        <f>IFERROR(FIND(",",T81),LEN(T81))</f>
        <v>4</v>
      </c>
      <c r="W81" s="64" t="e">
        <f>FIND("target:",T81)+7</f>
        <v>#VALUE!</v>
      </c>
      <c r="X81" s="64" t="e">
        <f>FIND(",",T81,V81+1)</f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21" customHeight="1" x14ac:dyDescent="0.15">
      <c r="A82" s="126">
        <v>40022081</v>
      </c>
      <c r="B82" s="47" t="s">
        <v>320</v>
      </c>
      <c r="C82" s="50">
        <v>3</v>
      </c>
      <c r="D82" s="50" t="s">
        <v>128</v>
      </c>
      <c r="E82" s="51" t="s">
        <v>410</v>
      </c>
      <c r="F82" s="51" t="s">
        <v>348</v>
      </c>
      <c r="G82" s="64" t="str">
        <f>IFERROR(LEFT(B82,FIND("],",B82)),B82)</f>
        <v>[effect:enhance_enemy, target:myself, turn:3, status:attack, val:0.9, calc:mul, animation:enemy_enhance_attack]</v>
      </c>
      <c r="H82" s="64">
        <f>FIND("effect:",G82)+7</f>
        <v>9</v>
      </c>
      <c r="I82" s="64">
        <f>IFERROR(FIND(",",G82),LEN(G82))</f>
        <v>22</v>
      </c>
      <c r="J82" s="64">
        <f>FIND("target:",G82)+7</f>
        <v>31</v>
      </c>
      <c r="K82" s="64">
        <f>FIND(",",G82,I82+1)</f>
        <v>37</v>
      </c>
      <c r="L82" s="64" t="str">
        <f>IFERROR(VLOOKUP(MID(G82,J82,K82-J82),[5]skilldef!$C:$D,2,FALSE),"-") &amp; " / " &amp; IFERROR(VLOOKUP(MID(G82,H82,I82-H82),[5]skilldef!$A:$B,2,FALSE),"-")</f>
        <v>自分自身に / ステータス強化</v>
      </c>
      <c r="M82" s="64" t="str">
        <f>IFERROR(RIGHT(B82,LEN(B82)-FIND("],",B82)-1),"none")</f>
        <v>none</v>
      </c>
      <c r="N82" s="48" t="str">
        <f>IFERROR(LEFT(M82,FIND("],",M82)+S86),M82)</f>
        <v>none</v>
      </c>
      <c r="O82" s="64" t="e">
        <f>FIND("effect:",N82)+7</f>
        <v>#VALUE!</v>
      </c>
      <c r="P82" s="64">
        <f>IFERROR(FIND(",",N82),LEN(N82))</f>
        <v>4</v>
      </c>
      <c r="Q82" s="64" t="e">
        <f>FIND("target:",N82)+7</f>
        <v>#VALUE!</v>
      </c>
      <c r="R82" s="64" t="e">
        <f>FIND(",",N82,P82+1)</f>
        <v>#VALUE!</v>
      </c>
      <c r="S82" s="64" t="str">
        <f>IFERROR(VLOOKUP(MID(N82,Q82,R82-Q82),[5]skilldef!$C:$D,2,FALSE),"-") &amp; " / " &amp; IFERROR(VLOOKUP(MID(N82,O82,P82-O82),[5]skilldef!$A:$B,2,FALSE),"-")</f>
        <v>- / -</v>
      </c>
      <c r="T82" s="48" t="str">
        <f>IFERROR(RIGHT(M82,LEN(M82)-FIND("],",M82)-1),"none")</f>
        <v>none</v>
      </c>
      <c r="U82" s="64" t="e">
        <f>FIND("effect:",T82)+7</f>
        <v>#VALUE!</v>
      </c>
      <c r="V82" s="64">
        <f>IFERROR(FIND(",",T82),LEN(T82))</f>
        <v>4</v>
      </c>
      <c r="W82" s="64" t="e">
        <f>FIND("target:",T82)+7</f>
        <v>#VALUE!</v>
      </c>
      <c r="X82" s="64" t="e">
        <f>FIND(",",T82,V82+1)</f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21" customHeight="1" x14ac:dyDescent="0.15">
      <c r="A83" s="126">
        <v>40022082</v>
      </c>
      <c r="B83" s="47" t="s">
        <v>395</v>
      </c>
      <c r="C83" s="50">
        <v>3</v>
      </c>
      <c r="D83" s="50" t="s">
        <v>128</v>
      </c>
      <c r="E83" s="51" t="s">
        <v>278</v>
      </c>
      <c r="F83" s="51" t="s">
        <v>376</v>
      </c>
      <c r="G83" s="64" t="str">
        <f>IFERROR(LEFT(B83,FIND("],",B83)),B83)</f>
        <v>[effect:damage_anti_tribe, target:unit_one, tribe:human, val1:2.5, val2:1.4]</v>
      </c>
      <c r="H83" s="64">
        <f>FIND("effect:",G83)+7</f>
        <v>9</v>
      </c>
      <c r="I83" s="64">
        <f>IFERROR(FIND(",",G83),LEN(G83))</f>
        <v>26</v>
      </c>
      <c r="J83" s="64">
        <f>FIND("target:",G83)+7</f>
        <v>35</v>
      </c>
      <c r="K83" s="64">
        <f>FIND(",",G83,I83+1)</f>
        <v>43</v>
      </c>
      <c r="L83" s="64" t="str">
        <f>IFERROR(VLOOKUP(MID(G83,J83,K83-J83),[5]skilldef!$C:$D,2,FALSE),"-") &amp; " / " &amp; IFERROR(VLOOKUP(MID(G83,H83,I83-H83),[5]skilldef!$A:$B,2,FALSE),"-")</f>
        <v>味方単体に / 種族キラー</v>
      </c>
      <c r="M83" s="64" t="str">
        <f>IFERROR(RIGHT(B83,LEN(B83)-FIND("],",B83)-1),"none")</f>
        <v>[effect:degrade_unit, target:unit_all, turn:1, status:attack, val:0.2, calc:mul],[effect:enemy_message, val2:3]</v>
      </c>
      <c r="N83" s="48" t="str">
        <f>IFERROR(LEFT(M83,FIND("],",M83)+S96),M83)</f>
        <v>[effect:degrade_unit, target:unit_all, turn:1, status:attack, val:0.2, calc:mul],[effect:enemy_message, val2:3]</v>
      </c>
      <c r="O83" s="64">
        <f>FIND("effect:",N83)+7</f>
        <v>9</v>
      </c>
      <c r="P83" s="64">
        <f>IFERROR(FIND(",",N83),LEN(N83))</f>
        <v>21</v>
      </c>
      <c r="Q83" s="64">
        <f>FIND("target:",N83)+7</f>
        <v>30</v>
      </c>
      <c r="R83" s="64">
        <f>FIND(",",N83,P83+1)</f>
        <v>38</v>
      </c>
      <c r="S83" s="64" t="str">
        <f>IFERROR(VLOOKUP(MID(N83,Q83,R83-Q83),[5]skilldef!$C:$D,2,FALSE),"-") &amp; " / " &amp; IFERROR(VLOOKUP(MID(N83,O83,P83-O83),[5]skilldef!$A:$B,2,FALSE),"-")</f>
        <v>味方全体に / ステータスDOWN</v>
      </c>
      <c r="T83" s="48" t="str">
        <f>IFERROR(RIGHT(M83,LEN(M83)-FIND("],",M83)-1),"none")</f>
        <v>[effect:enemy_message, val2:3]</v>
      </c>
      <c r="U83" s="64">
        <f>FIND("effect:",T83)+7</f>
        <v>9</v>
      </c>
      <c r="V83" s="64">
        <f>IFERROR(FIND(",",T83),LEN(T83))</f>
        <v>22</v>
      </c>
      <c r="W83" s="64" t="e">
        <f>FIND("target:",T83)+7</f>
        <v>#VALUE!</v>
      </c>
      <c r="X83" s="64" t="e">
        <f>FIND(",",T83,V83+1)</f>
        <v>#VALUE!</v>
      </c>
      <c r="Y83" s="64" t="str">
        <f>IFERROR(VLOOKUP(MID(T83,W83,X83-W83),[5]skilldef!$C:$D,2,FALSE),"-") &amp; " / " &amp; IFERROR(VLOOKUP(MID(T83,U83,V83-U83),[5]skilldef!$A:$B,2,FALSE),"-")</f>
        <v>- / -</v>
      </c>
      <c r="Z83" s="50"/>
      <c r="AA83" s="52"/>
      <c r="AB83" s="50"/>
    </row>
    <row r="84" spans="1:28" ht="21" customHeight="1" x14ac:dyDescent="0.15">
      <c r="A84" s="126">
        <v>40022083</v>
      </c>
      <c r="B84" s="47" t="s">
        <v>433</v>
      </c>
      <c r="C84" s="50">
        <v>3</v>
      </c>
      <c r="D84" s="50" t="s">
        <v>128</v>
      </c>
      <c r="E84" s="51" t="s">
        <v>400</v>
      </c>
      <c r="F84" s="51" t="s">
        <v>375</v>
      </c>
      <c r="G84" s="64" t="str">
        <f t="shared" ref="G84:G87" si="270">IFERROR(LEFT(B84,FIND("],",B84)),B84)</f>
        <v>[effect:force_change_block, new_block:time_bomb, target:block_all, ignore01:block_positive, ignore02:block_negative, count:6, val:0.2, min_time_count:2, max_time_count:2, animation:change_block]</v>
      </c>
      <c r="H84" s="64">
        <f t="shared" ref="H84:H87" si="271">FIND("effect:",G84)+7</f>
        <v>9</v>
      </c>
      <c r="I84" s="64">
        <f t="shared" ref="I84:I87" si="272">IFERROR(FIND(",",G84),LEN(G84))</f>
        <v>27</v>
      </c>
      <c r="J84" s="64">
        <f t="shared" ref="J84:J87" si="273">FIND("target:",G84)+7</f>
        <v>57</v>
      </c>
      <c r="K84" s="64">
        <f t="shared" ref="K84:K87" si="274">FIND(",",G84,I84+1)</f>
        <v>48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ref="M84:M87" si="275">IFERROR(RIGHT(B84,LEN(B84)-FIND("],",B84)-1),"none")</f>
        <v>[effect:spread, val:0.3]</v>
      </c>
      <c r="N84" s="48" t="str">
        <f>IFERROR(LEFT(M84,FIND("],",M84)+#REF!),M84)</f>
        <v>[effect:spread, val:0.3]</v>
      </c>
      <c r="O84" s="64">
        <f t="shared" ref="O84:O87" si="276">FIND("effect:",N84)+7</f>
        <v>9</v>
      </c>
      <c r="P84" s="64">
        <f t="shared" ref="P84:P87" si="277">IFERROR(FIND(",",N84),LEN(N84))</f>
        <v>15</v>
      </c>
      <c r="Q84" s="64" t="e">
        <f t="shared" ref="Q84:Q87" si="278">FIND("target:",N84)+7</f>
        <v>#VALUE!</v>
      </c>
      <c r="R84" s="64" t="e">
        <f t="shared" ref="R84:R87" si="279">FIND(",",N84,P84+1)</f>
        <v>#VALUE!</v>
      </c>
      <c r="S84" s="64" t="str">
        <f>IFERROR(VLOOKUP(MID(N84,Q84,R84-Q84),[5]skilldef!$C:$D,2,FALSE),"-") &amp; " / " &amp; IFERROR(VLOOKUP(MID(N84,O84,P84-O84),[5]skilldef!$A:$B,2,FALSE),"-")</f>
        <v>- / 全体攻撃</v>
      </c>
      <c r="T84" s="48" t="str">
        <f t="shared" ref="T84:T87" si="280">IFERROR(RIGHT(M84,LEN(M84)-FIND("],",M84)-1),"none")</f>
        <v>none</v>
      </c>
      <c r="U84" s="64" t="e">
        <f t="shared" ref="U84:U87" si="281">FIND("effect:",T84)+7</f>
        <v>#VALUE!</v>
      </c>
      <c r="V84" s="64">
        <f t="shared" ref="V84:V87" si="282">IFERROR(FIND(",",T84),LEN(T84))</f>
        <v>4</v>
      </c>
      <c r="W84" s="64" t="e">
        <f t="shared" ref="W84:W87" si="283">FIND("target:",T84)+7</f>
        <v>#VALUE!</v>
      </c>
      <c r="X84" s="64" t="e">
        <f t="shared" ref="X84:X87" si="284">FIND(",",T84,V84+1)</f>
        <v>#VALUE!</v>
      </c>
      <c r="Y84" s="64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ht="21" customHeight="1" x14ac:dyDescent="0.15">
      <c r="A85" s="126">
        <v>40022084</v>
      </c>
      <c r="B85" s="47" t="s">
        <v>382</v>
      </c>
      <c r="C85" s="50">
        <v>3</v>
      </c>
      <c r="D85" s="50" t="s">
        <v>128</v>
      </c>
      <c r="E85" s="51" t="s">
        <v>365</v>
      </c>
      <c r="F85" s="51" t="s">
        <v>396</v>
      </c>
      <c r="G85" s="64" t="str">
        <f t="shared" si="270"/>
        <v>[effect:enemy_message, val1:2.5, val2:3]</v>
      </c>
      <c r="H85" s="64">
        <f t="shared" si="271"/>
        <v>9</v>
      </c>
      <c r="I85" s="64">
        <f t="shared" si="272"/>
        <v>22</v>
      </c>
      <c r="J85" s="64" t="e">
        <f t="shared" si="273"/>
        <v>#VALUE!</v>
      </c>
      <c r="K85" s="64">
        <f t="shared" si="274"/>
        <v>32</v>
      </c>
      <c r="L85" s="64" t="str">
        <f>IFERROR(VLOOKUP(MID(G85,J85,K85-J85),[5]skilldef!$C:$D,2,FALSE),"-") &amp; " / " &amp; IFERROR(VLOOKUP(MID(G85,H85,I85-H85),[5]skilldef!$A:$B,2,FALSE),"-")</f>
        <v>- / -</v>
      </c>
      <c r="M85" s="64" t="str">
        <f t="shared" si="275"/>
        <v>none</v>
      </c>
      <c r="N85" s="48" t="str">
        <f>IFERROR(LEFT(M85,FIND("],",M85)+S105),M85)</f>
        <v>none</v>
      </c>
      <c r="O85" s="64" t="e">
        <f t="shared" si="276"/>
        <v>#VALUE!</v>
      </c>
      <c r="P85" s="64">
        <f t="shared" si="277"/>
        <v>4</v>
      </c>
      <c r="Q85" s="64" t="e">
        <f t="shared" si="278"/>
        <v>#VALUE!</v>
      </c>
      <c r="R85" s="64" t="e">
        <f t="shared" si="279"/>
        <v>#VALUE!</v>
      </c>
      <c r="S85" s="64" t="str">
        <f>IFERROR(VLOOKUP(MID(N85,Q85,R85-Q85),[5]skilldef!$C:$D,2,FALSE),"-") &amp; " / " &amp; IFERROR(VLOOKUP(MID(N85,O85,P85-O85),[5]skilldef!$A:$B,2,FALSE),"-")</f>
        <v>- / -</v>
      </c>
      <c r="T85" s="48" t="str">
        <f t="shared" si="280"/>
        <v>none</v>
      </c>
      <c r="U85" s="64" t="e">
        <f t="shared" si="281"/>
        <v>#VALUE!</v>
      </c>
      <c r="V85" s="64">
        <f t="shared" si="282"/>
        <v>4</v>
      </c>
      <c r="W85" s="64" t="e">
        <f t="shared" si="283"/>
        <v>#VALUE!</v>
      </c>
      <c r="X85" s="64" t="e">
        <f t="shared" si="284"/>
        <v>#VALUE!</v>
      </c>
      <c r="Y85" s="64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ht="21" customHeight="1" x14ac:dyDescent="0.15">
      <c r="A86" s="126">
        <v>40022085</v>
      </c>
      <c r="B86" s="47" t="s">
        <v>381</v>
      </c>
      <c r="C86" s="50">
        <v>3</v>
      </c>
      <c r="D86" s="50" t="s">
        <v>128</v>
      </c>
      <c r="E86" s="51" t="s">
        <v>285</v>
      </c>
      <c r="F86" s="51" t="s">
        <v>396</v>
      </c>
      <c r="G86" s="64" t="str">
        <f t="shared" si="270"/>
        <v>[effect:enemy_message, val1:2.5, val2:3]</v>
      </c>
      <c r="H86" s="64">
        <f t="shared" si="271"/>
        <v>9</v>
      </c>
      <c r="I86" s="64">
        <f t="shared" si="272"/>
        <v>22</v>
      </c>
      <c r="J86" s="64" t="e">
        <f t="shared" si="273"/>
        <v>#VALUE!</v>
      </c>
      <c r="K86" s="64">
        <f t="shared" si="274"/>
        <v>32</v>
      </c>
      <c r="L86" s="64" t="str">
        <f>IFERROR(VLOOKUP(MID(G86,J86,K86-J86),[5]skilldef!$C:$D,2,FALSE),"-") &amp; " / " &amp; IFERROR(VLOOKUP(MID(G86,H86,I86-H86),[5]skilldef!$A:$B,2,FALSE),"-")</f>
        <v>- / -</v>
      </c>
      <c r="M86" s="64" t="str">
        <f t="shared" si="275"/>
        <v>none</v>
      </c>
      <c r="N86" s="48" t="str">
        <f>IFERROR(LEFT(M86,FIND("],",M86)+S106),M86)</f>
        <v>none</v>
      </c>
      <c r="O86" s="64" t="e">
        <f t="shared" si="276"/>
        <v>#VALUE!</v>
      </c>
      <c r="P86" s="64">
        <f t="shared" si="277"/>
        <v>4</v>
      </c>
      <c r="Q86" s="64" t="e">
        <f t="shared" si="278"/>
        <v>#VALUE!</v>
      </c>
      <c r="R86" s="64" t="e">
        <f t="shared" si="279"/>
        <v>#VALUE!</v>
      </c>
      <c r="S86" s="64" t="str">
        <f>IFERROR(VLOOKUP(MID(N86,Q86,R86-Q86),[5]skilldef!$C:$D,2,FALSE),"-") &amp; " / " &amp; IFERROR(VLOOKUP(MID(N86,O86,P86-O86),[5]skilldef!$A:$B,2,FALSE),"-")</f>
        <v>- / -</v>
      </c>
      <c r="T86" s="48" t="str">
        <f t="shared" si="280"/>
        <v>none</v>
      </c>
      <c r="U86" s="64" t="e">
        <f t="shared" si="281"/>
        <v>#VALUE!</v>
      </c>
      <c r="V86" s="64">
        <f t="shared" si="282"/>
        <v>4</v>
      </c>
      <c r="W86" s="64" t="e">
        <f t="shared" si="283"/>
        <v>#VALUE!</v>
      </c>
      <c r="X86" s="64" t="e">
        <f t="shared" si="284"/>
        <v>#VALUE!</v>
      </c>
      <c r="Y86" s="64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21" customHeight="1" x14ac:dyDescent="0.15">
      <c r="A87" s="126">
        <v>40022086</v>
      </c>
      <c r="B87" s="47" t="s">
        <v>383</v>
      </c>
      <c r="C87" s="50">
        <v>3</v>
      </c>
      <c r="D87" s="50" t="s">
        <v>128</v>
      </c>
      <c r="E87" s="51" t="s">
        <v>407</v>
      </c>
      <c r="F87" s="51" t="s">
        <v>379</v>
      </c>
      <c r="G87" s="64" t="str">
        <f t="shared" si="270"/>
        <v>[effect:enemy_message, val1:2, val2:3.5]</v>
      </c>
      <c r="H87" s="64">
        <f t="shared" si="271"/>
        <v>9</v>
      </c>
      <c r="I87" s="64">
        <f t="shared" si="272"/>
        <v>22</v>
      </c>
      <c r="J87" s="64" t="e">
        <f t="shared" si="273"/>
        <v>#VALUE!</v>
      </c>
      <c r="K87" s="64">
        <f t="shared" si="274"/>
        <v>30</v>
      </c>
      <c r="L87" s="64" t="str">
        <f>IFERROR(VLOOKUP(MID(G87,J87,K87-J87),[5]skilldef!$C:$D,2,FALSE),"-") &amp; " / " &amp; IFERROR(VLOOKUP(MID(G87,H87,I87-H87),[5]skilldef!$A:$B,2,FALSE),"-")</f>
        <v>- / -</v>
      </c>
      <c r="M87" s="64" t="str">
        <f t="shared" si="275"/>
        <v>none</v>
      </c>
      <c r="N87" s="48" t="str">
        <f>IFERROR(LEFT(M87,FIND("],",M87)+S105),M87)</f>
        <v>none</v>
      </c>
      <c r="O87" s="64" t="e">
        <f t="shared" si="276"/>
        <v>#VALUE!</v>
      </c>
      <c r="P87" s="64">
        <f t="shared" si="277"/>
        <v>4</v>
      </c>
      <c r="Q87" s="64" t="e">
        <f t="shared" si="278"/>
        <v>#VALUE!</v>
      </c>
      <c r="R87" s="64" t="e">
        <f t="shared" si="279"/>
        <v>#VALUE!</v>
      </c>
      <c r="S87" s="64" t="str">
        <f>IFERROR(VLOOKUP(MID(N87,Q87,R87-Q87),[5]skilldef!$C:$D,2,FALSE),"-") &amp; " / " &amp; IFERROR(VLOOKUP(MID(N87,O87,P87-O87),[5]skilldef!$A:$B,2,FALSE),"-")</f>
        <v>- / -</v>
      </c>
      <c r="T87" s="48" t="str">
        <f t="shared" si="280"/>
        <v>none</v>
      </c>
      <c r="U87" s="64" t="e">
        <f t="shared" si="281"/>
        <v>#VALUE!</v>
      </c>
      <c r="V87" s="64">
        <f t="shared" si="282"/>
        <v>4</v>
      </c>
      <c r="W87" s="64" t="e">
        <f t="shared" si="283"/>
        <v>#VALUE!</v>
      </c>
      <c r="X87" s="64" t="e">
        <f t="shared" si="284"/>
        <v>#VALUE!</v>
      </c>
      <c r="Y87" s="64" t="str">
        <f>IFERROR(VLOOKUP(MID(T87,W87,X87-W87),[5]skilldef!$C:$D,2,FALSE),"-") &amp; " / " &amp; IFERROR(VLOOKUP(MID(T87,U87,V87-U87),[5]skilldef!$A:$B,2,FALSE),"-")</f>
        <v>- / -</v>
      </c>
      <c r="Z87" s="50"/>
      <c r="AA87" s="52"/>
      <c r="AB87" s="50"/>
    </row>
    <row r="88" spans="1:28" ht="21" customHeight="1" x14ac:dyDescent="0.15">
      <c r="A88" s="126">
        <v>40022087</v>
      </c>
      <c r="B88" s="47" t="s">
        <v>383</v>
      </c>
      <c r="C88" s="50">
        <v>3</v>
      </c>
      <c r="D88" s="50" t="s">
        <v>128</v>
      </c>
      <c r="E88" s="51" t="s">
        <v>407</v>
      </c>
      <c r="F88" s="51" t="s">
        <v>379</v>
      </c>
      <c r="G88" s="64" t="str">
        <f>IFERROR(LEFT(B88,FIND("],",B88)),B88)</f>
        <v>[effect:enemy_message, val1:2, val2:3.5]</v>
      </c>
      <c r="H88" s="64">
        <f>FIND("effect:",G88)+7</f>
        <v>9</v>
      </c>
      <c r="I88" s="64">
        <f>IFERROR(FIND(",",G88),LEN(G88))</f>
        <v>22</v>
      </c>
      <c r="J88" s="64" t="e">
        <f>FIND("target:",G88)+7</f>
        <v>#VALUE!</v>
      </c>
      <c r="K88" s="64">
        <f>FIND(",",G88,I88+1)</f>
        <v>30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>IFERROR(RIGHT(B88,LEN(B88)-FIND("],",B88)-1),"none")</f>
        <v>none</v>
      </c>
      <c r="N88" s="48" t="str">
        <f>IFERROR(LEFT(M88,FIND("],",M88)+S104),M88)</f>
        <v>none</v>
      </c>
      <c r="O88" s="64" t="e">
        <f>FIND("effect:",N88)+7</f>
        <v>#VALUE!</v>
      </c>
      <c r="P88" s="64">
        <f>IFERROR(FIND(",",N88),LEN(N88))</f>
        <v>4</v>
      </c>
      <c r="Q88" s="64" t="e">
        <f>FIND("target:",N88)+7</f>
        <v>#VALUE!</v>
      </c>
      <c r="R88" s="64" t="e">
        <f>FIND(",",N88,P88+1)</f>
        <v>#VALUE!</v>
      </c>
      <c r="S88" s="64" t="str">
        <f>IFERROR(VLOOKUP(MID(N88,Q88,R88-Q88),[5]skilldef!$C:$D,2,FALSE),"-") &amp; " / " &amp; IFERROR(VLOOKUP(MID(N88,O88,P88-O88),[5]skilldef!$A:$B,2,FALSE),"-")</f>
        <v>- / -</v>
      </c>
      <c r="T88" s="48" t="str">
        <f>IFERROR(RIGHT(M88,LEN(M88)-FIND("],",M88)-1),"none")</f>
        <v>none</v>
      </c>
      <c r="U88" s="64" t="e">
        <f>FIND("effect:",T88)+7</f>
        <v>#VALUE!</v>
      </c>
      <c r="V88" s="64">
        <f>IFERROR(FIND(",",T88),LEN(T88))</f>
        <v>4</v>
      </c>
      <c r="W88" s="64" t="e">
        <f>FIND("target:",T88)+7</f>
        <v>#VALUE!</v>
      </c>
      <c r="X88" s="64" t="e">
        <f>FIND(",",T88,V88+1)</f>
        <v>#VALUE!</v>
      </c>
      <c r="Y88" s="64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  <row r="89" spans="1:28" ht="21" customHeight="1" x14ac:dyDescent="0.15">
      <c r="A89" s="126">
        <v>40022088</v>
      </c>
      <c r="B89" s="47" t="s">
        <v>380</v>
      </c>
      <c r="C89" s="50">
        <v>3</v>
      </c>
      <c r="D89" s="50" t="s">
        <v>128</v>
      </c>
      <c r="E89" s="51" t="s">
        <v>407</v>
      </c>
      <c r="F89" s="51" t="s">
        <v>378</v>
      </c>
      <c r="G89" s="64" t="str">
        <f t="shared" ref="G89:G91" si="285">IFERROR(LEFT(B89,FIND("],",B89)),B89)</f>
        <v>[effect:enemy_message, val1:2, val2:4]</v>
      </c>
      <c r="H89" s="64">
        <f t="shared" ref="H89:H91" si="286">FIND("effect:",G89)+7</f>
        <v>9</v>
      </c>
      <c r="I89" s="64">
        <f t="shared" ref="I89:I91" si="287">IFERROR(FIND(",",G89),LEN(G89))</f>
        <v>22</v>
      </c>
      <c r="J89" s="64" t="e">
        <f t="shared" ref="J89:J91" si="288">FIND("target:",G89)+7</f>
        <v>#VALUE!</v>
      </c>
      <c r="K89" s="64">
        <f t="shared" ref="K89:K91" si="289">FIND(",",G89,I89+1)</f>
        <v>30</v>
      </c>
      <c r="L89" s="64" t="str">
        <f>IFERROR(VLOOKUP(MID(G89,J89,K89-J89),[5]skilldef!$C:$D,2,FALSE),"-") &amp; " / " &amp; IFERROR(VLOOKUP(MID(G89,H89,I89-H89),[5]skilldef!$A:$B,2,FALSE),"-")</f>
        <v>- / -</v>
      </c>
      <c r="M89" s="64" t="str">
        <f t="shared" ref="M89:M91" si="290">IFERROR(RIGHT(B89,LEN(B89)-FIND("],",B89)-1),"none")</f>
        <v>none</v>
      </c>
      <c r="N89" s="48" t="str">
        <f>IFERROR(LEFT(M89,FIND("],",M89)+S109),M89)</f>
        <v>none</v>
      </c>
      <c r="O89" s="64" t="e">
        <f t="shared" ref="O89:O91" si="291">FIND("effect:",N89)+7</f>
        <v>#VALUE!</v>
      </c>
      <c r="P89" s="64">
        <f t="shared" ref="P89:P91" si="292">IFERROR(FIND(",",N89),LEN(N89))</f>
        <v>4</v>
      </c>
      <c r="Q89" s="64" t="e">
        <f t="shared" ref="Q89:Q91" si="293">FIND("target:",N89)+7</f>
        <v>#VALUE!</v>
      </c>
      <c r="R89" s="64" t="e">
        <f t="shared" ref="R89:R91" si="294">FIND(",",N89,P89+1)</f>
        <v>#VALUE!</v>
      </c>
      <c r="S89" s="64" t="str">
        <f>IFERROR(VLOOKUP(MID(N89,Q89,R89-Q89),[5]skilldef!$C:$D,2,FALSE),"-") &amp; " / " &amp; IFERROR(VLOOKUP(MID(N89,O89,P89-O89),[5]skilldef!$A:$B,2,FALSE),"-")</f>
        <v>- / -</v>
      </c>
      <c r="T89" s="48" t="str">
        <f t="shared" ref="T89:T91" si="295">IFERROR(RIGHT(M89,LEN(M89)-FIND("],",M89)-1),"none")</f>
        <v>none</v>
      </c>
      <c r="U89" s="64" t="e">
        <f t="shared" ref="U89:U91" si="296">FIND("effect:",T89)+7</f>
        <v>#VALUE!</v>
      </c>
      <c r="V89" s="64">
        <f t="shared" ref="V89:V91" si="297">IFERROR(FIND(",",T89),LEN(T89))</f>
        <v>4</v>
      </c>
      <c r="W89" s="64" t="e">
        <f t="shared" ref="W89:W91" si="298">FIND("target:",T89)+7</f>
        <v>#VALUE!</v>
      </c>
      <c r="X89" s="64" t="e">
        <f t="shared" ref="X89:X91" si="299">FIND(",",T89,V89+1)</f>
        <v>#VALUE!</v>
      </c>
      <c r="Y89" s="64" t="str">
        <f>IFERROR(VLOOKUP(MID(T89,W89,X89-W89),[5]skilldef!$C:$D,2,FALSE),"-") &amp; " / " &amp; IFERROR(VLOOKUP(MID(T89,U89,V89-U89),[5]skilldef!$A:$B,2,FALSE),"-")</f>
        <v>- / -</v>
      </c>
      <c r="Z89" s="50"/>
      <c r="AA89" s="52"/>
      <c r="AB89" s="50"/>
    </row>
    <row r="90" spans="1:28" ht="21" customHeight="1" x14ac:dyDescent="0.15">
      <c r="A90" s="126">
        <v>40022089</v>
      </c>
      <c r="B90" s="47" t="s">
        <v>380</v>
      </c>
      <c r="C90" s="50">
        <v>3</v>
      </c>
      <c r="D90" s="50" t="s">
        <v>128</v>
      </c>
      <c r="E90" s="51" t="s">
        <v>407</v>
      </c>
      <c r="F90" s="51" t="s">
        <v>378</v>
      </c>
      <c r="G90" s="64" t="str">
        <f t="shared" si="285"/>
        <v>[effect:enemy_message, val1:2, val2:4]</v>
      </c>
      <c r="H90" s="64">
        <f t="shared" si="286"/>
        <v>9</v>
      </c>
      <c r="I90" s="64">
        <f t="shared" si="287"/>
        <v>22</v>
      </c>
      <c r="J90" s="64" t="e">
        <f t="shared" si="288"/>
        <v>#VALUE!</v>
      </c>
      <c r="K90" s="64">
        <f t="shared" si="289"/>
        <v>30</v>
      </c>
      <c r="L90" s="64" t="str">
        <f>IFERROR(VLOOKUP(MID(G90,J90,K90-J90),[5]skilldef!$C:$D,2,FALSE),"-") &amp; " / " &amp; IFERROR(VLOOKUP(MID(G90,H90,I90-H90),[5]skilldef!$A:$B,2,FALSE),"-")</f>
        <v>- / -</v>
      </c>
      <c r="M90" s="64" t="str">
        <f t="shared" si="290"/>
        <v>none</v>
      </c>
      <c r="N90" s="48" t="str">
        <f>IFERROR(LEFT(M90,FIND("],",M90)+S110),M90)</f>
        <v>none</v>
      </c>
      <c r="O90" s="64" t="e">
        <f t="shared" si="291"/>
        <v>#VALUE!</v>
      </c>
      <c r="P90" s="64">
        <f t="shared" si="292"/>
        <v>4</v>
      </c>
      <c r="Q90" s="64" t="e">
        <f t="shared" si="293"/>
        <v>#VALUE!</v>
      </c>
      <c r="R90" s="64" t="e">
        <f t="shared" si="294"/>
        <v>#VALUE!</v>
      </c>
      <c r="S90" s="64" t="str">
        <f>IFERROR(VLOOKUP(MID(N90,Q90,R90-Q90),[5]skilldef!$C:$D,2,FALSE),"-") &amp; " / " &amp; IFERROR(VLOOKUP(MID(N90,O90,P90-O90),[5]skilldef!$A:$B,2,FALSE),"-")</f>
        <v>- / -</v>
      </c>
      <c r="T90" s="48" t="str">
        <f t="shared" si="295"/>
        <v>none</v>
      </c>
      <c r="U90" s="64" t="e">
        <f t="shared" si="296"/>
        <v>#VALUE!</v>
      </c>
      <c r="V90" s="64">
        <f t="shared" si="297"/>
        <v>4</v>
      </c>
      <c r="W90" s="64" t="e">
        <f t="shared" si="298"/>
        <v>#VALUE!</v>
      </c>
      <c r="X90" s="64" t="e">
        <f t="shared" si="299"/>
        <v>#VALUE!</v>
      </c>
      <c r="Y90" s="64" t="str">
        <f>IFERROR(VLOOKUP(MID(T90,W90,X90-W90),[5]skilldef!$C:$D,2,FALSE),"-") &amp; " / " &amp; IFERROR(VLOOKUP(MID(T90,U90,V90-U90),[5]skilldef!$A:$B,2,FALSE),"-")</f>
        <v>- / -</v>
      </c>
      <c r="Z90" s="50"/>
      <c r="AA90" s="52"/>
      <c r="AB90" s="50"/>
    </row>
    <row r="91" spans="1:28" ht="21" customHeight="1" x14ac:dyDescent="0.15">
      <c r="A91" s="126">
        <v>40022090</v>
      </c>
      <c r="B91" s="47" t="s">
        <v>380</v>
      </c>
      <c r="C91" s="50">
        <v>3</v>
      </c>
      <c r="D91" s="50" t="s">
        <v>128</v>
      </c>
      <c r="E91" s="51" t="s">
        <v>407</v>
      </c>
      <c r="F91" s="51" t="s">
        <v>378</v>
      </c>
      <c r="G91" s="64" t="str">
        <f t="shared" si="285"/>
        <v>[effect:enemy_message, val1:2, val2:4]</v>
      </c>
      <c r="H91" s="64">
        <f t="shared" si="286"/>
        <v>9</v>
      </c>
      <c r="I91" s="64">
        <f t="shared" si="287"/>
        <v>22</v>
      </c>
      <c r="J91" s="64" t="e">
        <f t="shared" si="288"/>
        <v>#VALUE!</v>
      </c>
      <c r="K91" s="64">
        <f t="shared" si="289"/>
        <v>30</v>
      </c>
      <c r="L91" s="64" t="str">
        <f>IFERROR(VLOOKUP(MID(G91,J91,K91-J91),[5]skilldef!$C:$D,2,FALSE),"-") &amp; " / " &amp; IFERROR(VLOOKUP(MID(G91,H91,I91-H91),[5]skilldef!$A:$B,2,FALSE),"-")</f>
        <v>- / -</v>
      </c>
      <c r="M91" s="64" t="str">
        <f t="shared" si="290"/>
        <v>none</v>
      </c>
      <c r="N91" s="48" t="str">
        <f>IFERROR(LEFT(M91,FIND("],",M91)+S109),M91)</f>
        <v>none</v>
      </c>
      <c r="O91" s="64" t="e">
        <f t="shared" si="291"/>
        <v>#VALUE!</v>
      </c>
      <c r="P91" s="64">
        <f t="shared" si="292"/>
        <v>4</v>
      </c>
      <c r="Q91" s="64" t="e">
        <f t="shared" si="293"/>
        <v>#VALUE!</v>
      </c>
      <c r="R91" s="64" t="e">
        <f t="shared" si="294"/>
        <v>#VALUE!</v>
      </c>
      <c r="S91" s="64" t="str">
        <f>IFERROR(VLOOKUP(MID(N91,Q91,R91-Q91),[5]skilldef!$C:$D,2,FALSE),"-") &amp; " / " &amp; IFERROR(VLOOKUP(MID(N91,O91,P91-O91),[5]skilldef!$A:$B,2,FALSE),"-")</f>
        <v>- / -</v>
      </c>
      <c r="T91" s="48" t="str">
        <f t="shared" si="295"/>
        <v>none</v>
      </c>
      <c r="U91" s="64" t="e">
        <f t="shared" si="296"/>
        <v>#VALUE!</v>
      </c>
      <c r="V91" s="64">
        <f t="shared" si="297"/>
        <v>4</v>
      </c>
      <c r="W91" s="64" t="e">
        <f t="shared" si="298"/>
        <v>#VALUE!</v>
      </c>
      <c r="X91" s="64" t="e">
        <f t="shared" si="299"/>
        <v>#VALUE!</v>
      </c>
      <c r="Y91" s="64" t="str">
        <f>IFERROR(VLOOKUP(MID(T91,W91,X91-W91),[5]skilldef!$C:$D,2,FALSE),"-") &amp; " / " &amp; IFERROR(VLOOKUP(MID(T91,U91,V91-U91),[5]skilldef!$A:$B,2,FALSE),"-")</f>
        <v>- / -</v>
      </c>
      <c r="Z91" s="50"/>
      <c r="AA91" s="52"/>
      <c r="AB91" s="50"/>
    </row>
    <row r="92" spans="1:28" ht="21" customHeight="1" x14ac:dyDescent="0.15">
      <c r="A92" s="126">
        <v>40022091</v>
      </c>
      <c r="B92" s="47" t="s">
        <v>380</v>
      </c>
      <c r="C92" s="50">
        <v>3</v>
      </c>
      <c r="D92" s="50" t="s">
        <v>128</v>
      </c>
      <c r="E92" s="51" t="s">
        <v>407</v>
      </c>
      <c r="F92" s="51" t="s">
        <v>378</v>
      </c>
      <c r="G92" s="64" t="str">
        <f>IFERROR(LEFT(B92,FIND("],",B92)),B92)</f>
        <v>[effect:enemy_message, val1:2, val2:4]</v>
      </c>
      <c r="H92" s="64">
        <f>FIND("effect:",G92)+7</f>
        <v>9</v>
      </c>
      <c r="I92" s="64">
        <f>IFERROR(FIND(",",G92),LEN(G92))</f>
        <v>22</v>
      </c>
      <c r="J92" s="64" t="e">
        <f>FIND("target:",G92)+7</f>
        <v>#VALUE!</v>
      </c>
      <c r="K92" s="64">
        <f>FIND(",",G92,I92+1)</f>
        <v>30</v>
      </c>
      <c r="L92" s="64" t="str">
        <f>IFERROR(VLOOKUP(MID(G92,J92,K92-J92),[5]skilldef!$C:$D,2,FALSE),"-") &amp; " / " &amp; IFERROR(VLOOKUP(MID(G92,H92,I92-H92),[5]skilldef!$A:$B,2,FALSE),"-")</f>
        <v>- / -</v>
      </c>
      <c r="M92" s="64" t="str">
        <f>IFERROR(RIGHT(B92,LEN(B92)-FIND("],",B92)-1),"none")</f>
        <v>none</v>
      </c>
      <c r="N92" s="48" t="str">
        <f>IFERROR(LEFT(M92,FIND("],",M92)+S108),M92)</f>
        <v>none</v>
      </c>
      <c r="O92" s="64" t="e">
        <f>FIND("effect:",N92)+7</f>
        <v>#VALUE!</v>
      </c>
      <c r="P92" s="64">
        <f>IFERROR(FIND(",",N92),LEN(N92))</f>
        <v>4</v>
      </c>
      <c r="Q92" s="64" t="e">
        <f>FIND("target:",N92)+7</f>
        <v>#VALUE!</v>
      </c>
      <c r="R92" s="64" t="e">
        <f>FIND(",",N92,P92+1)</f>
        <v>#VALUE!</v>
      </c>
      <c r="S92" s="64" t="str">
        <f>IFERROR(VLOOKUP(MID(N92,Q92,R92-Q92),[5]skilldef!$C:$D,2,FALSE),"-") &amp; " / " &amp; IFERROR(VLOOKUP(MID(N92,O92,P92-O92),[5]skilldef!$A:$B,2,FALSE),"-")</f>
        <v>- / -</v>
      </c>
      <c r="T92" s="48" t="str">
        <f>IFERROR(RIGHT(M92,LEN(M92)-FIND("],",M92)-1),"none")</f>
        <v>none</v>
      </c>
      <c r="U92" s="64" t="e">
        <f>FIND("effect:",T92)+7</f>
        <v>#VALUE!</v>
      </c>
      <c r="V92" s="64">
        <f>IFERROR(FIND(",",T92),LEN(T92))</f>
        <v>4</v>
      </c>
      <c r="W92" s="64" t="e">
        <f>FIND("target:",T92)+7</f>
        <v>#VALUE!</v>
      </c>
      <c r="X92" s="64" t="e">
        <f>FIND(",",T92,V92+1)</f>
        <v>#VALUE!</v>
      </c>
      <c r="Y92" s="64" t="str">
        <f>IFERROR(VLOOKUP(MID(T92,W92,X92-W92),[5]skilldef!$C:$D,2,FALSE),"-") &amp; " / " &amp; IFERROR(VLOOKUP(MID(T92,U92,V92-U92),[5]skilldef!$A:$B,2,FALSE),"-")</f>
        <v>- / -</v>
      </c>
      <c r="Z92" s="50"/>
      <c r="AA92" s="52"/>
      <c r="AB92" s="50"/>
    </row>
    <row r="93" spans="1:28" ht="21" customHeight="1" x14ac:dyDescent="0.15">
      <c r="A93" s="126">
        <v>40022092</v>
      </c>
      <c r="B93" s="47" t="s">
        <v>380</v>
      </c>
      <c r="C93" s="50">
        <v>3</v>
      </c>
      <c r="D93" s="50" t="s">
        <v>128</v>
      </c>
      <c r="E93" s="51" t="s">
        <v>407</v>
      </c>
      <c r="F93" s="51" t="s">
        <v>378</v>
      </c>
      <c r="G93" s="64" t="str">
        <f t="shared" ref="G93" si="300">IFERROR(LEFT(B93,FIND("],",B93)),B93)</f>
        <v>[effect:enemy_message, val1:2, val2:4]</v>
      </c>
      <c r="H93" s="64">
        <f t="shared" ref="H93" si="301">FIND("effect:",G93)+7</f>
        <v>9</v>
      </c>
      <c r="I93" s="64">
        <f t="shared" ref="I93" si="302">IFERROR(FIND(",",G93),LEN(G93))</f>
        <v>22</v>
      </c>
      <c r="J93" s="64" t="e">
        <f t="shared" ref="J93" si="303">FIND("target:",G93)+7</f>
        <v>#VALUE!</v>
      </c>
      <c r="K93" s="64">
        <f t="shared" ref="K93" si="304">FIND(",",G93,I93+1)</f>
        <v>30</v>
      </c>
      <c r="L93" s="64" t="str">
        <f>IFERROR(VLOOKUP(MID(G93,J93,K93-J93),[5]skilldef!$C:$D,2,FALSE),"-") &amp; " / " &amp; IFERROR(VLOOKUP(MID(G93,H93,I93-H93),[5]skilldef!$A:$B,2,FALSE),"-")</f>
        <v>- / -</v>
      </c>
      <c r="M93" s="64" t="str">
        <f t="shared" ref="M93" si="305">IFERROR(RIGHT(B93,LEN(B93)-FIND("],",B93)-1),"none")</f>
        <v>none</v>
      </c>
      <c r="N93" s="48" t="str">
        <f>IFERROR(LEFT(M93,FIND("],",M93)+S111),M93)</f>
        <v>none</v>
      </c>
      <c r="O93" s="64" t="e">
        <f t="shared" ref="O93" si="306">FIND("effect:",N93)+7</f>
        <v>#VALUE!</v>
      </c>
      <c r="P93" s="64">
        <f t="shared" ref="P93" si="307">IFERROR(FIND(",",N93),LEN(N93))</f>
        <v>4</v>
      </c>
      <c r="Q93" s="64" t="e">
        <f t="shared" ref="Q93" si="308">FIND("target:",N93)+7</f>
        <v>#VALUE!</v>
      </c>
      <c r="R93" s="64" t="e">
        <f t="shared" ref="R93" si="309">FIND(",",N93,P93+1)</f>
        <v>#VALUE!</v>
      </c>
      <c r="S93" s="64" t="str">
        <f>IFERROR(VLOOKUP(MID(N93,Q93,R93-Q93),[5]skilldef!$C:$D,2,FALSE),"-") &amp; " / " &amp; IFERROR(VLOOKUP(MID(N93,O93,P93-O93),[5]skilldef!$A:$B,2,FALSE),"-")</f>
        <v>- / -</v>
      </c>
      <c r="T93" s="48" t="str">
        <f t="shared" ref="T93" si="310">IFERROR(RIGHT(M93,LEN(M93)-FIND("],",M93)-1),"none")</f>
        <v>none</v>
      </c>
      <c r="U93" s="64" t="e">
        <f t="shared" ref="U93" si="311">FIND("effect:",T93)+7</f>
        <v>#VALUE!</v>
      </c>
      <c r="V93" s="64">
        <f t="shared" ref="V93" si="312">IFERROR(FIND(",",T93),LEN(T93))</f>
        <v>4</v>
      </c>
      <c r="W93" s="64" t="e">
        <f t="shared" ref="W93" si="313">FIND("target:",T93)+7</f>
        <v>#VALUE!</v>
      </c>
      <c r="X93" s="64" t="e">
        <f t="shared" ref="X93" si="314">FIND(",",T93,V93+1)</f>
        <v>#VALUE!</v>
      </c>
      <c r="Y93" s="64" t="str">
        <f>IFERROR(VLOOKUP(MID(T93,W93,X93-W93),[5]skilldef!$C:$D,2,FALSE),"-") &amp; " / " &amp; IFERROR(VLOOKUP(MID(T93,U93,V93-U93),[5]skilldef!$A:$B,2,FALSE),"-")</f>
        <v>- / -</v>
      </c>
      <c r="Z93" s="50"/>
      <c r="AA93" s="52"/>
      <c r="AB93" s="50"/>
    </row>
    <row r="94" spans="1:28" ht="21" customHeight="1" x14ac:dyDescent="0.15">
      <c r="A94" s="126">
        <v>40022093</v>
      </c>
      <c r="B94" s="47" t="s">
        <v>380</v>
      </c>
      <c r="C94" s="50">
        <v>3</v>
      </c>
      <c r="D94" s="50" t="s">
        <v>128</v>
      </c>
      <c r="E94" s="51" t="s">
        <v>407</v>
      </c>
      <c r="F94" s="51" t="s">
        <v>378</v>
      </c>
      <c r="G94" s="64" t="str">
        <f>IFERROR(LEFT(B94,FIND("],",B94)),B94)</f>
        <v>[effect:enemy_message, val1:2, val2:4]</v>
      </c>
      <c r="H94" s="64">
        <f>FIND("effect:",G94)+7</f>
        <v>9</v>
      </c>
      <c r="I94" s="64">
        <f>IFERROR(FIND(",",G94),LEN(G94))</f>
        <v>22</v>
      </c>
      <c r="J94" s="64" t="e">
        <f>FIND("target:",G94)+7</f>
        <v>#VALUE!</v>
      </c>
      <c r="K94" s="64">
        <f>FIND(",",G94,I94+1)</f>
        <v>30</v>
      </c>
      <c r="L94" s="64" t="str">
        <f>IFERROR(VLOOKUP(MID(G94,J94,K94-J94),[5]skilldef!$C:$D,2,FALSE),"-") &amp; " / " &amp; IFERROR(VLOOKUP(MID(G94,H94,I94-H94),[5]skilldef!$A:$B,2,FALSE),"-")</f>
        <v>- / -</v>
      </c>
      <c r="M94" s="64" t="str">
        <f>IFERROR(RIGHT(B94,LEN(B94)-FIND("],",B94)-1),"none")</f>
        <v>none</v>
      </c>
      <c r="N94" s="48" t="str">
        <f>IFERROR(LEFT(M94,FIND("],",M94)+S110),M94)</f>
        <v>none</v>
      </c>
      <c r="O94" s="64" t="e">
        <f>FIND("effect:",N94)+7</f>
        <v>#VALUE!</v>
      </c>
      <c r="P94" s="64">
        <f>IFERROR(FIND(",",N94),LEN(N94))</f>
        <v>4</v>
      </c>
      <c r="Q94" s="64" t="e">
        <f>FIND("target:",N94)+7</f>
        <v>#VALUE!</v>
      </c>
      <c r="R94" s="64" t="e">
        <f>FIND(",",N94,P94+1)</f>
        <v>#VALUE!</v>
      </c>
      <c r="S94" s="64" t="str">
        <f>IFERROR(VLOOKUP(MID(N94,Q94,R94-Q94),[5]skilldef!$C:$D,2,FALSE),"-") &amp; " / " &amp; IFERROR(VLOOKUP(MID(N94,O94,P94-O94),[5]skilldef!$A:$B,2,FALSE),"-")</f>
        <v>- / -</v>
      </c>
      <c r="T94" s="48" t="str">
        <f>IFERROR(RIGHT(M94,LEN(M94)-FIND("],",M94)-1),"none")</f>
        <v>none</v>
      </c>
      <c r="U94" s="64" t="e">
        <f>FIND("effect:",T94)+7</f>
        <v>#VALUE!</v>
      </c>
      <c r="V94" s="64">
        <f>IFERROR(FIND(",",T94),LEN(T94))</f>
        <v>4</v>
      </c>
      <c r="W94" s="64" t="e">
        <f>FIND("target:",T94)+7</f>
        <v>#VALUE!</v>
      </c>
      <c r="X94" s="64" t="e">
        <f>FIND(",",T94,V94+1)</f>
        <v>#VALUE!</v>
      </c>
      <c r="Y94" s="64" t="str">
        <f>IFERROR(VLOOKUP(MID(T94,W94,X94-W94),[5]skilldef!$C:$D,2,FALSE),"-") &amp; " / " &amp; IFERROR(VLOOKUP(MID(T94,U94,V94-U94),[5]skilldef!$A:$B,2,FALSE),"-")</f>
        <v>- / -</v>
      </c>
      <c r="Z94" s="50"/>
      <c r="AA94" s="52"/>
      <c r="AB94" s="50"/>
    </row>
    <row r="95" spans="1:28" ht="21" customHeight="1" x14ac:dyDescent="0.15">
      <c r="A95" s="126">
        <v>40022094</v>
      </c>
      <c r="B95" s="47" t="s">
        <v>380</v>
      </c>
      <c r="C95" s="50">
        <v>3</v>
      </c>
      <c r="D95" s="50" t="s">
        <v>128</v>
      </c>
      <c r="E95" s="51" t="s">
        <v>407</v>
      </c>
      <c r="F95" s="51" t="s">
        <v>378</v>
      </c>
      <c r="G95" s="64" t="str">
        <f>IFERROR(LEFT(B95,FIND("],",B95)),B95)</f>
        <v>[effect:enemy_message, val1:2, val2:4]</v>
      </c>
      <c r="H95" s="64">
        <f>FIND("effect:",G95)+7</f>
        <v>9</v>
      </c>
      <c r="I95" s="64">
        <f>IFERROR(FIND(",",G95),LEN(G95))</f>
        <v>22</v>
      </c>
      <c r="J95" s="64" t="e">
        <f>FIND("target:",G95)+7</f>
        <v>#VALUE!</v>
      </c>
      <c r="K95" s="64">
        <f>FIND(",",G95,I95+1)</f>
        <v>30</v>
      </c>
      <c r="L95" s="64" t="str">
        <f>IFERROR(VLOOKUP(MID(G95,J95,K95-J95),[5]skilldef!$C:$D,2,FALSE),"-") &amp; " / " &amp; IFERROR(VLOOKUP(MID(G95,H95,I95-H95),[5]skilldef!$A:$B,2,FALSE),"-")</f>
        <v>- / -</v>
      </c>
      <c r="M95" s="64" t="str">
        <f>IFERROR(RIGHT(B95,LEN(B95)-FIND("],",B95)-1),"none")</f>
        <v>none</v>
      </c>
      <c r="N95" s="48" t="str">
        <f>IFERROR(LEFT(M95,FIND("],",M95)+S104),M95)</f>
        <v>none</v>
      </c>
      <c r="O95" s="64" t="e">
        <f>FIND("effect:",N95)+7</f>
        <v>#VALUE!</v>
      </c>
      <c r="P95" s="64">
        <f>IFERROR(FIND(",",N95),LEN(N95))</f>
        <v>4</v>
      </c>
      <c r="Q95" s="64" t="e">
        <f>FIND("target:",N95)+7</f>
        <v>#VALUE!</v>
      </c>
      <c r="R95" s="64" t="e">
        <f>FIND(",",N95,P95+1)</f>
        <v>#VALUE!</v>
      </c>
      <c r="S95" s="64" t="str">
        <f>IFERROR(VLOOKUP(MID(N95,Q95,R95-Q95),[5]skilldef!$C:$D,2,FALSE),"-") &amp; " / " &amp; IFERROR(VLOOKUP(MID(N95,O95,P95-O95),[5]skilldef!$A:$B,2,FALSE),"-")</f>
        <v>- / -</v>
      </c>
      <c r="T95" s="48" t="str">
        <f>IFERROR(RIGHT(M95,LEN(M95)-FIND("],",M95)-1),"none")</f>
        <v>none</v>
      </c>
      <c r="U95" s="64" t="e">
        <f>FIND("effect:",T95)+7</f>
        <v>#VALUE!</v>
      </c>
      <c r="V95" s="64">
        <f>IFERROR(FIND(",",T95),LEN(T95))</f>
        <v>4</v>
      </c>
      <c r="W95" s="64" t="e">
        <f>FIND("target:",T95)+7</f>
        <v>#VALUE!</v>
      </c>
      <c r="X95" s="64" t="e">
        <f>FIND(",",T95,V95+1)</f>
        <v>#VALUE!</v>
      </c>
      <c r="Y95" s="64" t="str">
        <f>IFERROR(VLOOKUP(MID(T95,W95,X95-W95),[5]skilldef!$C:$D,2,FALSE),"-") &amp; " / " &amp; IFERROR(VLOOKUP(MID(T95,U95,V95-U95),[5]skilldef!$A:$B,2,FALSE),"-")</f>
        <v>- / -</v>
      </c>
      <c r="Z95" s="50"/>
      <c r="AA95" s="52"/>
      <c r="AB95" s="50"/>
    </row>
    <row r="96" spans="1:28" ht="21" customHeight="1" x14ac:dyDescent="0.15">
      <c r="A96" s="126">
        <v>40022095</v>
      </c>
      <c r="B96" s="47" t="s">
        <v>354</v>
      </c>
      <c r="C96" s="50">
        <v>3</v>
      </c>
      <c r="D96" s="50" t="s">
        <v>128</v>
      </c>
      <c r="E96" s="51" t="s">
        <v>369</v>
      </c>
      <c r="F96" s="51" t="s">
        <v>397</v>
      </c>
      <c r="G96" s="64" t="str">
        <f>IFERROR(LEFT(B96,FIND("],",B96)),B96)</f>
        <v>[effect:enemy_message, val1:2.5, val2:4]</v>
      </c>
      <c r="H96" s="64">
        <f>FIND("effect:",G96)+7</f>
        <v>9</v>
      </c>
      <c r="I96" s="64">
        <f>IFERROR(FIND(",",G96),LEN(G96))</f>
        <v>22</v>
      </c>
      <c r="J96" s="64" t="e">
        <f>FIND("target:",G96)+7</f>
        <v>#VALUE!</v>
      </c>
      <c r="K96" s="64">
        <f>FIND(",",G96,I96+1)</f>
        <v>32</v>
      </c>
      <c r="L96" s="64" t="str">
        <f>IFERROR(VLOOKUP(MID(G96,J96,K96-J96),[5]skilldef!$C:$D,2,FALSE),"-") &amp; " / " &amp; IFERROR(VLOOKUP(MID(G96,H96,I96-H96),[5]skilldef!$A:$B,2,FALSE),"-")</f>
        <v>- / -</v>
      </c>
      <c r="M96" s="64" t="str">
        <f>IFERROR(RIGHT(B96,LEN(B96)-FIND("],",B96)-1),"none")</f>
        <v>none</v>
      </c>
      <c r="N96" s="48" t="str">
        <f>IFERROR(LEFT(M96,FIND("],",M96)+S103),M96)</f>
        <v>none</v>
      </c>
      <c r="O96" s="64" t="e">
        <f>FIND("effect:",N96)+7</f>
        <v>#VALUE!</v>
      </c>
      <c r="P96" s="64">
        <f>IFERROR(FIND(",",N96),LEN(N96))</f>
        <v>4</v>
      </c>
      <c r="Q96" s="64" t="e">
        <f>FIND("target:",N96)+7</f>
        <v>#VALUE!</v>
      </c>
      <c r="R96" s="64" t="e">
        <f>FIND(",",N96,P96+1)</f>
        <v>#VALUE!</v>
      </c>
      <c r="S96" s="64" t="str">
        <f>IFERROR(VLOOKUP(MID(N96,Q96,R96-Q96),[5]skilldef!$C:$D,2,FALSE),"-") &amp; " / " &amp; IFERROR(VLOOKUP(MID(N96,O96,P96-O96),[5]skilldef!$A:$B,2,FALSE),"-")</f>
        <v>- / -</v>
      </c>
      <c r="T96" s="48" t="str">
        <f>IFERROR(RIGHT(M96,LEN(M96)-FIND("],",M96)-1),"none")</f>
        <v>none</v>
      </c>
      <c r="U96" s="64" t="e">
        <f>FIND("effect:",T96)+7</f>
        <v>#VALUE!</v>
      </c>
      <c r="V96" s="64">
        <f>IFERROR(FIND(",",T96),LEN(T96))</f>
        <v>4</v>
      </c>
      <c r="W96" s="64" t="e">
        <f>FIND("target:",T96)+7</f>
        <v>#VALUE!</v>
      </c>
      <c r="X96" s="64" t="e">
        <f>FIND(",",T96,V96+1)</f>
        <v>#VALUE!</v>
      </c>
      <c r="Y96" s="64" t="str">
        <f>IFERROR(VLOOKUP(MID(T96,W96,X96-W96),[5]skilldef!$C:$D,2,FALSE),"-") &amp; " / " &amp; IFERROR(VLOOKUP(MID(T96,U96,V96-U96),[5]skilldef!$A:$B,2,FALSE),"-")</f>
        <v>- / -</v>
      </c>
      <c r="Z96" s="50"/>
      <c r="AA96" s="52"/>
      <c r="AB9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6"/>
  <sheetViews>
    <sheetView showGridLines="0" zoomScale="75" zoomScaleNormal="75" zoomScalePageLayoutView="75" workbookViewId="0">
      <pane ySplit="1" topLeftCell="A44" activePane="bottomLeft" state="frozenSplit"/>
      <selection pane="bottomLeft" activeCell="C45" sqref="C4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25">
        <v>40022001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25">
        <v>40022002</v>
      </c>
      <c r="B3" s="47">
        <v>0</v>
      </c>
      <c r="C3" s="47" t="s">
        <v>89</v>
      </c>
      <c r="D3" s="47">
        <v>100</v>
      </c>
      <c r="E3" s="47" t="s">
        <v>89</v>
      </c>
      <c r="F3" s="47" t="s">
        <v>89</v>
      </c>
      <c r="G3" s="47">
        <v>1</v>
      </c>
      <c r="H3" s="47">
        <v>1</v>
      </c>
      <c r="I3" s="47" t="s">
        <v>89</v>
      </c>
      <c r="J3" s="48">
        <f t="shared" ref="J3" si="1">D3</f>
        <v>100</v>
      </c>
    </row>
    <row r="4" spans="1:11" ht="21" customHeight="1" x14ac:dyDescent="0.15">
      <c r="A4" s="125">
        <v>40022003</v>
      </c>
      <c r="B4" s="47">
        <v>0</v>
      </c>
      <c r="C4" s="47" t="s">
        <v>89</v>
      </c>
      <c r="D4" s="47">
        <v>100</v>
      </c>
      <c r="E4" s="47" t="s">
        <v>89</v>
      </c>
      <c r="F4" s="47" t="s">
        <v>89</v>
      </c>
      <c r="G4" s="47">
        <v>1</v>
      </c>
      <c r="H4" s="47">
        <v>2</v>
      </c>
      <c r="I4" s="47" t="s">
        <v>89</v>
      </c>
      <c r="J4" s="48">
        <f t="shared" ref="J4" si="2">D4</f>
        <v>100</v>
      </c>
    </row>
    <row r="5" spans="1:11" ht="21" customHeight="1" x14ac:dyDescent="0.15">
      <c r="A5" s="125">
        <v>40022004</v>
      </c>
      <c r="B5" s="47">
        <v>0</v>
      </c>
      <c r="C5" s="47" t="s">
        <v>89</v>
      </c>
      <c r="D5" s="47">
        <v>100</v>
      </c>
      <c r="E5" s="47" t="s">
        <v>89</v>
      </c>
      <c r="F5" s="47" t="s">
        <v>89</v>
      </c>
      <c r="G5" s="47">
        <v>1</v>
      </c>
      <c r="H5" s="47">
        <v>3</v>
      </c>
      <c r="I5" s="47" t="s">
        <v>89</v>
      </c>
      <c r="J5" s="48">
        <f t="shared" ref="J5" si="3">D5</f>
        <v>100</v>
      </c>
    </row>
    <row r="6" spans="1:11" ht="21" customHeight="1" x14ac:dyDescent="0.15">
      <c r="A6" s="125">
        <v>40022005</v>
      </c>
      <c r="B6" s="47">
        <v>0</v>
      </c>
      <c r="C6" s="47" t="s">
        <v>89</v>
      </c>
      <c r="D6" s="47">
        <v>100</v>
      </c>
      <c r="E6" s="47" t="s">
        <v>89</v>
      </c>
      <c r="F6" s="47" t="s">
        <v>89</v>
      </c>
      <c r="G6" s="47">
        <v>1</v>
      </c>
      <c r="H6" s="47">
        <v>4</v>
      </c>
      <c r="I6" s="47" t="s">
        <v>89</v>
      </c>
      <c r="J6" s="48">
        <f t="shared" ref="J6" si="4">D6</f>
        <v>100</v>
      </c>
    </row>
    <row r="7" spans="1:11" ht="21" customHeight="1" x14ac:dyDescent="0.15">
      <c r="A7" s="125">
        <v>40022006</v>
      </c>
      <c r="B7" s="47">
        <v>0</v>
      </c>
      <c r="C7" s="47" t="s">
        <v>89</v>
      </c>
      <c r="D7" s="47">
        <v>100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ref="J7:J8" si="5">D7</f>
        <v>100</v>
      </c>
    </row>
    <row r="8" spans="1:11" ht="21" customHeight="1" x14ac:dyDescent="0.15">
      <c r="A8" s="125">
        <v>40022007</v>
      </c>
      <c r="B8" s="47">
        <v>1</v>
      </c>
      <c r="C8" s="47" t="s">
        <v>89</v>
      </c>
      <c r="D8" s="47">
        <v>100</v>
      </c>
      <c r="E8" s="47" t="s">
        <v>89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5"/>
        <v>100</v>
      </c>
    </row>
    <row r="9" spans="1:11" ht="21" customHeight="1" x14ac:dyDescent="0.15">
      <c r="A9" s="125">
        <v>40022008</v>
      </c>
      <c r="B9" s="47">
        <v>0</v>
      </c>
      <c r="C9" s="47" t="s">
        <v>89</v>
      </c>
      <c r="D9" s="47">
        <v>100</v>
      </c>
      <c r="E9" s="47" t="s">
        <v>89</v>
      </c>
      <c r="F9" s="47">
        <v>90</v>
      </c>
      <c r="G9" s="47" t="s">
        <v>89</v>
      </c>
      <c r="H9" s="47" t="s">
        <v>89</v>
      </c>
      <c r="I9" s="47" t="s">
        <v>89</v>
      </c>
      <c r="J9" s="48">
        <f t="shared" ref="J9" si="6">D9</f>
        <v>100</v>
      </c>
    </row>
    <row r="10" spans="1:11" ht="21" customHeight="1" x14ac:dyDescent="0.15">
      <c r="A10" s="125">
        <v>40022009</v>
      </c>
      <c r="B10" s="47">
        <v>0</v>
      </c>
      <c r="C10" s="47" t="s">
        <v>89</v>
      </c>
      <c r="D10" s="47">
        <v>100</v>
      </c>
      <c r="E10" s="47">
        <v>90</v>
      </c>
      <c r="F10" s="47">
        <v>70</v>
      </c>
      <c r="G10" s="47" t="s">
        <v>89</v>
      </c>
      <c r="H10" s="47" t="s">
        <v>89</v>
      </c>
      <c r="I10" s="47" t="s">
        <v>89</v>
      </c>
      <c r="J10" s="48">
        <f t="shared" ref="J10" si="7">D10</f>
        <v>100</v>
      </c>
    </row>
    <row r="11" spans="1:11" ht="21" customHeight="1" x14ac:dyDescent="0.15">
      <c r="A11" s="125">
        <v>40022010</v>
      </c>
      <c r="B11" s="47">
        <v>0</v>
      </c>
      <c r="C11" s="47" t="s">
        <v>89</v>
      </c>
      <c r="D11" s="47">
        <v>100</v>
      </c>
      <c r="E11" s="47">
        <v>70</v>
      </c>
      <c r="F11" s="47">
        <v>50</v>
      </c>
      <c r="G11" s="47" t="s">
        <v>89</v>
      </c>
      <c r="H11" s="47" t="s">
        <v>89</v>
      </c>
      <c r="I11" s="47" t="s">
        <v>89</v>
      </c>
      <c r="J11" s="48">
        <f t="shared" ref="J11" si="8">D11</f>
        <v>100</v>
      </c>
    </row>
    <row r="12" spans="1:11" ht="21" customHeight="1" x14ac:dyDescent="0.15">
      <c r="A12" s="125">
        <v>40022011</v>
      </c>
      <c r="B12" s="47">
        <v>0</v>
      </c>
      <c r="C12" s="47" t="s">
        <v>89</v>
      </c>
      <c r="D12" s="47">
        <v>100</v>
      </c>
      <c r="E12" s="47">
        <v>50</v>
      </c>
      <c r="F12" s="47">
        <v>30</v>
      </c>
      <c r="G12" s="47" t="s">
        <v>89</v>
      </c>
      <c r="H12" s="47" t="s">
        <v>89</v>
      </c>
      <c r="I12" s="47" t="s">
        <v>89</v>
      </c>
      <c r="J12" s="48">
        <f t="shared" ref="J12" si="9">D12</f>
        <v>100</v>
      </c>
    </row>
    <row r="13" spans="1:11" ht="21" customHeight="1" x14ac:dyDescent="0.15">
      <c r="A13" s="125">
        <v>40022012</v>
      </c>
      <c r="B13" s="47">
        <v>0</v>
      </c>
      <c r="C13" s="47" t="s">
        <v>89</v>
      </c>
      <c r="D13" s="47">
        <v>100</v>
      </c>
      <c r="E13" s="47">
        <v>30</v>
      </c>
      <c r="F13" s="47">
        <v>20</v>
      </c>
      <c r="G13" s="47" t="s">
        <v>89</v>
      </c>
      <c r="H13" s="47" t="s">
        <v>89</v>
      </c>
      <c r="I13" s="47" t="s">
        <v>89</v>
      </c>
      <c r="J13" s="48">
        <f t="shared" ref="J13" si="10">D13</f>
        <v>100</v>
      </c>
    </row>
    <row r="14" spans="1:11" ht="21" customHeight="1" x14ac:dyDescent="0.15">
      <c r="A14" s="125">
        <v>40022013</v>
      </c>
      <c r="B14" s="47">
        <v>0</v>
      </c>
      <c r="C14" s="47" t="s">
        <v>89</v>
      </c>
      <c r="D14" s="47">
        <v>100</v>
      </c>
      <c r="E14" s="47">
        <v>20</v>
      </c>
      <c r="F14" s="47" t="s">
        <v>89</v>
      </c>
      <c r="G14" s="47" t="s">
        <v>89</v>
      </c>
      <c r="H14" s="47" t="s">
        <v>89</v>
      </c>
      <c r="I14" s="47" t="s">
        <v>89</v>
      </c>
      <c r="J14" s="48">
        <f t="shared" ref="J14:J15" si="11">D14</f>
        <v>100</v>
      </c>
    </row>
    <row r="15" spans="1:11" ht="21" customHeight="1" x14ac:dyDescent="0.15">
      <c r="A15" s="125">
        <v>40022014</v>
      </c>
      <c r="B15" s="47">
        <v>1</v>
      </c>
      <c r="C15" s="47" t="s">
        <v>89</v>
      </c>
      <c r="D15" s="47">
        <v>100</v>
      </c>
      <c r="E15" s="47" t="s">
        <v>89</v>
      </c>
      <c r="F15" s="47" t="s">
        <v>89</v>
      </c>
      <c r="G15" s="47">
        <v>1</v>
      </c>
      <c r="H15" s="47" t="s">
        <v>89</v>
      </c>
      <c r="I15" s="47" t="s">
        <v>89</v>
      </c>
      <c r="J15" s="48">
        <f t="shared" si="11"/>
        <v>100</v>
      </c>
    </row>
    <row r="16" spans="1:11" ht="21" customHeight="1" x14ac:dyDescent="0.15">
      <c r="A16" s="125">
        <v>40022015</v>
      </c>
      <c r="B16" s="47">
        <v>0</v>
      </c>
      <c r="C16" s="47" t="s">
        <v>89</v>
      </c>
      <c r="D16" s="47">
        <v>50</v>
      </c>
      <c r="E16" s="47" t="s">
        <v>89</v>
      </c>
      <c r="F16" s="47" t="s">
        <v>89</v>
      </c>
      <c r="G16" s="47" t="s">
        <v>89</v>
      </c>
      <c r="H16" s="47" t="s">
        <v>89</v>
      </c>
      <c r="I16" s="47" t="s">
        <v>89</v>
      </c>
      <c r="J16" s="48">
        <f t="shared" ref="J16" si="12">D16</f>
        <v>50</v>
      </c>
    </row>
    <row r="17" spans="1:10" ht="21" customHeight="1" x14ac:dyDescent="0.15">
      <c r="A17" s="125">
        <v>40022016</v>
      </c>
      <c r="B17" s="47">
        <v>0</v>
      </c>
      <c r="C17" s="47">
        <v>1</v>
      </c>
      <c r="D17" s="47">
        <v>100</v>
      </c>
      <c r="E17" s="47">
        <v>40</v>
      </c>
      <c r="F17" s="47" t="s">
        <v>89</v>
      </c>
      <c r="G17" s="47">
        <v>1</v>
      </c>
      <c r="H17" s="47" t="s">
        <v>89</v>
      </c>
      <c r="I17" s="47" t="s">
        <v>89</v>
      </c>
      <c r="J17" s="48">
        <f t="shared" ref="J17:J19" si="13">D17</f>
        <v>100</v>
      </c>
    </row>
    <row r="18" spans="1:10" ht="21" customHeight="1" x14ac:dyDescent="0.15">
      <c r="A18" s="125">
        <v>40022017</v>
      </c>
      <c r="B18" s="47">
        <v>1</v>
      </c>
      <c r="C18" s="47" t="s">
        <v>89</v>
      </c>
      <c r="D18" s="47">
        <v>100</v>
      </c>
      <c r="E18" s="47" t="s">
        <v>89</v>
      </c>
      <c r="F18" s="47" t="s">
        <v>89</v>
      </c>
      <c r="G18" s="47">
        <v>1</v>
      </c>
      <c r="H18" s="47" t="s">
        <v>89</v>
      </c>
      <c r="I18" s="47" t="s">
        <v>89</v>
      </c>
      <c r="J18" s="48">
        <f t="shared" si="13"/>
        <v>100</v>
      </c>
    </row>
    <row r="19" spans="1:10" ht="21" customHeight="1" x14ac:dyDescent="0.15">
      <c r="A19" s="125">
        <v>40022018</v>
      </c>
      <c r="B19" s="47">
        <v>0</v>
      </c>
      <c r="C19" s="47" t="s">
        <v>89</v>
      </c>
      <c r="D19" s="47">
        <v>70</v>
      </c>
      <c r="E19" s="47" t="s">
        <v>89</v>
      </c>
      <c r="F19" s="47" t="s">
        <v>89</v>
      </c>
      <c r="G19" s="47" t="s">
        <v>89</v>
      </c>
      <c r="H19" s="47" t="s">
        <v>89</v>
      </c>
      <c r="I19" s="47" t="s">
        <v>89</v>
      </c>
      <c r="J19" s="48">
        <f t="shared" si="13"/>
        <v>70</v>
      </c>
    </row>
    <row r="20" spans="1:10" ht="21" customHeight="1" x14ac:dyDescent="0.15">
      <c r="A20" s="125">
        <v>40022019</v>
      </c>
      <c r="B20" s="47">
        <v>0</v>
      </c>
      <c r="C20" s="47">
        <v>1</v>
      </c>
      <c r="D20" s="47">
        <v>100</v>
      </c>
      <c r="E20" s="47">
        <v>40</v>
      </c>
      <c r="F20" s="47" t="s">
        <v>89</v>
      </c>
      <c r="G20" s="47">
        <v>1</v>
      </c>
      <c r="H20" s="47" t="s">
        <v>89</v>
      </c>
      <c r="I20" s="47" t="s">
        <v>89</v>
      </c>
      <c r="J20" s="48">
        <f t="shared" ref="J20:J22" si="14">D20</f>
        <v>100</v>
      </c>
    </row>
    <row r="21" spans="1:10" ht="21" customHeight="1" x14ac:dyDescent="0.15">
      <c r="A21" s="125">
        <v>40022020</v>
      </c>
      <c r="B21" s="47">
        <v>1</v>
      </c>
      <c r="C21" s="47" t="s">
        <v>89</v>
      </c>
      <c r="D21" s="47">
        <v>100</v>
      </c>
      <c r="E21" s="47" t="s">
        <v>89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14"/>
        <v>100</v>
      </c>
    </row>
    <row r="22" spans="1:10" ht="21" customHeight="1" x14ac:dyDescent="0.15">
      <c r="A22" s="125">
        <v>40022021</v>
      </c>
      <c r="B22" s="47">
        <v>0</v>
      </c>
      <c r="C22" s="47" t="s">
        <v>89</v>
      </c>
      <c r="D22" s="47">
        <v>50</v>
      </c>
      <c r="E22" s="47" t="s">
        <v>89</v>
      </c>
      <c r="F22" s="47" t="s">
        <v>89</v>
      </c>
      <c r="G22" s="47" t="s">
        <v>89</v>
      </c>
      <c r="H22" s="47" t="s">
        <v>89</v>
      </c>
      <c r="I22" s="47" t="s">
        <v>89</v>
      </c>
      <c r="J22" s="48">
        <f t="shared" si="14"/>
        <v>50</v>
      </c>
    </row>
    <row r="23" spans="1:10" ht="21" customHeight="1" x14ac:dyDescent="0.15">
      <c r="A23" s="125">
        <v>40022022</v>
      </c>
      <c r="B23" s="47">
        <v>1</v>
      </c>
      <c r="C23" s="47" t="s">
        <v>89</v>
      </c>
      <c r="D23" s="47">
        <v>100</v>
      </c>
      <c r="E23" s="47" t="s">
        <v>89</v>
      </c>
      <c r="F23" s="47" t="s">
        <v>89</v>
      </c>
      <c r="G23" s="47">
        <v>1</v>
      </c>
      <c r="H23" s="47" t="s">
        <v>89</v>
      </c>
      <c r="I23" s="47" t="s">
        <v>89</v>
      </c>
      <c r="J23" s="48">
        <f t="shared" ref="J23:J24" si="15">D23</f>
        <v>100</v>
      </c>
    </row>
    <row r="24" spans="1:10" ht="21" customHeight="1" x14ac:dyDescent="0.15">
      <c r="A24" s="125">
        <v>40022023</v>
      </c>
      <c r="B24" s="47">
        <v>0</v>
      </c>
      <c r="C24" s="47" t="s">
        <v>89</v>
      </c>
      <c r="D24" s="47">
        <v>70</v>
      </c>
      <c r="E24" s="47" t="s">
        <v>89</v>
      </c>
      <c r="F24" s="47" t="s">
        <v>89</v>
      </c>
      <c r="G24" s="47" t="s">
        <v>89</v>
      </c>
      <c r="H24" s="47" t="s">
        <v>89</v>
      </c>
      <c r="I24" s="47" t="s">
        <v>89</v>
      </c>
      <c r="J24" s="48">
        <f t="shared" si="15"/>
        <v>70</v>
      </c>
    </row>
    <row r="25" spans="1:10" ht="21" customHeight="1" x14ac:dyDescent="0.15">
      <c r="A25" s="125">
        <v>40022024</v>
      </c>
      <c r="B25" s="47">
        <v>1</v>
      </c>
      <c r="C25" s="47" t="s">
        <v>89</v>
      </c>
      <c r="D25" s="47">
        <v>100</v>
      </c>
      <c r="E25" s="47" t="s">
        <v>89</v>
      </c>
      <c r="F25" s="47" t="s">
        <v>89</v>
      </c>
      <c r="G25" s="47">
        <v>1</v>
      </c>
      <c r="H25" s="47" t="s">
        <v>89</v>
      </c>
      <c r="I25" s="47" t="s">
        <v>89</v>
      </c>
      <c r="J25" s="48">
        <f t="shared" ref="J25:J26" si="16">D25</f>
        <v>100</v>
      </c>
    </row>
    <row r="26" spans="1:10" ht="21" customHeight="1" x14ac:dyDescent="0.15">
      <c r="A26" s="125">
        <v>40022025</v>
      </c>
      <c r="B26" s="47">
        <v>0</v>
      </c>
      <c r="C26" s="47" t="s">
        <v>89</v>
      </c>
      <c r="D26" s="47">
        <v>70</v>
      </c>
      <c r="E26" s="47" t="s">
        <v>89</v>
      </c>
      <c r="F26" s="47" t="s">
        <v>89</v>
      </c>
      <c r="G26" s="47" t="s">
        <v>89</v>
      </c>
      <c r="H26" s="47" t="s">
        <v>89</v>
      </c>
      <c r="I26" s="47" t="s">
        <v>89</v>
      </c>
      <c r="J26" s="48">
        <f t="shared" si="16"/>
        <v>70</v>
      </c>
    </row>
    <row r="27" spans="1:10" ht="21" customHeight="1" x14ac:dyDescent="0.15">
      <c r="A27" s="125">
        <v>40022026</v>
      </c>
      <c r="B27" s="47">
        <v>1</v>
      </c>
      <c r="C27" s="47" t="s">
        <v>89</v>
      </c>
      <c r="D27" s="47">
        <v>100</v>
      </c>
      <c r="E27" s="47" t="s">
        <v>89</v>
      </c>
      <c r="F27" s="47" t="s">
        <v>89</v>
      </c>
      <c r="G27" s="47">
        <v>1</v>
      </c>
      <c r="H27" s="47" t="s">
        <v>89</v>
      </c>
      <c r="I27" s="47" t="s">
        <v>89</v>
      </c>
      <c r="J27" s="48">
        <f t="shared" ref="J27:J32" si="17">D27</f>
        <v>100</v>
      </c>
    </row>
    <row r="28" spans="1:10" ht="21" customHeight="1" x14ac:dyDescent="0.15">
      <c r="A28" s="125">
        <v>40022027</v>
      </c>
      <c r="B28" s="47">
        <v>0</v>
      </c>
      <c r="C28" s="47">
        <v>3</v>
      </c>
      <c r="D28" s="47">
        <v>100</v>
      </c>
      <c r="E28" s="47" t="s">
        <v>89</v>
      </c>
      <c r="F28" s="47" t="s">
        <v>89</v>
      </c>
      <c r="G28" s="47">
        <v>1</v>
      </c>
      <c r="H28" s="47">
        <v>1</v>
      </c>
      <c r="I28" s="47" t="s">
        <v>89</v>
      </c>
      <c r="J28" s="48">
        <f t="shared" si="17"/>
        <v>100</v>
      </c>
    </row>
    <row r="29" spans="1:10" ht="21" customHeight="1" x14ac:dyDescent="0.15">
      <c r="A29" s="125">
        <v>40022028</v>
      </c>
      <c r="B29" s="47">
        <v>0</v>
      </c>
      <c r="C29" s="47">
        <v>2</v>
      </c>
      <c r="D29" s="47">
        <v>100</v>
      </c>
      <c r="E29" s="47">
        <v>40</v>
      </c>
      <c r="F29" s="47" t="s">
        <v>89</v>
      </c>
      <c r="G29" s="47">
        <v>1</v>
      </c>
      <c r="H29" s="47">
        <v>1</v>
      </c>
      <c r="I29" s="47" t="s">
        <v>89</v>
      </c>
      <c r="J29" s="48">
        <f>D29</f>
        <v>100</v>
      </c>
    </row>
    <row r="30" spans="1:10" ht="21" customHeight="1" x14ac:dyDescent="0.15">
      <c r="A30" s="125">
        <v>40022029</v>
      </c>
      <c r="B30" s="47">
        <v>0</v>
      </c>
      <c r="C30" s="47">
        <v>1</v>
      </c>
      <c r="D30" s="47">
        <v>100</v>
      </c>
      <c r="E30" s="47">
        <v>40</v>
      </c>
      <c r="F30" s="47" t="s">
        <v>89</v>
      </c>
      <c r="G30" s="47">
        <v>1</v>
      </c>
      <c r="H30" s="47">
        <v>1</v>
      </c>
      <c r="I30" s="47" t="s">
        <v>89</v>
      </c>
      <c r="J30" s="48">
        <f>D30</f>
        <v>100</v>
      </c>
    </row>
    <row r="31" spans="1:10" ht="21" customHeight="1" x14ac:dyDescent="0.15">
      <c r="A31" s="125">
        <v>40022030</v>
      </c>
      <c r="B31" s="47">
        <v>0</v>
      </c>
      <c r="C31" s="47" t="s">
        <v>89</v>
      </c>
      <c r="D31" s="47">
        <v>100</v>
      </c>
      <c r="E31" s="47" t="s">
        <v>89</v>
      </c>
      <c r="F31" s="47" t="s">
        <v>89</v>
      </c>
      <c r="G31" s="47" t="s">
        <v>89</v>
      </c>
      <c r="H31" s="47" t="s">
        <v>89</v>
      </c>
      <c r="I31" s="47" t="s">
        <v>89</v>
      </c>
      <c r="J31" s="48">
        <f t="shared" ref="J31" si="18">D31</f>
        <v>100</v>
      </c>
    </row>
    <row r="32" spans="1:10" ht="21" customHeight="1" x14ac:dyDescent="0.15">
      <c r="A32" s="125">
        <v>40022031</v>
      </c>
      <c r="B32" s="47">
        <v>0</v>
      </c>
      <c r="C32" s="47" t="s">
        <v>89</v>
      </c>
      <c r="D32" s="47">
        <v>100</v>
      </c>
      <c r="E32" s="47" t="s">
        <v>89</v>
      </c>
      <c r="F32" s="47" t="s">
        <v>89</v>
      </c>
      <c r="G32" s="47" t="s">
        <v>89</v>
      </c>
      <c r="H32" s="47">
        <v>2</v>
      </c>
      <c r="I32" s="47" t="s">
        <v>89</v>
      </c>
      <c r="J32" s="48">
        <f t="shared" si="17"/>
        <v>100</v>
      </c>
    </row>
    <row r="33" spans="1:10" ht="21" customHeight="1" x14ac:dyDescent="0.15">
      <c r="A33" s="125">
        <v>40022032</v>
      </c>
      <c r="B33" s="47">
        <v>1</v>
      </c>
      <c r="C33" s="47" t="s">
        <v>89</v>
      </c>
      <c r="D33" s="47">
        <v>100</v>
      </c>
      <c r="E33" s="47" t="s">
        <v>89</v>
      </c>
      <c r="F33" s="47" t="s">
        <v>89</v>
      </c>
      <c r="G33" s="47">
        <v>1</v>
      </c>
      <c r="H33" s="47" t="s">
        <v>89</v>
      </c>
      <c r="I33" s="47" t="s">
        <v>89</v>
      </c>
      <c r="J33" s="48">
        <f t="shared" ref="J33:J38" si="19">D33</f>
        <v>100</v>
      </c>
    </row>
    <row r="34" spans="1:10" ht="21" customHeight="1" x14ac:dyDescent="0.15">
      <c r="A34" s="125">
        <v>40022033</v>
      </c>
      <c r="B34" s="47">
        <v>0</v>
      </c>
      <c r="C34" s="47">
        <v>3</v>
      </c>
      <c r="D34" s="47">
        <v>100</v>
      </c>
      <c r="E34" s="47" t="s">
        <v>89</v>
      </c>
      <c r="F34" s="47" t="s">
        <v>89</v>
      </c>
      <c r="G34" s="47">
        <v>1</v>
      </c>
      <c r="H34" s="47">
        <v>1</v>
      </c>
      <c r="I34" s="47" t="s">
        <v>89</v>
      </c>
      <c r="J34" s="48">
        <f>D34</f>
        <v>100</v>
      </c>
    </row>
    <row r="35" spans="1:10" ht="21" customHeight="1" x14ac:dyDescent="0.15">
      <c r="A35" s="125">
        <v>40022034</v>
      </c>
      <c r="B35" s="47">
        <v>0</v>
      </c>
      <c r="C35" s="47">
        <v>2</v>
      </c>
      <c r="D35" s="47">
        <v>100</v>
      </c>
      <c r="E35" s="47">
        <v>40</v>
      </c>
      <c r="F35" s="47" t="s">
        <v>89</v>
      </c>
      <c r="G35" s="47">
        <v>1</v>
      </c>
      <c r="H35" s="47">
        <v>1</v>
      </c>
      <c r="I35" s="47" t="s">
        <v>89</v>
      </c>
      <c r="J35" s="48">
        <f>D35</f>
        <v>100</v>
      </c>
    </row>
    <row r="36" spans="1:10" ht="21" customHeight="1" x14ac:dyDescent="0.15">
      <c r="A36" s="125">
        <v>40022035</v>
      </c>
      <c r="B36" s="47">
        <v>0</v>
      </c>
      <c r="C36" s="47">
        <v>1</v>
      </c>
      <c r="D36" s="47">
        <v>100</v>
      </c>
      <c r="E36" s="47">
        <v>40</v>
      </c>
      <c r="F36" s="47" t="s">
        <v>89</v>
      </c>
      <c r="G36" s="47">
        <v>1</v>
      </c>
      <c r="H36" s="47">
        <v>1</v>
      </c>
      <c r="I36" s="47" t="s">
        <v>89</v>
      </c>
      <c r="J36" s="48">
        <f>D36</f>
        <v>100</v>
      </c>
    </row>
    <row r="37" spans="1:10" ht="21" customHeight="1" x14ac:dyDescent="0.15">
      <c r="A37" s="125">
        <v>40022036</v>
      </c>
      <c r="B37" s="47">
        <v>0</v>
      </c>
      <c r="C37" s="47" t="s">
        <v>89</v>
      </c>
      <c r="D37" s="47">
        <v>100</v>
      </c>
      <c r="E37" s="47" t="s">
        <v>89</v>
      </c>
      <c r="F37" s="47" t="s">
        <v>89</v>
      </c>
      <c r="G37" s="47" t="s">
        <v>89</v>
      </c>
      <c r="H37" s="47" t="s">
        <v>89</v>
      </c>
      <c r="I37" s="47" t="s">
        <v>89</v>
      </c>
      <c r="J37" s="48">
        <f>D37</f>
        <v>100</v>
      </c>
    </row>
    <row r="38" spans="1:10" ht="21" customHeight="1" x14ac:dyDescent="0.15">
      <c r="A38" s="125">
        <v>40022037</v>
      </c>
      <c r="B38" s="47">
        <v>0</v>
      </c>
      <c r="C38" s="47" t="s">
        <v>89</v>
      </c>
      <c r="D38" s="47">
        <v>100</v>
      </c>
      <c r="E38" s="47" t="s">
        <v>89</v>
      </c>
      <c r="F38" s="47" t="s">
        <v>89</v>
      </c>
      <c r="G38" s="47" t="s">
        <v>89</v>
      </c>
      <c r="H38" s="47">
        <v>2</v>
      </c>
      <c r="I38" s="47" t="s">
        <v>89</v>
      </c>
      <c r="J38" s="48">
        <f t="shared" si="19"/>
        <v>100</v>
      </c>
    </row>
    <row r="39" spans="1:10" ht="21" customHeight="1" x14ac:dyDescent="0.15">
      <c r="A39" s="125">
        <v>40022038</v>
      </c>
      <c r="B39" s="47">
        <v>1</v>
      </c>
      <c r="C39" s="47" t="s">
        <v>89</v>
      </c>
      <c r="D39" s="47">
        <v>100</v>
      </c>
      <c r="E39" s="47" t="s">
        <v>89</v>
      </c>
      <c r="F39" s="47" t="s">
        <v>89</v>
      </c>
      <c r="G39" s="47">
        <v>1</v>
      </c>
      <c r="H39" s="47" t="s">
        <v>89</v>
      </c>
      <c r="I39" s="47" t="s">
        <v>89</v>
      </c>
      <c r="J39" s="48">
        <f t="shared" ref="J39:J43" si="20">D39</f>
        <v>100</v>
      </c>
    </row>
    <row r="40" spans="1:10" ht="21" customHeight="1" x14ac:dyDescent="0.15">
      <c r="A40" s="125">
        <v>40022039</v>
      </c>
      <c r="B40" s="47">
        <v>0</v>
      </c>
      <c r="C40" s="47" t="s">
        <v>89</v>
      </c>
      <c r="D40" s="47">
        <v>100</v>
      </c>
      <c r="E40" s="47" t="s">
        <v>89</v>
      </c>
      <c r="F40" s="47" t="s">
        <v>89</v>
      </c>
      <c r="G40" s="47">
        <v>1</v>
      </c>
      <c r="H40" s="47">
        <v>1</v>
      </c>
      <c r="I40" s="47" t="s">
        <v>89</v>
      </c>
      <c r="J40" s="48">
        <f t="shared" si="20"/>
        <v>100</v>
      </c>
    </row>
    <row r="41" spans="1:10" ht="21" customHeight="1" x14ac:dyDescent="0.15">
      <c r="A41" s="125">
        <v>40022040</v>
      </c>
      <c r="B41" s="47">
        <v>0</v>
      </c>
      <c r="C41" s="47" t="s">
        <v>89</v>
      </c>
      <c r="D41" s="47">
        <v>100</v>
      </c>
      <c r="E41" s="47" t="s">
        <v>89</v>
      </c>
      <c r="F41" s="47" t="s">
        <v>89</v>
      </c>
      <c r="G41" s="47">
        <v>1</v>
      </c>
      <c r="H41" s="47">
        <v>2</v>
      </c>
      <c r="I41" s="47" t="s">
        <v>89</v>
      </c>
      <c r="J41" s="48">
        <f t="shared" si="20"/>
        <v>100</v>
      </c>
    </row>
    <row r="42" spans="1:10" ht="21" customHeight="1" x14ac:dyDescent="0.15">
      <c r="A42" s="125">
        <v>40022041</v>
      </c>
      <c r="B42" s="47">
        <v>0</v>
      </c>
      <c r="C42" s="47" t="s">
        <v>89</v>
      </c>
      <c r="D42" s="47">
        <v>100</v>
      </c>
      <c r="E42" s="47" t="s">
        <v>89</v>
      </c>
      <c r="F42" s="47" t="s">
        <v>89</v>
      </c>
      <c r="G42" s="47">
        <v>1</v>
      </c>
      <c r="H42" s="47">
        <v>3</v>
      </c>
      <c r="I42" s="47" t="s">
        <v>89</v>
      </c>
      <c r="J42" s="48">
        <f t="shared" si="20"/>
        <v>100</v>
      </c>
    </row>
    <row r="43" spans="1:10" ht="21" customHeight="1" x14ac:dyDescent="0.15">
      <c r="A43" s="125">
        <v>40022042</v>
      </c>
      <c r="B43" s="47">
        <v>0</v>
      </c>
      <c r="C43" s="47" t="s">
        <v>89</v>
      </c>
      <c r="D43" s="47">
        <v>100</v>
      </c>
      <c r="E43" s="47" t="s">
        <v>89</v>
      </c>
      <c r="F43" s="47" t="s">
        <v>89</v>
      </c>
      <c r="G43" s="47">
        <v>1</v>
      </c>
      <c r="H43" s="47">
        <v>4</v>
      </c>
      <c r="I43" s="47" t="s">
        <v>89</v>
      </c>
      <c r="J43" s="48">
        <f t="shared" si="20"/>
        <v>100</v>
      </c>
    </row>
    <row r="44" spans="1:10" ht="21" customHeight="1" x14ac:dyDescent="0.15">
      <c r="A44" s="125">
        <v>40022043</v>
      </c>
      <c r="B44" s="47">
        <v>0</v>
      </c>
      <c r="C44" s="47" t="s">
        <v>89</v>
      </c>
      <c r="D44" s="47">
        <v>100</v>
      </c>
      <c r="E44" s="47" t="s">
        <v>89</v>
      </c>
      <c r="F44" s="47" t="s">
        <v>89</v>
      </c>
      <c r="G44" s="47">
        <v>1</v>
      </c>
      <c r="H44" s="47">
        <v>5</v>
      </c>
      <c r="I44" s="47" t="s">
        <v>89</v>
      </c>
      <c r="J44" s="48">
        <f t="shared" ref="J44" si="21">D44</f>
        <v>100</v>
      </c>
    </row>
    <row r="45" spans="1:10" ht="21" customHeight="1" x14ac:dyDescent="0.15">
      <c r="A45" s="125">
        <v>40022044</v>
      </c>
      <c r="B45" s="47">
        <v>0</v>
      </c>
      <c r="C45" s="47">
        <v>1</v>
      </c>
      <c r="D45" s="47">
        <v>100</v>
      </c>
      <c r="E45" s="47" t="s">
        <v>53</v>
      </c>
      <c r="F45" s="47" t="s">
        <v>53</v>
      </c>
      <c r="G45" s="47">
        <v>0</v>
      </c>
      <c r="H45" s="47" t="s">
        <v>53</v>
      </c>
      <c r="I45" s="47">
        <v>1012</v>
      </c>
      <c r="J45" s="48">
        <f t="shared" ref="J45" si="22">D45</f>
        <v>100</v>
      </c>
    </row>
    <row r="46" spans="1:10" ht="21" customHeight="1" x14ac:dyDescent="0.15">
      <c r="A46" s="125">
        <v>40022045</v>
      </c>
      <c r="B46" s="47">
        <v>0</v>
      </c>
      <c r="C46" s="47">
        <v>1</v>
      </c>
      <c r="D46" s="47">
        <v>100</v>
      </c>
      <c r="E46" s="47" t="s">
        <v>53</v>
      </c>
      <c r="F46" s="47" t="s">
        <v>53</v>
      </c>
      <c r="G46" s="47">
        <v>0</v>
      </c>
      <c r="H46" s="47" t="s">
        <v>53</v>
      </c>
      <c r="I46" s="47">
        <v>1013</v>
      </c>
      <c r="J46" s="48">
        <f t="shared" ref="J46:J47" si="23">D46</f>
        <v>100</v>
      </c>
    </row>
    <row r="47" spans="1:10" ht="21" customHeight="1" x14ac:dyDescent="0.15">
      <c r="A47" s="125">
        <v>40022046</v>
      </c>
      <c r="B47" s="47">
        <v>0</v>
      </c>
      <c r="C47" s="47">
        <v>1</v>
      </c>
      <c r="D47" s="47">
        <v>100</v>
      </c>
      <c r="E47" s="47" t="s">
        <v>53</v>
      </c>
      <c r="F47" s="47" t="s">
        <v>53</v>
      </c>
      <c r="G47" s="47">
        <v>0</v>
      </c>
      <c r="H47" s="47" t="s">
        <v>53</v>
      </c>
      <c r="I47" s="47">
        <v>1010</v>
      </c>
      <c r="J47" s="48">
        <f t="shared" si="23"/>
        <v>100</v>
      </c>
    </row>
    <row r="48" spans="1:10" ht="21" customHeight="1" x14ac:dyDescent="0.15">
      <c r="A48" s="125">
        <v>40022047</v>
      </c>
      <c r="B48" s="47">
        <v>0</v>
      </c>
      <c r="C48" s="47">
        <v>1</v>
      </c>
      <c r="D48" s="47">
        <v>100</v>
      </c>
      <c r="E48" s="47" t="s">
        <v>53</v>
      </c>
      <c r="F48" s="47" t="s">
        <v>53</v>
      </c>
      <c r="G48" s="47">
        <v>0</v>
      </c>
      <c r="H48" s="47" t="s">
        <v>53</v>
      </c>
      <c r="I48" s="47">
        <v>1011</v>
      </c>
      <c r="J48" s="48">
        <f t="shared" ref="J48:J50" si="24">D48</f>
        <v>100</v>
      </c>
    </row>
    <row r="49" spans="1:10" ht="21" customHeight="1" x14ac:dyDescent="0.15">
      <c r="A49" s="125">
        <v>40022048</v>
      </c>
      <c r="B49" s="47">
        <v>0</v>
      </c>
      <c r="C49" s="47">
        <v>1</v>
      </c>
      <c r="D49" s="47">
        <v>100</v>
      </c>
      <c r="E49" s="47" t="s">
        <v>53</v>
      </c>
      <c r="F49" s="47" t="s">
        <v>53</v>
      </c>
      <c r="G49" s="47">
        <v>0</v>
      </c>
      <c r="H49" s="47" t="s">
        <v>53</v>
      </c>
      <c r="I49" s="47">
        <v>166</v>
      </c>
      <c r="J49" s="48">
        <f t="shared" si="24"/>
        <v>100</v>
      </c>
    </row>
    <row r="50" spans="1:10" ht="21" customHeight="1" x14ac:dyDescent="0.15">
      <c r="A50" s="125">
        <v>40022049</v>
      </c>
      <c r="B50" s="47">
        <v>0</v>
      </c>
      <c r="C50" s="47">
        <v>1</v>
      </c>
      <c r="D50" s="47">
        <v>100</v>
      </c>
      <c r="E50" s="47" t="s">
        <v>53</v>
      </c>
      <c r="F50" s="47" t="s">
        <v>53</v>
      </c>
      <c r="G50" s="47">
        <v>0</v>
      </c>
      <c r="H50" s="47" t="s">
        <v>53</v>
      </c>
      <c r="I50" s="47">
        <v>167</v>
      </c>
      <c r="J50" s="48">
        <f t="shared" si="24"/>
        <v>100</v>
      </c>
    </row>
    <row r="51" spans="1:10" ht="21" customHeight="1" x14ac:dyDescent="0.15">
      <c r="A51" s="125">
        <v>40022050</v>
      </c>
      <c r="B51" s="47">
        <v>0</v>
      </c>
      <c r="C51" s="47">
        <v>1</v>
      </c>
      <c r="D51" s="47">
        <v>100</v>
      </c>
      <c r="E51" s="47" t="s">
        <v>53</v>
      </c>
      <c r="F51" s="47" t="s">
        <v>53</v>
      </c>
      <c r="G51" s="47">
        <v>0</v>
      </c>
      <c r="H51" s="47" t="s">
        <v>53</v>
      </c>
      <c r="I51" s="47">
        <v>168</v>
      </c>
      <c r="J51" s="48">
        <f t="shared" ref="J51:J55" si="25">D51</f>
        <v>100</v>
      </c>
    </row>
    <row r="52" spans="1:10" ht="21" customHeight="1" x14ac:dyDescent="0.15">
      <c r="A52" s="125">
        <v>40022051</v>
      </c>
      <c r="B52" s="47">
        <v>0</v>
      </c>
      <c r="C52" s="47">
        <v>1</v>
      </c>
      <c r="D52" s="47">
        <v>100</v>
      </c>
      <c r="E52" s="47" t="s">
        <v>53</v>
      </c>
      <c r="F52" s="47" t="s">
        <v>53</v>
      </c>
      <c r="G52" s="47">
        <v>0</v>
      </c>
      <c r="H52" s="47" t="s">
        <v>53</v>
      </c>
      <c r="I52" s="47">
        <v>512</v>
      </c>
      <c r="J52" s="48">
        <f t="shared" si="25"/>
        <v>100</v>
      </c>
    </row>
    <row r="53" spans="1:10" ht="21" customHeight="1" x14ac:dyDescent="0.15">
      <c r="A53" s="125">
        <v>40022052</v>
      </c>
      <c r="B53" s="47">
        <v>0</v>
      </c>
      <c r="C53" s="47">
        <v>1</v>
      </c>
      <c r="D53" s="47">
        <v>100</v>
      </c>
      <c r="E53" s="47" t="s">
        <v>53</v>
      </c>
      <c r="F53" s="47" t="s">
        <v>53</v>
      </c>
      <c r="G53" s="47">
        <v>0</v>
      </c>
      <c r="H53" s="47" t="s">
        <v>53</v>
      </c>
      <c r="I53" s="47">
        <v>513</v>
      </c>
      <c r="J53" s="48">
        <f t="shared" si="25"/>
        <v>100</v>
      </c>
    </row>
    <row r="54" spans="1:10" ht="21" customHeight="1" x14ac:dyDescent="0.15">
      <c r="A54" s="125">
        <v>40022053</v>
      </c>
      <c r="B54" s="47">
        <v>0</v>
      </c>
      <c r="C54" s="47">
        <v>1</v>
      </c>
      <c r="D54" s="47">
        <v>100</v>
      </c>
      <c r="E54" s="47" t="s">
        <v>53</v>
      </c>
      <c r="F54" s="47" t="s">
        <v>53</v>
      </c>
      <c r="G54" s="47">
        <v>0</v>
      </c>
      <c r="H54" s="47" t="s">
        <v>53</v>
      </c>
      <c r="I54" s="47">
        <v>805</v>
      </c>
      <c r="J54" s="48">
        <f t="shared" si="25"/>
        <v>100</v>
      </c>
    </row>
    <row r="55" spans="1:10" ht="21" customHeight="1" x14ac:dyDescent="0.15">
      <c r="A55" s="125">
        <v>40022054</v>
      </c>
      <c r="B55" s="47">
        <v>0</v>
      </c>
      <c r="C55" s="47">
        <v>1</v>
      </c>
      <c r="D55" s="47">
        <v>100</v>
      </c>
      <c r="E55" s="47" t="s">
        <v>53</v>
      </c>
      <c r="F55" s="47" t="s">
        <v>53</v>
      </c>
      <c r="G55" s="47">
        <v>0</v>
      </c>
      <c r="H55" s="47" t="s">
        <v>53</v>
      </c>
      <c r="I55" s="47">
        <v>1055</v>
      </c>
      <c r="J55" s="48">
        <f t="shared" si="25"/>
        <v>100</v>
      </c>
    </row>
    <row r="56" spans="1:10" ht="21" customHeight="1" x14ac:dyDescent="0.15">
      <c r="A56" s="125">
        <v>40022055</v>
      </c>
      <c r="B56" s="47">
        <v>0</v>
      </c>
      <c r="C56" s="47" t="s">
        <v>89</v>
      </c>
      <c r="D56" s="47">
        <v>100</v>
      </c>
      <c r="E56" s="47" t="s">
        <v>89</v>
      </c>
      <c r="F56" s="47" t="s">
        <v>89</v>
      </c>
      <c r="G56" s="47">
        <v>0</v>
      </c>
      <c r="H56" s="47" t="s">
        <v>89</v>
      </c>
      <c r="I56" s="47">
        <v>0</v>
      </c>
      <c r="J56" s="48">
        <f t="shared" ref="J56:J74" si="26">D56</f>
        <v>100</v>
      </c>
    </row>
    <row r="57" spans="1:10" ht="21" customHeight="1" x14ac:dyDescent="0.15">
      <c r="A57" s="126">
        <v>40022056</v>
      </c>
      <c r="B57" s="47">
        <v>1</v>
      </c>
      <c r="C57" s="47" t="s">
        <v>89</v>
      </c>
      <c r="D57" s="47">
        <v>100</v>
      </c>
      <c r="E57" s="47" t="s">
        <v>89</v>
      </c>
      <c r="F57" s="47" t="s">
        <v>90</v>
      </c>
      <c r="G57" s="47">
        <v>1</v>
      </c>
      <c r="H57" s="47" t="s">
        <v>90</v>
      </c>
      <c r="I57" s="47" t="s">
        <v>90</v>
      </c>
      <c r="J57" s="48">
        <f t="shared" si="26"/>
        <v>100</v>
      </c>
    </row>
    <row r="58" spans="1:10" ht="21" customHeight="1" x14ac:dyDescent="0.15">
      <c r="A58" s="126">
        <v>40022057</v>
      </c>
      <c r="B58" s="47">
        <v>0</v>
      </c>
      <c r="C58" s="47" t="s">
        <v>89</v>
      </c>
      <c r="D58" s="47">
        <v>100</v>
      </c>
      <c r="E58" s="47" t="s">
        <v>89</v>
      </c>
      <c r="F58" s="47" t="s">
        <v>89</v>
      </c>
      <c r="G58" s="47">
        <v>1</v>
      </c>
      <c r="H58" s="47">
        <v>1</v>
      </c>
      <c r="I58" s="47" t="s">
        <v>89</v>
      </c>
      <c r="J58" s="48">
        <f t="shared" si="26"/>
        <v>100</v>
      </c>
    </row>
    <row r="59" spans="1:10" ht="21" customHeight="1" x14ac:dyDescent="0.15">
      <c r="A59" s="126">
        <v>40022058</v>
      </c>
      <c r="B59" s="47">
        <v>0</v>
      </c>
      <c r="C59" s="47" t="s">
        <v>89</v>
      </c>
      <c r="D59" s="47">
        <v>100</v>
      </c>
      <c r="E59" s="47" t="s">
        <v>89</v>
      </c>
      <c r="F59" s="47" t="s">
        <v>89</v>
      </c>
      <c r="G59" s="47">
        <v>1</v>
      </c>
      <c r="H59" s="47">
        <v>2</v>
      </c>
      <c r="I59" s="47" t="s">
        <v>89</v>
      </c>
      <c r="J59" s="48">
        <f t="shared" si="26"/>
        <v>100</v>
      </c>
    </row>
    <row r="60" spans="1:10" ht="21" customHeight="1" x14ac:dyDescent="0.15">
      <c r="A60" s="126">
        <v>40022059</v>
      </c>
      <c r="B60" s="47">
        <v>0</v>
      </c>
      <c r="C60" s="47" t="s">
        <v>89</v>
      </c>
      <c r="D60" s="47">
        <v>100</v>
      </c>
      <c r="E60" s="47" t="s">
        <v>89</v>
      </c>
      <c r="F60" s="47" t="s">
        <v>89</v>
      </c>
      <c r="G60" s="47">
        <v>1</v>
      </c>
      <c r="H60" s="47">
        <v>3</v>
      </c>
      <c r="I60" s="47" t="s">
        <v>89</v>
      </c>
      <c r="J60" s="48">
        <f t="shared" si="26"/>
        <v>100</v>
      </c>
    </row>
    <row r="61" spans="1:10" ht="21" customHeight="1" x14ac:dyDescent="0.15">
      <c r="A61" s="126">
        <v>40022060</v>
      </c>
      <c r="B61" s="47">
        <v>0</v>
      </c>
      <c r="C61" s="47" t="s">
        <v>89</v>
      </c>
      <c r="D61" s="47">
        <v>100</v>
      </c>
      <c r="E61" s="47" t="s">
        <v>89</v>
      </c>
      <c r="F61" s="47" t="s">
        <v>89</v>
      </c>
      <c r="G61" s="47">
        <v>1</v>
      </c>
      <c r="H61" s="47">
        <v>4</v>
      </c>
      <c r="I61" s="47" t="s">
        <v>89</v>
      </c>
      <c r="J61" s="48">
        <f t="shared" si="26"/>
        <v>100</v>
      </c>
    </row>
    <row r="62" spans="1:10" ht="21" customHeight="1" x14ac:dyDescent="0.15">
      <c r="A62" s="126">
        <v>40022061</v>
      </c>
      <c r="B62" s="47">
        <v>0</v>
      </c>
      <c r="C62" s="47" t="s">
        <v>89</v>
      </c>
      <c r="D62" s="47">
        <v>100</v>
      </c>
      <c r="E62" s="47" t="s">
        <v>89</v>
      </c>
      <c r="F62" s="47" t="s">
        <v>89</v>
      </c>
      <c r="G62" s="47" t="s">
        <v>89</v>
      </c>
      <c r="H62" s="47" t="s">
        <v>89</v>
      </c>
      <c r="I62" s="47" t="s">
        <v>89</v>
      </c>
      <c r="J62" s="48">
        <f t="shared" si="26"/>
        <v>100</v>
      </c>
    </row>
    <row r="63" spans="1:10" ht="21" customHeight="1" x14ac:dyDescent="0.15">
      <c r="A63" s="126">
        <v>40022062</v>
      </c>
      <c r="B63" s="47">
        <v>1</v>
      </c>
      <c r="C63" s="47" t="s">
        <v>89</v>
      </c>
      <c r="D63" s="47">
        <v>100</v>
      </c>
      <c r="E63" s="47" t="s">
        <v>89</v>
      </c>
      <c r="F63" s="47" t="s">
        <v>89</v>
      </c>
      <c r="G63" s="47">
        <v>1</v>
      </c>
      <c r="H63" s="47" t="s">
        <v>89</v>
      </c>
      <c r="I63" s="47" t="s">
        <v>89</v>
      </c>
      <c r="J63" s="48">
        <f t="shared" si="26"/>
        <v>100</v>
      </c>
    </row>
    <row r="64" spans="1:10" ht="21" customHeight="1" x14ac:dyDescent="0.15">
      <c r="A64" s="126">
        <v>40022063</v>
      </c>
      <c r="B64" s="47">
        <v>0</v>
      </c>
      <c r="C64" s="47" t="s">
        <v>89</v>
      </c>
      <c r="D64" s="47">
        <v>100</v>
      </c>
      <c r="E64" s="47" t="s">
        <v>89</v>
      </c>
      <c r="F64" s="47">
        <v>90</v>
      </c>
      <c r="G64" s="47" t="s">
        <v>89</v>
      </c>
      <c r="H64" s="47" t="s">
        <v>89</v>
      </c>
      <c r="I64" s="47" t="s">
        <v>89</v>
      </c>
      <c r="J64" s="48">
        <f t="shared" si="26"/>
        <v>100</v>
      </c>
    </row>
    <row r="65" spans="1:10" ht="21" customHeight="1" x14ac:dyDescent="0.15">
      <c r="A65" s="126">
        <v>40022064</v>
      </c>
      <c r="B65" s="47">
        <v>0</v>
      </c>
      <c r="C65" s="47" t="s">
        <v>89</v>
      </c>
      <c r="D65" s="47">
        <v>100</v>
      </c>
      <c r="E65" s="47">
        <v>90</v>
      </c>
      <c r="F65" s="47">
        <v>70</v>
      </c>
      <c r="G65" s="47" t="s">
        <v>89</v>
      </c>
      <c r="H65" s="47" t="s">
        <v>89</v>
      </c>
      <c r="I65" s="47" t="s">
        <v>89</v>
      </c>
      <c r="J65" s="48">
        <f t="shared" si="26"/>
        <v>100</v>
      </c>
    </row>
    <row r="66" spans="1:10" ht="21" customHeight="1" x14ac:dyDescent="0.15">
      <c r="A66" s="126">
        <v>40022065</v>
      </c>
      <c r="B66" s="47">
        <v>0</v>
      </c>
      <c r="C66" s="47" t="s">
        <v>89</v>
      </c>
      <c r="D66" s="47">
        <v>100</v>
      </c>
      <c r="E66" s="47">
        <v>70</v>
      </c>
      <c r="F66" s="47">
        <v>50</v>
      </c>
      <c r="G66" s="47" t="s">
        <v>89</v>
      </c>
      <c r="H66" s="47" t="s">
        <v>89</v>
      </c>
      <c r="I66" s="47" t="s">
        <v>89</v>
      </c>
      <c r="J66" s="48">
        <f t="shared" si="26"/>
        <v>100</v>
      </c>
    </row>
    <row r="67" spans="1:10" ht="21" customHeight="1" x14ac:dyDescent="0.15">
      <c r="A67" s="126">
        <v>40022066</v>
      </c>
      <c r="B67" s="47">
        <v>0</v>
      </c>
      <c r="C67" s="47" t="s">
        <v>89</v>
      </c>
      <c r="D67" s="47">
        <v>100</v>
      </c>
      <c r="E67" s="47">
        <v>50</v>
      </c>
      <c r="F67" s="47">
        <v>30</v>
      </c>
      <c r="G67" s="47" t="s">
        <v>89</v>
      </c>
      <c r="H67" s="47" t="s">
        <v>89</v>
      </c>
      <c r="I67" s="47" t="s">
        <v>89</v>
      </c>
      <c r="J67" s="48">
        <f t="shared" si="26"/>
        <v>100</v>
      </c>
    </row>
    <row r="68" spans="1:10" ht="21" customHeight="1" x14ac:dyDescent="0.15">
      <c r="A68" s="126">
        <v>40022067</v>
      </c>
      <c r="B68" s="47">
        <v>0</v>
      </c>
      <c r="C68" s="47" t="s">
        <v>89</v>
      </c>
      <c r="D68" s="47">
        <v>100</v>
      </c>
      <c r="E68" s="47">
        <v>30</v>
      </c>
      <c r="F68" s="47">
        <v>20</v>
      </c>
      <c r="G68" s="47" t="s">
        <v>89</v>
      </c>
      <c r="H68" s="47" t="s">
        <v>89</v>
      </c>
      <c r="I68" s="47" t="s">
        <v>89</v>
      </c>
      <c r="J68" s="48">
        <f t="shared" si="26"/>
        <v>100</v>
      </c>
    </row>
    <row r="69" spans="1:10" ht="21" customHeight="1" x14ac:dyDescent="0.15">
      <c r="A69" s="126">
        <v>40022068</v>
      </c>
      <c r="B69" s="47">
        <v>0</v>
      </c>
      <c r="C69" s="47" t="s">
        <v>89</v>
      </c>
      <c r="D69" s="47">
        <v>100</v>
      </c>
      <c r="E69" s="47">
        <v>20</v>
      </c>
      <c r="F69" s="47" t="s">
        <v>89</v>
      </c>
      <c r="G69" s="47" t="s">
        <v>89</v>
      </c>
      <c r="H69" s="47" t="s">
        <v>89</v>
      </c>
      <c r="I69" s="47" t="s">
        <v>89</v>
      </c>
      <c r="J69" s="48">
        <f t="shared" si="26"/>
        <v>100</v>
      </c>
    </row>
    <row r="70" spans="1:10" ht="21" customHeight="1" x14ac:dyDescent="0.15">
      <c r="A70" s="126">
        <v>40022069</v>
      </c>
      <c r="B70" s="47">
        <v>1</v>
      </c>
      <c r="C70" s="47" t="s">
        <v>89</v>
      </c>
      <c r="D70" s="47">
        <v>100</v>
      </c>
      <c r="E70" s="47" t="s">
        <v>89</v>
      </c>
      <c r="F70" s="47" t="s">
        <v>89</v>
      </c>
      <c r="G70" s="47">
        <v>1</v>
      </c>
      <c r="H70" s="47" t="s">
        <v>89</v>
      </c>
      <c r="I70" s="47" t="s">
        <v>89</v>
      </c>
      <c r="J70" s="48">
        <f t="shared" si="26"/>
        <v>100</v>
      </c>
    </row>
    <row r="71" spans="1:10" ht="21" customHeight="1" x14ac:dyDescent="0.15">
      <c r="A71" s="126">
        <v>40022070</v>
      </c>
      <c r="B71" s="47">
        <v>0</v>
      </c>
      <c r="C71" s="47" t="s">
        <v>89</v>
      </c>
      <c r="D71" s="47">
        <v>50</v>
      </c>
      <c r="E71" s="47" t="s">
        <v>89</v>
      </c>
      <c r="F71" s="47" t="s">
        <v>89</v>
      </c>
      <c r="G71" s="47" t="s">
        <v>89</v>
      </c>
      <c r="H71" s="47" t="s">
        <v>89</v>
      </c>
      <c r="I71" s="47" t="s">
        <v>89</v>
      </c>
      <c r="J71" s="48">
        <f t="shared" si="26"/>
        <v>50</v>
      </c>
    </row>
    <row r="72" spans="1:10" ht="21" customHeight="1" x14ac:dyDescent="0.15">
      <c r="A72" s="126">
        <v>40022071</v>
      </c>
      <c r="B72" s="47">
        <v>0</v>
      </c>
      <c r="C72" s="47">
        <v>1</v>
      </c>
      <c r="D72" s="47">
        <v>100</v>
      </c>
      <c r="E72" s="47">
        <v>40</v>
      </c>
      <c r="F72" s="47" t="s">
        <v>89</v>
      </c>
      <c r="G72" s="47">
        <v>1</v>
      </c>
      <c r="H72" s="47" t="s">
        <v>89</v>
      </c>
      <c r="I72" s="47" t="s">
        <v>89</v>
      </c>
      <c r="J72" s="48">
        <f t="shared" si="26"/>
        <v>100</v>
      </c>
    </row>
    <row r="73" spans="1:10" ht="21" customHeight="1" x14ac:dyDescent="0.15">
      <c r="A73" s="126">
        <v>40022072</v>
      </c>
      <c r="B73" s="47">
        <v>1</v>
      </c>
      <c r="C73" s="47" t="s">
        <v>89</v>
      </c>
      <c r="D73" s="47">
        <v>100</v>
      </c>
      <c r="E73" s="47" t="s">
        <v>89</v>
      </c>
      <c r="F73" s="47" t="s">
        <v>89</v>
      </c>
      <c r="G73" s="47">
        <v>1</v>
      </c>
      <c r="H73" s="47" t="s">
        <v>89</v>
      </c>
      <c r="I73" s="47" t="s">
        <v>89</v>
      </c>
      <c r="J73" s="48">
        <f t="shared" si="26"/>
        <v>100</v>
      </c>
    </row>
    <row r="74" spans="1:10" ht="21" customHeight="1" x14ac:dyDescent="0.15">
      <c r="A74" s="126">
        <v>40022073</v>
      </c>
      <c r="B74" s="47">
        <v>0</v>
      </c>
      <c r="C74" s="47">
        <v>3</v>
      </c>
      <c r="D74" s="47">
        <v>100</v>
      </c>
      <c r="E74" s="47" t="s">
        <v>89</v>
      </c>
      <c r="F74" s="47" t="s">
        <v>89</v>
      </c>
      <c r="G74" s="47">
        <v>1</v>
      </c>
      <c r="H74" s="47">
        <v>1</v>
      </c>
      <c r="I74" s="47" t="s">
        <v>89</v>
      </c>
      <c r="J74" s="48">
        <f t="shared" si="26"/>
        <v>100</v>
      </c>
    </row>
    <row r="75" spans="1:10" ht="21" customHeight="1" x14ac:dyDescent="0.15">
      <c r="A75" s="126">
        <v>40022074</v>
      </c>
      <c r="B75" s="47">
        <v>0</v>
      </c>
      <c r="C75" s="47">
        <v>2</v>
      </c>
      <c r="D75" s="47">
        <v>100</v>
      </c>
      <c r="E75" s="47">
        <v>40</v>
      </c>
      <c r="F75" s="47" t="s">
        <v>89</v>
      </c>
      <c r="G75" s="47">
        <v>1</v>
      </c>
      <c r="H75" s="47">
        <v>1</v>
      </c>
      <c r="I75" s="47" t="s">
        <v>89</v>
      </c>
      <c r="J75" s="48">
        <f>D75</f>
        <v>100</v>
      </c>
    </row>
    <row r="76" spans="1:10" ht="21" customHeight="1" x14ac:dyDescent="0.15">
      <c r="A76" s="126">
        <v>40022075</v>
      </c>
      <c r="B76" s="47">
        <v>0</v>
      </c>
      <c r="C76" s="47">
        <v>1</v>
      </c>
      <c r="D76" s="47">
        <v>100</v>
      </c>
      <c r="E76" s="47">
        <v>40</v>
      </c>
      <c r="F76" s="47" t="s">
        <v>89</v>
      </c>
      <c r="G76" s="47">
        <v>1</v>
      </c>
      <c r="H76" s="47">
        <v>1</v>
      </c>
      <c r="I76" s="47" t="s">
        <v>89</v>
      </c>
      <c r="J76" s="48">
        <f>D76</f>
        <v>100</v>
      </c>
    </row>
    <row r="77" spans="1:10" ht="21" customHeight="1" x14ac:dyDescent="0.15">
      <c r="A77" s="126">
        <v>40022076</v>
      </c>
      <c r="B77" s="47">
        <v>0</v>
      </c>
      <c r="C77" s="47" t="s">
        <v>89</v>
      </c>
      <c r="D77" s="47">
        <v>100</v>
      </c>
      <c r="E77" s="47" t="s">
        <v>89</v>
      </c>
      <c r="F77" s="47" t="s">
        <v>89</v>
      </c>
      <c r="G77" s="47" t="s">
        <v>89</v>
      </c>
      <c r="H77" s="47" t="s">
        <v>89</v>
      </c>
      <c r="I77" s="47" t="s">
        <v>89</v>
      </c>
      <c r="J77" s="48">
        <f t="shared" ref="J77:J79" si="27">D77</f>
        <v>100</v>
      </c>
    </row>
    <row r="78" spans="1:10" ht="21" customHeight="1" x14ac:dyDescent="0.15">
      <c r="A78" s="126">
        <v>40022077</v>
      </c>
      <c r="B78" s="47">
        <v>0</v>
      </c>
      <c r="C78" s="47" t="s">
        <v>89</v>
      </c>
      <c r="D78" s="47">
        <v>100</v>
      </c>
      <c r="E78" s="47" t="s">
        <v>89</v>
      </c>
      <c r="F78" s="47" t="s">
        <v>89</v>
      </c>
      <c r="G78" s="47" t="s">
        <v>89</v>
      </c>
      <c r="H78" s="47">
        <v>2</v>
      </c>
      <c r="I78" s="47" t="s">
        <v>89</v>
      </c>
      <c r="J78" s="48">
        <f t="shared" si="27"/>
        <v>100</v>
      </c>
    </row>
    <row r="79" spans="1:10" ht="21" customHeight="1" x14ac:dyDescent="0.15">
      <c r="A79" s="126">
        <v>40022078</v>
      </c>
      <c r="B79" s="47">
        <v>1</v>
      </c>
      <c r="C79" s="47" t="s">
        <v>89</v>
      </c>
      <c r="D79" s="47">
        <v>100</v>
      </c>
      <c r="E79" s="47" t="s">
        <v>89</v>
      </c>
      <c r="F79" s="47" t="s">
        <v>89</v>
      </c>
      <c r="G79" s="47">
        <v>1</v>
      </c>
      <c r="H79" s="47" t="s">
        <v>89</v>
      </c>
      <c r="I79" s="47" t="s">
        <v>89</v>
      </c>
      <c r="J79" s="48">
        <f t="shared" si="27"/>
        <v>100</v>
      </c>
    </row>
    <row r="80" spans="1:10" ht="21" customHeight="1" x14ac:dyDescent="0.15">
      <c r="A80" s="126">
        <v>40022079</v>
      </c>
      <c r="B80" s="47">
        <v>0</v>
      </c>
      <c r="C80" s="47">
        <v>3</v>
      </c>
      <c r="D80" s="47">
        <v>100</v>
      </c>
      <c r="E80" s="47" t="s">
        <v>89</v>
      </c>
      <c r="F80" s="47" t="s">
        <v>89</v>
      </c>
      <c r="G80" s="47">
        <v>1</v>
      </c>
      <c r="H80" s="47">
        <v>1</v>
      </c>
      <c r="I80" s="47" t="s">
        <v>89</v>
      </c>
      <c r="J80" s="48">
        <f>D80</f>
        <v>100</v>
      </c>
    </row>
    <row r="81" spans="1:10" ht="21" customHeight="1" x14ac:dyDescent="0.15">
      <c r="A81" s="126">
        <v>40022080</v>
      </c>
      <c r="B81" s="47">
        <v>0</v>
      </c>
      <c r="C81" s="47">
        <v>2</v>
      </c>
      <c r="D81" s="47">
        <v>100</v>
      </c>
      <c r="E81" s="47">
        <v>40</v>
      </c>
      <c r="F81" s="47" t="s">
        <v>89</v>
      </c>
      <c r="G81" s="47">
        <v>1</v>
      </c>
      <c r="H81" s="47">
        <v>1</v>
      </c>
      <c r="I81" s="47" t="s">
        <v>89</v>
      </c>
      <c r="J81" s="48">
        <f>D81</f>
        <v>100</v>
      </c>
    </row>
    <row r="82" spans="1:10" ht="21" customHeight="1" x14ac:dyDescent="0.15">
      <c r="A82" s="126">
        <v>40022081</v>
      </c>
      <c r="B82" s="47">
        <v>0</v>
      </c>
      <c r="C82" s="47">
        <v>1</v>
      </c>
      <c r="D82" s="47">
        <v>100</v>
      </c>
      <c r="E82" s="47">
        <v>40</v>
      </c>
      <c r="F82" s="47" t="s">
        <v>89</v>
      </c>
      <c r="G82" s="47">
        <v>1</v>
      </c>
      <c r="H82" s="47">
        <v>1</v>
      </c>
      <c r="I82" s="47" t="s">
        <v>89</v>
      </c>
      <c r="J82" s="48">
        <f>D82</f>
        <v>100</v>
      </c>
    </row>
    <row r="83" spans="1:10" ht="21" customHeight="1" x14ac:dyDescent="0.15">
      <c r="A83" s="126">
        <v>40022082</v>
      </c>
      <c r="B83" s="47">
        <v>0</v>
      </c>
      <c r="C83" s="47" t="s">
        <v>89</v>
      </c>
      <c r="D83" s="47">
        <v>100</v>
      </c>
      <c r="E83" s="47" t="s">
        <v>89</v>
      </c>
      <c r="F83" s="47" t="s">
        <v>89</v>
      </c>
      <c r="G83" s="47" t="s">
        <v>89</v>
      </c>
      <c r="H83" s="47" t="s">
        <v>89</v>
      </c>
      <c r="I83" s="47" t="s">
        <v>89</v>
      </c>
      <c r="J83" s="48">
        <f>D83</f>
        <v>100</v>
      </c>
    </row>
    <row r="84" spans="1:10" ht="21" customHeight="1" x14ac:dyDescent="0.15">
      <c r="A84" s="126">
        <v>40022083</v>
      </c>
      <c r="B84" s="47">
        <v>0</v>
      </c>
      <c r="C84" s="47" t="s">
        <v>89</v>
      </c>
      <c r="D84" s="47">
        <v>100</v>
      </c>
      <c r="E84" s="47" t="s">
        <v>89</v>
      </c>
      <c r="F84" s="47" t="s">
        <v>89</v>
      </c>
      <c r="G84" s="47" t="s">
        <v>89</v>
      </c>
      <c r="H84" s="47">
        <v>2</v>
      </c>
      <c r="I84" s="47" t="s">
        <v>89</v>
      </c>
      <c r="J84" s="48">
        <f t="shared" ref="J84:J96" si="28">D84</f>
        <v>100</v>
      </c>
    </row>
    <row r="85" spans="1:10" ht="21" customHeight="1" x14ac:dyDescent="0.15">
      <c r="A85" s="126">
        <v>40022084</v>
      </c>
      <c r="B85" s="47">
        <v>0</v>
      </c>
      <c r="C85" s="47">
        <v>1</v>
      </c>
      <c r="D85" s="47">
        <v>100</v>
      </c>
      <c r="E85" s="47" t="s">
        <v>53</v>
      </c>
      <c r="F85" s="47" t="s">
        <v>53</v>
      </c>
      <c r="G85" s="47">
        <v>0</v>
      </c>
      <c r="H85" s="47" t="s">
        <v>53</v>
      </c>
      <c r="I85" s="47">
        <v>1012</v>
      </c>
      <c r="J85" s="48">
        <f t="shared" si="28"/>
        <v>100</v>
      </c>
    </row>
    <row r="86" spans="1:10" ht="21" customHeight="1" x14ac:dyDescent="0.15">
      <c r="A86" s="126">
        <v>40022085</v>
      </c>
      <c r="B86" s="47">
        <v>0</v>
      </c>
      <c r="C86" s="47">
        <v>1</v>
      </c>
      <c r="D86" s="47">
        <v>100</v>
      </c>
      <c r="E86" s="47" t="s">
        <v>53</v>
      </c>
      <c r="F86" s="47" t="s">
        <v>53</v>
      </c>
      <c r="G86" s="47">
        <v>0</v>
      </c>
      <c r="H86" s="47" t="s">
        <v>53</v>
      </c>
      <c r="I86" s="47">
        <v>1013</v>
      </c>
      <c r="J86" s="48">
        <f t="shared" si="28"/>
        <v>100</v>
      </c>
    </row>
    <row r="87" spans="1:10" ht="21" customHeight="1" x14ac:dyDescent="0.15">
      <c r="A87" s="126">
        <v>40022086</v>
      </c>
      <c r="B87" s="47">
        <v>0</v>
      </c>
      <c r="C87" s="47">
        <v>1</v>
      </c>
      <c r="D87" s="47">
        <v>100</v>
      </c>
      <c r="E87" s="47" t="s">
        <v>53</v>
      </c>
      <c r="F87" s="47" t="s">
        <v>53</v>
      </c>
      <c r="G87" s="47">
        <v>0</v>
      </c>
      <c r="H87" s="47" t="s">
        <v>53</v>
      </c>
      <c r="I87" s="47">
        <v>1010</v>
      </c>
      <c r="J87" s="48">
        <f t="shared" si="28"/>
        <v>100</v>
      </c>
    </row>
    <row r="88" spans="1:10" ht="21" customHeight="1" x14ac:dyDescent="0.15">
      <c r="A88" s="126">
        <v>40022087</v>
      </c>
      <c r="B88" s="47">
        <v>0</v>
      </c>
      <c r="C88" s="47">
        <v>1</v>
      </c>
      <c r="D88" s="47">
        <v>100</v>
      </c>
      <c r="E88" s="47" t="s">
        <v>53</v>
      </c>
      <c r="F88" s="47" t="s">
        <v>53</v>
      </c>
      <c r="G88" s="47">
        <v>0</v>
      </c>
      <c r="H88" s="47" t="s">
        <v>53</v>
      </c>
      <c r="I88" s="47">
        <v>1011</v>
      </c>
      <c r="J88" s="48">
        <f t="shared" si="28"/>
        <v>100</v>
      </c>
    </row>
    <row r="89" spans="1:10" ht="21" customHeight="1" x14ac:dyDescent="0.15">
      <c r="A89" s="126">
        <v>40022088</v>
      </c>
      <c r="B89" s="47">
        <v>0</v>
      </c>
      <c r="C89" s="47">
        <v>1</v>
      </c>
      <c r="D89" s="47">
        <v>100</v>
      </c>
      <c r="E89" s="47" t="s">
        <v>53</v>
      </c>
      <c r="F89" s="47" t="s">
        <v>53</v>
      </c>
      <c r="G89" s="47">
        <v>0</v>
      </c>
      <c r="H89" s="47" t="s">
        <v>53</v>
      </c>
      <c r="I89" s="47">
        <v>166</v>
      </c>
      <c r="J89" s="48">
        <f t="shared" si="28"/>
        <v>100</v>
      </c>
    </row>
    <row r="90" spans="1:10" ht="21" customHeight="1" x14ac:dyDescent="0.15">
      <c r="A90" s="126">
        <v>40022089</v>
      </c>
      <c r="B90" s="47">
        <v>0</v>
      </c>
      <c r="C90" s="47">
        <v>1</v>
      </c>
      <c r="D90" s="47">
        <v>100</v>
      </c>
      <c r="E90" s="47" t="s">
        <v>53</v>
      </c>
      <c r="F90" s="47" t="s">
        <v>53</v>
      </c>
      <c r="G90" s="47">
        <v>0</v>
      </c>
      <c r="H90" s="47" t="s">
        <v>53</v>
      </c>
      <c r="I90" s="47">
        <v>167</v>
      </c>
      <c r="J90" s="48">
        <f t="shared" si="28"/>
        <v>100</v>
      </c>
    </row>
    <row r="91" spans="1:10" ht="21" customHeight="1" x14ac:dyDescent="0.15">
      <c r="A91" s="126">
        <v>40022090</v>
      </c>
      <c r="B91" s="47">
        <v>0</v>
      </c>
      <c r="C91" s="47">
        <v>1</v>
      </c>
      <c r="D91" s="47">
        <v>100</v>
      </c>
      <c r="E91" s="47" t="s">
        <v>53</v>
      </c>
      <c r="F91" s="47" t="s">
        <v>53</v>
      </c>
      <c r="G91" s="47">
        <v>0</v>
      </c>
      <c r="H91" s="47" t="s">
        <v>53</v>
      </c>
      <c r="I91" s="47">
        <v>168</v>
      </c>
      <c r="J91" s="48">
        <f t="shared" si="28"/>
        <v>100</v>
      </c>
    </row>
    <row r="92" spans="1:10" ht="21" customHeight="1" x14ac:dyDescent="0.15">
      <c r="A92" s="126">
        <v>40022091</v>
      </c>
      <c r="B92" s="47">
        <v>0</v>
      </c>
      <c r="C92" s="47">
        <v>1</v>
      </c>
      <c r="D92" s="47">
        <v>100</v>
      </c>
      <c r="E92" s="47" t="s">
        <v>53</v>
      </c>
      <c r="F92" s="47" t="s">
        <v>53</v>
      </c>
      <c r="G92" s="47">
        <v>0</v>
      </c>
      <c r="H92" s="47" t="s">
        <v>53</v>
      </c>
      <c r="I92" s="47">
        <v>512</v>
      </c>
      <c r="J92" s="48">
        <f t="shared" si="28"/>
        <v>100</v>
      </c>
    </row>
    <row r="93" spans="1:10" ht="21" customHeight="1" x14ac:dyDescent="0.15">
      <c r="A93" s="126">
        <v>40022092</v>
      </c>
      <c r="B93" s="47">
        <v>0</v>
      </c>
      <c r="C93" s="47">
        <v>1</v>
      </c>
      <c r="D93" s="47">
        <v>100</v>
      </c>
      <c r="E93" s="47" t="s">
        <v>53</v>
      </c>
      <c r="F93" s="47" t="s">
        <v>53</v>
      </c>
      <c r="G93" s="47">
        <v>0</v>
      </c>
      <c r="H93" s="47" t="s">
        <v>53</v>
      </c>
      <c r="I93" s="47">
        <v>513</v>
      </c>
      <c r="J93" s="48">
        <f t="shared" si="28"/>
        <v>100</v>
      </c>
    </row>
    <row r="94" spans="1:10" ht="21" customHeight="1" x14ac:dyDescent="0.15">
      <c r="A94" s="126">
        <v>40022093</v>
      </c>
      <c r="B94" s="47">
        <v>0</v>
      </c>
      <c r="C94" s="47">
        <v>1</v>
      </c>
      <c r="D94" s="47">
        <v>100</v>
      </c>
      <c r="E94" s="47" t="s">
        <v>53</v>
      </c>
      <c r="F94" s="47" t="s">
        <v>53</v>
      </c>
      <c r="G94" s="47">
        <v>0</v>
      </c>
      <c r="H94" s="47" t="s">
        <v>53</v>
      </c>
      <c r="I94" s="47">
        <v>805</v>
      </c>
      <c r="J94" s="48">
        <f t="shared" si="28"/>
        <v>100</v>
      </c>
    </row>
    <row r="95" spans="1:10" ht="21" customHeight="1" x14ac:dyDescent="0.15">
      <c r="A95" s="126">
        <v>40022094</v>
      </c>
      <c r="B95" s="47">
        <v>0</v>
      </c>
      <c r="C95" s="47">
        <v>1</v>
      </c>
      <c r="D95" s="47">
        <v>100</v>
      </c>
      <c r="E95" s="47" t="s">
        <v>53</v>
      </c>
      <c r="F95" s="47" t="s">
        <v>53</v>
      </c>
      <c r="G95" s="47">
        <v>0</v>
      </c>
      <c r="H95" s="47" t="s">
        <v>53</v>
      </c>
      <c r="I95" s="47">
        <v>1055</v>
      </c>
      <c r="J95" s="48">
        <f t="shared" si="28"/>
        <v>100</v>
      </c>
    </row>
    <row r="96" spans="1:10" ht="21" customHeight="1" x14ac:dyDescent="0.15">
      <c r="A96" s="126">
        <v>40022095</v>
      </c>
      <c r="B96" s="47">
        <v>0</v>
      </c>
      <c r="C96" s="47" t="s">
        <v>89</v>
      </c>
      <c r="D96" s="47">
        <v>100</v>
      </c>
      <c r="E96" s="47" t="s">
        <v>89</v>
      </c>
      <c r="F96" s="47" t="s">
        <v>89</v>
      </c>
      <c r="G96" s="47">
        <v>0</v>
      </c>
      <c r="H96" s="47" t="s">
        <v>89</v>
      </c>
      <c r="I96" s="47">
        <v>0</v>
      </c>
      <c r="J96" s="48">
        <f t="shared" si="28"/>
        <v>100</v>
      </c>
    </row>
  </sheetData>
  <autoFilter ref="A1:G1"/>
  <phoneticPr fontId="5"/>
  <conditionalFormatting sqref="K97:K1048576 K1:K2">
    <cfRule type="duplicateValues" dxfId="94" priority="110"/>
  </conditionalFormatting>
  <conditionalFormatting sqref="K3">
    <cfRule type="duplicateValues" dxfId="93" priority="109"/>
  </conditionalFormatting>
  <conditionalFormatting sqref="K4">
    <cfRule type="duplicateValues" dxfId="92" priority="108"/>
  </conditionalFormatting>
  <conditionalFormatting sqref="K6">
    <cfRule type="duplicateValues" dxfId="91" priority="107"/>
  </conditionalFormatting>
  <conditionalFormatting sqref="K7">
    <cfRule type="duplicateValues" dxfId="90" priority="106"/>
  </conditionalFormatting>
  <conditionalFormatting sqref="K8">
    <cfRule type="duplicateValues" dxfId="89" priority="105"/>
  </conditionalFormatting>
  <conditionalFormatting sqref="K16">
    <cfRule type="duplicateValues" dxfId="88" priority="104"/>
  </conditionalFormatting>
  <conditionalFormatting sqref="K17">
    <cfRule type="duplicateValues" dxfId="87" priority="103"/>
  </conditionalFormatting>
  <conditionalFormatting sqref="K9">
    <cfRule type="duplicateValues" dxfId="86" priority="102"/>
  </conditionalFormatting>
  <conditionalFormatting sqref="K10">
    <cfRule type="duplicateValues" dxfId="85" priority="101"/>
  </conditionalFormatting>
  <conditionalFormatting sqref="K11">
    <cfRule type="duplicateValues" dxfId="84" priority="100"/>
  </conditionalFormatting>
  <conditionalFormatting sqref="K12">
    <cfRule type="duplicateValues" dxfId="83" priority="99"/>
  </conditionalFormatting>
  <conditionalFormatting sqref="K13">
    <cfRule type="duplicateValues" dxfId="82" priority="98"/>
  </conditionalFormatting>
  <conditionalFormatting sqref="K14">
    <cfRule type="duplicateValues" dxfId="81" priority="97"/>
  </conditionalFormatting>
  <conditionalFormatting sqref="K15">
    <cfRule type="duplicateValues" dxfId="80" priority="96"/>
  </conditionalFormatting>
  <conditionalFormatting sqref="K18">
    <cfRule type="duplicateValues" dxfId="79" priority="95"/>
  </conditionalFormatting>
  <conditionalFormatting sqref="K19">
    <cfRule type="duplicateValues" dxfId="78" priority="94"/>
  </conditionalFormatting>
  <conditionalFormatting sqref="K20">
    <cfRule type="duplicateValues" dxfId="77" priority="93"/>
  </conditionalFormatting>
  <conditionalFormatting sqref="K21">
    <cfRule type="duplicateValues" dxfId="76" priority="92"/>
  </conditionalFormatting>
  <conditionalFormatting sqref="K22">
    <cfRule type="duplicateValues" dxfId="75" priority="91"/>
  </conditionalFormatting>
  <conditionalFormatting sqref="K23">
    <cfRule type="duplicateValues" dxfId="74" priority="90"/>
  </conditionalFormatting>
  <conditionalFormatting sqref="K24">
    <cfRule type="duplicateValues" dxfId="73" priority="89"/>
  </conditionalFormatting>
  <conditionalFormatting sqref="K25">
    <cfRule type="duplicateValues" dxfId="72" priority="88"/>
  </conditionalFormatting>
  <conditionalFormatting sqref="K26">
    <cfRule type="duplicateValues" dxfId="71" priority="87"/>
  </conditionalFormatting>
  <conditionalFormatting sqref="K27">
    <cfRule type="duplicateValues" dxfId="70" priority="86"/>
  </conditionalFormatting>
  <conditionalFormatting sqref="K32">
    <cfRule type="duplicateValues" dxfId="69" priority="85"/>
  </conditionalFormatting>
  <conditionalFormatting sqref="K31">
    <cfRule type="duplicateValues" dxfId="68" priority="84"/>
  </conditionalFormatting>
  <conditionalFormatting sqref="K29">
    <cfRule type="duplicateValues" dxfId="67" priority="83"/>
  </conditionalFormatting>
  <conditionalFormatting sqref="K30">
    <cfRule type="duplicateValues" dxfId="66" priority="82"/>
  </conditionalFormatting>
  <conditionalFormatting sqref="K33">
    <cfRule type="duplicateValues" dxfId="65" priority="81"/>
  </conditionalFormatting>
  <conditionalFormatting sqref="K38">
    <cfRule type="duplicateValues" dxfId="64" priority="80"/>
  </conditionalFormatting>
  <conditionalFormatting sqref="K37">
    <cfRule type="duplicateValues" dxfId="63" priority="79"/>
  </conditionalFormatting>
  <conditionalFormatting sqref="K35">
    <cfRule type="duplicateValues" dxfId="62" priority="78"/>
  </conditionalFormatting>
  <conditionalFormatting sqref="K36">
    <cfRule type="duplicateValues" dxfId="61" priority="77"/>
  </conditionalFormatting>
  <conditionalFormatting sqref="K39">
    <cfRule type="duplicateValues" dxfId="60" priority="76"/>
  </conditionalFormatting>
  <conditionalFormatting sqref="K40">
    <cfRule type="duplicateValues" dxfId="59" priority="75"/>
  </conditionalFormatting>
  <conditionalFormatting sqref="K41">
    <cfRule type="duplicateValues" dxfId="58" priority="74"/>
  </conditionalFormatting>
  <conditionalFormatting sqref="K42">
    <cfRule type="duplicateValues" dxfId="57" priority="73"/>
  </conditionalFormatting>
  <conditionalFormatting sqref="K43">
    <cfRule type="duplicateValues" dxfId="56" priority="72"/>
  </conditionalFormatting>
  <conditionalFormatting sqref="K44">
    <cfRule type="duplicateValues" dxfId="55" priority="71"/>
  </conditionalFormatting>
  <conditionalFormatting sqref="K56">
    <cfRule type="duplicateValues" dxfId="54" priority="70"/>
  </conditionalFormatting>
  <conditionalFormatting sqref="K5">
    <cfRule type="duplicateValues" dxfId="53" priority="69"/>
  </conditionalFormatting>
  <conditionalFormatting sqref="K28">
    <cfRule type="duplicateValues" dxfId="52" priority="68"/>
  </conditionalFormatting>
  <conditionalFormatting sqref="K34">
    <cfRule type="duplicateValues" dxfId="51" priority="67"/>
  </conditionalFormatting>
  <conditionalFormatting sqref="K57">
    <cfRule type="duplicateValues" dxfId="50" priority="66"/>
  </conditionalFormatting>
  <conditionalFormatting sqref="K58">
    <cfRule type="duplicateValues" dxfId="49" priority="65"/>
  </conditionalFormatting>
  <conditionalFormatting sqref="K59">
    <cfRule type="duplicateValues" dxfId="48" priority="64"/>
  </conditionalFormatting>
  <conditionalFormatting sqref="K61">
    <cfRule type="duplicateValues" dxfId="47" priority="63"/>
  </conditionalFormatting>
  <conditionalFormatting sqref="K62">
    <cfRule type="duplicateValues" dxfId="46" priority="62"/>
  </conditionalFormatting>
  <conditionalFormatting sqref="K63">
    <cfRule type="duplicateValues" dxfId="45" priority="61"/>
  </conditionalFormatting>
  <conditionalFormatting sqref="K71">
    <cfRule type="duplicateValues" dxfId="44" priority="60"/>
  </conditionalFormatting>
  <conditionalFormatting sqref="K72">
    <cfRule type="duplicateValues" dxfId="43" priority="59"/>
  </conditionalFormatting>
  <conditionalFormatting sqref="K64">
    <cfRule type="duplicateValues" dxfId="42" priority="58"/>
  </conditionalFormatting>
  <conditionalFormatting sqref="K65">
    <cfRule type="duplicateValues" dxfId="41" priority="57"/>
  </conditionalFormatting>
  <conditionalFormatting sqref="K66">
    <cfRule type="duplicateValues" dxfId="40" priority="56"/>
  </conditionalFormatting>
  <conditionalFormatting sqref="K67">
    <cfRule type="duplicateValues" dxfId="39" priority="55"/>
  </conditionalFormatting>
  <conditionalFormatting sqref="K68">
    <cfRule type="duplicateValues" dxfId="38" priority="54"/>
  </conditionalFormatting>
  <conditionalFormatting sqref="K69">
    <cfRule type="duplicateValues" dxfId="37" priority="53"/>
  </conditionalFormatting>
  <conditionalFormatting sqref="K70">
    <cfRule type="duplicateValues" dxfId="36" priority="52"/>
  </conditionalFormatting>
  <conditionalFormatting sqref="K73">
    <cfRule type="duplicateValues" dxfId="35" priority="42"/>
  </conditionalFormatting>
  <conditionalFormatting sqref="K78">
    <cfRule type="duplicateValues" dxfId="34" priority="41"/>
  </conditionalFormatting>
  <conditionalFormatting sqref="K77">
    <cfRule type="duplicateValues" dxfId="33" priority="40"/>
  </conditionalFormatting>
  <conditionalFormatting sqref="K75">
    <cfRule type="duplicateValues" dxfId="32" priority="39"/>
  </conditionalFormatting>
  <conditionalFormatting sqref="K76">
    <cfRule type="duplicateValues" dxfId="31" priority="38"/>
  </conditionalFormatting>
  <conditionalFormatting sqref="K79">
    <cfRule type="duplicateValues" dxfId="30" priority="37"/>
  </conditionalFormatting>
  <conditionalFormatting sqref="K84">
    <cfRule type="duplicateValues" dxfId="29" priority="36"/>
  </conditionalFormatting>
  <conditionalFormatting sqref="K83">
    <cfRule type="duplicateValues" dxfId="28" priority="35"/>
  </conditionalFormatting>
  <conditionalFormatting sqref="K81">
    <cfRule type="duplicateValues" dxfId="27" priority="34"/>
  </conditionalFormatting>
  <conditionalFormatting sqref="K82">
    <cfRule type="duplicateValues" dxfId="26" priority="33"/>
  </conditionalFormatting>
  <conditionalFormatting sqref="K96">
    <cfRule type="duplicateValues" dxfId="25" priority="26"/>
  </conditionalFormatting>
  <conditionalFormatting sqref="K60">
    <cfRule type="duplicateValues" dxfId="24" priority="25"/>
  </conditionalFormatting>
  <conditionalFormatting sqref="K74">
    <cfRule type="duplicateValues" dxfId="23" priority="24"/>
  </conditionalFormatting>
  <conditionalFormatting sqref="K80">
    <cfRule type="duplicateValues" dxfId="22" priority="23"/>
  </conditionalFormatting>
  <conditionalFormatting sqref="K46">
    <cfRule type="duplicateValues" dxfId="21" priority="22"/>
  </conditionalFormatting>
  <conditionalFormatting sqref="K45">
    <cfRule type="duplicateValues" dxfId="20" priority="21"/>
  </conditionalFormatting>
  <conditionalFormatting sqref="K86">
    <cfRule type="duplicateValues" dxfId="19" priority="20"/>
  </conditionalFormatting>
  <conditionalFormatting sqref="K85">
    <cfRule type="duplicateValues" dxfId="18" priority="19"/>
  </conditionalFormatting>
  <conditionalFormatting sqref="K48">
    <cfRule type="duplicateValues" dxfId="17" priority="18"/>
  </conditionalFormatting>
  <conditionalFormatting sqref="K47">
    <cfRule type="duplicateValues" dxfId="16" priority="17"/>
  </conditionalFormatting>
  <conditionalFormatting sqref="K50">
    <cfRule type="duplicateValues" dxfId="15" priority="16"/>
  </conditionalFormatting>
  <conditionalFormatting sqref="K49">
    <cfRule type="duplicateValues" dxfId="14" priority="15"/>
  </conditionalFormatting>
  <conditionalFormatting sqref="K52">
    <cfRule type="duplicateValues" dxfId="13" priority="14"/>
  </conditionalFormatting>
  <conditionalFormatting sqref="K51">
    <cfRule type="duplicateValues" dxfId="12" priority="13"/>
  </conditionalFormatting>
  <conditionalFormatting sqref="K54">
    <cfRule type="duplicateValues" dxfId="11" priority="12"/>
  </conditionalFormatting>
  <conditionalFormatting sqref="K53">
    <cfRule type="duplicateValues" dxfId="10" priority="11"/>
  </conditionalFormatting>
  <conditionalFormatting sqref="K55">
    <cfRule type="duplicateValues" dxfId="9" priority="10"/>
  </conditionalFormatting>
  <conditionalFormatting sqref="K88">
    <cfRule type="duplicateValues" dxfId="8" priority="9"/>
  </conditionalFormatting>
  <conditionalFormatting sqref="K87">
    <cfRule type="duplicateValues" dxfId="7" priority="8"/>
  </conditionalFormatting>
  <conditionalFormatting sqref="K90">
    <cfRule type="duplicateValues" dxfId="6" priority="7"/>
  </conditionalFormatting>
  <conditionalFormatting sqref="K89">
    <cfRule type="duplicateValues" dxfId="5" priority="6"/>
  </conditionalFormatting>
  <conditionalFormatting sqref="K92">
    <cfRule type="duplicateValues" dxfId="4" priority="5"/>
  </conditionalFormatting>
  <conditionalFormatting sqref="K91">
    <cfRule type="duplicateValues" dxfId="3" priority="4"/>
  </conditionalFormatting>
  <conditionalFormatting sqref="K94">
    <cfRule type="duplicateValues" dxfId="2" priority="3"/>
  </conditionalFormatting>
  <conditionalFormatting sqref="K93">
    <cfRule type="duplicateValues" dxfId="1" priority="2"/>
  </conditionalFormatting>
  <conditionalFormatting sqref="K9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6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G57" sqref="G5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40022001_40022001</v>
      </c>
      <c r="B2" s="125">
        <v>40022001</v>
      </c>
      <c r="C2" s="47">
        <v>40022001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私はお前を止めればいいんだな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ボムの爆風を30%DOWN</v>
      </c>
      <c r="F2" s="47">
        <v>40022001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5" si="1">B3&amp;"_"&amp;C3</f>
        <v>40022001_40022002</v>
      </c>
      <c r="B3" s="125">
        <v>40022001</v>
      </c>
      <c r="C3" s="47">
        <v>40022002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試薬の性能テストには丁度良いか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ストールの攻撃力UP</v>
      </c>
      <c r="F3" s="47">
        <v>40022002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40022001_40022003</v>
      </c>
      <c r="B4" s="125">
        <v>40022001</v>
      </c>
      <c r="C4" s="47">
        <v>40022003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この調合はどうだ？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ストールの防御力UP</v>
      </c>
      <c r="F4" s="47">
        <v>40022003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40022001_40022004</v>
      </c>
      <c r="B5" s="125">
        <v>40022001</v>
      </c>
      <c r="C5" s="47">
        <v>40022004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コレは細菌の死滅が早いのだが…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5" s="47">
        <v>40022004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40022001_40022005</v>
      </c>
      <c r="B6" s="125">
        <v>40022001</v>
      </c>
      <c r="C6" s="47">
        <v>40022005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…ふむ　想定より大分強いな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後は防衛プログラムの連中に任せるとしよう</v>
      </c>
      <c r="F6" s="47">
        <v>40022005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40022002_40022006</v>
      </c>
      <c r="B7" s="125">
        <v>40022002</v>
      </c>
      <c r="C7" s="47">
        <v>40022006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デストロイホーン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7">
        <v>40022006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40022003_40022007</v>
      </c>
      <c r="B8" s="125">
        <v>40022003</v>
      </c>
      <c r="C8" s="47">
        <v>40022007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こんな所で何してるの！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許可も無しにどうやってここまで来たのよ！？</v>
      </c>
      <c r="F8" s="47">
        <v>40022007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40022003_40022008</v>
      </c>
      <c r="B9" s="125">
        <v>40022003</v>
      </c>
      <c r="C9" s="47">
        <v>40022008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大人しくしてよね！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40022008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40022003_40022009</v>
      </c>
      <c r="B10" s="125">
        <v>40022003</v>
      </c>
      <c r="C10" s="47">
        <v>40022009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ここから先は立入禁止よ！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7">
        <v>40022009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40022003_40022010</v>
      </c>
      <c r="B11" s="125">
        <v>40022003</v>
      </c>
      <c r="C11" s="47">
        <v>40022010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痛っ！やったわね！？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7">
        <v>40022010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40022003_40022011</v>
      </c>
      <c r="B12" s="125">
        <v>40022003</v>
      </c>
      <c r="C12" s="47">
        <v>40022011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返り討ちにしてやるわ！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7">
        <v>40022011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40022003_40022012</v>
      </c>
      <c r="B13" s="125">
        <v>40022003</v>
      </c>
      <c r="C13" s="47">
        <v>40022012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あんたが悪いんだからね！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7">
        <v>40022012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40022003_40022013</v>
      </c>
      <c r="B14" s="125">
        <v>40022003</v>
      </c>
      <c r="C14" s="47">
        <v>40022013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もう許さないんだから！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7">
        <v>40022013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40022004_40022014</v>
      </c>
      <c r="B15" s="125">
        <v>40022004</v>
      </c>
      <c r="C15" s="47">
        <v>40022014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すぐに捕まえちゃうぞ☆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15" s="47">
        <v>40022014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40022004_40022015</v>
      </c>
      <c r="B16" s="125">
        <v>40022004</v>
      </c>
      <c r="C16" s="47">
        <v>40022015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フルリール・ドルチェ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ホルスを回復＋単体攻撃</v>
      </c>
      <c r="F16" s="47">
        <v>40022015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 x14ac:dyDescent="0.15">
      <c r="A17" s="39" t="str">
        <f t="shared" si="1"/>
        <v>40022004_40022016</v>
      </c>
      <c r="B17" s="125">
        <v>40022004</v>
      </c>
      <c r="C17" s="47">
        <v>40022016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えーるをおくるよ！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17" s="47">
        <v>40022016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40022005_40022017</v>
      </c>
      <c r="B18" s="125">
        <v>40022005</v>
      </c>
      <c r="C18" s="47">
        <v>40022017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侵入者確認！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迎撃態勢へと移行する！</v>
      </c>
      <c r="F18" s="47">
        <v>40022017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40022005_40022018</v>
      </c>
      <c r="B19" s="125">
        <v>40022005</v>
      </c>
      <c r="C19" s="47">
        <v>40022018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壊音波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19" s="47">
        <v>40022018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9" s="47"/>
      <c r="Q19" s="47"/>
      <c r="R19" s="47"/>
    </row>
    <row r="20" spans="1:18" ht="21" customHeight="1" x14ac:dyDescent="0.15">
      <c r="A20" s="39" t="str">
        <f t="shared" si="1"/>
        <v>40022005_40022019</v>
      </c>
      <c r="B20" s="125">
        <v>40022005</v>
      </c>
      <c r="C20" s="47">
        <v>40022019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ノイズ・ジャミング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3ターンスキルバインド＋全体攻撃</v>
      </c>
      <c r="F20" s="47">
        <v>40022019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40022006_40022020</v>
      </c>
      <c r="B21" s="125">
        <v>40022006</v>
      </c>
      <c r="C21" s="47">
        <v>40022020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援護するよ！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6ターン確率で赤時限式ダメージパネルをドロップ</v>
      </c>
      <c r="F21" s="47">
        <v>40022020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40022006_40022021</v>
      </c>
      <c r="B22" s="125">
        <v>40022006</v>
      </c>
      <c r="C22" s="47">
        <v>40022021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照準OK…　撃ちぬく！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7">
        <v>40022021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1"/>
        <v>40022007_40022022</v>
      </c>
      <c r="B23" s="125">
        <v>40022007</v>
      </c>
      <c r="C23" s="47">
        <v>40022022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リミッター解放！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3" s="47">
        <v>40022022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40022007_40022023</v>
      </c>
      <c r="B24" s="125">
        <v>40022007</v>
      </c>
      <c r="C24" s="47">
        <v>40022023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滅びの音壊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種族マシンのユニットに大ダメージ＋敵全体にダメージ</v>
      </c>
      <c r="F24" s="47">
        <v>40022023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4" s="47"/>
      <c r="Q24" s="47"/>
      <c r="R24" s="47"/>
    </row>
    <row r="25" spans="1:18" ht="21" customHeight="1" x14ac:dyDescent="0.15">
      <c r="A25" s="39" t="str">
        <f t="shared" si="1"/>
        <v>40022008_40022024</v>
      </c>
      <c r="B25" s="125">
        <v>40022008</v>
      </c>
      <c r="C25" s="47">
        <v>40022024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本気で行くよ！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5" s="47">
        <v>40022024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72" si="2">B26&amp;"_"&amp;C26</f>
        <v>40022008_40022025</v>
      </c>
      <c r="B26" s="125">
        <v>40022008</v>
      </c>
      <c r="C26" s="47">
        <v>40022025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ボクの矢が見えるかな？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6" s="47">
        <v>40022025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6" s="47"/>
      <c r="Q26" s="47"/>
      <c r="R26" s="47"/>
    </row>
    <row r="27" spans="1:18" ht="21" customHeight="1" x14ac:dyDescent="0.15">
      <c r="A27" s="39" t="str">
        <f t="shared" si="2"/>
        <v>40022009_40022026</v>
      </c>
      <c r="B27" s="125">
        <v>40022009</v>
      </c>
      <c r="C27" s="47">
        <v>40022026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時カカ間設定　訂セセセイテイスル…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オシリス&lt;システムエラー&gt;と遭遇した！_x000D_ボムの爆風を70%DOWN＋Cパネル変換禁止＋_x000D_確率で黄時限式ダメージパネルをドロップ＋状態異常耐性</v>
      </c>
      <c r="F27" s="47">
        <v>40022026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40022009_40022027</v>
      </c>
      <c r="B28" s="125">
        <v>40022009</v>
      </c>
      <c r="C28" s="47">
        <v>40022027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タイム・オブリビオン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28" s="47">
        <v>40022027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40022009_40022028</v>
      </c>
      <c r="B29" s="125">
        <v>40022009</v>
      </c>
      <c r="C29" s="47">
        <v>40022028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バッククグアププ　サササク成…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3ターン赤パネル無効＋単体攻撃</v>
      </c>
      <c r="F29" s="47">
        <v>40022028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40022009_40022029</v>
      </c>
      <c r="B30" s="125">
        <v>40022009</v>
      </c>
      <c r="C30" s="47">
        <v>40022029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システテテム　ササイ起ドドウ…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3ターン暗闇＋単体攻撃</v>
      </c>
      <c r="F30" s="47">
        <v>40022029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3">B31&amp;"_"&amp;C31</f>
        <v>40022009_40022030</v>
      </c>
      <c r="B31" s="125">
        <v>40022009</v>
      </c>
      <c r="C31" s="47">
        <v>40022030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タイム・オブリビオン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31" s="47">
        <v>40022030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40022009_40022031</v>
      </c>
      <c r="B32" s="125">
        <v>40022009</v>
      </c>
      <c r="C32" s="47">
        <v>40022031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リムーバル・カウント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緑時限式ダメージパネルを3個生成＋全体攻撃</v>
      </c>
      <c r="F32" s="47">
        <v>40022031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40022010_40022032</v>
      </c>
      <c r="B33" s="125">
        <v>40022010</v>
      </c>
      <c r="C33" s="47">
        <v>40022032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不ググ合発生　修フフクシュウスル…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ボムの爆風を70%DOWN＋_x000D_確率で黄時限式ダメージパネルをドロップ＋状態異常耐性</v>
      </c>
      <c r="F33" s="47">
        <v>40022032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40022010_40022033</v>
      </c>
      <c r="B34" s="125">
        <v>40022010</v>
      </c>
      <c r="C34" s="47">
        <v>40022033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タイム・ディストーション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種族ヒューマンのユニットに大ダメージ＋_x000D_1ターン味方全体の攻撃力20%DOWN</v>
      </c>
      <c r="F34" s="47">
        <v>40022033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40022010_40022034</v>
      </c>
      <c r="B35" s="125">
        <v>40022010</v>
      </c>
      <c r="C35" s="47">
        <v>40022034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時ヲ治レ治レ治レ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3ターンハートパネル無効＋単体攻撃</v>
      </c>
      <c r="F35" s="47">
        <v>40022034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40022010_40022035</v>
      </c>
      <c r="B36" s="125">
        <v>40022010</v>
      </c>
      <c r="C36" s="47">
        <v>40022035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オレヲ　アナタガガガガ　アナタヲ破壊シロ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6" s="47">
        <v>40022035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4">B37&amp;"_"&amp;C37</f>
        <v>40022010_40022036</v>
      </c>
      <c r="B37" s="125">
        <v>40022010</v>
      </c>
      <c r="C37" s="47">
        <v>40022036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タイム・ディストーション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種族ヒューマンのユニットに大ダメージ＋_x000D_1ターン味方全体の攻撃力20%DOWN</v>
      </c>
      <c r="F37" s="47">
        <v>40022036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40022010_40022037</v>
      </c>
      <c r="B38" s="125">
        <v>40022010</v>
      </c>
      <c r="C38" s="47">
        <v>40022037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リムーバル・アワー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緑時限式ダメージパネルを6個生成＋全体攻撃</v>
      </c>
      <c r="F38" s="47">
        <v>40022037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40022011_40022038</v>
      </c>
      <c r="B39" s="125">
        <v>40022011</v>
      </c>
      <c r="C39" s="47">
        <v>40022038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エラー…ガガ　改修…改シシ　カカイゾウスル…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3ターン味方全体のタップ回数DOWN＋状態異常耐性</v>
      </c>
      <c r="F39" s="47">
        <v>40022038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40022011_40022039</v>
      </c>
      <c r="B40" s="125">
        <v>40022011</v>
      </c>
      <c r="C40" s="47">
        <v>40022039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冥界ノ書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3ターン味方全体の回復力90%DOWN</v>
      </c>
      <c r="F40" s="47">
        <v>40022039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40022011_40022040</v>
      </c>
      <c r="B41" s="125">
        <v>40022011</v>
      </c>
      <c r="C41" s="47">
        <v>40022040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大地ノ書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1" s="47">
        <v>40022040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2"/>
        <v>40022011_40022041</v>
      </c>
      <c r="B42" s="125">
        <v>40022011</v>
      </c>
      <c r="C42" s="47">
        <v>40022041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門ノ書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3ターン防御力UP＋全体攻撃</v>
      </c>
      <c r="F42" s="47">
        <v>40022041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2"/>
        <v>40022011_40022042</v>
      </c>
      <c r="B43" s="125">
        <v>40022011</v>
      </c>
      <c r="C43" s="47">
        <v>40022042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洞窟ノ書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攻撃力UP</v>
      </c>
      <c r="F43" s="47">
        <v>40022042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2"/>
        <v>40022011_40022043</v>
      </c>
      <c r="B44" s="125">
        <v>40022011</v>
      </c>
      <c r="C44" s="47">
        <v>40022043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死者ノ書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全体に44444固定ダメージ</v>
      </c>
      <c r="F44" s="47">
        <v>40022043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2"/>
        <v>40022011_40022044</v>
      </c>
      <c r="B45" s="125">
        <v>40022011</v>
      </c>
      <c r="C45" s="47">
        <v>40022044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…ラー　アナタの手で止めてくれてありがとう…</v>
      </c>
      <c r="F45" s="47">
        <v>40022044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1012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7" si="5">B46&amp;"_"&amp;C46</f>
        <v>40022011_40022045</v>
      </c>
      <c r="B46" s="125">
        <v>40022011</v>
      </c>
      <c r="C46" s="47">
        <v>40022045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…ラー　アナタの手で止めてくれてありがとう…</v>
      </c>
      <c r="F46" s="47">
        <v>40022045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1013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40022011_40022046</v>
      </c>
      <c r="B47" s="125">
        <v>40022011</v>
      </c>
      <c r="C47" s="47">
        <v>40022046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セト…　オレから奪ったその力…　全て返してもらおうか…</v>
      </c>
      <c r="F47" s="47">
        <v>40022046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1010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ref="A48:A53" si="6">B48&amp;"_"&amp;C48</f>
        <v>40022011_40022047</v>
      </c>
      <c r="B48" s="125">
        <v>40022011</v>
      </c>
      <c r="C48" s="47">
        <v>40022047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セト…　オレから奪ったその力…　全て返してもらおうか…</v>
      </c>
      <c r="F48" s="47">
        <v>40022047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1011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6"/>
        <v>40022011_40022048</v>
      </c>
      <c r="B49" s="125">
        <v>40022011</v>
      </c>
      <c r="C49" s="47">
        <v>40022048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49" s="47">
        <v>40022048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166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40022011_40022049</v>
      </c>
      <c r="B50" s="125">
        <v>40022011</v>
      </c>
      <c r="C50" s="47">
        <v>40022049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0" s="47">
        <v>40022049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167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40022011_40022050</v>
      </c>
      <c r="B51" s="125">
        <v>40022011</v>
      </c>
      <c r="C51" s="47">
        <v>40022050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1" s="47">
        <v>40022050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168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40022011_40022051</v>
      </c>
      <c r="B52" s="125">
        <v>40022011</v>
      </c>
      <c r="C52" s="47">
        <v>40022051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2" s="47">
        <v>40022051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6"/>
        <v>40022011_40022052</v>
      </c>
      <c r="B53" s="125">
        <v>40022011</v>
      </c>
      <c r="C53" s="47">
        <v>40022052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3" s="47">
        <v>40022052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:A55" si="7">B54&amp;"_"&amp;C54</f>
        <v>40022011_40022053</v>
      </c>
      <c r="B54" s="125">
        <v>40022011</v>
      </c>
      <c r="C54" s="47">
        <v>40022053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4" s="47">
        <v>40022053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805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7"/>
        <v>40022011_40022054</v>
      </c>
      <c r="B55" s="125">
        <v>40022011</v>
      </c>
      <c r="C55" s="47">
        <v>40022054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55" s="47">
        <v>40022054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1055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" si="8">B56&amp;"_"&amp;C56</f>
        <v>40022011_40022055</v>
      </c>
      <c r="B56" s="125">
        <v>40022011</v>
      </c>
      <c r="C56" s="47">
        <v>40022055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…わざわざこのようなオレを救ってくれて済まない_x000D_セトはこの先の玄室に居るだろう　…セトを頼む</v>
      </c>
      <c r="F56" s="47">
        <v>40022055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"/>
        <v>40022012_40022056</v>
      </c>
      <c r="B57" s="126">
        <v>40022012</v>
      </c>
      <c r="C57" s="47">
        <v>40022056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私はお前を止めればいいんだな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ふむ　少々面倒だが…　</v>
      </c>
      <c r="F57" s="47">
        <v>40022056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2"/>
        <v>40022012_40022057</v>
      </c>
      <c r="B58" s="126">
        <v>40022012</v>
      </c>
      <c r="C58" s="47">
        <v>40022057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試薬の性能テストには丁度良いか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ストールの攻撃力UP</v>
      </c>
      <c r="F58" s="47">
        <v>40022057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2"/>
        <v>40022012_40022058</v>
      </c>
      <c r="B59" s="126">
        <v>40022012</v>
      </c>
      <c r="C59" s="47">
        <v>40022058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この調合はどうだ？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ストールの防御力UP</v>
      </c>
      <c r="F59" s="47">
        <v>40022058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2"/>
        <v>40022012_40022059</v>
      </c>
      <c r="B60" s="126">
        <v>40022012</v>
      </c>
      <c r="C60" s="47">
        <v>40022059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コレは細菌の死滅が早いのだが…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60" s="47">
        <v>40022059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"/>
        <v>40022012_40022060</v>
      </c>
      <c r="B61" s="126">
        <v>40022012</v>
      </c>
      <c r="C61" s="47">
        <v>40022060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…ふむ　想定より大分強いな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後は防衛プログラムの連中に任せるとしよう</v>
      </c>
      <c r="F61" s="47">
        <v>40022060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"/>
        <v>40022013_40022061</v>
      </c>
      <c r="B62" s="126">
        <v>40022013</v>
      </c>
      <c r="C62" s="47">
        <v>40022061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デストロイホーン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2" s="47">
        <v>40022061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2"/>
        <v>40022014_40022062</v>
      </c>
      <c r="B63" s="126">
        <v>40022014</v>
      </c>
      <c r="C63" s="47">
        <v>40022062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こんな所で何してるの！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許可も無しにどうやってここまで来たのよ！？</v>
      </c>
      <c r="F63" s="47">
        <v>40022062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2"/>
        <v>40022014_40022063</v>
      </c>
      <c r="B64" s="126">
        <v>40022014</v>
      </c>
      <c r="C64" s="47">
        <v>40022063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大人しくしてよね！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4" s="47">
        <v>40022063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2"/>
        <v>40022014_40022064</v>
      </c>
      <c r="B65" s="126">
        <v>40022014</v>
      </c>
      <c r="C65" s="47">
        <v>40022064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ここから先は立入禁止よ！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5" s="47">
        <v>40022064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65" s="48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2"/>
        <v>40022014_40022065</v>
      </c>
      <c r="B66" s="126">
        <v>40022014</v>
      </c>
      <c r="C66" s="47">
        <v>40022065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痛っ！やったわね！？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6" s="47">
        <v>40022065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6" s="48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"/>
        <v>40022014_40022066</v>
      </c>
      <c r="B67" s="126">
        <v>40022014</v>
      </c>
      <c r="C67" s="47">
        <v>40022066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返り討ちにしてやるわ！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7" s="47">
        <v>40022066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 t="str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" s="48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2"/>
        <v>40022014_40022067</v>
      </c>
      <c r="B68" s="126">
        <v>40022014</v>
      </c>
      <c r="C68" s="47">
        <v>40022067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あんたが悪いんだからね！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8" s="47">
        <v>40022067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8" s="48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"/>
        <v>40022014_40022068</v>
      </c>
      <c r="B69" s="126">
        <v>40022014</v>
      </c>
      <c r="C69" s="47">
        <v>40022068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もう許さないんだから！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9" s="47">
        <v>40022068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"/>
        <v>40022015_40022069</v>
      </c>
      <c r="B70" s="126">
        <v>40022015</v>
      </c>
      <c r="C70" s="47">
        <v>40022069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すぐに捕まえちゃうぞ☆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70" s="47">
        <v>40022069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"/>
        <v>40022015_40022070</v>
      </c>
      <c r="B71" s="126">
        <v>40022015</v>
      </c>
      <c r="C71" s="47">
        <v>40022070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フルリール・ドルチェ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ホルスを回復＋単体攻撃</v>
      </c>
      <c r="F71" s="47">
        <v>40022070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1" s="47"/>
      <c r="Q71" s="47"/>
      <c r="R71" s="47"/>
    </row>
    <row r="72" spans="1:18" ht="21" customHeight="1" x14ac:dyDescent="0.15">
      <c r="A72" s="39" t="str">
        <f t="shared" si="2"/>
        <v>40022015_40022071</v>
      </c>
      <c r="B72" s="126">
        <v>40022015</v>
      </c>
      <c r="C72" s="47">
        <v>40022071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えーるをおくるよ！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72" s="47">
        <v>40022071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ref="A73:A85" si="9">B73&amp;"_"&amp;C73</f>
        <v>40022016_40022072</v>
      </c>
      <c r="B73" s="126">
        <v>40022016</v>
      </c>
      <c r="C73" s="47">
        <v>40022072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時カカ間設定　訂セセセイテイスル…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オシリス&lt;システムエラー&gt;と遭遇した！_x000D_ボムの爆風を50%DOWN＋_x000D_確率で黄時限式ダメージパネルをドロップ＋状態異常耐性</v>
      </c>
      <c r="F73" s="47">
        <v>40022072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9"/>
        <v>40022016_40022073</v>
      </c>
      <c r="B74" s="126">
        <v>40022016</v>
      </c>
      <c r="C74" s="47">
        <v>40022073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タイム・オブリビオン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74" s="47">
        <v>40022073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9"/>
        <v>40022016_40022074</v>
      </c>
      <c r="B75" s="126">
        <v>40022016</v>
      </c>
      <c r="C75" s="47">
        <v>40022074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バッククグアププ　サササク成…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3ターン赤パネル無効＋単体攻撃</v>
      </c>
      <c r="F75" s="47">
        <v>40022074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9"/>
        <v>40022016_40022075</v>
      </c>
      <c r="B76" s="126">
        <v>40022016</v>
      </c>
      <c r="C76" s="47">
        <v>40022075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システテテム　ササイ起ドドウ…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3ターン暗闇＋単体攻撃</v>
      </c>
      <c r="F76" s="47">
        <v>40022075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9"/>
        <v>40022016_40022076</v>
      </c>
      <c r="B77" s="126">
        <v>40022016</v>
      </c>
      <c r="C77" s="47">
        <v>40022076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タイム・オブリビオン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77" s="47">
        <v>40022076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 t="str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9"/>
        <v>40022016_40022077</v>
      </c>
      <c r="B78" s="126">
        <v>40022016</v>
      </c>
      <c r="C78" s="47">
        <v>40022077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リムーバル・カウント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緑時限式ダメージパネルを3個生成＋全体攻撃</v>
      </c>
      <c r="F78" s="47">
        <v>40022077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9"/>
        <v>40022017_40022078</v>
      </c>
      <c r="B79" s="126">
        <v>40022017</v>
      </c>
      <c r="C79" s="47">
        <v>40022078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不ググ合発生　修フフクシュウスル…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ボムの爆風を50%DOWN＋_x000D_確率で黄時限式ダメージパネルをドロップ＋状態異常耐性</v>
      </c>
      <c r="F79" s="47">
        <v>40022078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9"/>
        <v>40022017_40022079</v>
      </c>
      <c r="B80" s="126">
        <v>40022017</v>
      </c>
      <c r="C80" s="47">
        <v>40022079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タイム・ディストーション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種族ヒューマンのユニットに大ダメージ＋_x000D_1ターン味方全体の攻撃力20%DOWN</v>
      </c>
      <c r="F80" s="47">
        <v>40022079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9"/>
        <v>40022017_40022080</v>
      </c>
      <c r="B81" s="126">
        <v>40022017</v>
      </c>
      <c r="C81" s="47">
        <v>40022080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時ヲ治レ治レ治レ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3ターンハートパネル無効＋単体攻撃</v>
      </c>
      <c r="F81" s="47">
        <v>40022080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9"/>
        <v>40022017_40022081</v>
      </c>
      <c r="B82" s="126">
        <v>40022017</v>
      </c>
      <c r="C82" s="47">
        <v>40022081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オレヲ　アナタガガガガ　アナタヲ破壊シロ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82" s="47">
        <v>40022081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9"/>
        <v>40022017_40022082</v>
      </c>
      <c r="B83" s="126">
        <v>40022017</v>
      </c>
      <c r="C83" s="47">
        <v>40022082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タイム・ディストーション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種族ヒューマンのユニットに大ダメージ＋_x000D_1ターン味方全体の攻撃力20%DOWN</v>
      </c>
      <c r="F83" s="47">
        <v>40022082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9"/>
        <v>40022017_40022083</v>
      </c>
      <c r="B84" s="126">
        <v>40022017</v>
      </c>
      <c r="C84" s="47">
        <v>40022083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リムーバル・アワー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緑時限式ダメージパネルを6個生成＋全体攻撃</v>
      </c>
      <c r="F84" s="47">
        <v>40022083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 t="str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9"/>
        <v>40022017_40022084</v>
      </c>
      <c r="B85" s="126">
        <v>40022017</v>
      </c>
      <c r="C85" s="47">
        <v>40022084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…ラー　アナタの手で止めてくれてありがとう…</v>
      </c>
      <c r="F85" s="47">
        <v>40022084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1012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ref="A86:A87" si="10">B86&amp;"_"&amp;C86</f>
        <v>40022017_40022085</v>
      </c>
      <c r="B86" s="126">
        <v>40022017</v>
      </c>
      <c r="C86" s="47">
        <v>40022085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…ラー　アナタの手で止めてくれてありがとう…</v>
      </c>
      <c r="F86" s="47">
        <v>40022085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1013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0"/>
        <v>40022017_40022086</v>
      </c>
      <c r="B87" s="126">
        <v>40022017</v>
      </c>
      <c r="C87" s="47">
        <v>40022086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セト…　オレから奪ったその力…　全て返してもらおうか…</v>
      </c>
      <c r="F87" s="47">
        <v>40022086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1010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ref="A88:A95" si="11">B88&amp;"_"&amp;C88</f>
        <v>40022017_40022087</v>
      </c>
      <c r="B88" s="126">
        <v>40022017</v>
      </c>
      <c r="C88" s="47">
        <v>40022087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セト…　オレから奪ったその力…　全て返してもらおうか…</v>
      </c>
      <c r="F88" s="47">
        <v>40022087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1011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1"/>
        <v>40022017_40022088</v>
      </c>
      <c r="B89" s="126">
        <v>40022017</v>
      </c>
      <c r="C89" s="47">
        <v>40022088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89" s="47">
        <v>40022088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166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1"/>
        <v>40022017_40022089</v>
      </c>
      <c r="B90" s="126">
        <v>40022017</v>
      </c>
      <c r="C90" s="47">
        <v>40022089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0" s="47">
        <v>40022089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167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1"/>
        <v>40022017_40022090</v>
      </c>
      <c r="B91" s="126">
        <v>40022017</v>
      </c>
      <c r="C91" s="47">
        <v>40022090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1" s="47">
        <v>40022090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168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1"/>
        <v>40022017_40022091</v>
      </c>
      <c r="B92" s="126">
        <v>40022017</v>
      </c>
      <c r="C92" s="47">
        <v>40022091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2" s="47">
        <v>40022091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1"/>
        <v>40022017_40022092</v>
      </c>
      <c r="B93" s="126">
        <v>40022017</v>
      </c>
      <c r="C93" s="47">
        <v>40022092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3" s="47">
        <v>40022092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513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1"/>
        <v>40022017_40022093</v>
      </c>
      <c r="B94" s="126">
        <v>40022017</v>
      </c>
      <c r="C94" s="47">
        <v>40022093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4" s="47">
        <v>40022093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805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1"/>
        <v>40022017_40022094</v>
      </c>
      <c r="B95" s="126">
        <v>40022017</v>
      </c>
      <c r="C95" s="47">
        <v>40022094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…消滅寸前に自我を取り戻した…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ハートの女王の勢力だと…_x000D_ヘリオポリスの力を狙っているのか！？</v>
      </c>
      <c r="F95" s="47">
        <v>40022094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1055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ref="A96" si="12">B96&amp;"_"&amp;C96</f>
        <v>40022017_40022095</v>
      </c>
      <c r="B96" s="126">
        <v>40022017</v>
      </c>
      <c r="C96" s="47">
        <v>40022095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システムエラー修復プログラム更新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…わざわざこのようなオレを救ってくれて済まない_x000D_セトはこの先の玄室に居るだろう　…セトを頼む</v>
      </c>
      <c r="F96" s="47">
        <v>40022095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 t="str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F19" sqref="F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05">
        <f>floors!$C$2</f>
        <v>40022</v>
      </c>
      <c r="B2" s="106">
        <v>1</v>
      </c>
      <c r="C2" s="107" t="str">
        <f>A2&amp; "_"&amp;B2</f>
        <v>40022_1</v>
      </c>
      <c r="D2" s="10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6">
        <v>1</v>
      </c>
      <c r="F2" s="106" t="s">
        <v>169</v>
      </c>
      <c r="G2" s="109">
        <v>40000</v>
      </c>
      <c r="H2" s="106" t="s">
        <v>281</v>
      </c>
      <c r="I2" s="106">
        <v>1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1</v>
      </c>
      <c r="P2" s="106">
        <v>150</v>
      </c>
      <c r="Q2" s="106" t="s">
        <v>170</v>
      </c>
      <c r="R2" s="110" t="s">
        <v>171</v>
      </c>
    </row>
    <row r="3" spans="1:18" x14ac:dyDescent="0.15">
      <c r="A3" s="111">
        <f>floors!$C$2</f>
        <v>40022</v>
      </c>
      <c r="B3" s="57">
        <v>1</v>
      </c>
      <c r="C3" s="71" t="str">
        <f t="shared" ref="C3:C11" si="0">A3&amp; "_"&amp;B3</f>
        <v>40022_1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282</v>
      </c>
      <c r="G3" s="112">
        <v>30</v>
      </c>
      <c r="H3" s="57" t="s">
        <v>281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13" t="s">
        <v>171</v>
      </c>
    </row>
    <row r="4" spans="1:18" x14ac:dyDescent="0.15">
      <c r="A4" s="111">
        <f>floors!$C$2</f>
        <v>40022</v>
      </c>
      <c r="B4" s="57">
        <v>1</v>
      </c>
      <c r="C4" s="71" t="str">
        <f t="shared" si="0"/>
        <v>40022_1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283</v>
      </c>
      <c r="G4" s="112">
        <v>337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13" t="s">
        <v>171</v>
      </c>
    </row>
    <row r="5" spans="1:18" x14ac:dyDescent="0.15">
      <c r="A5" s="111">
        <f>floors!$C$2</f>
        <v>40022</v>
      </c>
      <c r="B5" s="57">
        <v>1</v>
      </c>
      <c r="C5" s="71" t="str">
        <f t="shared" si="0"/>
        <v>40022_1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283</v>
      </c>
      <c r="G5" s="112">
        <v>338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13" t="s">
        <v>171</v>
      </c>
    </row>
    <row r="6" spans="1:18" x14ac:dyDescent="0.15">
      <c r="A6" s="111">
        <f>floors!$C$2</f>
        <v>40022</v>
      </c>
      <c r="B6" s="57">
        <v>1</v>
      </c>
      <c r="C6" s="71" t="str">
        <f t="shared" si="0"/>
        <v>40022_1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283</v>
      </c>
      <c r="G6" s="112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63">
        <v>100</v>
      </c>
      <c r="Q6" s="57" t="s">
        <v>170</v>
      </c>
      <c r="R6" s="113" t="s">
        <v>171</v>
      </c>
    </row>
    <row r="7" spans="1:18" x14ac:dyDescent="0.15">
      <c r="A7" s="111">
        <f>floors!$C$2</f>
        <v>40022</v>
      </c>
      <c r="B7" s="57">
        <v>1</v>
      </c>
      <c r="C7" s="71" t="str">
        <f t="shared" si="0"/>
        <v>40022_1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283</v>
      </c>
      <c r="G7" s="112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63">
        <v>100</v>
      </c>
      <c r="Q7" s="57" t="s">
        <v>170</v>
      </c>
      <c r="R7" s="113" t="s">
        <v>171</v>
      </c>
    </row>
    <row r="8" spans="1:18" x14ac:dyDescent="0.15">
      <c r="A8" s="111">
        <f>floors!$C$2</f>
        <v>40022</v>
      </c>
      <c r="B8" s="57">
        <v>1</v>
      </c>
      <c r="C8" s="71" t="str">
        <f t="shared" si="0"/>
        <v>40022_1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283</v>
      </c>
      <c r="G8" s="112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63">
        <v>100</v>
      </c>
      <c r="Q8" s="57" t="s">
        <v>170</v>
      </c>
      <c r="R8" s="113" t="s">
        <v>171</v>
      </c>
    </row>
    <row r="9" spans="1:18" x14ac:dyDescent="0.15">
      <c r="A9" s="111">
        <f>floors!$C$2</f>
        <v>40022</v>
      </c>
      <c r="B9" s="57">
        <v>1</v>
      </c>
      <c r="C9" s="71" t="str">
        <f t="shared" si="0"/>
        <v>40022_1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283</v>
      </c>
      <c r="G9" s="112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113" t="s">
        <v>171</v>
      </c>
    </row>
    <row r="10" spans="1:18" x14ac:dyDescent="0.15">
      <c r="A10" s="111">
        <f>floors!$C$2</f>
        <v>40022</v>
      </c>
      <c r="B10" s="57">
        <v>1</v>
      </c>
      <c r="C10" s="71" t="str">
        <f t="shared" si="0"/>
        <v>40022_1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283</v>
      </c>
      <c r="G10" s="112">
        <v>1008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63">
        <v>100</v>
      </c>
      <c r="Q10" s="57" t="s">
        <v>170</v>
      </c>
      <c r="R10" s="113" t="s">
        <v>171</v>
      </c>
    </row>
    <row r="11" spans="1:18" ht="16" thickBot="1" x14ac:dyDescent="0.2">
      <c r="A11" s="114">
        <f>floors!$C$2</f>
        <v>40022</v>
      </c>
      <c r="B11" s="115">
        <v>1</v>
      </c>
      <c r="C11" s="116" t="str">
        <f t="shared" si="0"/>
        <v>40022_1</v>
      </c>
      <c r="D11" s="1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5">
        <v>10</v>
      </c>
      <c r="F11" s="115" t="s">
        <v>283</v>
      </c>
      <c r="G11" s="118">
        <v>350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115">
        <v>0</v>
      </c>
      <c r="N11" s="115">
        <v>0</v>
      </c>
      <c r="O11" s="115">
        <v>1</v>
      </c>
      <c r="P11" s="115">
        <v>150</v>
      </c>
      <c r="Q11" s="115" t="s">
        <v>170</v>
      </c>
      <c r="R11" s="119" t="s">
        <v>171</v>
      </c>
    </row>
    <row r="12" spans="1:18" x14ac:dyDescent="0.15">
      <c r="A12" s="105">
        <f>floors!$C$2</f>
        <v>40022</v>
      </c>
      <c r="B12" s="106">
        <v>2</v>
      </c>
      <c r="C12" s="107" t="str">
        <f t="shared" ref="C12:C18" si="1">A12&amp; "_"&amp;B12</f>
        <v>40022_2</v>
      </c>
      <c r="D12" s="10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6">
        <v>1</v>
      </c>
      <c r="F12" s="106" t="s">
        <v>283</v>
      </c>
      <c r="G12" s="109">
        <v>338</v>
      </c>
      <c r="H12" s="106">
        <v>1</v>
      </c>
      <c r="I12" s="106">
        <v>1</v>
      </c>
      <c r="J12" s="106">
        <v>1</v>
      </c>
      <c r="K12" s="106">
        <v>0</v>
      </c>
      <c r="L12" s="106">
        <v>0</v>
      </c>
      <c r="M12" s="106">
        <v>0</v>
      </c>
      <c r="N12" s="106">
        <v>0</v>
      </c>
      <c r="O12" s="106">
        <v>1</v>
      </c>
      <c r="P12" s="106">
        <v>50</v>
      </c>
      <c r="Q12" s="106" t="s">
        <v>170</v>
      </c>
      <c r="R12" s="110" t="s">
        <v>171</v>
      </c>
    </row>
    <row r="13" spans="1:18" x14ac:dyDescent="0.15">
      <c r="A13" s="111">
        <f>floors!$C$2</f>
        <v>40022</v>
      </c>
      <c r="B13" s="57">
        <v>2</v>
      </c>
      <c r="C13" s="71" t="str">
        <f t="shared" si="1"/>
        <v>40022_2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283</v>
      </c>
      <c r="G13" s="112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13" t="s">
        <v>171</v>
      </c>
    </row>
    <row r="14" spans="1:18" x14ac:dyDescent="0.15">
      <c r="A14" s="111">
        <f>floors!$C$2</f>
        <v>40022</v>
      </c>
      <c r="B14" s="57">
        <v>2</v>
      </c>
      <c r="C14" s="71" t="str">
        <f t="shared" si="1"/>
        <v>40022_2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283</v>
      </c>
      <c r="G14" s="112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13" t="s">
        <v>171</v>
      </c>
    </row>
    <row r="15" spans="1:18" x14ac:dyDescent="0.15">
      <c r="A15" s="111">
        <f>floors!$C$2</f>
        <v>40022</v>
      </c>
      <c r="B15" s="57">
        <v>2</v>
      </c>
      <c r="C15" s="71" t="str">
        <f t="shared" si="1"/>
        <v>40022_2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283</v>
      </c>
      <c r="G15" s="112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13" t="s">
        <v>171</v>
      </c>
    </row>
    <row r="16" spans="1:18" x14ac:dyDescent="0.15">
      <c r="A16" s="111">
        <f>floors!$C$2</f>
        <v>40022</v>
      </c>
      <c r="B16" s="57">
        <v>2</v>
      </c>
      <c r="C16" s="71" t="str">
        <f t="shared" si="1"/>
        <v>40022_2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283</v>
      </c>
      <c r="G16" s="112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13" t="s">
        <v>171</v>
      </c>
    </row>
    <row r="17" spans="1:18" x14ac:dyDescent="0.15">
      <c r="A17" s="111">
        <f>floors!$C$2</f>
        <v>40022</v>
      </c>
      <c r="B17" s="57">
        <v>2</v>
      </c>
      <c r="C17" s="71" t="str">
        <f t="shared" si="1"/>
        <v>40022_2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283</v>
      </c>
      <c r="G17" s="112">
        <v>1008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170</v>
      </c>
      <c r="R17" s="113" t="s">
        <v>171</v>
      </c>
    </row>
    <row r="18" spans="1:18" ht="16" thickBot="1" x14ac:dyDescent="0.2">
      <c r="A18" s="114">
        <f>floors!$C$2</f>
        <v>40022</v>
      </c>
      <c r="B18" s="115">
        <v>2</v>
      </c>
      <c r="C18" s="116" t="str">
        <f t="shared" si="1"/>
        <v>40022_2</v>
      </c>
      <c r="D18" s="1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5">
        <v>7</v>
      </c>
      <c r="F18" s="115" t="s">
        <v>283</v>
      </c>
      <c r="G18" s="118">
        <v>350</v>
      </c>
      <c r="H18" s="115">
        <v>1</v>
      </c>
      <c r="I18" s="115">
        <v>1</v>
      </c>
      <c r="J18" s="115">
        <v>1</v>
      </c>
      <c r="K18" s="115">
        <v>0</v>
      </c>
      <c r="L18" s="115">
        <v>0</v>
      </c>
      <c r="M18" s="115">
        <v>0</v>
      </c>
      <c r="N18" s="115">
        <v>0</v>
      </c>
      <c r="O18" s="115">
        <v>1</v>
      </c>
      <c r="P18" s="115">
        <v>120</v>
      </c>
      <c r="Q18" s="115" t="s">
        <v>170</v>
      </c>
      <c r="R18" s="119" t="s">
        <v>171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4"/>
  <sheetViews>
    <sheetView showGridLines="0" workbookViewId="0">
      <pane ySplit="1" topLeftCell="A2" activePane="bottomLeft" state="frozen"/>
      <selection pane="bottomLeft" activeCell="H9" sqref="H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197</v>
      </c>
      <c r="B2" s="82">
        <f>floors!$C$2</f>
        <v>40022</v>
      </c>
      <c r="C2" s="83" t="str">
        <f ca="1">VLOOKUP($B2,OFFSET([2]quests!$A$1,0,0,COUNTA([2]quests!$A:$A),MATCH(C$1,[2]quests!$1:$1,0)-MATCH($B$1,[2]quests!$1:$1,0)+1),MATCH(C$1,[2]quests!$1:$1,0)-MATCH($B$1,[2]quests!$1:$1,0)+1,FALSE)</f>
        <v>オシリス襲来！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降臨22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降臨22</v>
      </c>
      <c r="H2" s="85">
        <v>1</v>
      </c>
      <c r="I2" s="90">
        <f t="shared" ref="I2:I24" si="0">ROW()-1</f>
        <v>1</v>
      </c>
      <c r="J2" s="86" t="str">
        <f t="shared" ref="J2:J11" si="1">B2&amp;TEXT(I2,"00")</f>
        <v>4002201</v>
      </c>
      <c r="K2" s="84" t="s">
        <v>128</v>
      </c>
      <c r="L2" s="87" t="s">
        <v>199</v>
      </c>
      <c r="M2" s="124" t="s">
        <v>322</v>
      </c>
      <c r="N2" s="57" t="s">
        <v>200</v>
      </c>
    </row>
    <row r="3" spans="1:14" ht="42" x14ac:dyDescent="0.15">
      <c r="A3" s="81" t="s">
        <v>197</v>
      </c>
      <c r="B3" s="82">
        <f>floors!$C$2</f>
        <v>40022</v>
      </c>
      <c r="C3" s="83" t="str">
        <f ca="1">VLOOKUP($B3,OFFSET([2]quests!$A$1,0,0,COUNTA([2]quests!$A:$A),MATCH(C$1,[2]quests!$1:$1,0)-MATCH($B$1,[2]quests!$1:$1,0)+1),MATCH(C$1,[2]quests!$1:$1,0)-MATCH($B$1,[2]quests!$1:$1,0)+1,FALSE)</f>
        <v>オシリス襲来！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降臨22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降臨22</v>
      </c>
      <c r="H3" s="85">
        <v>2</v>
      </c>
      <c r="I3" s="90">
        <f t="shared" si="0"/>
        <v>2</v>
      </c>
      <c r="J3" s="86" t="str">
        <f t="shared" si="1"/>
        <v>4002202</v>
      </c>
      <c r="K3" s="84" t="s">
        <v>128</v>
      </c>
      <c r="L3" s="87" t="s">
        <v>199</v>
      </c>
      <c r="M3" s="124" t="s">
        <v>323</v>
      </c>
      <c r="N3" s="57" t="s">
        <v>200</v>
      </c>
    </row>
    <row r="4" spans="1:14" ht="28" x14ac:dyDescent="0.15">
      <c r="A4" s="81" t="s">
        <v>197</v>
      </c>
      <c r="B4" s="82">
        <f>floors!$C$2</f>
        <v>40022</v>
      </c>
      <c r="C4" s="83" t="str">
        <f ca="1">VLOOKUP($B4,OFFSET([2]quests!$A$1,0,0,COUNTA([2]quests!$A:$A),MATCH(C$1,[2]quests!$1:$1,0)-MATCH($B$1,[2]quests!$1:$1,0)+1),MATCH(C$1,[2]quests!$1:$1,0)-MATCH($B$1,[2]quests!$1:$1,0)+1,FALSE)</f>
        <v>オシリス襲来！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降臨22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降臨22</v>
      </c>
      <c r="H4" s="85">
        <v>2</v>
      </c>
      <c r="I4" s="90">
        <f t="shared" si="0"/>
        <v>3</v>
      </c>
      <c r="J4" s="86" t="str">
        <f t="shared" si="1"/>
        <v>4002203</v>
      </c>
      <c r="K4" s="84" t="s">
        <v>128</v>
      </c>
      <c r="L4" s="87" t="s">
        <v>199</v>
      </c>
      <c r="M4" s="124" t="s">
        <v>324</v>
      </c>
      <c r="N4" s="57" t="s">
        <v>200</v>
      </c>
    </row>
    <row r="5" spans="1:14" ht="42" x14ac:dyDescent="0.15">
      <c r="A5" s="81" t="s">
        <v>197</v>
      </c>
      <c r="B5" s="82">
        <f>floors!$C$2</f>
        <v>40022</v>
      </c>
      <c r="C5" s="83" t="str">
        <f ca="1">VLOOKUP($B5,OFFSET([2]quests!$A$1,0,0,COUNTA([2]quests!$A:$A),MATCH(C$1,[2]quests!$1:$1,0)-MATCH($B$1,[2]quests!$1:$1,0)+1),MATCH(C$1,[2]quests!$1:$1,0)-MATCH($B$1,[2]quests!$1:$1,0)+1,FALSE)</f>
        <v>オシリス襲来！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降臨22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降臨22</v>
      </c>
      <c r="H5" s="85">
        <v>3</v>
      </c>
      <c r="I5" s="90">
        <f t="shared" si="0"/>
        <v>4</v>
      </c>
      <c r="J5" s="86" t="str">
        <f t="shared" si="1"/>
        <v>4002204</v>
      </c>
      <c r="K5" s="84" t="s">
        <v>128</v>
      </c>
      <c r="L5" s="87" t="s">
        <v>199</v>
      </c>
      <c r="M5" s="124" t="s">
        <v>420</v>
      </c>
      <c r="N5" s="57" t="s">
        <v>200</v>
      </c>
    </row>
    <row r="6" spans="1:14" ht="42" x14ac:dyDescent="0.15">
      <c r="A6" s="81" t="s">
        <v>197</v>
      </c>
      <c r="B6" s="82">
        <f>floors!$C$2</f>
        <v>40022</v>
      </c>
      <c r="C6" s="83" t="str">
        <f ca="1">VLOOKUP($B6,OFFSET([2]quests!$A$1,0,0,COUNTA([2]quests!$A:$A),MATCH(C$1,[2]quests!$1:$1,0)-MATCH($B$1,[2]quests!$1:$1,0)+1),MATCH(C$1,[2]quests!$1:$1,0)-MATCH($B$1,[2]quests!$1:$1,0)+1,FALSE)</f>
        <v>オシリス襲来！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降臨22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降臨22</v>
      </c>
      <c r="H6" s="85">
        <v>3</v>
      </c>
      <c r="I6" s="90">
        <f t="shared" si="0"/>
        <v>5</v>
      </c>
      <c r="J6" s="86" t="str">
        <f t="shared" si="1"/>
        <v>4002205</v>
      </c>
      <c r="K6" s="84" t="s">
        <v>128</v>
      </c>
      <c r="L6" s="87" t="s">
        <v>199</v>
      </c>
      <c r="M6" s="124" t="s">
        <v>416</v>
      </c>
      <c r="N6" s="57" t="s">
        <v>200</v>
      </c>
    </row>
    <row r="7" spans="1:14" ht="42" x14ac:dyDescent="0.15">
      <c r="A7" s="81" t="s">
        <v>197</v>
      </c>
      <c r="B7" s="82">
        <f>floors!$C$2</f>
        <v>40022</v>
      </c>
      <c r="C7" s="83" t="str">
        <f ca="1">VLOOKUP($B7,OFFSET([2]quests!$A$1,0,0,COUNTA([2]quests!$A:$A),MATCH(C$1,[2]quests!$1:$1,0)-MATCH($B$1,[2]quests!$1:$1,0)+1),MATCH(C$1,[2]quests!$1:$1,0)-MATCH($B$1,[2]quests!$1:$1,0)+1,FALSE)</f>
        <v>オシリス襲来！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降臨22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降臨22</v>
      </c>
      <c r="H7" s="85">
        <v>3</v>
      </c>
      <c r="I7" s="90">
        <f t="shared" si="0"/>
        <v>6</v>
      </c>
      <c r="J7" s="86" t="str">
        <f t="shared" si="1"/>
        <v>4002206</v>
      </c>
      <c r="K7" s="84" t="s">
        <v>128</v>
      </c>
      <c r="L7" s="87" t="s">
        <v>199</v>
      </c>
      <c r="M7" s="124" t="s">
        <v>417</v>
      </c>
      <c r="N7" s="57" t="s">
        <v>200</v>
      </c>
    </row>
    <row r="8" spans="1:14" ht="28" x14ac:dyDescent="0.15">
      <c r="A8" s="81" t="s">
        <v>421</v>
      </c>
      <c r="B8" s="127">
        <f>floors!$C$2</f>
        <v>40022</v>
      </c>
      <c r="C8" s="83" t="str">
        <f ca="1">VLOOKUP($B8,OFFSET([2]quests!$A$1,0,0,COUNTA([2]quests!$A:$A),MATCH(C$1,[2]quests!$1:$1,0)-MATCH($B$1,[2]quests!$1:$1,0)+1),MATCH(C$1,[2]quests!$1:$1,0)-MATCH($B$1,[2]quests!$1:$1,0)+1,FALSE)</f>
        <v>オシリス襲来！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降臨22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降臨22</v>
      </c>
      <c r="H8" s="85">
        <v>0</v>
      </c>
      <c r="I8" s="90">
        <f t="shared" si="0"/>
        <v>7</v>
      </c>
      <c r="J8" s="86" t="str">
        <f t="shared" si="1"/>
        <v>4002207</v>
      </c>
      <c r="K8" s="84" t="s">
        <v>128</v>
      </c>
      <c r="L8" s="128" t="s">
        <v>422</v>
      </c>
      <c r="M8" s="129" t="s">
        <v>423</v>
      </c>
      <c r="N8" s="57" t="s">
        <v>200</v>
      </c>
    </row>
    <row r="9" spans="1:14" ht="28" x14ac:dyDescent="0.15">
      <c r="A9" s="81" t="s">
        <v>421</v>
      </c>
      <c r="B9" s="127">
        <f>floors!$C$2</f>
        <v>40022</v>
      </c>
      <c r="C9" s="83" t="str">
        <f ca="1">VLOOKUP($B9,OFFSET([2]quests!$A$1,0,0,COUNTA([2]quests!$A:$A),MATCH(C$1,[2]quests!$1:$1,0)-MATCH($B$1,[2]quests!$1:$1,0)+1),MATCH(C$1,[2]quests!$1:$1,0)-MATCH($B$1,[2]quests!$1:$1,0)+1,FALSE)</f>
        <v>オシリス襲来！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降臨22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降臨22</v>
      </c>
      <c r="H9" s="85">
        <v>0</v>
      </c>
      <c r="I9" s="90">
        <f t="shared" si="0"/>
        <v>8</v>
      </c>
      <c r="J9" s="86" t="str">
        <f t="shared" si="1"/>
        <v>4002208</v>
      </c>
      <c r="K9" s="84" t="s">
        <v>128</v>
      </c>
      <c r="L9" s="128" t="s">
        <v>424</v>
      </c>
      <c r="M9" s="129" t="s">
        <v>425</v>
      </c>
      <c r="N9" s="57" t="s">
        <v>200</v>
      </c>
    </row>
    <row r="10" spans="1:14" ht="28" x14ac:dyDescent="0.15">
      <c r="A10" s="81" t="s">
        <v>421</v>
      </c>
      <c r="B10" s="127">
        <f>floors!$C$2</f>
        <v>40022</v>
      </c>
      <c r="C10" s="83" t="str">
        <f ca="1">VLOOKUP($B10,OFFSET([2]quests!$A$1,0,0,COUNTA([2]quests!$A:$A),MATCH(C$1,[2]quests!$1:$1,0)-MATCH($B$1,[2]quests!$1:$1,0)+1),MATCH(C$1,[2]quests!$1:$1,0)-MATCH($B$1,[2]quests!$1:$1,0)+1,FALSE)</f>
        <v>オシリス襲来！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降臨22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降臨22</v>
      </c>
      <c r="H10" s="85">
        <v>0</v>
      </c>
      <c r="I10" s="90">
        <f t="shared" si="0"/>
        <v>9</v>
      </c>
      <c r="J10" s="86" t="str">
        <f t="shared" si="1"/>
        <v>4002209</v>
      </c>
      <c r="K10" s="84" t="s">
        <v>128</v>
      </c>
      <c r="L10" s="128" t="s">
        <v>426</v>
      </c>
      <c r="M10" s="129" t="s">
        <v>427</v>
      </c>
      <c r="N10" s="57" t="s">
        <v>200</v>
      </c>
    </row>
    <row r="11" spans="1:14" ht="42" x14ac:dyDescent="0.15">
      <c r="A11" s="81" t="s">
        <v>421</v>
      </c>
      <c r="B11" s="127">
        <f>floors!$C$2</f>
        <v>40022</v>
      </c>
      <c r="C11" s="83" t="str">
        <f ca="1">VLOOKUP($B11,OFFSET([2]quests!$A$1,0,0,COUNTA([2]quests!$A:$A),MATCH(C$1,[2]quests!$1:$1,0)-MATCH($B$1,[2]quests!$1:$1,0)+1),MATCH(C$1,[2]quests!$1:$1,0)-MATCH($B$1,[2]quests!$1:$1,0)+1,FALSE)</f>
        <v>オシリス襲来！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降臨22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【超絶級】オシリス襲来 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降臨22</v>
      </c>
      <c r="H11" s="85">
        <v>0</v>
      </c>
      <c r="I11" s="90">
        <f t="shared" si="0"/>
        <v>10</v>
      </c>
      <c r="J11" s="86" t="str">
        <f t="shared" si="1"/>
        <v>4002210</v>
      </c>
      <c r="K11" s="84" t="s">
        <v>128</v>
      </c>
      <c r="L11" s="128" t="s">
        <v>428</v>
      </c>
      <c r="M11" s="129" t="s">
        <v>429</v>
      </c>
      <c r="N11" s="57" t="s">
        <v>200</v>
      </c>
    </row>
    <row r="12" spans="1:14" ht="42" x14ac:dyDescent="0.15">
      <c r="A12" s="81" t="s">
        <v>197</v>
      </c>
      <c r="B12" s="82">
        <f>floors!$C$2</f>
        <v>40022</v>
      </c>
      <c r="C12" s="83" t="str">
        <f ca="1">VLOOKUP($B12,OFFSET([2]quests!$A$1,0,0,COUNTA([2]quests!$A:$A),MATCH(C$1,[2]quests!$1:$1,0)-MATCH($B$1,[2]quests!$1:$1,0)+1),MATCH(C$1,[2]quests!$1:$1,0)-MATCH($B$1,[2]quests!$1:$1,0)+1,FALSE)</f>
        <v>オシリス襲来！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降臨22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降臨22</v>
      </c>
      <c r="H12" s="85">
        <v>1</v>
      </c>
      <c r="I12" s="90">
        <f t="shared" si="0"/>
        <v>11</v>
      </c>
      <c r="J12" s="86" t="str">
        <f t="shared" ref="J12:J24" si="2">B12&amp;TEXT(I12,"00")</f>
        <v>4002211</v>
      </c>
      <c r="K12" s="84" t="s">
        <v>198</v>
      </c>
      <c r="L12" s="87" t="s">
        <v>199</v>
      </c>
      <c r="M12" s="124" t="s">
        <v>322</v>
      </c>
      <c r="N12" s="57" t="s">
        <v>200</v>
      </c>
    </row>
    <row r="13" spans="1:14" ht="42" x14ac:dyDescent="0.15">
      <c r="A13" s="81" t="s">
        <v>197</v>
      </c>
      <c r="B13" s="82">
        <f>floors!$C$2</f>
        <v>40022</v>
      </c>
      <c r="C13" s="83" t="str">
        <f ca="1">VLOOKUP($B13,OFFSET([2]quests!$A$1,0,0,COUNTA([2]quests!$A:$A),MATCH(C$1,[2]quests!$1:$1,0)-MATCH($B$1,[2]quests!$1:$1,0)+1),MATCH(C$1,[2]quests!$1:$1,0)-MATCH($B$1,[2]quests!$1:$1,0)+1,FALSE)</f>
        <v>オシリス襲来！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降臨22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降臨22</v>
      </c>
      <c r="H13" s="85">
        <v>2</v>
      </c>
      <c r="I13" s="90">
        <f t="shared" si="0"/>
        <v>12</v>
      </c>
      <c r="J13" s="86" t="str">
        <f t="shared" si="2"/>
        <v>4002212</v>
      </c>
      <c r="K13" s="84" t="s">
        <v>128</v>
      </c>
      <c r="L13" s="87" t="s">
        <v>199</v>
      </c>
      <c r="M13" s="124" t="s">
        <v>323</v>
      </c>
      <c r="N13" s="57" t="s">
        <v>200</v>
      </c>
    </row>
    <row r="14" spans="1:14" ht="28" x14ac:dyDescent="0.15">
      <c r="A14" s="81" t="s">
        <v>197</v>
      </c>
      <c r="B14" s="82">
        <f>floors!$C$2</f>
        <v>40022</v>
      </c>
      <c r="C14" s="83" t="str">
        <f ca="1">VLOOKUP($B14,OFFSET([2]quests!$A$1,0,0,COUNTA([2]quests!$A:$A),MATCH(C$1,[2]quests!$1:$1,0)-MATCH($B$1,[2]quests!$1:$1,0)+1),MATCH(C$1,[2]quests!$1:$1,0)-MATCH($B$1,[2]quests!$1:$1,0)+1,FALSE)</f>
        <v>オシリス襲来！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降臨22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降臨22</v>
      </c>
      <c r="H14" s="85">
        <v>2</v>
      </c>
      <c r="I14" s="90">
        <f t="shared" si="0"/>
        <v>13</v>
      </c>
      <c r="J14" s="86" t="str">
        <f t="shared" si="2"/>
        <v>4002213</v>
      </c>
      <c r="K14" s="84" t="s">
        <v>128</v>
      </c>
      <c r="L14" s="87" t="s">
        <v>199</v>
      </c>
      <c r="M14" s="124" t="s">
        <v>324</v>
      </c>
      <c r="N14" s="57" t="s">
        <v>200</v>
      </c>
    </row>
    <row r="15" spans="1:14" ht="42" x14ac:dyDescent="0.15">
      <c r="A15" s="81" t="s">
        <v>197</v>
      </c>
      <c r="B15" s="82">
        <f>floors!$C$2</f>
        <v>40022</v>
      </c>
      <c r="C15" s="83" t="str">
        <f ca="1">VLOOKUP($B15,OFFSET([2]quests!$A$1,0,0,COUNTA([2]quests!$A:$A),MATCH(C$1,[2]quests!$1:$1,0)-MATCH($B$1,[2]quests!$1:$1,0)+1),MATCH(C$1,[2]quests!$1:$1,0)-MATCH($B$1,[2]quests!$1:$1,0)+1,FALSE)</f>
        <v>オシリス襲来！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降臨22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降臨22</v>
      </c>
      <c r="H15" s="85">
        <v>3</v>
      </c>
      <c r="I15" s="90">
        <f t="shared" si="0"/>
        <v>14</v>
      </c>
      <c r="J15" s="86" t="str">
        <f t="shared" si="2"/>
        <v>4002214</v>
      </c>
      <c r="K15" s="84" t="s">
        <v>128</v>
      </c>
      <c r="L15" s="87" t="s">
        <v>199</v>
      </c>
      <c r="M15" s="124" t="s">
        <v>325</v>
      </c>
      <c r="N15" s="57" t="s">
        <v>200</v>
      </c>
    </row>
    <row r="16" spans="1:14" ht="42" x14ac:dyDescent="0.15">
      <c r="A16" s="81" t="s">
        <v>197</v>
      </c>
      <c r="B16" s="82">
        <f>floors!$C$2</f>
        <v>40022</v>
      </c>
      <c r="C16" s="83" t="str">
        <f ca="1">VLOOKUP($B16,OFFSET([2]quests!$A$1,0,0,COUNTA([2]quests!$A:$A),MATCH(C$1,[2]quests!$1:$1,0)-MATCH($B$1,[2]quests!$1:$1,0)+1),MATCH(C$1,[2]quests!$1:$1,0)-MATCH($B$1,[2]quests!$1:$1,0)+1,FALSE)</f>
        <v>オシリス襲来！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降臨22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降臨22</v>
      </c>
      <c r="H16" s="85">
        <v>3</v>
      </c>
      <c r="I16" s="90">
        <f t="shared" si="0"/>
        <v>15</v>
      </c>
      <c r="J16" s="86" t="str">
        <f t="shared" si="2"/>
        <v>4002215</v>
      </c>
      <c r="K16" s="84" t="s">
        <v>128</v>
      </c>
      <c r="L16" s="87" t="s">
        <v>199</v>
      </c>
      <c r="M16" s="124" t="s">
        <v>326</v>
      </c>
      <c r="N16" s="57" t="s">
        <v>200</v>
      </c>
    </row>
    <row r="17" spans="1:14" ht="42" x14ac:dyDescent="0.15">
      <c r="A17" s="81" t="s">
        <v>197</v>
      </c>
      <c r="B17" s="82">
        <f>floors!$C$2</f>
        <v>40022</v>
      </c>
      <c r="C17" s="83" t="str">
        <f ca="1">VLOOKUP($B17,OFFSET([2]quests!$A$1,0,0,COUNTA([2]quests!$A:$A),MATCH(C$1,[2]quests!$1:$1,0)-MATCH($B$1,[2]quests!$1:$1,0)+1),MATCH(C$1,[2]quests!$1:$1,0)-MATCH($B$1,[2]quests!$1:$1,0)+1,FALSE)</f>
        <v>オシリス襲来！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降臨22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降臨22</v>
      </c>
      <c r="H17" s="85">
        <v>4</v>
      </c>
      <c r="I17" s="90">
        <f t="shared" si="0"/>
        <v>16</v>
      </c>
      <c r="J17" s="86" t="str">
        <f t="shared" si="2"/>
        <v>4002216</v>
      </c>
      <c r="K17" s="84" t="s">
        <v>128</v>
      </c>
      <c r="L17" s="87" t="s">
        <v>199</v>
      </c>
      <c r="M17" s="124" t="s">
        <v>419</v>
      </c>
      <c r="N17" s="57" t="s">
        <v>200</v>
      </c>
    </row>
    <row r="18" spans="1:14" ht="42" x14ac:dyDescent="0.15">
      <c r="A18" s="81" t="s">
        <v>197</v>
      </c>
      <c r="B18" s="82">
        <f>floors!$C$2</f>
        <v>40022</v>
      </c>
      <c r="C18" s="83" t="str">
        <f ca="1">VLOOKUP($B18,OFFSET([2]quests!$A$1,0,0,COUNTA([2]quests!$A:$A),MATCH(C$1,[2]quests!$1:$1,0)-MATCH($B$1,[2]quests!$1:$1,0)+1),MATCH(C$1,[2]quests!$1:$1,0)-MATCH($B$1,[2]quests!$1:$1,0)+1,FALSE)</f>
        <v>オシリス襲来！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降臨22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降臨22</v>
      </c>
      <c r="H18" s="85">
        <v>4</v>
      </c>
      <c r="I18" s="90">
        <f t="shared" si="0"/>
        <v>17</v>
      </c>
      <c r="J18" s="86" t="str">
        <f t="shared" si="2"/>
        <v>4002217</v>
      </c>
      <c r="K18" s="84" t="s">
        <v>128</v>
      </c>
      <c r="L18" s="87" t="s">
        <v>199</v>
      </c>
      <c r="M18" s="124" t="s">
        <v>416</v>
      </c>
      <c r="N18" s="57" t="s">
        <v>200</v>
      </c>
    </row>
    <row r="19" spans="1:14" ht="42" x14ac:dyDescent="0.15">
      <c r="A19" s="81" t="s">
        <v>197</v>
      </c>
      <c r="B19" s="82">
        <f>floors!$C$2</f>
        <v>40022</v>
      </c>
      <c r="C19" s="83" t="str">
        <f ca="1">VLOOKUP($B19,OFFSET([2]quests!$A$1,0,0,COUNTA([2]quests!$A:$A),MATCH(C$1,[2]quests!$1:$1,0)-MATCH($B$1,[2]quests!$1:$1,0)+1),MATCH(C$1,[2]quests!$1:$1,0)-MATCH($B$1,[2]quests!$1:$1,0)+1,FALSE)</f>
        <v>オシリス襲来！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降臨22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降臨22</v>
      </c>
      <c r="H19" s="85">
        <v>4</v>
      </c>
      <c r="I19" s="90">
        <f t="shared" si="0"/>
        <v>18</v>
      </c>
      <c r="J19" s="86" t="str">
        <f t="shared" ref="J19" si="3">B19&amp;TEXT(I19,"00")</f>
        <v>4002218</v>
      </c>
      <c r="K19" s="84" t="s">
        <v>128</v>
      </c>
      <c r="L19" s="87" t="s">
        <v>199</v>
      </c>
      <c r="M19" s="124" t="s">
        <v>417</v>
      </c>
      <c r="N19" s="57" t="s">
        <v>200</v>
      </c>
    </row>
    <row r="20" spans="1:14" ht="42" x14ac:dyDescent="0.15">
      <c r="A20" s="81" t="s">
        <v>197</v>
      </c>
      <c r="B20" s="82">
        <f>floors!$C$2</f>
        <v>40022</v>
      </c>
      <c r="C20" s="83" t="str">
        <f ca="1">VLOOKUP($B20,OFFSET([2]quests!$A$1,0,0,COUNTA([2]quests!$A:$A),MATCH(C$1,[2]quests!$1:$1,0)-MATCH($B$1,[2]quests!$1:$1,0)+1),MATCH(C$1,[2]quests!$1:$1,0)-MATCH($B$1,[2]quests!$1:$1,0)+1,FALSE)</f>
        <v>オシリス襲来！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降臨22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降臨22</v>
      </c>
      <c r="H20" s="85">
        <v>4</v>
      </c>
      <c r="I20" s="90">
        <f t="shared" si="0"/>
        <v>19</v>
      </c>
      <c r="J20" s="86" t="str">
        <f t="shared" si="2"/>
        <v>4002219</v>
      </c>
      <c r="K20" s="84" t="s">
        <v>128</v>
      </c>
      <c r="L20" s="87" t="s">
        <v>199</v>
      </c>
      <c r="M20" s="124" t="s">
        <v>418</v>
      </c>
      <c r="N20" s="57" t="s">
        <v>200</v>
      </c>
    </row>
    <row r="21" spans="1:14" ht="28" x14ac:dyDescent="0.15">
      <c r="A21" s="81" t="s">
        <v>421</v>
      </c>
      <c r="B21" s="127">
        <f>floors!$C$2</f>
        <v>40022</v>
      </c>
      <c r="C21" s="83" t="str">
        <f ca="1">VLOOKUP($B21,OFFSET([2]quests!$A$1,0,0,COUNTA([2]quests!$A:$A),MATCH(C$1,[2]quests!$1:$1,0)-MATCH($B$1,[2]quests!$1:$1,0)+1),MATCH(C$1,[2]quests!$1:$1,0)-MATCH($B$1,[2]quests!$1:$1,0)+1,FALSE)</f>
        <v>オシリス襲来！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降臨22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降臨22</v>
      </c>
      <c r="H21" s="85">
        <v>0</v>
      </c>
      <c r="I21" s="90">
        <f t="shared" si="0"/>
        <v>20</v>
      </c>
      <c r="J21" s="86" t="str">
        <f t="shared" si="2"/>
        <v>4002220</v>
      </c>
      <c r="K21" s="84" t="s">
        <v>128</v>
      </c>
      <c r="L21" s="128" t="s">
        <v>422</v>
      </c>
      <c r="M21" s="129" t="s">
        <v>423</v>
      </c>
      <c r="N21" s="57" t="s">
        <v>200</v>
      </c>
    </row>
    <row r="22" spans="1:14" ht="28" x14ac:dyDescent="0.15">
      <c r="A22" s="81" t="s">
        <v>421</v>
      </c>
      <c r="B22" s="127">
        <f>floors!$C$2</f>
        <v>40022</v>
      </c>
      <c r="C22" s="83" t="str">
        <f ca="1">VLOOKUP($B22,OFFSET([2]quests!$A$1,0,0,COUNTA([2]quests!$A:$A),MATCH(C$1,[2]quests!$1:$1,0)-MATCH($B$1,[2]quests!$1:$1,0)+1),MATCH(C$1,[2]quests!$1:$1,0)-MATCH($B$1,[2]quests!$1:$1,0)+1,FALSE)</f>
        <v>オシリス襲来！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降臨22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降臨22</v>
      </c>
      <c r="H22" s="85">
        <v>0</v>
      </c>
      <c r="I22" s="90">
        <f t="shared" si="0"/>
        <v>21</v>
      </c>
      <c r="J22" s="86" t="str">
        <f t="shared" si="2"/>
        <v>4002221</v>
      </c>
      <c r="K22" s="84" t="s">
        <v>128</v>
      </c>
      <c r="L22" s="128" t="s">
        <v>424</v>
      </c>
      <c r="M22" s="129" t="s">
        <v>425</v>
      </c>
      <c r="N22" s="57" t="s">
        <v>200</v>
      </c>
    </row>
    <row r="23" spans="1:14" ht="28" x14ac:dyDescent="0.15">
      <c r="A23" s="81" t="s">
        <v>421</v>
      </c>
      <c r="B23" s="127">
        <f>floors!$C$2</f>
        <v>40022</v>
      </c>
      <c r="C23" s="83" t="str">
        <f ca="1">VLOOKUP($B23,OFFSET([2]quests!$A$1,0,0,COUNTA([2]quests!$A:$A),MATCH(C$1,[2]quests!$1:$1,0)-MATCH($B$1,[2]quests!$1:$1,0)+1),MATCH(C$1,[2]quests!$1:$1,0)-MATCH($B$1,[2]quests!$1:$1,0)+1,FALSE)</f>
        <v>オシリス襲来！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降臨22</v>
      </c>
      <c r="E23" s="8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降臨22</v>
      </c>
      <c r="H23" s="85">
        <v>0</v>
      </c>
      <c r="I23" s="90">
        <f t="shared" si="0"/>
        <v>22</v>
      </c>
      <c r="J23" s="86" t="str">
        <f t="shared" si="2"/>
        <v>4002222</v>
      </c>
      <c r="K23" s="84" t="s">
        <v>128</v>
      </c>
      <c r="L23" s="128" t="s">
        <v>426</v>
      </c>
      <c r="M23" s="129" t="s">
        <v>427</v>
      </c>
      <c r="N23" s="57" t="s">
        <v>200</v>
      </c>
    </row>
    <row r="24" spans="1:14" ht="42" x14ac:dyDescent="0.15">
      <c r="A24" s="81" t="s">
        <v>421</v>
      </c>
      <c r="B24" s="127">
        <f>floors!$C$2</f>
        <v>40022</v>
      </c>
      <c r="C24" s="83" t="str">
        <f ca="1">VLOOKUP($B24,OFFSET([2]quests!$A$1,0,0,COUNTA([2]quests!$A:$A),MATCH(C$1,[2]quests!$1:$1,0)-MATCH($B$1,[2]quests!$1:$1,0)+1),MATCH(C$1,[2]quests!$1:$1,0)-MATCH($B$1,[2]quests!$1:$1,0)+1,FALSE)</f>
        <v>オシリス襲来！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降臨22</v>
      </c>
      <c r="E24" s="84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降臨22</v>
      </c>
      <c r="H24" s="85">
        <v>0</v>
      </c>
      <c r="I24" s="90">
        <f t="shared" si="0"/>
        <v>23</v>
      </c>
      <c r="J24" s="86" t="str">
        <f t="shared" si="2"/>
        <v>4002223</v>
      </c>
      <c r="K24" s="84" t="s">
        <v>128</v>
      </c>
      <c r="L24" s="128" t="s">
        <v>428</v>
      </c>
      <c r="M24" s="129" t="s">
        <v>429</v>
      </c>
      <c r="N24" s="57" t="s">
        <v>200</v>
      </c>
    </row>
  </sheetData>
  <phoneticPr fontId="5"/>
  <dataValidations count="1">
    <dataValidation type="list" allowBlank="1" showInputMessage="1" showErrorMessage="1" sqref="A2:A2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topLeftCell="E1" workbookViewId="0">
      <pane ySplit="1" topLeftCell="A2" activePane="bottomLeft" state="frozen"/>
      <selection pane="bottomLeft" activeCell="G3" sqref="G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157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40022_2_everyone_no_continue_1</v>
      </c>
      <c r="B2" s="82">
        <v>40022</v>
      </c>
      <c r="C2" s="83" t="str">
        <f ca="1">VLOOKUP($B2,OFFSET([2]quests!$A$1,0,0,COUNTA([2]quests!$A:$A),MATCH(C$1,[2]quests!$1:$1,0)-MATCH($B$1,[2]quests!$1:$1,0)+1),MATCH(C$1,[2]quests!$1:$1,0)-MATCH($B$1,[2]quests!$1:$1,0)+1,FALSE)</f>
        <v>オシリス襲来！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降臨22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【ウィザード級】オシリス襲来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降臨22</v>
      </c>
      <c r="H2" s="85" t="s">
        <v>226</v>
      </c>
      <c r="I2" s="84" t="s">
        <v>229</v>
      </c>
      <c r="J2" s="84">
        <v>1</v>
      </c>
      <c r="K2" s="84">
        <v>100</v>
      </c>
      <c r="L2" s="120" t="s">
        <v>284</v>
      </c>
      <c r="M2" s="121">
        <v>1008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オシリス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2017-04-04T08:43:53Z</dcterms:modified>
</cp:coreProperties>
</file>