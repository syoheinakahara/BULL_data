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-80" yWindow="460" windowWidth="19180" windowHeight="107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3" i="18" l="1"/>
  <c r="C43" i="18"/>
  <c r="D43" i="18"/>
  <c r="A42" i="18"/>
  <c r="C42" i="18"/>
  <c r="D42" i="18"/>
  <c r="A41" i="18"/>
  <c r="C41" i="18"/>
  <c r="D41" i="18"/>
  <c r="A40" i="18"/>
  <c r="C40" i="18"/>
  <c r="D40" i="18"/>
  <c r="A39" i="18"/>
  <c r="C39" i="18"/>
  <c r="D39" i="18"/>
  <c r="A38" i="18"/>
  <c r="C38" i="18"/>
  <c r="D38" i="18"/>
  <c r="A37" i="18"/>
  <c r="C37" i="18"/>
  <c r="D37" i="18"/>
  <c r="A36" i="18"/>
  <c r="C36" i="18"/>
  <c r="D36" i="18"/>
  <c r="A35" i="18"/>
  <c r="C35" i="18"/>
  <c r="D35" i="18"/>
  <c r="A34" i="18"/>
  <c r="C34" i="18"/>
  <c r="D34" i="18"/>
  <c r="A33" i="18"/>
  <c r="C33" i="18"/>
  <c r="D33" i="18"/>
  <c r="A32" i="18"/>
  <c r="C32" i="18"/>
  <c r="D32" i="18"/>
  <c r="A31" i="18"/>
  <c r="C31" i="18"/>
  <c r="D31" i="18"/>
  <c r="A30" i="18"/>
  <c r="C30" i="18"/>
  <c r="D30" i="18"/>
  <c r="A29" i="18"/>
  <c r="C29" i="18"/>
  <c r="D29" i="18"/>
  <c r="A28" i="18"/>
  <c r="C28" i="18"/>
  <c r="D28" i="18"/>
  <c r="A27" i="18"/>
  <c r="C27" i="18"/>
  <c r="D27" i="18"/>
  <c r="A26" i="18"/>
  <c r="C26" i="18"/>
  <c r="D26" i="18"/>
  <c r="A25" i="18"/>
  <c r="C25" i="18"/>
  <c r="D25" i="18"/>
  <c r="A24" i="18"/>
  <c r="C24" i="18"/>
  <c r="D24" i="18"/>
  <c r="A23" i="18"/>
  <c r="C23" i="18"/>
  <c r="D23" i="18"/>
  <c r="A22" i="18"/>
  <c r="C22" i="18"/>
  <c r="D22" i="18"/>
  <c r="A21" i="18"/>
  <c r="C21" i="18"/>
  <c r="D21" i="18"/>
  <c r="A20" i="18"/>
  <c r="C20" i="18"/>
  <c r="D20" i="18"/>
  <c r="A19" i="18"/>
  <c r="C19" i="18"/>
  <c r="D19" i="18"/>
  <c r="A18" i="18"/>
  <c r="C18" i="18"/>
  <c r="D18" i="18"/>
  <c r="A17" i="18"/>
  <c r="C17" i="18"/>
  <c r="D17" i="18"/>
  <c r="A16" i="18"/>
  <c r="C16" i="18"/>
  <c r="D16" i="18"/>
  <c r="A15" i="18"/>
  <c r="C15" i="18"/>
  <c r="D15" i="18"/>
  <c r="A14" i="18"/>
  <c r="C14" i="18"/>
  <c r="D14" i="18"/>
  <c r="A13" i="18"/>
  <c r="C13" i="18"/>
  <c r="D13" i="18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2" i="18"/>
  <c r="C2" i="18"/>
  <c r="D2" i="18"/>
  <c r="E3" i="9"/>
  <c r="X3" i="1"/>
  <c r="E5" i="9"/>
  <c r="X4" i="1"/>
  <c r="E36" i="9"/>
  <c r="X5" i="1"/>
  <c r="E9" i="9"/>
  <c r="X6" i="1"/>
  <c r="E10" i="9"/>
  <c r="X7" i="1"/>
  <c r="E37" i="9"/>
  <c r="X8" i="1"/>
  <c r="E38" i="9"/>
  <c r="X9" i="1"/>
  <c r="E17" i="9"/>
  <c r="X10" i="1"/>
  <c r="E19" i="9"/>
  <c r="X11" i="1"/>
  <c r="E2" i="9"/>
  <c r="X12" i="1"/>
  <c r="X13" i="1"/>
  <c r="X14" i="1"/>
  <c r="X15" i="1"/>
  <c r="X16" i="1"/>
  <c r="X17" i="1"/>
  <c r="E12" i="9"/>
  <c r="X18" i="1"/>
  <c r="X19" i="1"/>
  <c r="X20" i="1"/>
  <c r="X21" i="1"/>
  <c r="X22" i="1"/>
  <c r="X23" i="1"/>
  <c r="X24" i="1"/>
  <c r="E7" i="9"/>
  <c r="X25" i="1"/>
  <c r="X26" i="1"/>
  <c r="X27" i="1"/>
  <c r="X28" i="1"/>
  <c r="E15" i="9"/>
  <c r="X29" i="1"/>
  <c r="X30" i="1"/>
  <c r="X31" i="1"/>
  <c r="E34" i="9"/>
  <c r="X32" i="1"/>
  <c r="X33" i="1"/>
  <c r="X34" i="1"/>
  <c r="X35" i="1"/>
  <c r="X36" i="1"/>
  <c r="X37" i="1"/>
  <c r="X38" i="1"/>
  <c r="X39" i="1"/>
  <c r="X40" i="1"/>
  <c r="X41" i="1"/>
  <c r="X42" i="1"/>
  <c r="X43" i="1"/>
  <c r="X2" i="1"/>
  <c r="E25" i="9"/>
  <c r="Y2" i="7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H17" i="2"/>
  <c r="E17" i="2"/>
  <c r="D17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J33" i="11"/>
  <c r="O39" i="9"/>
  <c r="N39" i="9"/>
  <c r="M39" i="9"/>
  <c r="L39" i="9"/>
  <c r="K39" i="9"/>
  <c r="J39" i="9"/>
  <c r="I39" i="9"/>
  <c r="H39" i="9"/>
  <c r="G39" i="9"/>
  <c r="E39" i="9"/>
  <c r="D39" i="9"/>
  <c r="J15" i="11"/>
  <c r="O38" i="9"/>
  <c r="N38" i="9"/>
  <c r="M38" i="9"/>
  <c r="L38" i="9"/>
  <c r="K38" i="9"/>
  <c r="J38" i="9"/>
  <c r="I38" i="9"/>
  <c r="H38" i="9"/>
  <c r="G38" i="9"/>
  <c r="D38" i="9"/>
  <c r="J14" i="11"/>
  <c r="J13" i="11"/>
  <c r="O37" i="9"/>
  <c r="N37" i="9"/>
  <c r="M37" i="9"/>
  <c r="L37" i="9"/>
  <c r="K37" i="9"/>
  <c r="J37" i="9"/>
  <c r="I37" i="9"/>
  <c r="H37" i="9"/>
  <c r="G37" i="9"/>
  <c r="D37" i="9"/>
  <c r="J8" i="11"/>
  <c r="O36" i="9"/>
  <c r="N36" i="9"/>
  <c r="M36" i="9"/>
  <c r="L36" i="9"/>
  <c r="K36" i="9"/>
  <c r="J36" i="9"/>
  <c r="I36" i="9"/>
  <c r="H36" i="9"/>
  <c r="G36" i="9"/>
  <c r="D36" i="9"/>
  <c r="J32" i="11"/>
  <c r="O35" i="9"/>
  <c r="N35" i="9"/>
  <c r="M35" i="9"/>
  <c r="L35" i="9"/>
  <c r="K35" i="9"/>
  <c r="J35" i="9"/>
  <c r="I35" i="9"/>
  <c r="H35" i="9"/>
  <c r="G35" i="9"/>
  <c r="E35" i="9"/>
  <c r="D35" i="9"/>
  <c r="J31" i="11"/>
  <c r="O34" i="9"/>
  <c r="N34" i="9"/>
  <c r="M34" i="9"/>
  <c r="L34" i="9"/>
  <c r="K34" i="9"/>
  <c r="J34" i="9"/>
  <c r="I34" i="9"/>
  <c r="H34" i="9"/>
  <c r="G34" i="9"/>
  <c r="D34" i="9"/>
  <c r="J30" i="11"/>
  <c r="O33" i="9"/>
  <c r="N33" i="9"/>
  <c r="M33" i="9"/>
  <c r="L33" i="9"/>
  <c r="K33" i="9"/>
  <c r="J33" i="9"/>
  <c r="I33" i="9"/>
  <c r="H33" i="9"/>
  <c r="G33" i="9"/>
  <c r="E33" i="9"/>
  <c r="D33" i="9"/>
  <c r="J29" i="11"/>
  <c r="O32" i="9"/>
  <c r="N32" i="9"/>
  <c r="M32" i="9"/>
  <c r="L32" i="9"/>
  <c r="K32" i="9"/>
  <c r="J32" i="9"/>
  <c r="I32" i="9"/>
  <c r="H32" i="9"/>
  <c r="G32" i="9"/>
  <c r="E32" i="9"/>
  <c r="D32" i="9"/>
  <c r="J28" i="11"/>
  <c r="O31" i="9"/>
  <c r="N31" i="9"/>
  <c r="M31" i="9"/>
  <c r="L31" i="9"/>
  <c r="K31" i="9"/>
  <c r="J31" i="9"/>
  <c r="I31" i="9"/>
  <c r="H31" i="9"/>
  <c r="G31" i="9"/>
  <c r="E31" i="9"/>
  <c r="D31" i="9"/>
  <c r="J24" i="11"/>
  <c r="O30" i="9"/>
  <c r="N30" i="9"/>
  <c r="M30" i="9"/>
  <c r="L30" i="9"/>
  <c r="K30" i="9"/>
  <c r="J30" i="9"/>
  <c r="I30" i="9"/>
  <c r="H30" i="9"/>
  <c r="G30" i="9"/>
  <c r="E30" i="9"/>
  <c r="D30" i="9"/>
  <c r="J23" i="11"/>
  <c r="O29" i="9"/>
  <c r="N29" i="9"/>
  <c r="M29" i="9"/>
  <c r="L29" i="9"/>
  <c r="K29" i="9"/>
  <c r="J29" i="9"/>
  <c r="I29" i="9"/>
  <c r="H29" i="9"/>
  <c r="G29" i="9"/>
  <c r="E29" i="9"/>
  <c r="D29" i="9"/>
  <c r="J22" i="11"/>
  <c r="O28" i="9"/>
  <c r="N28" i="9"/>
  <c r="M28" i="9"/>
  <c r="L28" i="9"/>
  <c r="K28" i="9"/>
  <c r="J28" i="9"/>
  <c r="I28" i="9"/>
  <c r="H28" i="9"/>
  <c r="G28" i="9"/>
  <c r="E28" i="9"/>
  <c r="D28" i="9"/>
  <c r="J27" i="11"/>
  <c r="O27" i="9"/>
  <c r="N27" i="9"/>
  <c r="M27" i="9"/>
  <c r="L27" i="9"/>
  <c r="K27" i="9"/>
  <c r="J27" i="9"/>
  <c r="I27" i="9"/>
  <c r="H27" i="9"/>
  <c r="G27" i="9"/>
  <c r="E27" i="9"/>
  <c r="D27" i="9"/>
  <c r="J26" i="11"/>
  <c r="O26" i="9"/>
  <c r="N26" i="9"/>
  <c r="M26" i="9"/>
  <c r="L26" i="9"/>
  <c r="K26" i="9"/>
  <c r="J26" i="9"/>
  <c r="I26" i="9"/>
  <c r="H26" i="9"/>
  <c r="G26" i="9"/>
  <c r="E26" i="9"/>
  <c r="D26" i="9"/>
  <c r="J25" i="11"/>
  <c r="O25" i="9"/>
  <c r="N25" i="9"/>
  <c r="M25" i="9"/>
  <c r="L25" i="9"/>
  <c r="K25" i="9"/>
  <c r="J25" i="9"/>
  <c r="I25" i="9"/>
  <c r="H25" i="9"/>
  <c r="G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J21" i="11"/>
  <c r="O21" i="9"/>
  <c r="N21" i="9"/>
  <c r="M21" i="9"/>
  <c r="L21" i="9"/>
  <c r="K21" i="9"/>
  <c r="J21" i="9"/>
  <c r="I21" i="9"/>
  <c r="H21" i="9"/>
  <c r="G21" i="9"/>
  <c r="E21" i="9"/>
  <c r="D21" i="9"/>
  <c r="J20" i="11"/>
  <c r="O20" i="9"/>
  <c r="N20" i="9"/>
  <c r="M20" i="9"/>
  <c r="L20" i="9"/>
  <c r="K20" i="9"/>
  <c r="J20" i="9"/>
  <c r="I20" i="9"/>
  <c r="H20" i="9"/>
  <c r="G20" i="9"/>
  <c r="E20" i="9"/>
  <c r="D20" i="9"/>
  <c r="J19" i="11"/>
  <c r="O19" i="9"/>
  <c r="N19" i="9"/>
  <c r="M19" i="9"/>
  <c r="L19" i="9"/>
  <c r="K19" i="9"/>
  <c r="J19" i="9"/>
  <c r="I19" i="9"/>
  <c r="H19" i="9"/>
  <c r="G19" i="9"/>
  <c r="D19" i="9"/>
  <c r="J18" i="11"/>
  <c r="O18" i="9"/>
  <c r="N18" i="9"/>
  <c r="M18" i="9"/>
  <c r="L18" i="9"/>
  <c r="K18" i="9"/>
  <c r="J18" i="9"/>
  <c r="I18" i="9"/>
  <c r="H18" i="9"/>
  <c r="G18" i="9"/>
  <c r="E18" i="9"/>
  <c r="D18" i="9"/>
  <c r="J17" i="11"/>
  <c r="O17" i="9"/>
  <c r="N17" i="9"/>
  <c r="M17" i="9"/>
  <c r="L17" i="9"/>
  <c r="K17" i="9"/>
  <c r="J17" i="9"/>
  <c r="I17" i="9"/>
  <c r="H17" i="9"/>
  <c r="G17" i="9"/>
  <c r="D17" i="9"/>
  <c r="J16" i="11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D10" i="9"/>
  <c r="J9" i="11"/>
  <c r="O9" i="9"/>
  <c r="N9" i="9"/>
  <c r="M9" i="9"/>
  <c r="L9" i="9"/>
  <c r="K9" i="9"/>
  <c r="J9" i="9"/>
  <c r="I9" i="9"/>
  <c r="H9" i="9"/>
  <c r="G9" i="9"/>
  <c r="D9" i="9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D7" i="9"/>
  <c r="J6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D3" i="9"/>
  <c r="J2" i="11"/>
  <c r="O2" i="9"/>
  <c r="N2" i="9"/>
  <c r="M2" i="9"/>
  <c r="L2" i="9"/>
  <c r="K2" i="9"/>
  <c r="J2" i="9"/>
  <c r="I2" i="9"/>
  <c r="H2" i="9"/>
  <c r="G2" i="9"/>
  <c r="D2" i="9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D43" i="1"/>
  <c r="AF43" i="1"/>
  <c r="AI43" i="1"/>
  <c r="AG43" i="1"/>
  <c r="AE43" i="1"/>
  <c r="V43" i="1"/>
  <c r="T43" i="1"/>
  <c r="Q43" i="1"/>
  <c r="P43" i="1"/>
  <c r="O43" i="1"/>
  <c r="N43" i="1"/>
  <c r="M43" i="1"/>
  <c r="J43" i="1"/>
  <c r="I43" i="1"/>
  <c r="D43" i="1"/>
  <c r="F43" i="1"/>
  <c r="E43" i="1"/>
  <c r="A43" i="1"/>
  <c r="AD42" i="1"/>
  <c r="AF42" i="1"/>
  <c r="AI42" i="1"/>
  <c r="AG42" i="1"/>
  <c r="AE42" i="1"/>
  <c r="V42" i="1"/>
  <c r="T42" i="1"/>
  <c r="Q42" i="1"/>
  <c r="P42" i="1"/>
  <c r="O42" i="1"/>
  <c r="N42" i="1"/>
  <c r="M42" i="1"/>
  <c r="J42" i="1"/>
  <c r="I42" i="1"/>
  <c r="D42" i="1"/>
  <c r="F42" i="1"/>
  <c r="E42" i="1"/>
  <c r="A42" i="1"/>
  <c r="AD41" i="1"/>
  <c r="AF41" i="1"/>
  <c r="AI41" i="1"/>
  <c r="AG41" i="1"/>
  <c r="AE41" i="1"/>
  <c r="V41" i="1"/>
  <c r="T41" i="1"/>
  <c r="Q41" i="1"/>
  <c r="P41" i="1"/>
  <c r="O41" i="1"/>
  <c r="N41" i="1"/>
  <c r="M41" i="1"/>
  <c r="J41" i="1"/>
  <c r="I41" i="1"/>
  <c r="D41" i="1"/>
  <c r="F41" i="1"/>
  <c r="E41" i="1"/>
  <c r="A41" i="1"/>
  <c r="AD40" i="1"/>
  <c r="AF40" i="1"/>
  <c r="AI40" i="1"/>
  <c r="AG40" i="1"/>
  <c r="AE40" i="1"/>
  <c r="V40" i="1"/>
  <c r="T40" i="1"/>
  <c r="Q40" i="1"/>
  <c r="P40" i="1"/>
  <c r="O40" i="1"/>
  <c r="N40" i="1"/>
  <c r="M40" i="1"/>
  <c r="J40" i="1"/>
  <c r="I40" i="1"/>
  <c r="D40" i="1"/>
  <c r="F40" i="1"/>
  <c r="E40" i="1"/>
  <c r="A40" i="1"/>
  <c r="AD39" i="1"/>
  <c r="AF39" i="1"/>
  <c r="AI39" i="1"/>
  <c r="AG39" i="1"/>
  <c r="AE39" i="1"/>
  <c r="V39" i="1"/>
  <c r="T39" i="1"/>
  <c r="Q39" i="1"/>
  <c r="P39" i="1"/>
  <c r="O39" i="1"/>
  <c r="N39" i="1"/>
  <c r="M39" i="1"/>
  <c r="J39" i="1"/>
  <c r="I39" i="1"/>
  <c r="D39" i="1"/>
  <c r="F39" i="1"/>
  <c r="E39" i="1"/>
  <c r="A39" i="1"/>
  <c r="AD38" i="1"/>
  <c r="AF38" i="1"/>
  <c r="AI38" i="1"/>
  <c r="AG38" i="1"/>
  <c r="AE38" i="1"/>
  <c r="V38" i="1"/>
  <c r="T38" i="1"/>
  <c r="Q38" i="1"/>
  <c r="P38" i="1"/>
  <c r="O38" i="1"/>
  <c r="N38" i="1"/>
  <c r="M38" i="1"/>
  <c r="J38" i="1"/>
  <c r="I38" i="1"/>
  <c r="D38" i="1"/>
  <c r="F38" i="1"/>
  <c r="E38" i="1"/>
  <c r="A38" i="1"/>
  <c r="AD37" i="1"/>
  <c r="AF37" i="1"/>
  <c r="AI37" i="1"/>
  <c r="AG37" i="1"/>
  <c r="AE37" i="1"/>
  <c r="V37" i="1"/>
  <c r="T37" i="1"/>
  <c r="Q37" i="1"/>
  <c r="P37" i="1"/>
  <c r="O37" i="1"/>
  <c r="N37" i="1"/>
  <c r="M37" i="1"/>
  <c r="J37" i="1"/>
  <c r="I37" i="1"/>
  <c r="D37" i="1"/>
  <c r="F37" i="1"/>
  <c r="E37" i="1"/>
  <c r="A37" i="1"/>
  <c r="AD36" i="1"/>
  <c r="AF36" i="1"/>
  <c r="AI36" i="1"/>
  <c r="AG36" i="1"/>
  <c r="AE36" i="1"/>
  <c r="V36" i="1"/>
  <c r="T36" i="1"/>
  <c r="Q36" i="1"/>
  <c r="P36" i="1"/>
  <c r="O36" i="1"/>
  <c r="N36" i="1"/>
  <c r="M36" i="1"/>
  <c r="J36" i="1"/>
  <c r="I36" i="1"/>
  <c r="D36" i="1"/>
  <c r="F36" i="1"/>
  <c r="E36" i="1"/>
  <c r="A36" i="1"/>
  <c r="AD35" i="1"/>
  <c r="AF35" i="1"/>
  <c r="AI35" i="1"/>
  <c r="AG35" i="1"/>
  <c r="AE35" i="1"/>
  <c r="V35" i="1"/>
  <c r="T35" i="1"/>
  <c r="Q35" i="1"/>
  <c r="P35" i="1"/>
  <c r="O35" i="1"/>
  <c r="N35" i="1"/>
  <c r="M35" i="1"/>
  <c r="J35" i="1"/>
  <c r="I35" i="1"/>
  <c r="D35" i="1"/>
  <c r="F35" i="1"/>
  <c r="E35" i="1"/>
  <c r="A35" i="1"/>
  <c r="AD34" i="1"/>
  <c r="AF34" i="1"/>
  <c r="AI34" i="1"/>
  <c r="AG34" i="1"/>
  <c r="AE34" i="1"/>
  <c r="V34" i="1"/>
  <c r="T34" i="1"/>
  <c r="Q34" i="1"/>
  <c r="P34" i="1"/>
  <c r="O34" i="1"/>
  <c r="N34" i="1"/>
  <c r="M34" i="1"/>
  <c r="J34" i="1"/>
  <c r="I34" i="1"/>
  <c r="D34" i="1"/>
  <c r="F34" i="1"/>
  <c r="E34" i="1"/>
  <c r="A34" i="1"/>
  <c r="AD33" i="1"/>
  <c r="AF33" i="1"/>
  <c r="AI33" i="1"/>
  <c r="AG33" i="1"/>
  <c r="AE33" i="1"/>
  <c r="V33" i="1"/>
  <c r="T33" i="1"/>
  <c r="Q33" i="1"/>
  <c r="P33" i="1"/>
  <c r="O33" i="1"/>
  <c r="N33" i="1"/>
  <c r="M33" i="1"/>
  <c r="J33" i="1"/>
  <c r="I33" i="1"/>
  <c r="D33" i="1"/>
  <c r="F33" i="1"/>
  <c r="E33" i="1"/>
  <c r="A33" i="1"/>
  <c r="AD32" i="1"/>
  <c r="AF32" i="1"/>
  <c r="AI32" i="1"/>
  <c r="AG32" i="1"/>
  <c r="AE32" i="1"/>
  <c r="V32" i="1"/>
  <c r="T32" i="1"/>
  <c r="Q32" i="1"/>
  <c r="P32" i="1"/>
  <c r="O32" i="1"/>
  <c r="N32" i="1"/>
  <c r="M32" i="1"/>
  <c r="J32" i="1"/>
  <c r="I32" i="1"/>
  <c r="D32" i="1"/>
  <c r="F32" i="1"/>
  <c r="E32" i="1"/>
  <c r="A32" i="1"/>
  <c r="AD31" i="1"/>
  <c r="AF31" i="1"/>
  <c r="AI31" i="1"/>
  <c r="AG31" i="1"/>
  <c r="AE31" i="1"/>
  <c r="V31" i="1"/>
  <c r="T31" i="1"/>
  <c r="Q31" i="1"/>
  <c r="P31" i="1"/>
  <c r="O31" i="1"/>
  <c r="N31" i="1"/>
  <c r="M31" i="1"/>
  <c r="J31" i="1"/>
  <c r="I31" i="1"/>
  <c r="D31" i="1"/>
  <c r="F31" i="1"/>
  <c r="E31" i="1"/>
  <c r="A31" i="1"/>
  <c r="AD30" i="1"/>
  <c r="AF30" i="1"/>
  <c r="AI30" i="1"/>
  <c r="AG30" i="1"/>
  <c r="AE30" i="1"/>
  <c r="V30" i="1"/>
  <c r="T30" i="1"/>
  <c r="Q30" i="1"/>
  <c r="P30" i="1"/>
  <c r="O30" i="1"/>
  <c r="N30" i="1"/>
  <c r="M30" i="1"/>
  <c r="J30" i="1"/>
  <c r="I30" i="1"/>
  <c r="D30" i="1"/>
  <c r="F30" i="1"/>
  <c r="E30" i="1"/>
  <c r="A30" i="1"/>
  <c r="AD29" i="1"/>
  <c r="AF29" i="1"/>
  <c r="AI29" i="1"/>
  <c r="AG29" i="1"/>
  <c r="AE29" i="1"/>
  <c r="V29" i="1"/>
  <c r="T29" i="1"/>
  <c r="Q29" i="1"/>
  <c r="P29" i="1"/>
  <c r="O29" i="1"/>
  <c r="N29" i="1"/>
  <c r="M29" i="1"/>
  <c r="J29" i="1"/>
  <c r="I29" i="1"/>
  <c r="D29" i="1"/>
  <c r="F29" i="1"/>
  <c r="E29" i="1"/>
  <c r="A29" i="1"/>
  <c r="AD28" i="1"/>
  <c r="AF28" i="1"/>
  <c r="AI28" i="1"/>
  <c r="AG28" i="1"/>
  <c r="AE28" i="1"/>
  <c r="V28" i="1"/>
  <c r="T28" i="1"/>
  <c r="Q28" i="1"/>
  <c r="P28" i="1"/>
  <c r="O28" i="1"/>
  <c r="N28" i="1"/>
  <c r="M28" i="1"/>
  <c r="J28" i="1"/>
  <c r="I28" i="1"/>
  <c r="D28" i="1"/>
  <c r="F28" i="1"/>
  <c r="E28" i="1"/>
  <c r="A28" i="1"/>
  <c r="AD27" i="1"/>
  <c r="AF27" i="1"/>
  <c r="AI27" i="1"/>
  <c r="AG27" i="1"/>
  <c r="AE27" i="1"/>
  <c r="V27" i="1"/>
  <c r="T27" i="1"/>
  <c r="Q27" i="1"/>
  <c r="P27" i="1"/>
  <c r="O27" i="1"/>
  <c r="N27" i="1"/>
  <c r="M27" i="1"/>
  <c r="J27" i="1"/>
  <c r="I27" i="1"/>
  <c r="D27" i="1"/>
  <c r="F27" i="1"/>
  <c r="E27" i="1"/>
  <c r="A27" i="1"/>
  <c r="AD26" i="1"/>
  <c r="AF26" i="1"/>
  <c r="AI26" i="1"/>
  <c r="AG26" i="1"/>
  <c r="AE26" i="1"/>
  <c r="V26" i="1"/>
  <c r="T26" i="1"/>
  <c r="Q26" i="1"/>
  <c r="P26" i="1"/>
  <c r="O26" i="1"/>
  <c r="N26" i="1"/>
  <c r="M26" i="1"/>
  <c r="J26" i="1"/>
  <c r="I26" i="1"/>
  <c r="D26" i="1"/>
  <c r="F26" i="1"/>
  <c r="E26" i="1"/>
  <c r="A26" i="1"/>
  <c r="AD25" i="1"/>
  <c r="AF25" i="1"/>
  <c r="AI25" i="1"/>
  <c r="AG25" i="1"/>
  <c r="AE25" i="1"/>
  <c r="V25" i="1"/>
  <c r="T25" i="1"/>
  <c r="Q25" i="1"/>
  <c r="P25" i="1"/>
  <c r="O25" i="1"/>
  <c r="N25" i="1"/>
  <c r="M25" i="1"/>
  <c r="J25" i="1"/>
  <c r="I25" i="1"/>
  <c r="D25" i="1"/>
  <c r="F25" i="1"/>
  <c r="E25" i="1"/>
  <c r="A25" i="1"/>
  <c r="AD24" i="1"/>
  <c r="AF24" i="1"/>
  <c r="AI24" i="1"/>
  <c r="AG24" i="1"/>
  <c r="AE24" i="1"/>
  <c r="V24" i="1"/>
  <c r="T24" i="1"/>
  <c r="Q24" i="1"/>
  <c r="P24" i="1"/>
  <c r="O24" i="1"/>
  <c r="N24" i="1"/>
  <c r="M24" i="1"/>
  <c r="J24" i="1"/>
  <c r="I24" i="1"/>
  <c r="D24" i="1"/>
  <c r="F24" i="1"/>
  <c r="E24" i="1"/>
  <c r="A24" i="1"/>
  <c r="AD23" i="1"/>
  <c r="AF23" i="1"/>
  <c r="AI23" i="1"/>
  <c r="AG23" i="1"/>
  <c r="AE23" i="1"/>
  <c r="V23" i="1"/>
  <c r="T23" i="1"/>
  <c r="Q23" i="1"/>
  <c r="P23" i="1"/>
  <c r="O23" i="1"/>
  <c r="N23" i="1"/>
  <c r="M23" i="1"/>
  <c r="J23" i="1"/>
  <c r="I23" i="1"/>
  <c r="D23" i="1"/>
  <c r="F23" i="1"/>
  <c r="E23" i="1"/>
  <c r="A23" i="1"/>
  <c r="AD22" i="1"/>
  <c r="AF22" i="1"/>
  <c r="AI22" i="1"/>
  <c r="AG22" i="1"/>
  <c r="AE22" i="1"/>
  <c r="V22" i="1"/>
  <c r="T22" i="1"/>
  <c r="Q22" i="1"/>
  <c r="P22" i="1"/>
  <c r="O22" i="1"/>
  <c r="N22" i="1"/>
  <c r="M22" i="1"/>
  <c r="J22" i="1"/>
  <c r="I22" i="1"/>
  <c r="D22" i="1"/>
  <c r="F22" i="1"/>
  <c r="E22" i="1"/>
  <c r="A22" i="1"/>
  <c r="AD21" i="1"/>
  <c r="AF21" i="1"/>
  <c r="AI21" i="1"/>
  <c r="AG21" i="1"/>
  <c r="AE21" i="1"/>
  <c r="V21" i="1"/>
  <c r="T21" i="1"/>
  <c r="Q21" i="1"/>
  <c r="P21" i="1"/>
  <c r="O21" i="1"/>
  <c r="N21" i="1"/>
  <c r="M21" i="1"/>
  <c r="J21" i="1"/>
  <c r="I21" i="1"/>
  <c r="D21" i="1"/>
  <c r="F21" i="1"/>
  <c r="E21" i="1"/>
  <c r="A21" i="1"/>
  <c r="AD20" i="1"/>
  <c r="AF20" i="1"/>
  <c r="AI20" i="1"/>
  <c r="AG20" i="1"/>
  <c r="AE20" i="1"/>
  <c r="V20" i="1"/>
  <c r="T20" i="1"/>
  <c r="Q20" i="1"/>
  <c r="P20" i="1"/>
  <c r="O20" i="1"/>
  <c r="N20" i="1"/>
  <c r="M20" i="1"/>
  <c r="J20" i="1"/>
  <c r="I20" i="1"/>
  <c r="D20" i="1"/>
  <c r="F20" i="1"/>
  <c r="E20" i="1"/>
  <c r="A20" i="1"/>
  <c r="AD19" i="1"/>
  <c r="AF19" i="1"/>
  <c r="AI19" i="1"/>
  <c r="AG19" i="1"/>
  <c r="AE19" i="1"/>
  <c r="V19" i="1"/>
  <c r="T19" i="1"/>
  <c r="Q19" i="1"/>
  <c r="P19" i="1"/>
  <c r="O19" i="1"/>
  <c r="N19" i="1"/>
  <c r="M19" i="1"/>
  <c r="J19" i="1"/>
  <c r="I19" i="1"/>
  <c r="D19" i="1"/>
  <c r="F19" i="1"/>
  <c r="E19" i="1"/>
  <c r="A19" i="1"/>
  <c r="AD18" i="1"/>
  <c r="AF18" i="1"/>
  <c r="AI18" i="1"/>
  <c r="AG18" i="1"/>
  <c r="AE18" i="1"/>
  <c r="V18" i="1"/>
  <c r="T18" i="1"/>
  <c r="Q18" i="1"/>
  <c r="P18" i="1"/>
  <c r="O18" i="1"/>
  <c r="N18" i="1"/>
  <c r="M18" i="1"/>
  <c r="J18" i="1"/>
  <c r="I18" i="1"/>
  <c r="D18" i="1"/>
  <c r="F18" i="1"/>
  <c r="E18" i="1"/>
  <c r="A18" i="1"/>
  <c r="AD17" i="1"/>
  <c r="AF17" i="1"/>
  <c r="AI17" i="1"/>
  <c r="AG17" i="1"/>
  <c r="AE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D16" i="1"/>
  <c r="AF16" i="1"/>
  <c r="AI16" i="1"/>
  <c r="AG16" i="1"/>
  <c r="AE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D15" i="1"/>
  <c r="AF15" i="1"/>
  <c r="AI15" i="1"/>
  <c r="AG15" i="1"/>
  <c r="AE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D14" i="1"/>
  <c r="AF14" i="1"/>
  <c r="AI14" i="1"/>
  <c r="AG14" i="1"/>
  <c r="AE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D13" i="1"/>
  <c r="AF13" i="1"/>
  <c r="AI13" i="1"/>
  <c r="AG13" i="1"/>
  <c r="AE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J4" i="1"/>
  <c r="I4" i="1"/>
  <c r="D4" i="1"/>
  <c r="F4" i="1"/>
  <c r="E4" i="1"/>
  <c r="A4" i="1"/>
  <c r="W2" i="7"/>
  <c r="U2" i="7"/>
  <c r="V3" i="1"/>
  <c r="V2" i="1"/>
  <c r="T3" i="1"/>
  <c r="T2" i="1"/>
  <c r="E13" i="16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E12" i="16"/>
  <c r="E11" i="16"/>
  <c r="B2" i="19"/>
  <c r="G2" i="19"/>
  <c r="F2" i="19"/>
  <c r="D2" i="19"/>
  <c r="C2" i="19"/>
  <c r="E10" i="16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Q3" i="1"/>
  <c r="P3" i="1"/>
  <c r="O3" i="1"/>
  <c r="N3" i="1"/>
  <c r="M3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<sst xmlns="http://schemas.openxmlformats.org/spreadsheetml/2006/main" count="1217" uniqueCount="338">
  <si>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</si>
  <si>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</si>
  <si>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</si>
  <si>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</si>
  <si>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</si>
  <si>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</si>
  <si>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</si>
  <si>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</si>
  <si>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</si>
  <si>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</si>
  <si>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</si>
  <si>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</si>
  <si>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</si>
  <si>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</si>
  <si>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</si>
  <si>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</si>
  <si>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</si>
  <si>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</si>
  <si>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</si>
  <si>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</si>
  <si>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</si>
  <si>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</si>
  <si>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</si>
  <si>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</si>
  <si>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</si>
  <si>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</si>
  <si>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</si>
  <si>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</si>
  <si>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</si>
  <si>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</si>
  <si>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</si>
  <si>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</si>
  <si>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</si>
  <si>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</si>
  <si>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</si>
  <si>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</si>
  <si>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</si>
  <si>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</si>
  <si>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</si>
  <si>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</si>
  <si>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</si>
  <si>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</si>
  <si>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</si>
  <si>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</si>
  <si>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</si>
  <si>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</si>
  <si>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</si>
  <si>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</si>
  <si>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</si>
  <si>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</si>
  <si>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</si>
  <si>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</si>
  <si>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</si>
  <si>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</si>
  <si>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</si>
  <si>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</si>
  <si>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</si>
  <si>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</si>
  <si>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</si>
  <si>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</si>
  <si>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</si>
  <si>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</si>
  <si>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</si>
  <si>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</si>
  <si>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</si>
  <si>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</si>
  <si>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</si>
  <si>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</si>
  <si>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</si>
  <si>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</si>
  <si>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</si>
  <si>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</si>
  <si>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</si>
  <si>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</si>
  <si>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</si>
  <si>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</si>
  <si>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</si>
  <si>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</si>
  <si>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</si>
  <si>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</si>
  <si>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</si>
  <si>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</si>
  <si>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</si>
  <si>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</si>
  <si>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</si>
  <si>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</si>
  <si>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</si>
  <si>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</si>
  <si>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</si>
  <si>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</si>
  <si>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</si>
  <si>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</si>
  <si>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</si>
  <si>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</si>
  <si>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</si>
  <si>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</si>
  <si>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</si>
  <si>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</si>
  <si>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</si>
  <si>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</si>
  <si>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</si>
  <si>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</si>
  <si>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</si>
  <si>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</si>
  <si>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</si>
  <si>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</si>
  <si>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</si>
  <si>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</si>
  <si>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</si>
  <si>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</si>
  <si>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</si>
  <si>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</si>
  <si>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</si>
  <si>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</si>
  <si>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</si>
  <si>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</si>
  <si>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</si>
  <si>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</si>
  <si>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</si>
  <si>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</si>
  <si>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</si>
  <si>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</si>
  <si>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</si>
  <si>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</si>
  <si>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</si>
  <si>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</si>
  <si>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</si>
  <si>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</si>
  <si>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</si>
  <si>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</si>
  <si>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</si>
  <si>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</si>
  <si>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</si>
  <si>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</si>
  <si>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</si>
  <si>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</si>
  <si>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</si>
  <si>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</si>
  <si>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</si>
  <si>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</si>
  <si>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</si>
  <si>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</si>
  <si>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</si>
  <si>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</si>
  <si>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</si>
  <si>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</si>
  <si>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</si>
  <si>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</si>
  <si>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</si>
  <si>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</si>
  <si>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</si>
  <si>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</si>
  <si>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</si>
  <si>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</si>
  <si>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</si>
  <si>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</si>
  <si>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</si>
  <si>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</si>
  <si>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</si>
  <si>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</si>
  <si>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</si>
  <si>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</si>
  <si>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</si>
  <si>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</si>
  <si>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</si>
  <si>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</si>
  <si>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</si>
  <si>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</si>
  <si>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</si>
  <si>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</si>
  <si>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</si>
  <si>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</si>
  <si>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</si>
  <si>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</si>
  <si>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</si>
  <si>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</si>
  <si>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</si>
  <si>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</si>
  <si>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</si>
  <si>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</si>
  <si>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</si>
  <si>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</si>
  <si>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</si>
  <si>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</si>
  <si>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</si>
  <si>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</si>
  <si>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</si>
  <si>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</si>
  <si>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</si>
  <si>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</si>
  <si>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</si>
  <si>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</si>
  <si>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</si>
  <si>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</si>
  <si>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</si>
  <si>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</si>
  <si>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</si>
  <si>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</si>
  <si>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</si>
  <si>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</si>
  <si>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</si>
  <si>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</si>
  <si>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</si>
  <si>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</si>
  <si>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</si>
  <si>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</si>
  <si>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</si>
  <si>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</si>
  <si>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</si>
  <si>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</si>
  <si>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</si>
  <si>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</si>
  <si>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</si>
  <si>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</si>
  <si>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</si>
  <si>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</si>
  <si>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</si>
  <si>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</si>
  <si>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</si>
  <si>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</si>
  <si>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</si>
  <si>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</si>
  <si>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</si>
  <si>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</si>
  <si>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</si>
  <si>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</si>
  <si>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</si>
  <si>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</si>
  <si>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</si>
  <si>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</si>
  <si>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</si>
  <si>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</si>
  <si>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</si>
  <si>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</si>
  <si>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</si>
  <si>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</si>
  <si>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</si>
  <si>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</si>
  <si>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</si>
  <si>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</si>
  <si>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</si>
  <si>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</si>
  <si>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</si>
  <si>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</si>
  <si>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</si>
  <si>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</si>
  <si>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</si>
  <si>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</si>
  <si>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</si>
  <si>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[effect:heal, target:enemy_all, val:0.2, animation:enemy_heal]</t>
    <phoneticPr fontId="5"/>
  </si>
  <si>
    <t>ヒール</t>
    <phoneticPr fontId="5"/>
  </si>
  <si>
    <t>[effect:freq_turn, target:enemy_all, turn:3, val:1, animation:enemy_freq_turn]</t>
    <phoneticPr fontId="5"/>
  </si>
  <si>
    <t>ナビ・タイム</t>
    <phoneticPr fontId="5"/>
  </si>
  <si>
    <t>[effect:spread, val:0.3]</t>
    <phoneticPr fontId="5"/>
  </si>
  <si>
    <t>ブリザード</t>
    <phoneticPr fontId="5"/>
  </si>
  <si>
    <t>[effect:heal, target:enemy_all, val:0.4, animation:enemy_heal]</t>
    <phoneticPr fontId="5"/>
  </si>
  <si>
    <t>メガヒール</t>
    <phoneticPr fontId="5"/>
  </si>
  <si>
    <t>[effect:spread, val:0.36]</t>
    <phoneticPr fontId="5"/>
  </si>
  <si>
    <t>フロストノヴァ</t>
    <phoneticPr fontId="5"/>
  </si>
  <si>
    <t>全体攻撃</t>
    <rPh sb="0" eb="2">
      <t>ゼン</t>
    </rPh>
    <rPh sb="2" eb="4">
      <t>コウゲk</t>
    </rPh>
    <phoneticPr fontId="5"/>
  </si>
  <si>
    <t>[effect:enhance_enemy, target:enemy_all, turn:3, status:attack, val:0.2, animation:enemy_enhance_attack]</t>
    <phoneticPr fontId="5"/>
  </si>
  <si>
    <t>青剛の力</t>
    <rPh sb="0" eb="2">
      <t>セイg</t>
    </rPh>
    <rPh sb="3" eb="4">
      <t>チカr</t>
    </rPh>
    <phoneticPr fontId="5"/>
  </si>
  <si>
    <t>ターミネーター</t>
    <phoneticPr fontId="5"/>
  </si>
  <si>
    <t>アイスエイジ</t>
    <phoneticPr fontId="5"/>
  </si>
  <si>
    <t>全体攻撃</t>
    <rPh sb="0" eb="4">
      <t>ゼン</t>
    </rPh>
    <phoneticPr fontId="5"/>
  </si>
  <si>
    <t>[effect:break_attack, val:0.06, lowest_val:0.2, count:-1, block:crash, target:unit_all]</t>
    <phoneticPr fontId="5"/>
  </si>
  <si>
    <t>記憶を穿つ秘剣</t>
    <rPh sb="0" eb="7">
      <t>キオk</t>
    </rPh>
    <phoneticPr fontId="5"/>
  </si>
  <si>
    <t>緊縛</t>
    <rPh sb="0" eb="2">
      <t>キン</t>
    </rPh>
    <phoneticPr fontId="5"/>
  </si>
  <si>
    <t>[effect:spread, val:0.13],[effect:panel_freeze, target:block_blue, count:-1]</t>
    <phoneticPr fontId="5"/>
  </si>
  <si>
    <t>フリーズドライ</t>
    <phoneticPr fontId="5"/>
  </si>
  <si>
    <t>[effect:spread, val:0.15],[effect:spread, val:0.15]</t>
    <phoneticPr fontId="5"/>
  </si>
  <si>
    <t>ファナティック・ウェイブ</t>
    <phoneticPr fontId="5"/>
  </si>
  <si>
    <t>オキシゲン・デストロイ</t>
    <phoneticPr fontId="5"/>
  </si>
  <si>
    <t>傀儡の茶会</t>
    <rPh sb="0" eb="2">
      <t>クg</t>
    </rPh>
    <rPh sb="2" eb="5">
      <t>センk</t>
    </rPh>
    <phoneticPr fontId="5"/>
  </si>
  <si>
    <t>[effect:critical, val:1],[effect:heal, target:enemy_one, val:0.2, animation:enemy_heal]</t>
    <phoneticPr fontId="5"/>
  </si>
  <si>
    <t>ちゃっかり吸血</t>
    <rPh sb="5" eb="7">
      <t>9ケt</t>
    </rPh>
    <phoneticPr fontId="5"/>
  </si>
  <si>
    <t>[effect:dark, target:unit_all, turn:1, animation:enemy_dark]</t>
    <phoneticPr fontId="5"/>
  </si>
  <si>
    <t>煙幕弾</t>
    <phoneticPr fontId="5"/>
  </si>
  <si>
    <t>[effect:rush, count:3, val:0.4]</t>
    <phoneticPr fontId="5"/>
  </si>
  <si>
    <t>三千世界</t>
    <rPh sb="0" eb="4">
      <t>3000セカ</t>
    </rPh>
    <phoneticPr fontId="5"/>
  </si>
  <si>
    <t>3回連続攻撃</t>
    <phoneticPr fontId="5"/>
  </si>
  <si>
    <t>先輩、相談したいことがあります</t>
    <rPh sb="0" eb="2">
      <t>センパ</t>
    </rPh>
    <rPh sb="3" eb="15">
      <t>ソウダン</t>
    </rPh>
    <phoneticPr fontId="5"/>
  </si>
  <si>
    <t>[effect:break_attack, val:0.044, lowest_val:0.2, count:8, block:block_blue, target:unit_all]</t>
    <phoneticPr fontId="5"/>
  </si>
  <si>
    <t>これならどうですか？</t>
  </si>
  <si>
    <t>さすがですね！</t>
  </si>
  <si>
    <t>[effect:rush, count:4, val:0.3]</t>
    <phoneticPr fontId="5"/>
  </si>
  <si>
    <t>まだまだ行きますよ？</t>
  </si>
  <si>
    <t>4回連続攻撃</t>
    <phoneticPr fontId="5"/>
  </si>
  <si>
    <t>[effect:dis_panel, target:block_blue, turn:-1, animation:enemy_dis_blue],[effect:suicide, val:1, dead_type:escape, target:enemy_animal]</t>
    <phoneticPr fontId="5"/>
  </si>
  <si>
    <t>先輩以外に興味はないんです</t>
    <phoneticPr fontId="5"/>
  </si>
  <si>
    <t>少し黙ってください</t>
    <phoneticPr fontId="5"/>
  </si>
  <si>
    <t>マシンブレイカー</t>
    <phoneticPr fontId="5"/>
  </si>
  <si>
    <t>[effect:rush, count:2, val:0.6]</t>
    <phoneticPr fontId="5"/>
  </si>
  <si>
    <t>フルボッコ</t>
    <phoneticPr fontId="5"/>
  </si>
  <si>
    <t>2回連続攻撃</t>
    <phoneticPr fontId="5"/>
  </si>
  <si>
    <t>リムは初回行動時に敵全体の行動頻度を
1ターンに上げるスキルを使ってきます
集中攻撃をしてリムを早めに撃退しましょう</t>
    <phoneticPr fontId="5"/>
  </si>
  <si>
    <t>全ての敵の攻撃が重なると非常に危険です
最初にスキルやフィーバーを使い敵の数を
なるべく減らしましょう</t>
    <phoneticPr fontId="5"/>
  </si>
  <si>
    <t>フォルネウスは主に全体攻撃をしてきます
高火力のスキルを使い早めに撃退するか
防御力UPのスキルを使って対処しましょう</t>
    <phoneticPr fontId="5"/>
  </si>
  <si>
    <t>黒沼青葉は2ゲージ目になると青パネルでの
攻撃を制限するスキルを使ってきます
青パネル変換スキル等で対処しましょう</t>
    <phoneticPr fontId="5"/>
  </si>
  <si>
    <t>全体回復</t>
    <phoneticPr fontId="5"/>
  </si>
  <si>
    <t>[effect:critical, val:1.3, animation:enemy_critical]</t>
    <phoneticPr fontId="5"/>
  </si>
  <si>
    <t>クリティカル！</t>
    <phoneticPr fontId="5"/>
  </si>
  <si>
    <t>3ターン敵全体の攻撃力UP</t>
    <rPh sb="4" eb="8">
      <t>テk</t>
    </rPh>
    <phoneticPr fontId="5"/>
  </si>
  <si>
    <t>Cパネルを吸収して全体攻撃</t>
    <rPh sb="9" eb="11">
      <t>ゼンタイ</t>
    </rPh>
    <phoneticPr fontId="5"/>
  </si>
  <si>
    <t>2回連続攻撃+ユニット単体に2ターンスキルバインド</t>
    <rPh sb="1" eb="2">
      <t>カイ</t>
    </rPh>
    <rPh sb="2" eb="6">
      <t>レン</t>
    </rPh>
    <phoneticPr fontId="5"/>
  </si>
  <si>
    <t>全体攻撃+青パネルプロテクト</t>
    <rPh sb="0" eb="4">
      <t>ゼン</t>
    </rPh>
    <rPh sb="5" eb="6">
      <t>アオパネr</t>
    </rPh>
    <phoneticPr fontId="5"/>
  </si>
  <si>
    <t>2回連続全体攻撃</t>
    <rPh sb="1" eb="4">
      <t>カイレンゾク</t>
    </rPh>
    <rPh sb="4" eb="8">
      <t>ゼンタ</t>
    </rPh>
    <phoneticPr fontId="5"/>
  </si>
  <si>
    <t>3ターンユニット全体のタップ回数を1DOWN</t>
    <phoneticPr fontId="5"/>
  </si>
  <si>
    <t>単体攻撃+自己回復</t>
    <rPh sb="0" eb="4">
      <t>タンタ</t>
    </rPh>
    <rPh sb="5" eb="7">
      <t>ziko</t>
    </rPh>
    <rPh sb="7" eb="9">
      <t>カ</t>
    </rPh>
    <phoneticPr fontId="5"/>
  </si>
  <si>
    <t>青パネルドロップ率UP</t>
    <rPh sb="0" eb="1">
      <t>アオ</t>
    </rPh>
    <phoneticPr fontId="5"/>
  </si>
  <si>
    <t>[effect:critical, val:1],[effect:force_change_block, new_block:block_blue, target:block_yellow, ignore01:crash, ignore02:crack_bomb, ignore03:time_bomb, ignore04:jammer, ignore05:damage, count:8, val:0, animation:change_block]</t>
    <phoneticPr fontId="5"/>
  </si>
  <si>
    <t>単体攻撃+黄パネルを青パネルに8個変換</t>
    <rPh sb="16" eb="17">
      <t>コ</t>
    </rPh>
    <phoneticPr fontId="5"/>
  </si>
  <si>
    <t>青パネル無効</t>
    <phoneticPr fontId="5"/>
  </si>
  <si>
    <t>ユニット全体に1ターン暗闇</t>
    <phoneticPr fontId="5"/>
  </si>
  <si>
    <t>全体攻撃+ユニット全体に4ターンスキルバインド</t>
    <rPh sb="0" eb="4">
      <t>ゼン</t>
    </rPh>
    <phoneticPr fontId="5"/>
  </si>
  <si>
    <t>種族マシンのユニットに大ダメージの単体攻撃</t>
    <rPh sb="17" eb="21">
      <t>タンタイコウゲキ</t>
    </rPh>
    <phoneticPr fontId="5"/>
  </si>
  <si>
    <t>3ターン敵全体の攻撃頻度UP</t>
    <phoneticPr fontId="5"/>
  </si>
  <si>
    <t>[effect:enemy_message, val1:1, val2:2.2],[effect:rush, count:2, val:0.5],[effect:hungup, target:unit_one, turn:2, rate:1, animation:hungup01]</t>
    <phoneticPr fontId="5"/>
  </si>
  <si>
    <t>[effect:enemy_message, val1:1, val2:2],[effect:degrade_unit, target:unit_all, turn:3, status:action, val:1, calc:add, animation:enemy_tap_down]</t>
    <phoneticPr fontId="5"/>
  </si>
  <si>
    <t>今日から帝人先輩は・・・僕たちのリーダーですよ</t>
    <phoneticPr fontId="5"/>
  </si>
  <si>
    <t>[effect:enemy_message, val1:1, val2:2],[effect:damage_anti_tribe, target:unit_one, tribe:machine, val1:2, val2:1]</t>
    <phoneticPr fontId="5"/>
  </si>
  <si>
    <t>old</t>
    <phoneticPr fontId="5"/>
  </si>
  <si>
    <t>[effect:damage_fix_absolute, target:unit_all, val:2222]</t>
    <phoneticPr fontId="5"/>
  </si>
  <si>
    <t>link</t>
  </si>
  <si>
    <t>unit</t>
  </si>
  <si>
    <t>null</t>
  </si>
  <si>
    <t>ダックスは種族マシンのユニットに対して
キラー攻撃を行います
パーティ編成に気をつけましょう</t>
    <rPh sb="16" eb="17">
      <t>タイシテ</t>
    </rPh>
    <rPh sb="23" eb="25">
      <t>コウゲキ</t>
    </rPh>
    <rPh sb="26" eb="27">
      <t>オコナイマス</t>
    </rPh>
    <rPh sb="38" eb="39">
      <t>キヲツケマショウ</t>
    </rPh>
    <phoneticPr fontId="5"/>
  </si>
  <si>
    <t>old</t>
    <phoneticPr fontId="5"/>
  </si>
  <si>
    <t>ユニット全体に2222固定ダメージ</t>
    <phoneticPr fontId="5"/>
  </si>
  <si>
    <t>青パネルを吸収して全体攻撃(最大8個)</t>
    <rPh sb="0" eb="1">
      <t>アオ</t>
    </rPh>
    <rPh sb="9" eb="11">
      <t>ゼンタイ</t>
    </rPh>
    <phoneticPr fontId="5"/>
  </si>
  <si>
    <t>僕らブルースクウェアの
リーダーになって欲しいんですよ</t>
    <phoneticPr fontId="5"/>
  </si>
  <si>
    <t>null</t>
    <phoneticPr fontId="5"/>
  </si>
  <si>
    <t>[effect:enemy_message, val1:1, val2:2],[effect:spread, val:0.3],[effect:hungup, target:unit_all, turn:4, rate:1, animation:hungup01]</t>
    <phoneticPr fontId="5"/>
  </si>
  <si>
    <t>[effect:enemy_message, val1:1.4, val2:1.8],[effect:change_panel_ratio, turn:-1, block_type:blue, val:0.8, animation:block_incidence04]</t>
    <phoneticPr fontId="5"/>
  </si>
  <si>
    <t>このチーム名の由来を知ってますか？</t>
    <phoneticPr fontId="5"/>
  </si>
  <si>
    <t>[effect:enemy_message, val1:1.8, val2:1.8],[effect:dis_panel, target:block_blue, turn:-1, animation:enemy_dis_blue],[effect:suicide, val:1, dead_type:escape, target:enemy_animal]</t>
    <phoneticPr fontId="5"/>
  </si>
  <si>
    <t>この、僕の血に濡れた紙が契約書だ・・・</t>
    <phoneticPr fontId="5"/>
  </si>
  <si>
    <t>[effect:enemy_message, val1:1.6, val2:2, dead_type:suicide]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</si>
</sst>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8" fillId="0" borderId="7" xfId="0" applyFont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1" fillId="0" borderId="10" xfId="0" applyFont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32" borderId="7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0" fontId="4" fillId="34" borderId="7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36" borderId="7" xfId="0" applyFont="1" applyFill="1" applyBorder="1" applyAlignment="1">
      <alignment horizontal="center" vertical="center"/>
    </xf>
    <xf numFmtId="0" fontId="4" fillId="37" borderId="7" xfId="0" applyFont="1" applyFill="1" applyBorder="1" applyAlignment="1">
      <alignment horizontal="center" vertical="center"/>
    </xf>
    <xf numFmtId="0" fontId="4" fillId="38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9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177" fontId="8" fillId="40" borderId="4" xfId="0" applyNumberFormat="1" applyFont="1" applyFill="1" applyBorder="1" applyAlignment="1">
      <alignment vertical="center"/>
    </xf>
    <xf numFmtId="0" fontId="6" fillId="39" borderId="3" xfId="0" applyFont="1" applyFill="1" applyBorder="1" applyAlignment="1">
      <alignment vertical="center"/>
    </xf>
    <xf numFmtId="0" fontId="6" fillId="39" borderId="11" xfId="0" applyFont="1" applyFill="1" applyBorder="1" applyAlignment="1">
      <alignment vertical="center"/>
    </xf>
    <xf numFmtId="0" fontId="0" fillId="0" borderId="12" xfId="0" applyBorder="1"/>
    <xf numFmtId="0" fontId="0" fillId="0" borderId="23" xfId="0" applyBorder="1"/>
    <xf numFmtId="0" fontId="26" fillId="0" borderId="7" xfId="0" applyFont="1" applyBorder="1" applyAlignment="1">
      <alignment vertical="center"/>
    </xf>
    <xf numFmtId="0" fontId="27" fillId="38" borderId="7" xfId="0" applyFont="1" applyFill="1" applyBorder="1"/>
    <xf numFmtId="0" fontId="26" fillId="0" borderId="23" xfId="0" applyFont="1" applyBorder="1" applyAlignment="1">
      <alignment vertical="center"/>
    </xf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0" fillId="0" borderId="12" xfId="0" applyFont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7" xfId="0" applyFont="1" applyBorder="1"/>
    <xf numFmtId="0" fontId="0" fillId="0" borderId="23" xfId="0" applyFont="1" applyBorder="1"/>
    <xf numFmtId="0" fontId="24" fillId="0" borderId="7" xfId="615" applyFont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65529</v>
          </cell>
        </row>
        <row r="313">
          <cell r="A313">
            <v>65530</v>
          </cell>
        </row>
        <row r="314">
          <cell r="A314">
            <v>65531</v>
          </cell>
        </row>
        <row r="315">
          <cell r="A315">
            <v>65532</v>
          </cell>
        </row>
        <row r="316">
          <cell r="A316">
            <v>65533</v>
          </cell>
        </row>
        <row r="317">
          <cell r="A317">
            <v>65534</v>
          </cell>
        </row>
        <row r="318">
          <cell r="A318">
            <v>65535</v>
          </cell>
        </row>
        <row r="319">
          <cell r="A319">
            <v>60021</v>
          </cell>
        </row>
        <row r="320">
          <cell r="A320">
            <v>60022</v>
          </cell>
        </row>
        <row r="321">
          <cell r="A321">
            <v>60023</v>
          </cell>
        </row>
        <row r="322">
          <cell r="A32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65526_2</v>
          </cell>
        </row>
        <row r="907">
          <cell r="A907" t="str">
            <v>65527_1</v>
          </cell>
        </row>
        <row r="908">
          <cell r="A908" t="str">
            <v>65529_1</v>
          </cell>
        </row>
        <row r="909">
          <cell r="A909" t="str">
            <v>65530_1</v>
          </cell>
        </row>
        <row r="910">
          <cell r="A910" t="str">
            <v>65531_1</v>
          </cell>
        </row>
        <row r="911">
          <cell r="A911" t="str">
            <v>65531_2</v>
          </cell>
        </row>
        <row r="912">
          <cell r="A912" t="str">
            <v>65532_1</v>
          </cell>
        </row>
        <row r="913">
          <cell r="A913" t="str">
            <v>65532_2</v>
          </cell>
        </row>
        <row r="914">
          <cell r="A914" t="str">
            <v>65533_1</v>
          </cell>
        </row>
        <row r="915">
          <cell r="A915" t="str">
            <v>65533_2</v>
          </cell>
        </row>
        <row r="916">
          <cell r="A916" t="str">
            <v>65534_1</v>
          </cell>
        </row>
        <row r="917">
          <cell r="A917" t="str">
            <v>65535_1</v>
          </cell>
        </row>
        <row r="918">
          <cell r="A918" t="str">
            <v>65535_2</v>
          </cell>
        </row>
        <row r="919">
          <cell r="A919" t="str">
            <v>65535_3</v>
          </cell>
        </row>
        <row r="920">
          <cell r="A920" t="str">
            <v>65535_4</v>
          </cell>
        </row>
        <row r="921">
          <cell r="A921" t="str">
            <v>65535_5</v>
          </cell>
        </row>
        <row r="922">
          <cell r="A922" t="str">
            <v>65535_6</v>
          </cell>
        </row>
        <row r="923">
          <cell r="A923" t="str">
            <v>65535_7</v>
          </cell>
        </row>
        <row r="924">
          <cell r="A924" t="str">
            <v>65535_8</v>
          </cell>
        </row>
        <row r="925">
          <cell r="A925" t="str">
            <v>65535_9</v>
          </cell>
        </row>
        <row r="926">
          <cell r="A92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8073</v>
          </cell>
        </row>
        <row r="1474">
          <cell r="A1474">
            <v>8074</v>
          </cell>
        </row>
        <row r="1475">
          <cell r="A1475">
            <v>8075</v>
          </cell>
        </row>
        <row r="1476">
          <cell r="A1476">
            <v>8076</v>
          </cell>
        </row>
        <row r="1477">
          <cell r="A1477">
            <v>8077</v>
          </cell>
        </row>
        <row r="1478">
          <cell r="A1478">
            <v>8078</v>
          </cell>
        </row>
        <row r="1479">
          <cell r="A1479">
            <v>8079</v>
          </cell>
        </row>
        <row r="1480">
          <cell r="A1480">
            <v>8080</v>
          </cell>
        </row>
        <row r="1481">
          <cell r="A1481">
            <v>8095</v>
          </cell>
        </row>
        <row r="1482">
          <cell r="A1482">
            <v>8096</v>
          </cell>
        </row>
        <row r="1483">
          <cell r="A1483">
            <v>8097</v>
          </cell>
        </row>
        <row r="1484">
          <cell r="A1484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1" sqref="A1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321</v>
      </c>
      <c r="B2" s="57" t="s">
        <v>105</v>
      </c>
      <c r="C2" s="62">
        <v>39011</v>
      </c>
      <c r="D2" s="57" t="s">
        <v>106</v>
      </c>
      <c r="E2" s="56" t="str">
        <f>B2&amp;C2&amp;D2</f>
        <v>floors_39011.tmp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321</v>
      </c>
      <c r="B3" s="57" t="s">
        <v>108</v>
      </c>
      <c r="C3" s="62">
        <v>39011</v>
      </c>
      <c r="D3" s="57" t="s">
        <v>106</v>
      </c>
      <c r="E3" s="56" t="str">
        <f>B3&amp;C3&amp;D3</f>
        <v>enemy_habitats_39011.tmp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321</v>
      </c>
      <c r="B4" s="57" t="s">
        <v>110</v>
      </c>
      <c r="C4" s="62">
        <v>39011</v>
      </c>
      <c r="D4" s="57" t="s">
        <v>106</v>
      </c>
      <c r="E4" s="56" t="str">
        <f>B4&amp;C4&amp;D4</f>
        <v>enemy_habitat_S_39011.tmp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321</v>
      </c>
      <c r="B5" s="57" t="s">
        <v>112</v>
      </c>
      <c r="C5" s="62">
        <v>39011</v>
      </c>
      <c r="D5" s="57" t="s">
        <v>106</v>
      </c>
      <c r="E5" s="56" t="str">
        <f>B5&amp;C5&amp;D5</f>
        <v>enemy_skill_sets_39011.tmp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321</v>
      </c>
      <c r="B6" s="57" t="s">
        <v>114</v>
      </c>
      <c r="C6" s="62">
        <v>39011</v>
      </c>
      <c r="D6" s="57" t="s">
        <v>115</v>
      </c>
      <c r="E6" s="56" t="str">
        <f t="shared" ref="E6:E10" si="0">B6&amp;C6&amp;D6</f>
        <v>enemy_skills_tmp_39011.tmp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321</v>
      </c>
      <c r="B7" s="57" t="s">
        <v>116</v>
      </c>
      <c r="C7" s="62">
        <v>39011</v>
      </c>
      <c r="D7" s="57" t="s">
        <v>106</v>
      </c>
      <c r="E7" s="56" t="str">
        <f>B7&amp;C7&amp;D7</f>
        <v>enemy_skills_i18n_39011.tmp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321</v>
      </c>
      <c r="B8" s="57" t="s">
        <v>118</v>
      </c>
      <c r="C8" s="62">
        <v>39011</v>
      </c>
      <c r="D8" s="57" t="s">
        <v>119</v>
      </c>
      <c r="E8" s="56" t="str">
        <f t="shared" si="0"/>
        <v>enemy_skill_triggers_39011.tmp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327</v>
      </c>
      <c r="B9" s="67" t="s">
        <v>176</v>
      </c>
      <c r="C9" s="62">
        <v>39011</v>
      </c>
      <c r="D9" s="67" t="s">
        <v>170</v>
      </c>
      <c r="E9" s="68" t="str">
        <f t="shared" si="0"/>
        <v>stage_bug_bonuses_39011.tmp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327</v>
      </c>
      <c r="B10" s="67" t="s">
        <v>200</v>
      </c>
      <c r="C10" s="62">
        <v>39011</v>
      </c>
      <c r="D10" s="67" t="s">
        <v>179</v>
      </c>
      <c r="E10" s="68" t="str">
        <f t="shared" si="0"/>
        <v>stage_hints_data_c_39011.tmp</v>
      </c>
      <c r="F10" s="67" t="s">
        <v>208</v>
      </c>
      <c r="G10" s="72" t="s">
        <v>180</v>
      </c>
      <c r="H10" s="72" t="s">
        <v>172</v>
      </c>
      <c r="I10" s="73" t="s">
        <v>181</v>
      </c>
      <c r="J10" s="66" t="s">
        <v>182</v>
      </c>
      <c r="K10" s="66" t="s">
        <v>183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327</v>
      </c>
      <c r="B11" s="67" t="s">
        <v>201</v>
      </c>
      <c r="C11" s="62">
        <v>39011</v>
      </c>
      <c r="D11" s="67" t="s">
        <v>170</v>
      </c>
      <c r="E11" s="68" t="str">
        <f t="shared" ref="E11:E13" si="1">B11&amp;C11&amp;D11</f>
        <v>stage_hints_data_f_39011.tmp</v>
      </c>
      <c r="F11" s="67" t="s">
        <v>210</v>
      </c>
      <c r="G11" s="72" t="s">
        <v>180</v>
      </c>
      <c r="H11" s="72" t="s">
        <v>172</v>
      </c>
      <c r="I11" s="73" t="s">
        <v>181</v>
      </c>
      <c r="J11" s="66" t="s">
        <v>182</v>
      </c>
      <c r="K11" s="66" t="s">
        <v>183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134" t="s">
        <v>327</v>
      </c>
      <c r="B12" s="67" t="s">
        <v>202</v>
      </c>
      <c r="C12" s="62">
        <v>39011</v>
      </c>
      <c r="D12" s="67" t="s">
        <v>170</v>
      </c>
      <c r="E12" s="68" t="str">
        <f t="shared" si="1"/>
        <v>stage_hints_i18n_39011.tmp</v>
      </c>
      <c r="F12" s="67" t="s">
        <v>211</v>
      </c>
      <c r="G12" s="73" t="s">
        <v>203</v>
      </c>
      <c r="H12" s="94" t="s">
        <v>204</v>
      </c>
      <c r="I12" s="72" t="s">
        <v>205</v>
      </c>
      <c r="J12" s="99" t="s">
        <v>206</v>
      </c>
      <c r="K12" s="66" t="s">
        <v>207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134" t="s">
        <v>327</v>
      </c>
      <c r="B13" s="67" t="s">
        <v>246</v>
      </c>
      <c r="C13" s="62">
        <v>39011</v>
      </c>
      <c r="D13" s="67" t="s">
        <v>227</v>
      </c>
      <c r="E13" s="68" t="str">
        <f t="shared" si="1"/>
        <v>stage_bonuses_39011.tmp</v>
      </c>
      <c r="F13" s="67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7"/>
  <sheetViews>
    <sheetView showGridLines="0" workbookViewId="0">
      <pane ySplit="1" topLeftCell="A2" activePane="bottomLeft" state="frozen"/>
      <selection activeCell="V2" sqref="V2:X34"/>
      <selection pane="bottomLeft" activeCell="L14" sqref="L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7" si="0">G2&amp;"-"&amp;I2</f>
        <v>39011_1-1</v>
      </c>
      <c r="B2" s="16" t="str">
        <f>IF(COUNTIF(enemy_habitats!$H:$H,A2),"OK","NG")</f>
        <v>OK</v>
      </c>
      <c r="C2" s="7">
        <v>39011</v>
      </c>
      <c r="D2" s="11" t="str">
        <f ca="1">VLOOKUP($C2,OFFSET([2]quests!$A$1,0,0,COUNTA([2]quests!$A:$A),MATCH(D$1,[2]quests!$1:$1,0)-MATCH($C$1,[2]quests!$1:$1,0)+1),MATCH(D$1,[2]quests!$1:$1,0)-MATCH($C$1,[2]quests!$1:$1,0)+1,FALSE)</f>
        <v>ブルースクウェアを追え！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コラボクエスト（復刻）</v>
      </c>
      <c r="F2" s="21">
        <v>1</v>
      </c>
      <c r="G2" s="23" t="str">
        <f t="shared" ref="G2:G17" si="1">C2&amp;"_"&amp;F2</f>
        <v>39011_1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【初級】ブルースクウェアを追え！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39011_1-2</v>
      </c>
      <c r="B3" s="16" t="str">
        <f>IF(COUNTIF(enemy_habitats!$H:$H,A3),"OK","NG")</f>
        <v>OK</v>
      </c>
      <c r="C3" s="7">
        <v>39011</v>
      </c>
      <c r="D3" s="11" t="str">
        <f ca="1">VLOOKUP($C3,OFFSET([2]quests!$A$1,0,0,COUNTA([2]quests!$A:$A),MATCH(D$1,[2]quests!$1:$1,0)-MATCH($C$1,[2]quests!$1:$1,0)+1),MATCH(D$1,[2]quests!$1:$1,0)-MATCH($C$1,[2]quests!$1:$1,0)+1,FALSE)</f>
        <v>ブルースクウェアを追え！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コラボクエスト（復刻）</v>
      </c>
      <c r="F3" s="21">
        <v>1</v>
      </c>
      <c r="G3" s="23" t="str">
        <f t="shared" si="1"/>
        <v>39011_1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【初級】ブルースクウェアを追え！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39011_1-3</v>
      </c>
      <c r="B4" s="16" t="str">
        <f>IF(COUNTIF(enemy_habitats!$H:$H,A4),"OK","NG")</f>
        <v>OK</v>
      </c>
      <c r="C4" s="7">
        <v>39011</v>
      </c>
      <c r="D4" s="11" t="str">
        <f ca="1">VLOOKUP($C4,OFFSET([2]quests!$A$1,0,0,COUNTA([2]quests!$A:$A),MATCH(D$1,[2]quests!$1:$1,0)-MATCH($C$1,[2]quests!$1:$1,0)+1),MATCH(D$1,[2]quests!$1:$1,0)-MATCH($C$1,[2]quests!$1:$1,0)+1,FALSE)</f>
        <v>ブルースクウェアを追え！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コラボクエスト（復刻）</v>
      </c>
      <c r="F4" s="21">
        <v>1</v>
      </c>
      <c r="G4" s="23" t="str">
        <f t="shared" si="1"/>
        <v>39011_1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【初級】ブルースクウェアを追え！</v>
      </c>
      <c r="I4" s="21">
        <v>3</v>
      </c>
      <c r="J4" s="12">
        <v>50</v>
      </c>
      <c r="K4" s="12">
        <v>50</v>
      </c>
    </row>
    <row r="5" spans="1:11" ht="21" customHeight="1" x14ac:dyDescent="0.15">
      <c r="A5" s="16" t="str">
        <f t="shared" si="0"/>
        <v>39011_1-4</v>
      </c>
      <c r="B5" s="16" t="str">
        <f>IF(COUNTIF(enemy_habitats!$H:$H,A5),"OK","NG")</f>
        <v>OK</v>
      </c>
      <c r="C5" s="7">
        <v>39011</v>
      </c>
      <c r="D5" s="11" t="str">
        <f ca="1">VLOOKUP($C5,OFFSET([2]quests!$A$1,0,0,COUNTA([2]quests!$A:$A),MATCH(D$1,[2]quests!$1:$1,0)-MATCH($C$1,[2]quests!$1:$1,0)+1),MATCH(D$1,[2]quests!$1:$1,0)-MATCH($C$1,[2]quests!$1:$1,0)+1,FALSE)</f>
        <v>ブルースクウェアを追え！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コラボクエスト（復刻）</v>
      </c>
      <c r="F5" s="21">
        <v>1</v>
      </c>
      <c r="G5" s="23" t="str">
        <f t="shared" si="1"/>
        <v>39011_1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【初級】ブルースクウェアを追え！</v>
      </c>
      <c r="I5" s="21">
        <v>4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39011_2-1</v>
      </c>
      <c r="B6" s="16" t="str">
        <f>IF(COUNTIF(enemy_habitats!$H:$H,A6),"OK","NG")</f>
        <v>OK</v>
      </c>
      <c r="C6" s="7">
        <v>39011</v>
      </c>
      <c r="D6" s="11" t="str">
        <f ca="1">VLOOKUP($C6,OFFSET([2]quests!$A$1,0,0,COUNTA([2]quests!$A:$A),MATCH(D$1,[2]quests!$1:$1,0)-MATCH($C$1,[2]quests!$1:$1,0)+1),MATCH(D$1,[2]quests!$1:$1,0)-MATCH($C$1,[2]quests!$1:$1,0)+1,FALSE)</f>
        <v>ブルースクウェアを追え！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コラボクエスト（復刻）</v>
      </c>
      <c r="F6" s="21">
        <v>2</v>
      </c>
      <c r="G6" s="23" t="str">
        <f t="shared" si="1"/>
        <v>39011_2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【中級】ブルースクウェアを追え！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39011_2-2</v>
      </c>
      <c r="B7" s="16" t="str">
        <f>IF(COUNTIF(enemy_habitats!$H:$H,A7),"OK","NG")</f>
        <v>OK</v>
      </c>
      <c r="C7" s="7">
        <v>39011</v>
      </c>
      <c r="D7" s="11" t="str">
        <f ca="1">VLOOKUP($C7,OFFSET([2]quests!$A$1,0,0,COUNTA([2]quests!$A:$A),MATCH(D$1,[2]quests!$1:$1,0)-MATCH($C$1,[2]quests!$1:$1,0)+1),MATCH(D$1,[2]quests!$1:$1,0)-MATCH($C$1,[2]quests!$1:$1,0)+1,FALSE)</f>
        <v>ブルースクウェアを追え！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コラボクエスト（復刻）</v>
      </c>
      <c r="F7" s="21">
        <v>2</v>
      </c>
      <c r="G7" s="23" t="str">
        <f t="shared" si="1"/>
        <v>39011_2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【中級】ブルースクウェアを追え！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39011_2-3</v>
      </c>
      <c r="B8" s="16" t="str">
        <f>IF(COUNTIF(enemy_habitats!$H:$H,A8),"OK","NG")</f>
        <v>OK</v>
      </c>
      <c r="C8" s="7">
        <v>39011</v>
      </c>
      <c r="D8" s="11" t="str">
        <f ca="1">VLOOKUP($C8,OFFSET([2]quests!$A$1,0,0,COUNTA([2]quests!$A:$A),MATCH(D$1,[2]quests!$1:$1,0)-MATCH($C$1,[2]quests!$1:$1,0)+1),MATCH(D$1,[2]quests!$1:$1,0)-MATCH($C$1,[2]quests!$1:$1,0)+1,FALSE)</f>
        <v>ブルースクウェアを追え！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コラボクエスト（復刻）</v>
      </c>
      <c r="F8" s="21">
        <v>2</v>
      </c>
      <c r="G8" s="23" t="str">
        <f t="shared" si="1"/>
        <v>39011_2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【中級】ブルースクウェアを追え！</v>
      </c>
      <c r="I8" s="21">
        <v>3</v>
      </c>
      <c r="J8" s="12">
        <v>50</v>
      </c>
      <c r="K8" s="12">
        <v>50</v>
      </c>
    </row>
    <row r="9" spans="1:11" ht="21" customHeight="1" x14ac:dyDescent="0.15">
      <c r="A9" s="16" t="str">
        <f t="shared" si="0"/>
        <v>39011_2-4</v>
      </c>
      <c r="B9" s="16" t="str">
        <f>IF(COUNTIF(enemy_habitats!$H:$H,A9),"OK","NG")</f>
        <v>OK</v>
      </c>
      <c r="C9" s="7">
        <v>39011</v>
      </c>
      <c r="D9" s="11" t="str">
        <f ca="1">VLOOKUP($C9,OFFSET([2]quests!$A$1,0,0,COUNTA([2]quests!$A:$A),MATCH(D$1,[2]quests!$1:$1,0)-MATCH($C$1,[2]quests!$1:$1,0)+1),MATCH(D$1,[2]quests!$1:$1,0)-MATCH($C$1,[2]quests!$1:$1,0)+1,FALSE)</f>
        <v>ブルースクウェアを追え！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コラボクエスト（復刻）</v>
      </c>
      <c r="F9" s="21">
        <v>2</v>
      </c>
      <c r="G9" s="23" t="str">
        <f t="shared" si="1"/>
        <v>39011_2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【中級】ブルースクウェアを追え！</v>
      </c>
      <c r="I9" s="21">
        <v>4</v>
      </c>
      <c r="J9" s="12">
        <v>30</v>
      </c>
      <c r="K9" s="12">
        <v>30</v>
      </c>
    </row>
    <row r="10" spans="1:11" ht="21" customHeight="1" x14ac:dyDescent="0.15">
      <c r="A10" s="16" t="str">
        <f t="shared" si="0"/>
        <v>39011_3-1</v>
      </c>
      <c r="B10" s="16" t="str">
        <f>IF(COUNTIF(enemy_habitats!$H:$H,A10),"OK","NG")</f>
        <v>OK</v>
      </c>
      <c r="C10" s="7">
        <v>39011</v>
      </c>
      <c r="D10" s="11" t="str">
        <f ca="1">VLOOKUP($C10,OFFSET([2]quests!$A$1,0,0,COUNTA([2]quests!$A:$A),MATCH(D$1,[2]quests!$1:$1,0)-MATCH($C$1,[2]quests!$1:$1,0)+1),MATCH(D$1,[2]quests!$1:$1,0)-MATCH($C$1,[2]quests!$1:$1,0)+1,FALSE)</f>
        <v>ブルースクウェアを追え！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コラボクエスト（復刻）</v>
      </c>
      <c r="F10" s="21">
        <v>3</v>
      </c>
      <c r="G10" s="23" t="str">
        <f t="shared" si="1"/>
        <v>39011_3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【上級】ブルースクウェアを追え！</v>
      </c>
      <c r="I10" s="21">
        <v>1</v>
      </c>
      <c r="J10" s="12">
        <v>45</v>
      </c>
      <c r="K10" s="12">
        <v>45</v>
      </c>
    </row>
    <row r="11" spans="1:11" ht="21" customHeight="1" x14ac:dyDescent="0.15">
      <c r="A11" s="16" t="str">
        <f t="shared" si="0"/>
        <v>39011_3-2</v>
      </c>
      <c r="B11" s="16" t="str">
        <f>IF(COUNTIF(enemy_habitats!$H:$H,A11),"OK","NG")</f>
        <v>OK</v>
      </c>
      <c r="C11" s="7">
        <v>39011</v>
      </c>
      <c r="D11" s="11" t="str">
        <f ca="1">VLOOKUP($C11,OFFSET([2]quests!$A$1,0,0,COUNTA([2]quests!$A:$A),MATCH(D$1,[2]quests!$1:$1,0)-MATCH($C$1,[2]quests!$1:$1,0)+1),MATCH(D$1,[2]quests!$1:$1,0)-MATCH($C$1,[2]quests!$1:$1,0)+1,FALSE)</f>
        <v>ブルースクウェアを追え！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コラボクエスト（復刻）</v>
      </c>
      <c r="F11" s="21">
        <v>3</v>
      </c>
      <c r="G11" s="23" t="str">
        <f t="shared" si="1"/>
        <v>39011_3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【上級】ブルースクウェアを追え！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39011_3-3</v>
      </c>
      <c r="B12" s="16" t="str">
        <f>IF(COUNTIF(enemy_habitats!$H:$H,A12),"OK","NG")</f>
        <v>OK</v>
      </c>
      <c r="C12" s="7">
        <v>39011</v>
      </c>
      <c r="D12" s="11" t="str">
        <f ca="1">VLOOKUP($C12,OFFSET([2]quests!$A$1,0,0,COUNTA([2]quests!$A:$A),MATCH(D$1,[2]quests!$1:$1,0)-MATCH($C$1,[2]quests!$1:$1,0)+1),MATCH(D$1,[2]quests!$1:$1,0)-MATCH($C$1,[2]quests!$1:$1,0)+1,FALSE)</f>
        <v>ブルースクウェアを追え！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コラボクエスト（復刻）</v>
      </c>
      <c r="F12" s="21">
        <v>3</v>
      </c>
      <c r="G12" s="23" t="str">
        <f t="shared" si="1"/>
        <v>39011_3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【上級】ブルースクウェアを追え！</v>
      </c>
      <c r="I12" s="21">
        <v>3</v>
      </c>
      <c r="J12" s="12">
        <v>50</v>
      </c>
      <c r="K12" s="12">
        <v>50</v>
      </c>
    </row>
    <row r="13" spans="1:11" ht="21" customHeight="1" x14ac:dyDescent="0.15">
      <c r="A13" s="16" t="str">
        <f t="shared" si="0"/>
        <v>39011_3-4</v>
      </c>
      <c r="B13" s="16" t="str">
        <f>IF(COUNTIF(enemy_habitats!$H:$H,A13),"OK","NG")</f>
        <v>OK</v>
      </c>
      <c r="C13" s="7">
        <v>39011</v>
      </c>
      <c r="D13" s="11" t="str">
        <f ca="1">VLOOKUP($C13,OFFSET([2]quests!$A$1,0,0,COUNTA([2]quests!$A:$A),MATCH(D$1,[2]quests!$1:$1,0)-MATCH($C$1,[2]quests!$1:$1,0)+1),MATCH(D$1,[2]quests!$1:$1,0)-MATCH($C$1,[2]quests!$1:$1,0)+1,FALSE)</f>
        <v>ブルースクウェアを追え！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コラボクエスト（復刻）</v>
      </c>
      <c r="F13" s="21">
        <v>3</v>
      </c>
      <c r="G13" s="23" t="str">
        <f t="shared" si="1"/>
        <v>39011_3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【上級】ブルースクウェアを追え！</v>
      </c>
      <c r="I13" s="21">
        <v>4</v>
      </c>
      <c r="J13" s="12">
        <v>60</v>
      </c>
      <c r="K13" s="12">
        <v>60</v>
      </c>
    </row>
    <row r="14" spans="1:11" ht="21" customHeight="1" x14ac:dyDescent="0.15">
      <c r="A14" s="16" t="str">
        <f t="shared" si="0"/>
        <v>39011_4-1</v>
      </c>
      <c r="B14" s="16" t="str">
        <f>IF(COUNTIF(enemy_habitats!$H:$H,A14),"OK","NG")</f>
        <v>OK</v>
      </c>
      <c r="C14" s="7">
        <v>39011</v>
      </c>
      <c r="D14" s="11" t="str">
        <f ca="1">VLOOKUP($C14,OFFSET([2]quests!$A$1,0,0,COUNTA([2]quests!$A:$A),MATCH(D$1,[2]quests!$1:$1,0)-MATCH($C$1,[2]quests!$1:$1,0)+1),MATCH(D$1,[2]quests!$1:$1,0)-MATCH($C$1,[2]quests!$1:$1,0)+1,FALSE)</f>
        <v>ブルースクウェアを追え！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コラボクエスト（復刻）</v>
      </c>
      <c r="F14" s="21">
        <v>4</v>
      </c>
      <c r="G14" s="23" t="str">
        <f t="shared" si="1"/>
        <v>39011_4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【超級】ブルースクウェアを追え！</v>
      </c>
      <c r="I14" s="21">
        <v>1</v>
      </c>
      <c r="J14" s="12">
        <v>45</v>
      </c>
      <c r="K14" s="12">
        <v>45</v>
      </c>
    </row>
    <row r="15" spans="1:11" ht="21" customHeight="1" x14ac:dyDescent="0.15">
      <c r="A15" s="16" t="str">
        <f t="shared" si="0"/>
        <v>39011_4-2</v>
      </c>
      <c r="B15" s="16" t="str">
        <f>IF(COUNTIF(enemy_habitats!$H:$H,A15),"OK","NG")</f>
        <v>OK</v>
      </c>
      <c r="C15" s="7">
        <v>39011</v>
      </c>
      <c r="D15" s="11" t="str">
        <f ca="1">VLOOKUP($C15,OFFSET([2]quests!$A$1,0,0,COUNTA([2]quests!$A:$A),MATCH(D$1,[2]quests!$1:$1,0)-MATCH($C$1,[2]quests!$1:$1,0)+1),MATCH(D$1,[2]quests!$1:$1,0)-MATCH($C$1,[2]quests!$1:$1,0)+1,FALSE)</f>
        <v>ブルースクウェアを追え！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コラボクエスト（復刻）</v>
      </c>
      <c r="F15" s="21">
        <v>4</v>
      </c>
      <c r="G15" s="23" t="str">
        <f t="shared" si="1"/>
        <v>39011_4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【超級】ブルースクウェアを追え！</v>
      </c>
      <c r="I15" s="21">
        <v>2</v>
      </c>
      <c r="J15" s="12">
        <v>60</v>
      </c>
      <c r="K15" s="12">
        <v>60</v>
      </c>
    </row>
    <row r="16" spans="1:11" ht="21" customHeight="1" x14ac:dyDescent="0.15">
      <c r="A16" s="16" t="str">
        <f t="shared" si="0"/>
        <v>39011_4-3</v>
      </c>
      <c r="B16" s="16" t="str">
        <f>IF(COUNTIF(enemy_habitats!$H:$H,A16),"OK","NG")</f>
        <v>OK</v>
      </c>
      <c r="C16" s="7">
        <v>39011</v>
      </c>
      <c r="D16" s="11" t="str">
        <f ca="1">VLOOKUP($C16,OFFSET([2]quests!$A$1,0,0,COUNTA([2]quests!$A:$A),MATCH(D$1,[2]quests!$1:$1,0)-MATCH($C$1,[2]quests!$1:$1,0)+1),MATCH(D$1,[2]quests!$1:$1,0)-MATCH($C$1,[2]quests!$1:$1,0)+1,FALSE)</f>
        <v>ブルースクウェアを追え！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コラボクエスト（復刻）</v>
      </c>
      <c r="F16" s="21">
        <v>4</v>
      </c>
      <c r="G16" s="23" t="str">
        <f t="shared" si="1"/>
        <v>39011_4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【超級】ブルースクウェアを追え！</v>
      </c>
      <c r="I16" s="21">
        <v>3</v>
      </c>
      <c r="J16" s="12">
        <v>60</v>
      </c>
      <c r="K16" s="12">
        <v>60</v>
      </c>
    </row>
    <row r="17" spans="1:11" ht="21" customHeight="1" x14ac:dyDescent="0.15">
      <c r="A17" s="16" t="str">
        <f t="shared" si="0"/>
        <v>39011_4-4</v>
      </c>
      <c r="B17" s="16" t="str">
        <f>IF(COUNTIF(enemy_habitats!$H:$H,A17),"OK","NG")</f>
        <v>OK</v>
      </c>
      <c r="C17" s="7">
        <v>39011</v>
      </c>
      <c r="D17" s="11" t="str">
        <f ca="1">VLOOKUP($C17,OFFSET([2]quests!$A$1,0,0,COUNTA([2]quests!$A:$A),MATCH(D$1,[2]quests!$1:$1,0)-MATCH($C$1,[2]quests!$1:$1,0)+1),MATCH(D$1,[2]quests!$1:$1,0)-MATCH($C$1,[2]quests!$1:$1,0)+1,FALSE)</f>
        <v>ブルースクウェアを追え！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コラボクエスト（復刻）</v>
      </c>
      <c r="F17" s="21">
        <v>4</v>
      </c>
      <c r="G17" s="23" t="str">
        <f t="shared" si="1"/>
        <v>39011_4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【超級】ブルースクウェアを追え！</v>
      </c>
      <c r="I17" s="21">
        <v>4</v>
      </c>
      <c r="J17" s="12">
        <v>60</v>
      </c>
      <c r="K1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43"/>
  <sheetViews>
    <sheetView showGridLines="0" zoomScale="75" zoomScaleNormal="75" zoomScalePageLayoutView="75" workbookViewId="0">
      <pane xSplit="17" ySplit="1" topLeftCell="X11" activePane="bottomRight" state="frozen"/>
      <selection pane="topRight" activeCell="N1" sqref="N1"/>
      <selection pane="bottomLeft" activeCell="A2" sqref="A2"/>
      <selection pane="bottomRight" activeCell="Y10" sqref="Y10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247</v>
      </c>
      <c r="U1" s="26" t="s">
        <v>50</v>
      </c>
      <c r="V1" s="100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43" si="0">B2&amp;"_"&amp;C2&amp;"-"&amp;G2&amp;"/"&amp;L2&amp;"&lt;lv"&amp;R2&amp;"&gt;s"&amp;AC2</f>
        <v>39011_1-1/5&lt;lv10&gt;s3</v>
      </c>
      <c r="B2" s="22">
        <v>39011</v>
      </c>
      <c r="C2" s="107">
        <v>1</v>
      </c>
      <c r="D2" s="2" t="str">
        <f t="shared" ref="D2:D43" si="1">B2&amp;"_"&amp;C2</f>
        <v>39011_1</v>
      </c>
      <c r="E2" s="4" t="str">
        <f ca="1">VLOOKUP($B2,OFFSET([2]quests!$A$1,0,0,COUNTA([2]quests!$A:$A),MATCH(E$1,[2]quests!$1:$1,0)-MATCH($B$1,[2]quests!$1:$1,0)+1),MATCH(E$1,[2]quests!$1:$1,0)-MATCH($B$1,[2]quests!$1:$1,0)+1,FALSE)</f>
        <v>ブルースクウェアを追え！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【初級】ブルースクウェアを追え！</v>
      </c>
      <c r="G2" s="111">
        <v>1</v>
      </c>
      <c r="H2" s="15" t="str">
        <f t="shared" ref="H2:H43" si="2">B2&amp;"_"&amp;C2&amp;"-"&amp;G2</f>
        <v>39011_1-1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115">
        <v>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25">
        <v>1.3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2392</v>
      </c>
      <c r="U2" s="25">
        <v>2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1054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全体回復</v>
      </c>
      <c r="Y2" s="117">
        <v>39011001</v>
      </c>
      <c r="Z2" s="6">
        <v>1</v>
      </c>
      <c r="AA2" s="6">
        <v>100</v>
      </c>
      <c r="AB2" s="6">
        <v>0</v>
      </c>
      <c r="AC2" s="116">
        <v>3</v>
      </c>
      <c r="AD2" s="24">
        <f t="shared" ref="AD2:AD43" si="3">L2</f>
        <v>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パトドッグ ポチ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43" ca="1" si="4">AF2</f>
        <v>1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39011_1-1/17&lt;lv10&gt;s2</v>
      </c>
      <c r="B3" s="22">
        <v>39011</v>
      </c>
      <c r="C3" s="107">
        <v>1</v>
      </c>
      <c r="D3" s="2" t="str">
        <f t="shared" si="1"/>
        <v>39011_1</v>
      </c>
      <c r="E3" s="4" t="str">
        <f ca="1">VLOOKUP($B3,OFFSET([2]quests!$A$1,0,0,COUNTA([2]quests!$A:$A),MATCH(E$1,[2]quests!$1:$1,0)-MATCH($B$1,[2]quests!$1:$1,0)+1),MATCH(E$1,[2]quests!$1:$1,0)-MATCH($B$1,[2]quests!$1:$1,0)+1,FALSE)</f>
        <v>ブルースクウェアを追え！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【初級】ブルースクウェアを追え！</v>
      </c>
      <c r="G3" s="111">
        <v>1</v>
      </c>
      <c r="H3" s="15" t="str">
        <f t="shared" si="2"/>
        <v>39011_1-1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115">
        <v>17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リム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2.6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5621.2</v>
      </c>
      <c r="U3" s="25">
        <v>1.3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869.7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3ターン敵全体の攻撃頻度UP</v>
      </c>
      <c r="Y3" s="117">
        <v>39011002</v>
      </c>
      <c r="Z3" s="6">
        <v>1</v>
      </c>
      <c r="AA3" s="6">
        <v>100</v>
      </c>
      <c r="AB3" s="6">
        <v>0</v>
      </c>
      <c r="AC3" s="116">
        <v>2</v>
      </c>
      <c r="AD3" s="24">
        <f t="shared" si="3"/>
        <v>17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リム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t="shared" ca="1" si="4"/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39011_1-1/29&lt;lv10&gt;s3</v>
      </c>
      <c r="B4" s="22">
        <v>39011</v>
      </c>
      <c r="C4" s="107">
        <v>1</v>
      </c>
      <c r="D4" s="2" t="str">
        <f t="shared" si="1"/>
        <v>39011_1</v>
      </c>
      <c r="E4" s="4" t="str">
        <f ca="1">VLOOKUP($B4,OFFSET([2]quests!$A$1,0,0,COUNTA([2]quests!$A:$A),MATCH(E$1,[2]quests!$1:$1,0)-MATCH($B$1,[2]quests!$1:$1,0)+1),MATCH(E$1,[2]quests!$1:$1,0)-MATCH($B$1,[2]quests!$1:$1,0)+1,FALSE)</f>
        <v>ブルースクウェアを追え！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【初級】ブルースクウェアを追え！</v>
      </c>
      <c r="G4" s="111">
        <v>1</v>
      </c>
      <c r="H4" s="15" t="str">
        <f t="shared" si="2"/>
        <v>39011_1-1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115">
        <v>29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スケアクロウ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5">
        <v>3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5520</v>
      </c>
      <c r="U4" s="25">
        <v>1.7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895.9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全体回復</v>
      </c>
      <c r="Y4" s="117">
        <v>39011003</v>
      </c>
      <c r="Z4" s="6">
        <v>1</v>
      </c>
      <c r="AA4" s="6">
        <v>100</v>
      </c>
      <c r="AB4" s="6">
        <v>0</v>
      </c>
      <c r="AC4" s="116">
        <v>3</v>
      </c>
      <c r="AD4" s="24">
        <f t="shared" si="3"/>
        <v>29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スケアクロウ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4"/>
        <v>1</v>
      </c>
      <c r="AJ4" s="8">
        <v>20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39011_1-2/130&lt;lv10&gt;s4</v>
      </c>
      <c r="B5" s="22">
        <v>39011</v>
      </c>
      <c r="C5" s="107">
        <v>1</v>
      </c>
      <c r="D5" s="2" t="str">
        <f t="shared" si="1"/>
        <v>39011_1</v>
      </c>
      <c r="E5" s="4" t="str">
        <f ca="1">VLOOKUP($B5,OFFSET([2]quests!$A$1,0,0,COUNTA([2]quests!$A:$A),MATCH(E$1,[2]quests!$1:$1,0)-MATCH($B$1,[2]quests!$1:$1,0)+1),MATCH(E$1,[2]quests!$1:$1,0)-MATCH($B$1,[2]quests!$1:$1,0)+1,FALSE)</f>
        <v>ブルースクウェアを追え！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【初級】ブルースクウェアを追え！</v>
      </c>
      <c r="G5" s="112">
        <v>2</v>
      </c>
      <c r="H5" s="15" t="str">
        <f t="shared" si="2"/>
        <v>39011_1-2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115">
        <v>130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狼男 ローレンス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10</v>
      </c>
      <c r="S5" s="25">
        <v>1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12650</v>
      </c>
      <c r="U5" s="25">
        <v>1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1543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5" s="117">
        <v>39011013</v>
      </c>
      <c r="Z5" s="6">
        <v>1</v>
      </c>
      <c r="AA5" s="6">
        <v>100</v>
      </c>
      <c r="AB5" s="6">
        <v>0</v>
      </c>
      <c r="AC5" s="116">
        <v>4</v>
      </c>
      <c r="AD5" s="24">
        <f t="shared" si="3"/>
        <v>130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狼男 ローレンス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39011_1-2/199&lt;lv10&gt;s2</v>
      </c>
      <c r="B6" s="22">
        <v>39011</v>
      </c>
      <c r="C6" s="107">
        <v>1</v>
      </c>
      <c r="D6" s="2" t="str">
        <f t="shared" si="1"/>
        <v>39011_1</v>
      </c>
      <c r="E6" s="4" t="str">
        <f ca="1">VLOOKUP($B6,OFFSET([2]quests!$A$1,0,0,COUNTA([2]quests!$A:$A),MATCH(E$1,[2]quests!$1:$1,0)-MATCH($B$1,[2]quests!$1:$1,0)+1),MATCH(E$1,[2]quests!$1:$1,0)-MATCH($B$1,[2]quests!$1:$1,0)+1,FALSE)</f>
        <v>ブルースクウェアを追え！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【初級】ブルースクウェアを追え！</v>
      </c>
      <c r="G6" s="112">
        <v>2</v>
      </c>
      <c r="H6" s="15" t="str">
        <f t="shared" si="2"/>
        <v>39011_1-2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115">
        <v>199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ジークフリート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10</v>
      </c>
      <c r="S6" s="25">
        <v>1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17837</v>
      </c>
      <c r="U6" s="25">
        <v>1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803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全体攻撃</v>
      </c>
      <c r="Y6" s="117">
        <v>39011005</v>
      </c>
      <c r="Z6" s="6">
        <v>1</v>
      </c>
      <c r="AA6" s="6">
        <v>100</v>
      </c>
      <c r="AB6" s="6">
        <v>1</v>
      </c>
      <c r="AC6" s="116">
        <v>2</v>
      </c>
      <c r="AD6" s="24">
        <f t="shared" si="3"/>
        <v>199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39011_1-2/266&lt;lv10&gt;s2</v>
      </c>
      <c r="B7" s="22">
        <v>39011</v>
      </c>
      <c r="C7" s="107">
        <v>1</v>
      </c>
      <c r="D7" s="2" t="str">
        <f t="shared" si="1"/>
        <v>39011_1</v>
      </c>
      <c r="E7" s="4" t="str">
        <f ca="1">VLOOKUP($B7,OFFSET([2]quests!$A$1,0,0,COUNTA([2]quests!$A:$A),MATCH(E$1,[2]quests!$1:$1,0)-MATCH($B$1,[2]quests!$1:$1,0)+1),MATCH(E$1,[2]quests!$1:$1,0)-MATCH($B$1,[2]quests!$1:$1,0)+1,FALSE)</f>
        <v>ブルースクウェアを追え！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【初級】ブルースクウェアを追え！</v>
      </c>
      <c r="G7" s="112">
        <v>2</v>
      </c>
      <c r="H7" s="15" t="str">
        <f t="shared" si="2"/>
        <v>39011_1-2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115">
        <v>266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リリアンブルー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10</v>
      </c>
      <c r="S7" s="25">
        <v>1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12650</v>
      </c>
      <c r="U7" s="25">
        <v>1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1160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Cパネルを吸収して全体攻撃</v>
      </c>
      <c r="Y7" s="117">
        <v>39011006</v>
      </c>
      <c r="Z7" s="6">
        <v>1</v>
      </c>
      <c r="AA7" s="6">
        <v>100</v>
      </c>
      <c r="AB7" s="6">
        <v>0</v>
      </c>
      <c r="AC7" s="116">
        <v>2</v>
      </c>
      <c r="AD7" s="24">
        <f t="shared" si="3"/>
        <v>266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リリアンブルー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Drop2W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39011_1-3/172&lt;lv10&gt;s2</v>
      </c>
      <c r="B8" s="22">
        <v>39011</v>
      </c>
      <c r="C8" s="107">
        <v>1</v>
      </c>
      <c r="D8" s="2" t="str">
        <f t="shared" si="1"/>
        <v>39011_1</v>
      </c>
      <c r="E8" s="4" t="str">
        <f ca="1">VLOOKUP($B8,OFFSET([2]quests!$A$1,0,0,COUNTA([2]quests!$A:$A),MATCH(E$1,[2]quests!$1:$1,0)-MATCH($B$1,[2]quests!$1:$1,0)+1),MATCH(E$1,[2]quests!$1:$1,0)-MATCH($B$1,[2]quests!$1:$1,0)+1,FALSE)</f>
        <v>ブルースクウェアを追え！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【初級】ブルースクウェアを追え！</v>
      </c>
      <c r="G8" s="113">
        <v>3</v>
      </c>
      <c r="H8" s="15" t="str">
        <f t="shared" si="2"/>
        <v>39011_1-3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115">
        <v>172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フォルネウス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10</v>
      </c>
      <c r="S8" s="25">
        <v>1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12144</v>
      </c>
      <c r="U8" s="25">
        <v>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1431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2回連続全体攻撃</v>
      </c>
      <c r="Y8" s="117">
        <v>39011014</v>
      </c>
      <c r="Z8" s="6">
        <v>1</v>
      </c>
      <c r="AA8" s="6">
        <v>100</v>
      </c>
      <c r="AB8" s="6">
        <v>1</v>
      </c>
      <c r="AC8" s="116">
        <v>2</v>
      </c>
      <c r="AD8" s="24">
        <f t="shared" si="3"/>
        <v>172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フォルネウス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7">
        <v>1</v>
      </c>
      <c r="AI8" s="24">
        <f t="shared" ca="1" si="4"/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39011_1-3/364&lt;lv10&gt;s1</v>
      </c>
      <c r="B9" s="22">
        <v>39011</v>
      </c>
      <c r="C9" s="107">
        <v>1</v>
      </c>
      <c r="D9" s="2" t="str">
        <f t="shared" si="1"/>
        <v>39011_1</v>
      </c>
      <c r="E9" s="4" t="str">
        <f ca="1">VLOOKUP($B9,OFFSET([2]quests!$A$1,0,0,COUNTA([2]quests!$A:$A),MATCH(E$1,[2]quests!$1:$1,0)-MATCH($B$1,[2]quests!$1:$1,0)+1),MATCH(E$1,[2]quests!$1:$1,0)-MATCH($B$1,[2]quests!$1:$1,0)+1,FALSE)</f>
        <v>ブルースクウェアを追え！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【初級】ブルースクウェアを追え！</v>
      </c>
      <c r="G9" s="113">
        <v>3</v>
      </c>
      <c r="H9" s="15" t="str">
        <f t="shared" si="2"/>
        <v>39011_1-3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115">
        <v>364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ノエル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2.4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5520</v>
      </c>
      <c r="U9" s="25">
        <v>0.6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593.4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3ターンユニット全体のタップ回数を1DOWN</v>
      </c>
      <c r="Y9" s="117">
        <v>39011015</v>
      </c>
      <c r="Z9" s="6">
        <v>1</v>
      </c>
      <c r="AA9" s="6">
        <v>100</v>
      </c>
      <c r="AB9" s="6">
        <v>0</v>
      </c>
      <c r="AC9" s="116">
        <v>1</v>
      </c>
      <c r="AD9" s="24">
        <f t="shared" si="3"/>
        <v>364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4"/>
        <v>2</v>
      </c>
      <c r="AJ9" s="8">
        <v>20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39011_1-3/374&lt;lv10&gt;s1</v>
      </c>
      <c r="B10" s="22">
        <v>39011</v>
      </c>
      <c r="C10" s="107">
        <v>1</v>
      </c>
      <c r="D10" s="2" t="str">
        <f t="shared" si="1"/>
        <v>39011_1</v>
      </c>
      <c r="E10" s="4" t="str">
        <f ca="1">VLOOKUP($B10,OFFSET([2]quests!$A$1,0,0,COUNTA([2]quests!$A:$A),MATCH(E$1,[2]quests!$1:$1,0)-MATCH($B$1,[2]quests!$1:$1,0)+1),MATCH(E$1,[2]quests!$1:$1,0)-MATCH($B$1,[2]quests!$1:$1,0)+1,FALSE)</f>
        <v>ブルースクウェアを追え！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【初級】ブルースクウェアを追え！</v>
      </c>
      <c r="G10" s="113">
        <v>3</v>
      </c>
      <c r="H10" s="15" t="str">
        <f t="shared" si="2"/>
        <v>39011_1-3</v>
      </c>
      <c r="I10" s="4">
        <f ca="1">VLOOKUP($H10,OFFSET(floors!$A$1,0,0,COUNTA(floors!$A:$A),MATCH(I$1,floors!$1:$1,0)-MATCH($H$1,floors!$1:$1,0)+1),MATCH(I$1,floors!$1:$1,0)-MATCH($H$1,floors!$1:$1,0)+1,FALSE)</f>
        <v>50</v>
      </c>
      <c r="J10" s="4">
        <f ca="1">VLOOKUP($H10,OFFSET(floors!$A$1,0,0,COUNTA(floors!$A:$A),MATCH(J$1,floors!$1:$1,0)-MATCH($H$1,floors!$1:$1,0)+1),MATCH(J$1,floors!$1:$1,0)-MATCH($H$1,floors!$1:$1,0)+1,FALSE)</f>
        <v>50</v>
      </c>
      <c r="K10" s="38" t="s">
        <v>53</v>
      </c>
      <c r="L10" s="115">
        <v>374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影丸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10</v>
      </c>
      <c r="S10" s="25">
        <v>2.7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5589</v>
      </c>
      <c r="U10" s="25">
        <v>1.5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1003.5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ユニット全体に1ターン暗闇</v>
      </c>
      <c r="Y10" s="117">
        <v>39011009</v>
      </c>
      <c r="Z10" s="6">
        <v>1</v>
      </c>
      <c r="AA10" s="6">
        <v>100</v>
      </c>
      <c r="AB10" s="6">
        <v>0</v>
      </c>
      <c r="AC10" s="116">
        <v>1</v>
      </c>
      <c r="AD10" s="24">
        <f t="shared" si="3"/>
        <v>374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影丸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4"/>
        <v>2</v>
      </c>
      <c r="AJ10" s="8">
        <v>20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39011_1-4/691&lt;lv10&gt;s2</v>
      </c>
      <c r="B11" s="22">
        <v>39011</v>
      </c>
      <c r="C11" s="107">
        <v>1</v>
      </c>
      <c r="D11" s="2" t="str">
        <f t="shared" si="1"/>
        <v>39011_1</v>
      </c>
      <c r="E11" s="4" t="str">
        <f ca="1">VLOOKUP($B11,OFFSET([2]quests!$A$1,0,0,COUNTA([2]quests!$A:$A),MATCH(E$1,[2]quests!$1:$1,0)-MATCH($B$1,[2]quests!$1:$1,0)+1),MATCH(E$1,[2]quests!$1:$1,0)-MATCH($B$1,[2]quests!$1:$1,0)+1,FALSE)</f>
        <v>ブルースクウェアを追え！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【初級】ブルースクウェアを追え！</v>
      </c>
      <c r="G11" s="114">
        <v>4</v>
      </c>
      <c r="H11" s="15" t="str">
        <f t="shared" si="2"/>
        <v>39011_1-4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8">
        <v>1</v>
      </c>
      <c r="L11" s="115">
        <v>691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黒沼青葉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10</v>
      </c>
      <c r="S11" s="25">
        <v>1.8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25295.4</v>
      </c>
      <c r="U11" s="25">
        <v>1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1131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11" s="117">
        <v>39011010</v>
      </c>
      <c r="Z11" s="6">
        <v>1</v>
      </c>
      <c r="AA11" s="6">
        <v>100</v>
      </c>
      <c r="AB11" s="6">
        <v>1</v>
      </c>
      <c r="AC11" s="116">
        <v>2</v>
      </c>
      <c r="AD11" s="24">
        <f t="shared" si="3"/>
        <v>691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黒沼青葉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4</v>
      </c>
      <c r="AJ11" s="8">
        <v>10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39011_2-1/6&lt;lv30&gt;s3</v>
      </c>
      <c r="B12" s="22">
        <v>39011</v>
      </c>
      <c r="C12" s="108">
        <v>2</v>
      </c>
      <c r="D12" s="2" t="str">
        <f t="shared" si="1"/>
        <v>39011_2</v>
      </c>
      <c r="E12" s="4" t="str">
        <f ca="1">VLOOKUP($B12,OFFSET([2]quests!$A$1,0,0,COUNTA([2]quests!$A:$A),MATCH(E$1,[2]quests!$1:$1,0)-MATCH($B$1,[2]quests!$1:$1,0)+1),MATCH(E$1,[2]quests!$1:$1,0)-MATCH($B$1,[2]quests!$1:$1,0)+1,FALSE)</f>
        <v>ブルースクウェアを追え！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【中級】ブルースクウェアを追え！</v>
      </c>
      <c r="G12" s="111">
        <v>1</v>
      </c>
      <c r="H12" s="15" t="str">
        <f t="shared" si="2"/>
        <v>39011_2-1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115">
        <v>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パトドッグリーダー ポチ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25">
        <v>1.3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6552</v>
      </c>
      <c r="U12" s="25">
        <v>2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2890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全体回復</v>
      </c>
      <c r="Y12" s="117">
        <v>39011001</v>
      </c>
      <c r="Z12" s="6">
        <v>1</v>
      </c>
      <c r="AA12" s="6">
        <v>100</v>
      </c>
      <c r="AB12" s="6">
        <v>0</v>
      </c>
      <c r="AC12" s="116">
        <v>3</v>
      </c>
      <c r="AD12" s="24">
        <f t="shared" si="3"/>
        <v>6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Drop1T</v>
      </c>
      <c r="AH12" s="7">
        <v>1</v>
      </c>
      <c r="AI12" s="24">
        <f t="shared" ca="1" si="4"/>
        <v>2</v>
      </c>
      <c r="AJ12" s="8">
        <v>20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39011_2-1/18&lt;lv30&gt;s2</v>
      </c>
      <c r="B13" s="22">
        <v>39011</v>
      </c>
      <c r="C13" s="108">
        <v>2</v>
      </c>
      <c r="D13" s="2" t="str">
        <f t="shared" si="1"/>
        <v>39011_2</v>
      </c>
      <c r="E13" s="4" t="str">
        <f ca="1">VLOOKUP($B13,OFFSET([2]quests!$A$1,0,0,COUNTA([2]quests!$A:$A),MATCH(E$1,[2]quests!$1:$1,0)-MATCH($B$1,[2]quests!$1:$1,0)+1),MATCH(E$1,[2]quests!$1:$1,0)-MATCH($B$1,[2]quests!$1:$1,0)+1,FALSE)</f>
        <v>ブルースクウェアを追え！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【中級】ブルースクウェアを追え！</v>
      </c>
      <c r="G13" s="111">
        <v>1</v>
      </c>
      <c r="H13" s="15" t="str">
        <f t="shared" si="2"/>
        <v>39011_2-1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115">
        <v>18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戦闘案内人 リム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30</v>
      </c>
      <c r="S13" s="25">
        <v>2.6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15397.2</v>
      </c>
      <c r="U13" s="25">
        <v>1.3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2384.2000000000003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3ターン敵全体の攻撃頻度UP</v>
      </c>
      <c r="Y13" s="117">
        <v>39011002</v>
      </c>
      <c r="Z13" s="6">
        <v>1</v>
      </c>
      <c r="AA13" s="6">
        <v>100</v>
      </c>
      <c r="AB13" s="6">
        <v>0</v>
      </c>
      <c r="AC13" s="116">
        <v>2</v>
      </c>
      <c r="AD13" s="24">
        <f t="shared" si="3"/>
        <v>18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Drop1W</v>
      </c>
      <c r="AH13" s="7">
        <v>1</v>
      </c>
      <c r="AI13" s="24">
        <f t="shared" ca="1" si="4"/>
        <v>2</v>
      </c>
      <c r="AJ13" s="8">
        <v>20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si="0"/>
        <v>39011_2-1/30&lt;lv30&gt;s3</v>
      </c>
      <c r="B14" s="22">
        <v>39011</v>
      </c>
      <c r="C14" s="108">
        <v>2</v>
      </c>
      <c r="D14" s="2" t="str">
        <f t="shared" si="1"/>
        <v>39011_2</v>
      </c>
      <c r="E14" s="4" t="str">
        <f ca="1">VLOOKUP($B14,OFFSET([2]quests!$A$1,0,0,COUNTA([2]quests!$A:$A),MATCH(E$1,[2]quests!$1:$1,0)-MATCH($B$1,[2]quests!$1:$1,0)+1),MATCH(E$1,[2]quests!$1:$1,0)-MATCH($B$1,[2]quests!$1:$1,0)+1,FALSE)</f>
        <v>ブルースクウェアを追え！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【中級】ブルースクウェアを追え！</v>
      </c>
      <c r="G14" s="111">
        <v>1</v>
      </c>
      <c r="H14" s="15" t="str">
        <f t="shared" si="2"/>
        <v>39011_2-1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115">
        <v>30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護衛機人 スケアクロウ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30</v>
      </c>
      <c r="S14" s="25">
        <v>3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15120</v>
      </c>
      <c r="U14" s="25">
        <v>1.7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2456.5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全体回復</v>
      </c>
      <c r="Y14" s="117">
        <v>39011003</v>
      </c>
      <c r="Z14" s="6">
        <v>1</v>
      </c>
      <c r="AA14" s="6">
        <v>100</v>
      </c>
      <c r="AB14" s="6">
        <v>0</v>
      </c>
      <c r="AC14" s="116">
        <v>3</v>
      </c>
      <c r="AD14" s="24">
        <f t="shared" si="3"/>
        <v>30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7">
        <v>1</v>
      </c>
      <c r="AI14" s="24">
        <f t="shared" ca="1" si="4"/>
        <v>2</v>
      </c>
      <c r="AJ14" s="8">
        <v>20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si="0"/>
        <v>39011_2-2/130&lt;lv30&gt;s4</v>
      </c>
      <c r="B15" s="22">
        <v>39011</v>
      </c>
      <c r="C15" s="108">
        <v>2</v>
      </c>
      <c r="D15" s="2" t="str">
        <f t="shared" si="1"/>
        <v>39011_2</v>
      </c>
      <c r="E15" s="4" t="str">
        <f ca="1">VLOOKUP($B15,OFFSET([2]quests!$A$1,0,0,COUNTA([2]quests!$A:$A),MATCH(E$1,[2]quests!$1:$1,0)-MATCH($B$1,[2]quests!$1:$1,0)+1),MATCH(E$1,[2]quests!$1:$1,0)-MATCH($B$1,[2]quests!$1:$1,0)+1,FALSE)</f>
        <v>ブルースクウェアを追え！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【中級】ブルースクウェアを追え！</v>
      </c>
      <c r="G15" s="112">
        <v>2</v>
      </c>
      <c r="H15" s="15" t="str">
        <f t="shared" si="2"/>
        <v>39011_2-2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115">
        <v>130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狼男 ローレンス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30</v>
      </c>
      <c r="S15" s="25">
        <v>0.8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27720</v>
      </c>
      <c r="U15" s="25">
        <v>0.8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3381.6000000000004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5" s="117">
        <v>39011013</v>
      </c>
      <c r="Z15" s="6">
        <v>1</v>
      </c>
      <c r="AA15" s="6">
        <v>100</v>
      </c>
      <c r="AB15" s="6">
        <v>0</v>
      </c>
      <c r="AC15" s="116">
        <v>4</v>
      </c>
      <c r="AD15" s="24">
        <f t="shared" si="3"/>
        <v>130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狼男 ローレンス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5" s="7">
        <v>1</v>
      </c>
      <c r="AI15" s="24">
        <f t="shared" ca="1" si="4"/>
        <v>3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si="0"/>
        <v>39011_2-2/199&lt;lv30&gt;s2</v>
      </c>
      <c r="B16" s="22">
        <v>39011</v>
      </c>
      <c r="C16" s="108">
        <v>2</v>
      </c>
      <c r="D16" s="2" t="str">
        <f t="shared" si="1"/>
        <v>39011_2</v>
      </c>
      <c r="E16" s="4" t="str">
        <f ca="1">VLOOKUP($B16,OFFSET([2]quests!$A$1,0,0,COUNTA([2]quests!$A:$A),MATCH(E$1,[2]quests!$1:$1,0)-MATCH($B$1,[2]quests!$1:$1,0)+1),MATCH(E$1,[2]quests!$1:$1,0)-MATCH($B$1,[2]quests!$1:$1,0)+1,FALSE)</f>
        <v>ブルースクウェアを追え！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【中級】ブルースクウェアを追え！</v>
      </c>
      <c r="G16" s="112">
        <v>2</v>
      </c>
      <c r="H16" s="15" t="str">
        <f t="shared" si="2"/>
        <v>39011_2-2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115">
        <v>199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ジークフリート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30</v>
      </c>
      <c r="S16" s="25">
        <v>0.8</v>
      </c>
      <c r="T16" s="101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39085.599999999999</v>
      </c>
      <c r="U16" s="25">
        <v>0.8</v>
      </c>
      <c r="V16" s="101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1760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6" s="117">
        <v>39011005</v>
      </c>
      <c r="Z16" s="6">
        <v>1</v>
      </c>
      <c r="AA16" s="6">
        <v>100</v>
      </c>
      <c r="AB16" s="6">
        <v>1</v>
      </c>
      <c r="AC16" s="116">
        <v>2</v>
      </c>
      <c r="AD16" s="24">
        <f t="shared" si="3"/>
        <v>199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6" s="7">
        <v>1</v>
      </c>
      <c r="AI16" s="24">
        <f t="shared" ca="1" si="4"/>
        <v>3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si="0"/>
        <v>39011_2-2/266&lt;lv30&gt;s2</v>
      </c>
      <c r="B17" s="22">
        <v>39011</v>
      </c>
      <c r="C17" s="108">
        <v>2</v>
      </c>
      <c r="D17" s="2" t="str">
        <f t="shared" si="1"/>
        <v>39011_2</v>
      </c>
      <c r="E17" s="4" t="str">
        <f ca="1">VLOOKUP($B17,OFFSET([2]quests!$A$1,0,0,COUNTA([2]quests!$A:$A),MATCH(E$1,[2]quests!$1:$1,0)-MATCH($B$1,[2]quests!$1:$1,0)+1),MATCH(E$1,[2]quests!$1:$1,0)-MATCH($B$1,[2]quests!$1:$1,0)+1,FALSE)</f>
        <v>ブルースクウェアを追え！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【中級】ブルースクウェアを追え！</v>
      </c>
      <c r="G17" s="112">
        <v>2</v>
      </c>
      <c r="H17" s="15" t="str">
        <f t="shared" si="2"/>
        <v>39011_2-2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115">
        <v>266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リリアンブルー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Drop2W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30</v>
      </c>
      <c r="S17" s="25">
        <v>0.8</v>
      </c>
      <c r="T17" s="101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27720</v>
      </c>
      <c r="U17" s="25">
        <v>0.8</v>
      </c>
      <c r="V17" s="101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2542.4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Cパネルを吸収して全体攻撃</v>
      </c>
      <c r="Y17" s="117">
        <v>39011006</v>
      </c>
      <c r="Z17" s="6">
        <v>1</v>
      </c>
      <c r="AA17" s="6">
        <v>100</v>
      </c>
      <c r="AB17" s="6">
        <v>0</v>
      </c>
      <c r="AC17" s="116">
        <v>2</v>
      </c>
      <c r="AD17" s="24">
        <f t="shared" si="3"/>
        <v>266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リリアンブルー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Drop2W</v>
      </c>
      <c r="AH17" s="7">
        <v>1</v>
      </c>
      <c r="AI17" s="24">
        <f t="shared" ca="1" si="4"/>
        <v>3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si="0"/>
        <v>39011_2-3/172&lt;lv30&gt;s2</v>
      </c>
      <c r="B18" s="22">
        <v>39011</v>
      </c>
      <c r="C18" s="108">
        <v>2</v>
      </c>
      <c r="D18" s="2" t="str">
        <f t="shared" si="1"/>
        <v>39011_2</v>
      </c>
      <c r="E18" s="4" t="str">
        <f ca="1">VLOOKUP($B18,OFFSET([2]quests!$A$1,0,0,COUNTA([2]quests!$A:$A),MATCH(E$1,[2]quests!$1:$1,0)-MATCH($B$1,[2]quests!$1:$1,0)+1),MATCH(E$1,[2]quests!$1:$1,0)-MATCH($B$1,[2]quests!$1:$1,0)+1,FALSE)</f>
        <v>ブルースクウェアを追え！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【中級】ブルースクウェアを追え！</v>
      </c>
      <c r="G18" s="113">
        <v>3</v>
      </c>
      <c r="H18" s="15" t="str">
        <f t="shared" si="2"/>
        <v>39011_2-3</v>
      </c>
      <c r="I18" s="4">
        <f ca="1">VLOOKUP($H18,OFFSET(floors!$A$1,0,0,COUNTA(floors!$A:$A),MATCH(I$1,floors!$1:$1,0)-MATCH($H$1,floors!$1:$1,0)+1),MATCH(I$1,floors!$1:$1,0)-MATCH($H$1,floors!$1:$1,0)+1,FALSE)</f>
        <v>50</v>
      </c>
      <c r="J18" s="4">
        <f ca="1">VLOOKUP($H18,OFFSET(floors!$A$1,0,0,COUNTA(floors!$A:$A),MATCH(J$1,floors!$1:$1,0)-MATCH($H$1,floors!$1:$1,0)+1),MATCH(J$1,floors!$1:$1,0)-MATCH($H$1,floors!$1:$1,0)+1,FALSE)</f>
        <v>50</v>
      </c>
      <c r="K18" s="38" t="s">
        <v>53</v>
      </c>
      <c r="L18" s="115">
        <v>172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フォルネウス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god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30</v>
      </c>
      <c r="S18" s="25">
        <v>1</v>
      </c>
      <c r="T18" s="101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33264</v>
      </c>
      <c r="U18" s="25">
        <v>0.9</v>
      </c>
      <c r="V18" s="101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3528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2回連続全体攻撃</v>
      </c>
      <c r="Y18" s="117">
        <v>39011014</v>
      </c>
      <c r="Z18" s="6">
        <v>1</v>
      </c>
      <c r="AA18" s="6">
        <v>100</v>
      </c>
      <c r="AB18" s="6">
        <v>1</v>
      </c>
      <c r="AC18" s="116">
        <v>2</v>
      </c>
      <c r="AD18" s="24">
        <f t="shared" si="3"/>
        <v>172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フォルネウス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3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8" s="7">
        <v>1</v>
      </c>
      <c r="AI18" s="24">
        <f t="shared" ca="1" si="4"/>
        <v>3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0"/>
        <v>39011_2-3/364&lt;lv30&gt;s1</v>
      </c>
      <c r="B19" s="22">
        <v>39011</v>
      </c>
      <c r="C19" s="108">
        <v>2</v>
      </c>
      <c r="D19" s="2" t="str">
        <f t="shared" si="1"/>
        <v>39011_2</v>
      </c>
      <c r="E19" s="4" t="str">
        <f ca="1">VLOOKUP($B19,OFFSET([2]quests!$A$1,0,0,COUNTA([2]quests!$A:$A),MATCH(E$1,[2]quests!$1:$1,0)-MATCH($B$1,[2]quests!$1:$1,0)+1),MATCH(E$1,[2]quests!$1:$1,0)-MATCH($B$1,[2]quests!$1:$1,0)+1,FALSE)</f>
        <v>ブルースクウェアを追え！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【中級】ブルースクウェアを追え！</v>
      </c>
      <c r="G19" s="113">
        <v>3</v>
      </c>
      <c r="H19" s="15" t="str">
        <f t="shared" si="2"/>
        <v>39011_2-3</v>
      </c>
      <c r="I19" s="4">
        <f ca="1">VLOOKUP($H19,OFFSET(floors!$A$1,0,0,COUNTA(floors!$A:$A),MATCH(I$1,floors!$1:$1,0)-MATCH($H$1,floors!$1:$1,0)+1),MATCH(I$1,floors!$1:$1,0)-MATCH($H$1,floors!$1:$1,0)+1,FALSE)</f>
        <v>50</v>
      </c>
      <c r="J19" s="4">
        <f ca="1">VLOOKUP($H19,OFFSET(floors!$A$1,0,0,COUNTA(floors!$A:$A),MATCH(J$1,floors!$1:$1,0)-MATCH($H$1,floors!$1:$1,0)+1),MATCH(J$1,floors!$1:$1,0)-MATCH($H$1,floors!$1:$1,0)+1,FALSE)</f>
        <v>50</v>
      </c>
      <c r="K19" s="38" t="s">
        <v>53</v>
      </c>
      <c r="L19" s="115">
        <v>364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ノエル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30</v>
      </c>
      <c r="S19" s="25">
        <v>2.4</v>
      </c>
      <c r="T19" s="101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15120</v>
      </c>
      <c r="U19" s="25">
        <v>0.6</v>
      </c>
      <c r="V19" s="101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1626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3ターンユニット全体のタップ回数を1DOWN</v>
      </c>
      <c r="Y19" s="117">
        <v>39011015</v>
      </c>
      <c r="Z19" s="6">
        <v>1</v>
      </c>
      <c r="AA19" s="6">
        <v>100</v>
      </c>
      <c r="AB19" s="6">
        <v>0</v>
      </c>
      <c r="AC19" s="116">
        <v>1</v>
      </c>
      <c r="AD19" s="24">
        <f t="shared" si="3"/>
        <v>364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2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Drop1S</v>
      </c>
      <c r="AH19" s="7">
        <v>1</v>
      </c>
      <c r="AI19" s="24">
        <f t="shared" ca="1" si="4"/>
        <v>2</v>
      </c>
      <c r="AJ19" s="8">
        <v>20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  <row r="20" spans="1:42" ht="21" customHeight="1" x14ac:dyDescent="0.15">
      <c r="A20" s="16" t="str">
        <f t="shared" si="0"/>
        <v>39011_2-3/374&lt;lv30&gt;s1</v>
      </c>
      <c r="B20" s="22">
        <v>39011</v>
      </c>
      <c r="C20" s="108">
        <v>2</v>
      </c>
      <c r="D20" s="2" t="str">
        <f t="shared" si="1"/>
        <v>39011_2</v>
      </c>
      <c r="E20" s="4" t="str">
        <f ca="1">VLOOKUP($B20,OFFSET([2]quests!$A$1,0,0,COUNTA([2]quests!$A:$A),MATCH(E$1,[2]quests!$1:$1,0)-MATCH($B$1,[2]quests!$1:$1,0)+1),MATCH(E$1,[2]quests!$1:$1,0)-MATCH($B$1,[2]quests!$1:$1,0)+1,FALSE)</f>
        <v>ブルースクウェアを追え！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【中級】ブルースクウェアを追え！</v>
      </c>
      <c r="G20" s="113">
        <v>3</v>
      </c>
      <c r="H20" s="15" t="str">
        <f t="shared" si="2"/>
        <v>39011_2-3</v>
      </c>
      <c r="I20" s="4">
        <f ca="1">VLOOKUP($H20,OFFSET(floors!$A$1,0,0,COUNTA(floors!$A:$A),MATCH(I$1,floors!$1:$1,0)-MATCH($H$1,floors!$1:$1,0)+1),MATCH(I$1,floors!$1:$1,0)-MATCH($H$1,floors!$1:$1,0)+1,FALSE)</f>
        <v>50</v>
      </c>
      <c r="J20" s="4">
        <f ca="1">VLOOKUP($H20,OFFSET(floors!$A$1,0,0,COUNTA(floors!$A:$A),MATCH(J$1,floors!$1:$1,0)-MATCH($H$1,floors!$1:$1,0)+1),MATCH(J$1,floors!$1:$1,0)-MATCH($H$1,floors!$1:$1,0)+1,FALSE)</f>
        <v>50</v>
      </c>
      <c r="K20" s="38" t="s">
        <v>53</v>
      </c>
      <c r="L20" s="115">
        <v>374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影丸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30</v>
      </c>
      <c r="S20" s="25">
        <v>2.7</v>
      </c>
      <c r="T20" s="101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15309.000000000002</v>
      </c>
      <c r="U20" s="25">
        <v>1.5</v>
      </c>
      <c r="V20" s="101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2751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ユニット全体に1ターン暗闇</v>
      </c>
      <c r="Y20" s="117">
        <v>39011009</v>
      </c>
      <c r="Z20" s="6">
        <v>1</v>
      </c>
      <c r="AA20" s="6">
        <v>100</v>
      </c>
      <c r="AB20" s="6">
        <v>0</v>
      </c>
      <c r="AC20" s="116">
        <v>1</v>
      </c>
      <c r="AD20" s="24">
        <f t="shared" si="3"/>
        <v>374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影丸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2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Drop1S</v>
      </c>
      <c r="AH20" s="7">
        <v>1</v>
      </c>
      <c r="AI20" s="24">
        <f t="shared" ca="1" si="4"/>
        <v>2</v>
      </c>
      <c r="AJ20" s="8">
        <v>20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9">
        <v>1</v>
      </c>
    </row>
    <row r="21" spans="1:42" ht="21" customHeight="1" x14ac:dyDescent="0.15">
      <c r="A21" s="16" t="str">
        <f t="shared" si="0"/>
        <v>39011_2-4/691&lt;lv30&gt;s2</v>
      </c>
      <c r="B21" s="22">
        <v>39011</v>
      </c>
      <c r="C21" s="108">
        <v>2</v>
      </c>
      <c r="D21" s="2" t="str">
        <f t="shared" si="1"/>
        <v>39011_2</v>
      </c>
      <c r="E21" s="4" t="str">
        <f ca="1">VLOOKUP($B21,OFFSET([2]quests!$A$1,0,0,COUNTA([2]quests!$A:$A),MATCH(E$1,[2]quests!$1:$1,0)-MATCH($B$1,[2]quests!$1:$1,0)+1),MATCH(E$1,[2]quests!$1:$1,0)-MATCH($B$1,[2]quests!$1:$1,0)+1,FALSE)</f>
        <v>ブルースクウェアを追え！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【中級】ブルースクウェアを追え！</v>
      </c>
      <c r="G21" s="114">
        <v>4</v>
      </c>
      <c r="H21" s="15" t="str">
        <f t="shared" si="2"/>
        <v>39011_2-4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8">
        <v>2</v>
      </c>
      <c r="L21" s="115">
        <v>691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黒沼青葉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Drop2N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7">
        <f ca="1">VLOOKUP($L21,OFFSET([3]enemies!$A$1,0,0,COUNTA([3]enemies!$A:$A),MATCH(Q$1,[3]enemies!$1:$1,0)-MATCH($L$1,[3]enemies!$1:$1,0)+1),MATCH(Q$1,[3]enemies!$1:$1,0)-MATCH($L$1,[3]enemies!$1:$1,0)+1,FALSE)</f>
        <v>30</v>
      </c>
      <c r="R21" s="5">
        <v>30</v>
      </c>
      <c r="S21" s="25">
        <v>1.8</v>
      </c>
      <c r="T21" s="101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69287.400000000009</v>
      </c>
      <c r="U21" s="25">
        <v>1</v>
      </c>
      <c r="V21" s="101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3099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21" s="117">
        <v>39011010</v>
      </c>
      <c r="Z21" s="6">
        <v>1</v>
      </c>
      <c r="AA21" s="6">
        <v>100</v>
      </c>
      <c r="AB21" s="6">
        <v>1</v>
      </c>
      <c r="AC21" s="116">
        <v>2</v>
      </c>
      <c r="AD21" s="24">
        <f t="shared" si="3"/>
        <v>691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黒沼青葉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4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Drop2N</v>
      </c>
      <c r="AH21" s="7">
        <v>1</v>
      </c>
      <c r="AI21" s="24">
        <f t="shared" ca="1" si="4"/>
        <v>4</v>
      </c>
      <c r="AJ21" s="8">
        <v>20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9">
        <v>1</v>
      </c>
    </row>
    <row r="22" spans="1:42" ht="21" customHeight="1" x14ac:dyDescent="0.15">
      <c r="A22" s="16" t="str">
        <f t="shared" si="0"/>
        <v>39011_3-1/6&lt;lv40&gt;s3</v>
      </c>
      <c r="B22" s="22">
        <v>39011</v>
      </c>
      <c r="C22" s="109">
        <v>3</v>
      </c>
      <c r="D22" s="2" t="str">
        <f t="shared" si="1"/>
        <v>39011_3</v>
      </c>
      <c r="E22" s="4" t="str">
        <f ca="1">VLOOKUP($B22,OFFSET([2]quests!$A$1,0,0,COUNTA([2]quests!$A:$A),MATCH(E$1,[2]quests!$1:$1,0)-MATCH($B$1,[2]quests!$1:$1,0)+1),MATCH(E$1,[2]quests!$1:$1,0)-MATCH($B$1,[2]quests!$1:$1,0)+1,FALSE)</f>
        <v>ブルースクウェアを追え！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【上級】ブルースクウェアを追え！</v>
      </c>
      <c r="G22" s="111">
        <v>1</v>
      </c>
      <c r="H22" s="15" t="str">
        <f t="shared" si="2"/>
        <v>39011_3-1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38" t="s">
        <v>53</v>
      </c>
      <c r="L22" s="115">
        <v>6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パトドッグリーダー ポチ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40</v>
      </c>
      <c r="S22" s="25">
        <v>1.3</v>
      </c>
      <c r="T22" s="101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8632</v>
      </c>
      <c r="U22" s="25">
        <v>2</v>
      </c>
      <c r="V22" s="101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3806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全体回復</v>
      </c>
      <c r="Y22" s="117">
        <v>39011001</v>
      </c>
      <c r="Z22" s="6">
        <v>1</v>
      </c>
      <c r="AA22" s="6">
        <v>100</v>
      </c>
      <c r="AB22" s="6">
        <v>0</v>
      </c>
      <c r="AC22" s="116">
        <v>3</v>
      </c>
      <c r="AD22" s="24">
        <f t="shared" si="3"/>
        <v>6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2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2" s="7">
        <v>1</v>
      </c>
      <c r="AI22" s="24">
        <f t="shared" ca="1" si="4"/>
        <v>2</v>
      </c>
      <c r="AJ22" s="8">
        <v>20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9">
        <v>1</v>
      </c>
    </row>
    <row r="23" spans="1:42" ht="21" customHeight="1" x14ac:dyDescent="0.15">
      <c r="A23" s="16" t="str">
        <f t="shared" si="0"/>
        <v>39011_3-1/18&lt;lv40&gt;s2</v>
      </c>
      <c r="B23" s="22">
        <v>39011</v>
      </c>
      <c r="C23" s="109">
        <v>3</v>
      </c>
      <c r="D23" s="2" t="str">
        <f t="shared" si="1"/>
        <v>39011_3</v>
      </c>
      <c r="E23" s="4" t="str">
        <f ca="1">VLOOKUP($B23,OFFSET([2]quests!$A$1,0,0,COUNTA([2]quests!$A:$A),MATCH(E$1,[2]quests!$1:$1,0)-MATCH($B$1,[2]quests!$1:$1,0)+1),MATCH(E$1,[2]quests!$1:$1,0)-MATCH($B$1,[2]quests!$1:$1,0)+1,FALSE)</f>
        <v>ブルースクウェアを追え！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【上級】ブルースクウェアを追え！</v>
      </c>
      <c r="G23" s="111">
        <v>1</v>
      </c>
      <c r="H23" s="15" t="str">
        <f t="shared" si="2"/>
        <v>39011_3-1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45</v>
      </c>
      <c r="K23" s="38" t="s">
        <v>53</v>
      </c>
      <c r="L23" s="115">
        <v>18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戦闘案内人 リム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40</v>
      </c>
      <c r="S23" s="25">
        <v>2.6</v>
      </c>
      <c r="T23" s="101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20285.2</v>
      </c>
      <c r="U23" s="25">
        <v>1.3</v>
      </c>
      <c r="V23" s="101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3140.8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3ターン敵全体の攻撃頻度UP</v>
      </c>
      <c r="Y23" s="117">
        <v>39011002</v>
      </c>
      <c r="Z23" s="6">
        <v>1</v>
      </c>
      <c r="AA23" s="6">
        <v>100</v>
      </c>
      <c r="AB23" s="6">
        <v>0</v>
      </c>
      <c r="AC23" s="116">
        <v>2</v>
      </c>
      <c r="AD23" s="24">
        <f t="shared" si="3"/>
        <v>18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2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Drop1W</v>
      </c>
      <c r="AH23" s="7">
        <v>1</v>
      </c>
      <c r="AI23" s="24">
        <f t="shared" ca="1" si="4"/>
        <v>2</v>
      </c>
      <c r="AJ23" s="8">
        <v>20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9">
        <v>1</v>
      </c>
    </row>
    <row r="24" spans="1:42" ht="21" customHeight="1" x14ac:dyDescent="0.15">
      <c r="A24" s="16" t="str">
        <f t="shared" si="0"/>
        <v>39011_3-1/30&lt;lv40&gt;s3</v>
      </c>
      <c r="B24" s="22">
        <v>39011</v>
      </c>
      <c r="C24" s="109">
        <v>3</v>
      </c>
      <c r="D24" s="2" t="str">
        <f t="shared" si="1"/>
        <v>39011_3</v>
      </c>
      <c r="E24" s="4" t="str">
        <f ca="1">VLOOKUP($B24,OFFSET([2]quests!$A$1,0,0,COUNTA([2]quests!$A:$A),MATCH(E$1,[2]quests!$1:$1,0)-MATCH($B$1,[2]quests!$1:$1,0)+1),MATCH(E$1,[2]quests!$1:$1,0)-MATCH($B$1,[2]quests!$1:$1,0)+1,FALSE)</f>
        <v>ブルースクウェアを追え！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【上級】ブルースクウェアを追え！</v>
      </c>
      <c r="G24" s="111">
        <v>1</v>
      </c>
      <c r="H24" s="15" t="str">
        <f t="shared" si="2"/>
        <v>39011_3-1</v>
      </c>
      <c r="I24" s="4">
        <f ca="1">VLOOKUP($H24,OFFSET(floors!$A$1,0,0,COUNTA(floors!$A:$A),MATCH(I$1,floors!$1:$1,0)-MATCH($H$1,floors!$1:$1,0)+1),MATCH(I$1,floors!$1:$1,0)-MATCH($H$1,floors!$1:$1,0)+1,FALSE)</f>
        <v>45</v>
      </c>
      <c r="J24" s="4">
        <f ca="1">VLOOKUP($H24,OFFSET(floors!$A$1,0,0,COUNTA(floors!$A:$A),MATCH(J$1,floors!$1:$1,0)-MATCH($H$1,floors!$1:$1,0)+1),MATCH(J$1,floors!$1:$1,0)-MATCH($H$1,floors!$1:$1,0)+1,FALSE)</f>
        <v>45</v>
      </c>
      <c r="K24" s="38" t="s">
        <v>53</v>
      </c>
      <c r="L24" s="115">
        <v>30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護衛機人 スケアクロウ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40</v>
      </c>
      <c r="S24" s="25">
        <v>3</v>
      </c>
      <c r="T24" s="101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19920</v>
      </c>
      <c r="U24" s="25">
        <v>1.7</v>
      </c>
      <c r="V24" s="101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3235.1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全体回復</v>
      </c>
      <c r="Y24" s="117">
        <v>39011003</v>
      </c>
      <c r="Z24" s="6">
        <v>1</v>
      </c>
      <c r="AA24" s="6">
        <v>100</v>
      </c>
      <c r="AB24" s="6">
        <v>0</v>
      </c>
      <c r="AC24" s="116">
        <v>3</v>
      </c>
      <c r="AD24" s="24">
        <f t="shared" si="3"/>
        <v>30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2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Drop1N</v>
      </c>
      <c r="AH24" s="7">
        <v>1</v>
      </c>
      <c r="AI24" s="24">
        <f t="shared" ca="1" si="4"/>
        <v>2</v>
      </c>
      <c r="AJ24" s="8">
        <v>20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9">
        <v>1</v>
      </c>
    </row>
    <row r="25" spans="1:42" ht="21" customHeight="1" x14ac:dyDescent="0.15">
      <c r="A25" s="16" t="str">
        <f t="shared" si="0"/>
        <v>39011_3-2/130&lt;lv40&gt;s4</v>
      </c>
      <c r="B25" s="22">
        <v>39011</v>
      </c>
      <c r="C25" s="109">
        <v>3</v>
      </c>
      <c r="D25" s="2" t="str">
        <f t="shared" si="1"/>
        <v>39011_3</v>
      </c>
      <c r="E25" s="4" t="str">
        <f ca="1">VLOOKUP($B25,OFFSET([2]quests!$A$1,0,0,COUNTA([2]quests!$A:$A),MATCH(E$1,[2]quests!$1:$1,0)-MATCH($B$1,[2]quests!$1:$1,0)+1),MATCH(E$1,[2]quests!$1:$1,0)-MATCH($B$1,[2]quests!$1:$1,0)+1,FALSE)</f>
        <v>ブルースクウェアを追え！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【上級】ブルースクウェアを追え！</v>
      </c>
      <c r="G25" s="112">
        <v>2</v>
      </c>
      <c r="H25" s="15" t="str">
        <f t="shared" si="2"/>
        <v>39011_3-2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115">
        <v>130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狼男 ローレンス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PremiumW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20</v>
      </c>
      <c r="R25" s="5">
        <v>40</v>
      </c>
      <c r="S25" s="25">
        <v>0.8</v>
      </c>
      <c r="T25" s="101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36520</v>
      </c>
      <c r="U25" s="25">
        <v>0.8</v>
      </c>
      <c r="V25" s="101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4455.2</v>
      </c>
      <c r="W25" s="5">
        <v>0</v>
      </c>
      <c r="X25" s="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3ターン敵全体の攻撃力UP</v>
      </c>
      <c r="Y25" s="117">
        <v>39011004</v>
      </c>
      <c r="Z25" s="6">
        <v>1</v>
      </c>
      <c r="AA25" s="6">
        <v>100</v>
      </c>
      <c r="AB25" s="6">
        <v>0</v>
      </c>
      <c r="AC25" s="116">
        <v>4</v>
      </c>
      <c r="AD25" s="24">
        <f t="shared" si="3"/>
        <v>130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狼男 ローレンス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3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5" s="7">
        <v>1</v>
      </c>
      <c r="AI25" s="24">
        <f t="shared" ca="1" si="4"/>
        <v>3</v>
      </c>
      <c r="AJ25" s="8">
        <v>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9">
        <v>1</v>
      </c>
    </row>
    <row r="26" spans="1:42" ht="21" customHeight="1" x14ac:dyDescent="0.15">
      <c r="A26" s="16" t="str">
        <f t="shared" si="0"/>
        <v>39011_3-2/199&lt;lv40&gt;s2</v>
      </c>
      <c r="B26" s="22">
        <v>39011</v>
      </c>
      <c r="C26" s="109">
        <v>3</v>
      </c>
      <c r="D26" s="2" t="str">
        <f t="shared" si="1"/>
        <v>39011_3</v>
      </c>
      <c r="E26" s="4" t="str">
        <f ca="1">VLOOKUP($B26,OFFSET([2]quests!$A$1,0,0,COUNTA([2]quests!$A:$A),MATCH(E$1,[2]quests!$1:$1,0)-MATCH($B$1,[2]quests!$1:$1,0)+1),MATCH(E$1,[2]quests!$1:$1,0)-MATCH($B$1,[2]quests!$1:$1,0)+1,FALSE)</f>
        <v>ブルースクウェアを追え！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【上級】ブルースクウェアを追え！</v>
      </c>
      <c r="G26" s="112">
        <v>2</v>
      </c>
      <c r="H26" s="15" t="str">
        <f t="shared" si="2"/>
        <v>39011_3-2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115">
        <v>199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ジークフリート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PremiumN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20</v>
      </c>
      <c r="R26" s="5">
        <v>40</v>
      </c>
      <c r="S26" s="25">
        <v>0.8</v>
      </c>
      <c r="T26" s="101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51493.600000000006</v>
      </c>
      <c r="U26" s="25">
        <v>0.8</v>
      </c>
      <c r="V26" s="101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2319.2000000000003</v>
      </c>
      <c r="W26" s="5">
        <v>0</v>
      </c>
      <c r="X26" s="4" t="str">
        <f ca="1">VLOOKUP($Y26,OFFSET(enemy_skill_sets!$B$1,0,0,COUNTA(enemy_skill_sets!$B:$B),MATCH(M$1,enemy_skill_sets!$1:$1,0)-MATCH($Y$1,enemy_skill_sets!$1:$1,0)+2),MATCH(M$1,enemy_skill_sets!$1:$1,0)-MATCH($Y$1,enemy_skill_sets!$1:$1,0)+2,FALSE)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6" s="117">
        <v>39011005</v>
      </c>
      <c r="Z26" s="6">
        <v>1</v>
      </c>
      <c r="AA26" s="6">
        <v>100</v>
      </c>
      <c r="AB26" s="6">
        <v>1</v>
      </c>
      <c r="AC26" s="116">
        <v>2</v>
      </c>
      <c r="AD26" s="24">
        <f t="shared" si="3"/>
        <v>199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3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6" s="7">
        <v>1</v>
      </c>
      <c r="AI26" s="24">
        <f t="shared" ca="1" si="4"/>
        <v>3</v>
      </c>
      <c r="AJ26" s="8">
        <v>0</v>
      </c>
      <c r="AK26" s="7">
        <v>0</v>
      </c>
      <c r="AL26" s="7">
        <v>0</v>
      </c>
      <c r="AM26" s="7">
        <v>0</v>
      </c>
      <c r="AN26" s="7">
        <v>0</v>
      </c>
      <c r="AO26" s="7">
        <v>1</v>
      </c>
      <c r="AP26" s="69">
        <v>1</v>
      </c>
    </row>
    <row r="27" spans="1:42" ht="21" customHeight="1" x14ac:dyDescent="0.15">
      <c r="A27" s="16" t="str">
        <f t="shared" si="0"/>
        <v>39011_3-2/266&lt;lv40&gt;s2</v>
      </c>
      <c r="B27" s="22">
        <v>39011</v>
      </c>
      <c r="C27" s="109">
        <v>3</v>
      </c>
      <c r="D27" s="2" t="str">
        <f t="shared" si="1"/>
        <v>39011_3</v>
      </c>
      <c r="E27" s="4" t="str">
        <f ca="1">VLOOKUP($B27,OFFSET([2]quests!$A$1,0,0,COUNTA([2]quests!$A:$A),MATCH(E$1,[2]quests!$1:$1,0)-MATCH($B$1,[2]quests!$1:$1,0)+1),MATCH(E$1,[2]quests!$1:$1,0)-MATCH($B$1,[2]quests!$1:$1,0)+1,FALSE)</f>
        <v>ブルースクウェアを追え！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【上級】ブルースクウェアを追え！</v>
      </c>
      <c r="G27" s="112">
        <v>2</v>
      </c>
      <c r="H27" s="15" t="str">
        <f t="shared" si="2"/>
        <v>39011_3-2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115">
        <v>266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リリアンブルー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Drop2W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7">
        <f ca="1">VLOOKUP($L27,OFFSET([3]enemies!$A$1,0,0,COUNTA([3]enemies!$A:$A),MATCH(Q$1,[3]enemies!$1:$1,0)-MATCH($L$1,[3]enemies!$1:$1,0)+1),MATCH(Q$1,[3]enemies!$1:$1,0)-MATCH($L$1,[3]enemies!$1:$1,0)+1,FALSE)</f>
        <v>20</v>
      </c>
      <c r="R27" s="5">
        <v>40</v>
      </c>
      <c r="S27" s="25">
        <v>0.8</v>
      </c>
      <c r="T27" s="101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36520</v>
      </c>
      <c r="U27" s="25">
        <v>0.8</v>
      </c>
      <c r="V27" s="101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3349.6000000000004</v>
      </c>
      <c r="W27" s="5">
        <v>0</v>
      </c>
      <c r="X27" s="4" t="str">
        <f ca="1">VLOOKUP($Y27,OFFSET(enemy_skill_sets!$B$1,0,0,COUNTA(enemy_skill_sets!$B:$B),MATCH(M$1,enemy_skill_sets!$1:$1,0)-MATCH($Y$1,enemy_skill_sets!$1:$1,0)+2),MATCH(M$1,enemy_skill_sets!$1:$1,0)-MATCH($Y$1,enemy_skill_sets!$1:$1,0)+2,FALSE)</f>
        <v>Cパネルを吸収して全体攻撃</v>
      </c>
      <c r="Y27" s="117">
        <v>39011006</v>
      </c>
      <c r="Z27" s="6">
        <v>1</v>
      </c>
      <c r="AA27" s="6">
        <v>100</v>
      </c>
      <c r="AB27" s="6">
        <v>0</v>
      </c>
      <c r="AC27" s="116">
        <v>2</v>
      </c>
      <c r="AD27" s="24">
        <f t="shared" si="3"/>
        <v>266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リリアンブルー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3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Drop2W</v>
      </c>
      <c r="AH27" s="7">
        <v>1</v>
      </c>
      <c r="AI27" s="24">
        <f t="shared" ca="1" si="4"/>
        <v>3</v>
      </c>
      <c r="AJ27" s="8">
        <v>0</v>
      </c>
      <c r="AK27" s="7">
        <v>0</v>
      </c>
      <c r="AL27" s="7">
        <v>0</v>
      </c>
      <c r="AM27" s="7">
        <v>0</v>
      </c>
      <c r="AN27" s="7">
        <v>0</v>
      </c>
      <c r="AO27" s="7">
        <v>1</v>
      </c>
      <c r="AP27" s="69">
        <v>1</v>
      </c>
    </row>
    <row r="28" spans="1:42" ht="21" customHeight="1" x14ac:dyDescent="0.15">
      <c r="A28" s="16" t="str">
        <f t="shared" si="0"/>
        <v>39011_3-3/172&lt;lv40&gt;s2</v>
      </c>
      <c r="B28" s="22">
        <v>39011</v>
      </c>
      <c r="C28" s="109">
        <v>3</v>
      </c>
      <c r="D28" s="2" t="str">
        <f t="shared" si="1"/>
        <v>39011_3</v>
      </c>
      <c r="E28" s="4" t="str">
        <f ca="1">VLOOKUP($B28,OFFSET([2]quests!$A$1,0,0,COUNTA([2]quests!$A:$A),MATCH(E$1,[2]quests!$1:$1,0)-MATCH($B$1,[2]quests!$1:$1,0)+1),MATCH(E$1,[2]quests!$1:$1,0)-MATCH($B$1,[2]quests!$1:$1,0)+1,FALSE)</f>
        <v>ブルースクウェアを追え！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【上級】ブルースクウェアを追え！</v>
      </c>
      <c r="G28" s="113">
        <v>3</v>
      </c>
      <c r="H28" s="15" t="str">
        <f t="shared" si="2"/>
        <v>39011_3-3</v>
      </c>
      <c r="I28" s="4">
        <f ca="1">VLOOKUP($H28,OFFSET(floors!$A$1,0,0,COUNTA(floors!$A:$A),MATCH(I$1,floors!$1:$1,0)-MATCH($H$1,floors!$1:$1,0)+1),MATCH(I$1,floors!$1:$1,0)-MATCH($H$1,floors!$1:$1,0)+1,FALSE)</f>
        <v>50</v>
      </c>
      <c r="J28" s="4">
        <f ca="1">VLOOKUP($H28,OFFSET(floors!$A$1,0,0,COUNTA(floors!$A:$A),MATCH(J$1,floors!$1:$1,0)-MATCH($H$1,floors!$1:$1,0)+1),MATCH(J$1,floors!$1:$1,0)-MATCH($H$1,floors!$1:$1,0)+1,FALSE)</f>
        <v>50</v>
      </c>
      <c r="K28" s="38" t="s">
        <v>53</v>
      </c>
      <c r="L28" s="115">
        <v>172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フォルネウス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PremiumN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god</v>
      </c>
      <c r="Q28" s="17">
        <f ca="1">VLOOKUP($L28,OFFSET([3]enemies!$A$1,0,0,COUNTA([3]enemies!$A:$A),MATCH(Q$1,[3]enemies!$1:$1,0)-MATCH($L$1,[3]enemies!$1:$1,0)+1),MATCH(Q$1,[3]enemies!$1:$1,0)-MATCH($L$1,[3]enemies!$1:$1,0)+1,FALSE)</f>
        <v>20</v>
      </c>
      <c r="R28" s="5">
        <v>40</v>
      </c>
      <c r="S28" s="25">
        <v>1</v>
      </c>
      <c r="T28" s="101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43824</v>
      </c>
      <c r="U28" s="25">
        <v>0.9</v>
      </c>
      <c r="V28" s="101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4647.6000000000004</v>
      </c>
      <c r="W28" s="5">
        <v>0</v>
      </c>
      <c r="X28" s="4" t="str">
        <f ca="1">VLOOKUP($Y28,OFFSET(enemy_skill_sets!$B$1,0,0,COUNTA(enemy_skill_sets!$B:$B),MATCH(M$1,enemy_skill_sets!$1:$1,0)-MATCH($Y$1,enemy_skill_sets!$1:$1,0)+2),MATCH(M$1,enemy_skill_sets!$1:$1,0)-MATCH($Y$1,enemy_skill_sets!$1:$1,0)+2,FALSE)</f>
        <v>全体攻撃+青パネルプロテクト</v>
      </c>
      <c r="Y28" s="117">
        <v>39011007</v>
      </c>
      <c r="Z28" s="6">
        <v>1</v>
      </c>
      <c r="AA28" s="6">
        <v>100</v>
      </c>
      <c r="AB28" s="6">
        <v>1</v>
      </c>
      <c r="AC28" s="116">
        <v>2</v>
      </c>
      <c r="AD28" s="24">
        <f t="shared" si="3"/>
        <v>172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フォルネウス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3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8" s="7">
        <v>1</v>
      </c>
      <c r="AI28" s="24">
        <f t="shared" ca="1" si="4"/>
        <v>3</v>
      </c>
      <c r="AJ28" s="8">
        <v>0</v>
      </c>
      <c r="AK28" s="7">
        <v>0</v>
      </c>
      <c r="AL28" s="7">
        <v>0</v>
      </c>
      <c r="AM28" s="7">
        <v>0</v>
      </c>
      <c r="AN28" s="7">
        <v>0</v>
      </c>
      <c r="AO28" s="7">
        <v>1</v>
      </c>
      <c r="AP28" s="69">
        <v>1</v>
      </c>
    </row>
    <row r="29" spans="1:42" ht="21" customHeight="1" x14ac:dyDescent="0.15">
      <c r="A29" s="16" t="str">
        <f t="shared" si="0"/>
        <v>39011_3-3/364&lt;lv40&gt;s1</v>
      </c>
      <c r="B29" s="22">
        <v>39011</v>
      </c>
      <c r="C29" s="109">
        <v>3</v>
      </c>
      <c r="D29" s="2" t="str">
        <f t="shared" si="1"/>
        <v>39011_3</v>
      </c>
      <c r="E29" s="4" t="str">
        <f ca="1">VLOOKUP($B29,OFFSET([2]quests!$A$1,0,0,COUNTA([2]quests!$A:$A),MATCH(E$1,[2]quests!$1:$1,0)-MATCH($B$1,[2]quests!$1:$1,0)+1),MATCH(E$1,[2]quests!$1:$1,0)-MATCH($B$1,[2]quests!$1:$1,0)+1,FALSE)</f>
        <v>ブルースクウェアを追え！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【上級】ブルースクウェアを追え！</v>
      </c>
      <c r="G29" s="113">
        <v>3</v>
      </c>
      <c r="H29" s="15" t="str">
        <f t="shared" si="2"/>
        <v>39011_3-3</v>
      </c>
      <c r="I29" s="4">
        <f ca="1">VLOOKUP($H29,OFFSET(floors!$A$1,0,0,COUNTA(floors!$A:$A),MATCH(I$1,floors!$1:$1,0)-MATCH($H$1,floors!$1:$1,0)+1),MATCH(I$1,floors!$1:$1,0)-MATCH($H$1,floors!$1:$1,0)+1,FALSE)</f>
        <v>50</v>
      </c>
      <c r="J29" s="4">
        <f ca="1">VLOOKUP($H29,OFFSET(floors!$A$1,0,0,COUNTA(floors!$A:$A),MATCH(J$1,floors!$1:$1,0)-MATCH($H$1,floors!$1:$1,0)+1),MATCH(J$1,floors!$1:$1,0)-MATCH($H$1,floors!$1:$1,0)+1,FALSE)</f>
        <v>50</v>
      </c>
      <c r="K29" s="38" t="s">
        <v>53</v>
      </c>
      <c r="L29" s="115">
        <v>364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ノエル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40</v>
      </c>
      <c r="S29" s="25">
        <v>2.4</v>
      </c>
      <c r="T29" s="101">
        <f ca="1">ROUND(VLOOKUP(R29,[3]enemy_base_stats!$A:$F,2,FALSE) *INDIRECT("[EnemyMasterData.xlsm]enemies!Y"&amp;(L29+1))*  INDIRECT("[EnemyMasterData.xlsm]enemies!J"&amp;(L29+1))* INDIRECT("[EnemyMasterData.xlsm]enemies!O"&amp;(L29+1))* INDIRECT("[EnemyMasterData.xlsm]enemies!E"&amp;(L29+1))* INDIRECT("[EnemyMasterData.xlsm]enemies!S"&amp;(L29+1))* INDIRECT("[EnemyMasterData.xlsm]enemies!AD"&amp;(L29+1))*[4]ステータス!$B$2,0)*S29</f>
        <v>19920</v>
      </c>
      <c r="U29" s="25">
        <v>0.6</v>
      </c>
      <c r="V29" s="101">
        <f ca="1">ROUND(VLOOKUP(R29,[3]enemy_base_stats!$A:$F,3,FALSE) *INDIRECT("[EnemyMasterData.xlsm]enemies!Z"&amp;(L29+1))*  INDIRECT("[EnemyMasterData.xlsm]enemies!K"&amp;(L29+1))* INDIRECT("[EnemyMasterData.xlsm]enemies!P"&amp;(L29+1))* INDIRECT("[EnemyMasterData.xlsm]enemies!F"&amp;(L29+1))* INDIRECT("[EnemyMasterData.xlsm]enemies!T"&amp;(L29+1))* INDIRECT("[EnemyMasterData.xlsm]enemies!AE"&amp;(L29+1))*[4]ステータス!$C$2,0)*U29</f>
        <v>2142</v>
      </c>
      <c r="W29" s="5">
        <v>0</v>
      </c>
      <c r="X29" s="4" t="str">
        <f ca="1">VLOOKUP($Y29,OFFSET(enemy_skill_sets!$B$1,0,0,COUNTA(enemy_skill_sets!$B:$B),MATCH(M$1,enemy_skill_sets!$1:$1,0)-MATCH($Y$1,enemy_skill_sets!$1:$1,0)+2),MATCH(M$1,enemy_skill_sets!$1:$1,0)-MATCH($Y$1,enemy_skill_sets!$1:$1,0)+2,FALSE)</f>
        <v>3ターンユニット全体のタップ回数を1DOWN</v>
      </c>
      <c r="Y29" s="117">
        <v>39011008</v>
      </c>
      <c r="Z29" s="6">
        <v>1</v>
      </c>
      <c r="AA29" s="6">
        <v>100</v>
      </c>
      <c r="AB29" s="6">
        <v>0</v>
      </c>
      <c r="AC29" s="116">
        <v>1</v>
      </c>
      <c r="AD29" s="24">
        <f t="shared" si="3"/>
        <v>364</v>
      </c>
      <c r="AE29" s="4" t="str">
        <f ca="1">VLOOKUP($AD29,OFFSET([4]characters!$A$1,0,0,COUNTA([4]characters!$A:$A),MATCH(AE$1,[4]characters!$1:$1,0)-MATCH("character_id",[4]characters!$1:$1,0)+1),MATCH(AE$1,[4]characters!$1:$1,0)-MATCH("character_id",[4]characters!$1:$1,0)+1,FALSE)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29" s="4">
        <f ca="1">VLOOKUP($AD29,OFFSET([4]characters!$A$1,0,0,COUNTA([4]characters!$A:$A),MATCH(AF$1,[4]characters!$1:$1,0)-MATCH("character_id",[4]characters!$1:$1,0)+1),MATCH(AF$1,[4]characters!$1:$1,0)-MATCH("character_id",[4]characters!$1:$1,0)+1,FALSE)</f>
        <v>2</v>
      </c>
      <c r="AG29" s="4" t="str">
        <f ca="1">VLOOKUP($AD29,OFFSET([4]characters!$A$1,0,0,COUNTA([4]characters!$A:$A),MATCH(AG$1,[4]characters!$1:$1,0)-MATCH("character_id",[4]characters!$1:$1,0)+1),MATCH(AG$1,[4]characters!$1:$1,0)-MATCH("character_id",[4]characters!$1:$1,0)+1,FALSE)</f>
        <v>Drop1S</v>
      </c>
      <c r="AH29" s="7">
        <v>1</v>
      </c>
      <c r="AI29" s="24">
        <f t="shared" ca="1" si="4"/>
        <v>2</v>
      </c>
      <c r="AJ29" s="8">
        <v>20</v>
      </c>
      <c r="AK29" s="7">
        <v>0</v>
      </c>
      <c r="AL29" s="7">
        <v>0</v>
      </c>
      <c r="AM29" s="7">
        <v>0</v>
      </c>
      <c r="AN29" s="7">
        <v>0</v>
      </c>
      <c r="AO29" s="7">
        <v>1</v>
      </c>
      <c r="AP29" s="69">
        <v>1</v>
      </c>
    </row>
    <row r="30" spans="1:42" ht="21" customHeight="1" x14ac:dyDescent="0.15">
      <c r="A30" s="16" t="str">
        <f t="shared" si="0"/>
        <v>39011_3-3/374&lt;lv40&gt;s1</v>
      </c>
      <c r="B30" s="22">
        <v>39011</v>
      </c>
      <c r="C30" s="109">
        <v>3</v>
      </c>
      <c r="D30" s="2" t="str">
        <f t="shared" si="1"/>
        <v>39011_3</v>
      </c>
      <c r="E30" s="4" t="str">
        <f ca="1">VLOOKUP($B30,OFFSET([2]quests!$A$1,0,0,COUNTA([2]quests!$A:$A),MATCH(E$1,[2]quests!$1:$1,0)-MATCH($B$1,[2]quests!$1:$1,0)+1),MATCH(E$1,[2]quests!$1:$1,0)-MATCH($B$1,[2]quests!$1:$1,0)+1,FALSE)</f>
        <v>ブルースクウェアを追え！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【上級】ブルースクウェアを追え！</v>
      </c>
      <c r="G30" s="113">
        <v>3</v>
      </c>
      <c r="H30" s="15" t="str">
        <f t="shared" si="2"/>
        <v>39011_3-3</v>
      </c>
      <c r="I30" s="4">
        <f ca="1">VLOOKUP($H30,OFFSET(floors!$A$1,0,0,COUNTA(floors!$A:$A),MATCH(I$1,floors!$1:$1,0)-MATCH($H$1,floors!$1:$1,0)+1),MATCH(I$1,floors!$1:$1,0)-MATCH($H$1,floors!$1:$1,0)+1,FALSE)</f>
        <v>50</v>
      </c>
      <c r="J30" s="4">
        <f ca="1">VLOOKUP($H30,OFFSET(floors!$A$1,0,0,COUNTA(floors!$A:$A),MATCH(J$1,floors!$1:$1,0)-MATCH($H$1,floors!$1:$1,0)+1),MATCH(J$1,floors!$1:$1,0)-MATCH($H$1,floors!$1:$1,0)+1,FALSE)</f>
        <v>50</v>
      </c>
      <c r="K30" s="38" t="s">
        <v>53</v>
      </c>
      <c r="L30" s="115">
        <v>374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影丸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40</v>
      </c>
      <c r="S30" s="25">
        <v>2.7</v>
      </c>
      <c r="T30" s="101">
        <f ca="1">ROUND(VLOOKUP(R30,[3]enemy_base_stats!$A:$F,2,FALSE) *INDIRECT("[EnemyMasterData.xlsm]enemies!Y"&amp;(L30+1))*  INDIRECT("[EnemyMasterData.xlsm]enemies!J"&amp;(L30+1))* INDIRECT("[EnemyMasterData.xlsm]enemies!O"&amp;(L30+1))* INDIRECT("[EnemyMasterData.xlsm]enemies!E"&amp;(L30+1))* INDIRECT("[EnemyMasterData.xlsm]enemies!S"&amp;(L30+1))* INDIRECT("[EnemyMasterData.xlsm]enemies!AD"&amp;(L30+1))*[4]ステータス!$B$2,0)*S30</f>
        <v>20169</v>
      </c>
      <c r="U30" s="25">
        <v>1.5</v>
      </c>
      <c r="V30" s="101">
        <f ca="1">ROUND(VLOOKUP(R30,[3]enemy_base_stats!$A:$F,3,FALSE) *INDIRECT("[EnemyMasterData.xlsm]enemies!Z"&amp;(L30+1))*  INDIRECT("[EnemyMasterData.xlsm]enemies!K"&amp;(L30+1))* INDIRECT("[EnemyMasterData.xlsm]enemies!P"&amp;(L30+1))* INDIRECT("[EnemyMasterData.xlsm]enemies!F"&amp;(L30+1))* INDIRECT("[EnemyMasterData.xlsm]enemies!T"&amp;(L30+1))* INDIRECT("[EnemyMasterData.xlsm]enemies!AE"&amp;(L30+1))*[4]ステータス!$C$2,0)*U30</f>
        <v>3624</v>
      </c>
      <c r="W30" s="5">
        <v>0</v>
      </c>
      <c r="X30" s="4" t="str">
        <f ca="1">VLOOKUP($Y30,OFFSET(enemy_skill_sets!$B$1,0,0,COUNTA(enemy_skill_sets!$B:$B),MATCH(M$1,enemy_skill_sets!$1:$1,0)-MATCH($Y$1,enemy_skill_sets!$1:$1,0)+2),MATCH(M$1,enemy_skill_sets!$1:$1,0)-MATCH($Y$1,enemy_skill_sets!$1:$1,0)+2,FALSE)</f>
        <v>ユニット全体に1ターン暗闇</v>
      </c>
      <c r="Y30" s="117">
        <v>39011009</v>
      </c>
      <c r="Z30" s="6">
        <v>1</v>
      </c>
      <c r="AA30" s="6">
        <v>100</v>
      </c>
      <c r="AB30" s="6">
        <v>0</v>
      </c>
      <c r="AC30" s="116">
        <v>1</v>
      </c>
      <c r="AD30" s="24">
        <f t="shared" si="3"/>
        <v>374</v>
      </c>
      <c r="AE30" s="4" t="str">
        <f ca="1">VLOOKUP($AD30,OFFSET([4]characters!$A$1,0,0,COUNTA([4]characters!$A:$A),MATCH(AE$1,[4]characters!$1:$1,0)-MATCH("character_id",[4]characters!$1:$1,0)+1),MATCH(AE$1,[4]characters!$1:$1,0)-MATCH("character_id",[4]characters!$1:$1,0)+1,FALSE)</f>
        <v>影丸</v>
      </c>
      <c r="AF30" s="4">
        <f ca="1">VLOOKUP($AD30,OFFSET([4]characters!$A$1,0,0,COUNTA([4]characters!$A:$A),MATCH(AF$1,[4]characters!$1:$1,0)-MATCH("character_id",[4]characters!$1:$1,0)+1),MATCH(AF$1,[4]characters!$1:$1,0)-MATCH("character_id",[4]characters!$1:$1,0)+1,FALSE)</f>
        <v>2</v>
      </c>
      <c r="AG30" s="4" t="str">
        <f ca="1">VLOOKUP($AD30,OFFSET([4]characters!$A$1,0,0,COUNTA([4]characters!$A:$A),MATCH(AG$1,[4]characters!$1:$1,0)-MATCH("character_id",[4]characters!$1:$1,0)+1),MATCH(AG$1,[4]characters!$1:$1,0)-MATCH("character_id",[4]characters!$1:$1,0)+1,FALSE)</f>
        <v>Drop1S</v>
      </c>
      <c r="AH30" s="7">
        <v>1</v>
      </c>
      <c r="AI30" s="24">
        <f t="shared" ca="1" si="4"/>
        <v>2</v>
      </c>
      <c r="AJ30" s="8">
        <v>20</v>
      </c>
      <c r="AK30" s="7">
        <v>0</v>
      </c>
      <c r="AL30" s="7">
        <v>0</v>
      </c>
      <c r="AM30" s="7">
        <v>0</v>
      </c>
      <c r="AN30" s="7">
        <v>0</v>
      </c>
      <c r="AO30" s="7">
        <v>1</v>
      </c>
      <c r="AP30" s="69">
        <v>1</v>
      </c>
    </row>
    <row r="31" spans="1:42" ht="21" customHeight="1" x14ac:dyDescent="0.15">
      <c r="A31" s="16" t="str">
        <f t="shared" si="0"/>
        <v>39011_3-4/691&lt;lv40&gt;s2</v>
      </c>
      <c r="B31" s="22">
        <v>39011</v>
      </c>
      <c r="C31" s="109">
        <v>3</v>
      </c>
      <c r="D31" s="2" t="str">
        <f t="shared" si="1"/>
        <v>39011_3</v>
      </c>
      <c r="E31" s="4" t="str">
        <f ca="1">VLOOKUP($B31,OFFSET([2]quests!$A$1,0,0,COUNTA([2]quests!$A:$A),MATCH(E$1,[2]quests!$1:$1,0)-MATCH($B$1,[2]quests!$1:$1,0)+1),MATCH(E$1,[2]quests!$1:$1,0)-MATCH($B$1,[2]quests!$1:$1,0)+1,FALSE)</f>
        <v>ブルースクウェアを追え！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【上級】ブルースクウェアを追え！</v>
      </c>
      <c r="G31" s="114">
        <v>4</v>
      </c>
      <c r="H31" s="15" t="str">
        <f t="shared" si="2"/>
        <v>39011_3-4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>
        <v>3</v>
      </c>
      <c r="L31" s="115">
        <v>691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黒沼青葉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Drop2N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human</v>
      </c>
      <c r="Q31" s="17">
        <f ca="1">VLOOKUP($L31,OFFSET([3]enemies!$A$1,0,0,COUNTA([3]enemies!$A:$A),MATCH(Q$1,[3]enemies!$1:$1,0)-MATCH($L$1,[3]enemies!$1:$1,0)+1),MATCH(Q$1,[3]enemies!$1:$1,0)-MATCH($L$1,[3]enemies!$1:$1,0)+1,FALSE)</f>
        <v>30</v>
      </c>
      <c r="R31" s="5">
        <v>40</v>
      </c>
      <c r="S31" s="25">
        <v>1.8</v>
      </c>
      <c r="T31" s="101">
        <f ca="1">ROUND(VLOOKUP(R31,[3]enemy_base_stats!$A:$F,2,FALSE) *INDIRECT("[EnemyMasterData.xlsm]enemies!Y"&amp;(L31+1))*  INDIRECT("[EnemyMasterData.xlsm]enemies!J"&amp;(L31+1))* INDIRECT("[EnemyMasterData.xlsm]enemies!O"&amp;(L31+1))* INDIRECT("[EnemyMasterData.xlsm]enemies!E"&amp;(L31+1))* INDIRECT("[EnemyMasterData.xlsm]enemies!S"&amp;(L31+1))* INDIRECT("[EnemyMasterData.xlsm]enemies!AD"&amp;(L31+1))*[4]ステータス!$B$2,0)*S31</f>
        <v>91283.400000000009</v>
      </c>
      <c r="U31" s="25">
        <v>1</v>
      </c>
      <c r="V31" s="101">
        <f ca="1">ROUND(VLOOKUP(R31,[3]enemy_base_stats!$A:$F,3,FALSE) *INDIRECT("[EnemyMasterData.xlsm]enemies!Z"&amp;(L31+1))*  INDIRECT("[EnemyMasterData.xlsm]enemies!K"&amp;(L31+1))* INDIRECT("[EnemyMasterData.xlsm]enemies!P"&amp;(L31+1))* INDIRECT("[EnemyMasterData.xlsm]enemies!F"&amp;(L31+1))* INDIRECT("[EnemyMasterData.xlsm]enemies!T"&amp;(L31+1))* INDIRECT("[EnemyMasterData.xlsm]enemies!AE"&amp;(L31+1))*[4]ステータス!$C$2,0)*U31</f>
        <v>4083</v>
      </c>
      <c r="W31" s="5">
        <v>0</v>
      </c>
      <c r="X31" s="4" t="str">
        <f ca="1">VLOOKUP($Y31,OFFSET(enemy_skill_sets!$B$1,0,0,COUNTA(enemy_skill_sets!$B:$B),MATCH(M$1,enemy_skill_sets!$1:$1,0)-MATCH($Y$1,enemy_skill_sets!$1:$1,0)+2),MATCH(M$1,enemy_skill_sets!$1:$1,0)-MATCH($Y$1,enemy_skill_sets!$1:$1,0)+2,FALSE)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31" s="117">
        <v>39011010</v>
      </c>
      <c r="Z31" s="6">
        <v>1</v>
      </c>
      <c r="AA31" s="6">
        <v>100</v>
      </c>
      <c r="AB31" s="6">
        <v>1</v>
      </c>
      <c r="AC31" s="116">
        <v>2</v>
      </c>
      <c r="AD31" s="24">
        <f t="shared" si="3"/>
        <v>691</v>
      </c>
      <c r="AE31" s="4" t="str">
        <f ca="1">VLOOKUP($AD31,OFFSET([4]characters!$A$1,0,0,COUNTA([4]characters!$A:$A),MATCH(AE$1,[4]characters!$1:$1,0)-MATCH("character_id",[4]characters!$1:$1,0)+1),MATCH(AE$1,[4]characters!$1:$1,0)-MATCH("character_id",[4]characters!$1:$1,0)+1,FALSE)</f>
        <v>黒沼青葉</v>
      </c>
      <c r="AF31" s="4">
        <f ca="1">VLOOKUP($AD31,OFFSET([4]characters!$A$1,0,0,COUNTA([4]characters!$A:$A),MATCH(AF$1,[4]characters!$1:$1,0)-MATCH("character_id",[4]characters!$1:$1,0)+1),MATCH(AF$1,[4]characters!$1:$1,0)-MATCH("character_id",[4]characters!$1:$1,0)+1,FALSE)</f>
        <v>4</v>
      </c>
      <c r="AG31" s="4" t="str">
        <f ca="1">VLOOKUP($AD31,OFFSET([4]characters!$A$1,0,0,COUNTA([4]characters!$A:$A),MATCH(AG$1,[4]characters!$1:$1,0)-MATCH("character_id",[4]characters!$1:$1,0)+1),MATCH(AG$1,[4]characters!$1:$1,0)-MATCH("character_id",[4]characters!$1:$1,0)+1,FALSE)</f>
        <v>Drop2N</v>
      </c>
      <c r="AH31" s="7">
        <v>1</v>
      </c>
      <c r="AI31" s="24">
        <f t="shared" ca="1" si="4"/>
        <v>4</v>
      </c>
      <c r="AJ31" s="8">
        <v>40</v>
      </c>
      <c r="AK31" s="7">
        <v>0</v>
      </c>
      <c r="AL31" s="7">
        <v>0</v>
      </c>
      <c r="AM31" s="7">
        <v>0</v>
      </c>
      <c r="AN31" s="7">
        <v>0</v>
      </c>
      <c r="AO31" s="7">
        <v>1</v>
      </c>
      <c r="AP31" s="69">
        <v>1</v>
      </c>
    </row>
    <row r="32" spans="1:42" ht="21" customHeight="1" x14ac:dyDescent="0.15">
      <c r="A32" s="16" t="str">
        <f t="shared" si="0"/>
        <v>39011_3-4/71&lt;lv40&gt;s1</v>
      </c>
      <c r="B32" s="22">
        <v>39011</v>
      </c>
      <c r="C32" s="109">
        <v>3</v>
      </c>
      <c r="D32" s="2" t="str">
        <f t="shared" si="1"/>
        <v>39011_3</v>
      </c>
      <c r="E32" s="4" t="str">
        <f ca="1">VLOOKUP($B32,OFFSET([2]quests!$A$1,0,0,COUNTA([2]quests!$A:$A),MATCH(E$1,[2]quests!$1:$1,0)-MATCH($B$1,[2]quests!$1:$1,0)+1),MATCH(E$1,[2]quests!$1:$1,0)-MATCH($B$1,[2]quests!$1:$1,0)+1,FALSE)</f>
        <v>ブルースクウェアを追え！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【上級】ブルースクウェアを追え！</v>
      </c>
      <c r="G32" s="114">
        <v>4</v>
      </c>
      <c r="H32" s="15" t="str">
        <f t="shared" si="2"/>
        <v>39011_3-4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 t="s">
        <v>53</v>
      </c>
      <c r="L32" s="115">
        <v>71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ダックス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animal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40</v>
      </c>
      <c r="S32" s="25">
        <v>2.4</v>
      </c>
      <c r="T32" s="101">
        <f ca="1">ROUND(VLOOKUP(R32,[3]enemy_base_stats!$A:$F,2,FALSE) *INDIRECT("[EnemyMasterData.xlsm]enemies!Y"&amp;(L32+1))*  INDIRECT("[EnemyMasterData.xlsm]enemies!J"&amp;(L32+1))* INDIRECT("[EnemyMasterData.xlsm]enemies!O"&amp;(L32+1))* INDIRECT("[EnemyMasterData.xlsm]enemies!E"&amp;(L32+1))* INDIRECT("[EnemyMasterData.xlsm]enemies!S"&amp;(L32+1))* INDIRECT("[EnemyMasterData.xlsm]enemies!AD"&amp;(L32+1))*[4]ステータス!$B$2,0)*S32</f>
        <v>19920</v>
      </c>
      <c r="U32" s="25">
        <v>1</v>
      </c>
      <c r="V32" s="101">
        <f ca="1">ROUND(VLOOKUP(R32,[3]enemy_base_stats!$A:$F,3,FALSE) *INDIRECT("[EnemyMasterData.xlsm]enemies!Z"&amp;(L32+1))*  INDIRECT("[EnemyMasterData.xlsm]enemies!K"&amp;(L32+1))* INDIRECT("[EnemyMasterData.xlsm]enemies!P"&amp;(L32+1))* INDIRECT("[EnemyMasterData.xlsm]enemies!F"&amp;(L32+1))* INDIRECT("[EnemyMasterData.xlsm]enemies!T"&amp;(L32+1))* INDIRECT("[EnemyMasterData.xlsm]enemies!AE"&amp;(L32+1))*[4]ステータス!$C$2,0)*U32</f>
        <v>2684</v>
      </c>
      <c r="W32" s="5">
        <v>0</v>
      </c>
      <c r="X32" s="4" t="str">
        <f ca="1">VLOOKUP($Y32,OFFSET(enemy_skill_sets!$B$1,0,0,COUNTA(enemy_skill_sets!$B:$B),MATCH(M$1,enemy_skill_sets!$1:$1,0)-MATCH($Y$1,enemy_skill_sets!$1:$1,0)+2),MATCH(M$1,enemy_skill_sets!$1:$1,0)-MATCH($Y$1,enemy_skill_sets!$1:$1,0)+2,FALSE)</f>
        <v>種族マシンのユニットに大ダメージの単体攻撃</v>
      </c>
      <c r="Y32" s="117">
        <v>39011012</v>
      </c>
      <c r="Z32" s="6">
        <v>2</v>
      </c>
      <c r="AA32" s="6">
        <v>100</v>
      </c>
      <c r="AB32" s="6">
        <v>0</v>
      </c>
      <c r="AC32" s="116">
        <v>1</v>
      </c>
      <c r="AD32" s="24">
        <f t="shared" si="3"/>
        <v>71</v>
      </c>
      <c r="AE32" s="4" t="str">
        <f ca="1">VLOOKUP($AD32,OFFSET([4]characters!$A$1,0,0,COUNTA([4]characters!$A:$A),MATCH(AE$1,[4]characters!$1:$1,0)-MATCH("character_id",[4]characters!$1:$1,0)+1),MATCH(AE$1,[4]characters!$1:$1,0)-MATCH("character_id",[4]characters!$1:$1,0)+1,FALSE)</f>
        <v>ダックス</v>
      </c>
      <c r="AF32" s="4">
        <f ca="1">VLOOKUP($AD32,OFFSET([4]characters!$A$1,0,0,COUNTA([4]characters!$A:$A),MATCH(AF$1,[4]characters!$1:$1,0)-MATCH("character_id",[4]characters!$1:$1,0)+1),MATCH(AF$1,[4]characters!$1:$1,0)-MATCH("character_id",[4]characters!$1:$1,0)+1,FALSE)</f>
        <v>2</v>
      </c>
      <c r="AG32" s="4" t="str">
        <f ca="1">VLOOKUP($AD32,OFFSET([4]characters!$A$1,0,0,COUNTA([4]characters!$A:$A),MATCH(AG$1,[4]characters!$1:$1,0)-MATCH("character_id",[4]characters!$1:$1,0)+1),MATCH(AG$1,[4]characters!$1:$1,0)-MATCH("character_id",[4]characters!$1:$1,0)+1,FALSE)</f>
        <v>Drop1S</v>
      </c>
      <c r="AH32" s="7">
        <v>1</v>
      </c>
      <c r="AI32" s="24">
        <f t="shared" ca="1" si="4"/>
        <v>2</v>
      </c>
      <c r="AJ32" s="8">
        <v>0</v>
      </c>
      <c r="AK32" s="7">
        <v>0</v>
      </c>
      <c r="AL32" s="7">
        <v>0</v>
      </c>
      <c r="AM32" s="7">
        <v>0</v>
      </c>
      <c r="AN32" s="7">
        <v>0</v>
      </c>
      <c r="AO32" s="7">
        <v>1</v>
      </c>
      <c r="AP32" s="69">
        <v>1</v>
      </c>
    </row>
    <row r="33" spans="1:42" ht="21" customHeight="1" x14ac:dyDescent="0.15">
      <c r="A33" s="16" t="str">
        <f t="shared" si="0"/>
        <v>39011_4-1/6&lt;lv60&gt;s3</v>
      </c>
      <c r="B33" s="22">
        <v>39011</v>
      </c>
      <c r="C33" s="110">
        <v>4</v>
      </c>
      <c r="D33" s="2" t="str">
        <f t="shared" si="1"/>
        <v>39011_4</v>
      </c>
      <c r="E33" s="4" t="str">
        <f ca="1">VLOOKUP($B33,OFFSET([2]quests!$A$1,0,0,COUNTA([2]quests!$A:$A),MATCH(E$1,[2]quests!$1:$1,0)-MATCH($B$1,[2]quests!$1:$1,0)+1),MATCH(E$1,[2]quests!$1:$1,0)-MATCH($B$1,[2]quests!$1:$1,0)+1,FALSE)</f>
        <v>ブルースクウェアを追え！</v>
      </c>
      <c r="F33" s="4" t="str">
        <f ca="1">VLOOKUP($D33,OFFSET([2]stages!$A$1,0,0,COUNTA([2]stages!$A:$A),MATCH(F$1,[2]stages!$2:$2,0)-MATCH($D$1,[2]stages!$2:$2,0)+1),MATCH(F$1,[2]stages!$2:$2,0)-MATCH($D$1,[2]stages!$2:$2,0)+1,FALSE)</f>
        <v>【超級】ブルースクウェアを追え！</v>
      </c>
      <c r="G33" s="111">
        <v>1</v>
      </c>
      <c r="H33" s="15" t="str">
        <f t="shared" si="2"/>
        <v>39011_4-1</v>
      </c>
      <c r="I33" s="4">
        <f ca="1">VLOOKUP($H33,OFFSET(floors!$A$1,0,0,COUNTA(floors!$A:$A),MATCH(I$1,floors!$1:$1,0)-MATCH($H$1,floors!$1:$1,0)+1),MATCH(I$1,floors!$1:$1,0)-MATCH($H$1,floors!$1:$1,0)+1,FALSE)</f>
        <v>45</v>
      </c>
      <c r="J33" s="4">
        <f ca="1">VLOOKUP($H33,OFFSET(floors!$A$1,0,0,COUNTA(floors!$A:$A),MATCH(J$1,floors!$1:$1,0)-MATCH($H$1,floors!$1:$1,0)+1),MATCH(J$1,floors!$1:$1,0)-MATCH($H$1,floors!$1:$1,0)+1,FALSE)</f>
        <v>45</v>
      </c>
      <c r="K33" s="38" t="s">
        <v>53</v>
      </c>
      <c r="L33" s="115">
        <v>6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パトドッグリーダー ポチ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Drop1T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60</v>
      </c>
      <c r="S33" s="25">
        <v>1.3</v>
      </c>
      <c r="T33" s="101">
        <f ca="1">ROUND(VLOOKUP(R33,[3]enemy_base_stats!$A:$F,2,FALSE) *INDIRECT("[EnemyMasterData.xlsm]enemies!Y"&amp;(L33+1))*  INDIRECT("[EnemyMasterData.xlsm]enemies!J"&amp;(L33+1))* INDIRECT("[EnemyMasterData.xlsm]enemies!O"&amp;(L33+1))* INDIRECT("[EnemyMasterData.xlsm]enemies!E"&amp;(L33+1))* INDIRECT("[EnemyMasterData.xlsm]enemies!S"&amp;(L33+1))* INDIRECT("[EnemyMasterData.xlsm]enemies!AD"&amp;(L33+1))*[4]ステータス!$B$2,0)*S33</f>
        <v>12792</v>
      </c>
      <c r="U33" s="25">
        <v>2</v>
      </c>
      <c r="V33" s="101">
        <f ca="1">ROUND(VLOOKUP(R33,[3]enemy_base_stats!$A:$F,3,FALSE) *INDIRECT("[EnemyMasterData.xlsm]enemies!Z"&amp;(L33+1))*  INDIRECT("[EnemyMasterData.xlsm]enemies!K"&amp;(L33+1))* INDIRECT("[EnemyMasterData.xlsm]enemies!P"&amp;(L33+1))* INDIRECT("[EnemyMasterData.xlsm]enemies!F"&amp;(L33+1))* INDIRECT("[EnemyMasterData.xlsm]enemies!T"&amp;(L33+1))* INDIRECT("[EnemyMasterData.xlsm]enemies!AE"&amp;(L33+1))*[4]ステータス!$C$2,0)*U33</f>
        <v>5642</v>
      </c>
      <c r="W33" s="5">
        <v>0</v>
      </c>
      <c r="X33" s="4" t="str">
        <f ca="1">VLOOKUP($Y33,OFFSET(enemy_skill_sets!$B$1,0,0,COUNTA(enemy_skill_sets!$B:$B),MATCH(M$1,enemy_skill_sets!$1:$1,0)-MATCH($Y$1,enemy_skill_sets!$1:$1,0)+2),MATCH(M$1,enemy_skill_sets!$1:$1,0)-MATCH($Y$1,enemy_skill_sets!$1:$1,0)+2,FALSE)</f>
        <v>全体回復</v>
      </c>
      <c r="Y33" s="117">
        <v>39011001</v>
      </c>
      <c r="Z33" s="6">
        <v>1</v>
      </c>
      <c r="AA33" s="6">
        <v>100</v>
      </c>
      <c r="AB33" s="6">
        <v>0</v>
      </c>
      <c r="AC33" s="116">
        <v>3</v>
      </c>
      <c r="AD33" s="24">
        <f t="shared" si="3"/>
        <v>6</v>
      </c>
      <c r="AE33" s="4" t="str">
        <f ca="1">VLOOKUP($AD33,OFFSET([4]characters!$A$1,0,0,COUNTA([4]characters!$A:$A),MATCH(AE$1,[4]characters!$1:$1,0)-MATCH("character_id",[4]characters!$1:$1,0)+1),MATCH(AE$1,[4]characters!$1:$1,0)-MATCH("character_id",[4]characters!$1:$1,0)+1,FALSE)</f>
        <v>パトドッグリーダー ポチ</v>
      </c>
      <c r="AF33" s="4">
        <f ca="1">VLOOKUP($AD33,OFFSET([4]characters!$A$1,0,0,COUNTA([4]characters!$A:$A),MATCH(AF$1,[4]characters!$1:$1,0)-MATCH("character_id",[4]characters!$1:$1,0)+1),MATCH(AF$1,[4]characters!$1:$1,0)-MATCH("character_id",[4]characters!$1:$1,0)+1,FALSE)</f>
        <v>2</v>
      </c>
      <c r="AG33" s="4" t="str">
        <f ca="1">VLOOKUP($AD33,OFFSET([4]characters!$A$1,0,0,COUNTA([4]characters!$A:$A),MATCH(AG$1,[4]characters!$1:$1,0)-MATCH("character_id",[4]characters!$1:$1,0)+1),MATCH(AG$1,[4]characters!$1:$1,0)-MATCH("character_id",[4]characters!$1:$1,0)+1,FALSE)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3" s="7">
        <v>1</v>
      </c>
      <c r="AI33" s="24">
        <f t="shared" ca="1" si="4"/>
        <v>2</v>
      </c>
      <c r="AJ33" s="8">
        <v>20</v>
      </c>
      <c r="AK33" s="7">
        <v>0</v>
      </c>
      <c r="AL33" s="7">
        <v>0</v>
      </c>
      <c r="AM33" s="7">
        <v>0</v>
      </c>
      <c r="AN33" s="7">
        <v>0</v>
      </c>
      <c r="AO33" s="7">
        <v>1</v>
      </c>
      <c r="AP33" s="69">
        <v>1</v>
      </c>
    </row>
    <row r="34" spans="1:42" ht="21" customHeight="1" x14ac:dyDescent="0.15">
      <c r="A34" s="16" t="str">
        <f t="shared" si="0"/>
        <v>39011_4-1/18&lt;lv60&gt;s2</v>
      </c>
      <c r="B34" s="22">
        <v>39011</v>
      </c>
      <c r="C34" s="110">
        <v>4</v>
      </c>
      <c r="D34" s="2" t="str">
        <f t="shared" si="1"/>
        <v>39011_4</v>
      </c>
      <c r="E34" s="4" t="str">
        <f ca="1">VLOOKUP($B34,OFFSET([2]quests!$A$1,0,0,COUNTA([2]quests!$A:$A),MATCH(E$1,[2]quests!$1:$1,0)-MATCH($B$1,[2]quests!$1:$1,0)+1),MATCH(E$1,[2]quests!$1:$1,0)-MATCH($B$1,[2]quests!$1:$1,0)+1,FALSE)</f>
        <v>ブルースクウェアを追え！</v>
      </c>
      <c r="F34" s="4" t="str">
        <f ca="1">VLOOKUP($D34,OFFSET([2]stages!$A$1,0,0,COUNTA([2]stages!$A:$A),MATCH(F$1,[2]stages!$2:$2,0)-MATCH($D$1,[2]stages!$2:$2,0)+1),MATCH(F$1,[2]stages!$2:$2,0)-MATCH($D$1,[2]stages!$2:$2,0)+1,FALSE)</f>
        <v>【超級】ブルースクウェアを追え！</v>
      </c>
      <c r="G34" s="111">
        <v>1</v>
      </c>
      <c r="H34" s="15" t="str">
        <f t="shared" si="2"/>
        <v>39011_4-1</v>
      </c>
      <c r="I34" s="4">
        <f ca="1">VLOOKUP($H34,OFFSET(floors!$A$1,0,0,COUNTA(floors!$A:$A),MATCH(I$1,floors!$1:$1,0)-MATCH($H$1,floors!$1:$1,0)+1),MATCH(I$1,floors!$1:$1,0)-MATCH($H$1,floors!$1:$1,0)+1,FALSE)</f>
        <v>45</v>
      </c>
      <c r="J34" s="4">
        <f ca="1">VLOOKUP($H34,OFFSET(floors!$A$1,0,0,COUNTA(floors!$A:$A),MATCH(J$1,floors!$1:$1,0)-MATCH($H$1,floors!$1:$1,0)+1),MATCH(J$1,floors!$1:$1,0)-MATCH($H$1,floors!$1:$1,0)+1,FALSE)</f>
        <v>45</v>
      </c>
      <c r="K34" s="38" t="s">
        <v>53</v>
      </c>
      <c r="L34" s="115">
        <v>18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戦闘案内人 リム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Drop1W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human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60</v>
      </c>
      <c r="S34" s="25">
        <v>2.6</v>
      </c>
      <c r="T34" s="101">
        <f ca="1">ROUND(VLOOKUP(R34,[3]enemy_base_stats!$A:$F,2,FALSE) *INDIRECT("[EnemyMasterData.xlsm]enemies!Y"&amp;(L34+1))*  INDIRECT("[EnemyMasterData.xlsm]enemies!J"&amp;(L34+1))* INDIRECT("[EnemyMasterData.xlsm]enemies!O"&amp;(L34+1))* INDIRECT("[EnemyMasterData.xlsm]enemies!E"&amp;(L34+1))* INDIRECT("[EnemyMasterData.xlsm]enemies!S"&amp;(L34+1))* INDIRECT("[EnemyMasterData.xlsm]enemies!AD"&amp;(L34+1))*[4]ステータス!$B$2,0)*S34</f>
        <v>30061.200000000001</v>
      </c>
      <c r="U34" s="25">
        <v>1.3</v>
      </c>
      <c r="V34" s="101">
        <f ca="1">ROUND(VLOOKUP(R34,[3]enemy_base_stats!$A:$F,3,FALSE) *INDIRECT("[EnemyMasterData.xlsm]enemies!Z"&amp;(L34+1))*  INDIRECT("[EnemyMasterData.xlsm]enemies!K"&amp;(L34+1))* INDIRECT("[EnemyMasterData.xlsm]enemies!P"&amp;(L34+1))* INDIRECT("[EnemyMasterData.xlsm]enemies!F"&amp;(L34+1))* INDIRECT("[EnemyMasterData.xlsm]enemies!T"&amp;(L34+1))* INDIRECT("[EnemyMasterData.xlsm]enemies!AE"&amp;(L34+1))*[4]ステータス!$C$2,0)*U34</f>
        <v>4654</v>
      </c>
      <c r="W34" s="5">
        <v>0</v>
      </c>
      <c r="X34" s="4" t="str">
        <f ca="1">VLOOKUP($Y34,OFFSET(enemy_skill_sets!$B$1,0,0,COUNTA(enemy_skill_sets!$B:$B),MATCH(M$1,enemy_skill_sets!$1:$1,0)-MATCH($Y$1,enemy_skill_sets!$1:$1,0)+2),MATCH(M$1,enemy_skill_sets!$1:$1,0)-MATCH($Y$1,enemy_skill_sets!$1:$1,0)+2,FALSE)</f>
        <v>3ターン敵全体の攻撃頻度UP</v>
      </c>
      <c r="Y34" s="117">
        <v>39011002</v>
      </c>
      <c r="Z34" s="6">
        <v>1</v>
      </c>
      <c r="AA34" s="6">
        <v>100</v>
      </c>
      <c r="AB34" s="6">
        <v>0</v>
      </c>
      <c r="AC34" s="116">
        <v>2</v>
      </c>
      <c r="AD34" s="24">
        <f t="shared" si="3"/>
        <v>18</v>
      </c>
      <c r="AE34" s="4" t="str">
        <f ca="1">VLOOKUP($AD34,OFFSET([4]characters!$A$1,0,0,COUNTA([4]characters!$A:$A),MATCH(AE$1,[4]characters!$1:$1,0)-MATCH("character_id",[4]characters!$1:$1,0)+1),MATCH(AE$1,[4]characters!$1:$1,0)-MATCH("character_id",[4]characters!$1:$1,0)+1,FALSE)</f>
        <v>戦闘案内人 リム</v>
      </c>
      <c r="AF34" s="4">
        <f ca="1">VLOOKUP($AD34,OFFSET([4]characters!$A$1,0,0,COUNTA([4]characters!$A:$A),MATCH(AF$1,[4]characters!$1:$1,0)-MATCH("character_id",[4]characters!$1:$1,0)+1),MATCH(AF$1,[4]characters!$1:$1,0)-MATCH("character_id",[4]characters!$1:$1,0)+1,FALSE)</f>
        <v>2</v>
      </c>
      <c r="AG34" s="4" t="str">
        <f ca="1">VLOOKUP($AD34,OFFSET([4]characters!$A$1,0,0,COUNTA([4]characters!$A:$A),MATCH(AG$1,[4]characters!$1:$1,0)-MATCH("character_id",[4]characters!$1:$1,0)+1),MATCH(AG$1,[4]characters!$1:$1,0)-MATCH("character_id",[4]characters!$1:$1,0)+1,FALSE)</f>
        <v>Drop1W</v>
      </c>
      <c r="AH34" s="7">
        <v>1</v>
      </c>
      <c r="AI34" s="24">
        <f t="shared" ca="1" si="4"/>
        <v>2</v>
      </c>
      <c r="AJ34" s="8">
        <v>20</v>
      </c>
      <c r="AK34" s="7">
        <v>0</v>
      </c>
      <c r="AL34" s="7">
        <v>0</v>
      </c>
      <c r="AM34" s="7">
        <v>0</v>
      </c>
      <c r="AN34" s="7">
        <v>0</v>
      </c>
      <c r="AO34" s="7">
        <v>1</v>
      </c>
      <c r="AP34" s="69">
        <v>1</v>
      </c>
    </row>
    <row r="35" spans="1:42" ht="21" customHeight="1" x14ac:dyDescent="0.15">
      <c r="A35" s="16" t="str">
        <f t="shared" si="0"/>
        <v>39011_4-1/30&lt;lv60&gt;s3</v>
      </c>
      <c r="B35" s="22">
        <v>39011</v>
      </c>
      <c r="C35" s="110">
        <v>4</v>
      </c>
      <c r="D35" s="2" t="str">
        <f t="shared" si="1"/>
        <v>39011_4</v>
      </c>
      <c r="E35" s="4" t="str">
        <f ca="1">VLOOKUP($B35,OFFSET([2]quests!$A$1,0,0,COUNTA([2]quests!$A:$A),MATCH(E$1,[2]quests!$1:$1,0)-MATCH($B$1,[2]quests!$1:$1,0)+1),MATCH(E$1,[2]quests!$1:$1,0)-MATCH($B$1,[2]quests!$1:$1,0)+1,FALSE)</f>
        <v>ブルースクウェアを追え！</v>
      </c>
      <c r="F35" s="4" t="str">
        <f ca="1">VLOOKUP($D35,OFFSET([2]stages!$A$1,0,0,COUNTA([2]stages!$A:$A),MATCH(F$1,[2]stages!$2:$2,0)-MATCH($D$1,[2]stages!$2:$2,0)+1),MATCH(F$1,[2]stages!$2:$2,0)-MATCH($D$1,[2]stages!$2:$2,0)+1,FALSE)</f>
        <v>【超級】ブルースクウェアを追え！</v>
      </c>
      <c r="G35" s="111">
        <v>1</v>
      </c>
      <c r="H35" s="15" t="str">
        <f t="shared" si="2"/>
        <v>39011_4-1</v>
      </c>
      <c r="I35" s="4">
        <f ca="1">VLOOKUP($H35,OFFSET(floors!$A$1,0,0,COUNTA(floors!$A:$A),MATCH(I$1,floors!$1:$1,0)-MATCH($H$1,floors!$1:$1,0)+1),MATCH(I$1,floors!$1:$1,0)-MATCH($H$1,floors!$1:$1,0)+1,FALSE)</f>
        <v>45</v>
      </c>
      <c r="J35" s="4">
        <f ca="1">VLOOKUP($H35,OFFSET(floors!$A$1,0,0,COUNTA(floors!$A:$A),MATCH(J$1,floors!$1:$1,0)-MATCH($H$1,floors!$1:$1,0)+1),MATCH(J$1,floors!$1:$1,0)-MATCH($H$1,floors!$1:$1,0)+1,FALSE)</f>
        <v>45</v>
      </c>
      <c r="K35" s="38" t="s">
        <v>53</v>
      </c>
      <c r="L35" s="115">
        <v>30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護衛機人 スケアクロウ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Drop1N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machine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60</v>
      </c>
      <c r="S35" s="25">
        <v>3</v>
      </c>
      <c r="T35" s="101">
        <f ca="1">ROUND(VLOOKUP(R35,[3]enemy_base_stats!$A:$F,2,FALSE) *INDIRECT("[EnemyMasterData.xlsm]enemies!Y"&amp;(L35+1))*  INDIRECT("[EnemyMasterData.xlsm]enemies!J"&amp;(L35+1))* INDIRECT("[EnemyMasterData.xlsm]enemies!O"&amp;(L35+1))* INDIRECT("[EnemyMasterData.xlsm]enemies!E"&amp;(L35+1))* INDIRECT("[EnemyMasterData.xlsm]enemies!S"&amp;(L35+1))* INDIRECT("[EnemyMasterData.xlsm]enemies!AD"&amp;(L35+1))*[4]ステータス!$B$2,0)*S35</f>
        <v>29520</v>
      </c>
      <c r="U35" s="25">
        <v>1.7</v>
      </c>
      <c r="V35" s="101">
        <f ca="1">ROUND(VLOOKUP(R35,[3]enemy_base_stats!$A:$F,3,FALSE) *INDIRECT("[EnemyMasterData.xlsm]enemies!Z"&amp;(L35+1))*  INDIRECT("[EnemyMasterData.xlsm]enemies!K"&amp;(L35+1))* INDIRECT("[EnemyMasterData.xlsm]enemies!P"&amp;(L35+1))* INDIRECT("[EnemyMasterData.xlsm]enemies!F"&amp;(L35+1))* INDIRECT("[EnemyMasterData.xlsm]enemies!T"&amp;(L35+1))* INDIRECT("[EnemyMasterData.xlsm]enemies!AE"&amp;(L35+1))*[4]ステータス!$C$2,0)*U35</f>
        <v>4795.7</v>
      </c>
      <c r="W35" s="5">
        <v>0</v>
      </c>
      <c r="X35" s="4" t="str">
        <f ca="1">VLOOKUP($Y35,OFFSET(enemy_skill_sets!$B$1,0,0,COUNTA(enemy_skill_sets!$B:$B),MATCH(M$1,enemy_skill_sets!$1:$1,0)-MATCH($Y$1,enemy_skill_sets!$1:$1,0)+2),MATCH(M$1,enemy_skill_sets!$1:$1,0)-MATCH($Y$1,enemy_skill_sets!$1:$1,0)+2,FALSE)</f>
        <v>全体回復</v>
      </c>
      <c r="Y35" s="117">
        <v>39011003</v>
      </c>
      <c r="Z35" s="6">
        <v>1</v>
      </c>
      <c r="AA35" s="6">
        <v>100</v>
      </c>
      <c r="AB35" s="6">
        <v>0</v>
      </c>
      <c r="AC35" s="116">
        <v>3</v>
      </c>
      <c r="AD35" s="24">
        <f t="shared" si="3"/>
        <v>30</v>
      </c>
      <c r="AE35" s="4" t="str">
        <f ca="1">VLOOKUP($AD35,OFFSET([4]characters!$A$1,0,0,COUNTA([4]characters!$A:$A),MATCH(AE$1,[4]characters!$1:$1,0)-MATCH("character_id",[4]characters!$1:$1,0)+1),MATCH(AE$1,[4]characters!$1:$1,0)-MATCH("character_id",[4]characters!$1:$1,0)+1,FALSE)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35" s="4">
        <f ca="1">VLOOKUP($AD35,OFFSET([4]characters!$A$1,0,0,COUNTA([4]characters!$A:$A),MATCH(AF$1,[4]characters!$1:$1,0)-MATCH("character_id",[4]characters!$1:$1,0)+1),MATCH(AF$1,[4]characters!$1:$1,0)-MATCH("character_id",[4]characters!$1:$1,0)+1,FALSE)</f>
        <v>2</v>
      </c>
      <c r="AG35" s="4" t="str">
        <f ca="1">VLOOKUP($AD35,OFFSET([4]characters!$A$1,0,0,COUNTA([4]characters!$A:$A),MATCH(AG$1,[4]characters!$1:$1,0)-MATCH("character_id",[4]characters!$1:$1,0)+1),MATCH(AG$1,[4]characters!$1:$1,0)-MATCH("character_id",[4]characters!$1:$1,0)+1,FALSE)</f>
        <v>Drop1N</v>
      </c>
      <c r="AH35" s="7">
        <v>1</v>
      </c>
      <c r="AI35" s="24">
        <f t="shared" ca="1" si="4"/>
        <v>2</v>
      </c>
      <c r="AJ35" s="8">
        <v>20</v>
      </c>
      <c r="AK35" s="7">
        <v>0</v>
      </c>
      <c r="AL35" s="7">
        <v>0</v>
      </c>
      <c r="AM35" s="7">
        <v>0</v>
      </c>
      <c r="AN35" s="7">
        <v>0</v>
      </c>
      <c r="AO35" s="7">
        <v>1</v>
      </c>
      <c r="AP35" s="69">
        <v>1</v>
      </c>
    </row>
    <row r="36" spans="1:42" ht="21" customHeight="1" x14ac:dyDescent="0.15">
      <c r="A36" s="16" t="str">
        <f t="shared" si="0"/>
        <v>39011_4-2/130&lt;lv60&gt;s4</v>
      </c>
      <c r="B36" s="22">
        <v>39011</v>
      </c>
      <c r="C36" s="110">
        <v>4</v>
      </c>
      <c r="D36" s="2" t="str">
        <f t="shared" si="1"/>
        <v>39011_4</v>
      </c>
      <c r="E36" s="4" t="str">
        <f ca="1">VLOOKUP($B36,OFFSET([2]quests!$A$1,0,0,COUNTA([2]quests!$A:$A),MATCH(E$1,[2]quests!$1:$1,0)-MATCH($B$1,[2]quests!$1:$1,0)+1),MATCH(E$1,[2]quests!$1:$1,0)-MATCH($B$1,[2]quests!$1:$1,0)+1,FALSE)</f>
        <v>ブルースクウェアを追え！</v>
      </c>
      <c r="F36" s="4" t="str">
        <f ca="1">VLOOKUP($D36,OFFSET([2]stages!$A$1,0,0,COUNTA([2]stages!$A:$A),MATCH(F$1,[2]stages!$2:$2,0)-MATCH($D$1,[2]stages!$2:$2,0)+1),MATCH(F$1,[2]stages!$2:$2,0)-MATCH($D$1,[2]stages!$2:$2,0)+1,FALSE)</f>
        <v>【超級】ブルースクウェアを追え！</v>
      </c>
      <c r="G36" s="112">
        <v>2</v>
      </c>
      <c r="H36" s="15" t="str">
        <f t="shared" si="2"/>
        <v>39011_4-2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8" t="s">
        <v>53</v>
      </c>
      <c r="L36" s="115">
        <v>130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狼男 ローレンス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PremiumW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7">
        <f ca="1">VLOOKUP($L36,OFFSET([3]enemies!$A$1,0,0,COUNTA([3]enemies!$A:$A),MATCH(Q$1,[3]enemies!$1:$1,0)-MATCH($L$1,[3]enemies!$1:$1,0)+1),MATCH(Q$1,[3]enemies!$1:$1,0)-MATCH($L$1,[3]enemies!$1:$1,0)+1,FALSE)</f>
        <v>20</v>
      </c>
      <c r="R36" s="5">
        <v>60</v>
      </c>
      <c r="S36" s="25">
        <v>0.9</v>
      </c>
      <c r="T36" s="101">
        <f ca="1">ROUND(VLOOKUP(R36,[3]enemy_base_stats!$A:$F,2,FALSE) *INDIRECT("[EnemyMasterData.xlsm]enemies!Y"&amp;(L36+1))*  INDIRECT("[EnemyMasterData.xlsm]enemies!J"&amp;(L36+1))* INDIRECT("[EnemyMasterData.xlsm]enemies!O"&amp;(L36+1))* INDIRECT("[EnemyMasterData.xlsm]enemies!E"&amp;(L36+1))* INDIRECT("[EnemyMasterData.xlsm]enemies!S"&amp;(L36+1))* INDIRECT("[EnemyMasterData.xlsm]enemies!AD"&amp;(L36+1))*[4]ステータス!$B$2,0)*S36</f>
        <v>60885</v>
      </c>
      <c r="U36" s="25">
        <v>0.9</v>
      </c>
      <c r="V36" s="101">
        <f ca="1">ROUND(VLOOKUP(R36,[3]enemy_base_stats!$A:$F,3,FALSE) *INDIRECT("[EnemyMasterData.xlsm]enemies!Z"&amp;(L36+1))*  INDIRECT("[EnemyMasterData.xlsm]enemies!K"&amp;(L36+1))* INDIRECT("[EnemyMasterData.xlsm]enemies!P"&amp;(L36+1))* INDIRECT("[EnemyMasterData.xlsm]enemies!F"&amp;(L36+1))* INDIRECT("[EnemyMasterData.xlsm]enemies!T"&amp;(L36+1))* INDIRECT("[EnemyMasterData.xlsm]enemies!AE"&amp;(L36+1))*[4]ステータス!$C$2,0)*U36</f>
        <v>7427.7</v>
      </c>
      <c r="W36" s="5">
        <v>0</v>
      </c>
      <c r="X36" s="4" t="str">
        <f ca="1">VLOOKUP($Y36,OFFSET(enemy_skill_sets!$B$1,0,0,COUNTA(enemy_skill_sets!$B:$B),MATCH(M$1,enemy_skill_sets!$1:$1,0)-MATCH($Y$1,enemy_skill_sets!$1:$1,0)+2),MATCH(M$1,enemy_skill_sets!$1:$1,0)-MATCH($Y$1,enemy_skill_sets!$1:$1,0)+2,FALSE)</f>
        <v>3ターン敵全体の攻撃力UP</v>
      </c>
      <c r="Y36" s="117">
        <v>39011004</v>
      </c>
      <c r="Z36" s="6">
        <v>1</v>
      </c>
      <c r="AA36" s="6">
        <v>100</v>
      </c>
      <c r="AB36" s="6">
        <v>0</v>
      </c>
      <c r="AC36" s="116">
        <v>4</v>
      </c>
      <c r="AD36" s="24">
        <f t="shared" si="3"/>
        <v>130</v>
      </c>
      <c r="AE36" s="4" t="str">
        <f ca="1">VLOOKUP($AD36,OFFSET([4]characters!$A$1,0,0,COUNTA([4]characters!$A:$A),MATCH(AE$1,[4]characters!$1:$1,0)-MATCH("character_id",[4]characters!$1:$1,0)+1),MATCH(AE$1,[4]characters!$1:$1,0)-MATCH("character_id",[4]characters!$1:$1,0)+1,FALSE)</f>
        <v>狼男 ローレンス</v>
      </c>
      <c r="AF36" s="4">
        <f ca="1">VLOOKUP($AD36,OFFSET([4]characters!$A$1,0,0,COUNTA([4]characters!$A:$A),MATCH(AF$1,[4]characters!$1:$1,0)-MATCH("character_id",[4]characters!$1:$1,0)+1),MATCH(AF$1,[4]characters!$1:$1,0)-MATCH("character_id",[4]characters!$1:$1,0)+1,FALSE)</f>
        <v>3</v>
      </c>
      <c r="AG36" s="4" t="str">
        <f ca="1">VLOOKUP($AD36,OFFSET([4]characters!$A$1,0,0,COUNTA([4]characters!$A:$A),MATCH(AG$1,[4]characters!$1:$1,0)-MATCH("character_id",[4]characters!$1:$1,0)+1),MATCH(AG$1,[4]characters!$1:$1,0)-MATCH("character_id",[4]characters!$1:$1,0)+1,FALSE)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6" s="7">
        <v>1</v>
      </c>
      <c r="AI36" s="24">
        <f t="shared" ca="1" si="4"/>
        <v>3</v>
      </c>
      <c r="AJ36" s="8">
        <v>0</v>
      </c>
      <c r="AK36" s="7">
        <v>0</v>
      </c>
      <c r="AL36" s="7">
        <v>0</v>
      </c>
      <c r="AM36" s="7">
        <v>0</v>
      </c>
      <c r="AN36" s="7">
        <v>0</v>
      </c>
      <c r="AO36" s="7">
        <v>1</v>
      </c>
      <c r="AP36" s="69">
        <v>1</v>
      </c>
    </row>
    <row r="37" spans="1:42" ht="21" customHeight="1" x14ac:dyDescent="0.15">
      <c r="A37" s="16" t="str">
        <f t="shared" si="0"/>
        <v>39011_4-2/199&lt;lv60&gt;s2</v>
      </c>
      <c r="B37" s="22">
        <v>39011</v>
      </c>
      <c r="C37" s="110">
        <v>4</v>
      </c>
      <c r="D37" s="2" t="str">
        <f t="shared" si="1"/>
        <v>39011_4</v>
      </c>
      <c r="E37" s="4" t="str">
        <f ca="1">VLOOKUP($B37,OFFSET([2]quests!$A$1,0,0,COUNTA([2]quests!$A:$A),MATCH(E$1,[2]quests!$1:$1,0)-MATCH($B$1,[2]quests!$1:$1,0)+1),MATCH(E$1,[2]quests!$1:$1,0)-MATCH($B$1,[2]quests!$1:$1,0)+1,FALSE)</f>
        <v>ブルースクウェアを追え！</v>
      </c>
      <c r="F37" s="4" t="str">
        <f ca="1">VLOOKUP($D37,OFFSET([2]stages!$A$1,0,0,COUNTA([2]stages!$A:$A),MATCH(F$1,[2]stages!$2:$2,0)-MATCH($D$1,[2]stages!$2:$2,0)+1),MATCH(F$1,[2]stages!$2:$2,0)-MATCH($D$1,[2]stages!$2:$2,0)+1,FALSE)</f>
        <v>【超級】ブルースクウェアを追え！</v>
      </c>
      <c r="G37" s="112">
        <v>2</v>
      </c>
      <c r="H37" s="15" t="str">
        <f t="shared" si="2"/>
        <v>39011_4-2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8" t="s">
        <v>53</v>
      </c>
      <c r="L37" s="115">
        <v>199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ジークフリート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PremiumN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human</v>
      </c>
      <c r="Q37" s="17">
        <f ca="1">VLOOKUP($L37,OFFSET([3]enemies!$A$1,0,0,COUNTA([3]enemies!$A:$A),MATCH(Q$1,[3]enemies!$1:$1,0)-MATCH($L$1,[3]enemies!$1:$1,0)+1),MATCH(Q$1,[3]enemies!$1:$1,0)-MATCH($L$1,[3]enemies!$1:$1,0)+1,FALSE)</f>
        <v>20</v>
      </c>
      <c r="R37" s="5">
        <v>60</v>
      </c>
      <c r="S37" s="25">
        <v>0.9</v>
      </c>
      <c r="T37" s="101">
        <f ca="1">ROUND(VLOOKUP(R37,[3]enemy_base_stats!$A:$F,2,FALSE) *INDIRECT("[EnemyMasterData.xlsm]enemies!Y"&amp;(L37+1))*  INDIRECT("[EnemyMasterData.xlsm]enemies!J"&amp;(L37+1))* INDIRECT("[EnemyMasterData.xlsm]enemies!O"&amp;(L37+1))* INDIRECT("[EnemyMasterData.xlsm]enemies!E"&amp;(L37+1))* INDIRECT("[EnemyMasterData.xlsm]enemies!S"&amp;(L37+1))* INDIRECT("[EnemyMasterData.xlsm]enemies!AD"&amp;(L37+1))*[4]ステータス!$B$2,0)*S37</f>
        <v>85848.3</v>
      </c>
      <c r="U37" s="25">
        <v>0.9</v>
      </c>
      <c r="V37" s="101">
        <f ca="1">ROUND(VLOOKUP(R37,[3]enemy_base_stats!$A:$F,3,FALSE) *INDIRECT("[EnemyMasterData.xlsm]enemies!Z"&amp;(L37+1))*  INDIRECT("[EnemyMasterData.xlsm]enemies!K"&amp;(L37+1))* INDIRECT("[EnemyMasterData.xlsm]enemies!P"&amp;(L37+1))* INDIRECT("[EnemyMasterData.xlsm]enemies!F"&amp;(L37+1))* INDIRECT("[EnemyMasterData.xlsm]enemies!T"&amp;(L37+1))* INDIRECT("[EnemyMasterData.xlsm]enemies!AE"&amp;(L37+1))*[4]ステータス!$C$2,0)*U37</f>
        <v>3866.4</v>
      </c>
      <c r="W37" s="5">
        <v>0</v>
      </c>
      <c r="X37" s="4" t="str">
        <f ca="1">VLOOKUP($Y37,OFFSET(enemy_skill_sets!$B$1,0,0,COUNTA(enemy_skill_sets!$B:$B),MATCH(M$1,enemy_skill_sets!$1:$1,0)-MATCH($Y$1,enemy_skill_sets!$1:$1,0)+2),MATCH(M$1,enemy_skill_sets!$1:$1,0)-MATCH($Y$1,enemy_skill_sets!$1:$1,0)+2,FALSE)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7" s="117">
        <v>39011005</v>
      </c>
      <c r="Z37" s="6">
        <v>1</v>
      </c>
      <c r="AA37" s="6">
        <v>100</v>
      </c>
      <c r="AB37" s="6">
        <v>1</v>
      </c>
      <c r="AC37" s="116">
        <v>2</v>
      </c>
      <c r="AD37" s="24">
        <f t="shared" si="3"/>
        <v>199</v>
      </c>
      <c r="AE37" s="4" t="str">
        <f ca="1">VLOOKUP($AD37,OFFSET([4]characters!$A$1,0,0,COUNTA([4]characters!$A:$A),MATCH(AE$1,[4]characters!$1:$1,0)-MATCH("character_id",[4]characters!$1:$1,0)+1),MATCH(AE$1,[4]characters!$1:$1,0)-MATCH("character_id",[4]characters!$1:$1,0)+1,FALSE)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37" s="4">
        <f ca="1">VLOOKUP($AD37,OFFSET([4]characters!$A$1,0,0,COUNTA([4]characters!$A:$A),MATCH(AF$1,[4]characters!$1:$1,0)-MATCH("character_id",[4]characters!$1:$1,0)+1),MATCH(AF$1,[4]characters!$1:$1,0)-MATCH("character_id",[4]characters!$1:$1,0)+1,FALSE)</f>
        <v>3</v>
      </c>
      <c r="AG37" s="4" t="str">
        <f ca="1">VLOOKUP($AD37,OFFSET([4]characters!$A$1,0,0,COUNTA([4]characters!$A:$A),MATCH(AG$1,[4]characters!$1:$1,0)-MATCH("character_id",[4]characters!$1:$1,0)+1),MATCH(AG$1,[4]characters!$1:$1,0)-MATCH("character_id",[4]characters!$1:$1,0)+1,FALSE)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37" s="7">
        <v>1</v>
      </c>
      <c r="AI37" s="24">
        <f t="shared" ca="1" si="4"/>
        <v>3</v>
      </c>
      <c r="AJ37" s="8">
        <v>0</v>
      </c>
      <c r="AK37" s="7">
        <v>0</v>
      </c>
      <c r="AL37" s="7">
        <v>0</v>
      </c>
      <c r="AM37" s="7">
        <v>0</v>
      </c>
      <c r="AN37" s="7">
        <v>0</v>
      </c>
      <c r="AO37" s="7">
        <v>1</v>
      </c>
      <c r="AP37" s="69">
        <v>1</v>
      </c>
    </row>
    <row r="38" spans="1:42" ht="21" customHeight="1" x14ac:dyDescent="0.15">
      <c r="A38" s="16" t="str">
        <f t="shared" si="0"/>
        <v>39011_4-2/266&lt;lv60&gt;s2</v>
      </c>
      <c r="B38" s="22">
        <v>39011</v>
      </c>
      <c r="C38" s="110">
        <v>4</v>
      </c>
      <c r="D38" s="2" t="str">
        <f t="shared" si="1"/>
        <v>39011_4</v>
      </c>
      <c r="E38" s="4" t="str">
        <f ca="1">VLOOKUP($B38,OFFSET([2]quests!$A$1,0,0,COUNTA([2]quests!$A:$A),MATCH(E$1,[2]quests!$1:$1,0)-MATCH($B$1,[2]quests!$1:$1,0)+1),MATCH(E$1,[2]quests!$1:$1,0)-MATCH($B$1,[2]quests!$1:$1,0)+1,FALSE)</f>
        <v>ブルースクウェアを追え！</v>
      </c>
      <c r="F38" s="4" t="str">
        <f ca="1">VLOOKUP($D38,OFFSET([2]stages!$A$1,0,0,COUNTA([2]stages!$A:$A),MATCH(F$1,[2]stages!$2:$2,0)-MATCH($D$1,[2]stages!$2:$2,0)+1),MATCH(F$1,[2]stages!$2:$2,0)-MATCH($D$1,[2]stages!$2:$2,0)+1,FALSE)</f>
        <v>【超級】ブルースクウェアを追え！</v>
      </c>
      <c r="G38" s="112">
        <v>2</v>
      </c>
      <c r="H38" s="15" t="str">
        <f t="shared" si="2"/>
        <v>39011_4-2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8" t="s">
        <v>53</v>
      </c>
      <c r="L38" s="115">
        <v>266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リリアンブルー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Drop2W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17">
        <f ca="1">VLOOKUP($L38,OFFSET([3]enemies!$A$1,0,0,COUNTA([3]enemies!$A:$A),MATCH(Q$1,[3]enemies!$1:$1,0)-MATCH($L$1,[3]enemies!$1:$1,0)+1),MATCH(Q$1,[3]enemies!$1:$1,0)-MATCH($L$1,[3]enemies!$1:$1,0)+1,FALSE)</f>
        <v>20</v>
      </c>
      <c r="R38" s="5">
        <v>60</v>
      </c>
      <c r="S38" s="25">
        <v>0.9</v>
      </c>
      <c r="T38" s="101">
        <f ca="1">ROUND(VLOOKUP(R38,[3]enemy_base_stats!$A:$F,2,FALSE) *INDIRECT("[EnemyMasterData.xlsm]enemies!Y"&amp;(L38+1))*  INDIRECT("[EnemyMasterData.xlsm]enemies!J"&amp;(L38+1))* INDIRECT("[EnemyMasterData.xlsm]enemies!O"&amp;(L38+1))* INDIRECT("[EnemyMasterData.xlsm]enemies!E"&amp;(L38+1))* INDIRECT("[EnemyMasterData.xlsm]enemies!S"&amp;(L38+1))* INDIRECT("[EnemyMasterData.xlsm]enemies!AD"&amp;(L38+1))*[4]ステータス!$B$2,0)*S38</f>
        <v>60885</v>
      </c>
      <c r="U38" s="25">
        <v>0.9</v>
      </c>
      <c r="V38" s="101">
        <f ca="1">ROUND(VLOOKUP(R38,[3]enemy_base_stats!$A:$F,3,FALSE) *INDIRECT("[EnemyMasterData.xlsm]enemies!Z"&amp;(L38+1))*  INDIRECT("[EnemyMasterData.xlsm]enemies!K"&amp;(L38+1))* INDIRECT("[EnemyMasterData.xlsm]enemies!P"&amp;(L38+1))* INDIRECT("[EnemyMasterData.xlsm]enemies!F"&amp;(L38+1))* INDIRECT("[EnemyMasterData.xlsm]enemies!T"&amp;(L38+1))* INDIRECT("[EnemyMasterData.xlsm]enemies!AE"&amp;(L38+1))*[4]ステータス!$C$2,0)*U38</f>
        <v>5584.5</v>
      </c>
      <c r="W38" s="5">
        <v>0</v>
      </c>
      <c r="X38" s="4" t="str">
        <f ca="1">VLOOKUP($Y38,OFFSET(enemy_skill_sets!$B$1,0,0,COUNTA(enemy_skill_sets!$B:$B),MATCH(M$1,enemy_skill_sets!$1:$1,0)-MATCH($Y$1,enemy_skill_sets!$1:$1,0)+2),MATCH(M$1,enemy_skill_sets!$1:$1,0)-MATCH($Y$1,enemy_skill_sets!$1:$1,0)+2,FALSE)</f>
        <v>Cパネルを吸収して全体攻撃</v>
      </c>
      <c r="Y38" s="117">
        <v>39011006</v>
      </c>
      <c r="Z38" s="6">
        <v>1</v>
      </c>
      <c r="AA38" s="6">
        <v>100</v>
      </c>
      <c r="AB38" s="6">
        <v>0</v>
      </c>
      <c r="AC38" s="116">
        <v>2</v>
      </c>
      <c r="AD38" s="24">
        <f t="shared" si="3"/>
        <v>266</v>
      </c>
      <c r="AE38" s="4" t="str">
        <f ca="1">VLOOKUP($AD38,OFFSET([4]characters!$A$1,0,0,COUNTA([4]characters!$A:$A),MATCH(AE$1,[4]characters!$1:$1,0)-MATCH("character_id",[4]characters!$1:$1,0)+1),MATCH(AE$1,[4]characters!$1:$1,0)-MATCH("character_id",[4]characters!$1:$1,0)+1,FALSE)</f>
        <v>リリアンブルー</v>
      </c>
      <c r="AF38" s="4">
        <f ca="1">VLOOKUP($AD38,OFFSET([4]characters!$A$1,0,0,COUNTA([4]characters!$A:$A),MATCH(AF$1,[4]characters!$1:$1,0)-MATCH("character_id",[4]characters!$1:$1,0)+1),MATCH(AF$1,[4]characters!$1:$1,0)-MATCH("character_id",[4]characters!$1:$1,0)+1,FALSE)</f>
        <v>3</v>
      </c>
      <c r="AG38" s="4" t="str">
        <f ca="1">VLOOKUP($AD38,OFFSET([4]characters!$A$1,0,0,COUNTA([4]characters!$A:$A),MATCH(AG$1,[4]characters!$1:$1,0)-MATCH("character_id",[4]characters!$1:$1,0)+1),MATCH(AG$1,[4]characters!$1:$1,0)-MATCH("character_id",[4]characters!$1:$1,0)+1,FALSE)</f>
        <v>Drop2W</v>
      </c>
      <c r="AH38" s="7">
        <v>1</v>
      </c>
      <c r="AI38" s="24">
        <f t="shared" ca="1" si="4"/>
        <v>3</v>
      </c>
      <c r="AJ38" s="8">
        <v>0</v>
      </c>
      <c r="AK38" s="7">
        <v>0</v>
      </c>
      <c r="AL38" s="7">
        <v>0</v>
      </c>
      <c r="AM38" s="7">
        <v>0</v>
      </c>
      <c r="AN38" s="7">
        <v>0</v>
      </c>
      <c r="AO38" s="7">
        <v>1</v>
      </c>
      <c r="AP38" s="69">
        <v>1</v>
      </c>
    </row>
    <row r="39" spans="1:42" ht="21" customHeight="1" x14ac:dyDescent="0.15">
      <c r="A39" s="16" t="str">
        <f t="shared" si="0"/>
        <v>39011_4-3/173&lt;lv60&gt;s2</v>
      </c>
      <c r="B39" s="22">
        <v>39011</v>
      </c>
      <c r="C39" s="110">
        <v>4</v>
      </c>
      <c r="D39" s="2" t="str">
        <f t="shared" si="1"/>
        <v>39011_4</v>
      </c>
      <c r="E39" s="4" t="str">
        <f ca="1">VLOOKUP($B39,OFFSET([2]quests!$A$1,0,0,COUNTA([2]quests!$A:$A),MATCH(E$1,[2]quests!$1:$1,0)-MATCH($B$1,[2]quests!$1:$1,0)+1),MATCH(E$1,[2]quests!$1:$1,0)-MATCH($B$1,[2]quests!$1:$1,0)+1,FALSE)</f>
        <v>ブルースクウェアを追え！</v>
      </c>
      <c r="F39" s="4" t="str">
        <f ca="1">VLOOKUP($D39,OFFSET([2]stages!$A$1,0,0,COUNTA([2]stages!$A:$A),MATCH(F$1,[2]stages!$2:$2,0)-MATCH($D$1,[2]stages!$2:$2,0)+1),MATCH(F$1,[2]stages!$2:$2,0)-MATCH($D$1,[2]stages!$2:$2,0)+1,FALSE)</f>
        <v>【超級】ブルースクウェアを追え！</v>
      </c>
      <c r="G39" s="113">
        <v>3</v>
      </c>
      <c r="H39" s="15" t="str">
        <f t="shared" si="2"/>
        <v>39011_4-3</v>
      </c>
      <c r="I39" s="4">
        <f ca="1">VLOOKUP($H39,OFFSET(floors!$A$1,0,0,COUNTA(floors!$A:$A),MATCH(I$1,floors!$1:$1,0)-MATCH($H$1,floors!$1:$1,0)+1),MATCH(I$1,floors!$1:$1,0)-MATCH($H$1,floors!$1:$1,0)+1,FALSE)</f>
        <v>60</v>
      </c>
      <c r="J39" s="4">
        <f ca="1">VLOOKUP($H39,OFFSET(floors!$A$1,0,0,COUNTA(floors!$A:$A),MATCH(J$1,floors!$1:$1,0)-MATCH($H$1,floors!$1:$1,0)+1),MATCH(J$1,floors!$1:$1,0)-MATCH($H$1,floors!$1:$1,0)+1,FALSE)</f>
        <v>60</v>
      </c>
      <c r="K39" s="38" t="s">
        <v>53</v>
      </c>
      <c r="L39" s="115">
        <v>173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公爵 フォルネウス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PremiumN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god</v>
      </c>
      <c r="Q39" s="17">
        <f ca="1">VLOOKUP($L39,OFFSET([3]enemies!$A$1,0,0,COUNTA([3]enemies!$A:$A),MATCH(Q$1,[3]enemies!$1:$1,0)-MATCH($L$1,[3]enemies!$1:$1,0)+1),MATCH(Q$1,[3]enemies!$1:$1,0)-MATCH($L$1,[3]enemies!$1:$1,0)+1,FALSE)</f>
        <v>30</v>
      </c>
      <c r="R39" s="5">
        <v>60</v>
      </c>
      <c r="S39" s="25">
        <v>1</v>
      </c>
      <c r="T39" s="101">
        <f ca="1">ROUND(VLOOKUP(R39,[3]enemy_base_stats!$A:$F,2,FALSE) *INDIRECT("[EnemyMasterData.xlsm]enemies!Y"&amp;(L39+1))*  INDIRECT("[EnemyMasterData.xlsm]enemies!J"&amp;(L39+1))* INDIRECT("[EnemyMasterData.xlsm]enemies!O"&amp;(L39+1))* INDIRECT("[EnemyMasterData.xlsm]enemies!E"&amp;(L39+1))* INDIRECT("[EnemyMasterData.xlsm]enemies!S"&amp;(L39+1))* INDIRECT("[EnemyMasterData.xlsm]enemies!AD"&amp;(L39+1))*[4]ステータス!$B$2,0)*S39</f>
        <v>76752</v>
      </c>
      <c r="U39" s="25">
        <v>1</v>
      </c>
      <c r="V39" s="101">
        <f ca="1">ROUND(VLOOKUP(R39,[3]enemy_base_stats!$A:$F,3,FALSE) *INDIRECT("[EnemyMasterData.xlsm]enemies!Z"&amp;(L39+1))*  INDIRECT("[EnemyMasterData.xlsm]enemies!K"&amp;(L39+1))* INDIRECT("[EnemyMasterData.xlsm]enemies!P"&amp;(L39+1))* INDIRECT("[EnemyMasterData.xlsm]enemies!F"&amp;(L39+1))* INDIRECT("[EnemyMasterData.xlsm]enemies!T"&amp;(L39+1))* INDIRECT("[EnemyMasterData.xlsm]enemies!AE"&amp;(L39+1))*[4]ステータス!$C$2,0)*U39</f>
        <v>8291</v>
      </c>
      <c r="W39" s="5">
        <v>0</v>
      </c>
      <c r="X39" s="4" t="str">
        <f ca="1">VLOOKUP($Y39,OFFSET(enemy_skill_sets!$B$1,0,0,COUNTA(enemy_skill_sets!$B:$B),MATCH(M$1,enemy_skill_sets!$1:$1,0)-MATCH($Y$1,enemy_skill_sets!$1:$1,0)+2),MATCH(M$1,enemy_skill_sets!$1:$1,0)-MATCH($Y$1,enemy_skill_sets!$1:$1,0)+2,FALSE)</f>
        <v>全体攻撃+青パネルプロテクト</v>
      </c>
      <c r="Y39" s="117">
        <v>39011007</v>
      </c>
      <c r="Z39" s="6">
        <v>1</v>
      </c>
      <c r="AA39" s="6">
        <v>100</v>
      </c>
      <c r="AB39" s="6">
        <v>1</v>
      </c>
      <c r="AC39" s="116">
        <v>2</v>
      </c>
      <c r="AD39" s="24">
        <f t="shared" si="3"/>
        <v>173</v>
      </c>
      <c r="AE39" s="4" t="str">
        <f ca="1">VLOOKUP($AD39,OFFSET([4]characters!$A$1,0,0,COUNTA([4]characters!$A:$A),MATCH(AE$1,[4]characters!$1:$1,0)-MATCH("character_id",[4]characters!$1:$1,0)+1),MATCH(AE$1,[4]characters!$1:$1,0)-MATCH("character_id",[4]characters!$1:$1,0)+1,FALSE)</f>
        <v>公爵 フォルネウス</v>
      </c>
      <c r="AF39" s="4">
        <f ca="1">VLOOKUP($AD39,OFFSET([4]characters!$A$1,0,0,COUNTA([4]characters!$A:$A),MATCH(AF$1,[4]characters!$1:$1,0)-MATCH("character_id",[4]characters!$1:$1,0)+1),MATCH(AF$1,[4]characters!$1:$1,0)-MATCH("character_id",[4]characters!$1:$1,0)+1,FALSE)</f>
        <v>4</v>
      </c>
      <c r="AG39" s="4" t="str">
        <f ca="1">VLOOKUP($AD39,OFFSET([4]characters!$A$1,0,0,COUNTA([4]characters!$A:$A),MATCH(AG$1,[4]characters!$1:$1,0)-MATCH("character_id",[4]characters!$1:$1,0)+1),MATCH(AG$1,[4]characters!$1:$1,0)-MATCH("character_id",[4]characters!$1:$1,0)+1,FALSE)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39" s="7">
        <v>1</v>
      </c>
      <c r="AI39" s="24">
        <f t="shared" ca="1" si="4"/>
        <v>4</v>
      </c>
      <c r="AJ39" s="8">
        <v>0</v>
      </c>
      <c r="AK39" s="7">
        <v>0</v>
      </c>
      <c r="AL39" s="7">
        <v>0</v>
      </c>
      <c r="AM39" s="7">
        <v>0</v>
      </c>
      <c r="AN39" s="7">
        <v>0</v>
      </c>
      <c r="AO39" s="7">
        <v>1</v>
      </c>
      <c r="AP39" s="69">
        <v>1</v>
      </c>
    </row>
    <row r="40" spans="1:42" ht="21" customHeight="1" x14ac:dyDescent="0.15">
      <c r="A40" s="16" t="str">
        <f t="shared" si="0"/>
        <v>39011_4-3/364&lt;lv60&gt;s1</v>
      </c>
      <c r="B40" s="22">
        <v>39011</v>
      </c>
      <c r="C40" s="110">
        <v>4</v>
      </c>
      <c r="D40" s="2" t="str">
        <f t="shared" si="1"/>
        <v>39011_4</v>
      </c>
      <c r="E40" s="4" t="str">
        <f ca="1">VLOOKUP($B40,OFFSET([2]quests!$A$1,0,0,COUNTA([2]quests!$A:$A),MATCH(E$1,[2]quests!$1:$1,0)-MATCH($B$1,[2]quests!$1:$1,0)+1),MATCH(E$1,[2]quests!$1:$1,0)-MATCH($B$1,[2]quests!$1:$1,0)+1,FALSE)</f>
        <v>ブルースクウェアを追え！</v>
      </c>
      <c r="F40" s="4" t="str">
        <f ca="1">VLOOKUP($D40,OFFSET([2]stages!$A$1,0,0,COUNTA([2]stages!$A:$A),MATCH(F$1,[2]stages!$2:$2,0)-MATCH($D$1,[2]stages!$2:$2,0)+1),MATCH(F$1,[2]stages!$2:$2,0)-MATCH($D$1,[2]stages!$2:$2,0)+1,FALSE)</f>
        <v>【超級】ブルースクウェアを追え！</v>
      </c>
      <c r="G40" s="113">
        <v>3</v>
      </c>
      <c r="H40" s="15" t="str">
        <f t="shared" si="2"/>
        <v>39011_4-3</v>
      </c>
      <c r="I40" s="4">
        <f ca="1">VLOOKUP($H40,OFFSET(floors!$A$1,0,0,COUNTA(floors!$A:$A),MATCH(I$1,floors!$1:$1,0)-MATCH($H$1,floors!$1:$1,0)+1),MATCH(I$1,floors!$1:$1,0)-MATCH($H$1,floors!$1:$1,0)+1,FALSE)</f>
        <v>60</v>
      </c>
      <c r="J40" s="4">
        <f ca="1">VLOOKUP($H40,OFFSET(floors!$A$1,0,0,COUNTA(floors!$A:$A),MATCH(J$1,floors!$1:$1,0)-MATCH($H$1,floors!$1:$1,0)+1),MATCH(J$1,floors!$1:$1,0)-MATCH($H$1,floors!$1:$1,0)+1,FALSE)</f>
        <v>60</v>
      </c>
      <c r="K40" s="38" t="s">
        <v>53</v>
      </c>
      <c r="L40" s="115">
        <v>364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ノエル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Drop1S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animal</v>
      </c>
      <c r="Q40" s="17">
        <f ca="1">VLOOKUP($L40,OFFSET([3]enemies!$A$1,0,0,COUNTA([3]enemies!$A:$A),MATCH(Q$1,[3]enemies!$1:$1,0)-MATCH($L$1,[3]enemies!$1:$1,0)+1),MATCH(Q$1,[3]enemies!$1:$1,0)-MATCH($L$1,[3]enemies!$1:$1,0)+1,FALSE)</f>
        <v>15</v>
      </c>
      <c r="R40" s="5">
        <v>60</v>
      </c>
      <c r="S40" s="25">
        <v>2.4</v>
      </c>
      <c r="T40" s="101">
        <f ca="1">ROUND(VLOOKUP(R40,[3]enemy_base_stats!$A:$F,2,FALSE) *INDIRECT("[EnemyMasterData.xlsm]enemies!Y"&amp;(L40+1))*  INDIRECT("[EnemyMasterData.xlsm]enemies!J"&amp;(L40+1))* INDIRECT("[EnemyMasterData.xlsm]enemies!O"&amp;(L40+1))* INDIRECT("[EnemyMasterData.xlsm]enemies!E"&amp;(L40+1))* INDIRECT("[EnemyMasterData.xlsm]enemies!S"&amp;(L40+1))* INDIRECT("[EnemyMasterData.xlsm]enemies!AD"&amp;(L40+1))*[4]ステータス!$B$2,0)*S40</f>
        <v>29520</v>
      </c>
      <c r="U40" s="25">
        <v>0.6</v>
      </c>
      <c r="V40" s="101">
        <f ca="1">ROUND(VLOOKUP(R40,[3]enemy_base_stats!$A:$F,3,FALSE) *INDIRECT("[EnemyMasterData.xlsm]enemies!Z"&amp;(L40+1))*  INDIRECT("[EnemyMasterData.xlsm]enemies!K"&amp;(L40+1))* INDIRECT("[EnemyMasterData.xlsm]enemies!P"&amp;(L40+1))* INDIRECT("[EnemyMasterData.xlsm]enemies!F"&amp;(L40+1))* INDIRECT("[EnemyMasterData.xlsm]enemies!T"&amp;(L40+1))* INDIRECT("[EnemyMasterData.xlsm]enemies!AE"&amp;(L40+1))*[4]ステータス!$C$2,0)*U40</f>
        <v>3174.6</v>
      </c>
      <c r="W40" s="5">
        <v>0</v>
      </c>
      <c r="X40" s="4" t="str">
        <f ca="1">VLOOKUP($Y40,OFFSET(enemy_skill_sets!$B$1,0,0,COUNTA(enemy_skill_sets!$B:$B),MATCH(M$1,enemy_skill_sets!$1:$1,0)-MATCH($Y$1,enemy_skill_sets!$1:$1,0)+2),MATCH(M$1,enemy_skill_sets!$1:$1,0)-MATCH($Y$1,enemy_skill_sets!$1:$1,0)+2,FALSE)</f>
        <v>3ターンユニット全体のタップ回数を1DOWN</v>
      </c>
      <c r="Y40" s="117">
        <v>39011008</v>
      </c>
      <c r="Z40" s="6">
        <v>1</v>
      </c>
      <c r="AA40" s="6">
        <v>100</v>
      </c>
      <c r="AB40" s="6">
        <v>0</v>
      </c>
      <c r="AC40" s="116">
        <v>1</v>
      </c>
      <c r="AD40" s="24">
        <f t="shared" si="3"/>
        <v>364</v>
      </c>
      <c r="AE40" s="4" t="str">
        <f ca="1">VLOOKUP($AD40,OFFSET([4]characters!$A$1,0,0,COUNTA([4]characters!$A:$A),MATCH(AE$1,[4]characters!$1:$1,0)-MATCH("character_id",[4]characters!$1:$1,0)+1),MATCH(AE$1,[4]characters!$1:$1,0)-MATCH("character_id",[4]characters!$1:$1,0)+1,FALSE)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40" s="4">
        <f ca="1">VLOOKUP($AD40,OFFSET([4]characters!$A$1,0,0,COUNTA([4]characters!$A:$A),MATCH(AF$1,[4]characters!$1:$1,0)-MATCH("character_id",[4]characters!$1:$1,0)+1),MATCH(AF$1,[4]characters!$1:$1,0)-MATCH("character_id",[4]characters!$1:$1,0)+1,FALSE)</f>
        <v>2</v>
      </c>
      <c r="AG40" s="4" t="str">
        <f ca="1">VLOOKUP($AD40,OFFSET([4]characters!$A$1,0,0,COUNTA([4]characters!$A:$A),MATCH(AG$1,[4]characters!$1:$1,0)-MATCH("character_id",[4]characters!$1:$1,0)+1),MATCH(AG$1,[4]characters!$1:$1,0)-MATCH("character_id",[4]characters!$1:$1,0)+1,FALSE)</f>
        <v>Drop1S</v>
      </c>
      <c r="AH40" s="7">
        <v>1</v>
      </c>
      <c r="AI40" s="24">
        <f t="shared" ca="1" si="4"/>
        <v>2</v>
      </c>
      <c r="AJ40" s="8">
        <v>20</v>
      </c>
      <c r="AK40" s="7">
        <v>0</v>
      </c>
      <c r="AL40" s="7">
        <v>0</v>
      </c>
      <c r="AM40" s="7">
        <v>0</v>
      </c>
      <c r="AN40" s="7">
        <v>0</v>
      </c>
      <c r="AO40" s="7">
        <v>1</v>
      </c>
      <c r="AP40" s="69">
        <v>1</v>
      </c>
    </row>
    <row r="41" spans="1:42" ht="21" customHeight="1" x14ac:dyDescent="0.15">
      <c r="A41" s="16" t="str">
        <f t="shared" si="0"/>
        <v>39011_4-3/374&lt;lv60&gt;s1</v>
      </c>
      <c r="B41" s="22">
        <v>39011</v>
      </c>
      <c r="C41" s="110">
        <v>4</v>
      </c>
      <c r="D41" s="2" t="str">
        <f t="shared" si="1"/>
        <v>39011_4</v>
      </c>
      <c r="E41" s="4" t="str">
        <f ca="1">VLOOKUP($B41,OFFSET([2]quests!$A$1,0,0,COUNTA([2]quests!$A:$A),MATCH(E$1,[2]quests!$1:$1,0)-MATCH($B$1,[2]quests!$1:$1,0)+1),MATCH(E$1,[2]quests!$1:$1,0)-MATCH($B$1,[2]quests!$1:$1,0)+1,FALSE)</f>
        <v>ブルースクウェアを追え！</v>
      </c>
      <c r="F41" s="4" t="str">
        <f ca="1">VLOOKUP($D41,OFFSET([2]stages!$A$1,0,0,COUNTA([2]stages!$A:$A),MATCH(F$1,[2]stages!$2:$2,0)-MATCH($D$1,[2]stages!$2:$2,0)+1),MATCH(F$1,[2]stages!$2:$2,0)-MATCH($D$1,[2]stages!$2:$2,0)+1,FALSE)</f>
        <v>【超級】ブルースクウェアを追え！</v>
      </c>
      <c r="G41" s="113">
        <v>3</v>
      </c>
      <c r="H41" s="15" t="str">
        <f t="shared" si="2"/>
        <v>39011_4-3</v>
      </c>
      <c r="I41" s="4">
        <f ca="1">VLOOKUP($H41,OFFSET(floors!$A$1,0,0,COUNTA(floors!$A:$A),MATCH(I$1,floors!$1:$1,0)-MATCH($H$1,floors!$1:$1,0)+1),MATCH(I$1,floors!$1:$1,0)-MATCH($H$1,floors!$1:$1,0)+1,FALSE)</f>
        <v>60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38" t="s">
        <v>53</v>
      </c>
      <c r="L41" s="115">
        <v>374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影丸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blue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Drop1S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animal</v>
      </c>
      <c r="Q41" s="17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60</v>
      </c>
      <c r="S41" s="25">
        <v>2.7</v>
      </c>
      <c r="T41" s="101">
        <f ca="1">ROUND(VLOOKUP(R41,[3]enemy_base_stats!$A:$F,2,FALSE) *INDIRECT("[EnemyMasterData.xlsm]enemies!Y"&amp;(L41+1))*  INDIRECT("[EnemyMasterData.xlsm]enemies!J"&amp;(L41+1))* INDIRECT("[EnemyMasterData.xlsm]enemies!O"&amp;(L41+1))* INDIRECT("[EnemyMasterData.xlsm]enemies!E"&amp;(L41+1))* INDIRECT("[EnemyMasterData.xlsm]enemies!S"&amp;(L41+1))* INDIRECT("[EnemyMasterData.xlsm]enemies!AD"&amp;(L41+1))*[4]ステータス!$B$2,0)*S41</f>
        <v>29889.000000000004</v>
      </c>
      <c r="U41" s="25">
        <v>1.5</v>
      </c>
      <c r="V41" s="101">
        <f ca="1">ROUND(VLOOKUP(R41,[3]enemy_base_stats!$A:$F,3,FALSE) *INDIRECT("[EnemyMasterData.xlsm]enemies!Z"&amp;(L41+1))*  INDIRECT("[EnemyMasterData.xlsm]enemies!K"&amp;(L41+1))* INDIRECT("[EnemyMasterData.xlsm]enemies!P"&amp;(L41+1))* INDIRECT("[EnemyMasterData.xlsm]enemies!F"&amp;(L41+1))* INDIRECT("[EnemyMasterData.xlsm]enemies!T"&amp;(L41+1))* INDIRECT("[EnemyMasterData.xlsm]enemies!AE"&amp;(L41+1))*[4]ステータス!$C$2,0)*U41</f>
        <v>5370</v>
      </c>
      <c r="W41" s="5">
        <v>0</v>
      </c>
      <c r="X41" s="4" t="str">
        <f ca="1">VLOOKUP($Y41,OFFSET(enemy_skill_sets!$B$1,0,0,COUNTA(enemy_skill_sets!$B:$B),MATCH(M$1,enemy_skill_sets!$1:$1,0)-MATCH($Y$1,enemy_skill_sets!$1:$1,0)+2),MATCH(M$1,enemy_skill_sets!$1:$1,0)-MATCH($Y$1,enemy_skill_sets!$1:$1,0)+2,FALSE)</f>
        <v>ユニット全体に1ターン暗闇</v>
      </c>
      <c r="Y41" s="117">
        <v>39011009</v>
      </c>
      <c r="Z41" s="6">
        <v>1</v>
      </c>
      <c r="AA41" s="6">
        <v>100</v>
      </c>
      <c r="AB41" s="6">
        <v>0</v>
      </c>
      <c r="AC41" s="116">
        <v>1</v>
      </c>
      <c r="AD41" s="24">
        <f t="shared" si="3"/>
        <v>374</v>
      </c>
      <c r="AE41" s="4" t="str">
        <f ca="1">VLOOKUP($AD41,OFFSET([4]characters!$A$1,0,0,COUNTA([4]characters!$A:$A),MATCH(AE$1,[4]characters!$1:$1,0)-MATCH("character_id",[4]characters!$1:$1,0)+1),MATCH(AE$1,[4]characters!$1:$1,0)-MATCH("character_id",[4]characters!$1:$1,0)+1,FALSE)</f>
        <v>影丸</v>
      </c>
      <c r="AF41" s="4">
        <f ca="1">VLOOKUP($AD41,OFFSET([4]characters!$A$1,0,0,COUNTA([4]characters!$A:$A),MATCH(AF$1,[4]characters!$1:$1,0)-MATCH("character_id",[4]characters!$1:$1,0)+1),MATCH(AF$1,[4]characters!$1:$1,0)-MATCH("character_id",[4]characters!$1:$1,0)+1,FALSE)</f>
        <v>2</v>
      </c>
      <c r="AG41" s="4" t="str">
        <f ca="1">VLOOKUP($AD41,OFFSET([4]characters!$A$1,0,0,COUNTA([4]characters!$A:$A),MATCH(AG$1,[4]characters!$1:$1,0)-MATCH("character_id",[4]characters!$1:$1,0)+1),MATCH(AG$1,[4]characters!$1:$1,0)-MATCH("character_id",[4]characters!$1:$1,0)+1,FALSE)</f>
        <v>Drop1S</v>
      </c>
      <c r="AH41" s="7">
        <v>1</v>
      </c>
      <c r="AI41" s="24">
        <f t="shared" ca="1" si="4"/>
        <v>2</v>
      </c>
      <c r="AJ41" s="8">
        <v>20</v>
      </c>
      <c r="AK41" s="7">
        <v>0</v>
      </c>
      <c r="AL41" s="7">
        <v>0</v>
      </c>
      <c r="AM41" s="7">
        <v>0</v>
      </c>
      <c r="AN41" s="7">
        <v>0</v>
      </c>
      <c r="AO41" s="7">
        <v>1</v>
      </c>
      <c r="AP41" s="69">
        <v>1</v>
      </c>
    </row>
    <row r="42" spans="1:42" ht="21" customHeight="1" x14ac:dyDescent="0.15">
      <c r="A42" s="16" t="str">
        <f t="shared" si="0"/>
        <v>39011_4-4/691&lt;lv60&gt;s2</v>
      </c>
      <c r="B42" s="22">
        <v>39011</v>
      </c>
      <c r="C42" s="110">
        <v>4</v>
      </c>
      <c r="D42" s="2" t="str">
        <f t="shared" si="1"/>
        <v>39011_4</v>
      </c>
      <c r="E42" s="4" t="str">
        <f ca="1">VLOOKUP($B42,OFFSET([2]quests!$A$1,0,0,COUNTA([2]quests!$A:$A),MATCH(E$1,[2]quests!$1:$1,0)-MATCH($B$1,[2]quests!$1:$1,0)+1),MATCH(E$1,[2]quests!$1:$1,0)-MATCH($B$1,[2]quests!$1:$1,0)+1,FALSE)</f>
        <v>ブルースクウェアを追え！</v>
      </c>
      <c r="F42" s="4" t="str">
        <f ca="1">VLOOKUP($D42,OFFSET([2]stages!$A$1,0,0,COUNTA([2]stages!$A:$A),MATCH(F$1,[2]stages!$2:$2,0)-MATCH($D$1,[2]stages!$2:$2,0)+1),MATCH(F$1,[2]stages!$2:$2,0)-MATCH($D$1,[2]stages!$2:$2,0)+1,FALSE)</f>
        <v>【超級】ブルースクウェアを追え！</v>
      </c>
      <c r="G42" s="114">
        <v>4</v>
      </c>
      <c r="H42" s="15" t="str">
        <f t="shared" si="2"/>
        <v>39011_4-4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8">
        <v>4</v>
      </c>
      <c r="L42" s="115">
        <v>691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黒沼青葉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Drop2N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human</v>
      </c>
      <c r="Q42" s="17">
        <f ca="1">VLOOKUP($L42,OFFSET([3]enemies!$A$1,0,0,COUNTA([3]enemies!$A:$A),MATCH(Q$1,[3]enemies!$1:$1,0)-MATCH($L$1,[3]enemies!$1:$1,0)+1),MATCH(Q$1,[3]enemies!$1:$1,0)-MATCH($L$1,[3]enemies!$1:$1,0)+1,FALSE)</f>
        <v>30</v>
      </c>
      <c r="R42" s="5">
        <v>60</v>
      </c>
      <c r="S42" s="25">
        <v>1.8</v>
      </c>
      <c r="T42" s="101">
        <f ca="1">ROUND(VLOOKUP(R42,[3]enemy_base_stats!$A:$F,2,FALSE) *INDIRECT("[EnemyMasterData.xlsm]enemies!Y"&amp;(L42+1))*  INDIRECT("[EnemyMasterData.xlsm]enemies!J"&amp;(L42+1))* INDIRECT("[EnemyMasterData.xlsm]enemies!O"&amp;(L42+1))* INDIRECT("[EnemyMasterData.xlsm]enemies!E"&amp;(L42+1))* INDIRECT("[EnemyMasterData.xlsm]enemies!S"&amp;(L42+1))* INDIRECT("[EnemyMasterData.xlsm]enemies!AD"&amp;(L42+1))*[4]ステータス!$B$2,0)*S42</f>
        <v>135275.4</v>
      </c>
      <c r="U42" s="25">
        <v>1</v>
      </c>
      <c r="V42" s="101">
        <f ca="1">ROUND(VLOOKUP(R42,[3]enemy_base_stats!$A:$F,3,FALSE) *INDIRECT("[EnemyMasterData.xlsm]enemies!Z"&amp;(L42+1))*  INDIRECT("[EnemyMasterData.xlsm]enemies!K"&amp;(L42+1))* INDIRECT("[EnemyMasterData.xlsm]enemies!P"&amp;(L42+1))* INDIRECT("[EnemyMasterData.xlsm]enemies!F"&amp;(L42+1))* INDIRECT("[EnemyMasterData.xlsm]enemies!T"&amp;(L42+1))* INDIRECT("[EnemyMasterData.xlsm]enemies!AE"&amp;(L42+1))*[4]ステータス!$C$2,0)*U42</f>
        <v>6050</v>
      </c>
      <c r="W42" s="5">
        <v>0</v>
      </c>
      <c r="X42" s="4" t="str">
        <f ca="1">VLOOKUP($Y42,OFFSET(enemy_skill_sets!$B$1,0,0,COUNTA(enemy_skill_sets!$B:$B),MATCH(M$1,enemy_skill_sets!$1:$1,0)-MATCH($Y$1,enemy_skill_sets!$1:$1,0)+2),MATCH(M$1,enemy_skill_sets!$1:$1,0)-MATCH($Y$1,enemy_skill_sets!$1:$1,0)+2,FALSE)</f>
        <v>青パネルドロップ率UP</v>
      </c>
      <c r="Y42" s="117">
        <v>39011010</v>
      </c>
      <c r="Z42" s="6">
        <v>1</v>
      </c>
      <c r="AA42" s="6">
        <v>100</v>
      </c>
      <c r="AB42" s="6">
        <v>1</v>
      </c>
      <c r="AC42" s="116">
        <v>2</v>
      </c>
      <c r="AD42" s="24">
        <f t="shared" si="3"/>
        <v>691</v>
      </c>
      <c r="AE42" s="4" t="str">
        <f ca="1">VLOOKUP($AD42,OFFSET([4]characters!$A$1,0,0,COUNTA([4]characters!$A:$A),MATCH(AE$1,[4]characters!$1:$1,0)-MATCH("character_id",[4]characters!$1:$1,0)+1),MATCH(AE$1,[4]characters!$1:$1,0)-MATCH("character_id",[4]characters!$1:$1,0)+1,FALSE)</f>
        <v>黒沼青葉</v>
      </c>
      <c r="AF42" s="4">
        <f ca="1">VLOOKUP($AD42,OFFSET([4]characters!$A$1,0,0,COUNTA([4]characters!$A:$A),MATCH(AF$1,[4]characters!$1:$1,0)-MATCH("character_id",[4]characters!$1:$1,0)+1),MATCH(AF$1,[4]characters!$1:$1,0)-MATCH("character_id",[4]characters!$1:$1,0)+1,FALSE)</f>
        <v>4</v>
      </c>
      <c r="AG42" s="4" t="str">
        <f ca="1">VLOOKUP($AD42,OFFSET([4]characters!$A$1,0,0,COUNTA([4]characters!$A:$A),MATCH(AG$1,[4]characters!$1:$1,0)-MATCH("character_id",[4]characters!$1:$1,0)+1),MATCH(AG$1,[4]characters!$1:$1,0)-MATCH("character_id",[4]characters!$1:$1,0)+1,FALSE)</f>
        <v>Drop2N</v>
      </c>
      <c r="AH42" s="7">
        <v>1</v>
      </c>
      <c r="AI42" s="24">
        <f t="shared" ca="1" si="4"/>
        <v>4</v>
      </c>
      <c r="AJ42" s="8">
        <v>80</v>
      </c>
      <c r="AK42" s="7">
        <v>0</v>
      </c>
      <c r="AL42" s="7">
        <v>0</v>
      </c>
      <c r="AM42" s="7">
        <v>0</v>
      </c>
      <c r="AN42" s="7">
        <v>0</v>
      </c>
      <c r="AO42" s="7">
        <v>1</v>
      </c>
      <c r="AP42" s="69">
        <v>1</v>
      </c>
    </row>
    <row r="43" spans="1:42" ht="21" customHeight="1" x14ac:dyDescent="0.15">
      <c r="A43" s="16" t="str">
        <f t="shared" si="0"/>
        <v>39011_4-4/71&lt;lv60&gt;s1</v>
      </c>
      <c r="B43" s="22">
        <v>39011</v>
      </c>
      <c r="C43" s="110">
        <v>4</v>
      </c>
      <c r="D43" s="2" t="str">
        <f t="shared" si="1"/>
        <v>39011_4</v>
      </c>
      <c r="E43" s="4" t="str">
        <f ca="1">VLOOKUP($B43,OFFSET([2]quests!$A$1,0,0,COUNTA([2]quests!$A:$A),MATCH(E$1,[2]quests!$1:$1,0)-MATCH($B$1,[2]quests!$1:$1,0)+1),MATCH(E$1,[2]quests!$1:$1,0)-MATCH($B$1,[2]quests!$1:$1,0)+1,FALSE)</f>
        <v>ブルースクウェアを追え！</v>
      </c>
      <c r="F43" s="4" t="str">
        <f ca="1">VLOOKUP($D43,OFFSET([2]stages!$A$1,0,0,COUNTA([2]stages!$A:$A),MATCH(F$1,[2]stages!$2:$2,0)-MATCH($D$1,[2]stages!$2:$2,0)+1),MATCH(F$1,[2]stages!$2:$2,0)-MATCH($D$1,[2]stages!$2:$2,0)+1,FALSE)</f>
        <v>【超級】ブルースクウェアを追え！</v>
      </c>
      <c r="G43" s="114">
        <v>4</v>
      </c>
      <c r="H43" s="15" t="str">
        <f t="shared" si="2"/>
        <v>39011_4-4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8" t="s">
        <v>53</v>
      </c>
      <c r="L43" s="115">
        <v>71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ダックス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blue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Drop1S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animal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60</v>
      </c>
      <c r="S43" s="25">
        <v>2.4</v>
      </c>
      <c r="T43" s="101">
        <f ca="1">ROUND(VLOOKUP(R43,[3]enemy_base_stats!$A:$F,2,FALSE) *INDIRECT("[EnemyMasterData.xlsm]enemies!Y"&amp;(L43+1))*  INDIRECT("[EnemyMasterData.xlsm]enemies!J"&amp;(L43+1))* INDIRECT("[EnemyMasterData.xlsm]enemies!O"&amp;(L43+1))* INDIRECT("[EnemyMasterData.xlsm]enemies!E"&amp;(L43+1))* INDIRECT("[EnemyMasterData.xlsm]enemies!S"&amp;(L43+1))* INDIRECT("[EnemyMasterData.xlsm]enemies!AD"&amp;(L43+1))*[4]ステータス!$B$2,0)*S43</f>
        <v>29520</v>
      </c>
      <c r="U43" s="25">
        <v>1</v>
      </c>
      <c r="V43" s="101">
        <f ca="1">ROUND(VLOOKUP(R43,[3]enemy_base_stats!$A:$F,3,FALSE) *INDIRECT("[EnemyMasterData.xlsm]enemies!Z"&amp;(L43+1))*  INDIRECT("[EnemyMasterData.xlsm]enemies!K"&amp;(L43+1))* INDIRECT("[EnemyMasterData.xlsm]enemies!P"&amp;(L43+1))* INDIRECT("[EnemyMasterData.xlsm]enemies!F"&amp;(L43+1))* INDIRECT("[EnemyMasterData.xlsm]enemies!T"&amp;(L43+1))* INDIRECT("[EnemyMasterData.xlsm]enemies!AE"&amp;(L43+1))*[4]ステータス!$C$2,0)*U43</f>
        <v>3978</v>
      </c>
      <c r="W43" s="5">
        <v>0</v>
      </c>
      <c r="X43" s="4" t="str">
        <f ca="1">VLOOKUP($Y43,OFFSET(enemy_skill_sets!$B$1,0,0,COUNTA(enemy_skill_sets!$B:$B),MATCH(M$1,enemy_skill_sets!$1:$1,0)-MATCH($Y$1,enemy_skill_sets!$1:$1,0)+2),MATCH(M$1,enemy_skill_sets!$1:$1,0)-MATCH($Y$1,enemy_skill_sets!$1:$1,0)+2,FALSE)</f>
        <v>種族マシンのユニットに大ダメージの単体攻撃</v>
      </c>
      <c r="Y43" s="117">
        <v>39011012</v>
      </c>
      <c r="Z43" s="6">
        <v>2</v>
      </c>
      <c r="AA43" s="6">
        <v>100</v>
      </c>
      <c r="AB43" s="6">
        <v>0</v>
      </c>
      <c r="AC43" s="116">
        <v>1</v>
      </c>
      <c r="AD43" s="24">
        <f t="shared" si="3"/>
        <v>71</v>
      </c>
      <c r="AE43" s="4" t="str">
        <f ca="1">VLOOKUP($AD43,OFFSET([4]characters!$A$1,0,0,COUNTA([4]characters!$A:$A),MATCH(AE$1,[4]characters!$1:$1,0)-MATCH("character_id",[4]characters!$1:$1,0)+1),MATCH(AE$1,[4]characters!$1:$1,0)-MATCH("character_id",[4]characters!$1:$1,0)+1,FALSE)</f>
        <v>ダックス</v>
      </c>
      <c r="AF43" s="4">
        <f ca="1">VLOOKUP($AD43,OFFSET([4]characters!$A$1,0,0,COUNTA([4]characters!$A:$A),MATCH(AF$1,[4]characters!$1:$1,0)-MATCH("character_id",[4]characters!$1:$1,0)+1),MATCH(AF$1,[4]characters!$1:$1,0)-MATCH("character_id",[4]characters!$1:$1,0)+1,FALSE)</f>
        <v>2</v>
      </c>
      <c r="AG43" s="4" t="str">
        <f ca="1">VLOOKUP($AD43,OFFSET([4]characters!$A$1,0,0,COUNTA([4]characters!$A:$A),MATCH(AG$1,[4]characters!$1:$1,0)-MATCH("character_id",[4]characters!$1:$1,0)+1),MATCH(AG$1,[4]characters!$1:$1,0)-MATCH("character_id",[4]characters!$1:$1,0)+1,FALSE)</f>
        <v>Drop1S</v>
      </c>
      <c r="AH43" s="7">
        <v>1</v>
      </c>
      <c r="AI43" s="24">
        <f t="shared" ca="1" si="4"/>
        <v>2</v>
      </c>
      <c r="AJ43" s="8">
        <v>0</v>
      </c>
      <c r="AK43" s="7">
        <v>0</v>
      </c>
      <c r="AL43" s="7">
        <v>0</v>
      </c>
      <c r="AM43" s="7">
        <v>0</v>
      </c>
      <c r="AN43" s="7">
        <v>0</v>
      </c>
      <c r="AO43" s="7">
        <v>1</v>
      </c>
      <c r="AP43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Y2" sqref="Y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247</v>
      </c>
      <c r="V1" s="26" t="s">
        <v>50</v>
      </c>
      <c r="W1" s="100" t="s">
        <v>248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39011_1-4/691&lt;lv10&gt;sq1st2</v>
      </c>
      <c r="B2" s="22">
        <v>39011</v>
      </c>
      <c r="C2" s="21">
        <v>1</v>
      </c>
      <c r="D2" s="2" t="str">
        <f>B2&amp;"_"&amp;C2</f>
        <v>39011_1</v>
      </c>
      <c r="E2" s="4" t="str">
        <f ca="1">VLOOKUP($B2,OFFSET([2]quests!$A$1,0,0,COUNTA([2]quests!$A:$A),MATCH(E$1,[2]quests!$1:$1,0)-MATCH($B$1,[2]quests!$1:$1,0)+1),MATCH(E$1,[2]quests!$1:$1,0)-MATCH($B$1,[2]quests!$1:$1,0)+1,FALSE)</f>
        <v>ブルースクウェアを追え！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【初級】ブルースクウェアを追え！</v>
      </c>
      <c r="G2" s="21">
        <v>4</v>
      </c>
      <c r="H2" s="15" t="str">
        <f>B2&amp;"_"&amp;C2&amp;"-"&amp;G2</f>
        <v>39011_1-4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691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黒沼青葉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10</v>
      </c>
      <c r="T2" s="118">
        <v>2.4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33727.199999999997</v>
      </c>
      <c r="V2" s="25">
        <v>1.2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1357.2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青パネル無効</v>
      </c>
      <c r="Z2" s="119">
        <v>39011011</v>
      </c>
      <c r="AA2" s="120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39011_2-4/691&lt;lv30&gt;sq2st2</v>
      </c>
      <c r="B3" s="22">
        <v>39011</v>
      </c>
      <c r="C3" s="21">
        <v>2</v>
      </c>
      <c r="D3" s="2" t="str">
        <f>B3&amp;"_"&amp;C3</f>
        <v>39011_2</v>
      </c>
      <c r="E3" s="4" t="str">
        <f ca="1">VLOOKUP($B3,OFFSET([2]quests!$A$1,0,0,COUNTA([2]quests!$A:$A),MATCH(E$1,[2]quests!$1:$1,0)-MATCH($B$1,[2]quests!$1:$1,0)+1),MATCH(E$1,[2]quests!$1:$1,0)-MATCH($B$1,[2]quests!$1:$1,0)+1,FALSE)</f>
        <v>ブルースクウェアを追え！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【中級】ブルースクウェアを追え！</v>
      </c>
      <c r="G3" s="21">
        <v>4</v>
      </c>
      <c r="H3" s="15" t="str">
        <f>B3&amp;"_"&amp;C3&amp;"-"&amp;G3</f>
        <v>39011_2-4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2</v>
      </c>
      <c r="L3" s="38">
        <v>2</v>
      </c>
      <c r="M3" s="20">
        <v>691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黒沼青葉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30</v>
      </c>
      <c r="T3" s="118">
        <v>2.4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92383.2</v>
      </c>
      <c r="V3" s="25">
        <v>1.2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3718.7999999999997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青パネル無効</v>
      </c>
      <c r="Z3" s="119">
        <v>39011011</v>
      </c>
      <c r="AA3" s="120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39011_3-4/691&lt;lv40&gt;sq3st2</v>
      </c>
      <c r="B4" s="22">
        <v>39011</v>
      </c>
      <c r="C4" s="21">
        <v>3</v>
      </c>
      <c r="D4" s="2" t="str">
        <f>B4&amp;"_"&amp;C4</f>
        <v>39011_3</v>
      </c>
      <c r="E4" s="4" t="str">
        <f ca="1">VLOOKUP($B4,OFFSET([2]quests!$A$1,0,0,COUNTA([2]quests!$A:$A),MATCH(E$1,[2]quests!$1:$1,0)-MATCH($B$1,[2]quests!$1:$1,0)+1),MATCH(E$1,[2]quests!$1:$1,0)-MATCH($B$1,[2]quests!$1:$1,0)+1,FALSE)</f>
        <v>ブルースクウェアを追え！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【上級】ブルースクウェアを追え！</v>
      </c>
      <c r="G4" s="21">
        <v>4</v>
      </c>
      <c r="H4" s="15" t="str">
        <f>B4&amp;"_"&amp;C4&amp;"-"&amp;G4</f>
        <v>39011_3-4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691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黒沼青葉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40</v>
      </c>
      <c r="T4" s="118">
        <v>2.4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121711.2</v>
      </c>
      <c r="V4" s="25">
        <v>1.2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4899.5999999999995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青パネル無効</v>
      </c>
      <c r="Z4" s="119">
        <v>39011011</v>
      </c>
      <c r="AA4" s="120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39011_4-4/691&lt;lv60&gt;sq4st2</v>
      </c>
      <c r="B5" s="22">
        <v>39011</v>
      </c>
      <c r="C5" s="21">
        <v>4</v>
      </c>
      <c r="D5" s="2" t="str">
        <f>B5&amp;"_"&amp;C5</f>
        <v>39011_4</v>
      </c>
      <c r="E5" s="4" t="str">
        <f ca="1">VLOOKUP($B5,OFFSET([2]quests!$A$1,0,0,COUNTA([2]quests!$A:$A),MATCH(E$1,[2]quests!$1:$1,0)-MATCH($B$1,[2]quests!$1:$1,0)+1),MATCH(E$1,[2]quests!$1:$1,0)-MATCH($B$1,[2]quests!$1:$1,0)+1,FALSE)</f>
        <v>ブルースクウェアを追え！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【超級】ブルースクウェアを追え！</v>
      </c>
      <c r="G5" s="21">
        <v>4</v>
      </c>
      <c r="H5" s="15" t="str">
        <f>B5&amp;"_"&amp;C5&amp;"-"&amp;G5</f>
        <v>39011_4-4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691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黒沼青葉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60</v>
      </c>
      <c r="T5" s="118">
        <v>2.4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180367.19999999998</v>
      </c>
      <c r="V5" s="25">
        <v>1.2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7260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青パネル無効</v>
      </c>
      <c r="Z5" s="119">
        <v>39011011</v>
      </c>
      <c r="AA5" s="12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75" zoomScaleNormal="75" zoomScalePageLayoutView="75" workbookViewId="0">
      <pane ySplit="1" topLeftCell="A2" activePane="bottomLeft" state="frozenSplit"/>
      <selection pane="bottomLeft" activeCell="E27" sqref="E2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39011001</v>
      </c>
      <c r="B2" s="103" t="s">
        <v>249</v>
      </c>
      <c r="C2" s="50">
        <v>3</v>
      </c>
      <c r="D2" s="50" t="s">
        <v>126</v>
      </c>
      <c r="E2" s="51" t="s">
        <v>250</v>
      </c>
      <c r="F2" s="51" t="s">
        <v>299</v>
      </c>
      <c r="G2" s="63" t="str">
        <f t="shared" ref="G2:G29" si="0">IFERROR(LEFT(B2,FIND("],",B2)),B2)</f>
        <v>[effect:heal, target:enemy_all, val:0.2, animation:enemy_heal]</v>
      </c>
      <c r="H2" s="63">
        <f t="shared" ref="H2:H29" si="1">FIND("effect:",G2)+7</f>
        <v>9</v>
      </c>
      <c r="I2" s="63">
        <f t="shared" ref="I2:I29" si="2">IFERROR(FIND(",",G2),LEN(G2))</f>
        <v>13</v>
      </c>
      <c r="J2" s="63">
        <f t="shared" ref="J2:J29" si="3">FIND("target:",G2)+7</f>
        <v>22</v>
      </c>
      <c r="K2" s="63">
        <f t="shared" ref="K2:K29" si="4">FIND(",",G2,I2+1)</f>
        <v>31</v>
      </c>
      <c r="L2" s="63" t="str">
        <f>IFERROR(VLOOKUP(MID(G2,J2,K2-J2),[5]skilldef!$C:$D,2,FALSE),"-") &amp; " / " &amp; IFERROR(VLOOKUP(MID(G2,H2,I2-H2),[5]skilldef!$A:$B,2,FALSE),"-")</f>
        <v>敵全体に / 回復</v>
      </c>
      <c r="M2" s="63" t="str">
        <f t="shared" ref="M2:M29" si="5">IFERROR(RIGHT(B2,LEN(B2)-FIND("],",B2)-1),"none")</f>
        <v>none</v>
      </c>
      <c r="N2" s="48" t="str">
        <f>IFERROR(LEFT(M2,FIND("],",M2)+S15),M2)</f>
        <v>none</v>
      </c>
      <c r="O2" s="63" t="e">
        <f t="shared" ref="O2:O29" si="6">FIND("effect:",N2)+7</f>
        <v>#VALUE!</v>
      </c>
      <c r="P2" s="63">
        <f t="shared" ref="P2:P29" si="7">IFERROR(FIND(",",N2),LEN(N2))</f>
        <v>4</v>
      </c>
      <c r="Q2" s="63" t="e">
        <f t="shared" ref="Q2:Q29" si="8">FIND("target:",N2)+7</f>
        <v>#VALUE!</v>
      </c>
      <c r="R2" s="63" t="e">
        <f t="shared" ref="R2:R29" si="9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29" si="10">IFERROR(RIGHT(M2,LEN(M2)-FIND("],",M2)-1),"none")</f>
        <v>none</v>
      </c>
      <c r="U2" s="63" t="e">
        <f t="shared" ref="U2:U29" si="11">FIND("effect:",T2)+7</f>
        <v>#VALUE!</v>
      </c>
      <c r="V2" s="63">
        <f t="shared" ref="V2:V29" si="12">IFERROR(FIND(",",T2),LEN(T2))</f>
        <v>4</v>
      </c>
      <c r="W2" s="63" t="e">
        <f t="shared" ref="W2:W29" si="13">FIND("target:",T2)+7</f>
        <v>#VALUE!</v>
      </c>
      <c r="X2" s="63" t="e">
        <f t="shared" ref="X2:X29" si="14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39011002</v>
      </c>
      <c r="B3" s="103" t="s">
        <v>251</v>
      </c>
      <c r="C3" s="50">
        <v>3</v>
      </c>
      <c r="D3" s="50" t="s">
        <v>126</v>
      </c>
      <c r="E3" s="51" t="s">
        <v>252</v>
      </c>
      <c r="F3" s="51" t="s">
        <v>316</v>
      </c>
      <c r="G3" s="63" t="str">
        <f t="shared" si="0"/>
        <v>[effect:freq_turn, target:enemy_all, turn:3, val:1, animation:enemy_freq_turn]</v>
      </c>
      <c r="H3" s="63">
        <f t="shared" si="1"/>
        <v>9</v>
      </c>
      <c r="I3" s="63">
        <f t="shared" si="2"/>
        <v>18</v>
      </c>
      <c r="J3" s="63">
        <f t="shared" si="3"/>
        <v>27</v>
      </c>
      <c r="K3" s="63">
        <f t="shared" si="4"/>
        <v>36</v>
      </c>
      <c r="L3" s="63" t="str">
        <f>IFERROR(VLOOKUP(MID(G3,J3,K3-J3),[5]skilldef!$C:$D,2,FALSE),"-") &amp; " / " &amp; IFERROR(VLOOKUP(MID(G3,H3,I3-H3),[5]skilldef!$A:$B,2,FALSE),"-")</f>
        <v>敵全体に / 攻撃頻度がUP</v>
      </c>
      <c r="M3" s="63" t="str">
        <f t="shared" si="5"/>
        <v>none</v>
      </c>
      <c r="N3" s="48" t="str">
        <f>IFERROR(LEFT(M3,FIND("],",M3)+S16),M3)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39011003</v>
      </c>
      <c r="B4" s="103" t="s">
        <v>253</v>
      </c>
      <c r="C4" s="50">
        <v>3</v>
      </c>
      <c r="D4" s="50" t="s">
        <v>126</v>
      </c>
      <c r="E4" s="51" t="s">
        <v>254</v>
      </c>
      <c r="F4" s="51" t="s">
        <v>259</v>
      </c>
      <c r="G4" s="63" t="str">
        <f t="shared" si="0"/>
        <v>[effect:spread, val:0.3]</v>
      </c>
      <c r="H4" s="63">
        <f t="shared" si="1"/>
        <v>9</v>
      </c>
      <c r="I4" s="63">
        <f t="shared" si="2"/>
        <v>15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IFERROR(VLOOKUP(MID(G4,J4,K4-J4),[5]skilldef!$C:$D,2,FALSE),"-") &amp; " / " &amp; IFERROR(VLOOKUP(MID(G4,H4,I4-H4),[5]skilldef!$A:$B,2,FALSE),"-")</f>
        <v>- / 全体攻撃</v>
      </c>
      <c r="M4" s="63" t="str">
        <f t="shared" si="5"/>
        <v>none</v>
      </c>
      <c r="N4" s="48" t="str">
        <f>IFERROR(LEFT(M4,FIND("],",M4)+S17),M4)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39011004</v>
      </c>
      <c r="B5" s="103" t="s">
        <v>255</v>
      </c>
      <c r="C5" s="50">
        <v>3</v>
      </c>
      <c r="D5" s="50" t="s">
        <v>126</v>
      </c>
      <c r="E5" s="51" t="s">
        <v>256</v>
      </c>
      <c r="F5" s="51" t="s">
        <v>299</v>
      </c>
      <c r="G5" s="63" t="str">
        <f t="shared" si="0"/>
        <v>[effect:heal, target:enemy_all, val:0.4, animation:enemy_heal]</v>
      </c>
      <c r="H5" s="63">
        <f t="shared" si="1"/>
        <v>9</v>
      </c>
      <c r="I5" s="63">
        <f t="shared" si="2"/>
        <v>13</v>
      </c>
      <c r="J5" s="63">
        <f t="shared" si="3"/>
        <v>22</v>
      </c>
      <c r="K5" s="63">
        <f t="shared" si="4"/>
        <v>31</v>
      </c>
      <c r="L5" s="63" t="str">
        <f>IFERROR(VLOOKUP(MID(G5,J5,K5-J5),[5]skilldef!$C:$D,2,FALSE),"-") &amp; " / " &amp; IFERROR(VLOOKUP(MID(G5,H5,I5-H5),[5]skilldef!$A:$B,2,FALSE),"-")</f>
        <v>敵全体に / 回復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39011005</v>
      </c>
      <c r="B6" s="47" t="s">
        <v>257</v>
      </c>
      <c r="C6" s="50">
        <v>3</v>
      </c>
      <c r="D6" s="50" t="s">
        <v>126</v>
      </c>
      <c r="E6" s="51" t="s">
        <v>258</v>
      </c>
      <c r="F6" s="51" t="s">
        <v>259</v>
      </c>
      <c r="G6" s="63" t="str">
        <f t="shared" si="0"/>
        <v>[effect:spread, val:0.36]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IFERROR(VLOOKUP(MID(G6,J6,K6-J6),[5]skilldef!$C:$D,2,FALSE),"-") &amp; " / " &amp; IFERROR(VLOOKUP(MID(G6,H6,I6-H6),[5]skilldef!$A:$B,2,FALSE),"-")</f>
        <v>- / 全体攻撃</v>
      </c>
      <c r="M6" s="63" t="str">
        <f t="shared" si="5"/>
        <v>none</v>
      </c>
      <c r="N6" s="48" t="str">
        <f>IFERROR(LEFT(M6,FIND("],",M6)+#REF!),M6)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39011006</v>
      </c>
      <c r="B7" s="47" t="s">
        <v>260</v>
      </c>
      <c r="C7" s="50">
        <v>3</v>
      </c>
      <c r="D7" s="50" t="s">
        <v>126</v>
      </c>
      <c r="E7" s="51" t="s">
        <v>261</v>
      </c>
      <c r="F7" s="51" t="s">
        <v>302</v>
      </c>
      <c r="G7" s="63" t="str">
        <f t="shared" si="0"/>
        <v>[effect:enhance_enemy, target:enemy_all, turn:3, status:attack, val:0.2, animation:enemy_enhance_attack]</v>
      </c>
      <c r="H7" s="63">
        <f t="shared" si="1"/>
        <v>9</v>
      </c>
      <c r="I7" s="63">
        <f t="shared" si="2"/>
        <v>22</v>
      </c>
      <c r="J7" s="63">
        <f t="shared" si="3"/>
        <v>31</v>
      </c>
      <c r="K7" s="63">
        <f t="shared" si="4"/>
        <v>40</v>
      </c>
      <c r="L7" s="63" t="str">
        <f>IFERROR(VLOOKUP(MID(G7,J7,K7-J7),[5]skilldef!$C:$D,2,FALSE),"-") &amp; " / " &amp; IFERROR(VLOOKUP(MID(G7,H7,I7-H7),[5]skilldef!$A:$B,2,FALSE),"-")</f>
        <v>敵全体に / ステータス強化</v>
      </c>
      <c r="M7" s="63" t="str">
        <f t="shared" si="5"/>
        <v>none</v>
      </c>
      <c r="N7" s="48" t="str">
        <f>IFERROR(LEFT(M7,FIND("],",M7)+S20),M7)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39011007</v>
      </c>
      <c r="B8" s="47" t="s">
        <v>300</v>
      </c>
      <c r="C8" s="50">
        <v>3</v>
      </c>
      <c r="D8" s="50" t="s">
        <v>126</v>
      </c>
      <c r="E8" s="51" t="s">
        <v>262</v>
      </c>
      <c r="F8" s="51" t="s">
        <v>301</v>
      </c>
      <c r="G8" s="63" t="str">
        <f t="shared" si="0"/>
        <v>[effect:critical, val:1.3, animation:enemy_critical]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>
        <f t="shared" si="4"/>
        <v>26</v>
      </c>
      <c r="L8" s="63" t="str">
        <f>IFERROR(VLOOKUP(MID(G8,J8,K8-J8),[5]skilldef!$C:$D,2,FALSE),"-") &amp; " / " &amp; IFERROR(VLOOKUP(MID(G8,H8,I8-H8),[5]skilldef!$A:$B,2,FALSE),"-")</f>
        <v>- / 大攻撃</v>
      </c>
      <c r="M8" s="63" t="str">
        <f t="shared" si="5"/>
        <v>none</v>
      </c>
      <c r="N8" s="48" t="str">
        <f>IFERROR(LEFT(M8,FIND("],",M8)+S18),M8)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39011008</v>
      </c>
      <c r="B9" s="47" t="s">
        <v>253</v>
      </c>
      <c r="C9" s="50">
        <v>3</v>
      </c>
      <c r="D9" s="50" t="s">
        <v>126</v>
      </c>
      <c r="E9" s="51" t="s">
        <v>263</v>
      </c>
      <c r="F9" s="51" t="s">
        <v>264</v>
      </c>
      <c r="G9" s="63" t="str">
        <f t="shared" si="0"/>
        <v>[effect:spread, val:0.3]</v>
      </c>
      <c r="H9" s="63">
        <f t="shared" si="1"/>
        <v>9</v>
      </c>
      <c r="I9" s="63">
        <f t="shared" si="2"/>
        <v>15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IFERROR(VLOOKUP(MID(G9,J9,K9-J9),[5]skilldef!$C:$D,2,FALSE),"-") &amp; " / " &amp; IFERROR(VLOOKUP(MID(G9,H9,I9-H9),[5]skilldef!$A:$B,2,FALSE),"-")</f>
        <v>- / 全体攻撃</v>
      </c>
      <c r="M9" s="63" t="str">
        <f t="shared" si="5"/>
        <v>none</v>
      </c>
      <c r="N9" s="48" t="str">
        <f>IFERROR(LEFT(M9,FIND("],",M9)+S17),M9)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39011009</v>
      </c>
      <c r="B10" s="47" t="s">
        <v>265</v>
      </c>
      <c r="C10" s="50">
        <v>3</v>
      </c>
      <c r="D10" s="50" t="s">
        <v>126</v>
      </c>
      <c r="E10" s="51" t="s">
        <v>266</v>
      </c>
      <c r="F10" s="51" t="s">
        <v>303</v>
      </c>
      <c r="G10" s="63" t="str">
        <f t="shared" si="0"/>
        <v>[effect:break_attack, val:0.06, lowest_val:0.2, count:-1, block:crash, target:unit_all]</v>
      </c>
      <c r="H10" s="63">
        <f t="shared" si="1"/>
        <v>9</v>
      </c>
      <c r="I10" s="63">
        <f t="shared" si="2"/>
        <v>21</v>
      </c>
      <c r="J10" s="63">
        <f t="shared" si="3"/>
        <v>79</v>
      </c>
      <c r="K10" s="63">
        <f t="shared" si="4"/>
        <v>31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si="5"/>
        <v>none</v>
      </c>
      <c r="N10" s="48" t="str">
        <f>IFERROR(LEFT(M10,FIND("],",M10)+S18),M10)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39011010</v>
      </c>
      <c r="B11" s="47" t="s">
        <v>317</v>
      </c>
      <c r="C11" s="50">
        <v>3</v>
      </c>
      <c r="D11" s="50" t="s">
        <v>126</v>
      </c>
      <c r="E11" s="51" t="s">
        <v>267</v>
      </c>
      <c r="F11" s="51" t="s">
        <v>304</v>
      </c>
      <c r="G11" s="63" t="str">
        <f t="shared" si="0"/>
        <v>[effect:enemy_message, val1:1, val2:2.2]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30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[effect:rush, count:2, val:0.5],[effect:hungup, target:unit_one, turn:2, rate:1, animation:hungup01]</v>
      </c>
      <c r="N11" s="48" t="str">
        <f>IFERROR(LEFT(M11,FIND("],",M11)+S20),M11)</f>
        <v>[effect:rush, count:2, val:0.5],[effect:hungup, target:unit_one, turn:2, rate:1, animation:hungup01]</v>
      </c>
      <c r="O11" s="63">
        <f t="shared" si="6"/>
        <v>9</v>
      </c>
      <c r="P11" s="63">
        <f t="shared" si="7"/>
        <v>13</v>
      </c>
      <c r="Q11" s="63">
        <f t="shared" si="8"/>
        <v>56</v>
      </c>
      <c r="R11" s="63">
        <f t="shared" si="9"/>
        <v>22</v>
      </c>
      <c r="S11" s="63" t="str">
        <f>IFERROR(VLOOKUP(MID(N11,Q11,R11-Q11),[5]skilldef!$C:$D,2,FALSE),"-") &amp; " / " &amp; IFERROR(VLOOKUP(MID(N11,O11,P11-O11),[5]skilldef!$A:$B,2,FALSE),"-")</f>
        <v>- / 連続攻撃</v>
      </c>
      <c r="T11" s="48" t="str">
        <f t="shared" si="10"/>
        <v>[effect:hungup, target:unit_one, turn:2, rate:1, animation:hungup01]</v>
      </c>
      <c r="U11" s="63">
        <f t="shared" si="11"/>
        <v>9</v>
      </c>
      <c r="V11" s="63">
        <f t="shared" si="12"/>
        <v>15</v>
      </c>
      <c r="W11" s="63">
        <f t="shared" si="13"/>
        <v>24</v>
      </c>
      <c r="X11" s="63">
        <f t="shared" si="14"/>
        <v>32</v>
      </c>
      <c r="Y11" s="63" t="str">
        <f>IFERROR(VLOOKUP(MID(T11,W11,X11-W11),[5]skilldef!$C:$D,2,FALSE),"-") &amp; " / " &amp; IFERROR(VLOOKUP(MID(T11,U11,V11-U11),[5]skilldef!$A:$B,2,FALSE),"-")</f>
        <v>味方単体に / ハングアップ</v>
      </c>
      <c r="Z11" s="50"/>
      <c r="AA11" s="52"/>
      <c r="AB11" s="50"/>
    </row>
    <row r="12" spans="1:28" ht="21" customHeight="1" x14ac:dyDescent="0.15">
      <c r="A12" s="47">
        <v>39011011</v>
      </c>
      <c r="B12" s="47" t="s">
        <v>268</v>
      </c>
      <c r="C12" s="50">
        <v>3</v>
      </c>
      <c r="D12" s="50" t="s">
        <v>126</v>
      </c>
      <c r="E12" s="51" t="s">
        <v>269</v>
      </c>
      <c r="F12" s="51" t="s">
        <v>305</v>
      </c>
      <c r="G12" s="63" t="str">
        <f t="shared" si="0"/>
        <v>[effect:spread, val:0.13]</v>
      </c>
      <c r="H12" s="63">
        <f t="shared" si="1"/>
        <v>9</v>
      </c>
      <c r="I12" s="63">
        <f t="shared" si="2"/>
        <v>15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IFERROR(VLOOKUP(MID(G12,J12,K12-J12),[5]skilldef!$C:$D,2,FALSE),"-") &amp; " / " &amp; IFERROR(VLOOKUP(MID(G12,H12,I12-H12),[5]skilldef!$A:$B,2,FALSE),"-")</f>
        <v>- / 全体攻撃</v>
      </c>
      <c r="M12" s="63" t="str">
        <f t="shared" si="5"/>
        <v>[effect:panel_freeze, target:block_blue, count:-1]</v>
      </c>
      <c r="N12" s="48" t="str">
        <f>IFERROR(LEFT(M12,FIND("],",M12)+S19),M12)</f>
        <v>[effect:panel_freeze, target:block_blue, count:-1]</v>
      </c>
      <c r="O12" s="63">
        <f t="shared" si="6"/>
        <v>9</v>
      </c>
      <c r="P12" s="63">
        <f t="shared" si="7"/>
        <v>21</v>
      </c>
      <c r="Q12" s="63">
        <f t="shared" si="8"/>
        <v>30</v>
      </c>
      <c r="R12" s="63">
        <f t="shared" si="9"/>
        <v>40</v>
      </c>
      <c r="S12" s="63" t="str">
        <f>IFERROR(VLOOKUP(MID(N12,Q12,R12-Q12),[5]skilldef!$C:$D,2,FALSE),"-") &amp; " / " &amp; IFERROR(VLOOKUP(MID(N12,O12,P12-O12),[5]skilldef!$A:$B,2,FALSE),"-")</f>
        <v>青パネルを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39011012</v>
      </c>
      <c r="B13" s="47" t="s">
        <v>270</v>
      </c>
      <c r="C13" s="50">
        <v>3</v>
      </c>
      <c r="D13" s="50" t="s">
        <v>126</v>
      </c>
      <c r="E13" s="51" t="s">
        <v>271</v>
      </c>
      <c r="F13" s="51" t="s">
        <v>306</v>
      </c>
      <c r="G13" s="63" t="str">
        <f t="shared" si="0"/>
        <v>[effect:spread, val:0.15]</v>
      </c>
      <c r="H13" s="63">
        <f t="shared" si="1"/>
        <v>9</v>
      </c>
      <c r="I13" s="63">
        <f t="shared" si="2"/>
        <v>15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IFERROR(VLOOKUP(MID(G13,J13,K13-J13),[5]skilldef!$C:$D,2,FALSE),"-") &amp; " / " &amp; IFERROR(VLOOKUP(MID(G13,H13,I13-H13),[5]skilldef!$A:$B,2,FALSE),"-")</f>
        <v>- / 全体攻撃</v>
      </c>
      <c r="M13" s="63" t="str">
        <f t="shared" si="5"/>
        <v>[effect:spread, val:0.15]</v>
      </c>
      <c r="N13" s="48" t="str">
        <f>IFERROR(LEFT(M13,FIND("],",M13)+S21),M13)</f>
        <v>[effect:spread, val:0.15]</v>
      </c>
      <c r="O13" s="63">
        <f t="shared" si="6"/>
        <v>9</v>
      </c>
      <c r="P13" s="63">
        <f t="shared" si="7"/>
        <v>15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全体攻撃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39011013</v>
      </c>
      <c r="B14" s="47" t="s">
        <v>322</v>
      </c>
      <c r="C14" s="50">
        <v>3</v>
      </c>
      <c r="D14" s="50" t="s">
        <v>126</v>
      </c>
      <c r="E14" s="51" t="s">
        <v>272</v>
      </c>
      <c r="F14" s="51" t="s">
        <v>328</v>
      </c>
      <c r="G14" s="63" t="str">
        <f t="shared" si="0"/>
        <v>[effect:damage_fix_absolute, target:unit_all, val:2222]</v>
      </c>
      <c r="H14" s="63">
        <f t="shared" si="1"/>
        <v>9</v>
      </c>
      <c r="I14" s="63">
        <f t="shared" si="2"/>
        <v>28</v>
      </c>
      <c r="J14" s="63">
        <f t="shared" si="3"/>
        <v>37</v>
      </c>
      <c r="K14" s="63">
        <f t="shared" si="4"/>
        <v>45</v>
      </c>
      <c r="L14" s="63" t="str">
        <f>IFERROR(VLOOKUP(MID(G14,J14,K14-J14),[5]skilldef!$C:$D,2,FALSE),"-") &amp; " / " &amp; IFERROR(VLOOKUP(MID(G14,H14,I14-H14),[5]skilldef!$A:$B,2,FALSE),"-")</f>
        <v>味方全体に / -</v>
      </c>
      <c r="M14" s="63" t="str">
        <f t="shared" si="5"/>
        <v>none</v>
      </c>
      <c r="N14" s="48" t="str">
        <f>IFERROR(LEFT(M14,FIND("],",M14)+S22),M14)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39011014</v>
      </c>
      <c r="B15" s="104" t="s">
        <v>318</v>
      </c>
      <c r="C15" s="50">
        <v>3</v>
      </c>
      <c r="D15" s="50" t="s">
        <v>126</v>
      </c>
      <c r="E15" s="51" t="s">
        <v>273</v>
      </c>
      <c r="F15" s="51" t="s">
        <v>307</v>
      </c>
      <c r="G15" s="63" t="str">
        <f t="shared" si="0"/>
        <v>[effect:enemy_message, val1:1, val2:2]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30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[effect:degrade_unit, target:unit_all, turn:3, status:action, val:1, calc:add, animation:enemy_tap_down]</v>
      </c>
      <c r="N15" s="48" t="str">
        <f>IFERROR(LEFT(M15,FIND("],",M15)+S23),M15)</f>
        <v>[effect:degrade_unit, target:unit_all, turn:3, status:action, val:1, calc:add, animation:enemy_tap_down]</v>
      </c>
      <c r="O15" s="63">
        <f t="shared" si="6"/>
        <v>9</v>
      </c>
      <c r="P15" s="63">
        <f t="shared" si="7"/>
        <v>21</v>
      </c>
      <c r="Q15" s="63">
        <f t="shared" si="8"/>
        <v>30</v>
      </c>
      <c r="R15" s="63">
        <f t="shared" si="9"/>
        <v>38</v>
      </c>
      <c r="S15" s="63" t="str">
        <f>IFERROR(VLOOKUP(MID(N15,Q15,R15-Q15),[5]skilldef!$C:$D,2,FALSE),"-") &amp; " / " &amp; IFERROR(VLOOKUP(MID(N15,O15,P15-O15),[5]skilldef!$A:$B,2,FALSE),"-")</f>
        <v>味方全体に / ステータスDOWN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39011015</v>
      </c>
      <c r="B16" s="104" t="s">
        <v>274</v>
      </c>
      <c r="C16" s="50">
        <v>3</v>
      </c>
      <c r="D16" s="50" t="s">
        <v>126</v>
      </c>
      <c r="E16" s="51" t="s">
        <v>275</v>
      </c>
      <c r="F16" s="51" t="s">
        <v>308</v>
      </c>
      <c r="G16" s="63" t="str">
        <f t="shared" si="0"/>
        <v>[effect:critical, val:1]</v>
      </c>
      <c r="H16" s="63">
        <f t="shared" si="1"/>
        <v>9</v>
      </c>
      <c r="I16" s="63">
        <f t="shared" si="2"/>
        <v>17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IFERROR(VLOOKUP(MID(G16,J16,K16-J16),[5]skilldef!$C:$D,2,FALSE),"-") &amp; " / " &amp; IFERROR(VLOOKUP(MID(G16,H16,I16-H16),[5]skilldef!$A:$B,2,FALSE),"-")</f>
        <v>- / 大攻撃</v>
      </c>
      <c r="M16" s="63" t="str">
        <f t="shared" si="5"/>
        <v>[effect:heal, target:enemy_one, val:0.2, animation:enemy_heal]</v>
      </c>
      <c r="N16" s="48" t="str">
        <f>IFERROR(LEFT(M16,FIND("],",M16)+S24),M16)</f>
        <v>[effect:heal, target:enemy_one, val:0.2, animation:enemy_heal]</v>
      </c>
      <c r="O16" s="63">
        <f t="shared" si="6"/>
        <v>9</v>
      </c>
      <c r="P16" s="63">
        <f t="shared" si="7"/>
        <v>13</v>
      </c>
      <c r="Q16" s="63">
        <f t="shared" si="8"/>
        <v>22</v>
      </c>
      <c r="R16" s="63">
        <f t="shared" si="9"/>
        <v>31</v>
      </c>
      <c r="S16" s="63" t="str">
        <f>IFERROR(VLOOKUP(MID(N16,Q16,R16-Q16),[5]skilldef!$C:$D,2,FALSE),"-") &amp; " / " &amp; IFERROR(VLOOKUP(MID(N16,O16,P16-O16),[5]skilldef!$A:$B,2,FALSE),"-")</f>
        <v>敵単体に / 回復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39011016</v>
      </c>
      <c r="B17" s="104" t="s">
        <v>276</v>
      </c>
      <c r="C17" s="50">
        <v>3</v>
      </c>
      <c r="D17" s="50" t="s">
        <v>126</v>
      </c>
      <c r="E17" s="51" t="s">
        <v>277</v>
      </c>
      <c r="F17" s="51" t="s">
        <v>313</v>
      </c>
      <c r="G17" s="63" t="str">
        <f t="shared" si="0"/>
        <v>[effect:dark, target:unit_all, turn:1, animation:enemy_dark]</v>
      </c>
      <c r="H17" s="63">
        <f t="shared" si="1"/>
        <v>9</v>
      </c>
      <c r="I17" s="63">
        <f t="shared" si="2"/>
        <v>13</v>
      </c>
      <c r="J17" s="63">
        <f t="shared" si="3"/>
        <v>22</v>
      </c>
      <c r="K17" s="63">
        <f t="shared" si="4"/>
        <v>30</v>
      </c>
      <c r="L17" s="63" t="str">
        <f>IFERROR(VLOOKUP(MID(G17,J17,K17-J17),[5]skilldef!$C:$D,2,FALSE),"-") &amp; " / " &amp; IFERROR(VLOOKUP(MID(G17,H17,I17-H17),[5]skilldef!$A:$B,2,FALSE),"-")</f>
        <v>味方全体に / 暗黒</v>
      </c>
      <c r="M17" s="63" t="str">
        <f t="shared" si="5"/>
        <v>none</v>
      </c>
      <c r="N17" s="48" t="str">
        <f>IFERROR(LEFT(M17,FIND("],",M17)+S26),M17)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39011017</v>
      </c>
      <c r="B18" s="104" t="s">
        <v>278</v>
      </c>
      <c r="C18" s="50">
        <v>3</v>
      </c>
      <c r="D18" s="50" t="s">
        <v>126</v>
      </c>
      <c r="E18" s="51" t="s">
        <v>279</v>
      </c>
      <c r="F18" s="51" t="s">
        <v>280</v>
      </c>
      <c r="G18" s="63" t="str">
        <f t="shared" si="0"/>
        <v>[effect:rush, count:3, val:0.4]</v>
      </c>
      <c r="H18" s="63">
        <f t="shared" si="1"/>
        <v>9</v>
      </c>
      <c r="I18" s="63">
        <f t="shared" si="2"/>
        <v>13</v>
      </c>
      <c r="J18" s="63" t="e">
        <f t="shared" si="3"/>
        <v>#VALUE!</v>
      </c>
      <c r="K18" s="63">
        <f t="shared" si="4"/>
        <v>22</v>
      </c>
      <c r="L18" s="63" t="str">
        <f>IFERROR(VLOOKUP(MID(G18,J18,K18-J18),[5]skilldef!$C:$D,2,FALSE),"-") &amp; " / " &amp; IFERROR(VLOOKUP(MID(G18,H18,I18-H18),[5]skilldef!$A:$B,2,FALSE),"-")</f>
        <v>- / 連続攻撃</v>
      </c>
      <c r="M18" s="63" t="str">
        <f t="shared" si="5"/>
        <v>none</v>
      </c>
      <c r="N18" s="48" t="str">
        <f>IFERROR(LEFT(M18,FIND("],",M18)+S28),M18)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47">
        <v>39011018</v>
      </c>
      <c r="B19" s="104" t="s">
        <v>333</v>
      </c>
      <c r="C19" s="50">
        <v>3</v>
      </c>
      <c r="D19" s="50" t="s">
        <v>126</v>
      </c>
      <c r="E19" s="51" t="s">
        <v>281</v>
      </c>
      <c r="F19" s="51" t="s">
        <v>309</v>
      </c>
      <c r="G19" s="63" t="str">
        <f t="shared" si="0"/>
        <v>[effect:enemy_message, val1:1.4, val2:1.8]</v>
      </c>
      <c r="H19" s="63">
        <f>FIND("effect:",G19)+7</f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[effect:change_panel_ratio, turn:-1, block_type:blue, val:0.8, animation:block_incidence04]</v>
      </c>
      <c r="N19" s="48" t="str">
        <f>IFERROR(LEFT(M19,FIND("],",M19)+S30),M19)</f>
        <v>[effect:change_panel_ratio, turn:-1, block_type:blue, val:0.8, animation:block_incidence04]</v>
      </c>
      <c r="O19" s="63">
        <f>FIND("effect:",N19)+7</f>
        <v>9</v>
      </c>
      <c r="P19" s="63">
        <f t="shared" si="7"/>
        <v>27</v>
      </c>
      <c r="Q19" s="63" t="e">
        <f t="shared" si="8"/>
        <v>#VALUE!</v>
      </c>
      <c r="R19" s="63">
        <f t="shared" si="9"/>
        <v>36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0"/>
        <v>none</v>
      </c>
      <c r="U19" s="63" t="e">
        <f>FIND("effect:",T19)+7</f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39011019</v>
      </c>
      <c r="B20" s="104" t="s">
        <v>333</v>
      </c>
      <c r="C20" s="50">
        <v>3</v>
      </c>
      <c r="D20" s="50" t="s">
        <v>126</v>
      </c>
      <c r="E20" s="51" t="s">
        <v>334</v>
      </c>
      <c r="F20" s="51" t="s">
        <v>309</v>
      </c>
      <c r="G20" s="63" t="str">
        <f t="shared" si="0"/>
        <v>[effect:enemy_message, val1:1.4, val2:1.8]</v>
      </c>
      <c r="H20" s="63">
        <f>FIND("effect:",G20)+7</f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[effect:change_panel_ratio, turn:-1, block_type:blue, val:0.8, animation:block_incidence04]</v>
      </c>
      <c r="N20" s="48" t="str">
        <f>IFERROR(LEFT(M20,FIND("],",M20)+S31),M20)</f>
        <v>[effect:change_panel_ratio, turn:-1, block_type:blue, val:0.8, animation:block_incidence04]</v>
      </c>
      <c r="O20" s="63">
        <f>FIND("effect:",N20)+7</f>
        <v>9</v>
      </c>
      <c r="P20" s="63">
        <f t="shared" si="7"/>
        <v>27</v>
      </c>
      <c r="Q20" s="63" t="e">
        <f t="shared" si="8"/>
        <v>#VALUE!</v>
      </c>
      <c r="R20" s="63">
        <f t="shared" si="9"/>
        <v>36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0"/>
        <v>none</v>
      </c>
      <c r="U20" s="63" t="e">
        <f>FIND("effect:",T20)+7</f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39011020</v>
      </c>
      <c r="B21" s="104" t="s">
        <v>282</v>
      </c>
      <c r="C21" s="50">
        <v>3</v>
      </c>
      <c r="D21" s="50" t="s">
        <v>126</v>
      </c>
      <c r="E21" s="51" t="s">
        <v>283</v>
      </c>
      <c r="F21" s="51" t="s">
        <v>329</v>
      </c>
      <c r="G21" s="63" t="str">
        <f t="shared" si="0"/>
        <v>[effect:break_attack, val:0.044, lowest_val:0.2, count:8, block:block_blue, target:unit_all]</v>
      </c>
      <c r="H21" s="63">
        <f t="shared" si="1"/>
        <v>9</v>
      </c>
      <c r="I21" s="63">
        <f t="shared" si="2"/>
        <v>21</v>
      </c>
      <c r="J21" s="63">
        <f t="shared" si="3"/>
        <v>84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none</v>
      </c>
      <c r="N21" s="48" t="str">
        <f>IFERROR(LEFT(M21,FIND("],",M21)+S31),M21)</f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39011021</v>
      </c>
      <c r="B22" s="104" t="s">
        <v>310</v>
      </c>
      <c r="C22" s="50">
        <v>3</v>
      </c>
      <c r="D22" s="50" t="s">
        <v>126</v>
      </c>
      <c r="E22" s="51" t="s">
        <v>284</v>
      </c>
      <c r="F22" s="51" t="s">
        <v>311</v>
      </c>
      <c r="G22" s="63" t="str">
        <f t="shared" si="0"/>
        <v>[effect:critical, val:1]</v>
      </c>
      <c r="H22" s="63">
        <f t="shared" si="1"/>
        <v>9</v>
      </c>
      <c r="I22" s="63">
        <f t="shared" si="2"/>
        <v>17</v>
      </c>
      <c r="J22" s="63" t="e">
        <f t="shared" si="3"/>
        <v>#VALUE!</v>
      </c>
      <c r="K22" s="63" t="e">
        <f t="shared" si="4"/>
        <v>#VALUE!</v>
      </c>
      <c r="L22" s="63" t="str">
        <f>IFERROR(VLOOKUP(MID(G22,J22,K22-J22),[5]skilldef!$C:$D,2,FALSE),"-") &amp; " / " &amp; IFERROR(VLOOKUP(MID(G22,H22,I22-H22),[5]skilldef!$A:$B,2,FALSE),"-")</f>
        <v>- / 大攻撃</v>
      </c>
      <c r="M22" s="63" t="str">
        <f t="shared" si="5"/>
        <v>[effect:force_change_block, new_block:block_blue, target:block_yellow, ignore01:crash, ignore02:crack_bomb, ignore03:time_bomb, ignore04:jammer, ignore05:damage, count:8, val:0, animation:change_block]</v>
      </c>
      <c r="N22" s="48" t="str">
        <f>IFERROR(LEFT(M22,FIND("],",M22)+S32),M22)</f>
        <v>[effect:force_change_block, new_block:block_blue, target:block_yellow, ignore01:crash, ignore02:crack_bomb, ignore03:time_bomb, ignore04:jammer, ignore05:damage, count:8, val:0, animation:change_block]</v>
      </c>
      <c r="O22" s="63">
        <f t="shared" si="6"/>
        <v>9</v>
      </c>
      <c r="P22" s="63">
        <f t="shared" si="7"/>
        <v>27</v>
      </c>
      <c r="Q22" s="63">
        <f t="shared" si="8"/>
        <v>58</v>
      </c>
      <c r="R22" s="63">
        <f t="shared" si="9"/>
        <v>49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39011022</v>
      </c>
      <c r="B23" s="104" t="s">
        <v>285</v>
      </c>
      <c r="C23" s="50">
        <v>3</v>
      </c>
      <c r="D23" s="50" t="s">
        <v>126</v>
      </c>
      <c r="E23" s="51" t="s">
        <v>286</v>
      </c>
      <c r="F23" s="51" t="s">
        <v>287</v>
      </c>
      <c r="G23" s="63" t="str">
        <f t="shared" si="0"/>
        <v>[effect:rush, count:4, val:0.3]</v>
      </c>
      <c r="H23" s="63">
        <f t="shared" si="1"/>
        <v>9</v>
      </c>
      <c r="I23" s="63">
        <f t="shared" si="2"/>
        <v>13</v>
      </c>
      <c r="J23" s="63" t="e">
        <f t="shared" si="3"/>
        <v>#VALUE!</v>
      </c>
      <c r="K23" s="63">
        <f t="shared" si="4"/>
        <v>22</v>
      </c>
      <c r="L23" s="63" t="str">
        <f>IFERROR(VLOOKUP(MID(G23,J23,K23-J23),[5]skilldef!$C:$D,2,FALSE),"-") &amp; " / " &amp; IFERROR(VLOOKUP(MID(G23,H23,I23-H23),[5]skilldef!$A:$B,2,FALSE),"-")</f>
        <v>- / 連続攻撃</v>
      </c>
      <c r="M23" s="63" t="str">
        <f t="shared" si="5"/>
        <v>none</v>
      </c>
      <c r="N23" s="48" t="str">
        <f>IFERROR(LEFT(M23,FIND("],",M23)+S33),M23)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47">
        <v>39011023</v>
      </c>
      <c r="B24" s="104" t="s">
        <v>335</v>
      </c>
      <c r="C24" s="50">
        <v>3</v>
      </c>
      <c r="D24" s="50" t="s">
        <v>126</v>
      </c>
      <c r="E24" s="51" t="s">
        <v>330</v>
      </c>
      <c r="F24" s="51" t="s">
        <v>312</v>
      </c>
      <c r="G24" s="63" t="str">
        <f t="shared" si="0"/>
        <v>[effect:enemy_message, val1:1.8, val2:1.8]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[effect:dis_panel, target:block_blue, turn:-1, animation:enemy_dis_blue],[effect:suicide, val:1, dead_type:escape, target:enemy_animal]</v>
      </c>
      <c r="N24" s="48" t="str">
        <f>IFERROR(LEFT(M24,FIND("],",M24)+S34),M24)</f>
        <v>[effect:dis_panel, target:block_blue, turn:-1, animation:enemy_dis_blue]</v>
      </c>
      <c r="O24" s="63">
        <f t="shared" si="6"/>
        <v>9</v>
      </c>
      <c r="P24" s="63">
        <f t="shared" si="7"/>
        <v>18</v>
      </c>
      <c r="Q24" s="63">
        <f t="shared" si="8"/>
        <v>27</v>
      </c>
      <c r="R24" s="63">
        <f t="shared" si="9"/>
        <v>37</v>
      </c>
      <c r="S24" s="63" t="str">
        <f>IFERROR(VLOOKUP(MID(N24,Q24,R24-Q24),[5]skilldef!$C:$D,2,FALSE),"-") &amp; " / " &amp; IFERROR(VLOOKUP(MID(N24,O24,P24-O24),[5]skilldef!$A:$B,2,FALSE),"-")</f>
        <v>青パネルを / ディスパネル</v>
      </c>
      <c r="T24" s="48" t="str">
        <f t="shared" si="10"/>
        <v>[effect:suicide, val:1, dead_type:escape, target:enemy_animal]</v>
      </c>
      <c r="U24" s="63">
        <f t="shared" si="11"/>
        <v>9</v>
      </c>
      <c r="V24" s="63">
        <f t="shared" si="12"/>
        <v>16</v>
      </c>
      <c r="W24" s="63">
        <f t="shared" si="13"/>
        <v>50</v>
      </c>
      <c r="X24" s="63">
        <f t="shared" si="14"/>
        <v>23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47">
        <v>39011024</v>
      </c>
      <c r="B25" s="104" t="s">
        <v>288</v>
      </c>
      <c r="C25" s="50">
        <v>3</v>
      </c>
      <c r="D25" s="50" t="s">
        <v>126</v>
      </c>
      <c r="E25" s="51" t="s">
        <v>289</v>
      </c>
      <c r="F25" s="51" t="s">
        <v>312</v>
      </c>
      <c r="G25" s="63" t="str">
        <f t="shared" si="0"/>
        <v>[effect:dis_panel, target:block_blue, turn:-1, animation:enemy_dis_blue]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37</v>
      </c>
      <c r="L25" s="63" t="str">
        <f>IFERROR(VLOOKUP(MID(G25,J25,K25-J25),[5]skilldef!$C:$D,2,FALSE),"-") &amp; " / " &amp; IFERROR(VLOOKUP(MID(G25,H25,I25-H25),[5]skilldef!$A:$B,2,FALSE),"-")</f>
        <v>青パネルを / ディスパネル</v>
      </c>
      <c r="M25" s="63" t="str">
        <f t="shared" si="5"/>
        <v>[effect:suicide, val:1, dead_type:escape, target:enemy_animal]</v>
      </c>
      <c r="N25" s="48" t="str">
        <f>IFERROR(LEFT(M25,FIND("],",M25)+S35),M25)</f>
        <v>[effect:suicide, val:1, dead_type:escape, target:enemy_animal]</v>
      </c>
      <c r="O25" s="63">
        <f t="shared" si="6"/>
        <v>9</v>
      </c>
      <c r="P25" s="63">
        <f t="shared" si="7"/>
        <v>16</v>
      </c>
      <c r="Q25" s="63">
        <f t="shared" si="8"/>
        <v>50</v>
      </c>
      <c r="R25" s="63">
        <f t="shared" si="9"/>
        <v>23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39011025</v>
      </c>
      <c r="B26" s="104" t="s">
        <v>332</v>
      </c>
      <c r="C26" s="50">
        <v>3</v>
      </c>
      <c r="D26" s="50" t="s">
        <v>126</v>
      </c>
      <c r="E26" s="51" t="s">
        <v>290</v>
      </c>
      <c r="F26" s="51" t="s">
        <v>314</v>
      </c>
      <c r="G26" s="63" t="str">
        <f t="shared" si="0"/>
        <v>[effect:enemy_message, val1:1, val2:2]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30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[effect:spread, val:0.3],[effect:hungup, target:unit_all, turn:4, rate:1, animation:hungup01]</v>
      </c>
      <c r="N26" s="48" t="str">
        <f>IFERROR(LEFT(M26,FIND("],",M26)+S35),M26)</f>
        <v>[effect:spread, val:0.3]</v>
      </c>
      <c r="O26" s="63">
        <f t="shared" si="6"/>
        <v>9</v>
      </c>
      <c r="P26" s="63">
        <f t="shared" si="7"/>
        <v>15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IFERROR(VLOOKUP(MID(N26,Q26,R26-Q26),[5]skilldef!$C:$D,2,FALSE),"-") &amp; " / " &amp; IFERROR(VLOOKUP(MID(N26,O26,P26-O26),[5]skilldef!$A:$B,2,FALSE),"-")</f>
        <v>- / 全体攻撃</v>
      </c>
      <c r="T26" s="48" t="str">
        <f t="shared" si="10"/>
        <v>[effect:hungup, target:unit_all, turn:4, rate:1, animation:hungup01]</v>
      </c>
      <c r="U26" s="63">
        <f t="shared" si="11"/>
        <v>9</v>
      </c>
      <c r="V26" s="63">
        <f t="shared" si="12"/>
        <v>15</v>
      </c>
      <c r="W26" s="63">
        <f t="shared" si="13"/>
        <v>24</v>
      </c>
      <c r="X26" s="63">
        <f t="shared" si="14"/>
        <v>32</v>
      </c>
      <c r="Y26" s="63" t="str">
        <f>IFERROR(VLOOKUP(MID(T26,W26,X26-W26),[5]skilldef!$C:$D,2,FALSE),"-") &amp; " / " &amp; IFERROR(VLOOKUP(MID(T26,U26,V26-U26),[5]skilldef!$A:$B,2,FALSE),"-")</f>
        <v>味方全体に / ハングアップ</v>
      </c>
      <c r="Z26" s="50"/>
      <c r="AA26" s="52"/>
      <c r="AB26" s="50"/>
    </row>
    <row r="27" spans="1:28" ht="21" customHeight="1" x14ac:dyDescent="0.15">
      <c r="A27" s="47">
        <v>39011026</v>
      </c>
      <c r="B27" s="104" t="s">
        <v>337</v>
      </c>
      <c r="C27" s="50">
        <v>3</v>
      </c>
      <c r="D27" s="50" t="s">
        <v>126</v>
      </c>
      <c r="E27" s="51" t="s">
        <v>336</v>
      </c>
      <c r="F27" s="51" t="s">
        <v>319</v>
      </c>
      <c r="G27" s="63" t="str">
        <f t="shared" si="0"/>
        <v>[effect:enemy_message, val1:1.6, val2:2, dead_type:suicide]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none</v>
      </c>
      <c r="N27" s="48" t="str">
        <f>IFERROR(LEFT(M27,FIND("],",M27)+S36),M27)</f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  <row r="28" spans="1:28" ht="21" customHeight="1" x14ac:dyDescent="0.15">
      <c r="A28" s="47">
        <v>39011027</v>
      </c>
      <c r="B28" s="104" t="s">
        <v>320</v>
      </c>
      <c r="C28" s="50">
        <v>3</v>
      </c>
      <c r="D28" s="50" t="s">
        <v>126</v>
      </c>
      <c r="E28" s="51" t="s">
        <v>291</v>
      </c>
      <c r="F28" s="51" t="s">
        <v>315</v>
      </c>
      <c r="G28" s="63" t="str">
        <f t="shared" si="0"/>
        <v>[effect:enemy_message, val1:1, val2:2]</v>
      </c>
      <c r="H28" s="63">
        <f t="shared" si="1"/>
        <v>9</v>
      </c>
      <c r="I28" s="63">
        <f t="shared" si="2"/>
        <v>22</v>
      </c>
      <c r="J28" s="63" t="e">
        <f t="shared" si="3"/>
        <v>#VALUE!</v>
      </c>
      <c r="K28" s="63">
        <f t="shared" si="4"/>
        <v>30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5"/>
        <v>[effect:damage_anti_tribe, target:unit_one, tribe:machine, val1:2, val2:1]</v>
      </c>
      <c r="N28" s="48" t="str">
        <f t="shared" ref="N28" si="15">IFERROR(LEFT(M28,FIND("],",M28)+S37),M28)</f>
        <v>[effect:damage_anti_tribe, target:unit_one, tribe:machine, val1:2, val2:1]</v>
      </c>
      <c r="O28" s="63">
        <f t="shared" si="6"/>
        <v>9</v>
      </c>
      <c r="P28" s="63">
        <f t="shared" si="7"/>
        <v>26</v>
      </c>
      <c r="Q28" s="63">
        <f t="shared" si="8"/>
        <v>35</v>
      </c>
      <c r="R28" s="63">
        <f t="shared" si="9"/>
        <v>43</v>
      </c>
      <c r="S28" s="63" t="str">
        <f>IFERROR(VLOOKUP(MID(N28,Q28,R28-Q28),[5]skilldef!$C:$D,2,FALSE),"-") &amp; " / " &amp; IFERROR(VLOOKUP(MID(N28,O28,P28-O28),[5]skilldef!$A:$B,2,FALSE),"-")</f>
        <v>味方単体に / 種族キラー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39011028</v>
      </c>
      <c r="B29" s="104" t="s">
        <v>292</v>
      </c>
      <c r="C29" s="50">
        <v>3</v>
      </c>
      <c r="D29" s="50" t="s">
        <v>126</v>
      </c>
      <c r="E29" s="51" t="s">
        <v>293</v>
      </c>
      <c r="F29" s="51" t="s">
        <v>294</v>
      </c>
      <c r="G29" s="63" t="str">
        <f t="shared" si="0"/>
        <v>[effect:rush, count:2, val:0.6]</v>
      </c>
      <c r="H29" s="63">
        <f t="shared" si="1"/>
        <v>9</v>
      </c>
      <c r="I29" s="63">
        <f t="shared" si="2"/>
        <v>13</v>
      </c>
      <c r="J29" s="63" t="e">
        <f t="shared" si="3"/>
        <v>#VALUE!</v>
      </c>
      <c r="K29" s="63">
        <f t="shared" si="4"/>
        <v>22</v>
      </c>
      <c r="L29" s="63" t="str">
        <f>IFERROR(VLOOKUP(MID(G29,J29,K29-J29),[5]skilldef!$C:$D,2,FALSE),"-") &amp; " / " &amp; IFERROR(VLOOKUP(MID(G29,H29,I29-H29),[5]skilldef!$A:$B,2,FALSE),"-")</f>
        <v>- / 連続攻撃</v>
      </c>
      <c r="M29" s="63" t="str">
        <f t="shared" si="5"/>
        <v>none</v>
      </c>
      <c r="N29" s="48" t="str">
        <f>IFERROR(LEFT(M29,FIND("],",M29)+S39),M29)</f>
        <v>none</v>
      </c>
      <c r="O29" s="63" t="e">
        <f t="shared" si="6"/>
        <v>#VALUE!</v>
      </c>
      <c r="P29" s="63">
        <f t="shared" si="7"/>
        <v>4</v>
      </c>
      <c r="Q29" s="63" t="e">
        <f t="shared" si="8"/>
        <v>#VALUE!</v>
      </c>
      <c r="R29" s="63" t="e">
        <f t="shared" si="9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3"/>
  <sheetViews>
    <sheetView showGridLines="0" zoomScale="75" zoomScaleNormal="75" zoomScalePageLayoutView="75" workbookViewId="0">
      <pane ySplit="1" topLeftCell="A2" activePane="bottomLeft" state="frozenSplit"/>
      <selection pane="bottomLeft" activeCell="C27" sqref="C2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39011001</v>
      </c>
      <c r="B2" s="47">
        <v>0</v>
      </c>
      <c r="C2" s="47" t="s">
        <v>53</v>
      </c>
      <c r="D2" s="47">
        <v>100</v>
      </c>
      <c r="E2" s="47" t="s">
        <v>53</v>
      </c>
      <c r="F2" s="47" t="s">
        <v>53</v>
      </c>
      <c r="G2" s="47">
        <v>5</v>
      </c>
      <c r="H2" s="47" t="s">
        <v>53</v>
      </c>
      <c r="I2" s="47" t="s">
        <v>53</v>
      </c>
      <c r="J2" s="48">
        <f t="shared" ref="J2:J33" si="0">D2</f>
        <v>100</v>
      </c>
    </row>
    <row r="3" spans="1:11" ht="21" customHeight="1" x14ac:dyDescent="0.15">
      <c r="A3" s="47">
        <v>39011002</v>
      </c>
      <c r="B3" s="47">
        <v>0</v>
      </c>
      <c r="C3" s="47" t="s">
        <v>53</v>
      </c>
      <c r="D3" s="47">
        <v>100</v>
      </c>
      <c r="E3" s="47" t="s">
        <v>53</v>
      </c>
      <c r="F3" s="47" t="s">
        <v>53</v>
      </c>
      <c r="G3" s="47">
        <v>1</v>
      </c>
      <c r="H3" s="47">
        <v>1</v>
      </c>
      <c r="I3" s="47" t="s">
        <v>53</v>
      </c>
      <c r="J3" s="48">
        <f t="shared" si="0"/>
        <v>100</v>
      </c>
    </row>
    <row r="4" spans="1:11" ht="21" customHeight="1" x14ac:dyDescent="0.15">
      <c r="A4" s="47">
        <v>39011003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53</v>
      </c>
      <c r="G4" s="47" t="s">
        <v>53</v>
      </c>
      <c r="H4" s="47" t="s">
        <v>53</v>
      </c>
      <c r="I4" s="47" t="s">
        <v>53</v>
      </c>
      <c r="J4" s="48">
        <f t="shared" si="0"/>
        <v>100</v>
      </c>
    </row>
    <row r="5" spans="1:11" ht="21" customHeight="1" x14ac:dyDescent="0.15">
      <c r="A5" s="47">
        <v>39011004</v>
      </c>
      <c r="B5" s="47">
        <v>0</v>
      </c>
      <c r="C5" s="47" t="s">
        <v>53</v>
      </c>
      <c r="D5" s="47">
        <v>100</v>
      </c>
      <c r="E5" s="47">
        <v>30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0"/>
        <v>100</v>
      </c>
    </row>
    <row r="6" spans="1:11" ht="21" customHeight="1" x14ac:dyDescent="0.15">
      <c r="A6" s="47">
        <v>39011005</v>
      </c>
      <c r="B6" s="47">
        <v>0</v>
      </c>
      <c r="C6" s="47" t="s">
        <v>53</v>
      </c>
      <c r="D6" s="47">
        <v>50</v>
      </c>
      <c r="E6" s="47" t="s">
        <v>53</v>
      </c>
      <c r="F6" s="47" t="s">
        <v>53</v>
      </c>
      <c r="G6" s="47" t="s">
        <v>53</v>
      </c>
      <c r="H6" s="47" t="s">
        <v>53</v>
      </c>
      <c r="I6" s="47" t="s">
        <v>53</v>
      </c>
      <c r="J6" s="48">
        <f t="shared" si="0"/>
        <v>50</v>
      </c>
    </row>
    <row r="7" spans="1:11" ht="21" customHeight="1" x14ac:dyDescent="0.15">
      <c r="A7" s="47">
        <v>39011006</v>
      </c>
      <c r="B7" s="47">
        <v>1</v>
      </c>
      <c r="C7" s="47" t="s">
        <v>53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0"/>
        <v>100</v>
      </c>
    </row>
    <row r="8" spans="1:11" ht="21" customHeight="1" x14ac:dyDescent="0.15">
      <c r="A8" s="47">
        <v>39011007</v>
      </c>
      <c r="B8" s="47">
        <v>0</v>
      </c>
      <c r="C8" s="47" t="s">
        <v>53</v>
      </c>
      <c r="D8" s="47">
        <v>30</v>
      </c>
      <c r="E8" s="47" t="s">
        <v>53</v>
      </c>
      <c r="F8" s="47" t="s">
        <v>53</v>
      </c>
      <c r="G8" s="47" t="s">
        <v>53</v>
      </c>
      <c r="H8" s="47" t="s">
        <v>53</v>
      </c>
      <c r="I8" s="47" t="s">
        <v>53</v>
      </c>
      <c r="J8" s="48">
        <f t="shared" si="0"/>
        <v>30</v>
      </c>
    </row>
    <row r="9" spans="1:11" ht="21" customHeight="1" x14ac:dyDescent="0.15">
      <c r="A9" s="47">
        <v>39011008</v>
      </c>
      <c r="B9" s="47">
        <v>0</v>
      </c>
      <c r="C9" s="47" t="s">
        <v>53</v>
      </c>
      <c r="D9" s="47">
        <v>100</v>
      </c>
      <c r="E9" s="47" t="s">
        <v>53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si="0"/>
        <v>100</v>
      </c>
    </row>
    <row r="10" spans="1:11" ht="21" customHeight="1" x14ac:dyDescent="0.15">
      <c r="A10" s="47">
        <v>39011009</v>
      </c>
      <c r="B10" s="47">
        <v>1</v>
      </c>
      <c r="C10" s="47" t="s">
        <v>53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0"/>
        <v>100</v>
      </c>
    </row>
    <row r="11" spans="1:11" ht="21" customHeight="1" x14ac:dyDescent="0.15">
      <c r="A11" s="47">
        <v>39011010</v>
      </c>
      <c r="B11" s="47">
        <v>0</v>
      </c>
      <c r="C11" s="47" t="s">
        <v>53</v>
      </c>
      <c r="D11" s="47">
        <v>100</v>
      </c>
      <c r="E11" s="47" t="s">
        <v>53</v>
      </c>
      <c r="F11" s="47" t="s">
        <v>53</v>
      </c>
      <c r="G11" s="47" t="s">
        <v>53</v>
      </c>
      <c r="H11" s="47" t="s">
        <v>53</v>
      </c>
      <c r="I11" s="47" t="s">
        <v>53</v>
      </c>
      <c r="J11" s="48">
        <f t="shared" si="0"/>
        <v>100</v>
      </c>
    </row>
    <row r="12" spans="1:11" ht="21" customHeight="1" x14ac:dyDescent="0.15">
      <c r="A12" s="47">
        <v>39011011</v>
      </c>
      <c r="B12" s="47">
        <v>1</v>
      </c>
      <c r="C12" s="47" t="s">
        <v>53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si="0"/>
        <v>100</v>
      </c>
    </row>
    <row r="13" spans="1:11" ht="21" customHeight="1" x14ac:dyDescent="0.15">
      <c r="A13" s="47">
        <v>39011012</v>
      </c>
      <c r="B13" s="47">
        <v>0</v>
      </c>
      <c r="C13" s="47">
        <v>1</v>
      </c>
      <c r="D13" s="47">
        <v>100</v>
      </c>
      <c r="E13" s="47" t="s">
        <v>53</v>
      </c>
      <c r="F13" s="47" t="s">
        <v>53</v>
      </c>
      <c r="G13" s="47" t="s">
        <v>53</v>
      </c>
      <c r="H13" s="47" t="s">
        <v>53</v>
      </c>
      <c r="I13" s="47" t="s">
        <v>53</v>
      </c>
      <c r="J13" s="48">
        <f t="shared" si="0"/>
        <v>100</v>
      </c>
    </row>
    <row r="14" spans="1:11" ht="21" customHeight="1" x14ac:dyDescent="0.15">
      <c r="A14" s="47">
        <v>39011013</v>
      </c>
      <c r="B14" s="47">
        <v>0</v>
      </c>
      <c r="C14" s="47">
        <v>2</v>
      </c>
      <c r="D14" s="47">
        <v>100</v>
      </c>
      <c r="E14" s="47">
        <v>30</v>
      </c>
      <c r="F14" s="47" t="s">
        <v>53</v>
      </c>
      <c r="G14" s="47">
        <v>1</v>
      </c>
      <c r="H14" s="47" t="s">
        <v>53</v>
      </c>
      <c r="I14" s="47" t="s">
        <v>53</v>
      </c>
      <c r="J14" s="48">
        <f t="shared" si="0"/>
        <v>100</v>
      </c>
    </row>
    <row r="15" spans="1:11" ht="21" customHeight="1" x14ac:dyDescent="0.15">
      <c r="A15" s="47">
        <v>39011014</v>
      </c>
      <c r="B15" s="47">
        <v>1</v>
      </c>
      <c r="C15" s="47" t="s">
        <v>53</v>
      </c>
      <c r="D15" s="47">
        <v>100</v>
      </c>
      <c r="E15" s="47" t="s">
        <v>53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0"/>
        <v>100</v>
      </c>
    </row>
    <row r="16" spans="1:11" ht="21" customHeight="1" x14ac:dyDescent="0.15">
      <c r="A16" s="47">
        <v>39011015</v>
      </c>
      <c r="B16" s="47">
        <v>0</v>
      </c>
      <c r="C16" s="47" t="s">
        <v>53</v>
      </c>
      <c r="D16" s="47">
        <v>100</v>
      </c>
      <c r="E16" s="47" t="s">
        <v>53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0"/>
        <v>100</v>
      </c>
    </row>
    <row r="17" spans="1:10" ht="21" customHeight="1" x14ac:dyDescent="0.15">
      <c r="A17" s="47">
        <v>39011016</v>
      </c>
      <c r="B17" s="47">
        <v>1</v>
      </c>
      <c r="C17" s="47" t="s">
        <v>53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 t="s">
        <v>53</v>
      </c>
      <c r="J17" s="48">
        <f t="shared" si="0"/>
        <v>100</v>
      </c>
    </row>
    <row r="18" spans="1:10" ht="21" customHeight="1" x14ac:dyDescent="0.15">
      <c r="A18" s="47">
        <v>39011017</v>
      </c>
      <c r="B18" s="47">
        <v>0</v>
      </c>
      <c r="C18" s="47" t="s">
        <v>53</v>
      </c>
      <c r="D18" s="47">
        <v>30</v>
      </c>
      <c r="E18" s="47" t="s">
        <v>53</v>
      </c>
      <c r="F18" s="47" t="s">
        <v>53</v>
      </c>
      <c r="G18" s="47" t="s">
        <v>53</v>
      </c>
      <c r="H18" s="47" t="s">
        <v>53</v>
      </c>
      <c r="I18" s="47" t="s">
        <v>53</v>
      </c>
      <c r="J18" s="48">
        <f>D18</f>
        <v>30</v>
      </c>
    </row>
    <row r="19" spans="1:10" ht="21" customHeight="1" x14ac:dyDescent="0.15">
      <c r="A19" s="47">
        <v>39011018</v>
      </c>
      <c r="B19" s="47">
        <v>1</v>
      </c>
      <c r="C19" s="47">
        <v>3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>
        <v>712</v>
      </c>
      <c r="J19" s="48">
        <f t="shared" si="0"/>
        <v>100</v>
      </c>
    </row>
    <row r="20" spans="1:10" ht="21" customHeight="1" x14ac:dyDescent="0.15">
      <c r="A20" s="47">
        <v>39011019</v>
      </c>
      <c r="B20" s="47">
        <v>1</v>
      </c>
      <c r="C20" s="47">
        <v>4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713</v>
      </c>
      <c r="J20" s="48">
        <f t="shared" si="0"/>
        <v>100</v>
      </c>
    </row>
    <row r="21" spans="1:10" ht="21" customHeight="1" x14ac:dyDescent="0.15">
      <c r="A21" s="47">
        <v>39011020</v>
      </c>
      <c r="B21" s="47">
        <v>1</v>
      </c>
      <c r="C21" s="47" t="s">
        <v>53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 t="s">
        <v>53</v>
      </c>
      <c r="J21" s="48">
        <f t="shared" si="0"/>
        <v>100</v>
      </c>
    </row>
    <row r="22" spans="1:10" ht="21" customHeight="1" x14ac:dyDescent="0.15">
      <c r="A22" s="47">
        <v>39011021</v>
      </c>
      <c r="B22" s="47">
        <v>0</v>
      </c>
      <c r="C22" s="47">
        <v>2</v>
      </c>
      <c r="D22" s="47">
        <v>30</v>
      </c>
      <c r="E22" s="47" t="s">
        <v>53</v>
      </c>
      <c r="F22" s="47" t="s">
        <v>53</v>
      </c>
      <c r="G22" s="47" t="s">
        <v>53</v>
      </c>
      <c r="H22" s="47" t="s">
        <v>53</v>
      </c>
      <c r="I22" s="47" t="s">
        <v>53</v>
      </c>
      <c r="J22" s="48">
        <f t="shared" si="0"/>
        <v>30</v>
      </c>
    </row>
    <row r="23" spans="1:10" ht="21" customHeight="1" x14ac:dyDescent="0.15">
      <c r="A23" s="47">
        <v>39011022</v>
      </c>
      <c r="B23" s="47">
        <v>0</v>
      </c>
      <c r="C23" s="47">
        <v>1</v>
      </c>
      <c r="D23" s="47">
        <v>50</v>
      </c>
      <c r="E23" s="47" t="s">
        <v>53</v>
      </c>
      <c r="F23" s="47" t="s">
        <v>53</v>
      </c>
      <c r="G23" s="47" t="s">
        <v>53</v>
      </c>
      <c r="H23" s="47" t="s">
        <v>53</v>
      </c>
      <c r="I23" s="47" t="s">
        <v>53</v>
      </c>
      <c r="J23" s="48">
        <f t="shared" si="0"/>
        <v>50</v>
      </c>
    </row>
    <row r="24" spans="1:10" ht="21" customHeight="1" x14ac:dyDescent="0.15">
      <c r="A24" s="47">
        <v>39011023</v>
      </c>
      <c r="B24" s="47">
        <v>0</v>
      </c>
      <c r="C24" s="47" t="s">
        <v>331</v>
      </c>
      <c r="D24" s="47">
        <v>100</v>
      </c>
      <c r="E24" s="47" t="s">
        <v>53</v>
      </c>
      <c r="F24" s="47" t="s">
        <v>53</v>
      </c>
      <c r="G24" s="47" t="s">
        <v>53</v>
      </c>
      <c r="H24" s="47">
        <v>2</v>
      </c>
      <c r="I24" s="47" t="s">
        <v>53</v>
      </c>
      <c r="J24" s="48">
        <f t="shared" si="0"/>
        <v>100</v>
      </c>
    </row>
    <row r="25" spans="1:10" ht="21" customHeight="1" x14ac:dyDescent="0.15">
      <c r="A25" s="47">
        <v>39011024</v>
      </c>
      <c r="B25" s="47">
        <v>1</v>
      </c>
      <c r="C25" s="47">
        <v>1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>
        <v>712</v>
      </c>
      <c r="J25" s="48">
        <f t="shared" si="0"/>
        <v>100</v>
      </c>
    </row>
    <row r="26" spans="1:10" ht="21" customHeight="1" x14ac:dyDescent="0.15">
      <c r="A26" s="47">
        <v>39011025</v>
      </c>
      <c r="B26" s="47">
        <v>1</v>
      </c>
      <c r="C26" s="47">
        <v>2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>
        <v>713</v>
      </c>
      <c r="J26" s="48">
        <f t="shared" si="0"/>
        <v>100</v>
      </c>
    </row>
    <row r="27" spans="1:10" ht="21" customHeight="1" x14ac:dyDescent="0.15">
      <c r="A27" s="47">
        <v>39011026</v>
      </c>
      <c r="B27" s="47">
        <v>1</v>
      </c>
      <c r="C27" s="47" t="s">
        <v>53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 t="s">
        <v>53</v>
      </c>
      <c r="J27" s="48">
        <f t="shared" si="0"/>
        <v>100</v>
      </c>
    </row>
    <row r="28" spans="1:10" ht="21" customHeight="1" x14ac:dyDescent="0.15">
      <c r="A28" s="47">
        <v>39011027</v>
      </c>
      <c r="B28" s="47">
        <v>0</v>
      </c>
      <c r="C28" s="47">
        <v>3</v>
      </c>
      <c r="D28" s="47">
        <v>100</v>
      </c>
      <c r="E28" s="47">
        <v>30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si="0"/>
        <v>100</v>
      </c>
    </row>
    <row r="29" spans="1:10" ht="21" customHeight="1" x14ac:dyDescent="0.15">
      <c r="A29" s="47">
        <v>39011028</v>
      </c>
      <c r="B29" s="47">
        <v>0</v>
      </c>
      <c r="C29" s="47">
        <v>4</v>
      </c>
      <c r="D29" s="47">
        <v>100</v>
      </c>
      <c r="E29" s="47" t="s">
        <v>53</v>
      </c>
      <c r="F29" s="47" t="s">
        <v>53</v>
      </c>
      <c r="G29" s="47">
        <v>0</v>
      </c>
      <c r="H29" s="47" t="s">
        <v>53</v>
      </c>
      <c r="I29" s="47">
        <v>712</v>
      </c>
      <c r="J29" s="48">
        <f t="shared" si="0"/>
        <v>100</v>
      </c>
    </row>
    <row r="30" spans="1:10" ht="21" customHeight="1" x14ac:dyDescent="0.15">
      <c r="A30" s="47">
        <v>39011029</v>
      </c>
      <c r="B30" s="47">
        <v>0</v>
      </c>
      <c r="C30" s="47">
        <v>5</v>
      </c>
      <c r="D30" s="47">
        <v>100</v>
      </c>
      <c r="E30" s="47" t="s">
        <v>53</v>
      </c>
      <c r="F30" s="47" t="s">
        <v>53</v>
      </c>
      <c r="G30" s="47">
        <v>0</v>
      </c>
      <c r="H30" s="47" t="s">
        <v>53</v>
      </c>
      <c r="I30" s="47">
        <v>713</v>
      </c>
      <c r="J30" s="48">
        <f t="shared" si="0"/>
        <v>100</v>
      </c>
    </row>
    <row r="31" spans="1:10" ht="21" customHeight="1" x14ac:dyDescent="0.15">
      <c r="A31" s="47">
        <v>39011030</v>
      </c>
      <c r="B31" s="47">
        <v>0</v>
      </c>
      <c r="C31" s="47" t="s">
        <v>53</v>
      </c>
      <c r="D31" s="47">
        <v>100</v>
      </c>
      <c r="E31" s="47" t="s">
        <v>53</v>
      </c>
      <c r="F31" s="47" t="s">
        <v>53</v>
      </c>
      <c r="G31" s="47" t="s">
        <v>53</v>
      </c>
      <c r="H31" s="47" t="s">
        <v>53</v>
      </c>
      <c r="I31" s="47" t="s">
        <v>53</v>
      </c>
      <c r="J31" s="48">
        <f t="shared" si="0"/>
        <v>100</v>
      </c>
    </row>
    <row r="32" spans="1:10" ht="21" customHeight="1" x14ac:dyDescent="0.15">
      <c r="A32" s="47">
        <v>39011031</v>
      </c>
      <c r="B32" s="47">
        <v>0</v>
      </c>
      <c r="C32" s="47" t="s">
        <v>53</v>
      </c>
      <c r="D32" s="47">
        <v>100</v>
      </c>
      <c r="E32" s="47" t="s">
        <v>53</v>
      </c>
      <c r="F32" s="47" t="s">
        <v>53</v>
      </c>
      <c r="G32" s="47" t="s">
        <v>53</v>
      </c>
      <c r="H32" s="47">
        <v>2</v>
      </c>
      <c r="I32" s="47" t="s">
        <v>53</v>
      </c>
      <c r="J32" s="48">
        <f t="shared" si="0"/>
        <v>100</v>
      </c>
    </row>
    <row r="33" spans="1:10" ht="21" customHeight="1" x14ac:dyDescent="0.15">
      <c r="A33" s="47">
        <v>39011032</v>
      </c>
      <c r="B33" s="47">
        <v>0</v>
      </c>
      <c r="C33" s="47" t="s">
        <v>53</v>
      </c>
      <c r="D33" s="47">
        <v>100</v>
      </c>
      <c r="E33" s="47" t="s">
        <v>53</v>
      </c>
      <c r="F33" s="47" t="s">
        <v>53</v>
      </c>
      <c r="G33" s="47">
        <v>3</v>
      </c>
      <c r="H33" s="47" t="s">
        <v>53</v>
      </c>
      <c r="I33" s="47" t="s">
        <v>53</v>
      </c>
      <c r="J33" s="48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"/>
  <sheetViews>
    <sheetView showGridLines="0" workbookViewId="0">
      <pane xSplit="5" ySplit="1" topLeftCell="F10" activePane="bottomRight" state="frozen"/>
      <selection pane="topRight"/>
      <selection pane="bottomLeft"/>
      <selection pane="bottomRight" activeCell="F11" sqref="F1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9" si="0">B2&amp;"_"&amp;C2</f>
        <v>39011001_39011001</v>
      </c>
      <c r="B2" s="47">
        <v>39011001</v>
      </c>
      <c r="C2" s="47">
        <v>39011001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ヒール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全体回復</v>
      </c>
      <c r="F2" s="47">
        <v>39011001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39011002_39011002</v>
      </c>
      <c r="B3" s="47">
        <v>39011002</v>
      </c>
      <c r="C3" s="47">
        <v>39011002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ナビ・タイム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3ターン敵全体の攻撃頻度UP</v>
      </c>
      <c r="F3" s="47">
        <v>39011002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39011002_39011003</v>
      </c>
      <c r="B4" s="47">
        <v>39011002</v>
      </c>
      <c r="C4" s="47">
        <v>39011003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ブリザード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7">
        <v>39011003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39011003_39011004</v>
      </c>
      <c r="B5" s="47">
        <v>39011003</v>
      </c>
      <c r="C5" s="47">
        <v>39011004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メガヒール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全体回復</v>
      </c>
      <c r="F5" s="47">
        <v>39011004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05"/>
      <c r="Q5" s="105"/>
      <c r="R5" s="105"/>
    </row>
    <row r="6" spans="1:18" ht="21" customHeight="1" x14ac:dyDescent="0.15">
      <c r="A6" s="39" t="str">
        <f t="shared" si="0"/>
        <v>39011003_39011005</v>
      </c>
      <c r="B6" s="47">
        <v>39011003</v>
      </c>
      <c r="C6" s="47">
        <v>39011005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フロストノヴァ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39011005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105"/>
      <c r="Q6" s="105"/>
      <c r="R6" s="105"/>
    </row>
    <row r="7" spans="1:18" ht="21" customHeight="1" x14ac:dyDescent="0.15">
      <c r="A7" s="39" t="str">
        <f t="shared" si="0"/>
        <v>39011004_39011006</v>
      </c>
      <c r="B7" s="47">
        <v>39011004</v>
      </c>
      <c r="C7" s="47">
        <v>39011006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青剛の力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3ターン敵全体の攻撃力UP</v>
      </c>
      <c r="F7" s="47">
        <v>39011006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05"/>
      <c r="Q7" s="105"/>
      <c r="R7" s="105"/>
    </row>
    <row r="8" spans="1:18" ht="21" customHeight="1" x14ac:dyDescent="0.15">
      <c r="A8" s="39" t="str">
        <f t="shared" si="0"/>
        <v>39011004_39011007</v>
      </c>
      <c r="B8" s="47">
        <v>39011004</v>
      </c>
      <c r="C8" s="47">
        <v>39011007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ターミネーター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47">
        <v>39011007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105"/>
      <c r="Q8" s="105"/>
      <c r="R8" s="105"/>
    </row>
    <row r="9" spans="1:18" ht="21" customHeight="1" x14ac:dyDescent="0.15">
      <c r="A9" s="39" t="str">
        <f t="shared" si="0"/>
        <v>39011005_39011008</v>
      </c>
      <c r="B9" s="47">
        <v>39011005</v>
      </c>
      <c r="C9" s="47">
        <v>39011008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アイスエイジ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39011008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05"/>
      <c r="Q9" s="105"/>
      <c r="R9" s="105"/>
    </row>
    <row r="10" spans="1:18" ht="21" customHeight="1" x14ac:dyDescent="0.15">
      <c r="A10" s="39" t="str">
        <f t="shared" si="0"/>
        <v>39011006_39011009</v>
      </c>
      <c r="B10" s="47">
        <v>39011006</v>
      </c>
      <c r="C10" s="47">
        <v>39011009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記憶を穿つ秘剣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Cパネルを吸収して全体攻撃</v>
      </c>
      <c r="F10" s="47">
        <v>39011009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05"/>
      <c r="Q10" s="105"/>
      <c r="R10" s="105"/>
    </row>
    <row r="11" spans="1:18" ht="21" customHeight="1" x14ac:dyDescent="0.15">
      <c r="A11" s="39" t="str">
        <f t="shared" si="0"/>
        <v>39011006_39011010</v>
      </c>
      <c r="B11" s="47">
        <v>39011006</v>
      </c>
      <c r="C11" s="47">
        <v>39011010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緊縛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2回連続攻撃+ユニット単体に2ターンスキルバインド</v>
      </c>
      <c r="F11" s="47">
        <v>39011010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05"/>
      <c r="Q11" s="105"/>
      <c r="R11" s="105"/>
    </row>
    <row r="12" spans="1:18" ht="21" customHeight="1" x14ac:dyDescent="0.15">
      <c r="A12" s="39" t="str">
        <f t="shared" si="0"/>
        <v>39011007_39011011</v>
      </c>
      <c r="B12" s="47">
        <v>39011007</v>
      </c>
      <c r="C12" s="47">
        <v>39011011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フリーズドライ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全体攻撃+青パネルプロテクト</v>
      </c>
      <c r="F12" s="47">
        <v>39011011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05"/>
      <c r="Q12" s="105"/>
      <c r="R12" s="105"/>
    </row>
    <row r="13" spans="1:18" ht="21" customHeight="1" x14ac:dyDescent="0.15">
      <c r="A13" s="39" t="str">
        <f t="shared" si="0"/>
        <v>39011007_39011012</v>
      </c>
      <c r="B13" s="47">
        <v>39011007</v>
      </c>
      <c r="C13" s="47">
        <v>39011012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ファナティック・ウェイブ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13" s="47">
        <v>39011012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05"/>
      <c r="Q13" s="105"/>
      <c r="R13" s="105"/>
    </row>
    <row r="14" spans="1:18" ht="21" customHeight="1" x14ac:dyDescent="0.15">
      <c r="A14" s="39" t="str">
        <f t="shared" si="0"/>
        <v>39011007_39011013</v>
      </c>
      <c r="B14" s="47">
        <v>39011007</v>
      </c>
      <c r="C14" s="47">
        <v>39011013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オキシゲン・デストロイ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ユニット全体に2222固定ダメージ</v>
      </c>
      <c r="F14" s="47">
        <v>39011013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5"/>
      <c r="Q14" s="105"/>
      <c r="R14" s="105"/>
    </row>
    <row r="15" spans="1:18" ht="21" customHeight="1" x14ac:dyDescent="0.15">
      <c r="A15" s="39" t="str">
        <f t="shared" si="0"/>
        <v>39011008_39011014</v>
      </c>
      <c r="B15" s="47">
        <v>39011008</v>
      </c>
      <c r="C15" s="47">
        <v>39011014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傀儡の茶会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3ターンユニット全体のタップ回数を1DOWN</v>
      </c>
      <c r="F15" s="47">
        <v>39011014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05"/>
      <c r="Q15" s="105"/>
      <c r="R15" s="105"/>
    </row>
    <row r="16" spans="1:18" ht="21" customHeight="1" x14ac:dyDescent="0.15">
      <c r="A16" s="39" t="str">
        <f t="shared" si="0"/>
        <v>39011008_39011015</v>
      </c>
      <c r="B16" s="47">
        <v>39011008</v>
      </c>
      <c r="C16" s="47">
        <v>39011015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ちゃっかり吸血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単体攻撃+自己回復</v>
      </c>
      <c r="F16" s="47">
        <v>39011015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05"/>
      <c r="Q16" s="105"/>
      <c r="R16" s="105"/>
    </row>
    <row r="17" spans="1:18" ht="21" customHeight="1" x14ac:dyDescent="0.15">
      <c r="A17" s="39" t="str">
        <f t="shared" si="0"/>
        <v>39011009_39011016</v>
      </c>
      <c r="B17" s="47">
        <v>39011009</v>
      </c>
      <c r="C17" s="47">
        <v>39011016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煙幕弾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ユニット全体に1ターン暗闇</v>
      </c>
      <c r="F17" s="47">
        <v>39011016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05"/>
      <c r="Q17" s="105"/>
      <c r="R17" s="105"/>
    </row>
    <row r="18" spans="1:18" ht="21" customHeight="1" x14ac:dyDescent="0.15">
      <c r="A18" s="39" t="str">
        <f t="shared" si="0"/>
        <v>39011009_39011017</v>
      </c>
      <c r="B18" s="47">
        <v>39011009</v>
      </c>
      <c r="C18" s="47">
        <v>39011017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三千世界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8" s="47">
        <v>39011017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8" s="105"/>
      <c r="Q18" s="105"/>
      <c r="R18" s="105"/>
    </row>
    <row r="19" spans="1:18" ht="21" customHeight="1" x14ac:dyDescent="0.15">
      <c r="A19" s="39" t="str">
        <f t="shared" si="0"/>
        <v>39011010_39011018</v>
      </c>
      <c r="B19" s="47">
        <v>39011010</v>
      </c>
      <c r="C19" s="47">
        <v>39011018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先輩、相談したいことがあります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19" s="47">
        <v>39011018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05"/>
      <c r="Q19" s="105"/>
      <c r="R19" s="105"/>
    </row>
    <row r="20" spans="1:18" ht="21" customHeight="1" x14ac:dyDescent="0.15">
      <c r="A20" s="39" t="str">
        <f t="shared" si="0"/>
        <v>39011010_39011018</v>
      </c>
      <c r="B20" s="47">
        <v>39011010</v>
      </c>
      <c r="C20" s="47">
        <v>39011018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先輩、相談したいことがあります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20" s="47">
        <v>39011019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05"/>
      <c r="Q20" s="105"/>
      <c r="R20" s="105"/>
    </row>
    <row r="21" spans="1:18" ht="21" customHeight="1" x14ac:dyDescent="0.15">
      <c r="A21" s="39" t="str">
        <f t="shared" si="0"/>
        <v>39011010_39011019</v>
      </c>
      <c r="B21" s="47">
        <v>39011010</v>
      </c>
      <c r="C21" s="47">
        <v>39011019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このチーム名の由来を知ってますか？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青パネルドロップ率UP</v>
      </c>
      <c r="F21" s="47">
        <v>39011020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05"/>
      <c r="Q21" s="105"/>
      <c r="R21" s="105"/>
    </row>
    <row r="22" spans="1:18" ht="21" customHeight="1" x14ac:dyDescent="0.15">
      <c r="A22" s="39" t="str">
        <f t="shared" si="0"/>
        <v>39011010_39011020</v>
      </c>
      <c r="B22" s="47">
        <v>39011010</v>
      </c>
      <c r="C22" s="47">
        <v>39011020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これならどうですか？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青パネルを吸収して全体攻撃(最大8個)</v>
      </c>
      <c r="F22" s="47">
        <v>39011021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2" s="105"/>
      <c r="Q22" s="105"/>
      <c r="R22" s="105"/>
    </row>
    <row r="23" spans="1:18" ht="21" customHeight="1" x14ac:dyDescent="0.15">
      <c r="A23" s="39" t="str">
        <f t="shared" si="0"/>
        <v>39011010_39011021</v>
      </c>
      <c r="B23" s="47">
        <v>39011010</v>
      </c>
      <c r="C23" s="47">
        <v>39011021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さすがですね！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単体攻撃+黄パネルを青パネルに8個変換</v>
      </c>
      <c r="F23" s="47">
        <v>39011022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105"/>
      <c r="Q23" s="105"/>
      <c r="R23" s="105"/>
    </row>
    <row r="24" spans="1:18" ht="21" customHeight="1" x14ac:dyDescent="0.15">
      <c r="A24" s="39" t="str">
        <f t="shared" si="0"/>
        <v>39011010_39011022</v>
      </c>
      <c r="B24" s="47">
        <v>39011010</v>
      </c>
      <c r="C24" s="47">
        <v>39011022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まだまだ行きますよ？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4" s="47">
        <v>39011023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05"/>
      <c r="Q24" s="105"/>
      <c r="R24" s="105"/>
    </row>
    <row r="25" spans="1:18" ht="21" customHeight="1" x14ac:dyDescent="0.15">
      <c r="A25" s="39" t="str">
        <f t="shared" si="0"/>
        <v>39011011_39011023</v>
      </c>
      <c r="B25" s="47">
        <v>39011011</v>
      </c>
      <c r="C25" s="47">
        <v>39011023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僕らブルースクウェアの_x000D_リーダーになって欲しいんですよ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青パネル無効</v>
      </c>
      <c r="F25" s="47">
        <v>39011024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05"/>
      <c r="Q25" s="105"/>
      <c r="R25" s="105"/>
    </row>
    <row r="26" spans="1:18" ht="21" customHeight="1" x14ac:dyDescent="0.15">
      <c r="A26" s="39" t="str">
        <f t="shared" si="0"/>
        <v>39011011_39011023</v>
      </c>
      <c r="B26" s="47">
        <v>39011011</v>
      </c>
      <c r="C26" s="47">
        <v>39011023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僕らブルースクウェアの_x000D_リーダーになって欲しいんですよ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青パネル無効</v>
      </c>
      <c r="F26" s="47">
        <v>39011025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05"/>
      <c r="Q26" s="105"/>
      <c r="R26" s="105"/>
    </row>
    <row r="27" spans="1:18" ht="21" customHeight="1" x14ac:dyDescent="0.15">
      <c r="A27" s="39" t="str">
        <f t="shared" si="0"/>
        <v>39011011_39011024</v>
      </c>
      <c r="B27" s="47">
        <v>39011011</v>
      </c>
      <c r="C27" s="47">
        <v>39011024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先輩以外に興味はないんです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青パネル無効</v>
      </c>
      <c r="F27" s="47">
        <v>39011026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05"/>
      <c r="Q27" s="105"/>
      <c r="R27" s="105"/>
    </row>
    <row r="28" spans="1:18" ht="21" customHeight="1" x14ac:dyDescent="0.15">
      <c r="A28" s="39" t="str">
        <f t="shared" si="0"/>
        <v>39011011_39011020</v>
      </c>
      <c r="B28" s="47">
        <v>39011011</v>
      </c>
      <c r="C28" s="47">
        <v>39011020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これならどうですか？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青パネルを吸収して全体攻撃(最大8個)</v>
      </c>
      <c r="F28" s="47">
        <v>39011021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8" s="105"/>
      <c r="Q28" s="105"/>
      <c r="R28" s="105"/>
    </row>
    <row r="29" spans="1:18" ht="21" customHeight="1" x14ac:dyDescent="0.15">
      <c r="A29" s="39" t="str">
        <f t="shared" si="0"/>
        <v>39011011_39011021</v>
      </c>
      <c r="B29" s="47">
        <v>39011011</v>
      </c>
      <c r="C29" s="47">
        <v>39011021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さすがですね！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単体攻撃+黄パネルを青パネルに8個変換</v>
      </c>
      <c r="F29" s="47">
        <v>39011022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105"/>
      <c r="Q29" s="105"/>
      <c r="R29" s="105"/>
    </row>
    <row r="30" spans="1:18" ht="21" customHeight="1" x14ac:dyDescent="0.15">
      <c r="A30" s="39" t="str">
        <f t="shared" si="0"/>
        <v>39011011_39011022</v>
      </c>
      <c r="B30" s="47">
        <v>39011011</v>
      </c>
      <c r="C30" s="47">
        <v>39011022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まだまだ行きますよ？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0" s="47">
        <v>39011023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05"/>
      <c r="Q30" s="105"/>
      <c r="R30" s="105"/>
    </row>
    <row r="31" spans="1:18" ht="21" customHeight="1" x14ac:dyDescent="0.15">
      <c r="A31" s="39" t="str">
        <f t="shared" si="0"/>
        <v>39011011_39011025</v>
      </c>
      <c r="B31" s="47">
        <v>39011011</v>
      </c>
      <c r="C31" s="47">
        <v>39011025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少し黙ってください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全体攻撃+ユニット全体に4ターンスキルバインド</v>
      </c>
      <c r="F31" s="47">
        <v>39011027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05"/>
      <c r="Q31" s="105"/>
      <c r="R31" s="105"/>
    </row>
    <row r="32" spans="1:18" ht="21" customHeight="1" x14ac:dyDescent="0.15">
      <c r="A32" s="39" t="str">
        <f t="shared" si="0"/>
        <v>39011011_39011026</v>
      </c>
      <c r="B32" s="47">
        <v>39011011</v>
      </c>
      <c r="C32" s="47">
        <v>39011026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この、僕の血に濡れた紙が契約書だ・・・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今日から帝人先輩は・・・僕たちのリーダーですよ</v>
      </c>
      <c r="F32" s="47">
        <v>39011028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712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05"/>
      <c r="Q32" s="105"/>
      <c r="R32" s="105"/>
    </row>
    <row r="33" spans="1:18" ht="21" customHeight="1" x14ac:dyDescent="0.15">
      <c r="A33" s="39" t="str">
        <f t="shared" si="0"/>
        <v>39011011_39011026</v>
      </c>
      <c r="B33" s="47">
        <v>39011011</v>
      </c>
      <c r="C33" s="47">
        <v>39011026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この、僕の血に濡れた紙が契約書だ・・・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今日から帝人先輩は・・・僕たちのリーダーですよ</v>
      </c>
      <c r="F33" s="47">
        <v>39011029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713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105"/>
      <c r="Q33" s="105"/>
      <c r="R33" s="105"/>
    </row>
    <row r="34" spans="1:18" ht="21" customHeight="1" x14ac:dyDescent="0.15">
      <c r="A34" s="39" t="str">
        <f t="shared" si="0"/>
        <v>39011012_39011027</v>
      </c>
      <c r="B34" s="47">
        <v>39011012</v>
      </c>
      <c r="C34" s="47">
        <v>39011027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マシンブレイカー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種族マシンのユニットに大ダメージの単体攻撃</v>
      </c>
      <c r="F34" s="47">
        <v>39011030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05"/>
      <c r="Q34" s="105"/>
      <c r="R34" s="105"/>
    </row>
    <row r="35" spans="1:18" ht="21" customHeight="1" x14ac:dyDescent="0.15">
      <c r="A35" s="39" t="str">
        <f t="shared" si="0"/>
        <v>39011012_39011028</v>
      </c>
      <c r="B35" s="47">
        <v>39011012</v>
      </c>
      <c r="C35" s="47">
        <v>39011028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フルボッコ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5" s="47">
        <v>39011031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05"/>
      <c r="Q35" s="105"/>
      <c r="R35" s="105"/>
    </row>
    <row r="36" spans="1:18" ht="21" customHeight="1" x14ac:dyDescent="0.15">
      <c r="A36" s="39" t="str">
        <f t="shared" si="0"/>
        <v>39011013_39011007</v>
      </c>
      <c r="B36" s="47">
        <v>39011013</v>
      </c>
      <c r="C36" s="47">
        <v>39011007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ターミネーター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6" s="47">
        <v>39011007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6" s="105"/>
      <c r="Q36" s="105"/>
      <c r="R36" s="105"/>
    </row>
    <row r="37" spans="1:18" ht="21" customHeight="1" x14ac:dyDescent="0.15">
      <c r="A37" s="39" t="str">
        <f t="shared" si="0"/>
        <v>39011014_39011012</v>
      </c>
      <c r="B37" s="47">
        <v>39011014</v>
      </c>
      <c r="C37" s="47">
        <v>39011012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ファナティック・ウェイブ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37" s="47">
        <v>39011012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05"/>
      <c r="Q37" s="105"/>
      <c r="R37" s="105"/>
    </row>
    <row r="38" spans="1:18" ht="21" customHeight="1" x14ac:dyDescent="0.15">
      <c r="A38" s="39" t="str">
        <f t="shared" si="0"/>
        <v>39011015_39011014</v>
      </c>
      <c r="B38" s="47">
        <v>39011015</v>
      </c>
      <c r="C38" s="47">
        <v>39011014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傀儡の茶会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3ターンユニット全体のタップ回数を1DOWN</v>
      </c>
      <c r="F38" s="47">
        <v>39011014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05"/>
      <c r="Q38" s="105"/>
      <c r="R38" s="105"/>
    </row>
    <row r="39" spans="1:18" ht="21" customHeight="1" x14ac:dyDescent="0.15">
      <c r="A39" s="39" t="str">
        <f t="shared" si="0"/>
        <v>39011015_39011015</v>
      </c>
      <c r="B39" s="47">
        <v>39011015</v>
      </c>
      <c r="C39" s="47">
        <v>39011015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ちゃっかり吸血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単体攻撃+自己回復</v>
      </c>
      <c r="F39" s="47">
        <v>39011032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05"/>
      <c r="Q39" s="105"/>
      <c r="R39" s="10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3"/>
  <sheetViews>
    <sheetView tabSelected="1" topLeftCell="A25" workbookViewId="0">
      <selection activeCell="F10" sqref="F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1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123">
        <f>floors!$C$2</f>
        <v>39011</v>
      </c>
      <c r="B2" s="80">
        <v>1</v>
      </c>
      <c r="C2" s="70" t="str">
        <f>A2&amp; "_"&amp;B2</f>
        <v>39011_1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0">
        <v>1</v>
      </c>
      <c r="F2" s="80" t="s">
        <v>167</v>
      </c>
      <c r="G2" s="80">
        <v>1700</v>
      </c>
      <c r="H2" s="80" t="s">
        <v>325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250</v>
      </c>
      <c r="Q2" s="80" t="s">
        <v>168</v>
      </c>
      <c r="R2" s="80" t="s">
        <v>169</v>
      </c>
    </row>
    <row r="3" spans="1:18" x14ac:dyDescent="0.15">
      <c r="A3" s="123">
        <f>floors!$C$2</f>
        <v>39011</v>
      </c>
      <c r="B3" s="80">
        <v>1</v>
      </c>
      <c r="C3" s="70" t="str">
        <f t="shared" ref="C3:C43" si="0">A3&amp; "_"&amp;B3</f>
        <v>39011_1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0">
        <v>2</v>
      </c>
      <c r="F3" s="80" t="s">
        <v>323</v>
      </c>
      <c r="G3" s="80">
        <v>20</v>
      </c>
      <c r="H3" s="80" t="s">
        <v>325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250</v>
      </c>
      <c r="Q3" s="80" t="s">
        <v>168</v>
      </c>
      <c r="R3" s="80" t="s">
        <v>169</v>
      </c>
    </row>
    <row r="4" spans="1:18" x14ac:dyDescent="0.15">
      <c r="A4" s="123">
        <f>floors!$C$2</f>
        <v>39011</v>
      </c>
      <c r="B4" s="80">
        <v>1</v>
      </c>
      <c r="C4" s="70" t="str">
        <f t="shared" si="0"/>
        <v>39011_1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0">
        <v>3</v>
      </c>
      <c r="F4" s="80" t="s">
        <v>324</v>
      </c>
      <c r="G4" s="57">
        <v>340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98</v>
      </c>
      <c r="Q4" s="80" t="s">
        <v>168</v>
      </c>
      <c r="R4" s="80" t="s">
        <v>169</v>
      </c>
    </row>
    <row r="5" spans="1:18" x14ac:dyDescent="0.15">
      <c r="A5" s="123">
        <f>floors!$C$2</f>
        <v>39011</v>
      </c>
      <c r="B5" s="80">
        <v>1</v>
      </c>
      <c r="C5" s="70" t="str">
        <f t="shared" si="0"/>
        <v>39011_1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0">
        <v>4</v>
      </c>
      <c r="F5" s="80" t="s">
        <v>324</v>
      </c>
      <c r="G5" s="57">
        <v>341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42</v>
      </c>
      <c r="Q5" s="80" t="s">
        <v>168</v>
      </c>
      <c r="R5" s="80" t="s">
        <v>169</v>
      </c>
    </row>
    <row r="6" spans="1:18" x14ac:dyDescent="0.15">
      <c r="A6" s="123">
        <f>floors!$C$2</f>
        <v>39011</v>
      </c>
      <c r="B6" s="80">
        <v>1</v>
      </c>
      <c r="C6" s="70" t="str">
        <f t="shared" si="0"/>
        <v>39011_1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0">
        <v>5</v>
      </c>
      <c r="F6" s="80" t="s">
        <v>324</v>
      </c>
      <c r="G6" s="57">
        <v>121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50</v>
      </c>
      <c r="Q6" s="80" t="s">
        <v>168</v>
      </c>
      <c r="R6" s="80" t="s">
        <v>169</v>
      </c>
    </row>
    <row r="7" spans="1:18" x14ac:dyDescent="0.15">
      <c r="A7" s="123">
        <f>floors!$C$2</f>
        <v>39011</v>
      </c>
      <c r="B7" s="80">
        <v>1</v>
      </c>
      <c r="C7" s="70" t="str">
        <f t="shared" si="0"/>
        <v>39011_1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0">
        <v>6</v>
      </c>
      <c r="F7" s="80" t="s">
        <v>324</v>
      </c>
      <c r="G7" s="57">
        <v>122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50</v>
      </c>
      <c r="Q7" s="80" t="s">
        <v>168</v>
      </c>
      <c r="R7" s="80" t="s">
        <v>169</v>
      </c>
    </row>
    <row r="8" spans="1:18" x14ac:dyDescent="0.15">
      <c r="A8" s="123">
        <f>floors!$C$2</f>
        <v>39011</v>
      </c>
      <c r="B8" s="80">
        <v>1</v>
      </c>
      <c r="C8" s="70" t="str">
        <f t="shared" si="0"/>
        <v>39011_1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0">
        <v>7</v>
      </c>
      <c r="F8" s="80" t="s">
        <v>324</v>
      </c>
      <c r="G8" s="57">
        <v>123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80">
        <v>50</v>
      </c>
      <c r="Q8" s="80" t="s">
        <v>168</v>
      </c>
      <c r="R8" s="80" t="s">
        <v>169</v>
      </c>
    </row>
    <row r="9" spans="1:18" x14ac:dyDescent="0.15">
      <c r="A9" s="123">
        <f>floors!$C$2</f>
        <v>39011</v>
      </c>
      <c r="B9" s="80">
        <v>1</v>
      </c>
      <c r="C9" s="70" t="str">
        <f t="shared" si="0"/>
        <v>39011_1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0">
        <v>8</v>
      </c>
      <c r="F9" s="80" t="s">
        <v>324</v>
      </c>
      <c r="G9" s="57">
        <v>125</v>
      </c>
      <c r="H9" s="80">
        <v>1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10</v>
      </c>
      <c r="Q9" s="80" t="s">
        <v>168</v>
      </c>
      <c r="R9" s="80" t="s">
        <v>169</v>
      </c>
    </row>
    <row r="10" spans="1:18" x14ac:dyDescent="0.15">
      <c r="A10" s="123">
        <f>floors!$C$2</f>
        <v>39011</v>
      </c>
      <c r="B10" s="80">
        <v>1</v>
      </c>
      <c r="C10" s="70" t="str">
        <f t="shared" si="0"/>
        <v>39011_1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0">
        <v>9</v>
      </c>
      <c r="F10" s="80" t="s">
        <v>324</v>
      </c>
      <c r="G10" s="124">
        <v>691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50</v>
      </c>
      <c r="Q10" s="80" t="s">
        <v>168</v>
      </c>
      <c r="R10" s="80" t="s">
        <v>169</v>
      </c>
    </row>
    <row r="11" spans="1:18" ht="16" thickBot="1" x14ac:dyDescent="0.2">
      <c r="A11" s="125">
        <f>floors!$C$2</f>
        <v>39011</v>
      </c>
      <c r="B11" s="126">
        <v>1</v>
      </c>
      <c r="C11" s="127" t="str">
        <f t="shared" si="0"/>
        <v>39011_1</v>
      </c>
      <c r="D11" s="12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6">
        <v>10</v>
      </c>
      <c r="F11" s="126" t="s">
        <v>324</v>
      </c>
      <c r="G11" s="126">
        <v>352</v>
      </c>
      <c r="H11" s="126">
        <v>1</v>
      </c>
      <c r="I11" s="126">
        <v>1</v>
      </c>
      <c r="J11" s="126">
        <v>1</v>
      </c>
      <c r="K11" s="126">
        <v>0</v>
      </c>
      <c r="L11" s="126">
        <v>0</v>
      </c>
      <c r="M11" s="126">
        <v>0</v>
      </c>
      <c r="N11" s="126">
        <v>0</v>
      </c>
      <c r="O11" s="126">
        <v>1</v>
      </c>
      <c r="P11" s="126">
        <v>150</v>
      </c>
      <c r="Q11" s="126" t="s">
        <v>168</v>
      </c>
      <c r="R11" s="126" t="s">
        <v>169</v>
      </c>
    </row>
    <row r="12" spans="1:18" ht="16" thickTop="1" x14ac:dyDescent="0.15">
      <c r="A12" s="129">
        <f>floors!$C$2</f>
        <v>39011</v>
      </c>
      <c r="B12" s="121">
        <v>2</v>
      </c>
      <c r="C12" s="130" t="str">
        <f t="shared" si="0"/>
        <v>39011_2</v>
      </c>
      <c r="D12" s="13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21">
        <v>11</v>
      </c>
      <c r="F12" s="121" t="s">
        <v>167</v>
      </c>
      <c r="G12" s="121">
        <v>3200</v>
      </c>
      <c r="H12" s="121" t="s">
        <v>325</v>
      </c>
      <c r="I12" s="121">
        <v>1</v>
      </c>
      <c r="J12" s="121">
        <v>1</v>
      </c>
      <c r="K12" s="121">
        <v>0</v>
      </c>
      <c r="L12" s="121">
        <v>0</v>
      </c>
      <c r="M12" s="121">
        <v>0</v>
      </c>
      <c r="N12" s="121">
        <v>0</v>
      </c>
      <c r="O12" s="121">
        <v>1</v>
      </c>
      <c r="P12" s="121">
        <v>250</v>
      </c>
      <c r="Q12" s="121" t="s">
        <v>168</v>
      </c>
      <c r="R12" s="121" t="s">
        <v>169</v>
      </c>
    </row>
    <row r="13" spans="1:18" x14ac:dyDescent="0.15">
      <c r="A13" s="132">
        <f>floors!$C$2</f>
        <v>39011</v>
      </c>
      <c r="B13" s="57">
        <v>2</v>
      </c>
      <c r="C13" s="70" t="str">
        <f t="shared" si="0"/>
        <v>39011_2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323</v>
      </c>
      <c r="G13" s="57">
        <v>20</v>
      </c>
      <c r="H13" s="57" t="s">
        <v>325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200</v>
      </c>
      <c r="Q13" s="57" t="s">
        <v>168</v>
      </c>
      <c r="R13" s="57" t="s">
        <v>169</v>
      </c>
    </row>
    <row r="14" spans="1:18" x14ac:dyDescent="0.15">
      <c r="A14" s="132">
        <f>floors!$C$2</f>
        <v>39011</v>
      </c>
      <c r="B14" s="57">
        <v>2</v>
      </c>
      <c r="C14" s="70" t="str">
        <f t="shared" si="0"/>
        <v>39011_2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324</v>
      </c>
      <c r="G14" s="57">
        <v>340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70</v>
      </c>
      <c r="Q14" s="57" t="s">
        <v>168</v>
      </c>
      <c r="R14" s="57" t="s">
        <v>169</v>
      </c>
    </row>
    <row r="15" spans="1:18" x14ac:dyDescent="0.15">
      <c r="A15" s="132">
        <f>floors!$C$2</f>
        <v>39011</v>
      </c>
      <c r="B15" s="57">
        <v>2</v>
      </c>
      <c r="C15" s="70" t="str">
        <f t="shared" si="0"/>
        <v>39011_2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324</v>
      </c>
      <c r="G15" s="57">
        <v>341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70</v>
      </c>
      <c r="Q15" s="57" t="s">
        <v>168</v>
      </c>
      <c r="R15" s="57" t="s">
        <v>169</v>
      </c>
    </row>
    <row r="16" spans="1:18" x14ac:dyDescent="0.15">
      <c r="A16" s="132">
        <f>floors!$C$2</f>
        <v>39011</v>
      </c>
      <c r="B16" s="57">
        <v>2</v>
      </c>
      <c r="C16" s="70" t="str">
        <f t="shared" si="0"/>
        <v>39011_2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324</v>
      </c>
      <c r="G16" s="57">
        <v>121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50</v>
      </c>
      <c r="Q16" s="57" t="s">
        <v>168</v>
      </c>
      <c r="R16" s="57" t="s">
        <v>169</v>
      </c>
    </row>
    <row r="17" spans="1:18" x14ac:dyDescent="0.15">
      <c r="A17" s="132">
        <f>floors!$C$2</f>
        <v>39011</v>
      </c>
      <c r="B17" s="57">
        <v>2</v>
      </c>
      <c r="C17" s="70" t="str">
        <f t="shared" si="0"/>
        <v>39011_2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324</v>
      </c>
      <c r="G17" s="57">
        <v>122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</v>
      </c>
      <c r="Q17" s="57" t="s">
        <v>168</v>
      </c>
      <c r="R17" s="57" t="s">
        <v>169</v>
      </c>
    </row>
    <row r="18" spans="1:18" x14ac:dyDescent="0.15">
      <c r="A18" s="132">
        <f>floors!$C$2</f>
        <v>39011</v>
      </c>
      <c r="B18" s="57">
        <v>2</v>
      </c>
      <c r="C18" s="70" t="str">
        <f t="shared" si="0"/>
        <v>39011_2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324</v>
      </c>
      <c r="G18" s="57">
        <v>123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50</v>
      </c>
      <c r="Q18" s="57" t="s">
        <v>168</v>
      </c>
      <c r="R18" s="57" t="s">
        <v>169</v>
      </c>
    </row>
    <row r="19" spans="1:18" x14ac:dyDescent="0.15">
      <c r="A19" s="132">
        <f>floors!$C$2</f>
        <v>39011</v>
      </c>
      <c r="B19" s="57">
        <v>2</v>
      </c>
      <c r="C19" s="70" t="str">
        <f t="shared" si="0"/>
        <v>39011_2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7">
        <v>18</v>
      </c>
      <c r="F19" s="57" t="s">
        <v>324</v>
      </c>
      <c r="G19" s="57">
        <v>125</v>
      </c>
      <c r="H19" s="57">
        <v>1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10</v>
      </c>
      <c r="Q19" s="57" t="s">
        <v>168</v>
      </c>
      <c r="R19" s="57" t="s">
        <v>169</v>
      </c>
    </row>
    <row r="20" spans="1:18" x14ac:dyDescent="0.15">
      <c r="A20" s="132">
        <f>floors!$C$2</f>
        <v>39011</v>
      </c>
      <c r="B20" s="57">
        <v>2</v>
      </c>
      <c r="C20" s="70" t="str">
        <f t="shared" si="0"/>
        <v>39011_2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7">
        <v>19</v>
      </c>
      <c r="F20" s="57" t="s">
        <v>324</v>
      </c>
      <c r="G20" s="124">
        <v>691</v>
      </c>
      <c r="H20" s="57">
        <v>1</v>
      </c>
      <c r="I20" s="57">
        <v>1</v>
      </c>
      <c r="J20" s="57">
        <v>1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100</v>
      </c>
      <c r="Q20" s="57" t="s">
        <v>168</v>
      </c>
      <c r="R20" s="57" t="s">
        <v>169</v>
      </c>
    </row>
    <row r="21" spans="1:18" ht="16" thickBot="1" x14ac:dyDescent="0.2">
      <c r="A21" s="133">
        <f>floors!$C$2</f>
        <v>39011</v>
      </c>
      <c r="B21" s="122">
        <v>2</v>
      </c>
      <c r="C21" s="127" t="str">
        <f t="shared" si="0"/>
        <v>39011_2</v>
      </c>
      <c r="D21" s="12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22">
        <v>20</v>
      </c>
      <c r="F21" s="122" t="s">
        <v>324</v>
      </c>
      <c r="G21" s="122">
        <v>352</v>
      </c>
      <c r="H21" s="122">
        <v>1</v>
      </c>
      <c r="I21" s="122">
        <v>1</v>
      </c>
      <c r="J21" s="122">
        <v>1</v>
      </c>
      <c r="K21" s="122">
        <v>0</v>
      </c>
      <c r="L21" s="122">
        <v>0</v>
      </c>
      <c r="M21" s="122">
        <v>0</v>
      </c>
      <c r="N21" s="122">
        <v>0</v>
      </c>
      <c r="O21" s="122">
        <v>1</v>
      </c>
      <c r="P21" s="122">
        <v>150</v>
      </c>
      <c r="Q21" s="122" t="s">
        <v>168</v>
      </c>
      <c r="R21" s="122" t="s">
        <v>169</v>
      </c>
    </row>
    <row r="22" spans="1:18" ht="16" thickTop="1" x14ac:dyDescent="0.15">
      <c r="A22" s="129">
        <f>floors!$C$2</f>
        <v>39011</v>
      </c>
      <c r="B22" s="121">
        <v>3</v>
      </c>
      <c r="C22" s="130" t="str">
        <f t="shared" si="0"/>
        <v>39011_3</v>
      </c>
      <c r="D22" s="13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1">
        <v>21</v>
      </c>
      <c r="F22" s="121" t="s">
        <v>167</v>
      </c>
      <c r="G22" s="121">
        <v>5000</v>
      </c>
      <c r="H22" s="121" t="s">
        <v>325</v>
      </c>
      <c r="I22" s="121">
        <v>1</v>
      </c>
      <c r="J22" s="121">
        <v>1</v>
      </c>
      <c r="K22" s="121">
        <v>0</v>
      </c>
      <c r="L22" s="121">
        <v>0</v>
      </c>
      <c r="M22" s="121">
        <v>0</v>
      </c>
      <c r="N22" s="121">
        <v>0</v>
      </c>
      <c r="O22" s="121">
        <v>1</v>
      </c>
      <c r="P22" s="121">
        <v>200</v>
      </c>
      <c r="Q22" s="121" t="s">
        <v>168</v>
      </c>
      <c r="R22" s="121" t="s">
        <v>169</v>
      </c>
    </row>
    <row r="23" spans="1:18" x14ac:dyDescent="0.15">
      <c r="A23" s="132">
        <f>floors!$C$2</f>
        <v>39011</v>
      </c>
      <c r="B23" s="57">
        <v>3</v>
      </c>
      <c r="C23" s="70" t="str">
        <f t="shared" si="0"/>
        <v>39011_3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57" t="s">
        <v>323</v>
      </c>
      <c r="G23" s="57">
        <v>25</v>
      </c>
      <c r="H23" s="57" t="s">
        <v>325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250</v>
      </c>
      <c r="Q23" s="57" t="s">
        <v>168</v>
      </c>
      <c r="R23" s="57" t="s">
        <v>169</v>
      </c>
    </row>
    <row r="24" spans="1:18" x14ac:dyDescent="0.15">
      <c r="A24" s="132">
        <f>floors!$C$2</f>
        <v>39011</v>
      </c>
      <c r="B24" s="57">
        <v>3</v>
      </c>
      <c r="C24" s="70" t="str">
        <f t="shared" si="0"/>
        <v>39011_3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324</v>
      </c>
      <c r="G24" s="57">
        <v>340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28</v>
      </c>
      <c r="Q24" s="57" t="s">
        <v>168</v>
      </c>
      <c r="R24" s="57" t="s">
        <v>169</v>
      </c>
    </row>
    <row r="25" spans="1:18" x14ac:dyDescent="0.15">
      <c r="A25" s="132">
        <f>floors!$C$2</f>
        <v>39011</v>
      </c>
      <c r="B25" s="57">
        <v>3</v>
      </c>
      <c r="C25" s="70" t="str">
        <f t="shared" si="0"/>
        <v>39011_3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324</v>
      </c>
      <c r="G25" s="57">
        <v>341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56</v>
      </c>
      <c r="Q25" s="57" t="s">
        <v>168</v>
      </c>
      <c r="R25" s="57" t="s">
        <v>169</v>
      </c>
    </row>
    <row r="26" spans="1:18" x14ac:dyDescent="0.15">
      <c r="A26" s="132">
        <f>floors!$C$2</f>
        <v>39011</v>
      </c>
      <c r="B26" s="57">
        <v>3</v>
      </c>
      <c r="C26" s="70" t="str">
        <f t="shared" si="0"/>
        <v>39011_3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324</v>
      </c>
      <c r="G26" s="57">
        <v>342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56</v>
      </c>
      <c r="Q26" s="57" t="s">
        <v>168</v>
      </c>
      <c r="R26" s="57" t="s">
        <v>169</v>
      </c>
    </row>
    <row r="27" spans="1:18" x14ac:dyDescent="0.15">
      <c r="A27" s="132">
        <f>floors!$C$2</f>
        <v>39011</v>
      </c>
      <c r="B27" s="57">
        <v>3</v>
      </c>
      <c r="C27" s="70" t="str">
        <f t="shared" si="0"/>
        <v>39011_3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324</v>
      </c>
      <c r="G27" s="57">
        <v>121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50</v>
      </c>
      <c r="Q27" s="57" t="s">
        <v>168</v>
      </c>
      <c r="R27" s="57" t="s">
        <v>169</v>
      </c>
    </row>
    <row r="28" spans="1:18" x14ac:dyDescent="0.15">
      <c r="A28" s="132">
        <f>floors!$C$2</f>
        <v>39011</v>
      </c>
      <c r="B28" s="57">
        <v>3</v>
      </c>
      <c r="C28" s="70" t="str">
        <f t="shared" si="0"/>
        <v>39011_3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324</v>
      </c>
      <c r="G28" s="57">
        <v>122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50</v>
      </c>
      <c r="Q28" s="57" t="s">
        <v>168</v>
      </c>
      <c r="R28" s="57" t="s">
        <v>169</v>
      </c>
    </row>
    <row r="29" spans="1:18" x14ac:dyDescent="0.15">
      <c r="A29" s="132">
        <f>floors!$C$2</f>
        <v>39011</v>
      </c>
      <c r="B29" s="57">
        <v>3</v>
      </c>
      <c r="C29" s="70" t="str">
        <f t="shared" si="0"/>
        <v>39011_3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324</v>
      </c>
      <c r="G29" s="57">
        <v>123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50</v>
      </c>
      <c r="Q29" s="57" t="s">
        <v>168</v>
      </c>
      <c r="R29" s="57" t="s">
        <v>169</v>
      </c>
    </row>
    <row r="30" spans="1:18" x14ac:dyDescent="0.15">
      <c r="A30" s="132">
        <f>floors!$C$2</f>
        <v>39011</v>
      </c>
      <c r="B30" s="57">
        <v>3</v>
      </c>
      <c r="C30" s="70" t="str">
        <f t="shared" si="0"/>
        <v>39011_3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324</v>
      </c>
      <c r="G30" s="57">
        <v>125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10</v>
      </c>
      <c r="Q30" s="57" t="s">
        <v>168</v>
      </c>
      <c r="R30" s="57" t="s">
        <v>169</v>
      </c>
    </row>
    <row r="31" spans="1:18" x14ac:dyDescent="0.15">
      <c r="A31" s="132">
        <f>floors!$C$2</f>
        <v>39011</v>
      </c>
      <c r="B31" s="57">
        <v>3</v>
      </c>
      <c r="C31" s="70" t="str">
        <f t="shared" si="0"/>
        <v>39011_3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324</v>
      </c>
      <c r="G31" s="124">
        <v>691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150</v>
      </c>
      <c r="Q31" s="57" t="s">
        <v>168</v>
      </c>
      <c r="R31" s="57" t="s">
        <v>169</v>
      </c>
    </row>
    <row r="32" spans="1:18" ht="16" thickBot="1" x14ac:dyDescent="0.2">
      <c r="A32" s="133">
        <f>floors!$C$2</f>
        <v>39011</v>
      </c>
      <c r="B32" s="122">
        <v>3</v>
      </c>
      <c r="C32" s="127" t="str">
        <f t="shared" si="0"/>
        <v>39011_3</v>
      </c>
      <c r="D32" s="12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22">
        <v>31</v>
      </c>
      <c r="F32" s="122" t="s">
        <v>324</v>
      </c>
      <c r="G32" s="122">
        <v>352</v>
      </c>
      <c r="H32" s="122">
        <v>1</v>
      </c>
      <c r="I32" s="122">
        <v>1</v>
      </c>
      <c r="J32" s="122">
        <v>1</v>
      </c>
      <c r="K32" s="122">
        <v>0</v>
      </c>
      <c r="L32" s="122">
        <v>0</v>
      </c>
      <c r="M32" s="122">
        <v>0</v>
      </c>
      <c r="N32" s="122">
        <v>0</v>
      </c>
      <c r="O32" s="122">
        <v>1</v>
      </c>
      <c r="P32" s="122">
        <v>150</v>
      </c>
      <c r="Q32" s="122" t="s">
        <v>168</v>
      </c>
      <c r="R32" s="122" t="s">
        <v>169</v>
      </c>
    </row>
    <row r="33" spans="1:18" ht="16" thickTop="1" x14ac:dyDescent="0.15">
      <c r="A33" s="129">
        <f>floors!$C$2</f>
        <v>39011</v>
      </c>
      <c r="B33" s="121">
        <v>4</v>
      </c>
      <c r="C33" s="130" t="str">
        <f t="shared" si="0"/>
        <v>39011_4</v>
      </c>
      <c r="D33" s="13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21">
        <v>32</v>
      </c>
      <c r="F33" s="121" t="s">
        <v>167</v>
      </c>
      <c r="G33" s="121">
        <v>6500</v>
      </c>
      <c r="H33" s="121" t="s">
        <v>325</v>
      </c>
      <c r="I33" s="121">
        <v>1</v>
      </c>
      <c r="J33" s="121">
        <v>1</v>
      </c>
      <c r="K33" s="121">
        <v>0</v>
      </c>
      <c r="L33" s="121">
        <v>0</v>
      </c>
      <c r="M33" s="121">
        <v>0</v>
      </c>
      <c r="N33" s="121">
        <v>0</v>
      </c>
      <c r="O33" s="121">
        <v>1</v>
      </c>
      <c r="P33" s="121">
        <v>150</v>
      </c>
      <c r="Q33" s="121" t="s">
        <v>168</v>
      </c>
      <c r="R33" s="121" t="s">
        <v>169</v>
      </c>
    </row>
    <row r="34" spans="1:18" x14ac:dyDescent="0.15">
      <c r="A34" s="132">
        <f>floors!$C$2</f>
        <v>39011</v>
      </c>
      <c r="B34" s="57">
        <v>4</v>
      </c>
      <c r="C34" s="70" t="str">
        <f t="shared" si="0"/>
        <v>39011_4</v>
      </c>
      <c r="D34" s="18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7">
        <v>33</v>
      </c>
      <c r="F34" s="57" t="s">
        <v>323</v>
      </c>
      <c r="G34" s="57">
        <v>25</v>
      </c>
      <c r="H34" s="57" t="s">
        <v>325</v>
      </c>
      <c r="I34" s="57">
        <v>1</v>
      </c>
      <c r="J34" s="57">
        <v>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57">
        <v>150</v>
      </c>
      <c r="Q34" s="57" t="s">
        <v>168</v>
      </c>
      <c r="R34" s="57" t="s">
        <v>169</v>
      </c>
    </row>
    <row r="35" spans="1:18" x14ac:dyDescent="0.15">
      <c r="A35" s="132">
        <f>floors!$C$2</f>
        <v>39011</v>
      </c>
      <c r="B35" s="57">
        <v>4</v>
      </c>
      <c r="C35" s="70" t="str">
        <f t="shared" si="0"/>
        <v>39011_4</v>
      </c>
      <c r="D35" s="18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7">
        <v>34</v>
      </c>
      <c r="F35" s="57" t="s">
        <v>324</v>
      </c>
      <c r="G35" s="57">
        <v>340</v>
      </c>
      <c r="H35" s="57">
        <v>1</v>
      </c>
      <c r="I35" s="57">
        <v>1</v>
      </c>
      <c r="J35" s="57">
        <v>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57">
        <v>28</v>
      </c>
      <c r="Q35" s="57" t="s">
        <v>168</v>
      </c>
      <c r="R35" s="57" t="s">
        <v>169</v>
      </c>
    </row>
    <row r="36" spans="1:18" x14ac:dyDescent="0.15">
      <c r="A36" s="132">
        <f>floors!$C$2</f>
        <v>39011</v>
      </c>
      <c r="B36" s="57">
        <v>4</v>
      </c>
      <c r="C36" s="70" t="str">
        <f t="shared" si="0"/>
        <v>39011_4</v>
      </c>
      <c r="D36" s="18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7">
        <v>35</v>
      </c>
      <c r="F36" s="57" t="s">
        <v>324</v>
      </c>
      <c r="G36" s="57">
        <v>341</v>
      </c>
      <c r="H36" s="57">
        <v>1</v>
      </c>
      <c r="I36" s="57">
        <v>1</v>
      </c>
      <c r="J36" s="57">
        <v>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57">
        <v>56</v>
      </c>
      <c r="Q36" s="57" t="s">
        <v>168</v>
      </c>
      <c r="R36" s="57" t="s">
        <v>169</v>
      </c>
    </row>
    <row r="37" spans="1:18" x14ac:dyDescent="0.15">
      <c r="A37" s="132">
        <f>floors!$C$2</f>
        <v>39011</v>
      </c>
      <c r="B37" s="57">
        <v>4</v>
      </c>
      <c r="C37" s="70" t="str">
        <f t="shared" si="0"/>
        <v>39011_4</v>
      </c>
      <c r="D37" s="18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7">
        <v>36</v>
      </c>
      <c r="F37" s="57" t="s">
        <v>324</v>
      </c>
      <c r="G37" s="57">
        <v>342</v>
      </c>
      <c r="H37" s="57">
        <v>1</v>
      </c>
      <c r="I37" s="57">
        <v>1</v>
      </c>
      <c r="J37" s="57">
        <v>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56</v>
      </c>
      <c r="Q37" s="57" t="s">
        <v>168</v>
      </c>
      <c r="R37" s="57" t="s">
        <v>169</v>
      </c>
    </row>
    <row r="38" spans="1:18" x14ac:dyDescent="0.15">
      <c r="A38" s="132">
        <f>floors!$C$2</f>
        <v>39011</v>
      </c>
      <c r="B38" s="57">
        <v>4</v>
      </c>
      <c r="C38" s="70" t="str">
        <f t="shared" si="0"/>
        <v>39011_4</v>
      </c>
      <c r="D38" s="18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7">
        <v>37</v>
      </c>
      <c r="F38" s="57" t="s">
        <v>324</v>
      </c>
      <c r="G38" s="57">
        <v>121</v>
      </c>
      <c r="H38" s="57">
        <v>1</v>
      </c>
      <c r="I38" s="57">
        <v>1</v>
      </c>
      <c r="J38" s="57">
        <v>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50</v>
      </c>
      <c r="Q38" s="57" t="s">
        <v>168</v>
      </c>
      <c r="R38" s="57" t="s">
        <v>169</v>
      </c>
    </row>
    <row r="39" spans="1:18" x14ac:dyDescent="0.15">
      <c r="A39" s="132">
        <f>floors!$C$2</f>
        <v>39011</v>
      </c>
      <c r="B39" s="57">
        <v>4</v>
      </c>
      <c r="C39" s="70" t="str">
        <f t="shared" si="0"/>
        <v>39011_4</v>
      </c>
      <c r="D39" s="18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7">
        <v>38</v>
      </c>
      <c r="F39" s="57" t="s">
        <v>324</v>
      </c>
      <c r="G39" s="57">
        <v>122</v>
      </c>
      <c r="H39" s="57">
        <v>1</v>
      </c>
      <c r="I39" s="57">
        <v>1</v>
      </c>
      <c r="J39" s="57">
        <v>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50</v>
      </c>
      <c r="Q39" s="57" t="s">
        <v>168</v>
      </c>
      <c r="R39" s="57" t="s">
        <v>169</v>
      </c>
    </row>
    <row r="40" spans="1:18" x14ac:dyDescent="0.15">
      <c r="A40" s="132">
        <f>floors!$C$2</f>
        <v>39011</v>
      </c>
      <c r="B40" s="57">
        <v>4</v>
      </c>
      <c r="C40" s="70" t="str">
        <f t="shared" si="0"/>
        <v>39011_4</v>
      </c>
      <c r="D40" s="18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7">
        <v>39</v>
      </c>
      <c r="F40" s="57" t="s">
        <v>324</v>
      </c>
      <c r="G40" s="57">
        <v>123</v>
      </c>
      <c r="H40" s="57">
        <v>1</v>
      </c>
      <c r="I40" s="57">
        <v>1</v>
      </c>
      <c r="J40" s="57">
        <v>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50</v>
      </c>
      <c r="Q40" s="57" t="s">
        <v>168</v>
      </c>
      <c r="R40" s="57" t="s">
        <v>169</v>
      </c>
    </row>
    <row r="41" spans="1:18" x14ac:dyDescent="0.15">
      <c r="A41" s="132">
        <f>floors!$C$2</f>
        <v>39011</v>
      </c>
      <c r="B41" s="57">
        <v>4</v>
      </c>
      <c r="C41" s="70" t="str">
        <f t="shared" si="0"/>
        <v>39011_4</v>
      </c>
      <c r="D41" s="18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7">
        <v>40</v>
      </c>
      <c r="F41" s="57" t="s">
        <v>324</v>
      </c>
      <c r="G41" s="57">
        <v>125</v>
      </c>
      <c r="H41" s="57">
        <v>1</v>
      </c>
      <c r="I41" s="57">
        <v>1</v>
      </c>
      <c r="J41" s="57">
        <v>1</v>
      </c>
      <c r="K41" s="57">
        <v>0</v>
      </c>
      <c r="L41" s="57">
        <v>0</v>
      </c>
      <c r="M41" s="57">
        <v>0</v>
      </c>
      <c r="N41" s="57">
        <v>0</v>
      </c>
      <c r="O41" s="57">
        <v>1</v>
      </c>
      <c r="P41" s="57">
        <v>10</v>
      </c>
      <c r="Q41" s="57" t="s">
        <v>168</v>
      </c>
      <c r="R41" s="57" t="s">
        <v>169</v>
      </c>
    </row>
    <row r="42" spans="1:18" x14ac:dyDescent="0.15">
      <c r="A42" s="132">
        <f>floors!$C$2</f>
        <v>39011</v>
      </c>
      <c r="B42" s="57">
        <v>4</v>
      </c>
      <c r="C42" s="70" t="str">
        <f t="shared" si="0"/>
        <v>39011_4</v>
      </c>
      <c r="D42" s="18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7">
        <v>41</v>
      </c>
      <c r="F42" s="57" t="s">
        <v>324</v>
      </c>
      <c r="G42" s="124">
        <v>691</v>
      </c>
      <c r="H42" s="57">
        <v>1</v>
      </c>
      <c r="I42" s="57">
        <v>1</v>
      </c>
      <c r="J42" s="57">
        <v>1</v>
      </c>
      <c r="K42" s="57">
        <v>0</v>
      </c>
      <c r="L42" s="57">
        <v>0</v>
      </c>
      <c r="M42" s="57">
        <v>0</v>
      </c>
      <c r="N42" s="57">
        <v>0</v>
      </c>
      <c r="O42" s="57">
        <v>1</v>
      </c>
      <c r="P42" s="57">
        <v>250</v>
      </c>
      <c r="Q42" s="57" t="s">
        <v>168</v>
      </c>
      <c r="R42" s="57" t="s">
        <v>169</v>
      </c>
    </row>
    <row r="43" spans="1:18" x14ac:dyDescent="0.15">
      <c r="A43" s="132">
        <f>floors!$C$2</f>
        <v>39011</v>
      </c>
      <c r="B43" s="57">
        <v>4</v>
      </c>
      <c r="C43" s="70" t="str">
        <f t="shared" si="0"/>
        <v>39011_4</v>
      </c>
      <c r="D43" s="18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57">
        <v>42</v>
      </c>
      <c r="F43" s="57" t="s">
        <v>324</v>
      </c>
      <c r="G43" s="57">
        <v>352</v>
      </c>
      <c r="H43" s="57">
        <v>1</v>
      </c>
      <c r="I43" s="57">
        <v>1</v>
      </c>
      <c r="J43" s="57">
        <v>1</v>
      </c>
      <c r="K43" s="57">
        <v>0</v>
      </c>
      <c r="L43" s="57">
        <v>0</v>
      </c>
      <c r="M43" s="57">
        <v>0</v>
      </c>
      <c r="N43" s="57">
        <v>0</v>
      </c>
      <c r="O43" s="57">
        <v>1</v>
      </c>
      <c r="P43" s="57">
        <v>150</v>
      </c>
      <c r="Q43" s="57" t="s">
        <v>168</v>
      </c>
      <c r="R43" s="57" t="s">
        <v>169</v>
      </c>
    </row>
  </sheetData>
  <phoneticPr fontId="5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90" t="s">
        <v>193</v>
      </c>
      <c r="J1" s="78" t="s">
        <v>125</v>
      </c>
      <c r="K1" s="77" t="s">
        <v>185</v>
      </c>
      <c r="L1" s="91" t="s">
        <v>184</v>
      </c>
      <c r="M1" s="79" t="s">
        <v>194</v>
      </c>
    </row>
    <row r="2" spans="1:13" x14ac:dyDescent="0.15">
      <c r="A2" s="80" t="s">
        <v>199</v>
      </c>
      <c r="B2" s="81">
        <f>floors!$C$2</f>
        <v>39011</v>
      </c>
      <c r="C2" s="82" t="str">
        <f ca="1">VLOOKUP($B2,OFFSET([2]quests!$A$1,0,0,COUNTA([2]quests!$A:$A),MATCH(C$1,[2]quests!$1:$1,0)-MATCH($B$1,[2]quests!$1:$1,0)+1),MATCH(C$1,[2]quests!$1:$1,0)-MATCH($B$1,[2]quests!$1:$1,0)+1,FALSE)</f>
        <v>ブルースクウェアを追え！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コラボクエスト（復刻）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コラボクエスト（復刻）</v>
      </c>
      <c r="H2" s="84">
        <v>0</v>
      </c>
      <c r="I2">
        <v>1</v>
      </c>
      <c r="J2" s="83" t="s">
        <v>196</v>
      </c>
      <c r="K2" s="92" t="str">
        <f>VLOOKUP(I2,[6]stage_hints!$A:$C,3,FALSE)</f>
        <v>長くつなげて大ダメージ</v>
      </c>
      <c r="L2" s="93" t="str">
        <f>VLOOKUP(I2,[6]stage_hints!$A:$D,4,FALSE)</f>
        <v>パネルを長くつなげるほど_x000D_大ダメージを与えることができます</v>
      </c>
      <c r="M2" s="57" t="s">
        <v>209</v>
      </c>
    </row>
    <row r="3" spans="1:13" x14ac:dyDescent="0.15">
      <c r="A3" s="80" t="s">
        <v>199</v>
      </c>
      <c r="B3" s="81">
        <f>floors!$C$2</f>
        <v>39011</v>
      </c>
      <c r="C3" s="82" t="str">
        <f ca="1">VLOOKUP($B3,OFFSET([2]quests!$A$1,0,0,COUNTA([2]quests!$A:$A),MATCH(C$1,[2]quests!$1:$1,0)-MATCH($B$1,[2]quests!$1:$1,0)+1),MATCH(C$1,[2]quests!$1:$1,0)-MATCH($B$1,[2]quests!$1:$1,0)+1,FALSE)</f>
        <v>ブルースクウェアを追え！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コラボクエスト（復刻）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コラボクエスト（復刻）</v>
      </c>
      <c r="H3" s="84">
        <v>0</v>
      </c>
      <c r="I3">
        <v>2</v>
      </c>
      <c r="J3" s="83" t="s">
        <v>196</v>
      </c>
      <c r="K3" s="92" t="str">
        <f>VLOOKUP(I3,[6]stage_hints!$A:$C,3,FALSE)</f>
        <v>属性の相性</v>
      </c>
      <c r="L3" s="93" t="str">
        <f>VLOOKUP(I3,[6]stage_hints!$A:$D,4,FALSE)</f>
        <v>赤＞青　青＞黄　黄＞緑　緑＞赤_x000D_敵属性に最適なパーティがオススメです</v>
      </c>
      <c r="M3" s="57" t="s">
        <v>209</v>
      </c>
    </row>
    <row r="4" spans="1:13" x14ac:dyDescent="0.15">
      <c r="A4" s="80" t="s">
        <v>199</v>
      </c>
      <c r="B4" s="81">
        <f>floors!$C$2</f>
        <v>39011</v>
      </c>
      <c r="C4" s="82" t="str">
        <f ca="1">VLOOKUP($B4,OFFSET([2]quests!$A$1,0,0,COUNTA([2]quests!$A:$A),MATCH(C$1,[2]quests!$1:$1,0)-MATCH($B$1,[2]quests!$1:$1,0)+1),MATCH(C$1,[2]quests!$1:$1,0)-MATCH($B$1,[2]quests!$1:$1,0)+1,FALSE)</f>
        <v>ブルースクウェアを追え！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コラボクエスト（復刻）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コラボクエスト（復刻）</v>
      </c>
      <c r="H4" s="84">
        <v>0</v>
      </c>
      <c r="I4">
        <v>3</v>
      </c>
      <c r="J4" s="83" t="s">
        <v>196</v>
      </c>
      <c r="K4" s="92" t="str">
        <f>VLOOKUP(I4,[6]stage_hints!$A:$C,3,FALSE)</f>
        <v>ターゲット</v>
      </c>
      <c r="L4" s="93" t="str">
        <f>VLOOKUP(I4,[6]stage_hints!$A:$D,4,FALSE)</f>
        <v>敵ユニットをタップすると_x000D_その敵を狙い撃ちできます</v>
      </c>
      <c r="M4" s="57" t="s">
        <v>209</v>
      </c>
    </row>
    <row r="5" spans="1:13" x14ac:dyDescent="0.15">
      <c r="A5" s="80" t="s">
        <v>199</v>
      </c>
      <c r="B5" s="81">
        <f>floors!$C$2</f>
        <v>39011</v>
      </c>
      <c r="C5" s="82" t="str">
        <f ca="1">VLOOKUP($B5,OFFSET([2]quests!$A$1,0,0,COUNTA([2]quests!$A:$A),MATCH(C$1,[2]quests!$1:$1,0)-MATCH($B$1,[2]quests!$1:$1,0)+1),MATCH(C$1,[2]quests!$1:$1,0)-MATCH($B$1,[2]quests!$1:$1,0)+1,FALSE)</f>
        <v>ブルースクウェアを追え！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コラボクエスト（復刻）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コラボクエスト（復刻）</v>
      </c>
      <c r="H5" s="84">
        <v>0</v>
      </c>
      <c r="I5">
        <v>5</v>
      </c>
      <c r="J5" s="83" t="s">
        <v>196</v>
      </c>
      <c r="K5" s="92" t="str">
        <f>VLOOKUP(I5,[6]stage_hints!$A:$C,3,FALSE)</f>
        <v>ユニット強化でレベルアップ</v>
      </c>
      <c r="L5" s="93" t="str">
        <f>VLOOKUP(I5,[6]stage_hints!$A:$D,4,FALSE)</f>
        <v>「ユニット強化」でレベルアップすると_x000D_勝てない敵にも勝てるようになります</v>
      </c>
      <c r="M5" s="57" t="s">
        <v>209</v>
      </c>
    </row>
    <row r="6" spans="1:13" x14ac:dyDescent="0.15">
      <c r="A6" s="80" t="s">
        <v>199</v>
      </c>
      <c r="B6" s="81">
        <f>floors!$C$2</f>
        <v>39011</v>
      </c>
      <c r="C6" s="82" t="str">
        <f ca="1">VLOOKUP($B6,OFFSET([2]quests!$A$1,0,0,COUNTA([2]quests!$A:$A),MATCH(C$1,[2]quests!$1:$1,0)-MATCH($B$1,[2]quests!$1:$1,0)+1),MATCH(C$1,[2]quests!$1:$1,0)-MATCH($B$1,[2]quests!$1:$1,0)+1,FALSE)</f>
        <v>ブルースクウェアを追え！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コラボクエスト（復刻）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コラボクエスト（復刻）</v>
      </c>
      <c r="H6" s="84">
        <v>0</v>
      </c>
      <c r="I6">
        <v>6</v>
      </c>
      <c r="J6" s="83" t="s">
        <v>196</v>
      </c>
      <c r="K6" s="92" t="str">
        <f>VLOOKUP(I6,[6]stage_hints!$A:$C,3,FALSE)</f>
        <v>ユニット強化の属性ボーナス</v>
      </c>
      <c r="L6" s="93" t="str">
        <f>VLOOKUP(I6,[6]stage_hints!$A:$D,4,FALSE)</f>
        <v>同属性ユニットを強化素材にすると_x000D_経験値が多くもらえます</v>
      </c>
      <c r="M6" s="57" t="s">
        <v>209</v>
      </c>
    </row>
    <row r="7" spans="1:13" x14ac:dyDescent="0.15">
      <c r="A7" s="80" t="s">
        <v>199</v>
      </c>
      <c r="B7" s="81">
        <f>floors!$C$2</f>
        <v>39011</v>
      </c>
      <c r="C7" s="82" t="str">
        <f ca="1">VLOOKUP($B7,OFFSET([2]quests!$A$1,0,0,COUNTA([2]quests!$A:$A),MATCH(C$1,[2]quests!$1:$1,0)-MATCH($B$1,[2]quests!$1:$1,0)+1),MATCH(C$1,[2]quests!$1:$1,0)-MATCH($B$1,[2]quests!$1:$1,0)+1,FALSE)</f>
        <v>ブルースクウェアを追え！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コラボクエスト（復刻）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コラボクエスト（復刻）</v>
      </c>
      <c r="H7" s="84">
        <v>0</v>
      </c>
      <c r="I7">
        <v>7</v>
      </c>
      <c r="J7" s="83" t="s">
        <v>196</v>
      </c>
      <c r="K7" s="92" t="str">
        <f>VLOOKUP(I7,[6]stage_hints!$A:$C,3,FALSE)</f>
        <v>メタルダックで経験値を獲得</v>
      </c>
      <c r="L7" s="93" t="str">
        <f>VLOOKUP(I7,[6]stage_hints!$A:$D,4,FALSE)</f>
        <v>「メタルなアヒル」を強化素材にすると_x000D_大量の経験値がもらえます</v>
      </c>
      <c r="M7" s="57" t="s">
        <v>209</v>
      </c>
    </row>
    <row r="8" spans="1:13" x14ac:dyDescent="0.15">
      <c r="A8" s="80" t="s">
        <v>199</v>
      </c>
      <c r="B8" s="81">
        <f>floors!$C$2</f>
        <v>39011</v>
      </c>
      <c r="C8" s="82" t="str">
        <f ca="1">VLOOKUP($B8,OFFSET([2]quests!$A$1,0,0,COUNTA([2]quests!$A:$A),MATCH(C$1,[2]quests!$1:$1,0)-MATCH($B$1,[2]quests!$1:$1,0)+1),MATCH(C$1,[2]quests!$1:$1,0)-MATCH($B$1,[2]quests!$1:$1,0)+1,FALSE)</f>
        <v>ブルースクウェアを追え！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コラボクエスト（復刻）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コラボクエスト（復刻）</v>
      </c>
      <c r="H8" s="84">
        <v>0</v>
      </c>
      <c r="I8">
        <v>8</v>
      </c>
      <c r="J8" s="83" t="s">
        <v>196</v>
      </c>
      <c r="K8" s="92" t="str">
        <f>VLOOKUP(I8,[6]stage_hints!$A:$C,3,FALSE)</f>
        <v>ゲリラクエストは要チェック</v>
      </c>
      <c r="L8" s="93" t="str">
        <f>VLOOKUP(I8,[6]stage_hints!$A:$D,4,FALSE)</f>
        <v>時間限定の「アヒル捕獲作戦」では_x000D_経験値素材ユニットが多く手に入ります</v>
      </c>
      <c r="M8" s="57" t="s">
        <v>209</v>
      </c>
    </row>
    <row r="9" spans="1:13" x14ac:dyDescent="0.15">
      <c r="A9" s="80" t="s">
        <v>199</v>
      </c>
      <c r="B9" s="81">
        <f>floors!$C$2</f>
        <v>39011</v>
      </c>
      <c r="C9" s="82" t="str">
        <f ca="1">VLOOKUP($B9,OFFSET([2]quests!$A$1,0,0,COUNTA([2]quests!$A:$A),MATCH(C$1,[2]quests!$1:$1,0)-MATCH($B$1,[2]quests!$1:$1,0)+1),MATCH(C$1,[2]quests!$1:$1,0)-MATCH($B$1,[2]quests!$1:$1,0)+1,FALSE)</f>
        <v>ブルースクウェアを追え！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コラボクエスト（復刻）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コラボクエスト（復刻）</v>
      </c>
      <c r="H9" s="84">
        <v>0</v>
      </c>
      <c r="I9">
        <v>9</v>
      </c>
      <c r="J9" s="83" t="s">
        <v>196</v>
      </c>
      <c r="K9" s="92" t="str">
        <f>VLOOKUP(I9,[6]stage_hints!$A:$C,3,FALSE)</f>
        <v>ゴールドダックでビットを獲得</v>
      </c>
      <c r="L9" s="93" t="str">
        <f>VLOOKUP(I9,[6]stage_hints!$A:$D,4,FALSE)</f>
        <v>「ゴールドなアヒル」を売却すると_x000D_大量のビットがもらえます</v>
      </c>
      <c r="M9" s="57" t="s">
        <v>209</v>
      </c>
    </row>
    <row r="10" spans="1:13" x14ac:dyDescent="0.15">
      <c r="A10" s="80" t="s">
        <v>199</v>
      </c>
      <c r="B10" s="81">
        <f>floors!$C$2</f>
        <v>39011</v>
      </c>
      <c r="C10" s="82" t="str">
        <f ca="1">VLOOKUP($B10,OFFSET([2]quests!$A$1,0,0,COUNTA([2]quests!$A:$A),MATCH(C$1,[2]quests!$1:$1,0)-MATCH($B$1,[2]quests!$1:$1,0)+1),MATCH(C$1,[2]quests!$1:$1,0)-MATCH($B$1,[2]quests!$1:$1,0)+1,FALSE)</f>
        <v>ブルースクウェアを追え！</v>
      </c>
      <c r="D10" s="82" t="str">
        <f ca="1">VLOOKUP($B10,OFFSET([2]quests!$A$1,0,0,COUNTA([2]quests!$A:$A),MATCH(D$1,[2]quests!$1:$1,0)-MATCH($B$1,[2]quests!$1:$1,0)+1),MATCH(D$1,[2]quests!$1:$1,0)-MATCH($B$1,[2]quests!$1:$1,0)+1,FALSE)</f>
        <v>コラボクエスト（復刻）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コラボクエスト（復刻）</v>
      </c>
      <c r="H10" s="84">
        <v>0</v>
      </c>
      <c r="I10">
        <v>10</v>
      </c>
      <c r="J10" s="83" t="s">
        <v>196</v>
      </c>
      <c r="K10" s="92" t="str">
        <f>VLOOKUP(I10,[6]stage_hints!$A:$C,3,FALSE)</f>
        <v>土日に大量のビットを獲得</v>
      </c>
      <c r="L10" s="93" t="str">
        <f>VLOOKUP(I10,[6]stage_hints!$A:$D,4,FALSE)</f>
        <v>土日限定の「ゴールドカジノ」では_x000D_売却素材ユニットが多く手に入ります</v>
      </c>
      <c r="M10" s="57" t="s">
        <v>209</v>
      </c>
    </row>
    <row r="11" spans="1:13" x14ac:dyDescent="0.15">
      <c r="A11" s="80" t="s">
        <v>199</v>
      </c>
      <c r="B11" s="81">
        <f>floors!$C$2</f>
        <v>39011</v>
      </c>
      <c r="C11" s="82" t="str">
        <f ca="1">VLOOKUP($B11,OFFSET([2]quests!$A$1,0,0,COUNTA([2]quests!$A:$A),MATCH(C$1,[2]quests!$1:$1,0)-MATCH($B$1,[2]quests!$1:$1,0)+1),MATCH(C$1,[2]quests!$1:$1,0)-MATCH($B$1,[2]quests!$1:$1,0)+1,FALSE)</f>
        <v>ブルースクウェアを追え！</v>
      </c>
      <c r="D11" s="82" t="str">
        <f ca="1">VLOOKUP($B11,OFFSET([2]quests!$A$1,0,0,COUNTA([2]quests!$A:$A),MATCH(D$1,[2]quests!$1:$1,0)-MATCH($B$1,[2]quests!$1:$1,0)+1),MATCH(D$1,[2]quests!$1:$1,0)-MATCH($B$1,[2]quests!$1:$1,0)+1,FALSE)</f>
        <v>コラボクエスト（復刻）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コラボクエスト（復刻）</v>
      </c>
      <c r="H11" s="84">
        <v>0</v>
      </c>
      <c r="I11">
        <v>11</v>
      </c>
      <c r="J11" s="83" t="s">
        <v>196</v>
      </c>
      <c r="K11" s="92" t="str">
        <f>VLOOKUP(I11,[6]stage_hints!$A:$C,3,FALSE)</f>
        <v>ランク解放クエスト</v>
      </c>
      <c r="L11" s="93" t="str">
        <f>VLOOKUP(I11,[6]stage_hints!$A:$D,4,FALSE)</f>
        <v>一定ランクに到達すると_x000D_報酬付きのランク開放クエストが現れます</v>
      </c>
      <c r="M11" s="57" t="s">
        <v>209</v>
      </c>
    </row>
    <row r="12" spans="1:13" x14ac:dyDescent="0.15">
      <c r="A12" s="80" t="s">
        <v>199</v>
      </c>
      <c r="B12" s="81">
        <f>floors!$C$2</f>
        <v>39011</v>
      </c>
      <c r="C12" s="82" t="str">
        <f ca="1">VLOOKUP($B12,OFFSET([2]quests!$A$1,0,0,COUNTA([2]quests!$A:$A),MATCH(C$1,[2]quests!$1:$1,0)-MATCH($B$1,[2]quests!$1:$1,0)+1),MATCH(C$1,[2]quests!$1:$1,0)-MATCH($B$1,[2]quests!$1:$1,0)+1,FALSE)</f>
        <v>ブルースクウェアを追え！</v>
      </c>
      <c r="D12" s="82" t="str">
        <f ca="1">VLOOKUP($B12,OFFSET([2]quests!$A$1,0,0,COUNTA([2]quests!$A:$A),MATCH(D$1,[2]quests!$1:$1,0)-MATCH($B$1,[2]quests!$1:$1,0)+1),MATCH(D$1,[2]quests!$1:$1,0)-MATCH($B$1,[2]quests!$1:$1,0)+1,FALSE)</f>
        <v>コラボクエスト（復刻）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コラボクエスト（復刻）</v>
      </c>
      <c r="H12" s="84">
        <v>0</v>
      </c>
      <c r="I12">
        <v>12</v>
      </c>
      <c r="J12" s="83" t="s">
        <v>196</v>
      </c>
      <c r="K12" s="92" t="str">
        <f>VLOOKUP(I12,[6]stage_hints!$A:$C,3,FALSE)</f>
        <v>ユニットのお気に入り登録</v>
      </c>
      <c r="L12" s="93" t="str">
        <f>VLOOKUP(I12,[6]stage_hints!$A:$D,4,FALSE)</f>
        <v>大事なユニットを誤って消さないように_x000D_フォルダから「お気に入り登録」しましょう</v>
      </c>
      <c r="M12" s="57" t="s">
        <v>209</v>
      </c>
    </row>
    <row r="13" spans="1:13" x14ac:dyDescent="0.15">
      <c r="A13" s="80" t="s">
        <v>199</v>
      </c>
      <c r="B13" s="81">
        <f>floors!$C$2</f>
        <v>39011</v>
      </c>
      <c r="C13" s="82" t="str">
        <f ca="1">VLOOKUP($B13,OFFSET([2]quests!$A$1,0,0,COUNTA([2]quests!$A:$A),MATCH(C$1,[2]quests!$1:$1,0)-MATCH($B$1,[2]quests!$1:$1,0)+1),MATCH(C$1,[2]quests!$1:$1,0)-MATCH($B$1,[2]quests!$1:$1,0)+1,FALSE)</f>
        <v>ブルースクウェアを追え！</v>
      </c>
      <c r="D13" s="82" t="str">
        <f ca="1">VLOOKUP($B13,OFFSET([2]quests!$A$1,0,0,COUNTA([2]quests!$A:$A),MATCH(D$1,[2]quests!$1:$1,0)-MATCH($B$1,[2]quests!$1:$1,0)+1),MATCH(D$1,[2]quests!$1:$1,0)-MATCH($B$1,[2]quests!$1:$1,0)+1,FALSE)</f>
        <v>コラボクエスト（復刻）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コラボクエスト（復刻）</v>
      </c>
      <c r="H13" s="84">
        <v>0</v>
      </c>
      <c r="I13">
        <v>13</v>
      </c>
      <c r="J13" s="83" t="s">
        <v>196</v>
      </c>
      <c r="K13" s="92" t="str">
        <f>VLOOKUP(I13,[6]stage_hints!$A:$C,3,FALSE)</f>
        <v>ユニットの覚醒</v>
      </c>
      <c r="L13" s="93" t="str">
        <f>VLOOKUP(I13,[6]stage_hints!$A:$D,4,FALSE)</f>
        <v>ユニットを覚醒させると_x000D_比べものにならない強さが手に入ります</v>
      </c>
      <c r="M13" s="57" t="s">
        <v>209</v>
      </c>
    </row>
    <row r="14" spans="1:13" x14ac:dyDescent="0.15">
      <c r="A14" s="80" t="s">
        <v>199</v>
      </c>
      <c r="B14" s="81">
        <f>floors!$C$2</f>
        <v>39011</v>
      </c>
      <c r="C14" s="82" t="str">
        <f ca="1">VLOOKUP($B14,OFFSET([2]quests!$A$1,0,0,COUNTA([2]quests!$A:$A),MATCH(C$1,[2]quests!$1:$1,0)-MATCH($B$1,[2]quests!$1:$1,0)+1),MATCH(C$1,[2]quests!$1:$1,0)-MATCH($B$1,[2]quests!$1:$1,0)+1,FALSE)</f>
        <v>ブルースクウェアを追え！</v>
      </c>
      <c r="D14" s="82" t="str">
        <f ca="1">VLOOKUP($B14,OFFSET([2]quests!$A$1,0,0,COUNTA([2]quests!$A:$A),MATCH(D$1,[2]quests!$1:$1,0)-MATCH($B$1,[2]quests!$1:$1,0)+1),MATCH(D$1,[2]quests!$1:$1,0)-MATCH($B$1,[2]quests!$1:$1,0)+1,FALSE)</f>
        <v>コラボクエスト（復刻）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コラボクエスト（復刻）</v>
      </c>
      <c r="H14" s="84">
        <v>0</v>
      </c>
      <c r="I14">
        <v>14</v>
      </c>
      <c r="J14" s="83" t="s">
        <v>196</v>
      </c>
      <c r="K14" s="92" t="str">
        <f>VLOOKUP(I14,[6]stage_hints!$A:$C,3,FALSE)</f>
        <v>覚醒するにはレベルを最大に</v>
      </c>
      <c r="L14" s="93" t="str">
        <f>VLOOKUP(I14,[6]stage_hints!$A:$D,4,FALSE)</f>
        <v>覚醒するにはユニットのレベルを_x000D_最大まで上げる必要があります</v>
      </c>
      <c r="M14" s="57" t="s">
        <v>209</v>
      </c>
    </row>
    <row r="15" spans="1:13" x14ac:dyDescent="0.15">
      <c r="A15" s="80" t="s">
        <v>199</v>
      </c>
      <c r="B15" s="81">
        <f>floors!$C$2</f>
        <v>39011</v>
      </c>
      <c r="C15" s="82" t="str">
        <f ca="1">VLOOKUP($B15,OFFSET([2]quests!$A$1,0,0,COUNTA([2]quests!$A:$A),MATCH(C$1,[2]quests!$1:$1,0)-MATCH($B$1,[2]quests!$1:$1,0)+1),MATCH(C$1,[2]quests!$1:$1,0)-MATCH($B$1,[2]quests!$1:$1,0)+1,FALSE)</f>
        <v>ブルースクウェアを追え！</v>
      </c>
      <c r="D15" s="82" t="str">
        <f ca="1">VLOOKUP($B15,OFFSET([2]quests!$A$1,0,0,COUNTA([2]quests!$A:$A),MATCH(D$1,[2]quests!$1:$1,0)-MATCH($B$1,[2]quests!$1:$1,0)+1),MATCH(D$1,[2]quests!$1:$1,0)-MATCH($B$1,[2]quests!$1:$1,0)+1,FALSE)</f>
        <v>コラボクエスト（復刻）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コラボクエスト（復刻）</v>
      </c>
      <c r="H15" s="84">
        <v>0</v>
      </c>
      <c r="I15">
        <v>15</v>
      </c>
      <c r="J15" s="83" t="s">
        <v>196</v>
      </c>
      <c r="K15" s="92" t="str">
        <f>VLOOKUP(I15,[6]stage_hints!$A:$C,3,FALSE)</f>
        <v>覚醒素材を獲得</v>
      </c>
      <c r="L15" s="93" t="str">
        <f>VLOOKUP(I15,[6]stage_hints!$A:$D,4,FALSE)</f>
        <v>「曜日クエスト」では_x000D_ユニットの覚醒に必要な素材が手に入ります</v>
      </c>
      <c r="M15" s="57" t="s">
        <v>209</v>
      </c>
    </row>
    <row r="16" spans="1:13" x14ac:dyDescent="0.15">
      <c r="A16" s="80" t="s">
        <v>199</v>
      </c>
      <c r="B16" s="81">
        <f>floors!$C$2</f>
        <v>39011</v>
      </c>
      <c r="C16" s="82" t="str">
        <f ca="1">VLOOKUP($B16,OFFSET([2]quests!$A$1,0,0,COUNTA([2]quests!$A:$A),MATCH(C$1,[2]quests!$1:$1,0)-MATCH($B$1,[2]quests!$1:$1,0)+1),MATCH(C$1,[2]quests!$1:$1,0)-MATCH($B$1,[2]quests!$1:$1,0)+1,FALSE)</f>
        <v>ブルースクウェアを追え！</v>
      </c>
      <c r="D16" s="82" t="str">
        <f ca="1">VLOOKUP($B16,OFFSET([2]quests!$A$1,0,0,COUNTA([2]quests!$A:$A),MATCH(D$1,[2]quests!$1:$1,0)-MATCH($B$1,[2]quests!$1:$1,0)+1),MATCH(D$1,[2]quests!$1:$1,0)-MATCH($B$1,[2]quests!$1:$1,0)+1,FALSE)</f>
        <v>コラボクエスト（復刻）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コラボクエスト（復刻）</v>
      </c>
      <c r="H16" s="84">
        <v>0</v>
      </c>
      <c r="I16">
        <v>16</v>
      </c>
      <c r="J16" s="83" t="s">
        <v>196</v>
      </c>
      <c r="K16" s="92" t="str">
        <f>VLOOKUP(I16,[6]stage_hints!$A:$C,3,FALSE)</f>
        <v>マルチプレイのメリット（その1）</v>
      </c>
      <c r="L16" s="93" t="str">
        <f>VLOOKUP(I16,[6]stage_hints!$A:$D,4,FALSE)</f>
        <v>他のプレイヤーとマルチプレイで遊ぶと_x000D_ポリゴンがもらえます（100人まで）</v>
      </c>
      <c r="M16" s="57" t="s">
        <v>209</v>
      </c>
    </row>
    <row r="17" spans="1:13" x14ac:dyDescent="0.15">
      <c r="A17" s="80" t="s">
        <v>199</v>
      </c>
      <c r="B17" s="81">
        <f>floors!$C$2</f>
        <v>39011</v>
      </c>
      <c r="C17" s="82" t="str">
        <f ca="1">VLOOKUP($B17,OFFSET([2]quests!$A$1,0,0,COUNTA([2]quests!$A:$A),MATCH(C$1,[2]quests!$1:$1,0)-MATCH($B$1,[2]quests!$1:$1,0)+1),MATCH(C$1,[2]quests!$1:$1,0)-MATCH($B$1,[2]quests!$1:$1,0)+1,FALSE)</f>
        <v>ブルースクウェアを追え！</v>
      </c>
      <c r="D17" s="82" t="str">
        <f ca="1">VLOOKUP($B17,OFFSET([2]quests!$A$1,0,0,COUNTA([2]quests!$A:$A),MATCH(D$1,[2]quests!$1:$1,0)-MATCH($B$1,[2]quests!$1:$1,0)+1),MATCH(D$1,[2]quests!$1:$1,0)-MATCH($B$1,[2]quests!$1:$1,0)+1,FALSE)</f>
        <v>コラボクエスト（復刻）</v>
      </c>
      <c r="E17" s="86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コラボクエスト（復刻）</v>
      </c>
      <c r="H17" s="84">
        <v>0</v>
      </c>
      <c r="I17">
        <v>17</v>
      </c>
      <c r="J17" s="83" t="s">
        <v>196</v>
      </c>
      <c r="K17" s="92" t="str">
        <f>VLOOKUP(I17,[6]stage_hints!$A:$C,3,FALSE)</f>
        <v>リンクガチャ</v>
      </c>
      <c r="L17" s="93" t="str">
        <f>VLOOKUP(I17,[6]stage_hints!$A:$D,4,FALSE)</f>
        <v>無料のリンクガチャを回して_x000D_経験値素材や売却素材を獲得しましょう</v>
      </c>
      <c r="M17" s="57" t="s">
        <v>209</v>
      </c>
    </row>
    <row r="18" spans="1:13" x14ac:dyDescent="0.15">
      <c r="A18" s="80" t="s">
        <v>199</v>
      </c>
      <c r="B18" s="81">
        <f>floors!$C$2</f>
        <v>39011</v>
      </c>
      <c r="C18" s="82" t="str">
        <f ca="1">VLOOKUP($B18,OFFSET([2]quests!$A$1,0,0,COUNTA([2]quests!$A:$A),MATCH(C$1,[2]quests!$1:$1,0)-MATCH($B$1,[2]quests!$1:$1,0)+1),MATCH(C$1,[2]quests!$1:$1,0)-MATCH($B$1,[2]quests!$1:$1,0)+1,FALSE)</f>
        <v>ブルースクウェアを追え！</v>
      </c>
      <c r="D18" s="82" t="str">
        <f ca="1">VLOOKUP($B18,OFFSET([2]quests!$A$1,0,0,COUNTA([2]quests!$A:$A),MATCH(D$1,[2]quests!$1:$1,0)-MATCH($B$1,[2]quests!$1:$1,0)+1),MATCH(D$1,[2]quests!$1:$1,0)-MATCH($B$1,[2]quests!$1:$1,0)+1,FALSE)</f>
        <v>コラボクエスト（復刻）</v>
      </c>
      <c r="E18" s="86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コラボクエスト（復刻）</v>
      </c>
      <c r="H18" s="84">
        <v>0</v>
      </c>
      <c r="I18">
        <v>18</v>
      </c>
      <c r="J18" s="83" t="s">
        <v>196</v>
      </c>
      <c r="K18" s="92" t="str">
        <f>VLOOKUP(I18,[6]stage_hints!$A:$C,3,FALSE)</f>
        <v>マルチプレイのメリット（その2）</v>
      </c>
      <c r="L18" s="93" t="str">
        <f>VLOOKUP(I18,[6]stage_hints!$A:$D,4,FALSE)</f>
        <v>マルチプレイならリンクが2倍もらえます_x000D_リンクガチャをたくさん回しましょう</v>
      </c>
      <c r="M18" s="57" t="s">
        <v>209</v>
      </c>
    </row>
    <row r="19" spans="1:13" x14ac:dyDescent="0.15">
      <c r="A19" s="80" t="s">
        <v>199</v>
      </c>
      <c r="B19" s="81">
        <f>floors!$C$2</f>
        <v>39011</v>
      </c>
      <c r="C19" s="82" t="str">
        <f ca="1">VLOOKUP($B19,OFFSET([2]quests!$A$1,0,0,COUNTA([2]quests!$A:$A),MATCH(C$1,[2]quests!$1:$1,0)-MATCH($B$1,[2]quests!$1:$1,0)+1),MATCH(C$1,[2]quests!$1:$1,0)-MATCH($B$1,[2]quests!$1:$1,0)+1,FALSE)</f>
        <v>ブルースクウェアを追え！</v>
      </c>
      <c r="D19" s="82" t="str">
        <f ca="1">VLOOKUP($B19,OFFSET([2]quests!$A$1,0,0,COUNTA([2]quests!$A:$A),MATCH(D$1,[2]quests!$1:$1,0)-MATCH($B$1,[2]quests!$1:$1,0)+1),MATCH(D$1,[2]quests!$1:$1,0)-MATCH($B$1,[2]quests!$1:$1,0)+1,FALSE)</f>
        <v>コラボクエスト（復刻）</v>
      </c>
      <c r="E19" s="86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コラボクエスト（復刻）</v>
      </c>
      <c r="H19" s="84">
        <v>0</v>
      </c>
      <c r="I19">
        <v>19</v>
      </c>
      <c r="J19" s="83" t="s">
        <v>196</v>
      </c>
      <c r="K19" s="92" t="str">
        <f>VLOOKUP(I19,[6]stage_hints!$A:$C,3,FALSE)</f>
        <v>ソロ専用タワーオブザクイーン</v>
      </c>
      <c r="L19" s="93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7" t="s">
        <v>209</v>
      </c>
    </row>
    <row r="20" spans="1:13" x14ac:dyDescent="0.15">
      <c r="A20" s="80" t="s">
        <v>199</v>
      </c>
      <c r="B20" s="81">
        <f>floors!$C$2</f>
        <v>39011</v>
      </c>
      <c r="C20" s="82" t="str">
        <f ca="1">VLOOKUP($B20,OFFSET([2]quests!$A$1,0,0,COUNTA([2]quests!$A:$A),MATCH(C$1,[2]quests!$1:$1,0)-MATCH($B$1,[2]quests!$1:$1,0)+1),MATCH(C$1,[2]quests!$1:$1,0)-MATCH($B$1,[2]quests!$1:$1,0)+1,FALSE)</f>
        <v>ブルースクウェアを追え！</v>
      </c>
      <c r="D20" s="82" t="str">
        <f ca="1">VLOOKUP($B20,OFFSET([2]quests!$A$1,0,0,COUNTA([2]quests!$A:$A),MATCH(D$1,[2]quests!$1:$1,0)-MATCH($B$1,[2]quests!$1:$1,0)+1),MATCH(D$1,[2]quests!$1:$1,0)-MATCH($B$1,[2]quests!$1:$1,0)+1,FALSE)</f>
        <v>コラボクエスト（復刻）</v>
      </c>
      <c r="E20" s="86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コラボクエスト（復刻）</v>
      </c>
      <c r="H20" s="84">
        <v>0</v>
      </c>
      <c r="I20">
        <v>20</v>
      </c>
      <c r="J20" s="83" t="s">
        <v>196</v>
      </c>
      <c r="K20" s="92" t="str">
        <f>VLOOKUP(I20,[6]stage_hints!$A:$C,3,FALSE)</f>
        <v>マルチプレイのメリット（その3）</v>
      </c>
      <c r="L20" s="93" t="str">
        <f>VLOOKUP(I20,[6]stage_hints!$A:$D,4,FALSE)</f>
        <v>マルチプレイへの参加はエナジー消費ゼロ_x000D_いつでも好きなだけ遊ぶことができます</v>
      </c>
      <c r="M20" s="57" t="s">
        <v>209</v>
      </c>
    </row>
    <row r="21" spans="1:13" x14ac:dyDescent="0.15">
      <c r="A21" s="80" t="s">
        <v>199</v>
      </c>
      <c r="B21" s="81">
        <f>floors!$C$2</f>
        <v>39011</v>
      </c>
      <c r="C21" s="82" t="str">
        <f ca="1">VLOOKUP($B21,OFFSET([2]quests!$A$1,0,0,COUNTA([2]quests!$A:$A),MATCH(C$1,[2]quests!$1:$1,0)-MATCH($B$1,[2]quests!$1:$1,0)+1),MATCH(C$1,[2]quests!$1:$1,0)-MATCH($B$1,[2]quests!$1:$1,0)+1,FALSE)</f>
        <v>ブルースクウェアを追え！</v>
      </c>
      <c r="D21" s="82" t="str">
        <f ca="1">VLOOKUP($B21,OFFSET([2]quests!$A$1,0,0,COUNTA([2]quests!$A:$A),MATCH(D$1,[2]quests!$1:$1,0)-MATCH($B$1,[2]quests!$1:$1,0)+1),MATCH(D$1,[2]quests!$1:$1,0)-MATCH($B$1,[2]quests!$1:$1,0)+1,FALSE)</f>
        <v>コラボクエスト（復刻）</v>
      </c>
      <c r="E21" s="86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コラボクエスト（復刻）</v>
      </c>
      <c r="H21" s="84">
        <v>0</v>
      </c>
      <c r="I21">
        <v>21</v>
      </c>
      <c r="J21" s="83" t="s">
        <v>196</v>
      </c>
      <c r="K21" s="92" t="str">
        <f>VLOOKUP(I21,[6]stage_hints!$A:$C,3,FALSE)</f>
        <v>スキルを有効に</v>
      </c>
      <c r="L21" s="93" t="str">
        <f>VLOOKUP(I21,[6]stage_hints!$A:$D,4,FALSE)</f>
        <v>ターン経過でユニットのスキルが使えます_x000D_強力スキルでバトルを有利に進めましょう</v>
      </c>
      <c r="M21" s="57" t="s">
        <v>209</v>
      </c>
    </row>
    <row r="22" spans="1:13" x14ac:dyDescent="0.15">
      <c r="A22" s="80" t="s">
        <v>199</v>
      </c>
      <c r="B22" s="81">
        <f>floors!$C$2</f>
        <v>39011</v>
      </c>
      <c r="C22" s="82" t="str">
        <f ca="1">VLOOKUP($B22,OFFSET([2]quests!$A$1,0,0,COUNTA([2]quests!$A:$A),MATCH(C$1,[2]quests!$1:$1,0)-MATCH($B$1,[2]quests!$1:$1,0)+1),MATCH(C$1,[2]quests!$1:$1,0)-MATCH($B$1,[2]quests!$1:$1,0)+1,FALSE)</f>
        <v>ブルースクウェアを追え！</v>
      </c>
      <c r="D22" s="82" t="str">
        <f ca="1">VLOOKUP($B22,OFFSET([2]quests!$A$1,0,0,COUNTA([2]quests!$A:$A),MATCH(D$1,[2]quests!$1:$1,0)-MATCH($B$1,[2]quests!$1:$1,0)+1),MATCH(D$1,[2]quests!$1:$1,0)-MATCH($B$1,[2]quests!$1:$1,0)+1,FALSE)</f>
        <v>コラボクエスト（復刻）</v>
      </c>
      <c r="E22" s="86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コラボクエスト（復刻）</v>
      </c>
      <c r="H22" s="84">
        <v>0</v>
      </c>
      <c r="I22">
        <v>22</v>
      </c>
      <c r="J22" s="83" t="s">
        <v>196</v>
      </c>
      <c r="K22" s="92" t="str">
        <f>VLOOKUP(I22,[6]stage_hints!$A:$C,3,FALSE)</f>
        <v>フィーバーで一発逆転（その1）</v>
      </c>
      <c r="L22" s="93" t="str">
        <f>VLOOKUP(I22,[6]stage_hints!$A:$D,4,FALSE)</f>
        <v>フィーバーは攻撃と回復を兼ね備えます_x000D_ピンチからの一発逆転を狙いましょう</v>
      </c>
      <c r="M22" s="57" t="s">
        <v>209</v>
      </c>
    </row>
    <row r="23" spans="1:13" x14ac:dyDescent="0.15">
      <c r="A23" s="80" t="s">
        <v>199</v>
      </c>
      <c r="B23" s="81">
        <f>floors!$C$2</f>
        <v>39011</v>
      </c>
      <c r="C23" s="82" t="str">
        <f ca="1">VLOOKUP($B23,OFFSET([2]quests!$A$1,0,0,COUNTA([2]quests!$A:$A),MATCH(C$1,[2]quests!$1:$1,0)-MATCH($B$1,[2]quests!$1:$1,0)+1),MATCH(C$1,[2]quests!$1:$1,0)-MATCH($B$1,[2]quests!$1:$1,0)+1,FALSE)</f>
        <v>ブルースクウェアを追え！</v>
      </c>
      <c r="D23" s="82" t="str">
        <f ca="1">VLOOKUP($B23,OFFSET([2]quests!$A$1,0,0,COUNTA([2]quests!$A:$A),MATCH(D$1,[2]quests!$1:$1,0)-MATCH($B$1,[2]quests!$1:$1,0)+1),MATCH(D$1,[2]quests!$1:$1,0)-MATCH($B$1,[2]quests!$1:$1,0)+1,FALSE)</f>
        <v>コラボクエスト（復刻）</v>
      </c>
      <c r="E23" s="86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コラボクエスト（復刻）</v>
      </c>
      <c r="H23" s="84">
        <v>0</v>
      </c>
      <c r="I23">
        <v>23</v>
      </c>
      <c r="J23" s="83" t="s">
        <v>196</v>
      </c>
      <c r="K23" s="92" t="str">
        <f>VLOOKUP(I23,[6]stage_hints!$A:$C,3,FALSE)</f>
        <v>フィーバーで一発逆転（その2）</v>
      </c>
      <c r="L23" s="93" t="str">
        <f>VLOOKUP(I23,[6]stage_hints!$A:$D,4,FALSE)</f>
        <v>フィーバー中は虹色のボムパネルを狙って_x000D_画面上のパネルを一気に破壊しましょう</v>
      </c>
      <c r="M23" s="57" t="s">
        <v>209</v>
      </c>
    </row>
    <row r="24" spans="1:13" x14ac:dyDescent="0.15">
      <c r="A24" s="80" t="s">
        <v>199</v>
      </c>
      <c r="B24" s="81">
        <f>floors!$C$2</f>
        <v>39011</v>
      </c>
      <c r="C24" s="82" t="str">
        <f ca="1">VLOOKUP($B24,OFFSET([2]quests!$A$1,0,0,COUNTA([2]quests!$A:$A),MATCH(C$1,[2]quests!$1:$1,0)-MATCH($B$1,[2]quests!$1:$1,0)+1),MATCH(C$1,[2]quests!$1:$1,0)-MATCH($B$1,[2]quests!$1:$1,0)+1,FALSE)</f>
        <v>ブルースクウェアを追え！</v>
      </c>
      <c r="D24" s="82" t="str">
        <f ca="1">VLOOKUP($B24,OFFSET([2]quests!$A$1,0,0,COUNTA([2]quests!$A:$A),MATCH(D$1,[2]quests!$1:$1,0)-MATCH($B$1,[2]quests!$1:$1,0)+1),MATCH(D$1,[2]quests!$1:$1,0)-MATCH($B$1,[2]quests!$1:$1,0)+1,FALSE)</f>
        <v>コラボクエスト（復刻）</v>
      </c>
      <c r="E24" s="86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コラボクエスト（復刻）</v>
      </c>
      <c r="H24" s="84">
        <v>0</v>
      </c>
      <c r="I24">
        <v>24</v>
      </c>
      <c r="J24" s="83" t="s">
        <v>196</v>
      </c>
      <c r="K24" s="92" t="str">
        <f>VLOOKUP(I24,[6]stage_hints!$A:$C,3,FALSE)</f>
        <v>りんごを使って限界突破</v>
      </c>
      <c r="L24" s="93" t="str">
        <f>VLOOKUP(I24,[6]stage_hints!$A:$D,4,FALSE)</f>
        <v>赤りんご(攻撃力) 青りんご(回復力)_x000D_緑りんご(体力)をユニット強化に使うと_x000D_ステータスが限界突破します（計99個迄）</v>
      </c>
      <c r="M24" s="57" t="s">
        <v>209</v>
      </c>
    </row>
    <row r="25" spans="1:13" x14ac:dyDescent="0.15">
      <c r="A25" s="80" t="s">
        <v>199</v>
      </c>
      <c r="B25" s="81">
        <f>floors!$C$2</f>
        <v>39011</v>
      </c>
      <c r="C25" s="82" t="str">
        <f ca="1">VLOOKUP($B25,OFFSET([2]quests!$A$1,0,0,COUNTA([2]quests!$A:$A),MATCH(C$1,[2]quests!$1:$1,0)-MATCH($B$1,[2]quests!$1:$1,0)+1),MATCH(C$1,[2]quests!$1:$1,0)-MATCH($B$1,[2]quests!$1:$1,0)+1,FALSE)</f>
        <v>ブルースクウェアを追え！</v>
      </c>
      <c r="D25" s="82" t="str">
        <f ca="1">VLOOKUP($B25,OFFSET([2]quests!$A$1,0,0,COUNTA([2]quests!$A:$A),MATCH(D$1,[2]quests!$1:$1,0)-MATCH($B$1,[2]quests!$1:$1,0)+1),MATCH(D$1,[2]quests!$1:$1,0)-MATCH($B$1,[2]quests!$1:$1,0)+1,FALSE)</f>
        <v>コラボクエスト（復刻）</v>
      </c>
      <c r="E25" s="86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コラボクエスト（復刻）</v>
      </c>
      <c r="H25" s="84">
        <v>0</v>
      </c>
      <c r="I25">
        <v>25</v>
      </c>
      <c r="J25" s="83" t="s">
        <v>196</v>
      </c>
      <c r="K25" s="92" t="str">
        <f>VLOOKUP(I25,[6]stage_hints!$A:$C,3,FALSE)</f>
        <v>スキルレベルアップ</v>
      </c>
      <c r="L25" s="93" t="str">
        <f>VLOOKUP(I25,[6]stage_hints!$A:$D,4,FALSE)</f>
        <v>「クリスタルのりんご」を強化に使うと_x000D_スキルレベルを上げることができます</v>
      </c>
      <c r="M25" s="57" t="s">
        <v>209</v>
      </c>
    </row>
    <row r="26" spans="1:13" x14ac:dyDescent="0.15">
      <c r="A26" s="80" t="s">
        <v>199</v>
      </c>
      <c r="B26" s="81">
        <f>floors!$C$2</f>
        <v>39011</v>
      </c>
      <c r="C26" s="82" t="str">
        <f ca="1">VLOOKUP($B26,OFFSET([2]quests!$A$1,0,0,COUNTA([2]quests!$A:$A),MATCH(C$1,[2]quests!$1:$1,0)-MATCH($B$1,[2]quests!$1:$1,0)+1),MATCH(C$1,[2]quests!$1:$1,0)-MATCH($B$1,[2]quests!$1:$1,0)+1,FALSE)</f>
        <v>ブルースクウェアを追え！</v>
      </c>
      <c r="D26" s="82" t="str">
        <f ca="1">VLOOKUP($B26,OFFSET([2]quests!$A$1,0,0,COUNTA([2]quests!$A:$A),MATCH(D$1,[2]quests!$1:$1,0)-MATCH($B$1,[2]quests!$1:$1,0)+1),MATCH(D$1,[2]quests!$1:$1,0)-MATCH($B$1,[2]quests!$1:$1,0)+1,FALSE)</f>
        <v>コラボクエスト（復刻）</v>
      </c>
      <c r="E26" s="86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コラボクエスト（復刻）</v>
      </c>
      <c r="H26" s="84">
        <v>0</v>
      </c>
      <c r="I26">
        <v>26</v>
      </c>
      <c r="J26" s="83" t="s">
        <v>196</v>
      </c>
      <c r="K26" s="92" t="str">
        <f>VLOOKUP(I26,[6]stage_hints!$A:$C,3,FALSE)</f>
        <v>スキルレベルの効果</v>
      </c>
      <c r="L26" s="93" t="str">
        <f>VLOOKUP(I26,[6]stage_hints!$A:$D,4,FALSE)</f>
        <v>スキルレベルが上がると_x000D_短いターンでスキルを使うことができます</v>
      </c>
      <c r="M26" s="57" t="s">
        <v>209</v>
      </c>
    </row>
    <row r="27" spans="1:13" x14ac:dyDescent="0.15">
      <c r="A27" s="80" t="s">
        <v>199</v>
      </c>
      <c r="B27" s="81">
        <f>floors!$C$2</f>
        <v>39011</v>
      </c>
      <c r="C27" s="82" t="str">
        <f ca="1">VLOOKUP($B27,OFFSET([2]quests!$A$1,0,0,COUNTA([2]quests!$A:$A),MATCH(C$1,[2]quests!$1:$1,0)-MATCH($B$1,[2]quests!$1:$1,0)+1),MATCH(C$1,[2]quests!$1:$1,0)-MATCH($B$1,[2]quests!$1:$1,0)+1,FALSE)</f>
        <v>ブルースクウェアを追え！</v>
      </c>
      <c r="D27" s="82" t="str">
        <f ca="1">VLOOKUP($B27,OFFSET([2]quests!$A$1,0,0,COUNTA([2]quests!$A:$A),MATCH(D$1,[2]quests!$1:$1,0)-MATCH($B$1,[2]quests!$1:$1,0)+1),MATCH(D$1,[2]quests!$1:$1,0)-MATCH($B$1,[2]quests!$1:$1,0)+1,FALSE)</f>
        <v>コラボクエスト（復刻）</v>
      </c>
      <c r="E27" s="86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コラボクエスト（復刻）</v>
      </c>
      <c r="H27" s="84">
        <v>0</v>
      </c>
      <c r="I27">
        <v>39</v>
      </c>
      <c r="J27" s="83" t="s">
        <v>196</v>
      </c>
      <c r="K27" s="92" t="str">
        <f>VLOOKUP(I27,[6]stage_hints!$A:$C,3,FALSE)</f>
        <v>システム適合者を確認</v>
      </c>
      <c r="L27" s="93" t="str">
        <f>VLOOKUP(I27,[6]stage_hints!$A:$D,4,FALSE)</f>
        <v>ALICEが 「アナタ」を呼んでいます</v>
      </c>
      <c r="M27" s="57" t="s">
        <v>209</v>
      </c>
    </row>
    <row r="28" spans="1:13" x14ac:dyDescent="0.15">
      <c r="A28" s="80" t="s">
        <v>199</v>
      </c>
      <c r="B28" s="81">
        <f>floors!$C$2</f>
        <v>39011</v>
      </c>
      <c r="C28" s="82" t="str">
        <f ca="1">VLOOKUP($B28,OFFSET([2]quests!$A$1,0,0,COUNTA([2]quests!$A:$A),MATCH(C$1,[2]quests!$1:$1,0)-MATCH($B$1,[2]quests!$1:$1,0)+1),MATCH(C$1,[2]quests!$1:$1,0)-MATCH($B$1,[2]quests!$1:$1,0)+1,FALSE)</f>
        <v>ブルースクウェアを追え！</v>
      </c>
      <c r="D28" s="82" t="str">
        <f ca="1">VLOOKUP($B28,OFFSET([2]quests!$A$1,0,0,COUNTA([2]quests!$A:$A),MATCH(D$1,[2]quests!$1:$1,0)-MATCH($B$1,[2]quests!$1:$1,0)+1),MATCH(D$1,[2]quests!$1:$1,0)-MATCH($B$1,[2]quests!$1:$1,0)+1,FALSE)</f>
        <v>コラボクエスト（復刻）</v>
      </c>
      <c r="E28" s="86">
        <v>2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コラボクエスト（復刻）</v>
      </c>
      <c r="H28" s="84">
        <v>0</v>
      </c>
      <c r="I28">
        <v>3</v>
      </c>
      <c r="J28" s="83" t="s">
        <v>196</v>
      </c>
      <c r="K28" s="92" t="str">
        <f>VLOOKUP(I28,[6]stage_hints!$A:$C,3,FALSE)</f>
        <v>ターゲット</v>
      </c>
      <c r="L28" s="93" t="str">
        <f>VLOOKUP(I28,[6]stage_hints!$A:$D,4,FALSE)</f>
        <v>敵ユニットをタップすると_x000D_その敵を狙い撃ちできます</v>
      </c>
      <c r="M28" s="57" t="s">
        <v>209</v>
      </c>
    </row>
    <row r="29" spans="1:13" x14ac:dyDescent="0.15">
      <c r="A29" s="80" t="s">
        <v>199</v>
      </c>
      <c r="B29" s="81">
        <f>floors!$C$2</f>
        <v>39011</v>
      </c>
      <c r="C29" s="82" t="str">
        <f ca="1">VLOOKUP($B29,OFFSET([2]quests!$A$1,0,0,COUNTA([2]quests!$A:$A),MATCH(C$1,[2]quests!$1:$1,0)-MATCH($B$1,[2]quests!$1:$1,0)+1),MATCH(C$1,[2]quests!$1:$1,0)-MATCH($B$1,[2]quests!$1:$1,0)+1,FALSE)</f>
        <v>ブルースクウェアを追え！</v>
      </c>
      <c r="D29" s="82" t="str">
        <f ca="1">VLOOKUP($B29,OFFSET([2]quests!$A$1,0,0,COUNTA([2]quests!$A:$A),MATCH(D$1,[2]quests!$1:$1,0)-MATCH($B$1,[2]quests!$1:$1,0)+1),MATCH(D$1,[2]quests!$1:$1,0)-MATCH($B$1,[2]quests!$1:$1,0)+1,FALSE)</f>
        <v>コラボクエスト（復刻）</v>
      </c>
      <c r="E29" s="86">
        <v>2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コラボクエスト（復刻）</v>
      </c>
      <c r="H29" s="84">
        <v>0</v>
      </c>
      <c r="I29">
        <v>6</v>
      </c>
      <c r="J29" s="83" t="s">
        <v>196</v>
      </c>
      <c r="K29" s="92" t="str">
        <f>VLOOKUP(I29,[6]stage_hints!$A:$C,3,FALSE)</f>
        <v>ユニット強化の属性ボーナス</v>
      </c>
      <c r="L29" s="93" t="str">
        <f>VLOOKUP(I29,[6]stage_hints!$A:$D,4,FALSE)</f>
        <v>同属性ユニットを強化素材にすると_x000D_経験値が多くもらえます</v>
      </c>
      <c r="M29" s="57" t="s">
        <v>209</v>
      </c>
    </row>
    <row r="30" spans="1:13" x14ac:dyDescent="0.15">
      <c r="A30" s="80" t="s">
        <v>199</v>
      </c>
      <c r="B30" s="81">
        <f>floors!$C$2</f>
        <v>39011</v>
      </c>
      <c r="C30" s="82" t="str">
        <f ca="1">VLOOKUP($B30,OFFSET([2]quests!$A$1,0,0,COUNTA([2]quests!$A:$A),MATCH(C$1,[2]quests!$1:$1,0)-MATCH($B$1,[2]quests!$1:$1,0)+1),MATCH(C$1,[2]quests!$1:$1,0)-MATCH($B$1,[2]quests!$1:$1,0)+1,FALSE)</f>
        <v>ブルースクウェアを追え！</v>
      </c>
      <c r="D30" s="82" t="str">
        <f ca="1">VLOOKUP($B30,OFFSET([2]quests!$A$1,0,0,COUNTA([2]quests!$A:$A),MATCH(D$1,[2]quests!$1:$1,0)-MATCH($B$1,[2]quests!$1:$1,0)+1),MATCH(D$1,[2]quests!$1:$1,0)-MATCH($B$1,[2]quests!$1:$1,0)+1,FALSE)</f>
        <v>コラボクエスト（復刻）</v>
      </c>
      <c r="E30" s="86">
        <v>2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コラボクエスト（復刻）</v>
      </c>
      <c r="H30" s="84">
        <v>0</v>
      </c>
      <c r="I30">
        <v>7</v>
      </c>
      <c r="J30" s="83" t="s">
        <v>196</v>
      </c>
      <c r="K30" s="92" t="str">
        <f>VLOOKUP(I30,[6]stage_hints!$A:$C,3,FALSE)</f>
        <v>メタルダックで経験値を獲得</v>
      </c>
      <c r="L30" s="93" t="str">
        <f>VLOOKUP(I30,[6]stage_hints!$A:$D,4,FALSE)</f>
        <v>「メタルなアヒル」を強化素材にすると_x000D_大量の経験値がもらえます</v>
      </c>
      <c r="M30" s="57" t="s">
        <v>209</v>
      </c>
    </row>
    <row r="31" spans="1:13" x14ac:dyDescent="0.15">
      <c r="A31" s="80" t="s">
        <v>199</v>
      </c>
      <c r="B31" s="81">
        <f>floors!$C$2</f>
        <v>39011</v>
      </c>
      <c r="C31" s="82" t="str">
        <f ca="1">VLOOKUP($B31,OFFSET([2]quests!$A$1,0,0,COUNTA([2]quests!$A:$A),MATCH(C$1,[2]quests!$1:$1,0)-MATCH($B$1,[2]quests!$1:$1,0)+1),MATCH(C$1,[2]quests!$1:$1,0)-MATCH($B$1,[2]quests!$1:$1,0)+1,FALSE)</f>
        <v>ブルースクウェアを追え！</v>
      </c>
      <c r="D31" s="82" t="str">
        <f ca="1">VLOOKUP($B31,OFFSET([2]quests!$A$1,0,0,COUNTA([2]quests!$A:$A),MATCH(D$1,[2]quests!$1:$1,0)-MATCH($B$1,[2]quests!$1:$1,0)+1),MATCH(D$1,[2]quests!$1:$1,0)-MATCH($B$1,[2]quests!$1:$1,0)+1,FALSE)</f>
        <v>コラボクエスト（復刻）</v>
      </c>
      <c r="E31" s="86">
        <v>2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コラボクエスト（復刻）</v>
      </c>
      <c r="H31" s="84">
        <v>0</v>
      </c>
      <c r="I31">
        <v>8</v>
      </c>
      <c r="J31" s="83" t="s">
        <v>196</v>
      </c>
      <c r="K31" s="92" t="str">
        <f>VLOOKUP(I31,[6]stage_hints!$A:$C,3,FALSE)</f>
        <v>ゲリラクエストは要チェック</v>
      </c>
      <c r="L31" s="93" t="str">
        <f>VLOOKUP(I31,[6]stage_hints!$A:$D,4,FALSE)</f>
        <v>時間限定の「アヒル捕獲作戦」では_x000D_経験値素材ユニットが多く手に入ります</v>
      </c>
      <c r="M31" s="57" t="s">
        <v>209</v>
      </c>
    </row>
    <row r="32" spans="1:13" x14ac:dyDescent="0.15">
      <c r="A32" s="80" t="s">
        <v>199</v>
      </c>
      <c r="B32" s="81">
        <f>floors!$C$2</f>
        <v>39011</v>
      </c>
      <c r="C32" s="82" t="str">
        <f ca="1">VLOOKUP($B32,OFFSET([2]quests!$A$1,0,0,COUNTA([2]quests!$A:$A),MATCH(C$1,[2]quests!$1:$1,0)-MATCH($B$1,[2]quests!$1:$1,0)+1),MATCH(C$1,[2]quests!$1:$1,0)-MATCH($B$1,[2]quests!$1:$1,0)+1,FALSE)</f>
        <v>ブルースクウェアを追え！</v>
      </c>
      <c r="D32" s="82" t="str">
        <f ca="1">VLOOKUP($B32,OFFSET([2]quests!$A$1,0,0,COUNTA([2]quests!$A:$A),MATCH(D$1,[2]quests!$1:$1,0)-MATCH($B$1,[2]quests!$1:$1,0)+1),MATCH(D$1,[2]quests!$1:$1,0)-MATCH($B$1,[2]quests!$1:$1,0)+1,FALSE)</f>
        <v>コラボクエスト（復刻）</v>
      </c>
      <c r="E32" s="86">
        <v>2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コラボクエスト（復刻）</v>
      </c>
      <c r="H32" s="84">
        <v>0</v>
      </c>
      <c r="I32">
        <v>9</v>
      </c>
      <c r="J32" s="83" t="s">
        <v>196</v>
      </c>
      <c r="K32" s="92" t="str">
        <f>VLOOKUP(I32,[6]stage_hints!$A:$C,3,FALSE)</f>
        <v>ゴールドダックでビットを獲得</v>
      </c>
      <c r="L32" s="93" t="str">
        <f>VLOOKUP(I32,[6]stage_hints!$A:$D,4,FALSE)</f>
        <v>「ゴールドなアヒル」を売却すると_x000D_大量のビットがもらえます</v>
      </c>
      <c r="M32" s="57" t="s">
        <v>209</v>
      </c>
    </row>
    <row r="33" spans="1:13" x14ac:dyDescent="0.15">
      <c r="A33" s="80" t="s">
        <v>199</v>
      </c>
      <c r="B33" s="81">
        <f>floors!$C$2</f>
        <v>39011</v>
      </c>
      <c r="C33" s="82" t="str">
        <f ca="1">VLOOKUP($B33,OFFSET([2]quests!$A$1,0,0,COUNTA([2]quests!$A:$A),MATCH(C$1,[2]quests!$1:$1,0)-MATCH($B$1,[2]quests!$1:$1,0)+1),MATCH(C$1,[2]quests!$1:$1,0)-MATCH($B$1,[2]quests!$1:$1,0)+1,FALSE)</f>
        <v>ブルースクウェアを追え！</v>
      </c>
      <c r="D33" s="82" t="str">
        <f ca="1">VLOOKUP($B33,OFFSET([2]quests!$A$1,0,0,COUNTA([2]quests!$A:$A),MATCH(D$1,[2]quests!$1:$1,0)-MATCH($B$1,[2]quests!$1:$1,0)+1),MATCH(D$1,[2]quests!$1:$1,0)-MATCH($B$1,[2]quests!$1:$1,0)+1,FALSE)</f>
        <v>コラボクエスト（復刻）</v>
      </c>
      <c r="E33" s="86">
        <v>2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コラボクエスト（復刻）</v>
      </c>
      <c r="H33" s="84">
        <v>0</v>
      </c>
      <c r="I33">
        <v>10</v>
      </c>
      <c r="J33" s="83" t="s">
        <v>196</v>
      </c>
      <c r="K33" s="92" t="str">
        <f>VLOOKUP(I33,[6]stage_hints!$A:$C,3,FALSE)</f>
        <v>土日に大量のビットを獲得</v>
      </c>
      <c r="L33" s="93" t="str">
        <f>VLOOKUP(I33,[6]stage_hints!$A:$D,4,FALSE)</f>
        <v>土日限定の「ゴールドカジノ」では_x000D_売却素材ユニットが多く手に入ります</v>
      </c>
      <c r="M33" s="57" t="s">
        <v>209</v>
      </c>
    </row>
    <row r="34" spans="1:13" x14ac:dyDescent="0.15">
      <c r="A34" s="80" t="s">
        <v>199</v>
      </c>
      <c r="B34" s="81">
        <f>floors!$C$2</f>
        <v>39011</v>
      </c>
      <c r="C34" s="82" t="str">
        <f ca="1">VLOOKUP($B34,OFFSET([2]quests!$A$1,0,0,COUNTA([2]quests!$A:$A),MATCH(C$1,[2]quests!$1:$1,0)-MATCH($B$1,[2]quests!$1:$1,0)+1),MATCH(C$1,[2]quests!$1:$1,0)-MATCH($B$1,[2]quests!$1:$1,0)+1,FALSE)</f>
        <v>ブルースクウェアを追え！</v>
      </c>
      <c r="D34" s="82" t="str">
        <f ca="1">VLOOKUP($B34,OFFSET([2]quests!$A$1,0,0,COUNTA([2]quests!$A:$A),MATCH(D$1,[2]quests!$1:$1,0)-MATCH($B$1,[2]quests!$1:$1,0)+1),MATCH(D$1,[2]quests!$1:$1,0)-MATCH($B$1,[2]quests!$1:$1,0)+1,FALSE)</f>
        <v>コラボクエスト（復刻）</v>
      </c>
      <c r="E34" s="86">
        <v>2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コラボクエスト（復刻）</v>
      </c>
      <c r="H34" s="84">
        <v>0</v>
      </c>
      <c r="I34">
        <v>11</v>
      </c>
      <c r="J34" s="83" t="s">
        <v>196</v>
      </c>
      <c r="K34" s="92" t="str">
        <f>VLOOKUP(I34,[6]stage_hints!$A:$C,3,FALSE)</f>
        <v>ランク解放クエスト</v>
      </c>
      <c r="L34" s="93" t="str">
        <f>VLOOKUP(I34,[6]stage_hints!$A:$D,4,FALSE)</f>
        <v>一定ランクに到達すると_x000D_報酬付きのランク開放クエストが現れます</v>
      </c>
      <c r="M34" s="57" t="s">
        <v>209</v>
      </c>
    </row>
    <row r="35" spans="1:13" x14ac:dyDescent="0.15">
      <c r="A35" s="80" t="s">
        <v>199</v>
      </c>
      <c r="B35" s="81">
        <f>floors!$C$2</f>
        <v>39011</v>
      </c>
      <c r="C35" s="82" t="str">
        <f ca="1">VLOOKUP($B35,OFFSET([2]quests!$A$1,0,0,COUNTA([2]quests!$A:$A),MATCH(C$1,[2]quests!$1:$1,0)-MATCH($B$1,[2]quests!$1:$1,0)+1),MATCH(C$1,[2]quests!$1:$1,0)-MATCH($B$1,[2]quests!$1:$1,0)+1,FALSE)</f>
        <v>ブルースクウェアを追え！</v>
      </c>
      <c r="D35" s="82" t="str">
        <f ca="1">VLOOKUP($B35,OFFSET([2]quests!$A$1,0,0,COUNTA([2]quests!$A:$A),MATCH(D$1,[2]quests!$1:$1,0)-MATCH($B$1,[2]quests!$1:$1,0)+1),MATCH(D$1,[2]quests!$1:$1,0)-MATCH($B$1,[2]quests!$1:$1,0)+1,FALSE)</f>
        <v>コラボクエスト（復刻）</v>
      </c>
      <c r="E35" s="86">
        <v>2</v>
      </c>
      <c r="F35" s="82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5" s="82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コラボクエスト（復刻）</v>
      </c>
      <c r="H35" s="84">
        <v>0</v>
      </c>
      <c r="I35">
        <v>12</v>
      </c>
      <c r="J35" s="83" t="s">
        <v>196</v>
      </c>
      <c r="K35" s="92" t="str">
        <f>VLOOKUP(I35,[6]stage_hints!$A:$C,3,FALSE)</f>
        <v>ユニットのお気に入り登録</v>
      </c>
      <c r="L35" s="93" t="str">
        <f>VLOOKUP(I35,[6]stage_hints!$A:$D,4,FALSE)</f>
        <v>大事なユニットを誤って消さないように_x000D_フォルダから「お気に入り登録」しましょう</v>
      </c>
      <c r="M35" s="57" t="s">
        <v>209</v>
      </c>
    </row>
    <row r="36" spans="1:13" x14ac:dyDescent="0.15">
      <c r="A36" s="80" t="s">
        <v>199</v>
      </c>
      <c r="B36" s="81">
        <f>floors!$C$2</f>
        <v>39011</v>
      </c>
      <c r="C36" s="82" t="str">
        <f ca="1">VLOOKUP($B36,OFFSET([2]quests!$A$1,0,0,COUNTA([2]quests!$A:$A),MATCH(C$1,[2]quests!$1:$1,0)-MATCH($B$1,[2]quests!$1:$1,0)+1),MATCH(C$1,[2]quests!$1:$1,0)-MATCH($B$1,[2]quests!$1:$1,0)+1,FALSE)</f>
        <v>ブルースクウェアを追え！</v>
      </c>
      <c r="D36" s="82" t="str">
        <f ca="1">VLOOKUP($B36,OFFSET([2]quests!$A$1,0,0,COUNTA([2]quests!$A:$A),MATCH(D$1,[2]quests!$1:$1,0)-MATCH($B$1,[2]quests!$1:$1,0)+1),MATCH(D$1,[2]quests!$1:$1,0)-MATCH($B$1,[2]quests!$1:$1,0)+1,FALSE)</f>
        <v>コラボクエスト（復刻）</v>
      </c>
      <c r="E36" s="86">
        <v>2</v>
      </c>
      <c r="F36" s="82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6" s="82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コラボクエスト（復刻）</v>
      </c>
      <c r="H36" s="84">
        <v>0</v>
      </c>
      <c r="I36">
        <v>13</v>
      </c>
      <c r="J36" s="83" t="s">
        <v>196</v>
      </c>
      <c r="K36" s="92" t="str">
        <f>VLOOKUP(I36,[6]stage_hints!$A:$C,3,FALSE)</f>
        <v>ユニットの覚醒</v>
      </c>
      <c r="L36" s="93" t="str">
        <f>VLOOKUP(I36,[6]stage_hints!$A:$D,4,FALSE)</f>
        <v>ユニットを覚醒させると_x000D_比べものにならない強さが手に入ります</v>
      </c>
      <c r="M36" s="57" t="s">
        <v>209</v>
      </c>
    </row>
    <row r="37" spans="1:13" x14ac:dyDescent="0.15">
      <c r="A37" s="80" t="s">
        <v>199</v>
      </c>
      <c r="B37" s="81">
        <f>floors!$C$2</f>
        <v>39011</v>
      </c>
      <c r="C37" s="82" t="str">
        <f ca="1">VLOOKUP($B37,OFFSET([2]quests!$A$1,0,0,COUNTA([2]quests!$A:$A),MATCH(C$1,[2]quests!$1:$1,0)-MATCH($B$1,[2]quests!$1:$1,0)+1),MATCH(C$1,[2]quests!$1:$1,0)-MATCH($B$1,[2]quests!$1:$1,0)+1,FALSE)</f>
        <v>ブルースクウェアを追え！</v>
      </c>
      <c r="D37" s="82" t="str">
        <f ca="1">VLOOKUP($B37,OFFSET([2]quests!$A$1,0,0,COUNTA([2]quests!$A:$A),MATCH(D$1,[2]quests!$1:$1,0)-MATCH($B$1,[2]quests!$1:$1,0)+1),MATCH(D$1,[2]quests!$1:$1,0)-MATCH($B$1,[2]quests!$1:$1,0)+1,FALSE)</f>
        <v>コラボクエスト（復刻）</v>
      </c>
      <c r="E37" s="86">
        <v>2</v>
      </c>
      <c r="F37" s="82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7" s="82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コラボクエスト（復刻）</v>
      </c>
      <c r="H37" s="84">
        <v>0</v>
      </c>
      <c r="I37">
        <v>14</v>
      </c>
      <c r="J37" s="83" t="s">
        <v>196</v>
      </c>
      <c r="K37" s="92" t="str">
        <f>VLOOKUP(I37,[6]stage_hints!$A:$C,3,FALSE)</f>
        <v>覚醒するにはレベルを最大に</v>
      </c>
      <c r="L37" s="93" t="str">
        <f>VLOOKUP(I37,[6]stage_hints!$A:$D,4,FALSE)</f>
        <v>覚醒するにはユニットのレベルを_x000D_最大まで上げる必要があります</v>
      </c>
      <c r="M37" s="57" t="s">
        <v>209</v>
      </c>
    </row>
    <row r="38" spans="1:13" x14ac:dyDescent="0.15">
      <c r="A38" s="80" t="s">
        <v>199</v>
      </c>
      <c r="B38" s="81">
        <f>floors!$C$2</f>
        <v>39011</v>
      </c>
      <c r="C38" s="82" t="str">
        <f ca="1">VLOOKUP($B38,OFFSET([2]quests!$A$1,0,0,COUNTA([2]quests!$A:$A),MATCH(C$1,[2]quests!$1:$1,0)-MATCH($B$1,[2]quests!$1:$1,0)+1),MATCH(C$1,[2]quests!$1:$1,0)-MATCH($B$1,[2]quests!$1:$1,0)+1,FALSE)</f>
        <v>ブルースクウェアを追え！</v>
      </c>
      <c r="D38" s="82" t="str">
        <f ca="1">VLOOKUP($B38,OFFSET([2]quests!$A$1,0,0,COUNTA([2]quests!$A:$A),MATCH(D$1,[2]quests!$1:$1,0)-MATCH($B$1,[2]quests!$1:$1,0)+1),MATCH(D$1,[2]quests!$1:$1,0)-MATCH($B$1,[2]quests!$1:$1,0)+1,FALSE)</f>
        <v>コラボクエスト（復刻）</v>
      </c>
      <c r="E38" s="86">
        <v>2</v>
      </c>
      <c r="F38" s="82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8" s="82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コラボクエスト（復刻）</v>
      </c>
      <c r="H38" s="84">
        <v>0</v>
      </c>
      <c r="I38">
        <v>15</v>
      </c>
      <c r="J38" s="83" t="s">
        <v>196</v>
      </c>
      <c r="K38" s="92" t="str">
        <f>VLOOKUP(I38,[6]stage_hints!$A:$C,3,FALSE)</f>
        <v>覚醒素材を獲得</v>
      </c>
      <c r="L38" s="93" t="str">
        <f>VLOOKUP(I38,[6]stage_hints!$A:$D,4,FALSE)</f>
        <v>「曜日クエスト」では_x000D_ユニットの覚醒に必要な素材が手に入ります</v>
      </c>
      <c r="M38" s="57" t="s">
        <v>209</v>
      </c>
    </row>
    <row r="39" spans="1:13" x14ac:dyDescent="0.15">
      <c r="A39" s="80" t="s">
        <v>199</v>
      </c>
      <c r="B39" s="81">
        <f>floors!$C$2</f>
        <v>39011</v>
      </c>
      <c r="C39" s="82" t="str">
        <f ca="1">VLOOKUP($B39,OFFSET([2]quests!$A$1,0,0,COUNTA([2]quests!$A:$A),MATCH(C$1,[2]quests!$1:$1,0)-MATCH($B$1,[2]quests!$1:$1,0)+1),MATCH(C$1,[2]quests!$1:$1,0)-MATCH($B$1,[2]quests!$1:$1,0)+1,FALSE)</f>
        <v>ブルースクウェアを追え！</v>
      </c>
      <c r="D39" s="82" t="str">
        <f ca="1">VLOOKUP($B39,OFFSET([2]quests!$A$1,0,0,COUNTA([2]quests!$A:$A),MATCH(D$1,[2]quests!$1:$1,0)-MATCH($B$1,[2]quests!$1:$1,0)+1),MATCH(D$1,[2]quests!$1:$1,0)-MATCH($B$1,[2]quests!$1:$1,0)+1,FALSE)</f>
        <v>コラボクエスト（復刻）</v>
      </c>
      <c r="E39" s="86">
        <v>2</v>
      </c>
      <c r="F39" s="82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39" s="82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コラボクエスト（復刻）</v>
      </c>
      <c r="H39" s="84">
        <v>0</v>
      </c>
      <c r="I39">
        <v>16</v>
      </c>
      <c r="J39" s="83" t="s">
        <v>196</v>
      </c>
      <c r="K39" s="92" t="str">
        <f>VLOOKUP(I39,[6]stage_hints!$A:$C,3,FALSE)</f>
        <v>マルチプレイのメリット（その1）</v>
      </c>
      <c r="L39" s="93" t="str">
        <f>VLOOKUP(I39,[6]stage_hints!$A:$D,4,FALSE)</f>
        <v>他のプレイヤーとマルチプレイで遊ぶと_x000D_ポリゴンがもらえます（100人まで）</v>
      </c>
      <c r="M39" s="57" t="s">
        <v>209</v>
      </c>
    </row>
    <row r="40" spans="1:13" x14ac:dyDescent="0.15">
      <c r="A40" s="80" t="s">
        <v>199</v>
      </c>
      <c r="B40" s="81">
        <f>floors!$C$2</f>
        <v>39011</v>
      </c>
      <c r="C40" s="82" t="str">
        <f ca="1">VLOOKUP($B40,OFFSET([2]quests!$A$1,0,0,COUNTA([2]quests!$A:$A),MATCH(C$1,[2]quests!$1:$1,0)-MATCH($B$1,[2]quests!$1:$1,0)+1),MATCH(C$1,[2]quests!$1:$1,0)-MATCH($B$1,[2]quests!$1:$1,0)+1,FALSE)</f>
        <v>ブルースクウェアを追え！</v>
      </c>
      <c r="D40" s="82" t="str">
        <f ca="1">VLOOKUP($B40,OFFSET([2]quests!$A$1,0,0,COUNTA([2]quests!$A:$A),MATCH(D$1,[2]quests!$1:$1,0)-MATCH($B$1,[2]quests!$1:$1,0)+1),MATCH(D$1,[2]quests!$1:$1,0)-MATCH($B$1,[2]quests!$1:$1,0)+1,FALSE)</f>
        <v>コラボクエスト（復刻）</v>
      </c>
      <c r="E40" s="86">
        <v>2</v>
      </c>
      <c r="F40" s="82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0" s="82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コラボクエスト（復刻）</v>
      </c>
      <c r="H40" s="84">
        <v>0</v>
      </c>
      <c r="I40">
        <v>17</v>
      </c>
      <c r="J40" s="83" t="s">
        <v>196</v>
      </c>
      <c r="K40" s="92" t="str">
        <f>VLOOKUP(I40,[6]stage_hints!$A:$C,3,FALSE)</f>
        <v>リンクガチャ</v>
      </c>
      <c r="L40" s="93" t="str">
        <f>VLOOKUP(I40,[6]stage_hints!$A:$D,4,FALSE)</f>
        <v>無料のリンクガチャを回して_x000D_経験値素材や売却素材を獲得しましょう</v>
      </c>
      <c r="M40" s="57" t="s">
        <v>209</v>
      </c>
    </row>
    <row r="41" spans="1:13" x14ac:dyDescent="0.15">
      <c r="A41" s="80" t="s">
        <v>199</v>
      </c>
      <c r="B41" s="81">
        <f>floors!$C$2</f>
        <v>39011</v>
      </c>
      <c r="C41" s="82" t="str">
        <f ca="1">VLOOKUP($B41,OFFSET([2]quests!$A$1,0,0,COUNTA([2]quests!$A:$A),MATCH(C$1,[2]quests!$1:$1,0)-MATCH($B$1,[2]quests!$1:$1,0)+1),MATCH(C$1,[2]quests!$1:$1,0)-MATCH($B$1,[2]quests!$1:$1,0)+1,FALSE)</f>
        <v>ブルースクウェアを追え！</v>
      </c>
      <c r="D41" s="82" t="str">
        <f ca="1">VLOOKUP($B41,OFFSET([2]quests!$A$1,0,0,COUNTA([2]quests!$A:$A),MATCH(D$1,[2]quests!$1:$1,0)-MATCH($B$1,[2]quests!$1:$1,0)+1),MATCH(D$1,[2]quests!$1:$1,0)-MATCH($B$1,[2]quests!$1:$1,0)+1,FALSE)</f>
        <v>コラボクエスト（復刻）</v>
      </c>
      <c r="E41" s="86">
        <v>2</v>
      </c>
      <c r="F41" s="82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1" s="82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コラボクエスト（復刻）</v>
      </c>
      <c r="H41" s="84">
        <v>0</v>
      </c>
      <c r="I41">
        <v>18</v>
      </c>
      <c r="J41" s="83" t="s">
        <v>196</v>
      </c>
      <c r="K41" s="92" t="str">
        <f>VLOOKUP(I41,[6]stage_hints!$A:$C,3,FALSE)</f>
        <v>マルチプレイのメリット（その2）</v>
      </c>
      <c r="L41" s="93" t="str">
        <f>VLOOKUP(I41,[6]stage_hints!$A:$D,4,FALSE)</f>
        <v>マルチプレイならリンクが2倍もらえます_x000D_リンクガチャをたくさん回しましょう</v>
      </c>
      <c r="M41" s="57" t="s">
        <v>209</v>
      </c>
    </row>
    <row r="42" spans="1:13" x14ac:dyDescent="0.15">
      <c r="A42" s="80" t="s">
        <v>199</v>
      </c>
      <c r="B42" s="81">
        <f>floors!$C$2</f>
        <v>39011</v>
      </c>
      <c r="C42" s="82" t="str">
        <f ca="1">VLOOKUP($B42,OFFSET([2]quests!$A$1,0,0,COUNTA([2]quests!$A:$A),MATCH(C$1,[2]quests!$1:$1,0)-MATCH($B$1,[2]quests!$1:$1,0)+1),MATCH(C$1,[2]quests!$1:$1,0)-MATCH($B$1,[2]quests!$1:$1,0)+1,FALSE)</f>
        <v>ブルースクウェアを追え！</v>
      </c>
      <c r="D42" s="82" t="str">
        <f ca="1">VLOOKUP($B42,OFFSET([2]quests!$A$1,0,0,COUNTA([2]quests!$A:$A),MATCH(D$1,[2]quests!$1:$1,0)-MATCH($B$1,[2]quests!$1:$1,0)+1),MATCH(D$1,[2]quests!$1:$1,0)-MATCH($B$1,[2]quests!$1:$1,0)+1,FALSE)</f>
        <v>コラボクエスト（復刻）</v>
      </c>
      <c r="E42" s="86">
        <v>2</v>
      </c>
      <c r="F42" s="82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2" s="82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コラボクエスト（復刻）</v>
      </c>
      <c r="H42" s="84">
        <v>0</v>
      </c>
      <c r="I42">
        <v>19</v>
      </c>
      <c r="J42" s="83" t="s">
        <v>196</v>
      </c>
      <c r="K42" s="92" t="str">
        <f>VLOOKUP(I42,[6]stage_hints!$A:$C,3,FALSE)</f>
        <v>ソロ専用タワーオブザクイーン</v>
      </c>
      <c r="L42" s="93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7" t="s">
        <v>209</v>
      </c>
    </row>
    <row r="43" spans="1:13" x14ac:dyDescent="0.15">
      <c r="A43" s="80" t="s">
        <v>199</v>
      </c>
      <c r="B43" s="81">
        <f>floors!$C$2</f>
        <v>39011</v>
      </c>
      <c r="C43" s="82" t="str">
        <f ca="1">VLOOKUP($B43,OFFSET([2]quests!$A$1,0,0,COUNTA([2]quests!$A:$A),MATCH(C$1,[2]quests!$1:$1,0)-MATCH($B$1,[2]quests!$1:$1,0)+1),MATCH(C$1,[2]quests!$1:$1,0)-MATCH($B$1,[2]quests!$1:$1,0)+1,FALSE)</f>
        <v>ブルースクウェアを追え！</v>
      </c>
      <c r="D43" s="82" t="str">
        <f ca="1">VLOOKUP($B43,OFFSET([2]quests!$A$1,0,0,COUNTA([2]quests!$A:$A),MATCH(D$1,[2]quests!$1:$1,0)-MATCH($B$1,[2]quests!$1:$1,0)+1),MATCH(D$1,[2]quests!$1:$1,0)-MATCH($B$1,[2]quests!$1:$1,0)+1,FALSE)</f>
        <v>コラボクエスト（復刻）</v>
      </c>
      <c r="E43" s="86">
        <v>2</v>
      </c>
      <c r="F43" s="82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3" s="82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コラボクエスト（復刻）</v>
      </c>
      <c r="H43" s="84">
        <v>0</v>
      </c>
      <c r="I43">
        <v>20</v>
      </c>
      <c r="J43" s="83" t="s">
        <v>196</v>
      </c>
      <c r="K43" s="92" t="str">
        <f>VLOOKUP(I43,[6]stage_hints!$A:$C,3,FALSE)</f>
        <v>マルチプレイのメリット（その3）</v>
      </c>
      <c r="L43" s="93" t="str">
        <f>VLOOKUP(I43,[6]stage_hints!$A:$D,4,FALSE)</f>
        <v>マルチプレイへの参加はエナジー消費ゼロ_x000D_いつでも好きなだけ遊ぶことができます</v>
      </c>
      <c r="M43" s="57" t="s">
        <v>209</v>
      </c>
    </row>
    <row r="44" spans="1:13" x14ac:dyDescent="0.15">
      <c r="A44" s="80" t="s">
        <v>199</v>
      </c>
      <c r="B44" s="81">
        <f>floors!$C$2</f>
        <v>39011</v>
      </c>
      <c r="C44" s="82" t="str">
        <f ca="1">VLOOKUP($B44,OFFSET([2]quests!$A$1,0,0,COUNTA([2]quests!$A:$A),MATCH(C$1,[2]quests!$1:$1,0)-MATCH($B$1,[2]quests!$1:$1,0)+1),MATCH(C$1,[2]quests!$1:$1,0)-MATCH($B$1,[2]quests!$1:$1,0)+1,FALSE)</f>
        <v>ブルースクウェアを追え！</v>
      </c>
      <c r="D44" s="82" t="str">
        <f ca="1">VLOOKUP($B44,OFFSET([2]quests!$A$1,0,0,COUNTA([2]quests!$A:$A),MATCH(D$1,[2]quests!$1:$1,0)-MATCH($B$1,[2]quests!$1:$1,0)+1),MATCH(D$1,[2]quests!$1:$1,0)-MATCH($B$1,[2]quests!$1:$1,0)+1,FALSE)</f>
        <v>コラボクエスト（復刻）</v>
      </c>
      <c r="E44" s="86">
        <v>2</v>
      </c>
      <c r="F44" s="82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4" s="82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コラボクエスト（復刻）</v>
      </c>
      <c r="H44" s="84">
        <v>0</v>
      </c>
      <c r="I44">
        <v>21</v>
      </c>
      <c r="J44" s="83" t="s">
        <v>196</v>
      </c>
      <c r="K44" s="92" t="str">
        <f>VLOOKUP(I44,[6]stage_hints!$A:$C,3,FALSE)</f>
        <v>スキルを有効に</v>
      </c>
      <c r="L44" s="93" t="str">
        <f>VLOOKUP(I44,[6]stage_hints!$A:$D,4,FALSE)</f>
        <v>ターン経過でユニットのスキルが使えます_x000D_強力スキルでバトルを有利に進めましょう</v>
      </c>
      <c r="M44" s="57" t="s">
        <v>209</v>
      </c>
    </row>
    <row r="45" spans="1:13" x14ac:dyDescent="0.15">
      <c r="A45" s="80" t="s">
        <v>199</v>
      </c>
      <c r="B45" s="81">
        <f>floors!$C$2</f>
        <v>39011</v>
      </c>
      <c r="C45" s="82" t="str">
        <f ca="1">VLOOKUP($B45,OFFSET([2]quests!$A$1,0,0,COUNTA([2]quests!$A:$A),MATCH(C$1,[2]quests!$1:$1,0)-MATCH($B$1,[2]quests!$1:$1,0)+1),MATCH(C$1,[2]quests!$1:$1,0)-MATCH($B$1,[2]quests!$1:$1,0)+1,FALSE)</f>
        <v>ブルースクウェアを追え！</v>
      </c>
      <c r="D45" s="82" t="str">
        <f ca="1">VLOOKUP($B45,OFFSET([2]quests!$A$1,0,0,COUNTA([2]quests!$A:$A),MATCH(D$1,[2]quests!$1:$1,0)-MATCH($B$1,[2]quests!$1:$1,0)+1),MATCH(D$1,[2]quests!$1:$1,0)-MATCH($B$1,[2]quests!$1:$1,0)+1,FALSE)</f>
        <v>コラボクエスト（復刻）</v>
      </c>
      <c r="E45" s="86">
        <v>2</v>
      </c>
      <c r="F45" s="82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5" s="82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コラボクエスト（復刻）</v>
      </c>
      <c r="H45" s="84">
        <v>0</v>
      </c>
      <c r="I45">
        <v>22</v>
      </c>
      <c r="J45" s="83" t="s">
        <v>196</v>
      </c>
      <c r="K45" s="92" t="str">
        <f>VLOOKUP(I45,[6]stage_hints!$A:$C,3,FALSE)</f>
        <v>フィーバーで一発逆転（その1）</v>
      </c>
      <c r="L45" s="93" t="str">
        <f>VLOOKUP(I45,[6]stage_hints!$A:$D,4,FALSE)</f>
        <v>フィーバーは攻撃と回復を兼ね備えます_x000D_ピンチからの一発逆転を狙いましょう</v>
      </c>
      <c r="M45" s="57" t="s">
        <v>209</v>
      </c>
    </row>
    <row r="46" spans="1:13" x14ac:dyDescent="0.15">
      <c r="A46" s="80" t="s">
        <v>199</v>
      </c>
      <c r="B46" s="81">
        <f>floors!$C$2</f>
        <v>39011</v>
      </c>
      <c r="C46" s="82" t="str">
        <f ca="1">VLOOKUP($B46,OFFSET([2]quests!$A$1,0,0,COUNTA([2]quests!$A:$A),MATCH(C$1,[2]quests!$1:$1,0)-MATCH($B$1,[2]quests!$1:$1,0)+1),MATCH(C$1,[2]quests!$1:$1,0)-MATCH($B$1,[2]quests!$1:$1,0)+1,FALSE)</f>
        <v>ブルースクウェアを追え！</v>
      </c>
      <c r="D46" s="82" t="str">
        <f ca="1">VLOOKUP($B46,OFFSET([2]quests!$A$1,0,0,COUNTA([2]quests!$A:$A),MATCH(D$1,[2]quests!$1:$1,0)-MATCH($B$1,[2]quests!$1:$1,0)+1),MATCH(D$1,[2]quests!$1:$1,0)-MATCH($B$1,[2]quests!$1:$1,0)+1,FALSE)</f>
        <v>コラボクエスト（復刻）</v>
      </c>
      <c r="E46" s="86">
        <v>2</v>
      </c>
      <c r="F46" s="82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6" s="82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コラボクエスト（復刻）</v>
      </c>
      <c r="H46" s="84">
        <v>0</v>
      </c>
      <c r="I46">
        <v>23</v>
      </c>
      <c r="J46" s="83" t="s">
        <v>196</v>
      </c>
      <c r="K46" s="92" t="str">
        <f>VLOOKUP(I46,[6]stage_hints!$A:$C,3,FALSE)</f>
        <v>フィーバーで一発逆転（その2）</v>
      </c>
      <c r="L46" s="93" t="str">
        <f>VLOOKUP(I46,[6]stage_hints!$A:$D,4,FALSE)</f>
        <v>フィーバー中は虹色のボムパネルを狙って_x000D_画面上のパネルを一気に破壊しましょう</v>
      </c>
      <c r="M46" s="57" t="s">
        <v>209</v>
      </c>
    </row>
    <row r="47" spans="1:13" x14ac:dyDescent="0.15">
      <c r="A47" s="80" t="s">
        <v>199</v>
      </c>
      <c r="B47" s="81">
        <f>floors!$C$2</f>
        <v>39011</v>
      </c>
      <c r="C47" s="82" t="str">
        <f ca="1">VLOOKUP($B47,OFFSET([2]quests!$A$1,0,0,COUNTA([2]quests!$A:$A),MATCH(C$1,[2]quests!$1:$1,0)-MATCH($B$1,[2]quests!$1:$1,0)+1),MATCH(C$1,[2]quests!$1:$1,0)-MATCH($B$1,[2]quests!$1:$1,0)+1,FALSE)</f>
        <v>ブルースクウェアを追え！</v>
      </c>
      <c r="D47" s="82" t="str">
        <f ca="1">VLOOKUP($B47,OFFSET([2]quests!$A$1,0,0,COUNTA([2]quests!$A:$A),MATCH(D$1,[2]quests!$1:$1,0)-MATCH($B$1,[2]quests!$1:$1,0)+1),MATCH(D$1,[2]quests!$1:$1,0)-MATCH($B$1,[2]quests!$1:$1,0)+1,FALSE)</f>
        <v>コラボクエスト（復刻）</v>
      </c>
      <c r="E47" s="86">
        <v>2</v>
      </c>
      <c r="F47" s="82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7" s="82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コラボクエスト（復刻）</v>
      </c>
      <c r="H47" s="84">
        <v>0</v>
      </c>
      <c r="I47">
        <v>24</v>
      </c>
      <c r="J47" s="83" t="s">
        <v>196</v>
      </c>
      <c r="K47" s="92" t="str">
        <f>VLOOKUP(I47,[6]stage_hints!$A:$C,3,FALSE)</f>
        <v>りんごを使って限界突破</v>
      </c>
      <c r="L47" s="93" t="str">
        <f>VLOOKUP(I47,[6]stage_hints!$A:$D,4,FALSE)</f>
        <v>赤りんご(攻撃力) 青りんご(回復力)_x000D_緑りんご(体力)をユニット強化に使うと_x000D_ステータスが限界突破します（計99個迄）</v>
      </c>
      <c r="M47" s="57" t="s">
        <v>209</v>
      </c>
    </row>
    <row r="48" spans="1:13" x14ac:dyDescent="0.15">
      <c r="A48" s="80" t="s">
        <v>199</v>
      </c>
      <c r="B48" s="81">
        <f>floors!$C$2</f>
        <v>39011</v>
      </c>
      <c r="C48" s="82" t="str">
        <f ca="1">VLOOKUP($B48,OFFSET([2]quests!$A$1,0,0,COUNTA([2]quests!$A:$A),MATCH(C$1,[2]quests!$1:$1,0)-MATCH($B$1,[2]quests!$1:$1,0)+1),MATCH(C$1,[2]quests!$1:$1,0)-MATCH($B$1,[2]quests!$1:$1,0)+1,FALSE)</f>
        <v>ブルースクウェアを追え！</v>
      </c>
      <c r="D48" s="82" t="str">
        <f ca="1">VLOOKUP($B48,OFFSET([2]quests!$A$1,0,0,COUNTA([2]quests!$A:$A),MATCH(D$1,[2]quests!$1:$1,0)-MATCH($B$1,[2]quests!$1:$1,0)+1),MATCH(D$1,[2]quests!$1:$1,0)-MATCH($B$1,[2]quests!$1:$1,0)+1,FALSE)</f>
        <v>コラボクエスト（復刻）</v>
      </c>
      <c r="E48" s="86">
        <v>2</v>
      </c>
      <c r="F48" s="82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8" s="82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コラボクエスト（復刻）</v>
      </c>
      <c r="H48" s="84">
        <v>0</v>
      </c>
      <c r="I48">
        <v>25</v>
      </c>
      <c r="J48" s="83" t="s">
        <v>196</v>
      </c>
      <c r="K48" s="92" t="str">
        <f>VLOOKUP(I48,[6]stage_hints!$A:$C,3,FALSE)</f>
        <v>スキルレベルアップ</v>
      </c>
      <c r="L48" s="93" t="str">
        <f>VLOOKUP(I48,[6]stage_hints!$A:$D,4,FALSE)</f>
        <v>「クリスタルのりんご」を強化に使うと_x000D_スキルレベルを上げることができます</v>
      </c>
      <c r="M48" s="57" t="s">
        <v>209</v>
      </c>
    </row>
    <row r="49" spans="1:13" x14ac:dyDescent="0.15">
      <c r="A49" s="80" t="s">
        <v>199</v>
      </c>
      <c r="B49" s="81">
        <f>floors!$C$2</f>
        <v>39011</v>
      </c>
      <c r="C49" s="82" t="str">
        <f ca="1">VLOOKUP($B49,OFFSET([2]quests!$A$1,0,0,COUNTA([2]quests!$A:$A),MATCH(C$1,[2]quests!$1:$1,0)-MATCH($B$1,[2]quests!$1:$1,0)+1),MATCH(C$1,[2]quests!$1:$1,0)-MATCH($B$1,[2]quests!$1:$1,0)+1,FALSE)</f>
        <v>ブルースクウェアを追え！</v>
      </c>
      <c r="D49" s="82" t="str">
        <f ca="1">VLOOKUP($B49,OFFSET([2]quests!$A$1,0,0,COUNTA([2]quests!$A:$A),MATCH(D$1,[2]quests!$1:$1,0)-MATCH($B$1,[2]quests!$1:$1,0)+1),MATCH(D$1,[2]quests!$1:$1,0)-MATCH($B$1,[2]quests!$1:$1,0)+1,FALSE)</f>
        <v>コラボクエスト（復刻）</v>
      </c>
      <c r="E49" s="86">
        <v>2</v>
      </c>
      <c r="F49" s="82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49" s="82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コラボクエスト（復刻）</v>
      </c>
      <c r="H49" s="84">
        <v>0</v>
      </c>
      <c r="I49">
        <v>26</v>
      </c>
      <c r="J49" s="83" t="s">
        <v>196</v>
      </c>
      <c r="K49" s="92" t="str">
        <f>VLOOKUP(I49,[6]stage_hints!$A:$C,3,FALSE)</f>
        <v>スキルレベルの効果</v>
      </c>
      <c r="L49" s="93" t="str">
        <f>VLOOKUP(I49,[6]stage_hints!$A:$D,4,FALSE)</f>
        <v>スキルレベルが上がると_x000D_短いターンでスキルを使うことができます</v>
      </c>
      <c r="M49" s="57" t="s">
        <v>209</v>
      </c>
    </row>
    <row r="50" spans="1:13" x14ac:dyDescent="0.15">
      <c r="A50" s="80" t="s">
        <v>199</v>
      </c>
      <c r="B50" s="81">
        <f>floors!$C$2</f>
        <v>39011</v>
      </c>
      <c r="C50" s="82" t="str">
        <f ca="1">VLOOKUP($B50,OFFSET([2]quests!$A$1,0,0,COUNTA([2]quests!$A:$A),MATCH(C$1,[2]quests!$1:$1,0)-MATCH($B$1,[2]quests!$1:$1,0)+1),MATCH(C$1,[2]quests!$1:$1,0)-MATCH($B$1,[2]quests!$1:$1,0)+1,FALSE)</f>
        <v>ブルースクウェアを追え！</v>
      </c>
      <c r="D50" s="82" t="str">
        <f ca="1">VLOOKUP($B50,OFFSET([2]quests!$A$1,0,0,COUNTA([2]quests!$A:$A),MATCH(D$1,[2]quests!$1:$1,0)-MATCH($B$1,[2]quests!$1:$1,0)+1),MATCH(D$1,[2]quests!$1:$1,0)-MATCH($B$1,[2]quests!$1:$1,0)+1,FALSE)</f>
        <v>コラボクエスト（復刻）</v>
      </c>
      <c r="E50" s="86">
        <v>2</v>
      </c>
      <c r="F50" s="82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0" s="82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コラボクエスト（復刻）</v>
      </c>
      <c r="H50" s="84">
        <v>0</v>
      </c>
      <c r="I50">
        <v>27</v>
      </c>
      <c r="J50" s="83" t="s">
        <v>196</v>
      </c>
      <c r="K50" s="92" t="str">
        <f>VLOOKUP(I50,[6]stage_hints!$A:$C,3,FALSE)</f>
        <v>ホーム画面からデッキを編成</v>
      </c>
      <c r="L50" s="93" t="str">
        <f>VLOOKUP(I50,[6]stage_hints!$A:$D,4,FALSE)</f>
        <v>ホーム画面でユニットを長押しすると_x000D_すぐにパーティ編成に移動できます</v>
      </c>
      <c r="M50" s="57" t="s">
        <v>209</v>
      </c>
    </row>
    <row r="51" spans="1:13" x14ac:dyDescent="0.15">
      <c r="A51" s="80" t="s">
        <v>199</v>
      </c>
      <c r="B51" s="81">
        <f>floors!$C$2</f>
        <v>39011</v>
      </c>
      <c r="C51" s="82" t="str">
        <f ca="1">VLOOKUP($B51,OFFSET([2]quests!$A$1,0,0,COUNTA([2]quests!$A:$A),MATCH(C$1,[2]quests!$1:$1,0)-MATCH($B$1,[2]quests!$1:$1,0)+1),MATCH(C$1,[2]quests!$1:$1,0)-MATCH($B$1,[2]quests!$1:$1,0)+1,FALSE)</f>
        <v>ブルースクウェアを追え！</v>
      </c>
      <c r="D51" s="82" t="str">
        <f ca="1">VLOOKUP($B51,OFFSET([2]quests!$A$1,0,0,COUNTA([2]quests!$A:$A),MATCH(D$1,[2]quests!$1:$1,0)-MATCH($B$1,[2]quests!$1:$1,0)+1),MATCH(D$1,[2]quests!$1:$1,0)-MATCH($B$1,[2]quests!$1:$1,0)+1,FALSE)</f>
        <v>コラボクエスト（復刻）</v>
      </c>
      <c r="E51" s="86">
        <v>2</v>
      </c>
      <c r="F51" s="82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1" s="82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コラボクエスト（復刻）</v>
      </c>
      <c r="H51" s="84">
        <v>0</v>
      </c>
      <c r="I51">
        <v>28</v>
      </c>
      <c r="J51" s="83" t="s">
        <v>196</v>
      </c>
      <c r="K51" s="92" t="str">
        <f>VLOOKUP(I51,[6]stage_hints!$A:$C,3,FALSE)</f>
        <v>ステータス情報は長押しで</v>
      </c>
      <c r="L51" s="93" t="str">
        <f>VLOOKUP(I51,[6]stage_hints!$A:$D,4,FALSE)</f>
        <v>ユニットのアイコンを長押しすると_x000D_ステータス情報を確認することができます</v>
      </c>
      <c r="M51" s="57" t="s">
        <v>209</v>
      </c>
    </row>
    <row r="52" spans="1:13" x14ac:dyDescent="0.15">
      <c r="A52" s="80" t="s">
        <v>199</v>
      </c>
      <c r="B52" s="81">
        <f>floors!$C$2</f>
        <v>39011</v>
      </c>
      <c r="C52" s="82" t="str">
        <f ca="1">VLOOKUP($B52,OFFSET([2]quests!$A$1,0,0,COUNTA([2]quests!$A:$A),MATCH(C$1,[2]quests!$1:$1,0)-MATCH($B$1,[2]quests!$1:$1,0)+1),MATCH(C$1,[2]quests!$1:$1,0)-MATCH($B$1,[2]quests!$1:$1,0)+1,FALSE)</f>
        <v>ブルースクウェアを追え！</v>
      </c>
      <c r="D52" s="82" t="str">
        <f ca="1">VLOOKUP($B52,OFFSET([2]quests!$A$1,0,0,COUNTA([2]quests!$A:$A),MATCH(D$1,[2]quests!$1:$1,0)-MATCH($B$1,[2]quests!$1:$1,0)+1),MATCH(D$1,[2]quests!$1:$1,0)-MATCH($B$1,[2]quests!$1:$1,0)+1,FALSE)</f>
        <v>コラボクエスト（復刻）</v>
      </c>
      <c r="E52" s="86">
        <v>2</v>
      </c>
      <c r="F52" s="82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2" s="82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コラボクエスト（復刻）</v>
      </c>
      <c r="H52" s="84">
        <v>0</v>
      </c>
      <c r="I52">
        <v>29</v>
      </c>
      <c r="J52" s="83" t="s">
        <v>196</v>
      </c>
      <c r="K52" s="92" t="str">
        <f>VLOOKUP(I52,[6]stage_hints!$A:$C,3,FALSE)</f>
        <v>「バグ」のメリット</v>
      </c>
      <c r="L52" s="93" t="str">
        <f>VLOOKUP(I52,[6]stage_hints!$A:$D,4,FALSE)</f>
        <v>ユニットの「バグ」を増やすと_x000D_報酬をもらえる確率がアップします</v>
      </c>
      <c r="M52" s="57" t="s">
        <v>209</v>
      </c>
    </row>
    <row r="53" spans="1:13" x14ac:dyDescent="0.15">
      <c r="A53" s="80" t="s">
        <v>199</v>
      </c>
      <c r="B53" s="81">
        <f>floors!$C$2</f>
        <v>39011</v>
      </c>
      <c r="C53" s="82" t="str">
        <f ca="1">VLOOKUP($B53,OFFSET([2]quests!$A$1,0,0,COUNTA([2]quests!$A:$A),MATCH(C$1,[2]quests!$1:$1,0)-MATCH($B$1,[2]quests!$1:$1,0)+1),MATCH(C$1,[2]quests!$1:$1,0)-MATCH($B$1,[2]quests!$1:$1,0)+1,FALSE)</f>
        <v>ブルースクウェアを追え！</v>
      </c>
      <c r="D53" s="82" t="str">
        <f ca="1">VLOOKUP($B53,OFFSET([2]quests!$A$1,0,0,COUNTA([2]quests!$A:$A),MATCH(D$1,[2]quests!$1:$1,0)-MATCH($B$1,[2]quests!$1:$1,0)+1),MATCH(D$1,[2]quests!$1:$1,0)-MATCH($B$1,[2]quests!$1:$1,0)+1,FALSE)</f>
        <v>コラボクエスト（復刻）</v>
      </c>
      <c r="E53" s="86">
        <v>2</v>
      </c>
      <c r="F53" s="82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3" s="82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コラボクエスト（復刻）</v>
      </c>
      <c r="H53" s="84">
        <v>0</v>
      </c>
      <c r="I53">
        <v>30</v>
      </c>
      <c r="J53" s="83" t="s">
        <v>196</v>
      </c>
      <c r="K53" s="92" t="str">
        <f>VLOOKUP(I53,[6]stage_hints!$A:$C,3,FALSE)</f>
        <v>「バグ」の増やし方</v>
      </c>
      <c r="L53" s="93" t="str">
        <f>VLOOKUP(I53,[6]stage_hints!$A:$D,4,FALSE)</f>
        <v>同じユニット同士を強化で合成すると_x000D_「バグ」を増やすことができます</v>
      </c>
      <c r="M53" s="57" t="s">
        <v>209</v>
      </c>
    </row>
    <row r="54" spans="1:13" x14ac:dyDescent="0.15">
      <c r="A54" s="80" t="s">
        <v>199</v>
      </c>
      <c r="B54" s="81">
        <f>floors!$C$2</f>
        <v>39011</v>
      </c>
      <c r="C54" s="82" t="str">
        <f ca="1">VLOOKUP($B54,OFFSET([2]quests!$A$1,0,0,COUNTA([2]quests!$A:$A),MATCH(C$1,[2]quests!$1:$1,0)-MATCH($B$1,[2]quests!$1:$1,0)+1),MATCH(C$1,[2]quests!$1:$1,0)-MATCH($B$1,[2]quests!$1:$1,0)+1,FALSE)</f>
        <v>ブルースクウェアを追え！</v>
      </c>
      <c r="D54" s="82" t="str">
        <f ca="1">VLOOKUP($B54,OFFSET([2]quests!$A$1,0,0,COUNTA([2]quests!$A:$A),MATCH(D$1,[2]quests!$1:$1,0)-MATCH($B$1,[2]quests!$1:$1,0)+1),MATCH(D$1,[2]quests!$1:$1,0)-MATCH($B$1,[2]quests!$1:$1,0)+1,FALSE)</f>
        <v>コラボクエスト（復刻）</v>
      </c>
      <c r="E54" s="86">
        <v>2</v>
      </c>
      <c r="F54" s="82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4" s="82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コラボクエスト（復刻）</v>
      </c>
      <c r="H54" s="84">
        <v>0</v>
      </c>
      <c r="I54">
        <v>31</v>
      </c>
      <c r="J54" s="83" t="s">
        <v>196</v>
      </c>
      <c r="K54" s="92" t="str">
        <f>VLOOKUP(I54,[6]stage_hints!$A:$C,3,FALSE)</f>
        <v>イベントはお知らせでチェック</v>
      </c>
      <c r="L54" s="93" t="str">
        <f>VLOOKUP(I54,[6]stage_hints!$A:$D,4,FALSE)</f>
        <v>イベント限定ユニットを取り忘れないように_x000D_お知らせをこまめにチェックしましょう</v>
      </c>
      <c r="M54" s="57" t="s">
        <v>209</v>
      </c>
    </row>
    <row r="55" spans="1:13" x14ac:dyDescent="0.15">
      <c r="A55" s="80" t="s">
        <v>199</v>
      </c>
      <c r="B55" s="81">
        <f>floors!$C$2</f>
        <v>39011</v>
      </c>
      <c r="C55" s="82" t="str">
        <f ca="1">VLOOKUP($B55,OFFSET([2]quests!$A$1,0,0,COUNTA([2]quests!$A:$A),MATCH(C$1,[2]quests!$1:$1,0)-MATCH($B$1,[2]quests!$1:$1,0)+1),MATCH(C$1,[2]quests!$1:$1,0)-MATCH($B$1,[2]quests!$1:$1,0)+1,FALSE)</f>
        <v>ブルースクウェアを追え！</v>
      </c>
      <c r="D55" s="82" t="str">
        <f ca="1">VLOOKUP($B55,OFFSET([2]quests!$A$1,0,0,COUNTA([2]quests!$A:$A),MATCH(D$1,[2]quests!$1:$1,0)-MATCH($B$1,[2]quests!$1:$1,0)+1),MATCH(D$1,[2]quests!$1:$1,0)-MATCH($B$1,[2]quests!$1:$1,0)+1,FALSE)</f>
        <v>コラボクエスト（復刻）</v>
      </c>
      <c r="E55" s="86">
        <v>2</v>
      </c>
      <c r="F55" s="82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5" s="82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コラボクエスト（復刻）</v>
      </c>
      <c r="H55" s="84">
        <v>0</v>
      </c>
      <c r="I55">
        <v>32</v>
      </c>
      <c r="J55" s="83" t="s">
        <v>196</v>
      </c>
      <c r="K55" s="92" t="str">
        <f>VLOOKUP(I55,[6]stage_hints!$A:$C,3,FALSE)</f>
        <v>敵の連続攻撃には</v>
      </c>
      <c r="L55" s="93" t="str">
        <f>VLOOKUP(I55,[6]stage_hints!$A:$D,4,FALSE)</f>
        <v>カウンタースキルを持つユニットがいれば_x000D_ダメージ回数分の反撃ができます</v>
      </c>
      <c r="M55" s="57" t="s">
        <v>209</v>
      </c>
    </row>
    <row r="56" spans="1:13" x14ac:dyDescent="0.15">
      <c r="A56" s="80" t="s">
        <v>199</v>
      </c>
      <c r="B56" s="81">
        <f>floors!$C$2</f>
        <v>39011</v>
      </c>
      <c r="C56" s="82" t="str">
        <f ca="1">VLOOKUP($B56,OFFSET([2]quests!$A$1,0,0,COUNTA([2]quests!$A:$A),MATCH(C$1,[2]quests!$1:$1,0)-MATCH($B$1,[2]quests!$1:$1,0)+1),MATCH(C$1,[2]quests!$1:$1,0)-MATCH($B$1,[2]quests!$1:$1,0)+1,FALSE)</f>
        <v>ブルースクウェアを追え！</v>
      </c>
      <c r="D56" s="82" t="str">
        <f ca="1">VLOOKUP($B56,OFFSET([2]quests!$A$1,0,0,COUNTA([2]quests!$A:$A),MATCH(D$1,[2]quests!$1:$1,0)-MATCH($B$1,[2]quests!$1:$1,0)+1),MATCH(D$1,[2]quests!$1:$1,0)-MATCH($B$1,[2]quests!$1:$1,0)+1,FALSE)</f>
        <v>コラボクエスト（復刻）</v>
      </c>
      <c r="E56" s="86">
        <v>2</v>
      </c>
      <c r="F56" s="82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6" s="82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コラボクエスト（復刻）</v>
      </c>
      <c r="H56" s="84">
        <v>0</v>
      </c>
      <c r="I56">
        <v>33</v>
      </c>
      <c r="J56" s="83" t="s">
        <v>196</v>
      </c>
      <c r="K56" s="92" t="str">
        <f>VLOOKUP(I56,[6]stage_hints!$A:$C,3,FALSE)</f>
        <v>敵のカウンター攻撃には</v>
      </c>
      <c r="L56" s="93" t="str">
        <f>VLOOKUP(I56,[6]stage_hints!$A:$D,4,FALSE)</f>
        <v>カウンターブレイクスキルを持っていれば_x000D_敵のカウンターを解除して攻撃ができます</v>
      </c>
      <c r="M56" s="57" t="s">
        <v>209</v>
      </c>
    </row>
    <row r="57" spans="1:13" x14ac:dyDescent="0.15">
      <c r="A57" s="80" t="s">
        <v>199</v>
      </c>
      <c r="B57" s="81">
        <f>floors!$C$2</f>
        <v>39011</v>
      </c>
      <c r="C57" s="82" t="str">
        <f ca="1">VLOOKUP($B57,OFFSET([2]quests!$A$1,0,0,COUNTA([2]quests!$A:$A),MATCH(C$1,[2]quests!$1:$1,0)-MATCH($B$1,[2]quests!$1:$1,0)+1),MATCH(C$1,[2]quests!$1:$1,0)-MATCH($B$1,[2]quests!$1:$1,0)+1,FALSE)</f>
        <v>ブルースクウェアを追え！</v>
      </c>
      <c r="D57" s="82" t="str">
        <f ca="1">VLOOKUP($B57,OFFSET([2]quests!$A$1,0,0,COUNTA([2]quests!$A:$A),MATCH(D$1,[2]quests!$1:$1,0)-MATCH($B$1,[2]quests!$1:$1,0)+1),MATCH(D$1,[2]quests!$1:$1,0)-MATCH($B$1,[2]quests!$1:$1,0)+1,FALSE)</f>
        <v>コラボクエスト（復刻）</v>
      </c>
      <c r="E57" s="86">
        <v>2</v>
      </c>
      <c r="F57" s="82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7" s="82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コラボクエスト（復刻）</v>
      </c>
      <c r="H57" s="84">
        <v>0</v>
      </c>
      <c r="I57">
        <v>34</v>
      </c>
      <c r="J57" s="83" t="s">
        <v>196</v>
      </c>
      <c r="K57" s="92" t="str">
        <f>VLOOKUP(I57,[6]stage_hints!$A:$C,3,FALSE)</f>
        <v>ステータスをスキルで下げられたら</v>
      </c>
      <c r="L57" s="93" t="str">
        <f>VLOOKUP(I57,[6]stage_hints!$A:$D,4,FALSE)</f>
        <v>ステータスダウンのスキルを受けたら_x000D_ステータスアップスキルで上書きしましょう</v>
      </c>
      <c r="M57" s="57" t="s">
        <v>209</v>
      </c>
    </row>
    <row r="58" spans="1:13" x14ac:dyDescent="0.15">
      <c r="A58" s="80" t="s">
        <v>199</v>
      </c>
      <c r="B58" s="81">
        <f>floors!$C$2</f>
        <v>39011</v>
      </c>
      <c r="C58" s="82" t="str">
        <f ca="1">VLOOKUP($B58,OFFSET([2]quests!$A$1,0,0,COUNTA([2]quests!$A:$A),MATCH(C$1,[2]quests!$1:$1,0)-MATCH($B$1,[2]quests!$1:$1,0)+1),MATCH(C$1,[2]quests!$1:$1,0)-MATCH($B$1,[2]quests!$1:$1,0)+1,FALSE)</f>
        <v>ブルースクウェアを追え！</v>
      </c>
      <c r="D58" s="82" t="str">
        <f ca="1">VLOOKUP($B58,OFFSET([2]quests!$A$1,0,0,COUNTA([2]quests!$A:$A),MATCH(D$1,[2]quests!$1:$1,0)-MATCH($B$1,[2]quests!$1:$1,0)+1),MATCH(D$1,[2]quests!$1:$1,0)-MATCH($B$1,[2]quests!$1:$1,0)+1,FALSE)</f>
        <v>コラボクエスト（復刻）</v>
      </c>
      <c r="E58" s="86">
        <v>2</v>
      </c>
      <c r="F58" s="82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8" s="82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コラボクエスト（復刻）</v>
      </c>
      <c r="H58" s="84">
        <v>0</v>
      </c>
      <c r="I58">
        <v>35</v>
      </c>
      <c r="J58" s="83" t="s">
        <v>196</v>
      </c>
      <c r="K58" s="92" t="str">
        <f>VLOOKUP(I58,[6]stage_hints!$A:$C,3,FALSE)</f>
        <v>敵のステータスがスキルで上がったら</v>
      </c>
      <c r="L58" s="93" t="str">
        <f>VLOOKUP(I58,[6]stage_hints!$A:$D,4,FALSE)</f>
        <v>敵のステータスがスキルでアップしたときは_x000D_ステータスダウンスキルで上書きしましょう</v>
      </c>
      <c r="M58" s="57" t="s">
        <v>209</v>
      </c>
    </row>
    <row r="59" spans="1:13" x14ac:dyDescent="0.15">
      <c r="A59" s="80" t="s">
        <v>199</v>
      </c>
      <c r="B59" s="81">
        <f>floors!$C$2</f>
        <v>39011</v>
      </c>
      <c r="C59" s="82" t="str">
        <f ca="1">VLOOKUP($B59,OFFSET([2]quests!$A$1,0,0,COUNTA([2]quests!$A:$A),MATCH(C$1,[2]quests!$1:$1,0)-MATCH($B$1,[2]quests!$1:$1,0)+1),MATCH(C$1,[2]quests!$1:$1,0)-MATCH($B$1,[2]quests!$1:$1,0)+1,FALSE)</f>
        <v>ブルースクウェアを追え！</v>
      </c>
      <c r="D59" s="82" t="str">
        <f ca="1">VLOOKUP($B59,OFFSET([2]quests!$A$1,0,0,COUNTA([2]quests!$A:$A),MATCH(D$1,[2]quests!$1:$1,0)-MATCH($B$1,[2]quests!$1:$1,0)+1),MATCH(D$1,[2]quests!$1:$1,0)-MATCH($B$1,[2]quests!$1:$1,0)+1,FALSE)</f>
        <v>コラボクエスト（復刻）</v>
      </c>
      <c r="E59" s="86">
        <v>2</v>
      </c>
      <c r="F59" s="82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59" s="82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コラボクエスト（復刻）</v>
      </c>
      <c r="H59" s="84">
        <v>0</v>
      </c>
      <c r="I59">
        <v>39</v>
      </c>
      <c r="J59" s="83" t="s">
        <v>196</v>
      </c>
      <c r="K59" s="92" t="str">
        <f>VLOOKUP(I59,[6]stage_hints!$A:$C,3,FALSE)</f>
        <v>システム適合者を確認</v>
      </c>
      <c r="L59" s="93" t="str">
        <f>VLOOKUP(I59,[6]stage_hints!$A:$D,4,FALSE)</f>
        <v>ALICEが 「アナタ」を呼んでいます</v>
      </c>
      <c r="M59" s="57" t="s">
        <v>209</v>
      </c>
    </row>
    <row r="60" spans="1:13" x14ac:dyDescent="0.15">
      <c r="A60" s="80" t="s">
        <v>199</v>
      </c>
      <c r="B60" s="81">
        <f>floors!$C$2</f>
        <v>39011</v>
      </c>
      <c r="C60" s="82" t="str">
        <f ca="1">VLOOKUP($B60,OFFSET([2]quests!$A$1,0,0,COUNTA([2]quests!$A:$A),MATCH(C$1,[2]quests!$1:$1,0)-MATCH($B$1,[2]quests!$1:$1,0)+1),MATCH(C$1,[2]quests!$1:$1,0)-MATCH($B$1,[2]quests!$1:$1,0)+1,FALSE)</f>
        <v>ブルースクウェアを追え！</v>
      </c>
      <c r="D60" s="82" t="str">
        <f ca="1">VLOOKUP($B60,OFFSET([2]quests!$A$1,0,0,COUNTA([2]quests!$A:$A),MATCH(D$1,[2]quests!$1:$1,0)-MATCH($B$1,[2]quests!$1:$1,0)+1),MATCH(D$1,[2]quests!$1:$1,0)-MATCH($B$1,[2]quests!$1:$1,0)+1,FALSE)</f>
        <v>コラボクエスト（復刻）</v>
      </c>
      <c r="E60" s="86">
        <v>3</v>
      </c>
      <c r="F60" s="8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0" s="82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コラボクエスト（復刻）</v>
      </c>
      <c r="H60" s="84">
        <v>0</v>
      </c>
      <c r="I60" s="95">
        <v>3</v>
      </c>
      <c r="J60" s="83" t="s">
        <v>196</v>
      </c>
      <c r="K60" s="92" t="str">
        <f>VLOOKUP(I60,[6]stage_hints!$A:$C,3,FALSE)</f>
        <v>ターゲット</v>
      </c>
      <c r="L60" s="93" t="str">
        <f>VLOOKUP(I60,[6]stage_hints!$A:$D,4,FALSE)</f>
        <v>敵ユニットをタップすると_x000D_その敵を狙い撃ちできます</v>
      </c>
      <c r="M60" s="57" t="s">
        <v>209</v>
      </c>
    </row>
    <row r="61" spans="1:13" x14ac:dyDescent="0.15">
      <c r="A61" s="80" t="s">
        <v>199</v>
      </c>
      <c r="B61" s="81">
        <f>floors!$C$2</f>
        <v>39011</v>
      </c>
      <c r="C61" s="82" t="str">
        <f ca="1">VLOOKUP($B61,OFFSET([2]quests!$A$1,0,0,COUNTA([2]quests!$A:$A),MATCH(C$1,[2]quests!$1:$1,0)-MATCH($B$1,[2]quests!$1:$1,0)+1),MATCH(C$1,[2]quests!$1:$1,0)-MATCH($B$1,[2]quests!$1:$1,0)+1,FALSE)</f>
        <v>ブルースクウェアを追え！</v>
      </c>
      <c r="D61" s="82" t="str">
        <f ca="1">VLOOKUP($B61,OFFSET([2]quests!$A$1,0,0,COUNTA([2]quests!$A:$A),MATCH(D$1,[2]quests!$1:$1,0)-MATCH($B$1,[2]quests!$1:$1,0)+1),MATCH(D$1,[2]quests!$1:$1,0)-MATCH($B$1,[2]quests!$1:$1,0)+1,FALSE)</f>
        <v>コラボクエスト（復刻）</v>
      </c>
      <c r="E61" s="86">
        <v>3</v>
      </c>
      <c r="F61" s="8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1" s="82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コラボクエスト（復刻）</v>
      </c>
      <c r="H61" s="84">
        <v>0</v>
      </c>
      <c r="I61" s="95">
        <v>6</v>
      </c>
      <c r="J61" s="83" t="s">
        <v>196</v>
      </c>
      <c r="K61" s="92" t="str">
        <f>VLOOKUP(I61,[6]stage_hints!$A:$C,3,FALSE)</f>
        <v>ユニット強化の属性ボーナス</v>
      </c>
      <c r="L61" s="93" t="str">
        <f>VLOOKUP(I61,[6]stage_hints!$A:$D,4,FALSE)</f>
        <v>同属性ユニットを強化素材にすると_x000D_経験値が多くもらえます</v>
      </c>
      <c r="M61" s="57" t="s">
        <v>209</v>
      </c>
    </row>
    <row r="62" spans="1:13" x14ac:dyDescent="0.15">
      <c r="A62" s="80" t="s">
        <v>199</v>
      </c>
      <c r="B62" s="81">
        <f>floors!$C$2</f>
        <v>39011</v>
      </c>
      <c r="C62" s="82" t="str">
        <f ca="1">VLOOKUP($B62,OFFSET([2]quests!$A$1,0,0,COUNTA([2]quests!$A:$A),MATCH(C$1,[2]quests!$1:$1,0)-MATCH($B$1,[2]quests!$1:$1,0)+1),MATCH(C$1,[2]quests!$1:$1,0)-MATCH($B$1,[2]quests!$1:$1,0)+1,FALSE)</f>
        <v>ブルースクウェアを追え！</v>
      </c>
      <c r="D62" s="82" t="str">
        <f ca="1">VLOOKUP($B62,OFFSET([2]quests!$A$1,0,0,COUNTA([2]quests!$A:$A),MATCH(D$1,[2]quests!$1:$1,0)-MATCH($B$1,[2]quests!$1:$1,0)+1),MATCH(D$1,[2]quests!$1:$1,0)-MATCH($B$1,[2]quests!$1:$1,0)+1,FALSE)</f>
        <v>コラボクエスト（復刻）</v>
      </c>
      <c r="E62" s="86">
        <v>3</v>
      </c>
      <c r="F62" s="8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2" s="82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コラボクエスト（復刻）</v>
      </c>
      <c r="H62" s="84">
        <v>0</v>
      </c>
      <c r="I62" s="95">
        <v>7</v>
      </c>
      <c r="J62" s="83" t="s">
        <v>196</v>
      </c>
      <c r="K62" s="92" t="str">
        <f>VLOOKUP(I62,[6]stage_hints!$A:$C,3,FALSE)</f>
        <v>メタルダックで経験値を獲得</v>
      </c>
      <c r="L62" s="93" t="str">
        <f>VLOOKUP(I62,[6]stage_hints!$A:$D,4,FALSE)</f>
        <v>「メタルなアヒル」を強化素材にすると_x000D_大量の経験値がもらえます</v>
      </c>
      <c r="M62" s="57" t="s">
        <v>209</v>
      </c>
    </row>
    <row r="63" spans="1:13" x14ac:dyDescent="0.15">
      <c r="A63" s="80" t="s">
        <v>199</v>
      </c>
      <c r="B63" s="81">
        <f>floors!$C$2</f>
        <v>39011</v>
      </c>
      <c r="C63" s="82" t="str">
        <f ca="1">VLOOKUP($B63,OFFSET([2]quests!$A$1,0,0,COUNTA([2]quests!$A:$A),MATCH(C$1,[2]quests!$1:$1,0)-MATCH($B$1,[2]quests!$1:$1,0)+1),MATCH(C$1,[2]quests!$1:$1,0)-MATCH($B$1,[2]quests!$1:$1,0)+1,FALSE)</f>
        <v>ブルースクウェアを追え！</v>
      </c>
      <c r="D63" s="82" t="str">
        <f ca="1">VLOOKUP($B63,OFFSET([2]quests!$A$1,0,0,COUNTA([2]quests!$A:$A),MATCH(D$1,[2]quests!$1:$1,0)-MATCH($B$1,[2]quests!$1:$1,0)+1),MATCH(D$1,[2]quests!$1:$1,0)-MATCH($B$1,[2]quests!$1:$1,0)+1,FALSE)</f>
        <v>コラボクエスト（復刻）</v>
      </c>
      <c r="E63" s="86">
        <v>3</v>
      </c>
      <c r="F63" s="8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3" s="82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コラボクエスト（復刻）</v>
      </c>
      <c r="H63" s="84">
        <v>0</v>
      </c>
      <c r="I63" s="95">
        <v>8</v>
      </c>
      <c r="J63" s="83" t="s">
        <v>196</v>
      </c>
      <c r="K63" s="92" t="str">
        <f>VLOOKUP(I63,[6]stage_hints!$A:$C,3,FALSE)</f>
        <v>ゲリラクエストは要チェック</v>
      </c>
      <c r="L63" s="93" t="str">
        <f>VLOOKUP(I63,[6]stage_hints!$A:$D,4,FALSE)</f>
        <v>時間限定の「アヒル捕獲作戦」では_x000D_経験値素材ユニットが多く手に入ります</v>
      </c>
      <c r="M63" s="57" t="s">
        <v>209</v>
      </c>
    </row>
    <row r="64" spans="1:13" x14ac:dyDescent="0.15">
      <c r="A64" s="80" t="s">
        <v>199</v>
      </c>
      <c r="B64" s="81">
        <f>floors!$C$2</f>
        <v>39011</v>
      </c>
      <c r="C64" s="82" t="str">
        <f ca="1">VLOOKUP($B64,OFFSET([2]quests!$A$1,0,0,COUNTA([2]quests!$A:$A),MATCH(C$1,[2]quests!$1:$1,0)-MATCH($B$1,[2]quests!$1:$1,0)+1),MATCH(C$1,[2]quests!$1:$1,0)-MATCH($B$1,[2]quests!$1:$1,0)+1,FALSE)</f>
        <v>ブルースクウェアを追え！</v>
      </c>
      <c r="D64" s="82" t="str">
        <f ca="1">VLOOKUP($B64,OFFSET([2]quests!$A$1,0,0,COUNTA([2]quests!$A:$A),MATCH(D$1,[2]quests!$1:$1,0)-MATCH($B$1,[2]quests!$1:$1,0)+1),MATCH(D$1,[2]quests!$1:$1,0)-MATCH($B$1,[2]quests!$1:$1,0)+1,FALSE)</f>
        <v>コラボクエスト（復刻）</v>
      </c>
      <c r="E64" s="86">
        <v>3</v>
      </c>
      <c r="F64" s="8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4" s="82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コラボクエスト（復刻）</v>
      </c>
      <c r="H64" s="84">
        <v>0</v>
      </c>
      <c r="I64" s="95">
        <v>9</v>
      </c>
      <c r="J64" s="83" t="s">
        <v>196</v>
      </c>
      <c r="K64" s="92" t="str">
        <f>VLOOKUP(I64,[6]stage_hints!$A:$C,3,FALSE)</f>
        <v>ゴールドダックでビットを獲得</v>
      </c>
      <c r="L64" s="93" t="str">
        <f>VLOOKUP(I64,[6]stage_hints!$A:$D,4,FALSE)</f>
        <v>「ゴールドなアヒル」を売却すると_x000D_大量のビットがもらえます</v>
      </c>
      <c r="M64" s="57" t="s">
        <v>209</v>
      </c>
    </row>
    <row r="65" spans="1:13" x14ac:dyDescent="0.15">
      <c r="A65" s="80" t="s">
        <v>199</v>
      </c>
      <c r="B65" s="81">
        <f>floors!$C$2</f>
        <v>39011</v>
      </c>
      <c r="C65" s="82" t="str">
        <f ca="1">VLOOKUP($B65,OFFSET([2]quests!$A$1,0,0,COUNTA([2]quests!$A:$A),MATCH(C$1,[2]quests!$1:$1,0)-MATCH($B$1,[2]quests!$1:$1,0)+1),MATCH(C$1,[2]quests!$1:$1,0)-MATCH($B$1,[2]quests!$1:$1,0)+1,FALSE)</f>
        <v>ブルースクウェアを追え！</v>
      </c>
      <c r="D65" s="82" t="str">
        <f ca="1">VLOOKUP($B65,OFFSET([2]quests!$A$1,0,0,COUNTA([2]quests!$A:$A),MATCH(D$1,[2]quests!$1:$1,0)-MATCH($B$1,[2]quests!$1:$1,0)+1),MATCH(D$1,[2]quests!$1:$1,0)-MATCH($B$1,[2]quests!$1:$1,0)+1,FALSE)</f>
        <v>コラボクエスト（復刻）</v>
      </c>
      <c r="E65" s="86">
        <v>3</v>
      </c>
      <c r="F65" s="8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5" s="82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コラボクエスト（復刻）</v>
      </c>
      <c r="H65" s="84">
        <v>0</v>
      </c>
      <c r="I65" s="95">
        <v>10</v>
      </c>
      <c r="J65" s="83" t="s">
        <v>196</v>
      </c>
      <c r="K65" s="92" t="str">
        <f>VLOOKUP(I65,[6]stage_hints!$A:$C,3,FALSE)</f>
        <v>土日に大量のビットを獲得</v>
      </c>
      <c r="L65" s="93" t="str">
        <f>VLOOKUP(I65,[6]stage_hints!$A:$D,4,FALSE)</f>
        <v>土日限定の「ゴールドカジノ」では_x000D_売却素材ユニットが多く手に入ります</v>
      </c>
      <c r="M65" s="57" t="s">
        <v>209</v>
      </c>
    </row>
    <row r="66" spans="1:13" x14ac:dyDescent="0.15">
      <c r="A66" s="80" t="s">
        <v>199</v>
      </c>
      <c r="B66" s="81">
        <f>floors!$C$2</f>
        <v>39011</v>
      </c>
      <c r="C66" s="82" t="str">
        <f ca="1">VLOOKUP($B66,OFFSET([2]quests!$A$1,0,0,COUNTA([2]quests!$A:$A),MATCH(C$1,[2]quests!$1:$1,0)-MATCH($B$1,[2]quests!$1:$1,0)+1),MATCH(C$1,[2]quests!$1:$1,0)-MATCH($B$1,[2]quests!$1:$1,0)+1,FALSE)</f>
        <v>ブルースクウェアを追え！</v>
      </c>
      <c r="D66" s="82" t="str">
        <f ca="1">VLOOKUP($B66,OFFSET([2]quests!$A$1,0,0,COUNTA([2]quests!$A:$A),MATCH(D$1,[2]quests!$1:$1,0)-MATCH($B$1,[2]quests!$1:$1,0)+1),MATCH(D$1,[2]quests!$1:$1,0)-MATCH($B$1,[2]quests!$1:$1,0)+1,FALSE)</f>
        <v>コラボクエスト（復刻）</v>
      </c>
      <c r="E66" s="86">
        <v>3</v>
      </c>
      <c r="F66" s="8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6" s="82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コラボクエスト（復刻）</v>
      </c>
      <c r="H66" s="84">
        <v>0</v>
      </c>
      <c r="I66" s="95">
        <v>11</v>
      </c>
      <c r="J66" s="83" t="s">
        <v>196</v>
      </c>
      <c r="K66" s="92" t="str">
        <f>VLOOKUP(I66,[6]stage_hints!$A:$C,3,FALSE)</f>
        <v>ランク解放クエスト</v>
      </c>
      <c r="L66" s="93" t="str">
        <f>VLOOKUP(I66,[6]stage_hints!$A:$D,4,FALSE)</f>
        <v>一定ランクに到達すると_x000D_報酬付きのランク開放クエストが現れます</v>
      </c>
      <c r="M66" s="57" t="s">
        <v>209</v>
      </c>
    </row>
    <row r="67" spans="1:13" x14ac:dyDescent="0.15">
      <c r="A67" s="80" t="s">
        <v>199</v>
      </c>
      <c r="B67" s="81">
        <f>floors!$C$2</f>
        <v>39011</v>
      </c>
      <c r="C67" s="82" t="str">
        <f ca="1">VLOOKUP($B67,OFFSET([2]quests!$A$1,0,0,COUNTA([2]quests!$A:$A),MATCH(C$1,[2]quests!$1:$1,0)-MATCH($B$1,[2]quests!$1:$1,0)+1),MATCH(C$1,[2]quests!$1:$1,0)-MATCH($B$1,[2]quests!$1:$1,0)+1,FALSE)</f>
        <v>ブルースクウェアを追え！</v>
      </c>
      <c r="D67" s="82" t="str">
        <f ca="1">VLOOKUP($B67,OFFSET([2]quests!$A$1,0,0,COUNTA([2]quests!$A:$A),MATCH(D$1,[2]quests!$1:$1,0)-MATCH($B$1,[2]quests!$1:$1,0)+1),MATCH(D$1,[2]quests!$1:$1,0)-MATCH($B$1,[2]quests!$1:$1,0)+1,FALSE)</f>
        <v>コラボクエスト（復刻）</v>
      </c>
      <c r="E67" s="86">
        <v>3</v>
      </c>
      <c r="F67" s="8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7" s="82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コラボクエスト（復刻）</v>
      </c>
      <c r="H67" s="84">
        <v>0</v>
      </c>
      <c r="I67" s="95">
        <v>12</v>
      </c>
      <c r="J67" s="83" t="s">
        <v>196</v>
      </c>
      <c r="K67" s="92" t="str">
        <f>VLOOKUP(I67,[6]stage_hints!$A:$C,3,FALSE)</f>
        <v>ユニットのお気に入り登録</v>
      </c>
      <c r="L67" s="93" t="str">
        <f>VLOOKUP(I67,[6]stage_hints!$A:$D,4,FALSE)</f>
        <v>大事なユニットを誤って消さないように_x000D_フォルダから「お気に入り登録」しましょう</v>
      </c>
      <c r="M67" s="57" t="s">
        <v>209</v>
      </c>
    </row>
    <row r="68" spans="1:13" x14ac:dyDescent="0.15">
      <c r="A68" s="80" t="s">
        <v>199</v>
      </c>
      <c r="B68" s="81">
        <f>floors!$C$2</f>
        <v>39011</v>
      </c>
      <c r="C68" s="82" t="str">
        <f ca="1">VLOOKUP($B68,OFFSET([2]quests!$A$1,0,0,COUNTA([2]quests!$A:$A),MATCH(C$1,[2]quests!$1:$1,0)-MATCH($B$1,[2]quests!$1:$1,0)+1),MATCH(C$1,[2]quests!$1:$1,0)-MATCH($B$1,[2]quests!$1:$1,0)+1,FALSE)</f>
        <v>ブルースクウェアを追え！</v>
      </c>
      <c r="D68" s="82" t="str">
        <f ca="1">VLOOKUP($B68,OFFSET([2]quests!$A$1,0,0,COUNTA([2]quests!$A:$A),MATCH(D$1,[2]quests!$1:$1,0)-MATCH($B$1,[2]quests!$1:$1,0)+1),MATCH(D$1,[2]quests!$1:$1,0)-MATCH($B$1,[2]quests!$1:$1,0)+1,FALSE)</f>
        <v>コラボクエスト（復刻）</v>
      </c>
      <c r="E68" s="86">
        <v>3</v>
      </c>
      <c r="F68" s="82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8" s="82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コラボクエスト（復刻）</v>
      </c>
      <c r="H68" s="84">
        <v>0</v>
      </c>
      <c r="I68" s="95">
        <v>13</v>
      </c>
      <c r="J68" s="83" t="s">
        <v>196</v>
      </c>
      <c r="K68" s="92" t="str">
        <f>VLOOKUP(I68,[6]stage_hints!$A:$C,3,FALSE)</f>
        <v>ユニットの覚醒</v>
      </c>
      <c r="L68" s="93" t="str">
        <f>VLOOKUP(I68,[6]stage_hints!$A:$D,4,FALSE)</f>
        <v>ユニットを覚醒させると_x000D_比べものにならない強さが手に入ります</v>
      </c>
      <c r="M68" s="57" t="s">
        <v>209</v>
      </c>
    </row>
    <row r="69" spans="1:13" x14ac:dyDescent="0.15">
      <c r="A69" s="80" t="s">
        <v>199</v>
      </c>
      <c r="B69" s="81">
        <f>floors!$C$2</f>
        <v>39011</v>
      </c>
      <c r="C69" s="82" t="str">
        <f ca="1">VLOOKUP($B69,OFFSET([2]quests!$A$1,0,0,COUNTA([2]quests!$A:$A),MATCH(C$1,[2]quests!$1:$1,0)-MATCH($B$1,[2]quests!$1:$1,0)+1),MATCH(C$1,[2]quests!$1:$1,0)-MATCH($B$1,[2]quests!$1:$1,0)+1,FALSE)</f>
        <v>ブルースクウェアを追え！</v>
      </c>
      <c r="D69" s="82" t="str">
        <f ca="1">VLOOKUP($B69,OFFSET([2]quests!$A$1,0,0,COUNTA([2]quests!$A:$A),MATCH(D$1,[2]quests!$1:$1,0)-MATCH($B$1,[2]quests!$1:$1,0)+1),MATCH(D$1,[2]quests!$1:$1,0)-MATCH($B$1,[2]quests!$1:$1,0)+1,FALSE)</f>
        <v>コラボクエスト（復刻）</v>
      </c>
      <c r="E69" s="86">
        <v>3</v>
      </c>
      <c r="F69" s="82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69" s="82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コラボクエスト（復刻）</v>
      </c>
      <c r="H69" s="84">
        <v>0</v>
      </c>
      <c r="I69" s="95">
        <v>14</v>
      </c>
      <c r="J69" s="83" t="s">
        <v>196</v>
      </c>
      <c r="K69" s="92" t="str">
        <f>VLOOKUP(I69,[6]stage_hints!$A:$C,3,FALSE)</f>
        <v>覚醒するにはレベルを最大に</v>
      </c>
      <c r="L69" s="93" t="str">
        <f>VLOOKUP(I69,[6]stage_hints!$A:$D,4,FALSE)</f>
        <v>覚醒するにはユニットのレベルを_x000D_最大まで上げる必要があります</v>
      </c>
      <c r="M69" s="57" t="s">
        <v>209</v>
      </c>
    </row>
    <row r="70" spans="1:13" x14ac:dyDescent="0.15">
      <c r="A70" s="80" t="s">
        <v>199</v>
      </c>
      <c r="B70" s="81">
        <f>floors!$C$2</f>
        <v>39011</v>
      </c>
      <c r="C70" s="82" t="str">
        <f ca="1">VLOOKUP($B70,OFFSET([2]quests!$A$1,0,0,COUNTA([2]quests!$A:$A),MATCH(C$1,[2]quests!$1:$1,0)-MATCH($B$1,[2]quests!$1:$1,0)+1),MATCH(C$1,[2]quests!$1:$1,0)-MATCH($B$1,[2]quests!$1:$1,0)+1,FALSE)</f>
        <v>ブルースクウェアを追え！</v>
      </c>
      <c r="D70" s="82" t="str">
        <f ca="1">VLOOKUP($B70,OFFSET([2]quests!$A$1,0,0,COUNTA([2]quests!$A:$A),MATCH(D$1,[2]quests!$1:$1,0)-MATCH($B$1,[2]quests!$1:$1,0)+1),MATCH(D$1,[2]quests!$1:$1,0)-MATCH($B$1,[2]quests!$1:$1,0)+1,FALSE)</f>
        <v>コラボクエスト（復刻）</v>
      </c>
      <c r="E70" s="86">
        <v>3</v>
      </c>
      <c r="F70" s="82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0" s="82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コラボクエスト（復刻）</v>
      </c>
      <c r="H70" s="84">
        <v>0</v>
      </c>
      <c r="I70" s="95">
        <v>15</v>
      </c>
      <c r="J70" s="83" t="s">
        <v>196</v>
      </c>
      <c r="K70" s="92" t="str">
        <f>VLOOKUP(I70,[6]stage_hints!$A:$C,3,FALSE)</f>
        <v>覚醒素材を獲得</v>
      </c>
      <c r="L70" s="93" t="str">
        <f>VLOOKUP(I70,[6]stage_hints!$A:$D,4,FALSE)</f>
        <v>「曜日クエスト」では_x000D_ユニットの覚醒に必要な素材が手に入ります</v>
      </c>
      <c r="M70" s="57" t="s">
        <v>209</v>
      </c>
    </row>
    <row r="71" spans="1:13" x14ac:dyDescent="0.15">
      <c r="A71" s="80" t="s">
        <v>199</v>
      </c>
      <c r="B71" s="81">
        <f>floors!$C$2</f>
        <v>39011</v>
      </c>
      <c r="C71" s="82" t="str">
        <f ca="1">VLOOKUP($B71,OFFSET([2]quests!$A$1,0,0,COUNTA([2]quests!$A:$A),MATCH(C$1,[2]quests!$1:$1,0)-MATCH($B$1,[2]quests!$1:$1,0)+1),MATCH(C$1,[2]quests!$1:$1,0)-MATCH($B$1,[2]quests!$1:$1,0)+1,FALSE)</f>
        <v>ブルースクウェアを追え！</v>
      </c>
      <c r="D71" s="82" t="str">
        <f ca="1">VLOOKUP($B71,OFFSET([2]quests!$A$1,0,0,COUNTA([2]quests!$A:$A),MATCH(D$1,[2]quests!$1:$1,0)-MATCH($B$1,[2]quests!$1:$1,0)+1),MATCH(D$1,[2]quests!$1:$1,0)-MATCH($B$1,[2]quests!$1:$1,0)+1,FALSE)</f>
        <v>コラボクエスト（復刻）</v>
      </c>
      <c r="E71" s="86">
        <v>3</v>
      </c>
      <c r="F71" s="82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1" s="82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コラボクエスト（復刻）</v>
      </c>
      <c r="H71" s="84">
        <v>0</v>
      </c>
      <c r="I71" s="95">
        <v>16</v>
      </c>
      <c r="J71" s="83" t="s">
        <v>196</v>
      </c>
      <c r="K71" s="92" t="str">
        <f>VLOOKUP(I71,[6]stage_hints!$A:$C,3,FALSE)</f>
        <v>マルチプレイのメリット（その1）</v>
      </c>
      <c r="L71" s="93" t="str">
        <f>VLOOKUP(I71,[6]stage_hints!$A:$D,4,FALSE)</f>
        <v>他のプレイヤーとマルチプレイで遊ぶと_x000D_ポリゴンがもらえます（100人まで）</v>
      </c>
      <c r="M71" s="57" t="s">
        <v>209</v>
      </c>
    </row>
    <row r="72" spans="1:13" x14ac:dyDescent="0.15">
      <c r="A72" s="80" t="s">
        <v>199</v>
      </c>
      <c r="B72" s="81">
        <f>floors!$C$2</f>
        <v>39011</v>
      </c>
      <c r="C72" s="82" t="str">
        <f ca="1">VLOOKUP($B72,OFFSET([2]quests!$A$1,0,0,COUNTA([2]quests!$A:$A),MATCH(C$1,[2]quests!$1:$1,0)-MATCH($B$1,[2]quests!$1:$1,0)+1),MATCH(C$1,[2]quests!$1:$1,0)-MATCH($B$1,[2]quests!$1:$1,0)+1,FALSE)</f>
        <v>ブルースクウェアを追え！</v>
      </c>
      <c r="D72" s="82" t="str">
        <f ca="1">VLOOKUP($B72,OFFSET([2]quests!$A$1,0,0,COUNTA([2]quests!$A:$A),MATCH(D$1,[2]quests!$1:$1,0)-MATCH($B$1,[2]quests!$1:$1,0)+1),MATCH(D$1,[2]quests!$1:$1,0)-MATCH($B$1,[2]quests!$1:$1,0)+1,FALSE)</f>
        <v>コラボクエスト（復刻）</v>
      </c>
      <c r="E72" s="86">
        <v>3</v>
      </c>
      <c r="F72" s="82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2" s="82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コラボクエスト（復刻）</v>
      </c>
      <c r="H72" s="84">
        <v>0</v>
      </c>
      <c r="I72" s="95">
        <v>17</v>
      </c>
      <c r="J72" s="83" t="s">
        <v>196</v>
      </c>
      <c r="K72" s="92" t="str">
        <f>VLOOKUP(I72,[6]stage_hints!$A:$C,3,FALSE)</f>
        <v>リンクガチャ</v>
      </c>
      <c r="L72" s="93" t="str">
        <f>VLOOKUP(I72,[6]stage_hints!$A:$D,4,FALSE)</f>
        <v>無料のリンクガチャを回して_x000D_経験値素材や売却素材を獲得しましょう</v>
      </c>
      <c r="M72" s="57" t="s">
        <v>209</v>
      </c>
    </row>
    <row r="73" spans="1:13" x14ac:dyDescent="0.15">
      <c r="A73" s="80" t="s">
        <v>199</v>
      </c>
      <c r="B73" s="81">
        <f>floors!$C$2</f>
        <v>39011</v>
      </c>
      <c r="C73" s="82" t="str">
        <f ca="1">VLOOKUP($B73,OFFSET([2]quests!$A$1,0,0,COUNTA([2]quests!$A:$A),MATCH(C$1,[2]quests!$1:$1,0)-MATCH($B$1,[2]quests!$1:$1,0)+1),MATCH(C$1,[2]quests!$1:$1,0)-MATCH($B$1,[2]quests!$1:$1,0)+1,FALSE)</f>
        <v>ブルースクウェアを追え！</v>
      </c>
      <c r="D73" s="82" t="str">
        <f ca="1">VLOOKUP($B73,OFFSET([2]quests!$A$1,0,0,COUNTA([2]quests!$A:$A),MATCH(D$1,[2]quests!$1:$1,0)-MATCH($B$1,[2]quests!$1:$1,0)+1),MATCH(D$1,[2]quests!$1:$1,0)-MATCH($B$1,[2]quests!$1:$1,0)+1,FALSE)</f>
        <v>コラボクエスト（復刻）</v>
      </c>
      <c r="E73" s="86">
        <v>3</v>
      </c>
      <c r="F73" s="82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3" s="82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コラボクエスト（復刻）</v>
      </c>
      <c r="H73" s="84">
        <v>0</v>
      </c>
      <c r="I73" s="95">
        <v>18</v>
      </c>
      <c r="J73" s="83" t="s">
        <v>196</v>
      </c>
      <c r="K73" s="92" t="str">
        <f>VLOOKUP(I73,[6]stage_hints!$A:$C,3,FALSE)</f>
        <v>マルチプレイのメリット（その2）</v>
      </c>
      <c r="L73" s="93" t="str">
        <f>VLOOKUP(I73,[6]stage_hints!$A:$D,4,FALSE)</f>
        <v>マルチプレイならリンクが2倍もらえます_x000D_リンクガチャをたくさん回しましょう</v>
      </c>
      <c r="M73" s="57" t="s">
        <v>209</v>
      </c>
    </row>
    <row r="74" spans="1:13" x14ac:dyDescent="0.15">
      <c r="A74" s="80" t="s">
        <v>199</v>
      </c>
      <c r="B74" s="81">
        <f>floors!$C$2</f>
        <v>39011</v>
      </c>
      <c r="C74" s="82" t="str">
        <f ca="1">VLOOKUP($B74,OFFSET([2]quests!$A$1,0,0,COUNTA([2]quests!$A:$A),MATCH(C$1,[2]quests!$1:$1,0)-MATCH($B$1,[2]quests!$1:$1,0)+1),MATCH(C$1,[2]quests!$1:$1,0)-MATCH($B$1,[2]quests!$1:$1,0)+1,FALSE)</f>
        <v>ブルースクウェアを追え！</v>
      </c>
      <c r="D74" s="82" t="str">
        <f ca="1">VLOOKUP($B74,OFFSET([2]quests!$A$1,0,0,COUNTA([2]quests!$A:$A),MATCH(D$1,[2]quests!$1:$1,0)-MATCH($B$1,[2]quests!$1:$1,0)+1),MATCH(D$1,[2]quests!$1:$1,0)-MATCH($B$1,[2]quests!$1:$1,0)+1,FALSE)</f>
        <v>コラボクエスト（復刻）</v>
      </c>
      <c r="E74" s="86">
        <v>3</v>
      </c>
      <c r="F74" s="82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4" s="82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コラボクエスト（復刻）</v>
      </c>
      <c r="H74" s="84">
        <v>0</v>
      </c>
      <c r="I74" s="95">
        <v>19</v>
      </c>
      <c r="J74" s="83" t="s">
        <v>196</v>
      </c>
      <c r="K74" s="92" t="str">
        <f>VLOOKUP(I74,[6]stage_hints!$A:$C,3,FALSE)</f>
        <v>ソロ専用タワーオブザクイーン</v>
      </c>
      <c r="L74" s="93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7" t="s">
        <v>209</v>
      </c>
    </row>
    <row r="75" spans="1:13" x14ac:dyDescent="0.15">
      <c r="A75" s="80" t="s">
        <v>199</v>
      </c>
      <c r="B75" s="81">
        <f>floors!$C$2</f>
        <v>39011</v>
      </c>
      <c r="C75" s="82" t="str">
        <f ca="1">VLOOKUP($B75,OFFSET([2]quests!$A$1,0,0,COUNTA([2]quests!$A:$A),MATCH(C$1,[2]quests!$1:$1,0)-MATCH($B$1,[2]quests!$1:$1,0)+1),MATCH(C$1,[2]quests!$1:$1,0)-MATCH($B$1,[2]quests!$1:$1,0)+1,FALSE)</f>
        <v>ブルースクウェアを追え！</v>
      </c>
      <c r="D75" s="82" t="str">
        <f ca="1">VLOOKUP($B75,OFFSET([2]quests!$A$1,0,0,COUNTA([2]quests!$A:$A),MATCH(D$1,[2]quests!$1:$1,0)-MATCH($B$1,[2]quests!$1:$1,0)+1),MATCH(D$1,[2]quests!$1:$1,0)-MATCH($B$1,[2]quests!$1:$1,0)+1,FALSE)</f>
        <v>コラボクエスト（復刻）</v>
      </c>
      <c r="E75" s="86">
        <v>3</v>
      </c>
      <c r="F75" s="82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5" s="82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コラボクエスト（復刻）</v>
      </c>
      <c r="H75" s="84">
        <v>0</v>
      </c>
      <c r="I75" s="95">
        <v>20</v>
      </c>
      <c r="J75" s="83" t="s">
        <v>196</v>
      </c>
      <c r="K75" s="92" t="str">
        <f>VLOOKUP(I75,[6]stage_hints!$A:$C,3,FALSE)</f>
        <v>マルチプレイのメリット（その3）</v>
      </c>
      <c r="L75" s="93" t="str">
        <f>VLOOKUP(I75,[6]stage_hints!$A:$D,4,FALSE)</f>
        <v>マルチプレイへの参加はエナジー消費ゼロ_x000D_いつでも好きなだけ遊ぶことができます</v>
      </c>
      <c r="M75" s="57" t="s">
        <v>209</v>
      </c>
    </row>
    <row r="76" spans="1:13" x14ac:dyDescent="0.15">
      <c r="A76" s="80" t="s">
        <v>199</v>
      </c>
      <c r="B76" s="81">
        <f>floors!$C$2</f>
        <v>39011</v>
      </c>
      <c r="C76" s="82" t="str">
        <f ca="1">VLOOKUP($B76,OFFSET([2]quests!$A$1,0,0,COUNTA([2]quests!$A:$A),MATCH(C$1,[2]quests!$1:$1,0)-MATCH($B$1,[2]quests!$1:$1,0)+1),MATCH(C$1,[2]quests!$1:$1,0)-MATCH($B$1,[2]quests!$1:$1,0)+1,FALSE)</f>
        <v>ブルースクウェアを追え！</v>
      </c>
      <c r="D76" s="82" t="str">
        <f ca="1">VLOOKUP($B76,OFFSET([2]quests!$A$1,0,0,COUNTA([2]quests!$A:$A),MATCH(D$1,[2]quests!$1:$1,0)-MATCH($B$1,[2]quests!$1:$1,0)+1),MATCH(D$1,[2]quests!$1:$1,0)-MATCH($B$1,[2]quests!$1:$1,0)+1,FALSE)</f>
        <v>コラボクエスト（復刻）</v>
      </c>
      <c r="E76" s="86">
        <v>3</v>
      </c>
      <c r="F76" s="82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6" s="82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コラボクエスト（復刻）</v>
      </c>
      <c r="H76" s="84">
        <v>0</v>
      </c>
      <c r="I76" s="95">
        <v>21</v>
      </c>
      <c r="J76" s="83" t="s">
        <v>196</v>
      </c>
      <c r="K76" s="92" t="str">
        <f>VLOOKUP(I76,[6]stage_hints!$A:$C,3,FALSE)</f>
        <v>スキルを有効に</v>
      </c>
      <c r="L76" s="93" t="str">
        <f>VLOOKUP(I76,[6]stage_hints!$A:$D,4,FALSE)</f>
        <v>ターン経過でユニットのスキルが使えます_x000D_強力スキルでバトルを有利に進めましょう</v>
      </c>
      <c r="M76" s="57" t="s">
        <v>209</v>
      </c>
    </row>
    <row r="77" spans="1:13" x14ac:dyDescent="0.15">
      <c r="A77" s="80" t="s">
        <v>199</v>
      </c>
      <c r="B77" s="81">
        <f>floors!$C$2</f>
        <v>39011</v>
      </c>
      <c r="C77" s="82" t="str">
        <f ca="1">VLOOKUP($B77,OFFSET([2]quests!$A$1,0,0,COUNTA([2]quests!$A:$A),MATCH(C$1,[2]quests!$1:$1,0)-MATCH($B$1,[2]quests!$1:$1,0)+1),MATCH(C$1,[2]quests!$1:$1,0)-MATCH($B$1,[2]quests!$1:$1,0)+1,FALSE)</f>
        <v>ブルースクウェアを追え！</v>
      </c>
      <c r="D77" s="82" t="str">
        <f ca="1">VLOOKUP($B77,OFFSET([2]quests!$A$1,0,0,COUNTA([2]quests!$A:$A),MATCH(D$1,[2]quests!$1:$1,0)-MATCH($B$1,[2]quests!$1:$1,0)+1),MATCH(D$1,[2]quests!$1:$1,0)-MATCH($B$1,[2]quests!$1:$1,0)+1,FALSE)</f>
        <v>コラボクエスト（復刻）</v>
      </c>
      <c r="E77" s="86">
        <v>3</v>
      </c>
      <c r="F77" s="82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7" s="82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コラボクエスト（復刻）</v>
      </c>
      <c r="H77" s="84">
        <v>0</v>
      </c>
      <c r="I77" s="95">
        <v>22</v>
      </c>
      <c r="J77" s="83" t="s">
        <v>196</v>
      </c>
      <c r="K77" s="92" t="str">
        <f>VLOOKUP(I77,[6]stage_hints!$A:$C,3,FALSE)</f>
        <v>フィーバーで一発逆転（その1）</v>
      </c>
      <c r="L77" s="93" t="str">
        <f>VLOOKUP(I77,[6]stage_hints!$A:$D,4,FALSE)</f>
        <v>フィーバーは攻撃と回復を兼ね備えます_x000D_ピンチからの一発逆転を狙いましょう</v>
      </c>
      <c r="M77" s="57" t="s">
        <v>209</v>
      </c>
    </row>
    <row r="78" spans="1:13" x14ac:dyDescent="0.15">
      <c r="A78" s="80" t="s">
        <v>199</v>
      </c>
      <c r="B78" s="81">
        <f>floors!$C$2</f>
        <v>39011</v>
      </c>
      <c r="C78" s="82" t="str">
        <f ca="1">VLOOKUP($B78,OFFSET([2]quests!$A$1,0,0,COUNTA([2]quests!$A:$A),MATCH(C$1,[2]quests!$1:$1,0)-MATCH($B$1,[2]quests!$1:$1,0)+1),MATCH(C$1,[2]quests!$1:$1,0)-MATCH($B$1,[2]quests!$1:$1,0)+1,FALSE)</f>
        <v>ブルースクウェアを追え！</v>
      </c>
      <c r="D78" s="82" t="str">
        <f ca="1">VLOOKUP($B78,OFFSET([2]quests!$A$1,0,0,COUNTA([2]quests!$A:$A),MATCH(D$1,[2]quests!$1:$1,0)-MATCH($B$1,[2]quests!$1:$1,0)+1),MATCH(D$1,[2]quests!$1:$1,0)-MATCH($B$1,[2]quests!$1:$1,0)+1,FALSE)</f>
        <v>コラボクエスト（復刻）</v>
      </c>
      <c r="E78" s="86">
        <v>3</v>
      </c>
      <c r="F78" s="82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8" s="82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コラボクエスト（復刻）</v>
      </c>
      <c r="H78" s="84">
        <v>0</v>
      </c>
      <c r="I78" s="95">
        <v>23</v>
      </c>
      <c r="J78" s="83" t="s">
        <v>196</v>
      </c>
      <c r="K78" s="92" t="str">
        <f>VLOOKUP(I78,[6]stage_hints!$A:$C,3,FALSE)</f>
        <v>フィーバーで一発逆転（その2）</v>
      </c>
      <c r="L78" s="93" t="str">
        <f>VLOOKUP(I78,[6]stage_hints!$A:$D,4,FALSE)</f>
        <v>フィーバー中は虹色のボムパネルを狙って_x000D_画面上のパネルを一気に破壊しましょう</v>
      </c>
      <c r="M78" s="57" t="s">
        <v>209</v>
      </c>
    </row>
    <row r="79" spans="1:13" x14ac:dyDescent="0.15">
      <c r="A79" s="80" t="s">
        <v>199</v>
      </c>
      <c r="B79" s="81">
        <f>floors!$C$2</f>
        <v>39011</v>
      </c>
      <c r="C79" s="82" t="str">
        <f ca="1">VLOOKUP($B79,OFFSET([2]quests!$A$1,0,0,COUNTA([2]quests!$A:$A),MATCH(C$1,[2]quests!$1:$1,0)-MATCH($B$1,[2]quests!$1:$1,0)+1),MATCH(C$1,[2]quests!$1:$1,0)-MATCH($B$1,[2]quests!$1:$1,0)+1,FALSE)</f>
        <v>ブルースクウェアを追え！</v>
      </c>
      <c r="D79" s="82" t="str">
        <f ca="1">VLOOKUP($B79,OFFSET([2]quests!$A$1,0,0,COUNTA([2]quests!$A:$A),MATCH(D$1,[2]quests!$1:$1,0)-MATCH($B$1,[2]quests!$1:$1,0)+1),MATCH(D$1,[2]quests!$1:$1,0)-MATCH($B$1,[2]quests!$1:$1,0)+1,FALSE)</f>
        <v>コラボクエスト（復刻）</v>
      </c>
      <c r="E79" s="86">
        <v>3</v>
      </c>
      <c r="F79" s="82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79" s="82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コラボクエスト（復刻）</v>
      </c>
      <c r="H79" s="84">
        <v>0</v>
      </c>
      <c r="I79" s="95">
        <v>24</v>
      </c>
      <c r="J79" s="83" t="s">
        <v>196</v>
      </c>
      <c r="K79" s="92" t="str">
        <f>VLOOKUP(I79,[6]stage_hints!$A:$C,3,FALSE)</f>
        <v>りんごを使って限界突破</v>
      </c>
      <c r="L79" s="93" t="str">
        <f>VLOOKUP(I79,[6]stage_hints!$A:$D,4,FALSE)</f>
        <v>赤りんご(攻撃力) 青りんご(回復力)_x000D_緑りんご(体力)をユニット強化に使うと_x000D_ステータスが限界突破します（計99個迄）</v>
      </c>
      <c r="M79" s="57" t="s">
        <v>209</v>
      </c>
    </row>
    <row r="80" spans="1:13" x14ac:dyDescent="0.15">
      <c r="A80" s="80" t="s">
        <v>199</v>
      </c>
      <c r="B80" s="81">
        <f>floors!$C$2</f>
        <v>39011</v>
      </c>
      <c r="C80" s="82" t="str">
        <f ca="1">VLOOKUP($B80,OFFSET([2]quests!$A$1,0,0,COUNTA([2]quests!$A:$A),MATCH(C$1,[2]quests!$1:$1,0)-MATCH($B$1,[2]quests!$1:$1,0)+1),MATCH(C$1,[2]quests!$1:$1,0)-MATCH($B$1,[2]quests!$1:$1,0)+1,FALSE)</f>
        <v>ブルースクウェアを追え！</v>
      </c>
      <c r="D80" s="82" t="str">
        <f ca="1">VLOOKUP($B80,OFFSET([2]quests!$A$1,0,0,COUNTA([2]quests!$A:$A),MATCH(D$1,[2]quests!$1:$1,0)-MATCH($B$1,[2]quests!$1:$1,0)+1),MATCH(D$1,[2]quests!$1:$1,0)-MATCH($B$1,[2]quests!$1:$1,0)+1,FALSE)</f>
        <v>コラボクエスト（復刻）</v>
      </c>
      <c r="E80" s="86">
        <v>3</v>
      </c>
      <c r="F80" s="82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0" s="82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コラボクエスト（復刻）</v>
      </c>
      <c r="H80" s="84">
        <v>0</v>
      </c>
      <c r="I80" s="95">
        <v>25</v>
      </c>
      <c r="J80" s="83" t="s">
        <v>196</v>
      </c>
      <c r="K80" s="92" t="str">
        <f>VLOOKUP(I80,[6]stage_hints!$A:$C,3,FALSE)</f>
        <v>スキルレベルアップ</v>
      </c>
      <c r="L80" s="93" t="str">
        <f>VLOOKUP(I80,[6]stage_hints!$A:$D,4,FALSE)</f>
        <v>「クリスタルのりんご」を強化に使うと_x000D_スキルレベルを上げることができます</v>
      </c>
      <c r="M80" s="57" t="s">
        <v>209</v>
      </c>
    </row>
    <row r="81" spans="1:13" x14ac:dyDescent="0.15">
      <c r="A81" s="80" t="s">
        <v>199</v>
      </c>
      <c r="B81" s="81">
        <f>floors!$C$2</f>
        <v>39011</v>
      </c>
      <c r="C81" s="82" t="str">
        <f ca="1">VLOOKUP($B81,OFFSET([2]quests!$A$1,0,0,COUNTA([2]quests!$A:$A),MATCH(C$1,[2]quests!$1:$1,0)-MATCH($B$1,[2]quests!$1:$1,0)+1),MATCH(C$1,[2]quests!$1:$1,0)-MATCH($B$1,[2]quests!$1:$1,0)+1,FALSE)</f>
        <v>ブルースクウェアを追え！</v>
      </c>
      <c r="D81" s="82" t="str">
        <f ca="1">VLOOKUP($B81,OFFSET([2]quests!$A$1,0,0,COUNTA([2]quests!$A:$A),MATCH(D$1,[2]quests!$1:$1,0)-MATCH($B$1,[2]quests!$1:$1,0)+1),MATCH(D$1,[2]quests!$1:$1,0)-MATCH($B$1,[2]quests!$1:$1,0)+1,FALSE)</f>
        <v>コラボクエスト（復刻）</v>
      </c>
      <c r="E81" s="86">
        <v>3</v>
      </c>
      <c r="F81" s="82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1" s="82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コラボクエスト（復刻）</v>
      </c>
      <c r="H81" s="84">
        <v>0</v>
      </c>
      <c r="I81" s="95">
        <v>26</v>
      </c>
      <c r="J81" s="83" t="s">
        <v>196</v>
      </c>
      <c r="K81" s="92" t="str">
        <f>VLOOKUP(I81,[6]stage_hints!$A:$C,3,FALSE)</f>
        <v>スキルレベルの効果</v>
      </c>
      <c r="L81" s="93" t="str">
        <f>VLOOKUP(I81,[6]stage_hints!$A:$D,4,FALSE)</f>
        <v>スキルレベルが上がると_x000D_短いターンでスキルを使うことができます</v>
      </c>
      <c r="M81" s="57" t="s">
        <v>209</v>
      </c>
    </row>
    <row r="82" spans="1:13" x14ac:dyDescent="0.15">
      <c r="A82" s="80" t="s">
        <v>199</v>
      </c>
      <c r="B82" s="81">
        <f>floors!$C$2</f>
        <v>39011</v>
      </c>
      <c r="C82" s="82" t="str">
        <f ca="1">VLOOKUP($B82,OFFSET([2]quests!$A$1,0,0,COUNTA([2]quests!$A:$A),MATCH(C$1,[2]quests!$1:$1,0)-MATCH($B$1,[2]quests!$1:$1,0)+1),MATCH(C$1,[2]quests!$1:$1,0)-MATCH($B$1,[2]quests!$1:$1,0)+1,FALSE)</f>
        <v>ブルースクウェアを追え！</v>
      </c>
      <c r="D82" s="82" t="str">
        <f ca="1">VLOOKUP($B82,OFFSET([2]quests!$A$1,0,0,COUNTA([2]quests!$A:$A),MATCH(D$1,[2]quests!$1:$1,0)-MATCH($B$1,[2]quests!$1:$1,0)+1),MATCH(D$1,[2]quests!$1:$1,0)-MATCH($B$1,[2]quests!$1:$1,0)+1,FALSE)</f>
        <v>コラボクエスト（復刻）</v>
      </c>
      <c r="E82" s="86">
        <v>3</v>
      </c>
      <c r="F82" s="82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2" s="82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コラボクエスト（復刻）</v>
      </c>
      <c r="H82" s="84">
        <v>0</v>
      </c>
      <c r="I82" s="95">
        <v>27</v>
      </c>
      <c r="J82" s="83" t="s">
        <v>196</v>
      </c>
      <c r="K82" s="92" t="str">
        <f>VLOOKUP(I82,[6]stage_hints!$A:$C,3,FALSE)</f>
        <v>ホーム画面からデッキを編成</v>
      </c>
      <c r="L82" s="93" t="str">
        <f>VLOOKUP(I82,[6]stage_hints!$A:$D,4,FALSE)</f>
        <v>ホーム画面でユニットを長押しすると_x000D_すぐにパーティ編成に移動できます</v>
      </c>
      <c r="M82" s="57" t="s">
        <v>209</v>
      </c>
    </row>
    <row r="83" spans="1:13" x14ac:dyDescent="0.15">
      <c r="A83" s="80" t="s">
        <v>199</v>
      </c>
      <c r="B83" s="81">
        <f>floors!$C$2</f>
        <v>39011</v>
      </c>
      <c r="C83" s="82" t="str">
        <f ca="1">VLOOKUP($B83,OFFSET([2]quests!$A$1,0,0,COUNTA([2]quests!$A:$A),MATCH(C$1,[2]quests!$1:$1,0)-MATCH($B$1,[2]quests!$1:$1,0)+1),MATCH(C$1,[2]quests!$1:$1,0)-MATCH($B$1,[2]quests!$1:$1,0)+1,FALSE)</f>
        <v>ブルースクウェアを追え！</v>
      </c>
      <c r="D83" s="82" t="str">
        <f ca="1">VLOOKUP($B83,OFFSET([2]quests!$A$1,0,0,COUNTA([2]quests!$A:$A),MATCH(D$1,[2]quests!$1:$1,0)-MATCH($B$1,[2]quests!$1:$1,0)+1),MATCH(D$1,[2]quests!$1:$1,0)-MATCH($B$1,[2]quests!$1:$1,0)+1,FALSE)</f>
        <v>コラボクエスト（復刻）</v>
      </c>
      <c r="E83" s="86">
        <v>3</v>
      </c>
      <c r="F83" s="82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3" s="82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コラボクエスト（復刻）</v>
      </c>
      <c r="H83" s="84">
        <v>0</v>
      </c>
      <c r="I83" s="95">
        <v>28</v>
      </c>
      <c r="J83" s="83" t="s">
        <v>196</v>
      </c>
      <c r="K83" s="92" t="str">
        <f>VLOOKUP(I83,[6]stage_hints!$A:$C,3,FALSE)</f>
        <v>ステータス情報は長押しで</v>
      </c>
      <c r="L83" s="93" t="str">
        <f>VLOOKUP(I83,[6]stage_hints!$A:$D,4,FALSE)</f>
        <v>ユニットのアイコンを長押しすると_x000D_ステータス情報を確認することができます</v>
      </c>
      <c r="M83" s="57" t="s">
        <v>209</v>
      </c>
    </row>
    <row r="84" spans="1:13" x14ac:dyDescent="0.15">
      <c r="A84" s="80" t="s">
        <v>199</v>
      </c>
      <c r="B84" s="81">
        <f>floors!$C$2</f>
        <v>39011</v>
      </c>
      <c r="C84" s="82" t="str">
        <f ca="1">VLOOKUP($B84,OFFSET([2]quests!$A$1,0,0,COUNTA([2]quests!$A:$A),MATCH(C$1,[2]quests!$1:$1,0)-MATCH($B$1,[2]quests!$1:$1,0)+1),MATCH(C$1,[2]quests!$1:$1,0)-MATCH($B$1,[2]quests!$1:$1,0)+1,FALSE)</f>
        <v>ブルースクウェアを追え！</v>
      </c>
      <c r="D84" s="82" t="str">
        <f ca="1">VLOOKUP($B84,OFFSET([2]quests!$A$1,0,0,COUNTA([2]quests!$A:$A),MATCH(D$1,[2]quests!$1:$1,0)-MATCH($B$1,[2]quests!$1:$1,0)+1),MATCH(D$1,[2]quests!$1:$1,0)-MATCH($B$1,[2]quests!$1:$1,0)+1,FALSE)</f>
        <v>コラボクエスト（復刻）</v>
      </c>
      <c r="E84" s="86">
        <v>3</v>
      </c>
      <c r="F84" s="82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4" s="82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コラボクエスト（復刻）</v>
      </c>
      <c r="H84" s="84">
        <v>0</v>
      </c>
      <c r="I84" s="95">
        <v>29</v>
      </c>
      <c r="J84" s="83" t="s">
        <v>196</v>
      </c>
      <c r="K84" s="92" t="str">
        <f>VLOOKUP(I84,[6]stage_hints!$A:$C,3,FALSE)</f>
        <v>「バグ」のメリット</v>
      </c>
      <c r="L84" s="93" t="str">
        <f>VLOOKUP(I84,[6]stage_hints!$A:$D,4,FALSE)</f>
        <v>ユニットの「バグ」を増やすと_x000D_報酬をもらえる確率がアップします</v>
      </c>
      <c r="M84" s="57" t="s">
        <v>209</v>
      </c>
    </row>
    <row r="85" spans="1:13" x14ac:dyDescent="0.15">
      <c r="A85" s="80" t="s">
        <v>199</v>
      </c>
      <c r="B85" s="81">
        <f>floors!$C$2</f>
        <v>39011</v>
      </c>
      <c r="C85" s="82" t="str">
        <f ca="1">VLOOKUP($B85,OFFSET([2]quests!$A$1,0,0,COUNTA([2]quests!$A:$A),MATCH(C$1,[2]quests!$1:$1,0)-MATCH($B$1,[2]quests!$1:$1,0)+1),MATCH(C$1,[2]quests!$1:$1,0)-MATCH($B$1,[2]quests!$1:$1,0)+1,FALSE)</f>
        <v>ブルースクウェアを追え！</v>
      </c>
      <c r="D85" s="82" t="str">
        <f ca="1">VLOOKUP($B85,OFFSET([2]quests!$A$1,0,0,COUNTA([2]quests!$A:$A),MATCH(D$1,[2]quests!$1:$1,0)-MATCH($B$1,[2]quests!$1:$1,0)+1),MATCH(D$1,[2]quests!$1:$1,0)-MATCH($B$1,[2]quests!$1:$1,0)+1,FALSE)</f>
        <v>コラボクエスト（復刻）</v>
      </c>
      <c r="E85" s="86">
        <v>3</v>
      </c>
      <c r="F85" s="82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5" s="82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コラボクエスト（復刻）</v>
      </c>
      <c r="H85" s="84">
        <v>0</v>
      </c>
      <c r="I85" s="95">
        <v>30</v>
      </c>
      <c r="J85" s="83" t="s">
        <v>196</v>
      </c>
      <c r="K85" s="92" t="str">
        <f>VLOOKUP(I85,[6]stage_hints!$A:$C,3,FALSE)</f>
        <v>「バグ」の増やし方</v>
      </c>
      <c r="L85" s="93" t="str">
        <f>VLOOKUP(I85,[6]stage_hints!$A:$D,4,FALSE)</f>
        <v>同じユニット同士を強化で合成すると_x000D_「バグ」を増やすことができます</v>
      </c>
      <c r="M85" s="57" t="s">
        <v>209</v>
      </c>
    </row>
    <row r="86" spans="1:13" x14ac:dyDescent="0.15">
      <c r="A86" s="80" t="s">
        <v>199</v>
      </c>
      <c r="B86" s="81">
        <f>floors!$C$2</f>
        <v>39011</v>
      </c>
      <c r="C86" s="82" t="str">
        <f ca="1">VLOOKUP($B86,OFFSET([2]quests!$A$1,0,0,COUNTA([2]quests!$A:$A),MATCH(C$1,[2]quests!$1:$1,0)-MATCH($B$1,[2]quests!$1:$1,0)+1),MATCH(C$1,[2]quests!$1:$1,0)-MATCH($B$1,[2]quests!$1:$1,0)+1,FALSE)</f>
        <v>ブルースクウェアを追え！</v>
      </c>
      <c r="D86" s="82" t="str">
        <f ca="1">VLOOKUP($B86,OFFSET([2]quests!$A$1,0,0,COUNTA([2]quests!$A:$A),MATCH(D$1,[2]quests!$1:$1,0)-MATCH($B$1,[2]quests!$1:$1,0)+1),MATCH(D$1,[2]quests!$1:$1,0)-MATCH($B$1,[2]quests!$1:$1,0)+1,FALSE)</f>
        <v>コラボクエスト（復刻）</v>
      </c>
      <c r="E86" s="86">
        <v>3</v>
      </c>
      <c r="F86" s="82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6" s="82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コラボクエスト（復刻）</v>
      </c>
      <c r="H86" s="84">
        <v>0</v>
      </c>
      <c r="I86" s="95">
        <v>31</v>
      </c>
      <c r="J86" s="83" t="s">
        <v>196</v>
      </c>
      <c r="K86" s="92" t="str">
        <f>VLOOKUP(I86,[6]stage_hints!$A:$C,3,FALSE)</f>
        <v>イベントはお知らせでチェック</v>
      </c>
      <c r="L86" s="93" t="str">
        <f>VLOOKUP(I86,[6]stage_hints!$A:$D,4,FALSE)</f>
        <v>イベント限定ユニットを取り忘れないように_x000D_お知らせをこまめにチェックしましょう</v>
      </c>
      <c r="M86" s="57" t="s">
        <v>209</v>
      </c>
    </row>
    <row r="87" spans="1:13" x14ac:dyDescent="0.15">
      <c r="A87" s="80" t="s">
        <v>199</v>
      </c>
      <c r="B87" s="81">
        <f>floors!$C$2</f>
        <v>39011</v>
      </c>
      <c r="C87" s="82" t="str">
        <f ca="1">VLOOKUP($B87,OFFSET([2]quests!$A$1,0,0,COUNTA([2]quests!$A:$A),MATCH(C$1,[2]quests!$1:$1,0)-MATCH($B$1,[2]quests!$1:$1,0)+1),MATCH(C$1,[2]quests!$1:$1,0)-MATCH($B$1,[2]quests!$1:$1,0)+1,FALSE)</f>
        <v>ブルースクウェアを追え！</v>
      </c>
      <c r="D87" s="82" t="str">
        <f ca="1">VLOOKUP($B87,OFFSET([2]quests!$A$1,0,0,COUNTA([2]quests!$A:$A),MATCH(D$1,[2]quests!$1:$1,0)-MATCH($B$1,[2]quests!$1:$1,0)+1),MATCH(D$1,[2]quests!$1:$1,0)-MATCH($B$1,[2]quests!$1:$1,0)+1,FALSE)</f>
        <v>コラボクエスト（復刻）</v>
      </c>
      <c r="E87" s="86">
        <v>3</v>
      </c>
      <c r="F87" s="82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7" s="82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コラボクエスト（復刻）</v>
      </c>
      <c r="H87" s="84">
        <v>0</v>
      </c>
      <c r="I87" s="95">
        <v>32</v>
      </c>
      <c r="J87" s="83" t="s">
        <v>196</v>
      </c>
      <c r="K87" s="92" t="str">
        <f>VLOOKUP(I87,[6]stage_hints!$A:$C,3,FALSE)</f>
        <v>敵の連続攻撃には</v>
      </c>
      <c r="L87" s="93" t="str">
        <f>VLOOKUP(I87,[6]stage_hints!$A:$D,4,FALSE)</f>
        <v>カウンタースキルを持つユニットがいれば_x000D_ダメージ回数分の反撃ができます</v>
      </c>
      <c r="M87" s="57" t="s">
        <v>209</v>
      </c>
    </row>
    <row r="88" spans="1:13" x14ac:dyDescent="0.15">
      <c r="A88" s="80" t="s">
        <v>199</v>
      </c>
      <c r="B88" s="81">
        <f>floors!$C$2</f>
        <v>39011</v>
      </c>
      <c r="C88" s="82" t="str">
        <f ca="1">VLOOKUP($B88,OFFSET([2]quests!$A$1,0,0,COUNTA([2]quests!$A:$A),MATCH(C$1,[2]quests!$1:$1,0)-MATCH($B$1,[2]quests!$1:$1,0)+1),MATCH(C$1,[2]quests!$1:$1,0)-MATCH($B$1,[2]quests!$1:$1,0)+1,FALSE)</f>
        <v>ブルースクウェアを追え！</v>
      </c>
      <c r="D88" s="82" t="str">
        <f ca="1">VLOOKUP($B88,OFFSET([2]quests!$A$1,0,0,COUNTA([2]quests!$A:$A),MATCH(D$1,[2]quests!$1:$1,0)-MATCH($B$1,[2]quests!$1:$1,0)+1),MATCH(D$1,[2]quests!$1:$1,0)-MATCH($B$1,[2]quests!$1:$1,0)+1,FALSE)</f>
        <v>コラボクエスト（復刻）</v>
      </c>
      <c r="E88" s="86">
        <v>3</v>
      </c>
      <c r="F88" s="82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8" s="82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コラボクエスト（復刻）</v>
      </c>
      <c r="H88" s="84">
        <v>0</v>
      </c>
      <c r="I88" s="95">
        <v>33</v>
      </c>
      <c r="J88" s="83" t="s">
        <v>196</v>
      </c>
      <c r="K88" s="92" t="str">
        <f>VLOOKUP(I88,[6]stage_hints!$A:$C,3,FALSE)</f>
        <v>敵のカウンター攻撃には</v>
      </c>
      <c r="L88" s="93" t="str">
        <f>VLOOKUP(I88,[6]stage_hints!$A:$D,4,FALSE)</f>
        <v>カウンターブレイクスキルを持っていれば_x000D_敵のカウンターを解除して攻撃ができます</v>
      </c>
      <c r="M88" s="57" t="s">
        <v>209</v>
      </c>
    </row>
    <row r="89" spans="1:13" x14ac:dyDescent="0.15">
      <c r="A89" s="80" t="s">
        <v>199</v>
      </c>
      <c r="B89" s="81">
        <f>floors!$C$2</f>
        <v>39011</v>
      </c>
      <c r="C89" s="82" t="str">
        <f ca="1">VLOOKUP($B89,OFFSET([2]quests!$A$1,0,0,COUNTA([2]quests!$A:$A),MATCH(C$1,[2]quests!$1:$1,0)-MATCH($B$1,[2]quests!$1:$1,0)+1),MATCH(C$1,[2]quests!$1:$1,0)-MATCH($B$1,[2]quests!$1:$1,0)+1,FALSE)</f>
        <v>ブルースクウェアを追え！</v>
      </c>
      <c r="D89" s="82" t="str">
        <f ca="1">VLOOKUP($B89,OFFSET([2]quests!$A$1,0,0,COUNTA([2]quests!$A:$A),MATCH(D$1,[2]quests!$1:$1,0)-MATCH($B$1,[2]quests!$1:$1,0)+1),MATCH(D$1,[2]quests!$1:$1,0)-MATCH($B$1,[2]quests!$1:$1,0)+1,FALSE)</f>
        <v>コラボクエスト（復刻）</v>
      </c>
      <c r="E89" s="86">
        <v>3</v>
      </c>
      <c r="F89" s="82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89" s="82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コラボクエスト（復刻）</v>
      </c>
      <c r="H89" s="84">
        <v>0</v>
      </c>
      <c r="I89" s="95">
        <v>34</v>
      </c>
      <c r="J89" s="83" t="s">
        <v>196</v>
      </c>
      <c r="K89" s="92" t="str">
        <f>VLOOKUP(I89,[6]stage_hints!$A:$C,3,FALSE)</f>
        <v>ステータスをスキルで下げられたら</v>
      </c>
      <c r="L89" s="93" t="str">
        <f>VLOOKUP(I89,[6]stage_hints!$A:$D,4,FALSE)</f>
        <v>ステータスダウンのスキルを受けたら_x000D_ステータスアップスキルで上書きしましょう</v>
      </c>
      <c r="M89" s="57" t="s">
        <v>209</v>
      </c>
    </row>
    <row r="90" spans="1:13" x14ac:dyDescent="0.15">
      <c r="A90" s="80" t="s">
        <v>199</v>
      </c>
      <c r="B90" s="81">
        <f>floors!$C$2</f>
        <v>39011</v>
      </c>
      <c r="C90" s="82" t="str">
        <f ca="1">VLOOKUP($B90,OFFSET([2]quests!$A$1,0,0,COUNTA([2]quests!$A:$A),MATCH(C$1,[2]quests!$1:$1,0)-MATCH($B$1,[2]quests!$1:$1,0)+1),MATCH(C$1,[2]quests!$1:$1,0)-MATCH($B$1,[2]quests!$1:$1,0)+1,FALSE)</f>
        <v>ブルースクウェアを追え！</v>
      </c>
      <c r="D90" s="82" t="str">
        <f ca="1">VLOOKUP($B90,OFFSET([2]quests!$A$1,0,0,COUNTA([2]quests!$A:$A),MATCH(D$1,[2]quests!$1:$1,0)-MATCH($B$1,[2]quests!$1:$1,0)+1),MATCH(D$1,[2]quests!$1:$1,0)-MATCH($B$1,[2]quests!$1:$1,0)+1,FALSE)</f>
        <v>コラボクエスト（復刻）</v>
      </c>
      <c r="E90" s="86">
        <v>3</v>
      </c>
      <c r="F90" s="82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0" s="82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コラボクエスト（復刻）</v>
      </c>
      <c r="H90" s="84">
        <v>0</v>
      </c>
      <c r="I90" s="95">
        <v>35</v>
      </c>
      <c r="J90" s="83" t="s">
        <v>196</v>
      </c>
      <c r="K90" s="92" t="str">
        <f>VLOOKUP(I90,[6]stage_hints!$A:$C,3,FALSE)</f>
        <v>敵のステータスがスキルで上がったら</v>
      </c>
      <c r="L90" s="93" t="str">
        <f>VLOOKUP(I90,[6]stage_hints!$A:$D,4,FALSE)</f>
        <v>敵のステータスがスキルでアップしたときは_x000D_ステータスダウンスキルで上書きしましょう</v>
      </c>
      <c r="M90" s="57" t="s">
        <v>209</v>
      </c>
    </row>
    <row r="91" spans="1:13" x14ac:dyDescent="0.15">
      <c r="A91" s="80" t="s">
        <v>199</v>
      </c>
      <c r="B91" s="81">
        <f>floors!$C$2</f>
        <v>39011</v>
      </c>
      <c r="C91" s="82" t="str">
        <f ca="1">VLOOKUP($B91,OFFSET([2]quests!$A$1,0,0,COUNTA([2]quests!$A:$A),MATCH(C$1,[2]quests!$1:$1,0)-MATCH($B$1,[2]quests!$1:$1,0)+1),MATCH(C$1,[2]quests!$1:$1,0)-MATCH($B$1,[2]quests!$1:$1,0)+1,FALSE)</f>
        <v>ブルースクウェアを追え！</v>
      </c>
      <c r="D91" s="82" t="str">
        <f ca="1">VLOOKUP($B91,OFFSET([2]quests!$A$1,0,0,COUNTA([2]quests!$A:$A),MATCH(D$1,[2]quests!$1:$1,0)-MATCH($B$1,[2]quests!$1:$1,0)+1),MATCH(D$1,[2]quests!$1:$1,0)-MATCH($B$1,[2]quests!$1:$1,0)+1,FALSE)</f>
        <v>コラボクエスト（復刻）</v>
      </c>
      <c r="E91" s="86">
        <v>3</v>
      </c>
      <c r="F91" s="82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1" s="82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コラボクエスト（復刻）</v>
      </c>
      <c r="H91" s="84">
        <v>0</v>
      </c>
      <c r="I91" s="95">
        <v>36</v>
      </c>
      <c r="J91" s="83" t="s">
        <v>196</v>
      </c>
      <c r="K91" s="92" t="str">
        <f>VLOOKUP(I91,[6]stage_hints!$A:$C,3,FALSE)</f>
        <v>タワーオブザクイーンのボス</v>
      </c>
      <c r="L91" s="93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7" t="s">
        <v>209</v>
      </c>
    </row>
    <row r="92" spans="1:13" x14ac:dyDescent="0.15">
      <c r="A92" s="80" t="s">
        <v>199</v>
      </c>
      <c r="B92" s="81">
        <f>floors!$C$2</f>
        <v>39011</v>
      </c>
      <c r="C92" s="82" t="str">
        <f ca="1">VLOOKUP($B92,OFFSET([2]quests!$A$1,0,0,COUNTA([2]quests!$A:$A),MATCH(C$1,[2]quests!$1:$1,0)-MATCH($B$1,[2]quests!$1:$1,0)+1),MATCH(C$1,[2]quests!$1:$1,0)-MATCH($B$1,[2]quests!$1:$1,0)+1,FALSE)</f>
        <v>ブルースクウェアを追え！</v>
      </c>
      <c r="D92" s="82" t="str">
        <f ca="1">VLOOKUP($B92,OFFSET([2]quests!$A$1,0,0,COUNTA([2]quests!$A:$A),MATCH(D$1,[2]quests!$1:$1,0)-MATCH($B$1,[2]quests!$1:$1,0)+1),MATCH(D$1,[2]quests!$1:$1,0)-MATCH($B$1,[2]quests!$1:$1,0)+1,FALSE)</f>
        <v>コラボクエスト（復刻）</v>
      </c>
      <c r="E92" s="86">
        <v>3</v>
      </c>
      <c r="F92" s="82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2" s="82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コラボクエスト（復刻）</v>
      </c>
      <c r="H92" s="84">
        <v>0</v>
      </c>
      <c r="I92" s="95">
        <v>37</v>
      </c>
      <c r="J92" s="83" t="s">
        <v>196</v>
      </c>
      <c r="K92" s="92" t="str">
        <f>VLOOKUP(I92,[6]stage_hints!$A:$C,3,FALSE)</f>
        <v>限界突破値の引き継ぎ</v>
      </c>
      <c r="L92" s="93" t="str">
        <f>VLOOKUP(I92,[6]stage_hints!$A:$D,4,FALSE)</f>
        <v>同じユニットを強化で合成すると_x000D_限界突破値を引き継げます（覚醒前後も可）</v>
      </c>
      <c r="M92" s="57" t="s">
        <v>209</v>
      </c>
    </row>
    <row r="93" spans="1:13" x14ac:dyDescent="0.15">
      <c r="A93" s="80" t="s">
        <v>199</v>
      </c>
      <c r="B93" s="81">
        <f>floors!$C$2</f>
        <v>39011</v>
      </c>
      <c r="C93" s="82" t="str">
        <f ca="1">VLOOKUP($B93,OFFSET([2]quests!$A$1,0,0,COUNTA([2]quests!$A:$A),MATCH(C$1,[2]quests!$1:$1,0)-MATCH($B$1,[2]quests!$1:$1,0)+1),MATCH(C$1,[2]quests!$1:$1,0)-MATCH($B$1,[2]quests!$1:$1,0)+1,FALSE)</f>
        <v>ブルースクウェアを追え！</v>
      </c>
      <c r="D93" s="82" t="str">
        <f ca="1">VLOOKUP($B93,OFFSET([2]quests!$A$1,0,0,COUNTA([2]quests!$A:$A),MATCH(D$1,[2]quests!$1:$1,0)-MATCH($B$1,[2]quests!$1:$1,0)+1),MATCH(D$1,[2]quests!$1:$1,0)-MATCH($B$1,[2]quests!$1:$1,0)+1,FALSE)</f>
        <v>コラボクエスト（復刻）</v>
      </c>
      <c r="E93" s="86">
        <v>3</v>
      </c>
      <c r="F93" s="82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93" s="82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コラボクエスト（復刻）</v>
      </c>
      <c r="H93" s="84">
        <v>0</v>
      </c>
      <c r="I93" s="95">
        <v>39</v>
      </c>
      <c r="J93" s="83" t="s">
        <v>196</v>
      </c>
      <c r="K93" s="92" t="str">
        <f>VLOOKUP(I93,[6]stage_hints!$A:$C,3,FALSE)</f>
        <v>システム適合者を確認</v>
      </c>
      <c r="L93" s="93" t="str">
        <f>VLOOKUP(I93,[6]stage_hints!$A:$D,4,FALSE)</f>
        <v>ALICEが 「アナタ」を呼んでいます</v>
      </c>
      <c r="M93" s="57" t="s">
        <v>209</v>
      </c>
    </row>
    <row r="94" spans="1:13" x14ac:dyDescent="0.15">
      <c r="A94" s="80" t="s">
        <v>199</v>
      </c>
      <c r="B94" s="81">
        <f>floors!$C$2</f>
        <v>39011</v>
      </c>
      <c r="C94" s="82" t="str">
        <f ca="1">VLOOKUP($B94,OFFSET([2]quests!$A$1,0,0,COUNTA([2]quests!$A:$A),MATCH(C$1,[2]quests!$1:$1,0)-MATCH($B$1,[2]quests!$1:$1,0)+1),MATCH(C$1,[2]quests!$1:$1,0)-MATCH($B$1,[2]quests!$1:$1,0)+1,FALSE)</f>
        <v>ブルースクウェアを追え！</v>
      </c>
      <c r="D94" s="82" t="str">
        <f ca="1">VLOOKUP($B94,OFFSET([2]quests!$A$1,0,0,COUNTA([2]quests!$A:$A),MATCH(D$1,[2]quests!$1:$1,0)-MATCH($B$1,[2]quests!$1:$1,0)+1),MATCH(D$1,[2]quests!$1:$1,0)-MATCH($B$1,[2]quests!$1:$1,0)+1,FALSE)</f>
        <v>コラボクエスト（復刻）</v>
      </c>
      <c r="E94" s="86">
        <v>4</v>
      </c>
      <c r="F94" s="82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4" s="82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コラボクエスト（復刻）</v>
      </c>
      <c r="H94" s="84">
        <v>0</v>
      </c>
      <c r="I94">
        <v>12</v>
      </c>
      <c r="J94" s="83" t="s">
        <v>196</v>
      </c>
      <c r="K94" s="92" t="str">
        <f>VLOOKUP(I94,[6]stage_hints!$A:$C,3,FALSE)</f>
        <v>ユニットのお気に入り登録</v>
      </c>
      <c r="L94" s="93" t="str">
        <f>VLOOKUP(I94,[6]stage_hints!$A:$D,4,FALSE)</f>
        <v>大事なユニットを誤って消さないように_x000D_フォルダから「お気に入り登録」しましょう</v>
      </c>
      <c r="M94" s="57" t="s">
        <v>209</v>
      </c>
    </row>
    <row r="95" spans="1:13" x14ac:dyDescent="0.15">
      <c r="A95" s="80" t="s">
        <v>199</v>
      </c>
      <c r="B95" s="81">
        <f>floors!$C$2</f>
        <v>39011</v>
      </c>
      <c r="C95" s="82" t="str">
        <f ca="1">VLOOKUP($B95,OFFSET([2]quests!$A$1,0,0,COUNTA([2]quests!$A:$A),MATCH(C$1,[2]quests!$1:$1,0)-MATCH($B$1,[2]quests!$1:$1,0)+1),MATCH(C$1,[2]quests!$1:$1,0)-MATCH($B$1,[2]quests!$1:$1,0)+1,FALSE)</f>
        <v>ブルースクウェアを追え！</v>
      </c>
      <c r="D95" s="82" t="str">
        <f ca="1">VLOOKUP($B95,OFFSET([2]quests!$A$1,0,0,COUNTA([2]quests!$A:$A),MATCH(D$1,[2]quests!$1:$1,0)-MATCH($B$1,[2]quests!$1:$1,0)+1),MATCH(D$1,[2]quests!$1:$1,0)-MATCH($B$1,[2]quests!$1:$1,0)+1,FALSE)</f>
        <v>コラボクエスト（復刻）</v>
      </c>
      <c r="E95" s="86">
        <v>4</v>
      </c>
      <c r="F95" s="82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5" s="82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コラボクエスト（復刻）</v>
      </c>
      <c r="H95" s="84">
        <v>0</v>
      </c>
      <c r="I95">
        <v>17</v>
      </c>
      <c r="J95" s="83" t="s">
        <v>196</v>
      </c>
      <c r="K95" s="92" t="str">
        <f>VLOOKUP(I95,[6]stage_hints!$A:$C,3,FALSE)</f>
        <v>リンクガチャ</v>
      </c>
      <c r="L95" s="93" t="str">
        <f>VLOOKUP(I95,[6]stage_hints!$A:$D,4,FALSE)</f>
        <v>無料のリンクガチャを回して_x000D_経験値素材や売却素材を獲得しましょう</v>
      </c>
      <c r="M95" s="57" t="s">
        <v>209</v>
      </c>
    </row>
    <row r="96" spans="1:13" x14ac:dyDescent="0.15">
      <c r="A96" s="80" t="s">
        <v>199</v>
      </c>
      <c r="B96" s="81">
        <f>floors!$C$2</f>
        <v>39011</v>
      </c>
      <c r="C96" s="82" t="str">
        <f ca="1">VLOOKUP($B96,OFFSET([2]quests!$A$1,0,0,COUNTA([2]quests!$A:$A),MATCH(C$1,[2]quests!$1:$1,0)-MATCH($B$1,[2]quests!$1:$1,0)+1),MATCH(C$1,[2]quests!$1:$1,0)-MATCH($B$1,[2]quests!$1:$1,0)+1,FALSE)</f>
        <v>ブルースクウェアを追え！</v>
      </c>
      <c r="D96" s="82" t="str">
        <f ca="1">VLOOKUP($B96,OFFSET([2]quests!$A$1,0,0,COUNTA([2]quests!$A:$A),MATCH(D$1,[2]quests!$1:$1,0)-MATCH($B$1,[2]quests!$1:$1,0)+1),MATCH(D$1,[2]quests!$1:$1,0)-MATCH($B$1,[2]quests!$1:$1,0)+1,FALSE)</f>
        <v>コラボクエスト（復刻）</v>
      </c>
      <c r="E96" s="86">
        <v>4</v>
      </c>
      <c r="F96" s="82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6" s="82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コラボクエスト（復刻）</v>
      </c>
      <c r="H96" s="84">
        <v>0</v>
      </c>
      <c r="I96">
        <v>19</v>
      </c>
      <c r="J96" s="83" t="s">
        <v>196</v>
      </c>
      <c r="K96" s="92" t="str">
        <f>VLOOKUP(I96,[6]stage_hints!$A:$C,3,FALSE)</f>
        <v>ソロ専用タワーオブザクイーン</v>
      </c>
      <c r="L96" s="93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7" t="s">
        <v>209</v>
      </c>
    </row>
    <row r="97" spans="1:13" x14ac:dyDescent="0.15">
      <c r="A97" s="80" t="s">
        <v>199</v>
      </c>
      <c r="B97" s="81">
        <f>floors!$C$2</f>
        <v>39011</v>
      </c>
      <c r="C97" s="82" t="str">
        <f ca="1">VLOOKUP($B97,OFFSET([2]quests!$A$1,0,0,COUNTA([2]quests!$A:$A),MATCH(C$1,[2]quests!$1:$1,0)-MATCH($B$1,[2]quests!$1:$1,0)+1),MATCH(C$1,[2]quests!$1:$1,0)-MATCH($B$1,[2]quests!$1:$1,0)+1,FALSE)</f>
        <v>ブルースクウェアを追え！</v>
      </c>
      <c r="D97" s="82" t="str">
        <f ca="1">VLOOKUP($B97,OFFSET([2]quests!$A$1,0,0,COUNTA([2]quests!$A:$A),MATCH(D$1,[2]quests!$1:$1,0)-MATCH($B$1,[2]quests!$1:$1,0)+1),MATCH(D$1,[2]quests!$1:$1,0)-MATCH($B$1,[2]quests!$1:$1,0)+1,FALSE)</f>
        <v>コラボクエスト（復刻）</v>
      </c>
      <c r="E97" s="86">
        <v>4</v>
      </c>
      <c r="F97" s="82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7" s="82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コラボクエスト（復刻）</v>
      </c>
      <c r="H97" s="84">
        <v>0</v>
      </c>
      <c r="I97">
        <v>21</v>
      </c>
      <c r="J97" s="83" t="s">
        <v>196</v>
      </c>
      <c r="K97" s="92" t="str">
        <f>VLOOKUP(I97,[6]stage_hints!$A:$C,3,FALSE)</f>
        <v>スキルを有効に</v>
      </c>
      <c r="L97" s="93" t="str">
        <f>VLOOKUP(I97,[6]stage_hints!$A:$D,4,FALSE)</f>
        <v>ターン経過でユニットのスキルが使えます_x000D_強力スキルでバトルを有利に進めましょう</v>
      </c>
      <c r="M97" s="57" t="s">
        <v>209</v>
      </c>
    </row>
    <row r="98" spans="1:13" x14ac:dyDescent="0.15">
      <c r="A98" s="80" t="s">
        <v>199</v>
      </c>
      <c r="B98" s="81">
        <f>floors!$C$2</f>
        <v>39011</v>
      </c>
      <c r="C98" s="82" t="str">
        <f ca="1">VLOOKUP($B98,OFFSET([2]quests!$A$1,0,0,COUNTA([2]quests!$A:$A),MATCH(C$1,[2]quests!$1:$1,0)-MATCH($B$1,[2]quests!$1:$1,0)+1),MATCH(C$1,[2]quests!$1:$1,0)-MATCH($B$1,[2]quests!$1:$1,0)+1,FALSE)</f>
        <v>ブルースクウェアを追え！</v>
      </c>
      <c r="D98" s="82" t="str">
        <f ca="1">VLOOKUP($B98,OFFSET([2]quests!$A$1,0,0,COUNTA([2]quests!$A:$A),MATCH(D$1,[2]quests!$1:$1,0)-MATCH($B$1,[2]quests!$1:$1,0)+1),MATCH(D$1,[2]quests!$1:$1,0)-MATCH($B$1,[2]quests!$1:$1,0)+1,FALSE)</f>
        <v>コラボクエスト（復刻）</v>
      </c>
      <c r="E98" s="86">
        <v>4</v>
      </c>
      <c r="F98" s="82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8" s="82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コラボクエスト（復刻）</v>
      </c>
      <c r="H98" s="84">
        <v>0</v>
      </c>
      <c r="I98">
        <v>27</v>
      </c>
      <c r="J98" s="83" t="s">
        <v>196</v>
      </c>
      <c r="K98" s="92" t="str">
        <f>VLOOKUP(I98,[6]stage_hints!$A:$C,3,FALSE)</f>
        <v>ホーム画面からデッキを編成</v>
      </c>
      <c r="L98" s="93" t="str">
        <f>VLOOKUP(I98,[6]stage_hints!$A:$D,4,FALSE)</f>
        <v>ホーム画面でユニットを長押しすると_x000D_すぐにパーティ編成に移動できます</v>
      </c>
      <c r="M98" s="57" t="s">
        <v>209</v>
      </c>
    </row>
    <row r="99" spans="1:13" x14ac:dyDescent="0.15">
      <c r="A99" s="80" t="s">
        <v>199</v>
      </c>
      <c r="B99" s="81">
        <f>floors!$C$2</f>
        <v>39011</v>
      </c>
      <c r="C99" s="82" t="str">
        <f ca="1">VLOOKUP($B99,OFFSET([2]quests!$A$1,0,0,COUNTA([2]quests!$A:$A),MATCH(C$1,[2]quests!$1:$1,0)-MATCH($B$1,[2]quests!$1:$1,0)+1),MATCH(C$1,[2]quests!$1:$1,0)-MATCH($B$1,[2]quests!$1:$1,0)+1,FALSE)</f>
        <v>ブルースクウェアを追え！</v>
      </c>
      <c r="D99" s="82" t="str">
        <f ca="1">VLOOKUP($B99,OFFSET([2]quests!$A$1,0,0,COUNTA([2]quests!$A:$A),MATCH(D$1,[2]quests!$1:$1,0)-MATCH($B$1,[2]quests!$1:$1,0)+1),MATCH(D$1,[2]quests!$1:$1,0)-MATCH($B$1,[2]quests!$1:$1,0)+1,FALSE)</f>
        <v>コラボクエスト（復刻）</v>
      </c>
      <c r="E99" s="86">
        <v>4</v>
      </c>
      <c r="F99" s="82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99" s="82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コラボクエスト（復刻）</v>
      </c>
      <c r="H99" s="84">
        <v>0</v>
      </c>
      <c r="I99">
        <v>28</v>
      </c>
      <c r="J99" s="83" t="s">
        <v>196</v>
      </c>
      <c r="K99" s="92" t="str">
        <f>VLOOKUP(I99,[6]stage_hints!$A:$C,3,FALSE)</f>
        <v>ステータス情報は長押しで</v>
      </c>
      <c r="L99" s="93" t="str">
        <f>VLOOKUP(I99,[6]stage_hints!$A:$D,4,FALSE)</f>
        <v>ユニットのアイコンを長押しすると_x000D_ステータス情報を確認することができます</v>
      </c>
      <c r="M99" s="57" t="s">
        <v>209</v>
      </c>
    </row>
    <row r="100" spans="1:13" x14ac:dyDescent="0.15">
      <c r="A100" s="80" t="s">
        <v>199</v>
      </c>
      <c r="B100" s="81">
        <f>floors!$C$2</f>
        <v>39011</v>
      </c>
      <c r="C100" s="82" t="str">
        <f ca="1">VLOOKUP($B100,OFFSET([2]quests!$A$1,0,0,COUNTA([2]quests!$A:$A),MATCH(C$1,[2]quests!$1:$1,0)-MATCH($B$1,[2]quests!$1:$1,0)+1),MATCH(C$1,[2]quests!$1:$1,0)-MATCH($B$1,[2]quests!$1:$1,0)+1,FALSE)</f>
        <v>ブルースクウェアを追え！</v>
      </c>
      <c r="D100" s="82" t="str">
        <f ca="1">VLOOKUP($B100,OFFSET([2]quests!$A$1,0,0,COUNTA([2]quests!$A:$A),MATCH(D$1,[2]quests!$1:$1,0)-MATCH($B$1,[2]quests!$1:$1,0)+1),MATCH(D$1,[2]quests!$1:$1,0)-MATCH($B$1,[2]quests!$1:$1,0)+1,FALSE)</f>
        <v>コラボクエスト（復刻）</v>
      </c>
      <c r="E100" s="86">
        <v>4</v>
      </c>
      <c r="F100" s="82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0" s="82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コラボクエスト（復刻）</v>
      </c>
      <c r="H100" s="84">
        <v>0</v>
      </c>
      <c r="I100">
        <v>29</v>
      </c>
      <c r="J100" s="83" t="s">
        <v>196</v>
      </c>
      <c r="K100" s="92" t="str">
        <f>VLOOKUP(I100,[6]stage_hints!$A:$C,3,FALSE)</f>
        <v>「バグ」のメリット</v>
      </c>
      <c r="L100" s="93" t="str">
        <f>VLOOKUP(I100,[6]stage_hints!$A:$D,4,FALSE)</f>
        <v>ユニットの「バグ」を増やすと_x000D_報酬をもらえる確率がアップします</v>
      </c>
      <c r="M100" s="57" t="s">
        <v>209</v>
      </c>
    </row>
    <row r="101" spans="1:13" x14ac:dyDescent="0.15">
      <c r="A101" s="80" t="s">
        <v>199</v>
      </c>
      <c r="B101" s="81">
        <f>floors!$C$2</f>
        <v>39011</v>
      </c>
      <c r="C101" s="82" t="str">
        <f ca="1">VLOOKUP($B101,OFFSET([2]quests!$A$1,0,0,COUNTA([2]quests!$A:$A),MATCH(C$1,[2]quests!$1:$1,0)-MATCH($B$1,[2]quests!$1:$1,0)+1),MATCH(C$1,[2]quests!$1:$1,0)-MATCH($B$1,[2]quests!$1:$1,0)+1,FALSE)</f>
        <v>ブルースクウェアを追え！</v>
      </c>
      <c r="D101" s="82" t="str">
        <f ca="1">VLOOKUP($B101,OFFSET([2]quests!$A$1,0,0,COUNTA([2]quests!$A:$A),MATCH(D$1,[2]quests!$1:$1,0)-MATCH($B$1,[2]quests!$1:$1,0)+1),MATCH(D$1,[2]quests!$1:$1,0)-MATCH($B$1,[2]quests!$1:$1,0)+1,FALSE)</f>
        <v>コラボクエスト（復刻）</v>
      </c>
      <c r="E101" s="86">
        <v>4</v>
      </c>
      <c r="F101" s="82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1" s="82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コラボクエスト（復刻）</v>
      </c>
      <c r="H101" s="84">
        <v>0</v>
      </c>
      <c r="I101">
        <v>30</v>
      </c>
      <c r="J101" s="83" t="s">
        <v>196</v>
      </c>
      <c r="K101" s="92" t="str">
        <f>VLOOKUP(I101,[6]stage_hints!$A:$C,3,FALSE)</f>
        <v>「バグ」の増やし方</v>
      </c>
      <c r="L101" s="93" t="str">
        <f>VLOOKUP(I101,[6]stage_hints!$A:$D,4,FALSE)</f>
        <v>同じユニット同士を強化で合成すると_x000D_「バグ」を増やすことができます</v>
      </c>
      <c r="M101" s="57" t="s">
        <v>209</v>
      </c>
    </row>
    <row r="102" spans="1:13" x14ac:dyDescent="0.15">
      <c r="A102" s="80" t="s">
        <v>199</v>
      </c>
      <c r="B102" s="81">
        <f>floors!$C$2</f>
        <v>39011</v>
      </c>
      <c r="C102" s="82" t="str">
        <f ca="1">VLOOKUP($B102,OFFSET([2]quests!$A$1,0,0,COUNTA([2]quests!$A:$A),MATCH(C$1,[2]quests!$1:$1,0)-MATCH($B$1,[2]quests!$1:$1,0)+1),MATCH(C$1,[2]quests!$1:$1,0)-MATCH($B$1,[2]quests!$1:$1,0)+1,FALSE)</f>
        <v>ブルースクウェアを追え！</v>
      </c>
      <c r="D102" s="82" t="str">
        <f ca="1">VLOOKUP($B102,OFFSET([2]quests!$A$1,0,0,COUNTA([2]quests!$A:$A),MATCH(D$1,[2]quests!$1:$1,0)-MATCH($B$1,[2]quests!$1:$1,0)+1),MATCH(D$1,[2]quests!$1:$1,0)-MATCH($B$1,[2]quests!$1:$1,0)+1,FALSE)</f>
        <v>コラボクエスト（復刻）</v>
      </c>
      <c r="E102" s="86">
        <v>4</v>
      </c>
      <c r="F102" s="82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2" s="82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コラボクエスト（復刻）</v>
      </c>
      <c r="H102" s="84">
        <v>0</v>
      </c>
      <c r="I102">
        <v>32</v>
      </c>
      <c r="J102" s="83" t="s">
        <v>196</v>
      </c>
      <c r="K102" s="92" t="str">
        <f>VLOOKUP(I102,[6]stage_hints!$A:$C,3,FALSE)</f>
        <v>敵の連続攻撃には</v>
      </c>
      <c r="L102" s="93" t="str">
        <f>VLOOKUP(I102,[6]stage_hints!$A:$D,4,FALSE)</f>
        <v>カウンタースキルを持つユニットがいれば_x000D_ダメージ回数分の反撃ができます</v>
      </c>
      <c r="M102" s="57" t="s">
        <v>209</v>
      </c>
    </row>
    <row r="103" spans="1:13" x14ac:dyDescent="0.15">
      <c r="A103" s="80" t="s">
        <v>199</v>
      </c>
      <c r="B103" s="81">
        <f>floors!$C$2</f>
        <v>39011</v>
      </c>
      <c r="C103" s="82" t="str">
        <f ca="1">VLOOKUP($B103,OFFSET([2]quests!$A$1,0,0,COUNTA([2]quests!$A:$A),MATCH(C$1,[2]quests!$1:$1,0)-MATCH($B$1,[2]quests!$1:$1,0)+1),MATCH(C$1,[2]quests!$1:$1,0)-MATCH($B$1,[2]quests!$1:$1,0)+1,FALSE)</f>
        <v>ブルースクウェアを追え！</v>
      </c>
      <c r="D103" s="82" t="str">
        <f ca="1">VLOOKUP($B103,OFFSET([2]quests!$A$1,0,0,COUNTA([2]quests!$A:$A),MATCH(D$1,[2]quests!$1:$1,0)-MATCH($B$1,[2]quests!$1:$1,0)+1),MATCH(D$1,[2]quests!$1:$1,0)-MATCH($B$1,[2]quests!$1:$1,0)+1,FALSE)</f>
        <v>コラボクエスト（復刻）</v>
      </c>
      <c r="E103" s="86">
        <v>4</v>
      </c>
      <c r="F103" s="82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3" s="82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コラボクエスト（復刻）</v>
      </c>
      <c r="H103" s="84">
        <v>0</v>
      </c>
      <c r="I103">
        <v>33</v>
      </c>
      <c r="J103" s="83" t="s">
        <v>196</v>
      </c>
      <c r="K103" s="92" t="str">
        <f>VLOOKUP(I103,[6]stage_hints!$A:$C,3,FALSE)</f>
        <v>敵のカウンター攻撃には</v>
      </c>
      <c r="L103" s="93" t="str">
        <f>VLOOKUP(I103,[6]stage_hints!$A:$D,4,FALSE)</f>
        <v>カウンターブレイクスキルを持っていれば_x000D_敵のカウンターを解除して攻撃ができます</v>
      </c>
      <c r="M103" s="57" t="s">
        <v>209</v>
      </c>
    </row>
    <row r="104" spans="1:13" x14ac:dyDescent="0.15">
      <c r="A104" s="80" t="s">
        <v>199</v>
      </c>
      <c r="B104" s="81">
        <f>floors!$C$2</f>
        <v>39011</v>
      </c>
      <c r="C104" s="82" t="str">
        <f ca="1">VLOOKUP($B104,OFFSET([2]quests!$A$1,0,0,COUNTA([2]quests!$A:$A),MATCH(C$1,[2]quests!$1:$1,0)-MATCH($B$1,[2]quests!$1:$1,0)+1),MATCH(C$1,[2]quests!$1:$1,0)-MATCH($B$1,[2]quests!$1:$1,0)+1,FALSE)</f>
        <v>ブルースクウェアを追え！</v>
      </c>
      <c r="D104" s="82" t="str">
        <f ca="1">VLOOKUP($B104,OFFSET([2]quests!$A$1,0,0,COUNTA([2]quests!$A:$A),MATCH(D$1,[2]quests!$1:$1,0)-MATCH($B$1,[2]quests!$1:$1,0)+1),MATCH(D$1,[2]quests!$1:$1,0)-MATCH($B$1,[2]quests!$1:$1,0)+1,FALSE)</f>
        <v>コラボクエスト（復刻）</v>
      </c>
      <c r="E104" s="86">
        <v>4</v>
      </c>
      <c r="F104" s="82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4" s="82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コラボクエスト（復刻）</v>
      </c>
      <c r="H104" s="84">
        <v>0</v>
      </c>
      <c r="I104">
        <v>34</v>
      </c>
      <c r="J104" s="83" t="s">
        <v>196</v>
      </c>
      <c r="K104" s="92" t="str">
        <f>VLOOKUP(I104,[6]stage_hints!$A:$C,3,FALSE)</f>
        <v>ステータスをスキルで下げられたら</v>
      </c>
      <c r="L104" s="93" t="str">
        <f>VLOOKUP(I104,[6]stage_hints!$A:$D,4,FALSE)</f>
        <v>ステータスダウンのスキルを受けたら_x000D_ステータスアップスキルで上書きしましょう</v>
      </c>
      <c r="M104" s="57" t="s">
        <v>209</v>
      </c>
    </row>
    <row r="105" spans="1:13" x14ac:dyDescent="0.15">
      <c r="A105" s="80" t="s">
        <v>199</v>
      </c>
      <c r="B105" s="81">
        <f>floors!$C$2</f>
        <v>39011</v>
      </c>
      <c r="C105" s="82" t="str">
        <f ca="1">VLOOKUP($B105,OFFSET([2]quests!$A$1,0,0,COUNTA([2]quests!$A:$A),MATCH(C$1,[2]quests!$1:$1,0)-MATCH($B$1,[2]quests!$1:$1,0)+1),MATCH(C$1,[2]quests!$1:$1,0)-MATCH($B$1,[2]quests!$1:$1,0)+1,FALSE)</f>
        <v>ブルースクウェアを追え！</v>
      </c>
      <c r="D105" s="82" t="str">
        <f ca="1">VLOOKUP($B105,OFFSET([2]quests!$A$1,0,0,COUNTA([2]quests!$A:$A),MATCH(D$1,[2]quests!$1:$1,0)-MATCH($B$1,[2]quests!$1:$1,0)+1),MATCH(D$1,[2]quests!$1:$1,0)-MATCH($B$1,[2]quests!$1:$1,0)+1,FALSE)</f>
        <v>コラボクエスト（復刻）</v>
      </c>
      <c r="E105" s="86">
        <v>4</v>
      </c>
      <c r="F105" s="82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5" s="82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コラボクエスト（復刻）</v>
      </c>
      <c r="H105" s="84">
        <v>0</v>
      </c>
      <c r="I105">
        <v>35</v>
      </c>
      <c r="J105" s="83" t="s">
        <v>196</v>
      </c>
      <c r="K105" s="92" t="str">
        <f>VLOOKUP(I105,[6]stage_hints!$A:$C,3,FALSE)</f>
        <v>敵のステータスがスキルで上がったら</v>
      </c>
      <c r="L105" s="93" t="str">
        <f>VLOOKUP(I105,[6]stage_hints!$A:$D,4,FALSE)</f>
        <v>敵のステータスがスキルでアップしたときは_x000D_ステータスダウンスキルで上書きしましょう</v>
      </c>
      <c r="M105" s="57" t="s">
        <v>209</v>
      </c>
    </row>
    <row r="106" spans="1:13" x14ac:dyDescent="0.15">
      <c r="A106" s="80" t="s">
        <v>199</v>
      </c>
      <c r="B106" s="81">
        <f>floors!$C$2</f>
        <v>39011</v>
      </c>
      <c r="C106" s="82" t="str">
        <f ca="1">VLOOKUP($B106,OFFSET([2]quests!$A$1,0,0,COUNTA([2]quests!$A:$A),MATCH(C$1,[2]quests!$1:$1,0)-MATCH($B$1,[2]quests!$1:$1,0)+1),MATCH(C$1,[2]quests!$1:$1,0)-MATCH($B$1,[2]quests!$1:$1,0)+1,FALSE)</f>
        <v>ブルースクウェアを追え！</v>
      </c>
      <c r="D106" s="82" t="str">
        <f ca="1">VLOOKUP($B106,OFFSET([2]quests!$A$1,0,0,COUNTA([2]quests!$A:$A),MATCH(D$1,[2]quests!$1:$1,0)-MATCH($B$1,[2]quests!$1:$1,0)+1),MATCH(D$1,[2]quests!$1:$1,0)-MATCH($B$1,[2]quests!$1:$1,0)+1,FALSE)</f>
        <v>コラボクエスト（復刻）</v>
      </c>
      <c r="E106" s="86">
        <v>4</v>
      </c>
      <c r="F106" s="82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6" s="82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コラボクエスト（復刻）</v>
      </c>
      <c r="H106" s="84">
        <v>0</v>
      </c>
      <c r="I106">
        <v>36</v>
      </c>
      <c r="J106" s="83" t="s">
        <v>196</v>
      </c>
      <c r="K106" s="92" t="str">
        <f>VLOOKUP(I106,[6]stage_hints!$A:$C,3,FALSE)</f>
        <v>タワーオブザクイーンのボス</v>
      </c>
      <c r="L106" s="93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7" t="s">
        <v>209</v>
      </c>
    </row>
    <row r="107" spans="1:13" x14ac:dyDescent="0.15">
      <c r="A107" s="80" t="s">
        <v>199</v>
      </c>
      <c r="B107" s="81">
        <f>floors!$C$2</f>
        <v>39011</v>
      </c>
      <c r="C107" s="82" t="str">
        <f ca="1">VLOOKUP($B107,OFFSET([2]quests!$A$1,0,0,COUNTA([2]quests!$A:$A),MATCH(C$1,[2]quests!$1:$1,0)-MATCH($B$1,[2]quests!$1:$1,0)+1),MATCH(C$1,[2]quests!$1:$1,0)-MATCH($B$1,[2]quests!$1:$1,0)+1,FALSE)</f>
        <v>ブルースクウェアを追え！</v>
      </c>
      <c r="D107" s="82" t="str">
        <f ca="1">VLOOKUP($B107,OFFSET([2]quests!$A$1,0,0,COUNTA([2]quests!$A:$A),MATCH(D$1,[2]quests!$1:$1,0)-MATCH($B$1,[2]quests!$1:$1,0)+1),MATCH(D$1,[2]quests!$1:$1,0)-MATCH($B$1,[2]quests!$1:$1,0)+1,FALSE)</f>
        <v>コラボクエスト（復刻）</v>
      </c>
      <c r="E107" s="86">
        <v>4</v>
      </c>
      <c r="F107" s="82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7" s="82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コラボクエスト（復刻）</v>
      </c>
      <c r="H107" s="84">
        <v>0</v>
      </c>
      <c r="I107">
        <v>37</v>
      </c>
      <c r="J107" s="83" t="s">
        <v>196</v>
      </c>
      <c r="K107" s="92" t="str">
        <f>VLOOKUP(I107,[6]stage_hints!$A:$C,3,FALSE)</f>
        <v>限界突破値の引き継ぎ</v>
      </c>
      <c r="L107" s="93" t="str">
        <f>VLOOKUP(I107,[6]stage_hints!$A:$D,4,FALSE)</f>
        <v>同じユニットを強化で合成すると_x000D_限界突破値を引き継げます（覚醒前後も可）</v>
      </c>
      <c r="M107" s="57" t="s">
        <v>209</v>
      </c>
    </row>
    <row r="108" spans="1:13" x14ac:dyDescent="0.15">
      <c r="A108" s="80" t="s">
        <v>199</v>
      </c>
      <c r="B108" s="81">
        <f>floors!$C$2</f>
        <v>39011</v>
      </c>
      <c r="C108" s="82" t="str">
        <f ca="1">VLOOKUP($B108,OFFSET([2]quests!$A$1,0,0,COUNTA([2]quests!$A:$A),MATCH(C$1,[2]quests!$1:$1,0)-MATCH($B$1,[2]quests!$1:$1,0)+1),MATCH(C$1,[2]quests!$1:$1,0)-MATCH($B$1,[2]quests!$1:$1,0)+1,FALSE)</f>
        <v>ブルースクウェアを追え！</v>
      </c>
      <c r="D108" s="82" t="str">
        <f ca="1">VLOOKUP($B108,OFFSET([2]quests!$A$1,0,0,COUNTA([2]quests!$A:$A),MATCH(D$1,[2]quests!$1:$1,0)-MATCH($B$1,[2]quests!$1:$1,0)+1),MATCH(D$1,[2]quests!$1:$1,0)-MATCH($B$1,[2]quests!$1:$1,0)+1,FALSE)</f>
        <v>コラボクエスト（復刻）</v>
      </c>
      <c r="E108" s="86">
        <v>4</v>
      </c>
      <c r="F108" s="82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08" s="82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コラボクエスト（復刻）</v>
      </c>
      <c r="H108" s="84">
        <v>0</v>
      </c>
      <c r="I108">
        <v>39</v>
      </c>
      <c r="J108" s="83" t="s">
        <v>196</v>
      </c>
      <c r="K108" s="92" t="str">
        <f>VLOOKUP(I108,[6]stage_hints!$A:$C,3,FALSE)</f>
        <v>システム適合者を確認</v>
      </c>
      <c r="L108" s="93" t="str">
        <f>VLOOKUP(I108,[6]stage_hints!$A:$D,4,FALSE)</f>
        <v>ALICEが 「アナタ」を呼んでいます</v>
      </c>
      <c r="M108" s="57" t="s">
        <v>209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2" activePane="bottomLeft" state="frozen"/>
      <selection pane="bottomLeft" activeCell="H6" sqref="H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2" t="s">
        <v>149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8" t="s">
        <v>192</v>
      </c>
      <c r="J1" s="90" t="s">
        <v>193</v>
      </c>
      <c r="K1" s="78" t="s">
        <v>125</v>
      </c>
      <c r="L1" s="77" t="s">
        <v>185</v>
      </c>
      <c r="M1" s="91" t="s">
        <v>184</v>
      </c>
      <c r="N1" s="79" t="s">
        <v>194</v>
      </c>
    </row>
    <row r="2" spans="1:14" ht="42" x14ac:dyDescent="0.15">
      <c r="A2" s="80" t="s">
        <v>195</v>
      </c>
      <c r="B2" s="81">
        <f>floors!$C$2</f>
        <v>39011</v>
      </c>
      <c r="C2" s="82" t="str">
        <f ca="1">VLOOKUP($B2,OFFSET([2]quests!$A$1,0,0,COUNTA([2]quests!$A:$A),MATCH(C$1,[2]quests!$1:$1,0)-MATCH($B$1,[2]quests!$1:$1,0)+1),MATCH(C$1,[2]quests!$1:$1,0)-MATCH($B$1,[2]quests!$1:$1,0)+1,FALSE)</f>
        <v>ブルースクウェアを追え！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コラボクエスト（復刻）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コラボクエスト（復刻）</v>
      </c>
      <c r="H2" s="84">
        <v>1</v>
      </c>
      <c r="I2" s="89">
        <f>ROW()-1</f>
        <v>1</v>
      </c>
      <c r="J2" s="85" t="str">
        <f>B2&amp;TEXT(I2,"00")</f>
        <v>3901101</v>
      </c>
      <c r="K2" s="83" t="s">
        <v>126</v>
      </c>
      <c r="L2" s="86" t="s">
        <v>197</v>
      </c>
      <c r="M2" s="106" t="s">
        <v>295</v>
      </c>
      <c r="N2" s="57" t="s">
        <v>198</v>
      </c>
    </row>
    <row r="3" spans="1:14" ht="42" x14ac:dyDescent="0.15">
      <c r="A3" s="80" t="s">
        <v>195</v>
      </c>
      <c r="B3" s="81">
        <f>floors!$C$2</f>
        <v>39011</v>
      </c>
      <c r="C3" s="82" t="str">
        <f ca="1">VLOOKUP($B3,OFFSET([2]quests!$A$1,0,0,COUNTA([2]quests!$A:$A),MATCH(C$1,[2]quests!$1:$1,0)-MATCH($B$1,[2]quests!$1:$1,0)+1),MATCH(C$1,[2]quests!$1:$1,0)-MATCH($B$1,[2]quests!$1:$1,0)+1,FALSE)</f>
        <v>ブルースクウェアを追え！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コラボクエスト（復刻）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コラボクエスト（復刻）</v>
      </c>
      <c r="H3" s="84">
        <v>2</v>
      </c>
      <c r="I3" s="89">
        <f t="shared" ref="I3:I19" si="0">ROW()-1</f>
        <v>2</v>
      </c>
      <c r="J3" s="85" t="str">
        <f t="shared" ref="J3:J5" si="1">B3&amp;TEXT(I3,"00")</f>
        <v>3901102</v>
      </c>
      <c r="K3" s="83" t="s">
        <v>126</v>
      </c>
      <c r="L3" s="86" t="s">
        <v>197</v>
      </c>
      <c r="M3" s="106" t="s">
        <v>296</v>
      </c>
      <c r="N3" s="57" t="s">
        <v>198</v>
      </c>
    </row>
    <row r="4" spans="1:14" ht="42" x14ac:dyDescent="0.15">
      <c r="A4" s="80" t="s">
        <v>195</v>
      </c>
      <c r="B4" s="81">
        <f>floors!$C$2</f>
        <v>39011</v>
      </c>
      <c r="C4" s="82" t="str">
        <f ca="1">VLOOKUP($B4,OFFSET([2]quests!$A$1,0,0,COUNTA([2]quests!$A:$A),MATCH(C$1,[2]quests!$1:$1,0)-MATCH($B$1,[2]quests!$1:$1,0)+1),MATCH(C$1,[2]quests!$1:$1,0)-MATCH($B$1,[2]quests!$1:$1,0)+1,FALSE)</f>
        <v>ブルースクウェアを追え！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コラボクエスト（復刻）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コラボクエスト（復刻）</v>
      </c>
      <c r="H4" s="84">
        <v>3</v>
      </c>
      <c r="I4" s="89">
        <f t="shared" si="0"/>
        <v>3</v>
      </c>
      <c r="J4" s="85" t="str">
        <f t="shared" si="1"/>
        <v>3901103</v>
      </c>
      <c r="K4" s="83" t="s">
        <v>126</v>
      </c>
      <c r="L4" s="86" t="s">
        <v>197</v>
      </c>
      <c r="M4" s="106" t="s">
        <v>297</v>
      </c>
      <c r="N4" s="57" t="s">
        <v>198</v>
      </c>
    </row>
    <row r="5" spans="1:14" ht="42" x14ac:dyDescent="0.15">
      <c r="A5" s="80" t="s">
        <v>195</v>
      </c>
      <c r="B5" s="81">
        <f>floors!$C$2</f>
        <v>39011</v>
      </c>
      <c r="C5" s="82" t="str">
        <f ca="1">VLOOKUP($B5,OFFSET([2]quests!$A$1,0,0,COUNTA([2]quests!$A:$A),MATCH(C$1,[2]quests!$1:$1,0)-MATCH($B$1,[2]quests!$1:$1,0)+1),MATCH(C$1,[2]quests!$1:$1,0)-MATCH($B$1,[2]quests!$1:$1,0)+1,FALSE)</f>
        <v>ブルースクウェアを追え！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コラボクエスト（復刻）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【初級】ブルースクウェアを追え！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コラボクエスト（復刻）</v>
      </c>
      <c r="H5" s="84">
        <v>4</v>
      </c>
      <c r="I5" s="89">
        <f t="shared" si="0"/>
        <v>4</v>
      </c>
      <c r="J5" s="85" t="str">
        <f t="shared" si="1"/>
        <v>3901104</v>
      </c>
      <c r="K5" s="83" t="s">
        <v>126</v>
      </c>
      <c r="L5" s="86" t="s">
        <v>197</v>
      </c>
      <c r="M5" s="106" t="s">
        <v>298</v>
      </c>
      <c r="N5" s="57" t="s">
        <v>198</v>
      </c>
    </row>
    <row r="6" spans="1:14" ht="42" x14ac:dyDescent="0.15">
      <c r="A6" s="80" t="s">
        <v>195</v>
      </c>
      <c r="B6" s="81">
        <f>floors!$C$2</f>
        <v>39011</v>
      </c>
      <c r="C6" s="82" t="str">
        <f ca="1">VLOOKUP($B6,OFFSET([2]quests!$A$1,0,0,COUNTA([2]quests!$A:$A),MATCH(C$1,[2]quests!$1:$1,0)-MATCH($B$1,[2]quests!$1:$1,0)+1),MATCH(C$1,[2]quests!$1:$1,0)-MATCH($B$1,[2]quests!$1:$1,0)+1,FALSE)</f>
        <v>ブルースクウェアを追え！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コラボクエスト（復刻）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コラボクエスト（復刻）</v>
      </c>
      <c r="H6" s="84">
        <v>1</v>
      </c>
      <c r="I6" s="89">
        <f>ROW()-1</f>
        <v>5</v>
      </c>
      <c r="J6" s="85" t="str">
        <f>B6&amp;TEXT(I6,"00")</f>
        <v>3901105</v>
      </c>
      <c r="K6" s="83" t="s">
        <v>126</v>
      </c>
      <c r="L6" s="86" t="s">
        <v>197</v>
      </c>
      <c r="M6" s="106" t="s">
        <v>295</v>
      </c>
      <c r="N6" s="57" t="s">
        <v>198</v>
      </c>
    </row>
    <row r="7" spans="1:14" ht="42" x14ac:dyDescent="0.15">
      <c r="A7" s="80" t="s">
        <v>195</v>
      </c>
      <c r="B7" s="81">
        <f>floors!$C$2</f>
        <v>39011</v>
      </c>
      <c r="C7" s="82" t="str">
        <f ca="1">VLOOKUP($B7,OFFSET([2]quests!$A$1,0,0,COUNTA([2]quests!$A:$A),MATCH(C$1,[2]quests!$1:$1,0)-MATCH($B$1,[2]quests!$1:$1,0)+1),MATCH(C$1,[2]quests!$1:$1,0)-MATCH($B$1,[2]quests!$1:$1,0)+1,FALSE)</f>
        <v>ブルースクウェアを追え！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コラボクエスト（復刻）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コラボクエスト（復刻）</v>
      </c>
      <c r="H7" s="84">
        <v>2</v>
      </c>
      <c r="I7" s="89">
        <f t="shared" si="0"/>
        <v>6</v>
      </c>
      <c r="J7" s="85" t="str">
        <f t="shared" ref="J7:J9" si="2">B7&amp;TEXT(I7,"00")</f>
        <v>3901106</v>
      </c>
      <c r="K7" s="83" t="s">
        <v>126</v>
      </c>
      <c r="L7" s="86" t="s">
        <v>197</v>
      </c>
      <c r="M7" s="106" t="s">
        <v>296</v>
      </c>
      <c r="N7" s="57" t="s">
        <v>198</v>
      </c>
    </row>
    <row r="8" spans="1:14" ht="42" x14ac:dyDescent="0.15">
      <c r="A8" s="80" t="s">
        <v>195</v>
      </c>
      <c r="B8" s="81">
        <f>floors!$C$2</f>
        <v>39011</v>
      </c>
      <c r="C8" s="82" t="str">
        <f ca="1">VLOOKUP($B8,OFFSET([2]quests!$A$1,0,0,COUNTA([2]quests!$A:$A),MATCH(C$1,[2]quests!$1:$1,0)-MATCH($B$1,[2]quests!$1:$1,0)+1),MATCH(C$1,[2]quests!$1:$1,0)-MATCH($B$1,[2]quests!$1:$1,0)+1,FALSE)</f>
        <v>ブルースクウェアを追え！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コラボクエスト（復刻）</v>
      </c>
      <c r="E8" s="83">
        <v>2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コラボクエスト（復刻）</v>
      </c>
      <c r="H8" s="84">
        <v>3</v>
      </c>
      <c r="I8" s="89">
        <f t="shared" si="0"/>
        <v>7</v>
      </c>
      <c r="J8" s="85" t="str">
        <f t="shared" si="2"/>
        <v>3901107</v>
      </c>
      <c r="K8" s="83" t="s">
        <v>126</v>
      </c>
      <c r="L8" s="86" t="s">
        <v>197</v>
      </c>
      <c r="M8" s="106" t="s">
        <v>297</v>
      </c>
      <c r="N8" s="57" t="s">
        <v>198</v>
      </c>
    </row>
    <row r="9" spans="1:14" ht="42" x14ac:dyDescent="0.15">
      <c r="A9" s="80" t="s">
        <v>195</v>
      </c>
      <c r="B9" s="81">
        <f>floors!$C$2</f>
        <v>39011</v>
      </c>
      <c r="C9" s="82" t="str">
        <f ca="1">VLOOKUP($B9,OFFSET([2]quests!$A$1,0,0,COUNTA([2]quests!$A:$A),MATCH(C$1,[2]quests!$1:$1,0)-MATCH($B$1,[2]quests!$1:$1,0)+1),MATCH(C$1,[2]quests!$1:$1,0)-MATCH($B$1,[2]quests!$1:$1,0)+1,FALSE)</f>
        <v>ブルースクウェアを追え！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コラボクエスト（復刻）</v>
      </c>
      <c r="E9" s="83">
        <v>2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【中級】ブルースクウェアを追え！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コラボクエスト（復刻）</v>
      </c>
      <c r="H9" s="84">
        <v>4</v>
      </c>
      <c r="I9" s="89">
        <f t="shared" si="0"/>
        <v>8</v>
      </c>
      <c r="J9" s="85" t="str">
        <f t="shared" si="2"/>
        <v>3901108</v>
      </c>
      <c r="K9" s="83" t="s">
        <v>126</v>
      </c>
      <c r="L9" s="86" t="s">
        <v>197</v>
      </c>
      <c r="M9" s="106" t="s">
        <v>298</v>
      </c>
      <c r="N9" s="57" t="s">
        <v>198</v>
      </c>
    </row>
    <row r="10" spans="1:14" ht="42" x14ac:dyDescent="0.15">
      <c r="A10" s="80" t="s">
        <v>195</v>
      </c>
      <c r="B10" s="81">
        <f>floors!$C$2</f>
        <v>39011</v>
      </c>
      <c r="C10" s="82" t="str">
        <f ca="1">VLOOKUP($B10,OFFSET([2]quests!$A$1,0,0,COUNTA([2]quests!$A:$A),MATCH(C$1,[2]quests!$1:$1,0)-MATCH($B$1,[2]quests!$1:$1,0)+1),MATCH(C$1,[2]quests!$1:$1,0)-MATCH($B$1,[2]quests!$1:$1,0)+1,FALSE)</f>
        <v>ブルースクウェアを追え！</v>
      </c>
      <c r="D10" s="82" t="str">
        <f ca="1">VLOOKUP($B10,OFFSET([2]quests!$A$1,0,0,COUNTA([2]quests!$A:$A),MATCH(D$1,[2]quests!$1:$1,0)-MATCH($B$1,[2]quests!$1:$1,0)+1),MATCH(D$1,[2]quests!$1:$1,0)-MATCH($B$1,[2]quests!$1:$1,0)+1,FALSE)</f>
        <v>コラボクエスト（復刻）</v>
      </c>
      <c r="E10" s="83">
        <v>3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コラボクエスト（復刻）</v>
      </c>
      <c r="H10" s="84">
        <v>1</v>
      </c>
      <c r="I10" s="89">
        <f>ROW()-1</f>
        <v>9</v>
      </c>
      <c r="J10" s="85" t="str">
        <f>B10&amp;TEXT(I10,"00")</f>
        <v>3901109</v>
      </c>
      <c r="K10" s="83" t="s">
        <v>126</v>
      </c>
      <c r="L10" s="86" t="s">
        <v>197</v>
      </c>
      <c r="M10" s="106" t="s">
        <v>295</v>
      </c>
      <c r="N10" s="57" t="s">
        <v>198</v>
      </c>
    </row>
    <row r="11" spans="1:14" ht="42" x14ac:dyDescent="0.15">
      <c r="A11" s="80" t="s">
        <v>195</v>
      </c>
      <c r="B11" s="81">
        <f>floors!$C$2</f>
        <v>39011</v>
      </c>
      <c r="C11" s="82" t="str">
        <f ca="1">VLOOKUP($B11,OFFSET([2]quests!$A$1,0,0,COUNTA([2]quests!$A:$A),MATCH(C$1,[2]quests!$1:$1,0)-MATCH($B$1,[2]quests!$1:$1,0)+1),MATCH(C$1,[2]quests!$1:$1,0)-MATCH($B$1,[2]quests!$1:$1,0)+1,FALSE)</f>
        <v>ブルースクウェアを追え！</v>
      </c>
      <c r="D11" s="82" t="str">
        <f ca="1">VLOOKUP($B11,OFFSET([2]quests!$A$1,0,0,COUNTA([2]quests!$A:$A),MATCH(D$1,[2]quests!$1:$1,0)-MATCH($B$1,[2]quests!$1:$1,0)+1),MATCH(D$1,[2]quests!$1:$1,0)-MATCH($B$1,[2]quests!$1:$1,0)+1,FALSE)</f>
        <v>コラボクエスト（復刻）</v>
      </c>
      <c r="E11" s="83">
        <v>3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コラボクエスト（復刻）</v>
      </c>
      <c r="H11" s="84">
        <v>2</v>
      </c>
      <c r="I11" s="89">
        <f t="shared" si="0"/>
        <v>10</v>
      </c>
      <c r="J11" s="85" t="str">
        <f t="shared" ref="J11:J14" si="3">B11&amp;TEXT(I11,"00")</f>
        <v>3901110</v>
      </c>
      <c r="K11" s="83" t="s">
        <v>126</v>
      </c>
      <c r="L11" s="86" t="s">
        <v>197</v>
      </c>
      <c r="M11" s="106" t="s">
        <v>296</v>
      </c>
      <c r="N11" s="57" t="s">
        <v>198</v>
      </c>
    </row>
    <row r="12" spans="1:14" ht="42" x14ac:dyDescent="0.15">
      <c r="A12" s="80" t="s">
        <v>195</v>
      </c>
      <c r="B12" s="81">
        <f>floors!$C$2</f>
        <v>39011</v>
      </c>
      <c r="C12" s="82" t="str">
        <f ca="1">VLOOKUP($B12,OFFSET([2]quests!$A$1,0,0,COUNTA([2]quests!$A:$A),MATCH(C$1,[2]quests!$1:$1,0)-MATCH($B$1,[2]quests!$1:$1,0)+1),MATCH(C$1,[2]quests!$1:$1,0)-MATCH($B$1,[2]quests!$1:$1,0)+1,FALSE)</f>
        <v>ブルースクウェアを追え！</v>
      </c>
      <c r="D12" s="82" t="str">
        <f ca="1">VLOOKUP($B12,OFFSET([2]quests!$A$1,0,0,COUNTA([2]quests!$A:$A),MATCH(D$1,[2]quests!$1:$1,0)-MATCH($B$1,[2]quests!$1:$1,0)+1),MATCH(D$1,[2]quests!$1:$1,0)-MATCH($B$1,[2]quests!$1:$1,0)+1,FALSE)</f>
        <v>コラボクエスト（復刻）</v>
      </c>
      <c r="E12" s="83">
        <v>3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コラボクエスト（復刻）</v>
      </c>
      <c r="H12" s="84">
        <v>3</v>
      </c>
      <c r="I12" s="89">
        <f t="shared" si="0"/>
        <v>11</v>
      </c>
      <c r="J12" s="85" t="str">
        <f t="shared" si="3"/>
        <v>3901111</v>
      </c>
      <c r="K12" s="83" t="s">
        <v>126</v>
      </c>
      <c r="L12" s="86" t="s">
        <v>197</v>
      </c>
      <c r="M12" s="106" t="s">
        <v>297</v>
      </c>
      <c r="N12" s="57" t="s">
        <v>198</v>
      </c>
    </row>
    <row r="13" spans="1:14" ht="42" x14ac:dyDescent="0.15">
      <c r="A13" s="80" t="s">
        <v>195</v>
      </c>
      <c r="B13" s="81">
        <f>floors!$C$2</f>
        <v>39011</v>
      </c>
      <c r="C13" s="82" t="str">
        <f ca="1">VLOOKUP($B13,OFFSET([2]quests!$A$1,0,0,COUNTA([2]quests!$A:$A),MATCH(C$1,[2]quests!$1:$1,0)-MATCH($B$1,[2]quests!$1:$1,0)+1),MATCH(C$1,[2]quests!$1:$1,0)-MATCH($B$1,[2]quests!$1:$1,0)+1,FALSE)</f>
        <v>ブルースクウェアを追え！</v>
      </c>
      <c r="D13" s="82" t="str">
        <f ca="1">VLOOKUP($B13,OFFSET([2]quests!$A$1,0,0,COUNTA([2]quests!$A:$A),MATCH(D$1,[2]quests!$1:$1,0)-MATCH($B$1,[2]quests!$1:$1,0)+1),MATCH(D$1,[2]quests!$1:$1,0)-MATCH($B$1,[2]quests!$1:$1,0)+1,FALSE)</f>
        <v>コラボクエスト（復刻）</v>
      </c>
      <c r="E13" s="83">
        <v>3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コラボクエスト（復刻）</v>
      </c>
      <c r="H13" s="84">
        <v>4</v>
      </c>
      <c r="I13" s="89">
        <f t="shared" si="0"/>
        <v>12</v>
      </c>
      <c r="J13" s="85" t="str">
        <f t="shared" si="3"/>
        <v>3901112</v>
      </c>
      <c r="K13" s="83" t="s">
        <v>126</v>
      </c>
      <c r="L13" s="86" t="s">
        <v>197</v>
      </c>
      <c r="M13" s="106" t="s">
        <v>326</v>
      </c>
      <c r="N13" s="57" t="s">
        <v>198</v>
      </c>
    </row>
    <row r="14" spans="1:14" ht="42" x14ac:dyDescent="0.15">
      <c r="A14" s="80" t="s">
        <v>195</v>
      </c>
      <c r="B14" s="81">
        <f>floors!$C$2</f>
        <v>39011</v>
      </c>
      <c r="C14" s="82" t="str">
        <f ca="1">VLOOKUP($B14,OFFSET([2]quests!$A$1,0,0,COUNTA([2]quests!$A:$A),MATCH(C$1,[2]quests!$1:$1,0)-MATCH($B$1,[2]quests!$1:$1,0)+1),MATCH(C$1,[2]quests!$1:$1,0)-MATCH($B$1,[2]quests!$1:$1,0)+1,FALSE)</f>
        <v>ブルースクウェアを追え！</v>
      </c>
      <c r="D14" s="82" t="str">
        <f ca="1">VLOOKUP($B14,OFFSET([2]quests!$A$1,0,0,COUNTA([2]quests!$A:$A),MATCH(D$1,[2]quests!$1:$1,0)-MATCH($B$1,[2]quests!$1:$1,0)+1),MATCH(D$1,[2]quests!$1:$1,0)-MATCH($B$1,[2]quests!$1:$1,0)+1,FALSE)</f>
        <v>コラボクエスト（復刻）</v>
      </c>
      <c r="E14" s="83">
        <v>3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【上級】ブルースクウェアを追え！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コラボクエスト（復刻）</v>
      </c>
      <c r="H14" s="84">
        <v>4</v>
      </c>
      <c r="I14" s="89">
        <f t="shared" si="0"/>
        <v>13</v>
      </c>
      <c r="J14" s="85" t="str">
        <f t="shared" si="3"/>
        <v>3901113</v>
      </c>
      <c r="K14" s="83" t="s">
        <v>126</v>
      </c>
      <c r="L14" s="86" t="s">
        <v>197</v>
      </c>
      <c r="M14" s="106" t="s">
        <v>298</v>
      </c>
      <c r="N14" s="57" t="s">
        <v>198</v>
      </c>
    </row>
    <row r="15" spans="1:14" ht="42" x14ac:dyDescent="0.15">
      <c r="A15" s="80" t="s">
        <v>195</v>
      </c>
      <c r="B15" s="81">
        <f>floors!$C$2</f>
        <v>39011</v>
      </c>
      <c r="C15" s="82" t="str">
        <f ca="1">VLOOKUP($B15,OFFSET([2]quests!$A$1,0,0,COUNTA([2]quests!$A:$A),MATCH(C$1,[2]quests!$1:$1,0)-MATCH($B$1,[2]quests!$1:$1,0)+1),MATCH(C$1,[2]quests!$1:$1,0)-MATCH($B$1,[2]quests!$1:$1,0)+1,FALSE)</f>
        <v>ブルースクウェアを追え！</v>
      </c>
      <c r="D15" s="82" t="str">
        <f ca="1">VLOOKUP($B15,OFFSET([2]quests!$A$1,0,0,COUNTA([2]quests!$A:$A),MATCH(D$1,[2]quests!$1:$1,0)-MATCH($B$1,[2]quests!$1:$1,0)+1),MATCH(D$1,[2]quests!$1:$1,0)-MATCH($B$1,[2]quests!$1:$1,0)+1,FALSE)</f>
        <v>コラボクエスト（復刻）</v>
      </c>
      <c r="E15" s="83">
        <v>4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コラボクエスト（復刻）</v>
      </c>
      <c r="H15" s="84">
        <v>1</v>
      </c>
      <c r="I15" s="89">
        <f>ROW()-1</f>
        <v>14</v>
      </c>
      <c r="J15" s="85" t="str">
        <f>B15&amp;TEXT(I15,"00")</f>
        <v>3901114</v>
      </c>
      <c r="K15" s="83" t="s">
        <v>126</v>
      </c>
      <c r="L15" s="86" t="s">
        <v>197</v>
      </c>
      <c r="M15" s="106" t="s">
        <v>295</v>
      </c>
      <c r="N15" s="57" t="s">
        <v>198</v>
      </c>
    </row>
    <row r="16" spans="1:14" ht="42" x14ac:dyDescent="0.15">
      <c r="A16" s="80" t="s">
        <v>195</v>
      </c>
      <c r="B16" s="81">
        <f>floors!$C$2</f>
        <v>39011</v>
      </c>
      <c r="C16" s="82" t="str">
        <f ca="1">VLOOKUP($B16,OFFSET([2]quests!$A$1,0,0,COUNTA([2]quests!$A:$A),MATCH(C$1,[2]quests!$1:$1,0)-MATCH($B$1,[2]quests!$1:$1,0)+1),MATCH(C$1,[2]quests!$1:$1,0)-MATCH($B$1,[2]quests!$1:$1,0)+1,FALSE)</f>
        <v>ブルースクウェアを追え！</v>
      </c>
      <c r="D16" s="82" t="str">
        <f ca="1">VLOOKUP($B16,OFFSET([2]quests!$A$1,0,0,COUNTA([2]quests!$A:$A),MATCH(D$1,[2]quests!$1:$1,0)-MATCH($B$1,[2]quests!$1:$1,0)+1),MATCH(D$1,[2]quests!$1:$1,0)-MATCH($B$1,[2]quests!$1:$1,0)+1,FALSE)</f>
        <v>コラボクエスト（復刻）</v>
      </c>
      <c r="E16" s="83">
        <v>4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コラボクエスト（復刻）</v>
      </c>
      <c r="H16" s="84">
        <v>2</v>
      </c>
      <c r="I16" s="89">
        <f t="shared" si="0"/>
        <v>15</v>
      </c>
      <c r="J16" s="85" t="str">
        <f t="shared" ref="J16:J19" si="4">B16&amp;TEXT(I16,"00")</f>
        <v>3901115</v>
      </c>
      <c r="K16" s="83" t="s">
        <v>126</v>
      </c>
      <c r="L16" s="86" t="s">
        <v>197</v>
      </c>
      <c r="M16" s="106" t="s">
        <v>296</v>
      </c>
      <c r="N16" s="57" t="s">
        <v>198</v>
      </c>
    </row>
    <row r="17" spans="1:14" ht="42" x14ac:dyDescent="0.15">
      <c r="A17" s="80" t="s">
        <v>195</v>
      </c>
      <c r="B17" s="81">
        <f>floors!$C$2</f>
        <v>39011</v>
      </c>
      <c r="C17" s="82" t="str">
        <f ca="1">VLOOKUP($B17,OFFSET([2]quests!$A$1,0,0,COUNTA([2]quests!$A:$A),MATCH(C$1,[2]quests!$1:$1,0)-MATCH($B$1,[2]quests!$1:$1,0)+1),MATCH(C$1,[2]quests!$1:$1,0)-MATCH($B$1,[2]quests!$1:$1,0)+1,FALSE)</f>
        <v>ブルースクウェアを追え！</v>
      </c>
      <c r="D17" s="82" t="str">
        <f ca="1">VLOOKUP($B17,OFFSET([2]quests!$A$1,0,0,COUNTA([2]quests!$A:$A),MATCH(D$1,[2]quests!$1:$1,0)-MATCH($B$1,[2]quests!$1:$1,0)+1),MATCH(D$1,[2]quests!$1:$1,0)-MATCH($B$1,[2]quests!$1:$1,0)+1,FALSE)</f>
        <v>コラボクエスト（復刻）</v>
      </c>
      <c r="E17" s="83">
        <v>4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コラボクエスト（復刻）</v>
      </c>
      <c r="H17" s="84">
        <v>3</v>
      </c>
      <c r="I17" s="89">
        <f t="shared" si="0"/>
        <v>16</v>
      </c>
      <c r="J17" s="85" t="str">
        <f t="shared" si="4"/>
        <v>3901116</v>
      </c>
      <c r="K17" s="83" t="s">
        <v>126</v>
      </c>
      <c r="L17" s="86" t="s">
        <v>197</v>
      </c>
      <c r="M17" s="106" t="s">
        <v>297</v>
      </c>
      <c r="N17" s="57" t="s">
        <v>198</v>
      </c>
    </row>
    <row r="18" spans="1:14" ht="42" x14ac:dyDescent="0.15">
      <c r="A18" s="80" t="s">
        <v>195</v>
      </c>
      <c r="B18" s="81">
        <f>floors!$C$2</f>
        <v>39011</v>
      </c>
      <c r="C18" s="82" t="str">
        <f ca="1">VLOOKUP($B18,OFFSET([2]quests!$A$1,0,0,COUNTA([2]quests!$A:$A),MATCH(C$1,[2]quests!$1:$1,0)-MATCH($B$1,[2]quests!$1:$1,0)+1),MATCH(C$1,[2]quests!$1:$1,0)-MATCH($B$1,[2]quests!$1:$1,0)+1,FALSE)</f>
        <v>ブルースクウェアを追え！</v>
      </c>
      <c r="D18" s="82" t="str">
        <f ca="1">VLOOKUP($B18,OFFSET([2]quests!$A$1,0,0,COUNTA([2]quests!$A:$A),MATCH(D$1,[2]quests!$1:$1,0)-MATCH($B$1,[2]quests!$1:$1,0)+1),MATCH(D$1,[2]quests!$1:$1,0)-MATCH($B$1,[2]quests!$1:$1,0)+1,FALSE)</f>
        <v>コラボクエスト（復刻）</v>
      </c>
      <c r="E18" s="83">
        <v>4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コラボクエスト（復刻）</v>
      </c>
      <c r="H18" s="84">
        <v>4</v>
      </c>
      <c r="I18" s="89">
        <f t="shared" si="0"/>
        <v>17</v>
      </c>
      <c r="J18" s="85" t="str">
        <f t="shared" si="4"/>
        <v>3901117</v>
      </c>
      <c r="K18" s="83" t="s">
        <v>126</v>
      </c>
      <c r="L18" s="86" t="s">
        <v>197</v>
      </c>
      <c r="M18" s="106" t="s">
        <v>326</v>
      </c>
      <c r="N18" s="57" t="s">
        <v>198</v>
      </c>
    </row>
    <row r="19" spans="1:14" ht="42" x14ac:dyDescent="0.15">
      <c r="A19" s="80" t="s">
        <v>195</v>
      </c>
      <c r="B19" s="81">
        <f>floors!$C$2</f>
        <v>39011</v>
      </c>
      <c r="C19" s="82" t="str">
        <f ca="1">VLOOKUP($B19,OFFSET([2]quests!$A$1,0,0,COUNTA([2]quests!$A:$A),MATCH(C$1,[2]quests!$1:$1,0)-MATCH($B$1,[2]quests!$1:$1,0)+1),MATCH(C$1,[2]quests!$1:$1,0)-MATCH($B$1,[2]quests!$1:$1,0)+1,FALSE)</f>
        <v>ブルースクウェアを追え！</v>
      </c>
      <c r="D19" s="82" t="str">
        <f ca="1">VLOOKUP($B19,OFFSET([2]quests!$A$1,0,0,COUNTA([2]quests!$A:$A),MATCH(D$1,[2]quests!$1:$1,0)-MATCH($B$1,[2]quests!$1:$1,0)+1),MATCH(D$1,[2]quests!$1:$1,0)-MATCH($B$1,[2]quests!$1:$1,0)+1,FALSE)</f>
        <v>コラボクエスト（復刻）</v>
      </c>
      <c r="E19" s="83">
        <v>4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【超級】ブルースクウェアを追え！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コラボクエスト（復刻）</v>
      </c>
      <c r="H19" s="84">
        <v>4</v>
      </c>
      <c r="I19" s="89">
        <f t="shared" si="0"/>
        <v>18</v>
      </c>
      <c r="J19" s="85" t="str">
        <f t="shared" si="4"/>
        <v>3901118</v>
      </c>
      <c r="K19" s="83" t="s">
        <v>126</v>
      </c>
      <c r="L19" s="86" t="s">
        <v>197</v>
      </c>
      <c r="M19" s="106" t="s">
        <v>298</v>
      </c>
      <c r="N19" s="57" t="s">
        <v>198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C4" sqref="C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6" t="s">
        <v>212</v>
      </c>
      <c r="B1" s="97" t="s">
        <v>213</v>
      </c>
      <c r="C1" s="76" t="s">
        <v>214</v>
      </c>
      <c r="D1" s="76" t="s">
        <v>33</v>
      </c>
      <c r="E1" s="97" t="s">
        <v>215</v>
      </c>
      <c r="F1" s="76" t="s">
        <v>216</v>
      </c>
      <c r="G1" s="76" t="s">
        <v>33</v>
      </c>
      <c r="H1" s="97" t="s">
        <v>217</v>
      </c>
      <c r="I1" s="97" t="s">
        <v>218</v>
      </c>
      <c r="J1" s="97" t="s">
        <v>219</v>
      </c>
      <c r="K1" s="72" t="s">
        <v>220</v>
      </c>
      <c r="L1" s="72" t="s">
        <v>221</v>
      </c>
      <c r="M1" s="72" t="s">
        <v>155</v>
      </c>
      <c r="N1" s="76" t="s">
        <v>16</v>
      </c>
      <c r="O1" s="72" t="s">
        <v>222</v>
      </c>
      <c r="P1" s="72" t="s">
        <v>57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2016-12-22T07:55:43Z</dcterms:modified>
</cp:coreProperties>
</file>