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5600" yWindow="-5140" windowWidth="27320" windowHeight="16860" tabRatio="93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22" l="1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C28" i="27"/>
  <c r="C3" i="27"/>
  <c r="C7" i="27"/>
  <c r="C17" i="27"/>
  <c r="C21" i="27"/>
  <c r="C11" i="27"/>
  <c r="C25" i="27"/>
  <c r="C24" i="27"/>
  <c r="C23" i="27"/>
  <c r="C22" i="27"/>
  <c r="C19" i="27"/>
  <c r="C18" i="27"/>
  <c r="C15" i="27"/>
  <c r="C14" i="27"/>
  <c r="C13" i="27"/>
  <c r="C12" i="27"/>
  <c r="C9" i="27"/>
  <c r="C8" i="27"/>
  <c r="C5" i="27"/>
  <c r="C4" i="27"/>
  <c r="B25" i="27"/>
  <c r="B24" i="27"/>
  <c r="B23" i="27"/>
  <c r="B22" i="27"/>
  <c r="B15" i="27"/>
  <c r="B5" i="27"/>
  <c r="B4" i="27"/>
  <c r="B9" i="27"/>
  <c r="B8" i="27"/>
  <c r="B19" i="27"/>
  <c r="B18" i="27"/>
  <c r="B14" i="27"/>
  <c r="B13" i="27"/>
  <c r="B12" i="27"/>
  <c r="D21" i="27"/>
  <c r="E21" i="27"/>
  <c r="D13" i="27"/>
  <c r="D14" i="27"/>
  <c r="D22" i="27"/>
  <c r="D23" i="27"/>
  <c r="D24" i="27"/>
  <c r="D20" i="27"/>
  <c r="E20" i="27"/>
  <c r="E22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1" i="27"/>
  <c r="AR51" i="27"/>
  <c r="AP51" i="27"/>
  <c r="AQ52" i="27"/>
  <c r="AR52" i="27"/>
  <c r="AP52" i="27"/>
  <c r="AQ53" i="27"/>
  <c r="AR53" i="27"/>
  <c r="AP53" i="27"/>
  <c r="AQ54" i="27"/>
  <c r="AR54" i="27"/>
  <c r="AP54" i="27"/>
  <c r="AQ55" i="27"/>
  <c r="AR55" i="27"/>
  <c r="AP55" i="27"/>
  <c r="AQ56" i="27"/>
  <c r="AR56" i="27"/>
  <c r="AP56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D2" i="27"/>
  <c r="E2" i="27"/>
  <c r="D3" i="27"/>
  <c r="E3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6" i="27"/>
  <c r="V56" i="27"/>
  <c r="U55" i="27"/>
  <c r="V55" i="27"/>
  <c r="U54" i="27"/>
  <c r="V54" i="27"/>
  <c r="U53" i="27"/>
  <c r="V53" i="27"/>
  <c r="U52" i="27"/>
  <c r="V52" i="27"/>
  <c r="U51" i="27"/>
  <c r="V51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E5" i="27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AE51" i="27"/>
  <c r="AF51" i="27"/>
  <c r="AE52" i="27"/>
  <c r="AF52" i="27"/>
  <c r="AE53" i="27"/>
  <c r="AF53" i="27"/>
  <c r="AE54" i="27"/>
  <c r="AF54" i="27"/>
  <c r="AE55" i="27"/>
  <c r="AF55" i="27"/>
  <c r="D17" i="27"/>
  <c r="E17" i="27"/>
  <c r="AE56" i="27"/>
  <c r="AF56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D4" i="27"/>
  <c r="E4" i="27"/>
  <c r="AE3" i="27"/>
  <c r="AF3" i="27"/>
  <c r="AE4" i="27"/>
  <c r="AF4" i="27"/>
  <c r="AE5" i="27"/>
  <c r="AF5" i="27"/>
  <c r="AE6" i="27"/>
  <c r="AF6" i="27"/>
  <c r="AE7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N6" i="2"/>
  <c r="M6" i="2"/>
  <c r="L6" i="2"/>
  <c r="H6" i="2"/>
  <c r="E6" i="2"/>
  <c r="D6" i="2"/>
  <c r="H2" i="1"/>
  <c r="H4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B2" i="21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11" i="16"/>
  <c r="C12" i="16"/>
  <c r="C13" i="16"/>
  <c r="C14" i="16"/>
  <c r="C15" i="16"/>
  <c r="C16" i="16"/>
  <c r="C10" i="16"/>
  <c r="E16" i="16"/>
  <c r="V2" i="1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<sst xmlns="http://schemas.openxmlformats.org/spreadsheetml/2006/main" count="1639" uniqueCount="466">
  <si>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</si>
  <si>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</si>
  <si>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</si>
  <si>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</si>
  <si>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</si>
  <si>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</si>
  <si>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</si>
  <si>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</si>
  <si>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</si>
  <si>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</si>
  <si>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</si>
  <si>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</si>
  <si>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</si>
  <si>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</si>
  <si>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</si>
  <si>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</si>
  <si>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</si>
  <si>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</si>
  <si>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</si>
  <si>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</si>
  <si>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</si>
  <si>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</si>
  <si>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</si>
  <si>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</si>
  <si>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</si>
  <si>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</si>
  <si>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</si>
  <si>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</si>
  <si>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</si>
  <si>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</si>
  <si>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</si>
  <si>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</si>
  <si>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</si>
  <si>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</si>
  <si>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</si>
  <si>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</si>
  <si>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</si>
  <si>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</si>
  <si>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</si>
  <si>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</si>
  <si>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</si>
  <si>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</si>
  <si>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</si>
  <si>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</si>
  <si>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</si>
  <si>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</si>
  <si>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</si>
  <si>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</si>
  <si>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</si>
  <si>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</si>
  <si>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</si>
  <si>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</si>
  <si>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</si>
  <si>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</si>
  <si>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</si>
  <si>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</si>
  <si>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</si>
  <si>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</si>
  <si>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</si>
  <si>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</si>
  <si>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</si>
  <si>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</si>
  <si>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</si>
  <si>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</si>
  <si>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</si>
  <si>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</si>
  <si>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</si>
  <si>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</si>
  <si>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</si>
  <si>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</si>
  <si>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</si>
  <si>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</si>
  <si>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</si>
  <si>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</si>
  <si>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</si>
  <si>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</si>
  <si>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</si>
  <si>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</si>
  <si>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</si>
  <si>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</si>
  <si>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</si>
  <si>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</si>
  <si>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</si>
  <si>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</si>
  <si>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</si>
  <si>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</si>
  <si>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</si>
  <si>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</si>
  <si>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</si>
  <si>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</si>
  <si>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</si>
  <si>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</si>
  <si>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</si>
  <si>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</si>
  <si>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</si>
  <si>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</si>
  <si>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</si>
  <si>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</si>
  <si>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</si>
  <si>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</si>
  <si>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</si>
  <si>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</si>
  <si>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</si>
  <si>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</si>
  <si>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</si>
  <si>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</si>
  <si>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</si>
  <si>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</si>
  <si>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</si>
  <si>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</si>
  <si>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</si>
  <si>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</si>
  <si>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</si>
  <si>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</si>
  <si>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</si>
  <si>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</si>
  <si>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</si>
  <si>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</si>
  <si>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</si>
  <si>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</si>
  <si>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</si>
  <si>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</si>
  <si>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</si>
  <si>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</si>
  <si>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</si>
  <si>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</si>
  <si>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</si>
  <si>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</si>
  <si>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</si>
  <si>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</si>
  <si>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</si>
  <si>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</si>
  <si>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</si>
  <si>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</si>
  <si>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</si>
  <si>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</si>
  <si>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</si>
  <si>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</si>
  <si>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</si>
  <si>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</si>
  <si>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</si>
  <si>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</si>
  <si>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</si>
  <si>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</si>
  <si>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</si>
  <si>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</si>
  <si>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</si>
  <si>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</si>
  <si>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</si>
  <si>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</si>
  <si>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</si>
  <si>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</si>
  <si>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</si>
  <si>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</si>
  <si>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</si>
  <si>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</si>
  <si>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</si>
  <si>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</si>
  <si>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</si>
  <si>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</si>
  <si>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</si>
  <si>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</si>
  <si>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</si>
  <si>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</si>
  <si>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</si>
  <si>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</si>
  <si>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</si>
  <si>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</si>
  <si>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</si>
  <si>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</si>
  <si>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</si>
  <si>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</si>
  <si>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</si>
  <si>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</si>
  <si>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</si>
  <si>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</si>
  <si>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</si>
  <si>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</si>
  <si>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</si>
  <si>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</si>
  <si>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</si>
  <si>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</si>
  <si>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</si>
  <si>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</si>
  <si>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</si>
  <si>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</si>
  <si>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</si>
  <si>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</si>
  <si>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</si>
  <si>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</si>
  <si>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</si>
  <si>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</si>
  <si>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</si>
  <si>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</si>
  <si>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</si>
  <si>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</si>
  <si>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</si>
  <si>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</si>
  <si>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</si>
  <si>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</si>
  <si>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</si>
  <si>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</si>
  <si>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</si>
  <si>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</si>
  <si>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</si>
  <si>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</si>
  <si>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</si>
  <si>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</si>
  <si>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</si>
  <si>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</si>
  <si>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</si>
  <si>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</si>
  <si>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</si>
  <si>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</si>
  <si>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</si>
  <si>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</si>
  <si>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</si>
  <si>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</si>
  <si>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</si>
  <si>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</si>
  <si>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</si>
  <si>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</si>
  <si>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</si>
  <si>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</si>
  <si>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</si>
  <si>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</si>
  <si>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</si>
  <si>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</si>
  <si>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</si>
  <si>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</si>
  <si>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</si>
  <si>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</si>
  <si>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</si>
  <si>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</si>
  <si>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</si>
  <si>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</si>
  <si>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</si>
  <si>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</si>
  <si>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</si>
  <si>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</si>
  <si>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</si>
  <si>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</si>
  <si>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</si>
  <si>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</si>
  <si>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</si>
  <si>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</si>
  <si>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</si>
  <si>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</si>
  <si>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</si>
  <si>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</si>
  <si>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</si>
  <si>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</si>
  <si>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</si>
  <si>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</si>
  <si>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</si>
  <si>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</si>
  <si>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</si>
  <si>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</si>
  <si>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</si>
  <si>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</si>
  <si>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</si>
  <si>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</si>
  <si>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</si>
  <si>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</si>
  <si>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</si>
  <si>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</si>
  <si>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</si>
  <si>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</si>
  <si>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</si>
  <si>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</si>
  <si>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</si>
  <si>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</si>
  <si>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</si>
  <si>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</si>
  <si>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</si>
  <si>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</si>
  <si>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</si>
  <si>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</si>
  <si>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</si>
  <si>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</si>
  <si>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</si>
  <si>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</si>
  <si>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</si>
  <si>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old</t>
    <phoneticPr fontId="7"/>
  </si>
  <si>
    <t>全体攻撃</t>
    <rPh sb="0" eb="4">
      <t>ゼｎ</t>
    </rPh>
    <phoneticPr fontId="7"/>
  </si>
  <si>
    <t>[effect:fix_speed, target:myself, turn:2],[effect:rush, count:5, val:0.2]</t>
    <phoneticPr fontId="7"/>
  </si>
  <si>
    <t>[effect:fix_speed, target:myself, turn:3],[effect:rush, count:5, val:0.2]</t>
    <phoneticPr fontId="7"/>
  </si>
  <si>
    <t>[effect:fix_speed, target:myself, turn:2]</t>
    <phoneticPr fontId="7"/>
  </si>
  <si>
    <t>[effect:fix_speed, target:myself, turn:3]</t>
    <phoneticPr fontId="7"/>
  </si>
  <si>
    <t>[effect:freq_turn, target:myself, turn:-1, val:1, animation:enemy_freq_turn]</t>
    <phoneticPr fontId="7"/>
  </si>
  <si>
    <t>[effect:charge, status:attack, val:1.5]</t>
    <phoneticPr fontId="7"/>
  </si>
  <si>
    <t>[effect:enhance_enemy, target:myself, turn:5, status:attack, val:1.5, calc:mul, animation:enemy_enhance_attack]</t>
    <phoneticPr fontId="7"/>
  </si>
  <si>
    <t>[effect:spread, val:0.3]</t>
    <phoneticPr fontId="7"/>
  </si>
  <si>
    <t>[effect:rush, count:5, val:0.2]</t>
    <phoneticPr fontId="7"/>
  </si>
  <si>
    <t>[effect:enhance_enemy, target:enemy_all, turn:3, status:defense, val:10000, calc:add, animation:enemy_enhance_defense]</t>
    <phoneticPr fontId="7"/>
  </si>
  <si>
    <t>[effect:break_enchance_enemy, val:0.1, lowest_val:0, count :-1, status:attack, turn:3, block:block_red, target:myself, calc:mul, animation:enemy_enhance_attack]</t>
    <phoneticPr fontId="7"/>
  </si>
  <si>
    <t>null</t>
    <phoneticPr fontId="7"/>
  </si>
  <si>
    <t>null</t>
    <phoneticPr fontId="7"/>
  </si>
  <si>
    <t>[effect:spread, val:0.3],[effect:force_change_block, new_block:jammer, target:block_all, count:8, val:0, animation:change_block]</t>
    <phoneticPr fontId="7"/>
  </si>
  <si>
    <t>[effect:fix_speed, target:myself, turn:2],[effect:force_change_block, new_block:jammer, target:block_all, count:8, val:0, animation:change_block]</t>
    <phoneticPr fontId="7"/>
  </si>
  <si>
    <t>[effect:spread, val:0.3],[effect:force_change_block, new_block:jammer, target:block_all, count:3, val:0, animation:change_block]</t>
    <phoneticPr fontId="7"/>
  </si>
  <si>
    <t>[effect:critical, val:1.2]</t>
    <phoneticPr fontId="7"/>
  </si>
  <si>
    <t>[effect:critical, val:1.2]</t>
    <phoneticPr fontId="7"/>
  </si>
  <si>
    <t>[effect:force_change_block, new_block:jammer, target:block_all, count:10, val:0, animation:change_block]</t>
    <phoneticPr fontId="7"/>
  </si>
  <si>
    <t>[effect:force_change_block, new_block:jammer, target:block_all, count:4, val:0, animation:change_block],[effect:rush, count:5, val:0.2]</t>
    <phoneticPr fontId="7"/>
  </si>
  <si>
    <t>[effect:force_change_block, new_block:jammer, target:block_all, count:8, val:0, animation:change_block],[effect:rush, count:5, val:0.2]</t>
    <phoneticPr fontId="7"/>
  </si>
  <si>
    <t>[effect:tolerance, target:myself, turn:-1, tolerance_effect:all, count:-1, animation:enemy_tolerance]</t>
    <phoneticPr fontId="7"/>
  </si>
  <si>
    <t>状態異常耐性</t>
    <rPh sb="0" eb="4">
      <t>ｊｙ</t>
    </rPh>
    <rPh sb="4" eb="6">
      <t>タイセ</t>
    </rPh>
    <phoneticPr fontId="7"/>
  </si>
  <si>
    <t>[effect:fix_speed, target:myself, turn:3],[effect:force_change_block, new_block:jammer, target:block_all, count:8, val:0, animation:change_block]</t>
    <phoneticPr fontId="7"/>
  </si>
  <si>
    <t>[effect:tolerance, target:myself, turn:-1, tolerance_effect:all, count:-1, animation:enemy_tolerance],[effect:fix_speed, target:myself, turn:1]</t>
    <phoneticPr fontId="7"/>
  </si>
  <si>
    <t>floor1</t>
    <phoneticPr fontId="7"/>
  </si>
  <si>
    <t>y</t>
  </si>
  <si>
    <t>y</t>
    <phoneticPr fontId="7"/>
  </si>
  <si>
    <t>b</t>
    <phoneticPr fontId="7"/>
  </si>
  <si>
    <t>fllor2</t>
    <phoneticPr fontId="7"/>
  </si>
  <si>
    <t>提出設定</t>
    <phoneticPr fontId="7"/>
  </si>
  <si>
    <t>y</t>
    <phoneticPr fontId="7"/>
  </si>
  <si>
    <t>検証start</t>
    <phoneticPr fontId="7"/>
  </si>
  <si>
    <t>検証end</t>
    <phoneticPr fontId="7"/>
  </si>
  <si>
    <t>提出目標値</t>
    <phoneticPr fontId="7"/>
  </si>
  <si>
    <t>提出x</t>
    <phoneticPr fontId="7"/>
  </si>
  <si>
    <t>新目標値</t>
    <phoneticPr fontId="7"/>
  </si>
  <si>
    <t>提出param_code</t>
    <phoneticPr fontId="7"/>
  </si>
  <si>
    <t>x</t>
    <phoneticPr fontId="7"/>
  </si>
  <si>
    <t>目標確認start</t>
    <phoneticPr fontId="7"/>
  </si>
  <si>
    <t>目標確認end</t>
    <phoneticPr fontId="7"/>
  </si>
  <si>
    <t>-</t>
    <phoneticPr fontId="7"/>
  </si>
  <si>
    <t>x</t>
    <phoneticPr fontId="7"/>
  </si>
  <si>
    <t>a</t>
    <phoneticPr fontId="7"/>
  </si>
  <si>
    <t>b</t>
    <phoneticPr fontId="7"/>
  </si>
  <si>
    <t>-</t>
    <phoneticPr fontId="7"/>
  </si>
  <si>
    <t>-</t>
    <phoneticPr fontId="7"/>
  </si>
  <si>
    <t>-</t>
    <phoneticPr fontId="7"/>
  </si>
  <si>
    <t>提出目標値</t>
    <phoneticPr fontId="7"/>
  </si>
  <si>
    <t>提出a</t>
    <phoneticPr fontId="7"/>
  </si>
  <si>
    <t>提出b</t>
    <phoneticPr fontId="7"/>
  </si>
  <si>
    <t>元param_code</t>
    <rPh sb="0" eb="1">
      <t>モｔ</t>
    </rPh>
    <phoneticPr fontId="7"/>
  </si>
  <si>
    <t>[effect:tolerance, target:myself, turn:-1, tolerance_effect:all, count:-1, animation:enemy_tolerance],[effect:force_change_block, new_block:jammer, target:block_all, count:10, val:0, animation:change_block],[effect:remove_enhancement, target:unit_all, target_effect:all, target_type:buff, animation:frozen_wave]</t>
    <phoneticPr fontId="7"/>
  </si>
  <si>
    <t>a</t>
    <phoneticPr fontId="7"/>
  </si>
  <si>
    <t>[effect:break_enchance_enemy, val:0.1, lowest_val:0, count :-1, status:attack, turn:-1, block:jammer, target:myself, calc:mul, animation:enemy_enhance_attack]</t>
    <phoneticPr fontId="7"/>
  </si>
  <si>
    <t>次条係数</t>
    <rPh sb="0" eb="2">
      <t>jijyou</t>
    </rPh>
    <rPh sb="2" eb="4">
      <t>ケイス</t>
    </rPh>
    <phoneticPr fontId="7"/>
  </si>
  <si>
    <t>火炎放射</t>
    <rPh sb="0" eb="4">
      <t>カエンホウｓ</t>
    </rPh>
    <phoneticPr fontId="7"/>
  </si>
  <si>
    <t>ネズミ花火</t>
    <rPh sb="3" eb="5">
      <t>ハｎ</t>
    </rPh>
    <phoneticPr fontId="7"/>
  </si>
  <si>
    <t>炎災</t>
    <phoneticPr fontId="7"/>
  </si>
  <si>
    <t>火遊び</t>
    <rPh sb="0" eb="2">
      <t>ヒアソｂ</t>
    </rPh>
    <phoneticPr fontId="7"/>
  </si>
  <si>
    <t>受け取ってください…！</t>
    <phoneticPr fontId="7"/>
  </si>
  <si>
    <t>海の底から愛をこめて…！</t>
    <phoneticPr fontId="7"/>
  </si>
  <si>
    <t>私を怒らせないで…！</t>
    <phoneticPr fontId="7"/>
  </si>
  <si>
    <t>通っちゃ困りますぅ！</t>
    <phoneticPr fontId="7"/>
  </si>
  <si>
    <t>行く手に立ちふさがる</t>
    <rPh sb="0" eb="1">
      <t>ユｋ</t>
    </rPh>
    <rPh sb="4" eb="5">
      <t>タｔ</t>
    </rPh>
    <phoneticPr fontId="7"/>
  </si>
  <si>
    <t>まだまだ頑張れますぅ</t>
    <phoneticPr fontId="7"/>
  </si>
  <si>
    <t xml:space="preserve">まとめて増強ですぅ </t>
    <phoneticPr fontId="7"/>
  </si>
  <si>
    <t>自分自身に5ターン攻撃力UP</t>
    <rPh sb="0" eb="2">
      <t>ジブｎ</t>
    </rPh>
    <rPh sb="2" eb="4">
      <t>ジシｎ</t>
    </rPh>
    <rPh sb="9" eb="12">
      <t>コウゲｋ</t>
    </rPh>
    <phoneticPr fontId="7"/>
  </si>
  <si>
    <t>全体に3ターン防御力UP</t>
    <rPh sb="0" eb="2">
      <t>ゼｎ</t>
    </rPh>
    <rPh sb="7" eb="10">
      <t>ボウｇｙ</t>
    </rPh>
    <phoneticPr fontId="7"/>
  </si>
  <si>
    <t>次のターンに強力な攻撃</t>
    <rPh sb="0" eb="1">
      <t>ツｇ</t>
    </rPh>
    <rPh sb="6" eb="8">
      <t>キョウリョｋ</t>
    </rPh>
    <phoneticPr fontId="7"/>
  </si>
  <si>
    <t>発火に気をつけな！</t>
    <phoneticPr fontId="7"/>
  </si>
  <si>
    <t>熱いのお見舞いするぜ！</t>
    <phoneticPr fontId="7"/>
  </si>
  <si>
    <t>骨まで焼き尽くしてやる！</t>
    <rPh sb="0" eb="1">
      <t>ホｎ</t>
    </rPh>
    <rPh sb="3" eb="4">
      <t>ヤキツクｓ</t>
    </rPh>
    <phoneticPr fontId="7"/>
  </si>
  <si>
    <t>あなたは[player_ranking_grade]の挑戦者ね！</t>
    <phoneticPr fontId="7"/>
  </si>
  <si>
    <t>ここから先は予測不能よ！</t>
    <phoneticPr fontId="7"/>
  </si>
  <si>
    <t>未定増殖・マルティプライヤー</t>
    <phoneticPr fontId="7"/>
  </si>
  <si>
    <t>燃え尽きなさい！</t>
    <phoneticPr fontId="7"/>
  </si>
  <si>
    <t>サウザンドテイル</t>
    <phoneticPr fontId="7"/>
  </si>
  <si>
    <t>これがエントロピーの最大…</t>
    <phoneticPr fontId="7"/>
  </si>
  <si>
    <t>5回連続攻撃</t>
    <rPh sb="1" eb="2">
      <t>カ</t>
    </rPh>
    <rPh sb="2" eb="6">
      <t>レンゾｋ</t>
    </rPh>
    <phoneticPr fontId="7"/>
  </si>
  <si>
    <t>まだまだいくわよ！</t>
    <phoneticPr fontId="7"/>
  </si>
  <si>
    <t>ラグランジュ・ポイント</t>
    <phoneticPr fontId="7"/>
  </si>
  <si>
    <t>ラグランジュ・メテオ4</t>
    <phoneticPr fontId="7"/>
  </si>
  <si>
    <t>ラグランジュ・メテオ8</t>
    <phoneticPr fontId="7"/>
  </si>
  <si>
    <t>[effect:force_change_block, new_block:jammer, target:block_all, count:12, val:0, animation:change_block],[effect:rush, count:5, val:0.2],[effect:enhance_enemy, target:myself, turn:5, status:defense, val:10000, calc:add, animation:enemy_enhance_defense]</t>
    <phoneticPr fontId="7"/>
  </si>
  <si>
    <t>ラグランジュ・メテオ12</t>
    <phoneticPr fontId="7"/>
  </si>
  <si>
    <t>星の声が聞こえる？</t>
    <phoneticPr fontId="7"/>
  </si>
  <si>
    <t>空を観なさい…終わりよ！</t>
    <phoneticPr fontId="7"/>
  </si>
  <si>
    <t>[effect:fix_speed, target:myself, turn:1],[effect:rush, count:5, val:0.2]</t>
    <phoneticPr fontId="7"/>
  </si>
  <si>
    <t>[effect:fix_speed, target:myself, turn:1],[effect:rush, count:1, val:1]</t>
    <phoneticPr fontId="7"/>
  </si>
  <si>
    <t>[effect:fix_speed, target:myself, turn:2],[effect:rush, count:1, val:1]</t>
    <phoneticPr fontId="7"/>
  </si>
  <si>
    <t>[effect:fix_speed, target:myself, turn:3],[effect:rush, count:1, val:1]</t>
    <phoneticPr fontId="7"/>
  </si>
  <si>
    <t>お邪魔パネル8個生成</t>
    <rPh sb="7" eb="8">
      <t>コ</t>
    </rPh>
    <rPh sb="8" eb="10">
      <t>セ</t>
    </rPh>
    <phoneticPr fontId="7"/>
  </si>
  <si>
    <t>全体攻撃＋お邪魔パネル8個生成</t>
    <rPh sb="0" eb="4">
      <t>ゼｎ</t>
    </rPh>
    <rPh sb="12" eb="13">
      <t>コ</t>
    </rPh>
    <phoneticPr fontId="7"/>
  </si>
  <si>
    <t>お邪魔パネル8個生成</t>
    <rPh sb="7" eb="8">
      <t>コ</t>
    </rPh>
    <phoneticPr fontId="7"/>
  </si>
  <si>
    <t>全体攻撃＋お邪魔パネル3個生成</t>
    <rPh sb="0" eb="4">
      <t>ゼｎ</t>
    </rPh>
    <rPh sb="12" eb="13">
      <t>コ</t>
    </rPh>
    <phoneticPr fontId="7"/>
  </si>
  <si>
    <t>お邪魔パネル10個生成</t>
    <rPh sb="8" eb="9">
      <t>コ</t>
    </rPh>
    <phoneticPr fontId="7"/>
  </si>
  <si>
    <t>お邪魔パネル4個生成＋5回連続攻撃</t>
    <rPh sb="7" eb="8">
      <t>コ</t>
    </rPh>
    <rPh sb="12" eb="13">
      <t>カ</t>
    </rPh>
    <rPh sb="13" eb="17">
      <t>レｎ</t>
    </rPh>
    <phoneticPr fontId="7"/>
  </si>
  <si>
    <t>お邪魔パネル8個生成＋5回連続攻撃</t>
    <rPh sb="7" eb="8">
      <t>コ</t>
    </rPh>
    <rPh sb="12" eb="13">
      <t>カ</t>
    </rPh>
    <rPh sb="13" eb="17">
      <t>レｎ</t>
    </rPh>
    <phoneticPr fontId="7"/>
  </si>
  <si>
    <t>クリティカル！</t>
    <phoneticPr fontId="7"/>
  </si>
  <si>
    <t>クリティカル！</t>
    <phoneticPr fontId="7"/>
  </si>
  <si>
    <t>お邪魔パネル12生成＋5回連続攻撃＋5ターン防御力UP</t>
    <rPh sb="12" eb="13">
      <t>カ</t>
    </rPh>
    <rPh sb="13" eb="17">
      <t>レｎ</t>
    </rPh>
    <rPh sb="22" eb="25">
      <t>ボ</t>
    </rPh>
    <phoneticPr fontId="7"/>
  </si>
  <si>
    <t>単体攻撃</t>
    <rPh sb="0" eb="2">
      <t>タンタ</t>
    </rPh>
    <rPh sb="2" eb="4">
      <t>コウゲｋ</t>
    </rPh>
    <phoneticPr fontId="7"/>
  </si>
  <si>
    <t>赤パネル吸収して3ターン攻撃力UP</t>
    <rPh sb="0" eb="1">
      <t>アｋ</t>
    </rPh>
    <rPh sb="4" eb="6">
      <t>キュウシュ</t>
    </rPh>
    <rPh sb="12" eb="14">
      <t>コウゲｋ</t>
    </rPh>
    <rPh sb="14" eb="15">
      <t>リョｋ</t>
    </rPh>
    <phoneticPr fontId="7"/>
  </si>
  <si>
    <t>解除されるまで自分自身の攻撃頻度UP</t>
    <rPh sb="0" eb="2">
      <t>カ</t>
    </rPh>
    <rPh sb="7" eb="11">
      <t>ジブｎ</t>
    </rPh>
    <rPh sb="12" eb="14">
      <t>コウゲｋ</t>
    </rPh>
    <rPh sb="14" eb="16">
      <t>ヒンｄ</t>
    </rPh>
    <phoneticPr fontId="7"/>
  </si>
  <si>
    <t>お邪魔パネルを吸収して解除されるまで攻撃力UP</t>
    <rPh sb="7" eb="9">
      <t>9ｓｙ</t>
    </rPh>
    <rPh sb="11" eb="13">
      <t>カ</t>
    </rPh>
    <rPh sb="18" eb="21">
      <t>コウゲｋ</t>
    </rPh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</si>
  <si>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</si>
  <si>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</si>
  <si>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</si>
  <si>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</si>
  <si>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</si>
  <si>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ja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</si>
  <si>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</si>
  <si>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</si>
  <si>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</si>
  <si>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</si>
  <si>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</si>
  <si>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</si>
  <si>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</si>
  <si>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</si>
  <si>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</si>
  <si>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</si>
  <si>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</si>
  <si>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</si>
  <si>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</si>
  <si>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ランキングチケット × 1</t>
    <phoneticPr fontId="9"/>
  </si>
  <si>
    <t>ランキングクエスト報酬</t>
    <rPh sb="9" eb="11">
      <t>ホウシュウ</t>
    </rPh>
    <phoneticPr fontId="9"/>
  </si>
  <si>
    <t>チケットピース × 2</t>
    <phoneticPr fontId="9"/>
  </si>
  <si>
    <t>polygon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</si>
  <si>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</si>
  <si>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</si>
  <si>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</si>
  <si>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チケットピース × 1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</si>
  <si>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</si>
  <si>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</si>
  <si>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</si>
  <si>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チケットピース × 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</si>
  <si>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</si>
  <si>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</si>
  <si>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</si>
  <si>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</si>
  <si>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</si>
  <si>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</si>
  <si>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</si>
  <si>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</si>
  <si>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</si>
  <si>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</si>
  <si>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polygon</t>
    <phoneticPr fontId="9"/>
  </si>
  <si>
    <t>null</t>
    <phoneticPr fontId="7"/>
  </si>
  <si>
    <t>ja</t>
    <phoneticPr fontId="9"/>
  </si>
  <si>
    <t>ポリゴン×5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</si>
  <si>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</si>
  <si>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</si>
  <si>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</si>
  <si>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</si>
  <si>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</si>
  <si>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</si>
  <si>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unit</t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</si>
  <si>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</si>
  <si>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</si>
  <si>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</si>
  <si>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</si>
  <si>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ja</t>
    <phoneticPr fontId="9"/>
  </si>
  <si>
    <t>ポリゴン×3</t>
    <phoneticPr fontId="9"/>
  </si>
  <si>
    <t>link</t>
    <phoneticPr fontId="9"/>
  </si>
  <si>
    <t>2000リンク</t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</si>
  <si>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</si>
  <si>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</si>
  <si>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</si>
  <si>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</si>
  <si>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</si>
  <si>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</si>
  <si>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</si>
  <si>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polygon</t>
    <phoneticPr fontId="9"/>
  </si>
  <si>
    <t>null</t>
    <phoneticPr fontId="7"/>
  </si>
  <si>
    <t>ja</t>
    <phoneticPr fontId="9"/>
  </si>
  <si>
    <t>ポリゴン×1</t>
    <phoneticPr fontId="9"/>
  </si>
  <si>
    <t>link</t>
    <phoneticPr fontId="9"/>
  </si>
  <si>
    <t>1000リンク</t>
    <phoneticPr fontId="9"/>
  </si>
  <si>
    <t>10万ビット</t>
    <rPh sb="2" eb="3">
      <t>マン</t>
    </rPh>
    <phoneticPr fontId="9"/>
  </si>
  <si>
    <t>ラグランジュチャレンジ
順位報酬</t>
    <rPh sb="12" eb="14">
      <t>ジュンイ</t>
    </rPh>
    <rPh sb="14" eb="16">
      <t>ホウシュウ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</si>
</sst>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4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3" fillId="35" borderId="7" xfId="724" applyNumberFormat="1" applyFont="1" applyFill="1" applyBorder="1"/>
    <xf numFmtId="0" fontId="53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38" fontId="0" fillId="0" borderId="0" xfId="0" applyNumberForma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externalLink" Target="externalLinks/externalLink7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49000.0</c:v>
                </c:pt>
                <c:pt idx="50">
                  <c:v>50000.0</c:v>
                </c:pt>
                <c:pt idx="51">
                  <c:v>51000.0</c:v>
                </c:pt>
                <c:pt idx="52">
                  <c:v>52000.0</c:v>
                </c:pt>
                <c:pt idx="53">
                  <c:v>53000.0</c:v>
                </c:pt>
                <c:pt idx="54">
                  <c:v>54000.0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2450.0</c:v>
                </c:pt>
                <c:pt idx="50">
                  <c:v>2500.0</c:v>
                </c:pt>
                <c:pt idx="51">
                  <c:v>2550.0</c:v>
                </c:pt>
                <c:pt idx="52">
                  <c:v>2600.0</c:v>
                </c:pt>
                <c:pt idx="53">
                  <c:v>2650.0</c:v>
                </c:pt>
                <c:pt idx="54">
                  <c:v>2700.0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220016"/>
        <c:axId val="-2078223328"/>
      </c:scatterChart>
      <c:valAx>
        <c:axId val="-207822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8223328"/>
        <c:crosses val="autoZero"/>
        <c:crossBetween val="midCat"/>
      </c:valAx>
      <c:valAx>
        <c:axId val="-207822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822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2.58E6</c:v>
                </c:pt>
                <c:pt idx="50">
                  <c:v>2.59E6</c:v>
                </c:pt>
                <c:pt idx="51">
                  <c:v>2.6E6</c:v>
                </c:pt>
                <c:pt idx="52">
                  <c:v>2.61E6</c:v>
                </c:pt>
                <c:pt idx="53">
                  <c:v>2.62E6</c:v>
                </c:pt>
                <c:pt idx="54">
                  <c:v>2.63E6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2.1105E6</c:v>
                </c:pt>
                <c:pt idx="3">
                  <c:v>2.121E6</c:v>
                </c:pt>
                <c:pt idx="4">
                  <c:v>2.1315E6</c:v>
                </c:pt>
                <c:pt idx="5">
                  <c:v>2.142E6</c:v>
                </c:pt>
                <c:pt idx="6">
                  <c:v>2.1525E6</c:v>
                </c:pt>
                <c:pt idx="7">
                  <c:v>2.163E6</c:v>
                </c:pt>
                <c:pt idx="8">
                  <c:v>2.1735E6</c:v>
                </c:pt>
                <c:pt idx="9">
                  <c:v>2.184E6</c:v>
                </c:pt>
                <c:pt idx="10">
                  <c:v>2.1945E6</c:v>
                </c:pt>
                <c:pt idx="11">
                  <c:v>2.205E6</c:v>
                </c:pt>
                <c:pt idx="12">
                  <c:v>2.2155E6</c:v>
                </c:pt>
                <c:pt idx="13">
                  <c:v>2.226E6</c:v>
                </c:pt>
                <c:pt idx="14">
                  <c:v>2.2365E6</c:v>
                </c:pt>
                <c:pt idx="15">
                  <c:v>2.247E6</c:v>
                </c:pt>
                <c:pt idx="16">
                  <c:v>2.2575E6</c:v>
                </c:pt>
                <c:pt idx="17">
                  <c:v>2.268E6</c:v>
                </c:pt>
                <c:pt idx="18">
                  <c:v>2.2785E6</c:v>
                </c:pt>
                <c:pt idx="19">
                  <c:v>2.289E6</c:v>
                </c:pt>
                <c:pt idx="20">
                  <c:v>2.2995E6</c:v>
                </c:pt>
                <c:pt idx="21">
                  <c:v>2.31E6</c:v>
                </c:pt>
                <c:pt idx="22">
                  <c:v>2.3205E6</c:v>
                </c:pt>
                <c:pt idx="23">
                  <c:v>2.331E6</c:v>
                </c:pt>
                <c:pt idx="24">
                  <c:v>2.3415E6</c:v>
                </c:pt>
                <c:pt idx="25">
                  <c:v>2.352E6</c:v>
                </c:pt>
                <c:pt idx="26">
                  <c:v>2.3625E6</c:v>
                </c:pt>
                <c:pt idx="27">
                  <c:v>2.373E6</c:v>
                </c:pt>
                <c:pt idx="28">
                  <c:v>2.3835E6</c:v>
                </c:pt>
                <c:pt idx="29">
                  <c:v>2.394E6</c:v>
                </c:pt>
                <c:pt idx="30">
                  <c:v>2.4045E6</c:v>
                </c:pt>
                <c:pt idx="31">
                  <c:v>2.415E6</c:v>
                </c:pt>
                <c:pt idx="32">
                  <c:v>2.4255E6</c:v>
                </c:pt>
                <c:pt idx="33">
                  <c:v>2.436E6</c:v>
                </c:pt>
                <c:pt idx="34">
                  <c:v>2.4465E6</c:v>
                </c:pt>
                <c:pt idx="35">
                  <c:v>2.457E6</c:v>
                </c:pt>
                <c:pt idx="36">
                  <c:v>2.4675E6</c:v>
                </c:pt>
                <c:pt idx="37">
                  <c:v>2.478E6</c:v>
                </c:pt>
                <c:pt idx="38">
                  <c:v>2.4885E6</c:v>
                </c:pt>
                <c:pt idx="39">
                  <c:v>2.499E6</c:v>
                </c:pt>
                <c:pt idx="40">
                  <c:v>2.5095E6</c:v>
                </c:pt>
                <c:pt idx="41">
                  <c:v>2.52E6</c:v>
                </c:pt>
                <c:pt idx="42">
                  <c:v>2.5305E6</c:v>
                </c:pt>
                <c:pt idx="43">
                  <c:v>2.541E6</c:v>
                </c:pt>
                <c:pt idx="44">
                  <c:v>2.55133333333333E6</c:v>
                </c:pt>
                <c:pt idx="45">
                  <c:v>2.56166666666667E6</c:v>
                </c:pt>
                <c:pt idx="46">
                  <c:v>2.572E6</c:v>
                </c:pt>
                <c:pt idx="47">
                  <c:v>2.58233333333333E6</c:v>
                </c:pt>
                <c:pt idx="48">
                  <c:v>2.59266666666667E6</c:v>
                </c:pt>
                <c:pt idx="49">
                  <c:v>2.603E6</c:v>
                </c:pt>
                <c:pt idx="50">
                  <c:v>2.61333333333333E6</c:v>
                </c:pt>
                <c:pt idx="51">
                  <c:v>2.62366666666667E6</c:v>
                </c:pt>
                <c:pt idx="52">
                  <c:v>2.634E6</c:v>
                </c:pt>
                <c:pt idx="53">
                  <c:v>2.64433333333333E6</c:v>
                </c:pt>
                <c:pt idx="54">
                  <c:v>2.65466666666667E6</c:v>
                </c:pt>
                <c:pt idx="55">
                  <c:v>2.665E6</c:v>
                </c:pt>
                <c:pt idx="56">
                  <c:v>2.67533333333333E6</c:v>
                </c:pt>
                <c:pt idx="57">
                  <c:v>2.68566666666667E6</c:v>
                </c:pt>
                <c:pt idx="58">
                  <c:v>2.696E6</c:v>
                </c:pt>
                <c:pt idx="59">
                  <c:v>2.70633333333333E6</c:v>
                </c:pt>
                <c:pt idx="60">
                  <c:v>2.71666666666667E6</c:v>
                </c:pt>
                <c:pt idx="61">
                  <c:v>2.727E6</c:v>
                </c:pt>
                <c:pt idx="62">
                  <c:v>2.73733333333333E6</c:v>
                </c:pt>
                <c:pt idx="63">
                  <c:v>2.74766666666667E6</c:v>
                </c:pt>
                <c:pt idx="64">
                  <c:v>2.758E6</c:v>
                </c:pt>
                <c:pt idx="65">
                  <c:v>2.76833333333333E6</c:v>
                </c:pt>
                <c:pt idx="66">
                  <c:v>2.77866666666667E6</c:v>
                </c:pt>
                <c:pt idx="67">
                  <c:v>2.789E6</c:v>
                </c:pt>
                <c:pt idx="68">
                  <c:v>2.79933333333333E6</c:v>
                </c:pt>
                <c:pt idx="69">
                  <c:v>2.80966666666667E6</c:v>
                </c:pt>
                <c:pt idx="70">
                  <c:v>2.82E6</c:v>
                </c:pt>
                <c:pt idx="71">
                  <c:v>2.83033333333333E6</c:v>
                </c:pt>
                <c:pt idx="72">
                  <c:v>2.84066666666667E6</c:v>
                </c:pt>
                <c:pt idx="73">
                  <c:v>2.851E6</c:v>
                </c:pt>
                <c:pt idx="74">
                  <c:v>2.86133333333333E6</c:v>
                </c:pt>
                <c:pt idx="75">
                  <c:v>2.87166666666667E6</c:v>
                </c:pt>
                <c:pt idx="76">
                  <c:v>2.882E6</c:v>
                </c:pt>
                <c:pt idx="77">
                  <c:v>2.89233333333333E6</c:v>
                </c:pt>
                <c:pt idx="78">
                  <c:v>2.90266666666667E6</c:v>
                </c:pt>
                <c:pt idx="79">
                  <c:v>2.913E6</c:v>
                </c:pt>
                <c:pt idx="80">
                  <c:v>2.92333333333333E6</c:v>
                </c:pt>
                <c:pt idx="81">
                  <c:v>2.93366666666667E6</c:v>
                </c:pt>
                <c:pt idx="82">
                  <c:v>2.944E6</c:v>
                </c:pt>
                <c:pt idx="83">
                  <c:v>2.95433333333333E6</c:v>
                </c:pt>
                <c:pt idx="84">
                  <c:v>2.96466666666667E6</c:v>
                </c:pt>
                <c:pt idx="85">
                  <c:v>2.975E6</c:v>
                </c:pt>
                <c:pt idx="86">
                  <c:v>2.98533333333333E6</c:v>
                </c:pt>
                <c:pt idx="87">
                  <c:v>2.99566666666667E6</c:v>
                </c:pt>
                <c:pt idx="88">
                  <c:v>3.006E6</c:v>
                </c:pt>
                <c:pt idx="89">
                  <c:v>3.01633333333333E6</c:v>
                </c:pt>
                <c:pt idx="90">
                  <c:v>3.02666666666667E6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935952"/>
        <c:axId val="-2075932624"/>
      </c:scatterChart>
      <c:valAx>
        <c:axId val="-207593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5932624"/>
        <c:crosses val="autoZero"/>
        <c:crossBetween val="midCat"/>
      </c:valAx>
      <c:valAx>
        <c:axId val="-207593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593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40001</v>
          </cell>
        </row>
        <row r="153">
          <cell r="A153">
            <v>40002</v>
          </cell>
        </row>
        <row r="154">
          <cell r="A154">
            <v>40003</v>
          </cell>
        </row>
        <row r="155">
          <cell r="A155">
            <v>40004</v>
          </cell>
        </row>
        <row r="156">
          <cell r="A156">
            <v>40005</v>
          </cell>
        </row>
        <row r="157">
          <cell r="A157">
            <v>40006</v>
          </cell>
        </row>
        <row r="158">
          <cell r="A158">
            <v>40007</v>
          </cell>
        </row>
        <row r="159">
          <cell r="A159">
            <v>40008</v>
          </cell>
        </row>
        <row r="160">
          <cell r="A160">
            <v>40009</v>
          </cell>
        </row>
        <row r="161">
          <cell r="A161">
            <v>40010</v>
          </cell>
        </row>
        <row r="162">
          <cell r="A162">
            <v>40011</v>
          </cell>
        </row>
        <row r="163">
          <cell r="A163">
            <v>40012</v>
          </cell>
        </row>
        <row r="164">
          <cell r="A164">
            <v>40013</v>
          </cell>
        </row>
        <row r="165">
          <cell r="A165">
            <v>40014</v>
          </cell>
        </row>
        <row r="166">
          <cell r="A166">
            <v>40015</v>
          </cell>
        </row>
        <row r="167">
          <cell r="A167">
            <v>40016</v>
          </cell>
        </row>
        <row r="168">
          <cell r="A168">
            <v>40017</v>
          </cell>
        </row>
        <row r="169">
          <cell r="A169">
            <v>40018</v>
          </cell>
        </row>
        <row r="170">
          <cell r="A170">
            <v>40019</v>
          </cell>
        </row>
        <row r="171">
          <cell r="A171">
            <v>48001</v>
          </cell>
        </row>
        <row r="172">
          <cell r="A172">
            <v>41001</v>
          </cell>
        </row>
        <row r="173">
          <cell r="A173">
            <v>41002</v>
          </cell>
        </row>
        <row r="174">
          <cell r="A174">
            <v>41003</v>
          </cell>
        </row>
        <row r="175">
          <cell r="A175">
            <v>41004</v>
          </cell>
        </row>
        <row r="176">
          <cell r="A176">
            <v>41005</v>
          </cell>
        </row>
        <row r="177">
          <cell r="A177">
            <v>41006</v>
          </cell>
        </row>
        <row r="178">
          <cell r="A178">
            <v>41008</v>
          </cell>
        </row>
        <row r="179">
          <cell r="A179">
            <v>49001</v>
          </cell>
        </row>
        <row r="180">
          <cell r="A180">
            <v>49002</v>
          </cell>
        </row>
        <row r="181">
          <cell r="A181">
            <v>49003</v>
          </cell>
        </row>
        <row r="182">
          <cell r="A182">
            <v>49004</v>
          </cell>
        </row>
        <row r="183">
          <cell r="A183">
            <v>49005</v>
          </cell>
        </row>
        <row r="184">
          <cell r="A184">
            <v>50001</v>
          </cell>
        </row>
        <row r="185">
          <cell r="A185">
            <v>50002</v>
          </cell>
        </row>
        <row r="186">
          <cell r="A186">
            <v>50003</v>
          </cell>
        </row>
        <row r="187">
          <cell r="A187">
            <v>50004</v>
          </cell>
        </row>
        <row r="188">
          <cell r="A188">
            <v>51001</v>
          </cell>
        </row>
        <row r="189">
          <cell r="A189">
            <v>51002</v>
          </cell>
        </row>
        <row r="190">
          <cell r="A190">
            <v>60001</v>
          </cell>
        </row>
        <row r="191">
          <cell r="A191">
            <v>60002</v>
          </cell>
        </row>
        <row r="192">
          <cell r="A192">
            <v>60003</v>
          </cell>
        </row>
        <row r="193">
          <cell r="A193">
            <v>60004</v>
          </cell>
        </row>
        <row r="194">
          <cell r="A194">
            <v>60005</v>
          </cell>
        </row>
        <row r="195">
          <cell r="A195">
            <v>60006</v>
          </cell>
        </row>
        <row r="196">
          <cell r="A196">
            <v>60007</v>
          </cell>
        </row>
        <row r="197">
          <cell r="A197">
            <v>60010</v>
          </cell>
        </row>
        <row r="198">
          <cell r="A198">
            <v>65535</v>
          </cell>
        </row>
        <row r="199">
          <cell r="A199">
            <v>60021</v>
          </cell>
        </row>
        <row r="200">
          <cell r="A200">
            <v>60022</v>
          </cell>
        </row>
        <row r="201">
          <cell r="A201">
            <v>60023</v>
          </cell>
        </row>
        <row r="202">
          <cell r="A20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39005_1</v>
          </cell>
        </row>
        <row r="513">
          <cell r="A513" t="str">
            <v>39005_2</v>
          </cell>
        </row>
        <row r="514">
          <cell r="A514" t="str">
            <v>39005_3</v>
          </cell>
        </row>
        <row r="515">
          <cell r="A515" t="str">
            <v>39005_4</v>
          </cell>
        </row>
        <row r="516">
          <cell r="A516" t="str">
            <v>39005_5</v>
          </cell>
        </row>
        <row r="517">
          <cell r="A517" t="str">
            <v>40001_1</v>
          </cell>
        </row>
        <row r="518">
          <cell r="A518" t="str">
            <v>40002_1</v>
          </cell>
        </row>
        <row r="519">
          <cell r="A519" t="str">
            <v>40002_2</v>
          </cell>
        </row>
        <row r="520">
          <cell r="A520" t="str">
            <v>40002_3</v>
          </cell>
        </row>
        <row r="521">
          <cell r="A521" t="str">
            <v>40003_1</v>
          </cell>
        </row>
        <row r="522">
          <cell r="A522" t="str">
            <v>40004_1</v>
          </cell>
        </row>
        <row r="523">
          <cell r="A523" t="str">
            <v>40005_1</v>
          </cell>
        </row>
        <row r="524">
          <cell r="A524" t="str">
            <v>40006_1</v>
          </cell>
        </row>
        <row r="525">
          <cell r="A525" t="str">
            <v>40007_1</v>
          </cell>
        </row>
        <row r="526">
          <cell r="A526" t="str">
            <v>40008_1</v>
          </cell>
        </row>
        <row r="527">
          <cell r="A527" t="str">
            <v>40009_1</v>
          </cell>
        </row>
        <row r="528">
          <cell r="A528" t="str">
            <v>40010_1</v>
          </cell>
        </row>
        <row r="529">
          <cell r="A529" t="str">
            <v>40011_1</v>
          </cell>
        </row>
        <row r="530">
          <cell r="A530" t="str">
            <v>40012_1</v>
          </cell>
        </row>
        <row r="531">
          <cell r="A531" t="str">
            <v>40013_1</v>
          </cell>
        </row>
        <row r="532">
          <cell r="A532" t="str">
            <v>40014_1</v>
          </cell>
        </row>
        <row r="533">
          <cell r="A533" t="str">
            <v>40015_1</v>
          </cell>
        </row>
        <row r="534">
          <cell r="A534" t="str">
            <v>40016_1</v>
          </cell>
        </row>
        <row r="535">
          <cell r="A535" t="str">
            <v>40016_2</v>
          </cell>
        </row>
        <row r="536">
          <cell r="A536" t="str">
            <v>40017_1</v>
          </cell>
        </row>
        <row r="537">
          <cell r="A537" t="str">
            <v>40017_2</v>
          </cell>
        </row>
        <row r="538">
          <cell r="A538" t="str">
            <v>40017_3</v>
          </cell>
        </row>
        <row r="539">
          <cell r="A539" t="str">
            <v>40018_1</v>
          </cell>
        </row>
        <row r="540">
          <cell r="A540" t="str">
            <v>40018_2</v>
          </cell>
        </row>
        <row r="541">
          <cell r="A541" t="str">
            <v>40018_3</v>
          </cell>
        </row>
        <row r="542">
          <cell r="A542" t="str">
            <v>40019_1</v>
          </cell>
        </row>
        <row r="543">
          <cell r="A543" t="str">
            <v>40019_2</v>
          </cell>
        </row>
        <row r="544">
          <cell r="A544" t="str">
            <v>40019_3</v>
          </cell>
        </row>
        <row r="545">
          <cell r="A545" t="str">
            <v>48001_1</v>
          </cell>
        </row>
        <row r="546">
          <cell r="A546" t="str">
            <v>41001_1</v>
          </cell>
        </row>
        <row r="547">
          <cell r="A547" t="str">
            <v>41001_2</v>
          </cell>
        </row>
        <row r="548">
          <cell r="A548" t="str">
            <v>41001_3</v>
          </cell>
        </row>
        <row r="549">
          <cell r="A549" t="str">
            <v>41002_1</v>
          </cell>
        </row>
        <row r="550">
          <cell r="A550" t="str">
            <v>41002_2</v>
          </cell>
        </row>
        <row r="551">
          <cell r="A551" t="str">
            <v>41002_3</v>
          </cell>
        </row>
        <row r="552">
          <cell r="A552" t="str">
            <v>41003_1</v>
          </cell>
        </row>
        <row r="553">
          <cell r="A553" t="str">
            <v>41003_2</v>
          </cell>
        </row>
        <row r="554">
          <cell r="A554" t="str">
            <v>41003_3</v>
          </cell>
        </row>
        <row r="555">
          <cell r="A555" t="str">
            <v>41004_1</v>
          </cell>
        </row>
        <row r="556">
          <cell r="A556" t="str">
            <v>41004_2</v>
          </cell>
        </row>
        <row r="557">
          <cell r="A557" t="str">
            <v>41004_3</v>
          </cell>
        </row>
        <row r="558">
          <cell r="A558" t="str">
            <v>41005_1</v>
          </cell>
        </row>
        <row r="559">
          <cell r="A559" t="str">
            <v>41005_2</v>
          </cell>
        </row>
        <row r="560">
          <cell r="A560" t="str">
            <v>41005_3</v>
          </cell>
        </row>
        <row r="561">
          <cell r="A561" t="str">
            <v>41006_1</v>
          </cell>
        </row>
        <row r="562">
          <cell r="A562" t="str">
            <v>41006_2</v>
          </cell>
        </row>
        <row r="563">
          <cell r="A563" t="str">
            <v>41006_3</v>
          </cell>
        </row>
        <row r="564">
          <cell r="A564" t="str">
            <v>41008_1</v>
          </cell>
        </row>
        <row r="565">
          <cell r="A565" t="str">
            <v>41008_2</v>
          </cell>
        </row>
        <row r="566">
          <cell r="A566" t="str">
            <v>41008_3</v>
          </cell>
        </row>
        <row r="567">
          <cell r="A567" t="str">
            <v>49001_1</v>
          </cell>
        </row>
        <row r="568">
          <cell r="A568" t="str">
            <v>49002_1</v>
          </cell>
        </row>
        <row r="569">
          <cell r="A569" t="str">
            <v>49002_2</v>
          </cell>
        </row>
        <row r="570">
          <cell r="A570" t="str">
            <v>49003_1</v>
          </cell>
        </row>
        <row r="571">
          <cell r="A571" t="str">
            <v>49003_2</v>
          </cell>
        </row>
        <row r="572">
          <cell r="A572" t="str">
            <v>49004_1</v>
          </cell>
        </row>
        <row r="573">
          <cell r="A573" t="str">
            <v>49004_2</v>
          </cell>
        </row>
        <row r="574">
          <cell r="A574" t="str">
            <v>49004_3</v>
          </cell>
        </row>
        <row r="575">
          <cell r="A575" t="str">
            <v>49005_1</v>
          </cell>
        </row>
        <row r="576">
          <cell r="A576" t="str">
            <v>50001_1</v>
          </cell>
        </row>
        <row r="577">
          <cell r="A577" t="str">
            <v>50002_1</v>
          </cell>
        </row>
        <row r="578">
          <cell r="A578" t="str">
            <v>50003_1</v>
          </cell>
        </row>
        <row r="579">
          <cell r="A579" t="str">
            <v>50004_1</v>
          </cell>
        </row>
        <row r="580">
          <cell r="A580" t="str">
            <v>51001_1</v>
          </cell>
        </row>
        <row r="581">
          <cell r="A581" t="str">
            <v>51002_1</v>
          </cell>
        </row>
        <row r="582">
          <cell r="A582" t="str">
            <v>60001_1</v>
          </cell>
        </row>
        <row r="583">
          <cell r="A583" t="str">
            <v>60002_1</v>
          </cell>
        </row>
        <row r="584">
          <cell r="A584" t="str">
            <v>60002_2</v>
          </cell>
        </row>
        <row r="585">
          <cell r="A585" t="str">
            <v>60003_1</v>
          </cell>
        </row>
        <row r="586">
          <cell r="A586" t="str">
            <v>60003_2</v>
          </cell>
        </row>
        <row r="587">
          <cell r="A587" t="str">
            <v>60003_3</v>
          </cell>
        </row>
        <row r="588">
          <cell r="A588" t="str">
            <v>60004_1</v>
          </cell>
        </row>
        <row r="589">
          <cell r="A589" t="str">
            <v>60005_1</v>
          </cell>
        </row>
        <row r="590">
          <cell r="A590" t="str">
            <v>60006_1</v>
          </cell>
        </row>
        <row r="591">
          <cell r="A591" t="str">
            <v>60006_2</v>
          </cell>
        </row>
        <row r="592">
          <cell r="A592" t="str">
            <v>60006_3</v>
          </cell>
        </row>
        <row r="593">
          <cell r="A593" t="str">
            <v>60007_1</v>
          </cell>
        </row>
        <row r="594">
          <cell r="A594" t="str">
            <v>60007_2</v>
          </cell>
        </row>
        <row r="595">
          <cell r="A595" t="str">
            <v>60007_3</v>
          </cell>
        </row>
        <row r="596">
          <cell r="A596" t="str">
            <v>60010_1</v>
          </cell>
        </row>
        <row r="597">
          <cell r="A597" t="str">
            <v>65535_1</v>
          </cell>
        </row>
        <row r="598">
          <cell r="A598" t="str">
            <v>65535_2</v>
          </cell>
        </row>
        <row r="599">
          <cell r="A599" t="str">
            <v>65535_3</v>
          </cell>
        </row>
        <row r="600">
          <cell r="A600" t="str">
            <v>65535_4</v>
          </cell>
        </row>
        <row r="601">
          <cell r="A601" t="str">
            <v>65535_5</v>
          </cell>
        </row>
        <row r="602">
          <cell r="A602" t="str">
            <v>65535_6</v>
          </cell>
        </row>
        <row r="603">
          <cell r="A603" t="str">
            <v>65535_7</v>
          </cell>
        </row>
        <row r="604">
          <cell r="A604" t="str">
            <v>65535_8</v>
          </cell>
        </row>
        <row r="605">
          <cell r="A605" t="str">
            <v>60021_3</v>
          </cell>
        </row>
        <row r="606">
          <cell r="A606" t="str">
            <v>60022_3</v>
          </cell>
        </row>
        <row r="607">
          <cell r="A607" t="str">
            <v>60023_3</v>
          </cell>
        </row>
        <row r="608">
          <cell r="A60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6001</v>
          </cell>
        </row>
        <row r="978">
          <cell r="A978">
            <v>6002</v>
          </cell>
        </row>
        <row r="979">
          <cell r="A979">
            <v>6003</v>
          </cell>
        </row>
        <row r="980">
          <cell r="A980">
            <v>6004</v>
          </cell>
        </row>
        <row r="981">
          <cell r="A981">
            <v>6005</v>
          </cell>
        </row>
        <row r="982">
          <cell r="A982">
            <v>6006</v>
          </cell>
        </row>
        <row r="983">
          <cell r="A983">
            <v>6007</v>
          </cell>
        </row>
        <row r="984">
          <cell r="A984">
            <v>6008</v>
          </cell>
        </row>
        <row r="985">
          <cell r="A985">
            <v>6009</v>
          </cell>
        </row>
        <row r="986">
          <cell r="A986">
            <v>6010</v>
          </cell>
        </row>
        <row r="987">
          <cell r="A987">
            <v>976</v>
          </cell>
        </row>
        <row r="988">
          <cell r="A988">
            <v>8001</v>
          </cell>
        </row>
        <row r="989">
          <cell r="A989">
            <v>8002</v>
          </cell>
        </row>
        <row r="990">
          <cell r="A990">
            <v>8003</v>
          </cell>
        </row>
        <row r="991">
          <cell r="A991">
            <v>8004</v>
          </cell>
        </row>
        <row r="992">
          <cell r="A992">
            <v>8005</v>
          </cell>
        </row>
        <row r="993">
          <cell r="A993">
            <v>8006</v>
          </cell>
        </row>
        <row r="994">
          <cell r="A994">
            <v>8007</v>
          </cell>
        </row>
        <row r="995">
          <cell r="A995">
            <v>8008</v>
          </cell>
        </row>
        <row r="996">
          <cell r="A996">
            <v>8009</v>
          </cell>
        </row>
        <row r="997">
          <cell r="A997">
            <v>8010</v>
          </cell>
        </row>
        <row r="998">
          <cell r="A998">
            <v>8011</v>
          </cell>
        </row>
        <row r="999">
          <cell r="A999">
            <v>8012</v>
          </cell>
        </row>
        <row r="1000">
          <cell r="A1000">
            <v>8013</v>
          </cell>
        </row>
        <row r="1001">
          <cell r="A1001">
            <v>8014</v>
          </cell>
        </row>
        <row r="1002">
          <cell r="A1002">
            <v>8015</v>
          </cell>
        </row>
        <row r="1003">
          <cell r="A1003">
            <v>8016</v>
          </cell>
        </row>
        <row r="1004">
          <cell r="A1004">
            <v>8017</v>
          </cell>
        </row>
        <row r="1005">
          <cell r="A1005">
            <v>8018</v>
          </cell>
        </row>
        <row r="1006">
          <cell r="A1006">
            <v>8019</v>
          </cell>
        </row>
        <row r="1007">
          <cell r="A1007">
            <v>8020</v>
          </cell>
        </row>
        <row r="1008">
          <cell r="A1008">
            <v>8021</v>
          </cell>
        </row>
        <row r="1009">
          <cell r="A1009">
            <v>8022</v>
          </cell>
        </row>
        <row r="1010">
          <cell r="A1010">
            <v>8023</v>
          </cell>
        </row>
        <row r="1011">
          <cell r="A1011">
            <v>8024</v>
          </cell>
        </row>
        <row r="1012">
          <cell r="A1012">
            <v>8025</v>
          </cell>
        </row>
        <row r="1013">
          <cell r="A1013">
            <v>8026</v>
          </cell>
        </row>
        <row r="1014">
          <cell r="A1014">
            <v>8027</v>
          </cell>
        </row>
        <row r="1015">
          <cell r="A1015">
            <v>8028</v>
          </cell>
        </row>
        <row r="1016">
          <cell r="A1016">
            <v>8029</v>
          </cell>
        </row>
        <row r="1017">
          <cell r="A1017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F27" sqref="F2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283</v>
      </c>
      <c r="B2" s="56" t="s">
        <v>107</v>
      </c>
      <c r="C2" s="61">
        <v>60010</v>
      </c>
      <c r="D2" s="56" t="s">
        <v>108</v>
      </c>
      <c r="E2" s="55" t="str">
        <f>B2&amp;C2&amp;D2</f>
        <v>floors_60010.tmp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283</v>
      </c>
      <c r="B3" s="109" t="s">
        <v>251</v>
      </c>
      <c r="C3" s="61">
        <v>60010</v>
      </c>
      <c r="D3" s="56" t="s">
        <v>108</v>
      </c>
      <c r="E3" s="55" t="str">
        <f>B3&amp;C3&amp;D3</f>
        <v>ranking_floors_60010.tmp</v>
      </c>
      <c r="F3" s="56" t="s">
        <v>109</v>
      </c>
      <c r="G3" s="57" t="s">
        <v>0</v>
      </c>
      <c r="H3" s="57" t="s">
        <v>1</v>
      </c>
      <c r="I3" s="57" t="s">
        <v>13</v>
      </c>
      <c r="J3" s="99" t="s">
        <v>224</v>
      </c>
      <c r="K3" s="99" t="s">
        <v>225</v>
      </c>
      <c r="L3" s="99" t="s">
        <v>226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283</v>
      </c>
      <c r="B4" s="109" t="s">
        <v>252</v>
      </c>
      <c r="C4" s="61">
        <v>60010</v>
      </c>
      <c r="D4" s="56" t="s">
        <v>108</v>
      </c>
      <c r="E4" s="55" t="str">
        <f>B4&amp;C4&amp;D4</f>
        <v>ranking_stages_60010.tmp</v>
      </c>
      <c r="F4" s="56" t="s">
        <v>254</v>
      </c>
      <c r="G4" s="57" t="s">
        <v>0</v>
      </c>
      <c r="H4" s="57" t="s">
        <v>1</v>
      </c>
      <c r="I4" s="36" t="s">
        <v>253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283</v>
      </c>
      <c r="B5" s="109" t="s">
        <v>259</v>
      </c>
      <c r="C5" s="61">
        <v>60010</v>
      </c>
      <c r="D5" s="56" t="s">
        <v>108</v>
      </c>
      <c r="E5" s="55" t="str">
        <f t="shared" ref="E5:E7" si="0">B5&amp;C5&amp;D5</f>
        <v>clear_turn_60010.tmp</v>
      </c>
      <c r="F5" s="56" t="s">
        <v>263</v>
      </c>
      <c r="G5" s="57" t="s">
        <v>255</v>
      </c>
      <c r="H5" s="57" t="s">
        <v>256</v>
      </c>
      <c r="I5" s="57" t="s">
        <v>257</v>
      </c>
      <c r="J5" s="57" t="s">
        <v>258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283</v>
      </c>
      <c r="B6" s="109" t="s">
        <v>260</v>
      </c>
      <c r="C6" s="61">
        <v>60010</v>
      </c>
      <c r="D6" s="56" t="s">
        <v>108</v>
      </c>
      <c r="E6" s="55" t="str">
        <f t="shared" si="0"/>
        <v>damage_give_60010.tmp</v>
      </c>
      <c r="F6" s="56" t="s">
        <v>264</v>
      </c>
      <c r="G6" s="57" t="s">
        <v>255</v>
      </c>
      <c r="H6" s="57" t="s">
        <v>256</v>
      </c>
      <c r="I6" s="57" t="s">
        <v>257</v>
      </c>
      <c r="J6" s="57" t="s">
        <v>258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283</v>
      </c>
      <c r="B7" s="109" t="s">
        <v>262</v>
      </c>
      <c r="C7" s="61">
        <v>60010</v>
      </c>
      <c r="D7" s="56" t="s">
        <v>108</v>
      </c>
      <c r="E7" s="55" t="str">
        <f t="shared" si="0"/>
        <v>damage_receive_60010.tmp</v>
      </c>
      <c r="F7" s="56" t="s">
        <v>261</v>
      </c>
      <c r="G7" s="57" t="s">
        <v>255</v>
      </c>
      <c r="H7" s="57" t="s">
        <v>256</v>
      </c>
      <c r="I7" s="57" t="s">
        <v>257</v>
      </c>
      <c r="J7" s="57" t="s">
        <v>258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283</v>
      </c>
      <c r="B8" s="109" t="s">
        <v>272</v>
      </c>
      <c r="C8" s="61">
        <v>60010</v>
      </c>
      <c r="D8" s="56" t="s">
        <v>108</v>
      </c>
      <c r="E8" s="55" t="str">
        <f t="shared" ref="E8:E9" si="1">B8&amp;C8&amp;D8</f>
        <v>ranking_eval_data_60010.tmp</v>
      </c>
      <c r="F8" s="56" t="s">
        <v>274</v>
      </c>
      <c r="G8" s="57" t="s">
        <v>265</v>
      </c>
      <c r="H8" s="57" t="s">
        <v>266</v>
      </c>
      <c r="I8" s="57" t="s">
        <v>267</v>
      </c>
      <c r="J8" s="57" t="s">
        <v>268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283</v>
      </c>
      <c r="B9" s="109" t="s">
        <v>273</v>
      </c>
      <c r="C9" s="61">
        <v>60010</v>
      </c>
      <c r="D9" s="56" t="s">
        <v>108</v>
      </c>
      <c r="E9" s="55" t="str">
        <f t="shared" si="1"/>
        <v>ranking_eval_i18n_60010.tmp</v>
      </c>
      <c r="F9" s="56" t="s">
        <v>274</v>
      </c>
      <c r="G9" s="57" t="s">
        <v>265</v>
      </c>
      <c r="H9" s="108" t="s">
        <v>269</v>
      </c>
      <c r="I9" s="108" t="s">
        <v>270</v>
      </c>
      <c r="J9" s="108" t="s">
        <v>271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283</v>
      </c>
      <c r="B10" s="56" t="s">
        <v>110</v>
      </c>
      <c r="C10" s="61">
        <f>C$2</f>
        <v>60010</v>
      </c>
      <c r="D10" s="56" t="s">
        <v>108</v>
      </c>
      <c r="E10" s="55" t="str">
        <f>B10&amp;C10&amp;D10</f>
        <v>enemy_habitats_60010.tmp</v>
      </c>
      <c r="F10" s="56" t="s">
        <v>111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180</v>
      </c>
    </row>
    <row r="11" spans="1:30" x14ac:dyDescent="0.15">
      <c r="A11" s="60" t="s">
        <v>283</v>
      </c>
      <c r="B11" s="56" t="s">
        <v>112</v>
      </c>
      <c r="C11" s="61">
        <f t="shared" ref="C11:C23" si="2">C$2</f>
        <v>60010</v>
      </c>
      <c r="D11" s="56" t="s">
        <v>108</v>
      </c>
      <c r="E11" s="55" t="str">
        <f>B11&amp;C11&amp;D11</f>
        <v>enemy_habitat_S_60010.tmp</v>
      </c>
      <c r="F11" s="56" t="s">
        <v>113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283</v>
      </c>
      <c r="B12" s="56" t="s">
        <v>114</v>
      </c>
      <c r="C12" s="61">
        <f t="shared" si="2"/>
        <v>60010</v>
      </c>
      <c r="D12" s="56" t="s">
        <v>108</v>
      </c>
      <c r="E12" s="55" t="str">
        <f>B12&amp;C12&amp;D12</f>
        <v>enemy_skill_sets_60010.tmp</v>
      </c>
      <c r="F12" s="56" t="s">
        <v>115</v>
      </c>
      <c r="G12" s="58" t="s">
        <v>22</v>
      </c>
      <c r="H12" s="58" t="s">
        <v>100</v>
      </c>
      <c r="I12" s="58" t="s">
        <v>95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283</v>
      </c>
      <c r="B13" s="56" t="s">
        <v>116</v>
      </c>
      <c r="C13" s="61">
        <f t="shared" si="2"/>
        <v>60010</v>
      </c>
      <c r="D13" s="56" t="s">
        <v>117</v>
      </c>
      <c r="E13" s="55" t="str">
        <f t="shared" ref="E13:E17" si="3">B13&amp;C13&amp;D13</f>
        <v>enemy_skills_tmp_60010.tmp</v>
      </c>
      <c r="F13" s="56" t="s">
        <v>91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283</v>
      </c>
      <c r="B14" s="56" t="s">
        <v>118</v>
      </c>
      <c r="C14" s="61">
        <f t="shared" si="2"/>
        <v>60010</v>
      </c>
      <c r="D14" s="56" t="s">
        <v>108</v>
      </c>
      <c r="E14" s="55" t="str">
        <f>B14&amp;C14&amp;D14</f>
        <v>enemy_skills_i18n_60010.tmp</v>
      </c>
      <c r="F14" s="56" t="s">
        <v>119</v>
      </c>
      <c r="G14" s="57" t="s">
        <v>79</v>
      </c>
      <c r="H14" s="57" t="s">
        <v>92</v>
      </c>
      <c r="I14" s="57" t="s">
        <v>93</v>
      </c>
      <c r="J14" s="57" t="s">
        <v>94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283</v>
      </c>
      <c r="B15" s="56" t="s">
        <v>120</v>
      </c>
      <c r="C15" s="61">
        <f t="shared" si="2"/>
        <v>60010</v>
      </c>
      <c r="D15" s="56" t="s">
        <v>121</v>
      </c>
      <c r="E15" s="55" t="str">
        <f t="shared" si="3"/>
        <v>enemy_skill_triggers_60010.tmp</v>
      </c>
      <c r="F15" s="56" t="s">
        <v>122</v>
      </c>
      <c r="G15" s="57" t="s">
        <v>95</v>
      </c>
      <c r="H15" s="57" t="s">
        <v>96</v>
      </c>
      <c r="I15" s="57" t="s">
        <v>97</v>
      </c>
      <c r="J15" s="57" t="s">
        <v>98</v>
      </c>
      <c r="K15" s="57" t="s">
        <v>123</v>
      </c>
      <c r="L15" s="57" t="s">
        <v>99</v>
      </c>
      <c r="M15" s="57" t="s">
        <v>124</v>
      </c>
      <c r="N15" s="57" t="s">
        <v>125</v>
      </c>
      <c r="O15" s="57" t="s">
        <v>126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60" t="s">
        <v>189</v>
      </c>
      <c r="B16" s="66" t="s">
        <v>179</v>
      </c>
      <c r="C16" s="61">
        <f t="shared" si="2"/>
        <v>60010</v>
      </c>
      <c r="D16" s="66" t="s">
        <v>173</v>
      </c>
      <c r="E16" s="67" t="str">
        <f t="shared" si="3"/>
        <v>stage_bug_bonuses_60010.tmp</v>
      </c>
      <c r="F16" s="66" t="s">
        <v>174</v>
      </c>
      <c r="G16" s="63" t="s">
        <v>151</v>
      </c>
      <c r="H16" s="63" t="s">
        <v>175</v>
      </c>
      <c r="I16" s="63" t="s">
        <v>176</v>
      </c>
      <c r="J16" s="65" t="s">
        <v>177</v>
      </c>
      <c r="K16" s="63" t="s">
        <v>178</v>
      </c>
      <c r="L16" s="63" t="s">
        <v>157</v>
      </c>
      <c r="M16" s="63" t="s">
        <v>158</v>
      </c>
      <c r="N16" s="63" t="s">
        <v>159</v>
      </c>
      <c r="O16" s="63" t="s">
        <v>160</v>
      </c>
      <c r="P16" s="63" t="s">
        <v>161</v>
      </c>
      <c r="Q16" s="63" t="s">
        <v>162</v>
      </c>
      <c r="R16" s="63" t="s">
        <v>163</v>
      </c>
      <c r="S16" s="63" t="s">
        <v>164</v>
      </c>
      <c r="T16" s="63" t="s">
        <v>165</v>
      </c>
      <c r="U16" s="63" t="s">
        <v>166</v>
      </c>
      <c r="V16" s="63" t="s">
        <v>167</v>
      </c>
      <c r="W16" s="63" t="s">
        <v>168</v>
      </c>
    </row>
    <row r="17" spans="1:21" s="75" customFormat="1" x14ac:dyDescent="0.15">
      <c r="A17" s="60" t="s">
        <v>189</v>
      </c>
      <c r="B17" s="66" t="s">
        <v>205</v>
      </c>
      <c r="C17" s="61">
        <f>C$2</f>
        <v>60010</v>
      </c>
      <c r="D17" s="66" t="s">
        <v>182</v>
      </c>
      <c r="E17" s="67" t="str">
        <f t="shared" si="3"/>
        <v>stage_hints_data_c_60010.tmp</v>
      </c>
      <c r="F17" s="66" t="s">
        <v>214</v>
      </c>
      <c r="G17" s="72" t="s">
        <v>183</v>
      </c>
      <c r="H17" s="72" t="s">
        <v>175</v>
      </c>
      <c r="I17" s="73" t="s">
        <v>184</v>
      </c>
      <c r="J17" s="65" t="s">
        <v>185</v>
      </c>
      <c r="K17" s="74" t="s">
        <v>186</v>
      </c>
    </row>
    <row r="18" spans="1:21" s="75" customFormat="1" x14ac:dyDescent="0.15">
      <c r="A18" s="60" t="s">
        <v>189</v>
      </c>
      <c r="B18" s="66" t="s">
        <v>206</v>
      </c>
      <c r="C18" s="61">
        <f t="shared" si="2"/>
        <v>60010</v>
      </c>
      <c r="D18" s="66" t="s">
        <v>173</v>
      </c>
      <c r="E18" s="67" t="str">
        <f t="shared" ref="E18:E19" si="4">B18&amp;C18&amp;D18</f>
        <v>stage_hints_data_f_60010.tmp</v>
      </c>
      <c r="F18" s="66" t="s">
        <v>216</v>
      </c>
      <c r="G18" s="72" t="s">
        <v>183</v>
      </c>
      <c r="H18" s="72" t="s">
        <v>175</v>
      </c>
      <c r="I18" s="73" t="s">
        <v>184</v>
      </c>
      <c r="J18" s="65" t="s">
        <v>185</v>
      </c>
      <c r="K18" s="74" t="s">
        <v>186</v>
      </c>
    </row>
    <row r="19" spans="1:21" s="75" customFormat="1" x14ac:dyDescent="0.15">
      <c r="A19" s="66" t="s">
        <v>207</v>
      </c>
      <c r="B19" s="66" t="s">
        <v>208</v>
      </c>
      <c r="C19" s="61">
        <f t="shared" si="2"/>
        <v>60010</v>
      </c>
      <c r="D19" s="66" t="s">
        <v>173</v>
      </c>
      <c r="E19" s="67" t="str">
        <f t="shared" si="4"/>
        <v>stage_hints_i18n_60010.tmp</v>
      </c>
      <c r="F19" s="66" t="s">
        <v>217</v>
      </c>
      <c r="G19" s="73" t="s">
        <v>209</v>
      </c>
      <c r="H19" s="96" t="s">
        <v>210</v>
      </c>
      <c r="I19" s="72" t="s">
        <v>211</v>
      </c>
      <c r="J19" s="97" t="s">
        <v>212</v>
      </c>
      <c r="K19" s="74" t="s">
        <v>213</v>
      </c>
    </row>
    <row r="20" spans="1:21" x14ac:dyDescent="0.15">
      <c r="A20" s="66" t="s">
        <v>207</v>
      </c>
      <c r="B20" s="66" t="s">
        <v>208</v>
      </c>
      <c r="C20" s="61">
        <f t="shared" si="2"/>
        <v>60010</v>
      </c>
      <c r="D20" s="66" t="s">
        <v>173</v>
      </c>
      <c r="E20" s="67" t="str">
        <f t="shared" ref="E20:E21" si="5">B20&amp;C20&amp;D20</f>
        <v>stage_hints_i18n_60010.tmp</v>
      </c>
      <c r="F20" s="66" t="s">
        <v>217</v>
      </c>
      <c r="G20" s="73" t="s">
        <v>209</v>
      </c>
      <c r="H20" s="96" t="s">
        <v>210</v>
      </c>
      <c r="I20" s="72" t="s">
        <v>211</v>
      </c>
      <c r="J20" s="97" t="s">
        <v>212</v>
      </c>
      <c r="K20" s="74" t="s">
        <v>213</v>
      </c>
    </row>
    <row r="21" spans="1:21" x14ac:dyDescent="0.15">
      <c r="A21" s="60" t="s">
        <v>283</v>
      </c>
      <c r="B21" s="110" t="s">
        <v>240</v>
      </c>
      <c r="C21" s="61">
        <f t="shared" si="2"/>
        <v>60010</v>
      </c>
      <c r="D21" s="66" t="s">
        <v>173</v>
      </c>
      <c r="E21" s="67" t="str">
        <f t="shared" si="5"/>
        <v>ranking_ACH_60010.tmp</v>
      </c>
      <c r="F21" s="66" t="s">
        <v>241</v>
      </c>
      <c r="G21" s="73" t="s">
        <v>242</v>
      </c>
      <c r="H21" s="96" t="s">
        <v>243</v>
      </c>
      <c r="I21" s="72" t="s">
        <v>244</v>
      </c>
      <c r="J21" s="74" t="s">
        <v>245</v>
      </c>
      <c r="K21" s="74"/>
    </row>
    <row r="22" spans="1:21" x14ac:dyDescent="0.15">
      <c r="A22" s="60" t="s">
        <v>283</v>
      </c>
      <c r="B22" s="111" t="s">
        <v>246</v>
      </c>
      <c r="C22" s="61">
        <f t="shared" si="2"/>
        <v>60010</v>
      </c>
      <c r="D22" s="104" t="s">
        <v>117</v>
      </c>
      <c r="E22" s="105" t="str">
        <f>B22&amp;C22&amp;D22</f>
        <v>gifts_tmp_60010.tmp</v>
      </c>
      <c r="F22" s="66" t="s">
        <v>241</v>
      </c>
      <c r="G22" s="106" t="s">
        <v>247</v>
      </c>
      <c r="H22" s="106" t="s">
        <v>230</v>
      </c>
      <c r="I22" s="106" t="s">
        <v>231</v>
      </c>
      <c r="J22" s="106" t="s">
        <v>231</v>
      </c>
      <c r="K22" s="106" t="s">
        <v>231</v>
      </c>
      <c r="L22" s="106" t="s">
        <v>232</v>
      </c>
      <c r="M22" s="106" t="s">
        <v>232</v>
      </c>
      <c r="N22" s="106" t="s">
        <v>232</v>
      </c>
      <c r="O22" s="112" t="s">
        <v>41</v>
      </c>
      <c r="P22" s="112" t="s">
        <v>45</v>
      </c>
      <c r="Q22" s="112" t="s">
        <v>39</v>
      </c>
      <c r="R22" s="112" t="s">
        <v>280</v>
      </c>
      <c r="S22" s="112" t="s">
        <v>43</v>
      </c>
      <c r="T22" s="112" t="s">
        <v>3</v>
      </c>
      <c r="U22" s="112" t="s">
        <v>37</v>
      </c>
    </row>
    <row r="23" spans="1:21" x14ac:dyDescent="0.15">
      <c r="A23" s="60" t="s">
        <v>283</v>
      </c>
      <c r="B23" s="111" t="s">
        <v>248</v>
      </c>
      <c r="C23" s="61">
        <f t="shared" si="2"/>
        <v>60010</v>
      </c>
      <c r="D23" s="104" t="s">
        <v>117</v>
      </c>
      <c r="E23" s="105" t="str">
        <f>B23&amp;C23&amp;D23</f>
        <v>gifts_i18n_60010.tmp</v>
      </c>
      <c r="F23" s="66" t="s">
        <v>241</v>
      </c>
      <c r="G23" s="106" t="s">
        <v>247</v>
      </c>
      <c r="H23" s="106" t="s">
        <v>233</v>
      </c>
      <c r="I23" s="106" t="s">
        <v>249</v>
      </c>
      <c r="J23" s="106" t="s">
        <v>250</v>
      </c>
      <c r="K23" s="106" t="s">
        <v>236</v>
      </c>
      <c r="L23" s="106"/>
      <c r="M23" s="106"/>
      <c r="N23" s="106"/>
      <c r="O23" s="104"/>
    </row>
  </sheetData>
  <phoneticPr fontId="7"/>
  <dataValidations count="1">
    <dataValidation type="list" allowBlank="1" showInputMessage="1" showErrorMessage="1" sqref="A2:A18 A21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L3" sqref="L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9" t="s">
        <v>224</v>
      </c>
      <c r="M1" s="99" t="s">
        <v>225</v>
      </c>
      <c r="N1" s="99" t="s">
        <v>226</v>
      </c>
    </row>
    <row r="2" spans="1:14" ht="21" customHeight="1" x14ac:dyDescent="0.15">
      <c r="A2" s="16" t="str">
        <f>G2&amp;"-"&amp;I2</f>
        <v>60010_1-1</v>
      </c>
      <c r="B2" s="16" t="str">
        <f>IF(COUNTIF(enemy_habitats!$H:$H,A2),"OK","NG")</f>
        <v>OK</v>
      </c>
      <c r="C2" s="7">
        <v>60010</v>
      </c>
      <c r="D2" s="11" t="str">
        <f ca="1">VLOOKUP($C2,OFFSET([2]quests!$A$1,0,0,COUNTA([2]quests!$A:$A),MATCH(D$1,[2]quests!$1:$1,0)-MATCH($C$1,[2]quests!$1:$1,0)+1),MATCH(D$1,[2]quests!$1:$1,0)-MATCH($C$1,[2]quests!$1:$1,0)+1,FALSE)</f>
        <v>ラグランジュチャレンジ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ランキング2（ラグランジュ）</v>
      </c>
      <c r="F2" s="20">
        <v>1</v>
      </c>
      <c r="G2" s="22" t="str">
        <f>C2&amp;"_"&amp;F2</f>
        <v>60010_1</v>
      </c>
      <c r="H2" s="15" t="str">
        <f ca="1">VLOOKUP($G2,OFFSET([2]stages!$A$1,0,0,COUNTA([2]stages!$A:$A),MATCH(H$1,[2]stages!$2:$2,0)-MATCH($G$1,[2]stages!$2:$2,0)+1),MATCH(H$1,[2]stages!$2:$2,0)-MATCH($G$1,[2]stages!$2:$2,0)+1,FALSE)</f>
        <v>ラグランジュチャレンジ</v>
      </c>
      <c r="I2" s="20">
        <v>1</v>
      </c>
      <c r="J2" s="12">
        <v>60</v>
      </c>
      <c r="K2" s="12">
        <v>60</v>
      </c>
      <c r="L2" s="68" t="str">
        <f>C2&amp;F2&amp;I2</f>
        <v>6001011</v>
      </c>
      <c r="M2" s="68" t="str">
        <f>C2&amp;F2&amp;I2</f>
        <v>6001011</v>
      </c>
      <c r="N2" s="68" t="str">
        <f>C2&amp;F2&amp;I2</f>
        <v>6001011</v>
      </c>
    </row>
    <row r="3" spans="1:14" ht="21" customHeight="1" x14ac:dyDescent="0.15">
      <c r="A3" s="16" t="str">
        <f t="shared" ref="A3:A6" si="0">G3&amp;"-"&amp;I3</f>
        <v>60010_1-2</v>
      </c>
      <c r="B3" s="16" t="str">
        <f>IF(COUNTIF(enemy_habitats!$H:$H,A3),"OK","NG")</f>
        <v>OK</v>
      </c>
      <c r="C3" s="7">
        <v>60010</v>
      </c>
      <c r="D3" s="11" t="str">
        <f ca="1">VLOOKUP($C3,OFFSET([2]quests!$A$1,0,0,COUNTA([2]quests!$A:$A),MATCH(D$1,[2]quests!$1:$1,0)-MATCH($C$1,[2]quests!$1:$1,0)+1),MATCH(D$1,[2]quests!$1:$1,0)-MATCH($C$1,[2]quests!$1:$1,0)+1,FALSE)</f>
        <v>ラグランジュチャレンジ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ランキング2（ラグランジュ）</v>
      </c>
      <c r="F3" s="20">
        <v>1</v>
      </c>
      <c r="G3" s="22" t="str">
        <f t="shared" ref="G3:G6" si="1">C3&amp;"_"&amp;F3</f>
        <v>60010_1</v>
      </c>
      <c r="H3" s="15" t="str">
        <f ca="1">VLOOKUP($G3,OFFSET([2]stages!$A$1,0,0,COUNTA([2]stages!$A:$A),MATCH(H$1,[2]stages!$2:$2,0)-MATCH($G$1,[2]stages!$2:$2,0)+1),MATCH(H$1,[2]stages!$2:$2,0)-MATCH($G$1,[2]stages!$2:$2,0)+1,FALSE)</f>
        <v>ラグランジュチャレンジ</v>
      </c>
      <c r="I3" s="20">
        <v>2</v>
      </c>
      <c r="J3" s="12">
        <v>60</v>
      </c>
      <c r="K3" s="12">
        <v>60</v>
      </c>
      <c r="L3" s="68" t="str">
        <f t="shared" ref="L3:L6" si="2">C3&amp;F3&amp;I3</f>
        <v>6001012</v>
      </c>
      <c r="M3" s="68" t="str">
        <f t="shared" ref="M3:M6" si="3">C3&amp;F3&amp;I3</f>
        <v>6001012</v>
      </c>
      <c r="N3" s="68" t="str">
        <f t="shared" ref="N3:N6" si="4">C3&amp;F3&amp;I3</f>
        <v>6001012</v>
      </c>
    </row>
    <row r="4" spans="1:14" ht="21" customHeight="1" x14ac:dyDescent="0.15">
      <c r="A4" s="16" t="str">
        <f t="shared" si="0"/>
        <v>60010_1-3</v>
      </c>
      <c r="B4" s="16" t="str">
        <f>IF(COUNTIF(enemy_habitats!$H:$H,A4),"OK","NG")</f>
        <v>OK</v>
      </c>
      <c r="C4" s="7">
        <v>60010</v>
      </c>
      <c r="D4" s="11" t="str">
        <f ca="1">VLOOKUP($C4,OFFSET([2]quests!$A$1,0,0,COUNTA([2]quests!$A:$A),MATCH(D$1,[2]quests!$1:$1,0)-MATCH($C$1,[2]quests!$1:$1,0)+1),MATCH(D$1,[2]quests!$1:$1,0)-MATCH($C$1,[2]quests!$1:$1,0)+1,FALSE)</f>
        <v>ラグランジュチャレンジ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ランキング2（ラグランジュ）</v>
      </c>
      <c r="F4" s="20">
        <v>1</v>
      </c>
      <c r="G4" s="22" t="str">
        <f t="shared" si="1"/>
        <v>60010_1</v>
      </c>
      <c r="H4" s="15" t="str">
        <f ca="1">VLOOKUP($G4,OFFSET([2]stages!$A$1,0,0,COUNTA([2]stages!$A:$A),MATCH(H$1,[2]stages!$2:$2,0)-MATCH($G$1,[2]stages!$2:$2,0)+1),MATCH(H$1,[2]stages!$2:$2,0)-MATCH($G$1,[2]stages!$2:$2,0)+1,FALSE)</f>
        <v>ラグランジュチャレンジ</v>
      </c>
      <c r="I4" s="20">
        <v>3</v>
      </c>
      <c r="J4" s="12">
        <v>60</v>
      </c>
      <c r="K4" s="12">
        <v>60</v>
      </c>
      <c r="L4" s="68" t="str">
        <f t="shared" si="2"/>
        <v>6001013</v>
      </c>
      <c r="M4" s="68" t="str">
        <f t="shared" si="3"/>
        <v>6001013</v>
      </c>
      <c r="N4" s="68" t="str">
        <f t="shared" si="4"/>
        <v>6001013</v>
      </c>
    </row>
    <row r="5" spans="1:14" ht="21" customHeight="1" x14ac:dyDescent="0.15">
      <c r="A5" s="16" t="str">
        <f t="shared" si="0"/>
        <v>60010_1-4</v>
      </c>
      <c r="B5" s="16" t="str">
        <f>IF(COUNTIF(enemy_habitats!$H:$H,A5),"OK","NG")</f>
        <v>OK</v>
      </c>
      <c r="C5" s="7">
        <v>60010</v>
      </c>
      <c r="D5" s="11" t="str">
        <f ca="1">VLOOKUP($C5,OFFSET([2]quests!$A$1,0,0,COUNTA([2]quests!$A:$A),MATCH(D$1,[2]quests!$1:$1,0)-MATCH($C$1,[2]quests!$1:$1,0)+1),MATCH(D$1,[2]quests!$1:$1,0)-MATCH($C$1,[2]quests!$1:$1,0)+1,FALSE)</f>
        <v>ラグランジュチャレンジ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ランキング2（ラグランジュ）</v>
      </c>
      <c r="F5" s="20">
        <v>1</v>
      </c>
      <c r="G5" s="22" t="str">
        <f t="shared" si="1"/>
        <v>60010_1</v>
      </c>
      <c r="H5" s="15" t="str">
        <f ca="1">VLOOKUP($G5,OFFSET([2]stages!$A$1,0,0,COUNTA([2]stages!$A:$A),MATCH(H$1,[2]stages!$2:$2,0)-MATCH($G$1,[2]stages!$2:$2,0)+1),MATCH(H$1,[2]stages!$2:$2,0)-MATCH($G$1,[2]stages!$2:$2,0)+1,FALSE)</f>
        <v>ラグランジュチャレンジ</v>
      </c>
      <c r="I5" s="20">
        <v>4</v>
      </c>
      <c r="J5" s="12">
        <v>60</v>
      </c>
      <c r="K5" s="12">
        <v>60</v>
      </c>
      <c r="L5" s="68" t="str">
        <f t="shared" si="2"/>
        <v>6001014</v>
      </c>
      <c r="M5" s="68" t="str">
        <f t="shared" si="3"/>
        <v>6001014</v>
      </c>
      <c r="N5" s="68" t="str">
        <f t="shared" si="4"/>
        <v>6001014</v>
      </c>
    </row>
    <row r="6" spans="1:14" ht="21" customHeight="1" x14ac:dyDescent="0.15">
      <c r="A6" s="16" t="str">
        <f t="shared" si="0"/>
        <v>60010_1-5</v>
      </c>
      <c r="B6" s="16" t="str">
        <f>IF(COUNTIF(enemy_habitats!$H:$H,A6),"OK","NG")</f>
        <v>OK</v>
      </c>
      <c r="C6" s="7">
        <v>60010</v>
      </c>
      <c r="D6" s="11" t="str">
        <f ca="1">VLOOKUP($C6,OFFSET([2]quests!$A$1,0,0,COUNTA([2]quests!$A:$A),MATCH(D$1,[2]quests!$1:$1,0)-MATCH($C$1,[2]quests!$1:$1,0)+1),MATCH(D$1,[2]quests!$1:$1,0)-MATCH($C$1,[2]quests!$1:$1,0)+1,FALSE)</f>
        <v>ラグランジュチャレンジ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ランキング2（ラグランジュ）</v>
      </c>
      <c r="F6" s="20">
        <v>1</v>
      </c>
      <c r="G6" s="22" t="str">
        <f t="shared" si="1"/>
        <v>60010_1</v>
      </c>
      <c r="H6" s="15" t="str">
        <f ca="1">VLOOKUP($G6,OFFSET([2]stages!$A$1,0,0,COUNTA([2]stages!$A:$A),MATCH(H$1,[2]stages!$2:$2,0)-MATCH($G$1,[2]stages!$2:$2,0)+1),MATCH(H$1,[2]stages!$2:$2,0)-MATCH($G$1,[2]stages!$2:$2,0)+1,FALSE)</f>
        <v>ラグランジュチャレンジ</v>
      </c>
      <c r="I6" s="20">
        <v>5</v>
      </c>
      <c r="J6" s="12">
        <v>60</v>
      </c>
      <c r="K6" s="12">
        <v>60</v>
      </c>
      <c r="L6" s="68" t="str">
        <f t="shared" si="2"/>
        <v>6001015</v>
      </c>
      <c r="M6" s="68" t="str">
        <f t="shared" si="3"/>
        <v>6001015</v>
      </c>
      <c r="N6" s="68" t="str">
        <f t="shared" si="4"/>
        <v>6001015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21" sqref="G21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253</v>
      </c>
    </row>
    <row r="2" spans="1:7" x14ac:dyDescent="0.15">
      <c r="A2" s="7">
        <v>60010</v>
      </c>
      <c r="B2" s="11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60010</v>
      </c>
      <c r="D2" s="20">
        <v>1</v>
      </c>
      <c r="E2" s="22" t="str">
        <f>A2&amp;"_"&amp;D2</f>
        <v>60010_1</v>
      </c>
      <c r="F2" s="15" t="str">
        <f ca="1">VLOOKUP($E2,OFFSET([2]stages!$A$1,0,0,COUNTA([2]stages!$A:$A),MATCH(F$1,[2]stages!$2:$2,0)-MATCH($E$1,[2]stages!$2:$2,0)+1),MATCH(F$1,[2]stages!$2:$2,0)-MATCH($E$1,[2]stages!$2:$2,0)+1,FALSE)</f>
        <v>ラグランジュチャレンジ</v>
      </c>
      <c r="G2" s="113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36"/>
  <sheetViews>
    <sheetView workbookViewId="0">
      <selection activeCell="B14" sqref="B14"/>
    </sheetView>
  </sheetViews>
  <sheetFormatPr baseColWidth="12" defaultRowHeight="15" x14ac:dyDescent="0.15"/>
  <sheetData>
    <row r="1" spans="1:42" x14ac:dyDescent="0.15">
      <c r="A1" s="57" t="s">
        <v>255</v>
      </c>
      <c r="B1" s="57" t="s">
        <v>256</v>
      </c>
      <c r="C1" s="128" t="s">
        <v>316</v>
      </c>
      <c r="D1" s="57" t="s">
        <v>257</v>
      </c>
      <c r="E1" s="57" t="s">
        <v>258</v>
      </c>
      <c r="F1" s="107"/>
      <c r="G1" t="s">
        <v>310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32" t="s">
        <v>317</v>
      </c>
      <c r="Z1" s="132" t="s">
        <v>318</v>
      </c>
      <c r="AA1" s="107"/>
      <c r="AB1" t="s">
        <v>315</v>
      </c>
      <c r="AK1" t="s">
        <v>310</v>
      </c>
      <c r="AP1" t="s">
        <v>314</v>
      </c>
    </row>
    <row r="2" spans="1:42" x14ac:dyDescent="0.15">
      <c r="A2" s="115">
        <v>6001011</v>
      </c>
      <c r="B2" s="115">
        <v>1</v>
      </c>
      <c r="C2" s="129">
        <v>1000000</v>
      </c>
      <c r="D2" s="140">
        <f>(C3-C2)/(B3-B2)</f>
        <v>-200000</v>
      </c>
      <c r="E2" s="139">
        <f t="shared" ref="E2:E3" si="0">C2-D2*B2</f>
        <v>1200000</v>
      </c>
      <c r="G2" t="s">
        <v>256</v>
      </c>
      <c r="H2" t="s">
        <v>312</v>
      </c>
      <c r="I2" t="s">
        <v>338</v>
      </c>
      <c r="J2" t="s">
        <v>258</v>
      </c>
      <c r="Y2">
        <f>D2*B2+E2</f>
        <v>1000000</v>
      </c>
      <c r="Z2">
        <f>D2*B3+E2</f>
        <v>0</v>
      </c>
      <c r="AB2" s="115">
        <v>1</v>
      </c>
      <c r="AC2" s="115">
        <v>20000</v>
      </c>
      <c r="AD2" s="117">
        <v>480000</v>
      </c>
      <c r="AF2" s="115">
        <v>1</v>
      </c>
      <c r="AG2" s="115">
        <v>0</v>
      </c>
      <c r="AH2" s="117">
        <v>500000</v>
      </c>
      <c r="AK2" t="s">
        <v>256</v>
      </c>
      <c r="AL2" t="s">
        <v>312</v>
      </c>
      <c r="AM2" t="s">
        <v>257</v>
      </c>
      <c r="AN2" t="s">
        <v>313</v>
      </c>
      <c r="AO2" t="s">
        <v>311</v>
      </c>
    </row>
    <row r="3" spans="1:42" x14ac:dyDescent="0.15">
      <c r="A3" s="115">
        <v>6001011</v>
      </c>
      <c r="B3" s="115">
        <v>6</v>
      </c>
      <c r="C3" s="129">
        <v>0</v>
      </c>
      <c r="D3" s="140">
        <f>(C4-C3)/(B4-B3)</f>
        <v>-166666.66666666666</v>
      </c>
      <c r="E3" s="139">
        <f t="shared" si="0"/>
        <v>1000000</v>
      </c>
      <c r="G3">
        <v>1</v>
      </c>
      <c r="H3">
        <f>I3*G3+J3</f>
        <v>1000000</v>
      </c>
      <c r="I3" s="141">
        <f>$D$14</f>
        <v>-125000</v>
      </c>
      <c r="J3" s="141">
        <f>$E$14</f>
        <v>1125000</v>
      </c>
      <c r="Y3">
        <f t="shared" ref="Y3:Y5" si="1">D3*B3+E3</f>
        <v>0</v>
      </c>
      <c r="Z3">
        <f t="shared" ref="Z3:Z4" si="2">D3*B4+E3</f>
        <v>-500000</v>
      </c>
      <c r="AB3" s="115">
        <v>2</v>
      </c>
      <c r="AC3" s="115">
        <v>20000</v>
      </c>
      <c r="AD3" s="117">
        <v>435000</v>
      </c>
      <c r="AF3" s="115">
        <v>2</v>
      </c>
      <c r="AG3" s="115">
        <v>0</v>
      </c>
      <c r="AH3" s="117">
        <v>475000</v>
      </c>
      <c r="AK3">
        <v>1</v>
      </c>
      <c r="AL3">
        <f>AM3*AK3+AN3</f>
        <v>875000</v>
      </c>
      <c r="AM3">
        <f>VLOOKUP(AK3,B$14:E$20,2)</f>
        <v>1000000</v>
      </c>
      <c r="AN3">
        <f>VLOOKUP(AK3,B$14:E$20,3)</f>
        <v>-125000</v>
      </c>
      <c r="AO3">
        <v>1110000</v>
      </c>
    </row>
    <row r="4" spans="1:42" x14ac:dyDescent="0.15">
      <c r="A4" s="115">
        <v>6001011</v>
      </c>
      <c r="B4" s="115">
        <v>9</v>
      </c>
      <c r="C4" s="129">
        <v>-500000</v>
      </c>
      <c r="D4" s="140">
        <f>(C5-C4)/(B5-B4)</f>
        <v>-9500000</v>
      </c>
      <c r="E4" s="139">
        <f>C4-D4*B4</f>
        <v>85000000</v>
      </c>
      <c r="G4">
        <v>2</v>
      </c>
      <c r="H4">
        <f t="shared" ref="H4:H9" si="3">I4*G4+J4</f>
        <v>875000</v>
      </c>
      <c r="I4" s="141">
        <f t="shared" ref="I4:I26" si="4">$D$14</f>
        <v>-125000</v>
      </c>
      <c r="J4" s="141">
        <f t="shared" ref="J4:J26" si="5">$E$14</f>
        <v>1125000</v>
      </c>
      <c r="Y4">
        <f t="shared" si="1"/>
        <v>-500000</v>
      </c>
      <c r="Z4">
        <f t="shared" si="2"/>
        <v>-10000000</v>
      </c>
      <c r="AB4" s="115">
        <v>3</v>
      </c>
      <c r="AC4" s="115">
        <v>20000</v>
      </c>
      <c r="AD4" s="117">
        <v>390000</v>
      </c>
      <c r="AF4" s="115">
        <v>3</v>
      </c>
      <c r="AG4" s="115">
        <v>0</v>
      </c>
      <c r="AH4" s="117">
        <v>450000</v>
      </c>
      <c r="AK4">
        <v>2</v>
      </c>
      <c r="AL4">
        <f t="shared" ref="AL4:AL27" si="6">AM4*AK4+AN4</f>
        <v>2833333.3333333335</v>
      </c>
      <c r="AM4">
        <f t="shared" ref="AM4:AM27" si="7">VLOOKUP(AK4,B$10:E$15,2)</f>
        <v>1500000</v>
      </c>
      <c r="AN4">
        <f t="shared" ref="AN4:AN27" si="8">VLOOKUP(AK4,B$10:E$15,3)</f>
        <v>-166666.66666666666</v>
      </c>
      <c r="AO4">
        <v>1130000</v>
      </c>
      <c r="AP4">
        <f>AO4-AO3</f>
        <v>20000</v>
      </c>
    </row>
    <row r="5" spans="1:42" x14ac:dyDescent="0.15">
      <c r="A5" s="115">
        <v>6001011</v>
      </c>
      <c r="B5" s="115">
        <v>10</v>
      </c>
      <c r="C5" s="129">
        <v>-10000000</v>
      </c>
      <c r="D5" s="119">
        <v>0</v>
      </c>
      <c r="E5" s="117">
        <v>-10000000</v>
      </c>
      <c r="G5">
        <v>3</v>
      </c>
      <c r="H5">
        <f t="shared" si="3"/>
        <v>750000</v>
      </c>
      <c r="I5" s="141">
        <f t="shared" si="4"/>
        <v>-125000</v>
      </c>
      <c r="J5" s="141">
        <f t="shared" si="5"/>
        <v>1125000</v>
      </c>
      <c r="Y5">
        <f t="shared" si="1"/>
        <v>-10000000</v>
      </c>
      <c r="Z5" t="e">
        <f>D5*#REF!+E5</f>
        <v>#REF!</v>
      </c>
      <c r="AB5" s="115">
        <v>4</v>
      </c>
      <c r="AC5" s="115">
        <v>20000</v>
      </c>
      <c r="AD5" s="117">
        <v>345000</v>
      </c>
      <c r="AF5" s="115">
        <v>4</v>
      </c>
      <c r="AG5" s="115">
        <v>0</v>
      </c>
      <c r="AH5" s="117">
        <v>425000</v>
      </c>
      <c r="AK5">
        <v>3</v>
      </c>
      <c r="AL5">
        <f t="shared" si="6"/>
        <v>4333333.333333333</v>
      </c>
      <c r="AM5">
        <f t="shared" si="7"/>
        <v>1500000</v>
      </c>
      <c r="AN5">
        <f t="shared" si="8"/>
        <v>-166666.66666666666</v>
      </c>
      <c r="AO5">
        <v>1100000</v>
      </c>
      <c r="AP5">
        <f t="shared" ref="AP5:AP10" si="9">AO5-AO4</f>
        <v>-30000</v>
      </c>
    </row>
    <row r="6" spans="1:42" x14ac:dyDescent="0.15">
      <c r="A6" s="116">
        <v>6001012</v>
      </c>
      <c r="B6" s="116">
        <v>1</v>
      </c>
      <c r="C6" s="129">
        <v>1000000</v>
      </c>
      <c r="D6" s="140">
        <f>(C7-C6)/(B7-B6)</f>
        <v>-200000</v>
      </c>
      <c r="E6" s="139">
        <f t="shared" ref="E6:E7" si="10">C6-D6*B6</f>
        <v>1200000</v>
      </c>
      <c r="G6">
        <v>4</v>
      </c>
      <c r="H6">
        <f t="shared" si="3"/>
        <v>625000</v>
      </c>
      <c r="I6" s="141">
        <f t="shared" si="4"/>
        <v>-125000</v>
      </c>
      <c r="J6" s="141">
        <f t="shared" si="5"/>
        <v>1125000</v>
      </c>
      <c r="Y6">
        <f t="shared" ref="Y6:Y13" si="11">D6*B6+E6</f>
        <v>1000000</v>
      </c>
      <c r="Z6">
        <f t="shared" ref="Z6:Z12" si="12">D6*B7+E6</f>
        <v>0</v>
      </c>
      <c r="AB6" s="115">
        <v>8</v>
      </c>
      <c r="AC6" s="115">
        <v>20000</v>
      </c>
      <c r="AD6" s="117">
        <v>-310000</v>
      </c>
      <c r="AF6" s="115">
        <v>8</v>
      </c>
      <c r="AG6" s="115">
        <v>0</v>
      </c>
      <c r="AH6" s="117">
        <v>-150000</v>
      </c>
      <c r="AK6">
        <v>7</v>
      </c>
      <c r="AL6">
        <f t="shared" si="6"/>
        <v>10333333.333333334</v>
      </c>
      <c r="AM6">
        <f t="shared" si="7"/>
        <v>1500000</v>
      </c>
      <c r="AN6">
        <f t="shared" si="8"/>
        <v>-166666.66666666666</v>
      </c>
      <c r="AO6">
        <v>950000</v>
      </c>
      <c r="AP6" t="e">
        <f>AO6-#REF!</f>
        <v>#REF!</v>
      </c>
    </row>
    <row r="7" spans="1:42" x14ac:dyDescent="0.15">
      <c r="A7" s="116">
        <v>6001012</v>
      </c>
      <c r="B7" s="116">
        <v>6</v>
      </c>
      <c r="C7" s="129">
        <v>0</v>
      </c>
      <c r="D7" s="140">
        <f>(C8-C7)/(B8-B7)</f>
        <v>-166666.66666666666</v>
      </c>
      <c r="E7" s="139">
        <f t="shared" si="10"/>
        <v>1000000</v>
      </c>
      <c r="G7">
        <v>5</v>
      </c>
      <c r="H7">
        <f t="shared" si="3"/>
        <v>500000</v>
      </c>
      <c r="I7" s="141">
        <f t="shared" si="4"/>
        <v>-125000</v>
      </c>
      <c r="J7" s="141">
        <f t="shared" si="5"/>
        <v>1125000</v>
      </c>
      <c r="Y7">
        <f t="shared" si="11"/>
        <v>0</v>
      </c>
      <c r="Z7">
        <f t="shared" si="12"/>
        <v>-500000</v>
      </c>
      <c r="AB7" s="115">
        <v>9</v>
      </c>
      <c r="AC7" s="115">
        <v>20000</v>
      </c>
      <c r="AD7" s="117">
        <v>-630000</v>
      </c>
      <c r="AF7" s="115">
        <v>9</v>
      </c>
      <c r="AG7" s="115">
        <v>0</v>
      </c>
      <c r="AH7" s="117">
        <v>-450000</v>
      </c>
      <c r="AK7">
        <v>8</v>
      </c>
      <c r="AL7">
        <f t="shared" si="6"/>
        <v>11833333.333333334</v>
      </c>
      <c r="AM7">
        <f t="shared" si="7"/>
        <v>1500000</v>
      </c>
      <c r="AN7">
        <f t="shared" si="8"/>
        <v>-166666.66666666666</v>
      </c>
      <c r="AO7">
        <v>700000</v>
      </c>
      <c r="AP7">
        <f t="shared" si="9"/>
        <v>-250000</v>
      </c>
    </row>
    <row r="8" spans="1:42" x14ac:dyDescent="0.15">
      <c r="A8" s="116">
        <v>6001012</v>
      </c>
      <c r="B8" s="116">
        <v>9</v>
      </c>
      <c r="C8" s="129">
        <v>-500000</v>
      </c>
      <c r="D8" s="140">
        <f>(C9-C8)/(B9-B8)</f>
        <v>-9500000</v>
      </c>
      <c r="E8" s="139">
        <f>C8-D8*B8</f>
        <v>85000000</v>
      </c>
      <c r="G8">
        <v>6</v>
      </c>
      <c r="H8">
        <f t="shared" si="3"/>
        <v>375000</v>
      </c>
      <c r="I8" s="141">
        <f t="shared" si="4"/>
        <v>-125000</v>
      </c>
      <c r="J8" s="141">
        <f t="shared" si="5"/>
        <v>1125000</v>
      </c>
      <c r="Y8">
        <f t="shared" si="11"/>
        <v>-500000</v>
      </c>
      <c r="Z8">
        <f t="shared" si="12"/>
        <v>-10000000</v>
      </c>
      <c r="AB8" s="115">
        <v>10</v>
      </c>
      <c r="AC8" s="115">
        <v>20000</v>
      </c>
      <c r="AD8" s="117">
        <v>-10000000</v>
      </c>
      <c r="AF8" s="115">
        <v>10</v>
      </c>
      <c r="AG8" s="115">
        <v>0</v>
      </c>
      <c r="AH8" s="117">
        <v>-9999999</v>
      </c>
      <c r="AK8">
        <v>9</v>
      </c>
      <c r="AL8">
        <f t="shared" si="6"/>
        <v>13333333.333333334</v>
      </c>
      <c r="AM8">
        <f t="shared" si="7"/>
        <v>1500000</v>
      </c>
      <c r="AN8">
        <f t="shared" si="8"/>
        <v>-166666.66666666666</v>
      </c>
      <c r="AO8">
        <v>350000</v>
      </c>
      <c r="AP8">
        <f t="shared" si="9"/>
        <v>-350000</v>
      </c>
    </row>
    <row r="9" spans="1:42" x14ac:dyDescent="0.15">
      <c r="A9" s="116">
        <v>6001012</v>
      </c>
      <c r="B9" s="116">
        <v>10</v>
      </c>
      <c r="C9" s="129">
        <v>-10000000</v>
      </c>
      <c r="D9" s="120">
        <v>0</v>
      </c>
      <c r="E9" s="118">
        <v>-10000000</v>
      </c>
      <c r="G9">
        <v>7</v>
      </c>
      <c r="H9">
        <f t="shared" si="3"/>
        <v>250000</v>
      </c>
      <c r="I9" s="141">
        <f t="shared" si="4"/>
        <v>-125000</v>
      </c>
      <c r="J9" s="141">
        <f t="shared" si="5"/>
        <v>1125000</v>
      </c>
      <c r="Y9">
        <f t="shared" si="11"/>
        <v>-10000000</v>
      </c>
      <c r="Z9">
        <f t="shared" si="12"/>
        <v>-10000000</v>
      </c>
      <c r="AB9" s="116">
        <v>1</v>
      </c>
      <c r="AC9" s="116">
        <v>20000</v>
      </c>
      <c r="AD9" s="118">
        <v>630000</v>
      </c>
      <c r="AF9" s="116">
        <v>1</v>
      </c>
      <c r="AG9" s="116">
        <v>0</v>
      </c>
      <c r="AH9" s="118">
        <v>650000</v>
      </c>
      <c r="AK9">
        <v>10</v>
      </c>
      <c r="AL9">
        <f t="shared" si="6"/>
        <v>-166666.66666666666</v>
      </c>
      <c r="AM9">
        <f t="shared" si="7"/>
        <v>0</v>
      </c>
      <c r="AN9">
        <f t="shared" si="8"/>
        <v>-166666.66666666666</v>
      </c>
      <c r="AO9">
        <v>0</v>
      </c>
      <c r="AP9">
        <f t="shared" si="9"/>
        <v>-350000</v>
      </c>
    </row>
    <row r="10" spans="1:42" x14ac:dyDescent="0.15">
      <c r="A10" s="115">
        <v>6001013</v>
      </c>
      <c r="B10" s="115">
        <v>1</v>
      </c>
      <c r="C10" s="129">
        <v>1500000</v>
      </c>
      <c r="D10" s="140">
        <f>(C11-C10)/(B11-B10)</f>
        <v>-166666.66666666666</v>
      </c>
      <c r="E10" s="139">
        <f t="shared" ref="E10:E11" si="13">C10-D10*B10</f>
        <v>1666666.6666666667</v>
      </c>
      <c r="G10">
        <v>8</v>
      </c>
      <c r="H10">
        <f t="shared" ref="H10:H26" si="14">I10*G10+J10</f>
        <v>125000</v>
      </c>
      <c r="I10" s="141">
        <f t="shared" si="4"/>
        <v>-125000</v>
      </c>
      <c r="J10" s="141">
        <f t="shared" si="5"/>
        <v>1125000</v>
      </c>
      <c r="Y10">
        <f t="shared" si="11"/>
        <v>1500000</v>
      </c>
      <c r="Z10">
        <f t="shared" si="12"/>
        <v>0</v>
      </c>
      <c r="AB10" s="116">
        <v>2</v>
      </c>
      <c r="AC10" s="116">
        <v>20000</v>
      </c>
      <c r="AD10" s="118">
        <v>585000</v>
      </c>
      <c r="AF10" s="116">
        <v>2</v>
      </c>
      <c r="AG10" s="116">
        <v>0</v>
      </c>
      <c r="AH10" s="118">
        <v>625000</v>
      </c>
      <c r="AK10">
        <v>11</v>
      </c>
      <c r="AL10">
        <f t="shared" si="6"/>
        <v>-166666.66666666666</v>
      </c>
      <c r="AM10">
        <f t="shared" si="7"/>
        <v>0</v>
      </c>
      <c r="AN10">
        <f t="shared" si="8"/>
        <v>-166666.66666666666</v>
      </c>
      <c r="AO10">
        <v>20000</v>
      </c>
      <c r="AP10">
        <f t="shared" si="9"/>
        <v>20000</v>
      </c>
    </row>
    <row r="11" spans="1:42" x14ac:dyDescent="0.15">
      <c r="A11" s="115">
        <v>6001013</v>
      </c>
      <c r="B11" s="115">
        <v>10</v>
      </c>
      <c r="C11" s="129">
        <v>0</v>
      </c>
      <c r="D11" s="140">
        <f>(C12-C11)/(B12-B11)</f>
        <v>-166666.66666666666</v>
      </c>
      <c r="E11" s="139">
        <f t="shared" si="13"/>
        <v>1666666.6666666665</v>
      </c>
      <c r="G11">
        <v>9</v>
      </c>
      <c r="H11">
        <f t="shared" si="14"/>
        <v>0</v>
      </c>
      <c r="I11" s="141">
        <f t="shared" si="4"/>
        <v>-125000</v>
      </c>
      <c r="J11" s="141">
        <f t="shared" si="5"/>
        <v>1125000</v>
      </c>
      <c r="Y11">
        <f t="shared" si="11"/>
        <v>0</v>
      </c>
      <c r="Z11">
        <f t="shared" si="12"/>
        <v>-500000</v>
      </c>
      <c r="AB11" s="116">
        <v>3</v>
      </c>
      <c r="AC11" s="116">
        <v>20000</v>
      </c>
      <c r="AD11" s="118">
        <v>540000</v>
      </c>
      <c r="AF11" s="116">
        <v>3</v>
      </c>
      <c r="AG11" s="116">
        <v>0</v>
      </c>
      <c r="AH11" s="118">
        <v>600000</v>
      </c>
      <c r="AK11">
        <v>12</v>
      </c>
      <c r="AL11">
        <f t="shared" si="6"/>
        <v>-166666.66666666666</v>
      </c>
      <c r="AM11">
        <f t="shared" si="7"/>
        <v>0</v>
      </c>
      <c r="AN11">
        <f t="shared" si="8"/>
        <v>-166666.66666666666</v>
      </c>
      <c r="AO11">
        <v>-9760000</v>
      </c>
    </row>
    <row r="12" spans="1:42" x14ac:dyDescent="0.15">
      <c r="A12" s="115">
        <v>6001013</v>
      </c>
      <c r="B12" s="115">
        <v>13</v>
      </c>
      <c r="C12" s="129">
        <v>-500000</v>
      </c>
      <c r="D12" s="140">
        <f>(C13-C12)/(B13-B12)</f>
        <v>-9500000</v>
      </c>
      <c r="E12" s="139">
        <f>C12-D12*B12</f>
        <v>123000000</v>
      </c>
      <c r="G12">
        <v>10</v>
      </c>
      <c r="H12">
        <f t="shared" si="14"/>
        <v>-125000</v>
      </c>
      <c r="I12" s="141">
        <f t="shared" si="4"/>
        <v>-125000</v>
      </c>
      <c r="J12" s="141">
        <f t="shared" si="5"/>
        <v>1125000</v>
      </c>
      <c r="Y12">
        <f t="shared" si="11"/>
        <v>-500000</v>
      </c>
      <c r="Z12">
        <f t="shared" si="12"/>
        <v>-10000000</v>
      </c>
      <c r="AB12" s="116">
        <v>4</v>
      </c>
      <c r="AC12" s="116">
        <v>20000</v>
      </c>
      <c r="AD12" s="118">
        <v>495000</v>
      </c>
      <c r="AF12" s="116">
        <v>4</v>
      </c>
      <c r="AG12" s="116">
        <v>0</v>
      </c>
      <c r="AH12" s="118">
        <v>575000</v>
      </c>
      <c r="AK12">
        <v>13</v>
      </c>
      <c r="AL12">
        <f t="shared" si="6"/>
        <v>-16000000</v>
      </c>
      <c r="AM12">
        <f t="shared" si="7"/>
        <v>-500000</v>
      </c>
      <c r="AN12">
        <f t="shared" si="8"/>
        <v>-9500000</v>
      </c>
      <c r="AO12">
        <v>-9740000</v>
      </c>
    </row>
    <row r="13" spans="1:42" x14ac:dyDescent="0.15">
      <c r="A13" s="115">
        <v>6001013</v>
      </c>
      <c r="B13" s="115">
        <v>14</v>
      </c>
      <c r="C13" s="129">
        <v>-10000000</v>
      </c>
      <c r="D13" s="119">
        <v>0</v>
      </c>
      <c r="E13" s="117">
        <v>-10000000</v>
      </c>
      <c r="G13">
        <v>11</v>
      </c>
      <c r="H13">
        <f t="shared" si="14"/>
        <v>-250000</v>
      </c>
      <c r="I13" s="141">
        <f t="shared" si="4"/>
        <v>-125000</v>
      </c>
      <c r="J13" s="141">
        <f t="shared" si="5"/>
        <v>1125000</v>
      </c>
      <c r="Y13">
        <f t="shared" si="11"/>
        <v>-10000000</v>
      </c>
      <c r="Z13" t="e">
        <f>D13*#REF!+E13</f>
        <v>#REF!</v>
      </c>
      <c r="AB13" s="116">
        <v>5</v>
      </c>
      <c r="AC13" s="116">
        <v>20000</v>
      </c>
      <c r="AD13" s="118">
        <v>400000</v>
      </c>
      <c r="AF13" s="116">
        <v>5</v>
      </c>
      <c r="AG13" s="116">
        <v>0</v>
      </c>
      <c r="AH13" s="118">
        <v>500000</v>
      </c>
      <c r="AK13">
        <v>14</v>
      </c>
      <c r="AL13">
        <f t="shared" si="6"/>
        <v>-166666.66666666666</v>
      </c>
      <c r="AM13">
        <f t="shared" si="7"/>
        <v>0</v>
      </c>
      <c r="AN13">
        <f t="shared" si="8"/>
        <v>-166666.66666666666</v>
      </c>
      <c r="AO13">
        <v>-9720000</v>
      </c>
    </row>
    <row r="14" spans="1:42" x14ac:dyDescent="0.15">
      <c r="A14" s="116">
        <v>6001014</v>
      </c>
      <c r="B14" s="116">
        <v>1</v>
      </c>
      <c r="C14" s="129">
        <v>1000000</v>
      </c>
      <c r="D14" s="140">
        <f>(C15-C14)/(B15-B14)</f>
        <v>-125000</v>
      </c>
      <c r="E14" s="139">
        <f t="shared" ref="E14:E15" si="15">C14-D14*B14</f>
        <v>1125000</v>
      </c>
      <c r="G14">
        <v>12</v>
      </c>
      <c r="H14">
        <f t="shared" si="14"/>
        <v>-375000</v>
      </c>
      <c r="I14" s="141">
        <f t="shared" si="4"/>
        <v>-125000</v>
      </c>
      <c r="J14" s="141">
        <f t="shared" si="5"/>
        <v>1125000</v>
      </c>
      <c r="Y14">
        <f t="shared" ref="Y14:Y17" si="16">D14*B14+E14</f>
        <v>1000000</v>
      </c>
      <c r="Z14">
        <f t="shared" ref="Z14:Z16" si="17">D14*B15+E14</f>
        <v>0</v>
      </c>
      <c r="AB14" s="116">
        <v>10</v>
      </c>
      <c r="AC14" s="116">
        <v>20000</v>
      </c>
      <c r="AD14" s="118">
        <v>-10000000</v>
      </c>
      <c r="AF14" s="116">
        <v>10</v>
      </c>
      <c r="AG14" s="116">
        <v>0</v>
      </c>
      <c r="AH14" s="118">
        <v>-9999999</v>
      </c>
      <c r="AK14">
        <v>19</v>
      </c>
      <c r="AL14">
        <f t="shared" si="6"/>
        <v>-166666.66666666666</v>
      </c>
      <c r="AM14">
        <f t="shared" si="7"/>
        <v>0</v>
      </c>
      <c r="AN14">
        <f t="shared" si="8"/>
        <v>-166666.66666666666</v>
      </c>
      <c r="AO14">
        <v>-9620000</v>
      </c>
    </row>
    <row r="15" spans="1:42" x14ac:dyDescent="0.15">
      <c r="A15" s="116">
        <v>6001014</v>
      </c>
      <c r="B15" s="116">
        <v>9</v>
      </c>
      <c r="C15" s="129">
        <v>0</v>
      </c>
      <c r="D15" s="140">
        <f>(C16-C15)/(B16-B15)</f>
        <v>-166666.66666666666</v>
      </c>
      <c r="E15" s="139">
        <f t="shared" si="15"/>
        <v>1500000</v>
      </c>
      <c r="G15">
        <v>13</v>
      </c>
      <c r="H15">
        <f t="shared" si="14"/>
        <v>-500000</v>
      </c>
      <c r="I15" s="141">
        <f t="shared" si="4"/>
        <v>-125000</v>
      </c>
      <c r="J15" s="141">
        <f t="shared" si="5"/>
        <v>1125000</v>
      </c>
      <c r="Y15">
        <f t="shared" si="16"/>
        <v>0</v>
      </c>
      <c r="Z15">
        <f t="shared" si="17"/>
        <v>-500000</v>
      </c>
      <c r="AB15" s="115">
        <v>1</v>
      </c>
      <c r="AC15" s="115">
        <v>20000</v>
      </c>
      <c r="AD15" s="117">
        <v>1090000</v>
      </c>
      <c r="AE15">
        <f>AC15*AB15+AD15</f>
        <v>1110000</v>
      </c>
      <c r="AF15" s="115">
        <v>1</v>
      </c>
      <c r="AG15" s="115">
        <v>0</v>
      </c>
      <c r="AH15" s="117">
        <v>1110000</v>
      </c>
      <c r="AK15">
        <v>20</v>
      </c>
      <c r="AL15">
        <f t="shared" si="6"/>
        <v>-166666.66666666666</v>
      </c>
      <c r="AM15">
        <f t="shared" si="7"/>
        <v>0</v>
      </c>
      <c r="AN15">
        <f t="shared" si="8"/>
        <v>-166666.66666666666</v>
      </c>
      <c r="AO15">
        <v>-9600000</v>
      </c>
    </row>
    <row r="16" spans="1:42" x14ac:dyDescent="0.15">
      <c r="A16" s="116">
        <v>6001014</v>
      </c>
      <c r="B16" s="116">
        <v>12</v>
      </c>
      <c r="C16" s="129">
        <v>-500000</v>
      </c>
      <c r="D16" s="140">
        <f>(C17-C16)/(B17-B16)</f>
        <v>-9500000</v>
      </c>
      <c r="E16" s="139">
        <f>C16-D16*B16</f>
        <v>113500000</v>
      </c>
      <c r="G16">
        <v>14</v>
      </c>
      <c r="H16">
        <f t="shared" si="14"/>
        <v>-625000</v>
      </c>
      <c r="I16" s="141">
        <f t="shared" si="4"/>
        <v>-125000</v>
      </c>
      <c r="J16" s="141">
        <f t="shared" si="5"/>
        <v>1125000</v>
      </c>
      <c r="Y16">
        <f t="shared" si="16"/>
        <v>-500000</v>
      </c>
      <c r="Z16">
        <f t="shared" si="17"/>
        <v>-10000000</v>
      </c>
      <c r="AB16" s="115">
        <v>3</v>
      </c>
      <c r="AC16" s="115">
        <v>20000</v>
      </c>
      <c r="AD16" s="117">
        <v>1040000</v>
      </c>
      <c r="AE16">
        <f t="shared" ref="AE16:AE36" si="18">AC16*AB16+AD16</f>
        <v>1100000</v>
      </c>
      <c r="AF16" s="115">
        <v>3</v>
      </c>
      <c r="AG16" s="115">
        <v>0</v>
      </c>
      <c r="AH16" s="117">
        <v>1100000</v>
      </c>
      <c r="AK16">
        <v>21</v>
      </c>
      <c r="AL16">
        <f t="shared" si="6"/>
        <v>-166666.66666666666</v>
      </c>
      <c r="AM16">
        <f t="shared" si="7"/>
        <v>0</v>
      </c>
      <c r="AN16">
        <f t="shared" si="8"/>
        <v>-166666.66666666666</v>
      </c>
      <c r="AO16">
        <v>-9580000</v>
      </c>
    </row>
    <row r="17" spans="1:41" x14ac:dyDescent="0.15">
      <c r="A17" s="116">
        <v>6001014</v>
      </c>
      <c r="B17" s="116">
        <v>13</v>
      </c>
      <c r="C17" s="129">
        <v>-10000000</v>
      </c>
      <c r="D17" s="120">
        <v>0</v>
      </c>
      <c r="E17" s="118">
        <v>-10000000</v>
      </c>
      <c r="G17">
        <v>15</v>
      </c>
      <c r="H17">
        <f t="shared" si="14"/>
        <v>-750000</v>
      </c>
      <c r="I17" s="141">
        <f t="shared" si="4"/>
        <v>-125000</v>
      </c>
      <c r="J17" s="141">
        <f t="shared" si="5"/>
        <v>1125000</v>
      </c>
      <c r="Y17">
        <f t="shared" si="16"/>
        <v>-10000000</v>
      </c>
      <c r="Z17" t="e">
        <f>D17*#REF!+E17</f>
        <v>#REF!</v>
      </c>
      <c r="AB17" s="115">
        <v>4</v>
      </c>
      <c r="AC17" s="115">
        <v>20000</v>
      </c>
      <c r="AD17" s="117">
        <v>995000</v>
      </c>
      <c r="AE17">
        <f t="shared" si="18"/>
        <v>1075000</v>
      </c>
      <c r="AF17" s="115">
        <v>4</v>
      </c>
      <c r="AG17" s="115">
        <v>0</v>
      </c>
      <c r="AH17" s="117">
        <v>1075000</v>
      </c>
      <c r="AK17">
        <v>22</v>
      </c>
      <c r="AL17">
        <f t="shared" si="6"/>
        <v>-166666.66666666666</v>
      </c>
      <c r="AM17">
        <f t="shared" si="7"/>
        <v>0</v>
      </c>
      <c r="AN17">
        <f t="shared" si="8"/>
        <v>-166666.66666666666</v>
      </c>
      <c r="AO17">
        <v>-9560000</v>
      </c>
    </row>
    <row r="18" spans="1:41" x14ac:dyDescent="0.15">
      <c r="A18" s="115">
        <v>6001015</v>
      </c>
      <c r="B18" s="115">
        <v>1</v>
      </c>
      <c r="C18" s="129">
        <v>2000000</v>
      </c>
      <c r="D18" s="140">
        <f>(C19-C18)/(B19-B18)</f>
        <v>-133333.33333333334</v>
      </c>
      <c r="E18" s="139">
        <f t="shared" ref="E18:E19" si="19">C18-D18*B18</f>
        <v>2133333.3333333335</v>
      </c>
      <c r="G18">
        <v>16</v>
      </c>
      <c r="H18">
        <f t="shared" si="14"/>
        <v>-875000</v>
      </c>
      <c r="I18" s="141">
        <f t="shared" si="4"/>
        <v>-125000</v>
      </c>
      <c r="J18" s="141">
        <f t="shared" si="5"/>
        <v>1125000</v>
      </c>
      <c r="Y18">
        <f t="shared" ref="Y18:Y21" si="20">D18*B18+E18</f>
        <v>2000000.0000000002</v>
      </c>
      <c r="Z18">
        <f t="shared" ref="Z18:Z20" si="21">D18*B19+E18</f>
        <v>0</v>
      </c>
      <c r="AB18" s="115">
        <v>8</v>
      </c>
      <c r="AC18" s="115">
        <v>20000</v>
      </c>
      <c r="AD18" s="117">
        <v>540000</v>
      </c>
      <c r="AE18">
        <f t="shared" si="18"/>
        <v>700000</v>
      </c>
      <c r="AF18" s="115">
        <v>8</v>
      </c>
      <c r="AG18" s="115">
        <v>0</v>
      </c>
      <c r="AH18" s="117">
        <v>700000</v>
      </c>
      <c r="AK18">
        <v>26</v>
      </c>
      <c r="AL18">
        <f t="shared" si="6"/>
        <v>-166666.66666666666</v>
      </c>
      <c r="AM18">
        <f t="shared" si="7"/>
        <v>0</v>
      </c>
      <c r="AN18">
        <f t="shared" si="8"/>
        <v>-166666.66666666666</v>
      </c>
      <c r="AO18">
        <v>-9480000</v>
      </c>
    </row>
    <row r="19" spans="1:41" x14ac:dyDescent="0.15">
      <c r="A19" s="115">
        <v>6001015</v>
      </c>
      <c r="B19" s="115">
        <v>16</v>
      </c>
      <c r="C19" s="129">
        <v>0</v>
      </c>
      <c r="D19" s="140">
        <f>(C20-C19)/(B20-B19)</f>
        <v>-166666.66666666666</v>
      </c>
      <c r="E19" s="139">
        <f t="shared" si="19"/>
        <v>2666666.6666666665</v>
      </c>
      <c r="G19">
        <v>17</v>
      </c>
      <c r="H19">
        <f t="shared" si="14"/>
        <v>-1000000</v>
      </c>
      <c r="I19" s="141">
        <f t="shared" si="4"/>
        <v>-125000</v>
      </c>
      <c r="J19" s="141">
        <f t="shared" si="5"/>
        <v>1125000</v>
      </c>
      <c r="Y19">
        <f t="shared" si="20"/>
        <v>0</v>
      </c>
      <c r="Z19">
        <f t="shared" si="21"/>
        <v>-500000</v>
      </c>
      <c r="AB19" s="115">
        <v>9</v>
      </c>
      <c r="AC19" s="115">
        <v>20000</v>
      </c>
      <c r="AD19" s="117">
        <v>170000</v>
      </c>
      <c r="AE19">
        <f t="shared" si="18"/>
        <v>350000</v>
      </c>
      <c r="AF19" s="115">
        <v>9</v>
      </c>
      <c r="AG19" s="115">
        <v>0</v>
      </c>
      <c r="AH19" s="117">
        <v>350000</v>
      </c>
      <c r="AK19">
        <v>27</v>
      </c>
      <c r="AL19">
        <f t="shared" si="6"/>
        <v>-166666.66666666666</v>
      </c>
      <c r="AM19">
        <f t="shared" si="7"/>
        <v>0</v>
      </c>
      <c r="AN19">
        <f t="shared" si="8"/>
        <v>-166666.66666666666</v>
      </c>
      <c r="AO19">
        <v>-9460000</v>
      </c>
    </row>
    <row r="20" spans="1:41" x14ac:dyDescent="0.15">
      <c r="A20" s="115">
        <v>6001015</v>
      </c>
      <c r="B20" s="115">
        <v>19</v>
      </c>
      <c r="C20" s="129">
        <v>-500000</v>
      </c>
      <c r="D20" s="140">
        <f>(C21-C20)/(B21-B20)</f>
        <v>-9500000</v>
      </c>
      <c r="E20" s="139">
        <f>C20-D20*B20</f>
        <v>180000000</v>
      </c>
      <c r="G20">
        <v>18</v>
      </c>
      <c r="H20">
        <f t="shared" si="14"/>
        <v>-1125000</v>
      </c>
      <c r="I20" s="141">
        <f t="shared" si="4"/>
        <v>-125000</v>
      </c>
      <c r="J20" s="141">
        <f t="shared" si="5"/>
        <v>1125000</v>
      </c>
      <c r="Y20">
        <f t="shared" si="20"/>
        <v>-500000</v>
      </c>
      <c r="Z20">
        <f t="shared" si="21"/>
        <v>-10000000</v>
      </c>
      <c r="AB20" s="115">
        <v>10</v>
      </c>
      <c r="AC20" s="115">
        <v>20000</v>
      </c>
      <c r="AD20" s="117">
        <v>-200000</v>
      </c>
      <c r="AE20">
        <f t="shared" si="18"/>
        <v>0</v>
      </c>
      <c r="AF20" s="115">
        <v>10</v>
      </c>
      <c r="AG20" s="115">
        <v>0</v>
      </c>
      <c r="AH20" s="117">
        <v>0</v>
      </c>
      <c r="AK20">
        <v>28</v>
      </c>
      <c r="AL20">
        <f t="shared" si="6"/>
        <v>-166666.66666666666</v>
      </c>
      <c r="AM20">
        <f t="shared" si="7"/>
        <v>0</v>
      </c>
      <c r="AN20">
        <f t="shared" si="8"/>
        <v>-166666.66666666666</v>
      </c>
      <c r="AO20">
        <v>-9440000</v>
      </c>
    </row>
    <row r="21" spans="1:41" x14ac:dyDescent="0.15">
      <c r="A21" s="115">
        <v>6001015</v>
      </c>
      <c r="B21" s="115">
        <v>20</v>
      </c>
      <c r="C21" s="129">
        <v>-10000000</v>
      </c>
      <c r="D21" s="119">
        <v>0</v>
      </c>
      <c r="E21" s="117">
        <v>-10000000</v>
      </c>
      <c r="G21">
        <v>19</v>
      </c>
      <c r="H21">
        <f t="shared" si="14"/>
        <v>-1250000</v>
      </c>
      <c r="I21" s="141">
        <f t="shared" si="4"/>
        <v>-125000</v>
      </c>
      <c r="J21" s="141">
        <f t="shared" si="5"/>
        <v>1125000</v>
      </c>
      <c r="Y21">
        <f t="shared" si="20"/>
        <v>-10000000</v>
      </c>
      <c r="Z21" t="e">
        <f>D21*#REF!+E21</f>
        <v>#REF!</v>
      </c>
      <c r="AB21" s="115">
        <v>12</v>
      </c>
      <c r="AC21" s="115">
        <v>20000</v>
      </c>
      <c r="AD21" s="117">
        <v>-10000000</v>
      </c>
      <c r="AE21">
        <f t="shared" si="18"/>
        <v>-9760000</v>
      </c>
      <c r="AF21" s="115">
        <v>12</v>
      </c>
      <c r="AG21" s="115">
        <v>0</v>
      </c>
      <c r="AH21" s="117">
        <v>-9999999</v>
      </c>
      <c r="AK21">
        <v>29</v>
      </c>
      <c r="AL21">
        <f t="shared" si="6"/>
        <v>-166666.66666666666</v>
      </c>
      <c r="AM21">
        <f t="shared" si="7"/>
        <v>0</v>
      </c>
      <c r="AN21">
        <f t="shared" si="8"/>
        <v>-166666.66666666666</v>
      </c>
      <c r="AO21">
        <v>-9420000</v>
      </c>
    </row>
    <row r="22" spans="1:41" x14ac:dyDescent="0.15">
      <c r="A22" s="107"/>
      <c r="B22" s="107"/>
      <c r="C22" s="107"/>
      <c r="D22" s="126"/>
      <c r="E22" s="127"/>
      <c r="G22">
        <v>20</v>
      </c>
      <c r="H22">
        <f t="shared" si="14"/>
        <v>-1375000</v>
      </c>
      <c r="I22" s="141">
        <f t="shared" si="4"/>
        <v>-125000</v>
      </c>
      <c r="J22" s="141">
        <f t="shared" si="5"/>
        <v>1125000</v>
      </c>
      <c r="AB22" s="116">
        <v>6</v>
      </c>
      <c r="AC22" s="116">
        <v>20000</v>
      </c>
      <c r="AD22" s="118">
        <v>630000</v>
      </c>
      <c r="AE22">
        <f t="shared" si="18"/>
        <v>750000</v>
      </c>
      <c r="AF22" s="116">
        <v>6</v>
      </c>
      <c r="AG22" s="116">
        <v>0</v>
      </c>
      <c r="AH22" s="118">
        <v>750000</v>
      </c>
      <c r="AK22">
        <v>35</v>
      </c>
      <c r="AL22">
        <f t="shared" si="6"/>
        <v>-166666.66666666666</v>
      </c>
      <c r="AM22">
        <f t="shared" si="7"/>
        <v>0</v>
      </c>
      <c r="AN22">
        <f t="shared" si="8"/>
        <v>-166666.66666666666</v>
      </c>
      <c r="AO22">
        <v>-9300000</v>
      </c>
    </row>
    <row r="23" spans="1:41" x14ac:dyDescent="0.15">
      <c r="A23" s="107"/>
      <c r="B23" s="107"/>
      <c r="C23" s="107"/>
      <c r="D23" s="126"/>
      <c r="E23" s="127"/>
      <c r="G23">
        <v>21</v>
      </c>
      <c r="H23">
        <f t="shared" si="14"/>
        <v>-1500000</v>
      </c>
      <c r="I23" s="141">
        <f t="shared" si="4"/>
        <v>-125000</v>
      </c>
      <c r="J23" s="141">
        <f t="shared" si="5"/>
        <v>1125000</v>
      </c>
      <c r="AB23" s="116">
        <v>7</v>
      </c>
      <c r="AC23" s="116">
        <v>20000</v>
      </c>
      <c r="AD23" s="118">
        <v>360000</v>
      </c>
      <c r="AE23">
        <f t="shared" si="18"/>
        <v>500000</v>
      </c>
      <c r="AF23" s="116">
        <v>7</v>
      </c>
      <c r="AG23" s="116">
        <v>0</v>
      </c>
      <c r="AH23" s="118">
        <v>500000</v>
      </c>
      <c r="AK23">
        <v>36</v>
      </c>
      <c r="AL23">
        <f t="shared" si="6"/>
        <v>-166666.66666666666</v>
      </c>
      <c r="AM23">
        <f t="shared" si="7"/>
        <v>0</v>
      </c>
      <c r="AN23">
        <f t="shared" si="8"/>
        <v>-166666.66666666666</v>
      </c>
      <c r="AO23">
        <v>-9280000</v>
      </c>
    </row>
    <row r="24" spans="1:41" x14ac:dyDescent="0.15">
      <c r="A24" s="107"/>
      <c r="B24" s="107"/>
      <c r="C24" s="107"/>
      <c r="D24" s="126"/>
      <c r="E24" s="127"/>
      <c r="G24">
        <v>22</v>
      </c>
      <c r="H24">
        <f t="shared" si="14"/>
        <v>-1625000</v>
      </c>
      <c r="I24" s="141">
        <f t="shared" si="4"/>
        <v>-125000</v>
      </c>
      <c r="J24" s="141">
        <f t="shared" si="5"/>
        <v>1125000</v>
      </c>
      <c r="AB24" s="116">
        <v>8</v>
      </c>
      <c r="AC24" s="116">
        <v>20000</v>
      </c>
      <c r="AD24" s="118">
        <v>90000</v>
      </c>
      <c r="AE24">
        <f t="shared" si="18"/>
        <v>250000</v>
      </c>
      <c r="AF24" s="116">
        <v>8</v>
      </c>
      <c r="AG24" s="116">
        <v>0</v>
      </c>
      <c r="AH24" s="118">
        <v>250000</v>
      </c>
      <c r="AK24">
        <v>37</v>
      </c>
      <c r="AL24">
        <f t="shared" si="6"/>
        <v>-166666.66666666666</v>
      </c>
      <c r="AM24">
        <f t="shared" si="7"/>
        <v>0</v>
      </c>
      <c r="AN24">
        <f t="shared" si="8"/>
        <v>-166666.66666666666</v>
      </c>
      <c r="AO24">
        <v>-9260000</v>
      </c>
    </row>
    <row r="25" spans="1:41" x14ac:dyDescent="0.15">
      <c r="A25" s="107"/>
      <c r="B25" s="107"/>
      <c r="C25" s="107"/>
      <c r="D25" s="126"/>
      <c r="E25" s="127"/>
      <c r="G25">
        <v>23</v>
      </c>
      <c r="H25">
        <f t="shared" si="14"/>
        <v>-1750000</v>
      </c>
      <c r="I25" s="141">
        <f t="shared" si="4"/>
        <v>-125000</v>
      </c>
      <c r="J25" s="141">
        <f t="shared" si="5"/>
        <v>1125000</v>
      </c>
      <c r="AB25" s="116">
        <v>9</v>
      </c>
      <c r="AC25" s="116">
        <v>20000</v>
      </c>
      <c r="AD25" s="118">
        <v>-180000</v>
      </c>
      <c r="AE25">
        <f t="shared" si="18"/>
        <v>0</v>
      </c>
      <c r="AF25" s="116">
        <v>9</v>
      </c>
      <c r="AG25" s="116">
        <v>0</v>
      </c>
      <c r="AH25" s="118">
        <v>0</v>
      </c>
      <c r="AK25">
        <v>38</v>
      </c>
      <c r="AL25">
        <f t="shared" si="6"/>
        <v>-166666.66666666666</v>
      </c>
      <c r="AM25">
        <f t="shared" si="7"/>
        <v>0</v>
      </c>
      <c r="AN25">
        <f t="shared" si="8"/>
        <v>-166666.66666666666</v>
      </c>
      <c r="AO25">
        <v>-9240000</v>
      </c>
    </row>
    <row r="26" spans="1:41" x14ac:dyDescent="0.15">
      <c r="A26" s="107"/>
      <c r="B26" s="107"/>
      <c r="C26" s="107"/>
      <c r="D26" s="126"/>
      <c r="E26" s="127"/>
      <c r="G26">
        <v>24</v>
      </c>
      <c r="H26">
        <f t="shared" si="14"/>
        <v>-1875000</v>
      </c>
      <c r="I26" s="141">
        <f t="shared" si="4"/>
        <v>-125000</v>
      </c>
      <c r="J26" s="141">
        <f t="shared" si="5"/>
        <v>1125000</v>
      </c>
      <c r="AB26" s="116">
        <v>10</v>
      </c>
      <c r="AC26" s="116">
        <v>20000</v>
      </c>
      <c r="AD26" s="118">
        <v>-450000</v>
      </c>
      <c r="AE26">
        <f t="shared" si="18"/>
        <v>-250000</v>
      </c>
      <c r="AF26" s="116">
        <v>10</v>
      </c>
      <c r="AG26" s="116">
        <v>0</v>
      </c>
      <c r="AH26" s="118">
        <v>-250000</v>
      </c>
      <c r="AK26">
        <v>39</v>
      </c>
      <c r="AL26">
        <f t="shared" si="6"/>
        <v>-166666.66666666666</v>
      </c>
      <c r="AM26">
        <f t="shared" si="7"/>
        <v>0</v>
      </c>
      <c r="AN26">
        <f t="shared" si="8"/>
        <v>-166666.66666666666</v>
      </c>
      <c r="AO26">
        <v>-9220000</v>
      </c>
    </row>
    <row r="27" spans="1:41" x14ac:dyDescent="0.15">
      <c r="A27" s="107"/>
      <c r="B27" s="107"/>
      <c r="D27" s="126"/>
      <c r="E27" s="127"/>
      <c r="AB27" s="116">
        <v>12</v>
      </c>
      <c r="AC27" s="116">
        <v>20000</v>
      </c>
      <c r="AD27" s="118">
        <v>-740000</v>
      </c>
      <c r="AE27">
        <f t="shared" si="18"/>
        <v>-500000</v>
      </c>
      <c r="AF27" s="116">
        <v>12</v>
      </c>
      <c r="AG27" s="116">
        <v>0</v>
      </c>
      <c r="AH27" s="118">
        <v>-500000</v>
      </c>
      <c r="AK27">
        <v>40</v>
      </c>
      <c r="AL27">
        <f t="shared" si="6"/>
        <v>-166666.66666666666</v>
      </c>
      <c r="AM27">
        <f t="shared" si="7"/>
        <v>0</v>
      </c>
      <c r="AN27">
        <f t="shared" si="8"/>
        <v>-166666.66666666666</v>
      </c>
      <c r="AO27">
        <v>-9200000</v>
      </c>
    </row>
    <row r="28" spans="1:41" x14ac:dyDescent="0.15">
      <c r="AB28" s="116">
        <v>15</v>
      </c>
      <c r="AC28" s="116">
        <v>20000</v>
      </c>
      <c r="AD28" s="118">
        <v>-10000000</v>
      </c>
      <c r="AE28">
        <f t="shared" si="18"/>
        <v>-9700000</v>
      </c>
      <c r="AF28" s="116">
        <v>15</v>
      </c>
      <c r="AG28" s="116">
        <v>0</v>
      </c>
      <c r="AH28" s="118">
        <v>-9999999</v>
      </c>
    </row>
    <row r="29" spans="1:41" x14ac:dyDescent="0.15">
      <c r="AB29" s="115">
        <v>1</v>
      </c>
      <c r="AC29" s="115">
        <v>20000</v>
      </c>
      <c r="AD29" s="117">
        <v>2080000</v>
      </c>
      <c r="AE29">
        <f t="shared" si="18"/>
        <v>2100000</v>
      </c>
      <c r="AF29" s="115">
        <v>1</v>
      </c>
      <c r="AG29" s="115">
        <v>0</v>
      </c>
      <c r="AH29" s="117">
        <v>2100000</v>
      </c>
    </row>
    <row r="30" spans="1:41" x14ac:dyDescent="0.15">
      <c r="AB30" s="115">
        <v>9</v>
      </c>
      <c r="AC30" s="115">
        <v>20000</v>
      </c>
      <c r="AD30" s="117">
        <v>1820000</v>
      </c>
      <c r="AE30">
        <f t="shared" si="18"/>
        <v>2000000</v>
      </c>
      <c r="AF30" s="115">
        <v>9</v>
      </c>
      <c r="AG30" s="115">
        <v>0</v>
      </c>
      <c r="AH30" s="117">
        <v>2000000</v>
      </c>
    </row>
    <row r="31" spans="1:41" x14ac:dyDescent="0.15">
      <c r="AB31" s="115">
        <v>10</v>
      </c>
      <c r="AC31" s="115">
        <v>20000</v>
      </c>
      <c r="AD31" s="117">
        <v>1600000</v>
      </c>
      <c r="AE31">
        <f t="shared" si="18"/>
        <v>1800000</v>
      </c>
      <c r="AF31" s="115">
        <v>10</v>
      </c>
      <c r="AG31" s="115">
        <v>0</v>
      </c>
      <c r="AH31" s="117">
        <v>1800000</v>
      </c>
    </row>
    <row r="32" spans="1:41" x14ac:dyDescent="0.15">
      <c r="AB32" s="115">
        <v>11</v>
      </c>
      <c r="AC32" s="115">
        <v>20000</v>
      </c>
      <c r="AD32" s="117">
        <v>1280000</v>
      </c>
      <c r="AE32">
        <f t="shared" si="18"/>
        <v>1500000</v>
      </c>
      <c r="AF32" s="115">
        <v>11</v>
      </c>
      <c r="AG32" s="115">
        <v>0</v>
      </c>
      <c r="AH32" s="117">
        <v>1500000</v>
      </c>
    </row>
    <row r="33" spans="28:34" x14ac:dyDescent="0.15">
      <c r="AB33" s="115">
        <v>12</v>
      </c>
      <c r="AC33" s="115">
        <v>20000</v>
      </c>
      <c r="AD33" s="117">
        <v>760000</v>
      </c>
      <c r="AE33">
        <f t="shared" si="18"/>
        <v>1000000</v>
      </c>
      <c r="AF33" s="115">
        <v>12</v>
      </c>
      <c r="AG33" s="115">
        <v>0</v>
      </c>
      <c r="AH33" s="117">
        <v>1000000</v>
      </c>
    </row>
    <row r="34" spans="28:34" x14ac:dyDescent="0.15">
      <c r="AB34" s="115">
        <v>14</v>
      </c>
      <c r="AC34" s="115">
        <v>20000</v>
      </c>
      <c r="AD34" s="117">
        <v>220000</v>
      </c>
      <c r="AE34">
        <f t="shared" si="18"/>
        <v>500000</v>
      </c>
      <c r="AF34" s="115">
        <v>14</v>
      </c>
      <c r="AG34" s="115">
        <v>0</v>
      </c>
      <c r="AH34" s="117">
        <v>500000</v>
      </c>
    </row>
    <row r="35" spans="28:34" x14ac:dyDescent="0.15">
      <c r="AB35" s="115">
        <v>16</v>
      </c>
      <c r="AC35" s="115">
        <v>20000</v>
      </c>
      <c r="AD35" s="117">
        <v>-320000</v>
      </c>
      <c r="AE35">
        <f t="shared" si="18"/>
        <v>0</v>
      </c>
      <c r="AF35" s="115">
        <v>16</v>
      </c>
      <c r="AG35" s="115">
        <v>0</v>
      </c>
      <c r="AH35" s="117">
        <v>0</v>
      </c>
    </row>
    <row r="36" spans="28:34" x14ac:dyDescent="0.15">
      <c r="AB36" s="115">
        <v>20</v>
      </c>
      <c r="AC36" s="115">
        <v>20000</v>
      </c>
      <c r="AD36" s="117">
        <v>-10000000</v>
      </c>
      <c r="AE36">
        <f t="shared" si="18"/>
        <v>-9600000</v>
      </c>
      <c r="AF36" s="115">
        <v>20</v>
      </c>
      <c r="AG36" s="115">
        <v>0</v>
      </c>
      <c r="AH36" s="117">
        <v>-9999999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zoomScale="116" zoomScaleNormal="175" zoomScalePageLayoutView="175" workbookViewId="0">
      <selection activeCell="C28" sqref="C28"/>
    </sheetView>
  </sheetViews>
  <sheetFormatPr baseColWidth="12" defaultRowHeight="15" x14ac:dyDescent="0.15"/>
  <sheetData>
    <row r="1" spans="1:44" x14ac:dyDescent="0.15">
      <c r="A1" s="57" t="s">
        <v>255</v>
      </c>
      <c r="B1" s="57" t="s">
        <v>256</v>
      </c>
      <c r="C1" s="57" t="s">
        <v>312</v>
      </c>
      <c r="D1" s="57" t="s">
        <v>257</v>
      </c>
      <c r="E1" s="57" t="s">
        <v>258</v>
      </c>
      <c r="H1" s="57" t="s">
        <v>255</v>
      </c>
      <c r="I1" s="57" t="s">
        <v>256</v>
      </c>
      <c r="J1" s="57" t="s">
        <v>312</v>
      </c>
      <c r="K1" s="57" t="s">
        <v>257</v>
      </c>
      <c r="L1" s="57" t="s">
        <v>258</v>
      </c>
      <c r="R1" s="57" t="s">
        <v>336</v>
      </c>
      <c r="S1" s="57" t="s">
        <v>256</v>
      </c>
      <c r="T1" s="57" t="s">
        <v>312</v>
      </c>
      <c r="U1" s="57" t="s">
        <v>257</v>
      </c>
      <c r="V1" s="57" t="s">
        <v>258</v>
      </c>
      <c r="Z1" s="57" t="s">
        <v>322</v>
      </c>
      <c r="AA1" s="132" t="s">
        <v>320</v>
      </c>
      <c r="AB1" s="132" t="s">
        <v>319</v>
      </c>
      <c r="AC1" s="132" t="s">
        <v>321</v>
      </c>
      <c r="AE1" s="132" t="s">
        <v>324</v>
      </c>
      <c r="AF1" s="132" t="s">
        <v>325</v>
      </c>
      <c r="AJ1" s="132" t="s">
        <v>323</v>
      </c>
      <c r="AK1" s="132" t="s">
        <v>312</v>
      </c>
      <c r="AL1" s="132" t="s">
        <v>257</v>
      </c>
      <c r="AM1" s="132" t="s">
        <v>258</v>
      </c>
      <c r="AO1" s="132" t="s">
        <v>327</v>
      </c>
      <c r="AP1" s="132" t="s">
        <v>312</v>
      </c>
      <c r="AQ1" s="132" t="s">
        <v>328</v>
      </c>
      <c r="AR1" s="132" t="s">
        <v>329</v>
      </c>
    </row>
    <row r="2" spans="1:44" x14ac:dyDescent="0.15">
      <c r="A2" s="115">
        <v>6001011</v>
      </c>
      <c r="B2" s="115">
        <v>0</v>
      </c>
      <c r="C2" s="61">
        <v>0</v>
      </c>
      <c r="D2" s="138">
        <f t="shared" ref="D2" si="0">(C3-C2)/(B3-B2)</f>
        <v>4</v>
      </c>
      <c r="E2" s="139">
        <f t="shared" ref="E2" si="1">C2-D2*B2</f>
        <v>0</v>
      </c>
      <c r="H2" s="115">
        <v>6001011</v>
      </c>
      <c r="I2" s="115">
        <v>0</v>
      </c>
      <c r="J2" s="61">
        <v>0</v>
      </c>
      <c r="K2" s="138">
        <f t="shared" ref="K2:K3" si="2">(J3-J2)/(I3-I2)</f>
        <v>2.3529411764705883</v>
      </c>
      <c r="L2" s="139">
        <f t="shared" ref="L2:L3" si="3">J2-K2*I2</f>
        <v>0</v>
      </c>
      <c r="R2" s="115">
        <v>6001011</v>
      </c>
      <c r="S2" s="115">
        <v>0</v>
      </c>
      <c r="T2" s="129">
        <v>0</v>
      </c>
      <c r="U2" s="138">
        <f t="shared" ref="U2:U5" si="4">(T3-T2)/(S3-S2)</f>
        <v>3.0769230769230771</v>
      </c>
      <c r="V2" s="139">
        <f t="shared" ref="V2:V5" si="5">T2-U2*S2</f>
        <v>0</v>
      </c>
      <c r="Z2" s="115">
        <v>6001011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6">
        <f>VLOOKUP(AO2,B$2:E$5,3)</f>
        <v>4</v>
      </c>
      <c r="AR2">
        <f>VLOOKUP(AO2,B$2:E$5,4)</f>
        <v>0</v>
      </c>
    </row>
    <row r="3" spans="1:44" x14ac:dyDescent="0.15">
      <c r="A3" s="115">
        <v>6001011</v>
      </c>
      <c r="B3" s="115">
        <v>85000</v>
      </c>
      <c r="C3" s="61">
        <f>B3*SQRT(D28)*4</f>
        <v>340000</v>
      </c>
      <c r="D3" s="138">
        <f t="shared" ref="D3" si="6">(C4-C3)/(B4-B3)</f>
        <v>4.2000000000000037</v>
      </c>
      <c r="E3" s="139">
        <f t="shared" ref="E3" si="7">C3-D3*B3</f>
        <v>-17000.000000000291</v>
      </c>
      <c r="F3" s="142">
        <v>1</v>
      </c>
      <c r="H3" s="115">
        <v>6001011</v>
      </c>
      <c r="I3" s="115">
        <v>85000</v>
      </c>
      <c r="J3" s="61">
        <f>600000/3</f>
        <v>200000</v>
      </c>
      <c r="K3" s="138">
        <f t="shared" si="2"/>
        <v>4</v>
      </c>
      <c r="L3" s="139">
        <f t="shared" si="3"/>
        <v>-140000</v>
      </c>
      <c r="M3" s="142">
        <v>1</v>
      </c>
      <c r="R3" s="115">
        <v>6001011</v>
      </c>
      <c r="S3" s="115">
        <v>65000</v>
      </c>
      <c r="T3" s="129">
        <v>200000</v>
      </c>
      <c r="U3" s="138">
        <f t="shared" si="4"/>
        <v>10</v>
      </c>
      <c r="V3" s="139">
        <f t="shared" si="5"/>
        <v>-450000</v>
      </c>
      <c r="Z3" s="115">
        <v>6001011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5">
        <v>2100000</v>
      </c>
      <c r="AP3">
        <f>AQ3*AO3+AR3</f>
        <v>2100000</v>
      </c>
      <c r="AQ3" s="136">
        <f>VLOOKUP(AO3,B$20:E$25,3,TRUE)</f>
        <v>1.0500000000000012</v>
      </c>
      <c r="AR3">
        <f>VLOOKUP(AO3,B$20:E$25,4)</f>
        <v>-105000.00000000233</v>
      </c>
    </row>
    <row r="4" spans="1:44" x14ac:dyDescent="0.15">
      <c r="A4" s="115">
        <v>6001011</v>
      </c>
      <c r="B4" s="115">
        <f>B3*1.2</f>
        <v>102000</v>
      </c>
      <c r="C4" s="61">
        <f>C3*SQRT(D29)^2</f>
        <v>411400.00000000006</v>
      </c>
      <c r="D4" s="138">
        <f>(C5-C4)/(B5-B4)</f>
        <v>4.1333333333333311</v>
      </c>
      <c r="E4" s="139">
        <f>C4-D4*B4</f>
        <v>-10199.999999999709</v>
      </c>
      <c r="F4" s="142">
        <v>1.2</v>
      </c>
      <c r="H4" s="115">
        <v>6001011</v>
      </c>
      <c r="I4" s="115">
        <v>95000</v>
      </c>
      <c r="J4" s="61">
        <f>J3+J3*0.2</f>
        <v>240000</v>
      </c>
      <c r="K4" s="138">
        <f>(J5-J4)/(I5-I4)</f>
        <v>12</v>
      </c>
      <c r="L4" s="139">
        <f>J4-K4*I4</f>
        <v>-900000</v>
      </c>
      <c r="M4" s="142">
        <v>1.2</v>
      </c>
      <c r="R4" s="115">
        <v>6001011</v>
      </c>
      <c r="S4" s="115">
        <v>80000</v>
      </c>
      <c r="T4" s="129">
        <v>350000</v>
      </c>
      <c r="U4" s="138">
        <f t="shared" si="4"/>
        <v>10</v>
      </c>
      <c r="V4" s="139">
        <f t="shared" si="5"/>
        <v>-450000</v>
      </c>
      <c r="Z4" s="115">
        <v>6001011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5">
        <v>2110000</v>
      </c>
      <c r="AP4">
        <f t="shared" ref="AP4:AP67" si="8">AQ4*AO4+AR4</f>
        <v>2110500</v>
      </c>
      <c r="AQ4" s="136">
        <f>VLOOKUP(AO4,B$20:E$25,3,TRUE)</f>
        <v>1.0500000000000012</v>
      </c>
      <c r="AR4">
        <f>VLOOKUP(AO4,B$20:E$25,4)</f>
        <v>-105000.00000000233</v>
      </c>
    </row>
    <row r="5" spans="1:44" x14ac:dyDescent="0.15">
      <c r="A5" s="115">
        <v>6001011</v>
      </c>
      <c r="B5" s="115">
        <f>B3*1.5</f>
        <v>127500</v>
      </c>
      <c r="C5" s="61">
        <f>C3*SQRT(D30)^2</f>
        <v>516800</v>
      </c>
      <c r="D5" s="135">
        <v>0.01</v>
      </c>
      <c r="E5" s="140">
        <f>C5-D5*B5</f>
        <v>515525</v>
      </c>
      <c r="F5" s="142">
        <v>1.5</v>
      </c>
      <c r="H5" s="115">
        <v>6001011</v>
      </c>
      <c r="I5" s="115">
        <v>100000</v>
      </c>
      <c r="J5" s="61">
        <f>J3+J3*0.5</f>
        <v>300000</v>
      </c>
      <c r="K5" s="135">
        <v>0.05</v>
      </c>
      <c r="L5" s="140">
        <f>J5-K5*I5</f>
        <v>295000</v>
      </c>
      <c r="M5" s="142">
        <v>1.5</v>
      </c>
      <c r="R5" s="115">
        <v>6001011</v>
      </c>
      <c r="S5" s="115">
        <v>85000</v>
      </c>
      <c r="T5" s="129">
        <v>400000</v>
      </c>
      <c r="U5" s="138">
        <f t="shared" si="4"/>
        <v>5</v>
      </c>
      <c r="V5" s="139">
        <f t="shared" si="5"/>
        <v>-25000</v>
      </c>
      <c r="Z5" s="115">
        <v>6001011</v>
      </c>
      <c r="AA5">
        <v>75000</v>
      </c>
      <c r="AB5">
        <v>300000</v>
      </c>
      <c r="AC5">
        <v>300000</v>
      </c>
      <c r="AE5">
        <f>D3*B3+E3</f>
        <v>340000</v>
      </c>
      <c r="AF5">
        <f>D3*B4+E3</f>
        <v>411400.00000000012</v>
      </c>
      <c r="AJ5">
        <v>3000</v>
      </c>
      <c r="AK5">
        <v>150</v>
      </c>
      <c r="AL5">
        <v>0.05</v>
      </c>
      <c r="AM5">
        <v>0</v>
      </c>
      <c r="AO5" s="115">
        <v>2120000</v>
      </c>
      <c r="AP5">
        <f t="shared" si="8"/>
        <v>2121000</v>
      </c>
      <c r="AQ5" s="136">
        <f t="shared" ref="AQ5:AQ68" si="9">VLOOKUP(AO5,B$20:E$25,3,TRUE)</f>
        <v>1.0500000000000012</v>
      </c>
      <c r="AR5">
        <f t="shared" ref="AR5:AR68" si="10">VLOOKUP(AO5,B$20:E$25,4)</f>
        <v>-105000.00000000233</v>
      </c>
    </row>
    <row r="6" spans="1:44" x14ac:dyDescent="0.15">
      <c r="A6" s="116">
        <v>6001012</v>
      </c>
      <c r="B6" s="116">
        <v>0</v>
      </c>
      <c r="C6" s="61">
        <v>0</v>
      </c>
      <c r="D6" s="138">
        <f t="shared" ref="D6" si="11">(C7-C6)/(B7-B6)</f>
        <v>2.5</v>
      </c>
      <c r="E6" s="139">
        <f t="shared" ref="E6" si="12">C6-D6*B6</f>
        <v>0</v>
      </c>
      <c r="H6" s="116">
        <v>6001012</v>
      </c>
      <c r="I6" s="116">
        <v>0</v>
      </c>
      <c r="J6" s="61">
        <v>0</v>
      </c>
      <c r="K6" s="138">
        <f t="shared" ref="K6:K7" si="13">(J7-J6)/(I7-I6)</f>
        <v>1.1111111111111112</v>
      </c>
      <c r="L6" s="139">
        <f t="shared" ref="L6:L7" si="14">J6-K6*I6</f>
        <v>0</v>
      </c>
      <c r="R6" s="115">
        <v>6001011</v>
      </c>
      <c r="S6" s="115">
        <v>95000</v>
      </c>
      <c r="T6" s="129">
        <v>450000</v>
      </c>
      <c r="U6" s="138">
        <f>(T7-T6)/(S7-S6)</f>
        <v>5</v>
      </c>
      <c r="V6" s="139">
        <f>T6-U6*S6</f>
        <v>-25000</v>
      </c>
      <c r="Z6" s="115">
        <v>6001011</v>
      </c>
      <c r="AA6">
        <v>80000</v>
      </c>
      <c r="AB6">
        <v>350000</v>
      </c>
      <c r="AC6">
        <v>350000</v>
      </c>
      <c r="AE6">
        <f>D4*B4+E4</f>
        <v>411400.00000000006</v>
      </c>
      <c r="AF6">
        <f>D4*B5+E4</f>
        <v>516800.00000000006</v>
      </c>
      <c r="AJ6">
        <v>4000</v>
      </c>
      <c r="AK6">
        <v>200</v>
      </c>
      <c r="AL6">
        <v>0.05</v>
      </c>
      <c r="AM6">
        <v>0</v>
      </c>
      <c r="AO6" s="115">
        <v>2130000</v>
      </c>
      <c r="AP6">
        <f t="shared" si="8"/>
        <v>2131500</v>
      </c>
      <c r="AQ6" s="136">
        <f t="shared" si="9"/>
        <v>1.0500000000000012</v>
      </c>
      <c r="AR6">
        <f t="shared" si="10"/>
        <v>-105000.00000000233</v>
      </c>
    </row>
    <row r="7" spans="1:44" x14ac:dyDescent="0.15">
      <c r="A7" s="116">
        <v>6001012</v>
      </c>
      <c r="B7" s="116">
        <v>180000</v>
      </c>
      <c r="C7" s="61">
        <f>B7*SQRT(D28)*2.5</f>
        <v>450000</v>
      </c>
      <c r="D7" s="138">
        <f t="shared" ref="D7" si="15">(C8-C7)/(B8-B7)</f>
        <v>2.6250000000000031</v>
      </c>
      <c r="E7" s="139">
        <f t="shared" ref="E7" si="16">C7-D7*B7</f>
        <v>-22500.000000000582</v>
      </c>
      <c r="F7" s="142">
        <v>1</v>
      </c>
      <c r="H7" s="116">
        <v>6001012</v>
      </c>
      <c r="I7" s="116">
        <v>180000</v>
      </c>
      <c r="J7" s="61">
        <f>600000/3</f>
        <v>200000</v>
      </c>
      <c r="K7" s="138">
        <f t="shared" si="13"/>
        <v>2</v>
      </c>
      <c r="L7" s="139">
        <f t="shared" si="14"/>
        <v>-160000</v>
      </c>
      <c r="M7" s="142">
        <v>1</v>
      </c>
      <c r="R7" s="115">
        <v>6001011</v>
      </c>
      <c r="S7" s="115">
        <v>100000</v>
      </c>
      <c r="T7" s="129">
        <v>475000</v>
      </c>
      <c r="U7" s="135">
        <v>0.05</v>
      </c>
      <c r="V7" s="140">
        <f>T7-U7*S7</f>
        <v>470000</v>
      </c>
      <c r="Z7" s="115">
        <v>6001011</v>
      </c>
      <c r="AA7">
        <v>85000</v>
      </c>
      <c r="AB7">
        <v>400000</v>
      </c>
      <c r="AC7">
        <v>400000</v>
      </c>
      <c r="AE7">
        <f>D5*B5+E5</f>
        <v>516800</v>
      </c>
      <c r="AF7" t="s">
        <v>326</v>
      </c>
      <c r="AJ7">
        <v>5000</v>
      </c>
      <c r="AK7">
        <v>250</v>
      </c>
      <c r="AL7">
        <v>0.05</v>
      </c>
      <c r="AM7">
        <v>0</v>
      </c>
      <c r="AO7" s="115">
        <v>2140000</v>
      </c>
      <c r="AP7">
        <f t="shared" si="8"/>
        <v>2142000</v>
      </c>
      <c r="AQ7" s="136">
        <f t="shared" si="9"/>
        <v>1.0500000000000012</v>
      </c>
      <c r="AR7">
        <f t="shared" si="10"/>
        <v>-105000.00000000233</v>
      </c>
    </row>
    <row r="8" spans="1:44" x14ac:dyDescent="0.15">
      <c r="A8" s="116">
        <v>6001012</v>
      </c>
      <c r="B8" s="116">
        <f>B7*1.2</f>
        <v>216000</v>
      </c>
      <c r="C8" s="61">
        <f>C7*SQRT(D29)^2</f>
        <v>544500.00000000012</v>
      </c>
      <c r="D8" s="138">
        <f>(C9-C8)/(B9-B8)</f>
        <v>2.5833333333333313</v>
      </c>
      <c r="E8" s="139">
        <f>C8-D8*B8</f>
        <v>-13499.999999999418</v>
      </c>
      <c r="F8" s="142">
        <v>1.2</v>
      </c>
      <c r="H8" s="116">
        <v>6001012</v>
      </c>
      <c r="I8" s="116">
        <v>200000</v>
      </c>
      <c r="J8" s="61">
        <f>J7+J7*0.2</f>
        <v>240000</v>
      </c>
      <c r="K8" s="138">
        <f>(J9-J8)/(I9-I8)</f>
        <v>3</v>
      </c>
      <c r="L8" s="139">
        <f>J8-K8*I8</f>
        <v>-360000</v>
      </c>
      <c r="M8" s="142">
        <v>1.2</v>
      </c>
      <c r="R8" s="116">
        <v>6001012</v>
      </c>
      <c r="S8" s="116">
        <v>0</v>
      </c>
      <c r="T8" s="129">
        <v>0</v>
      </c>
      <c r="U8" s="138">
        <f t="shared" ref="U8:U16" si="17">(T9-T8)/(S9-S8)</f>
        <v>4.2857142857142856</v>
      </c>
      <c r="V8" s="139">
        <f t="shared" ref="V8:V16" si="18">T8-U8*S8</f>
        <v>0</v>
      </c>
      <c r="Z8" s="115">
        <v>6001011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5">
        <v>2150000</v>
      </c>
      <c r="AP8">
        <f t="shared" si="8"/>
        <v>2152500</v>
      </c>
      <c r="AQ8" s="136">
        <f t="shared" si="9"/>
        <v>1.0500000000000012</v>
      </c>
      <c r="AR8">
        <f t="shared" si="10"/>
        <v>-105000.00000000233</v>
      </c>
    </row>
    <row r="9" spans="1:44" x14ac:dyDescent="0.15">
      <c r="A9" s="116">
        <v>6001012</v>
      </c>
      <c r="B9" s="116">
        <f>B7*1.5</f>
        <v>270000</v>
      </c>
      <c r="C9" s="61">
        <f>C7*SQRT(D30)^2</f>
        <v>684000</v>
      </c>
      <c r="D9" s="135">
        <v>0.01</v>
      </c>
      <c r="E9" s="140">
        <f>C9-D9*B9</f>
        <v>681300</v>
      </c>
      <c r="F9" s="142">
        <v>1.5</v>
      </c>
      <c r="H9" s="116">
        <v>6001012</v>
      </c>
      <c r="I9" s="116">
        <v>220000</v>
      </c>
      <c r="J9" s="61">
        <f>J7+J7*0.5</f>
        <v>300000</v>
      </c>
      <c r="K9" s="135">
        <v>0.05</v>
      </c>
      <c r="L9" s="140">
        <f>J9-K9*I9</f>
        <v>289000</v>
      </c>
      <c r="M9" s="142">
        <v>1.5</v>
      </c>
      <c r="R9" s="116">
        <v>6001012</v>
      </c>
      <c r="S9" s="116">
        <v>70000</v>
      </c>
      <c r="T9" s="129">
        <v>300000</v>
      </c>
      <c r="U9" s="138">
        <f t="shared" si="17"/>
        <v>2.5</v>
      </c>
      <c r="V9" s="139">
        <f t="shared" si="18"/>
        <v>125000</v>
      </c>
      <c r="Z9" s="115">
        <v>6001011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5">
        <v>2160000</v>
      </c>
      <c r="AP9">
        <f t="shared" si="8"/>
        <v>2163000</v>
      </c>
      <c r="AQ9" s="136">
        <f t="shared" si="9"/>
        <v>1.0500000000000012</v>
      </c>
      <c r="AR9">
        <f t="shared" si="10"/>
        <v>-105000.00000000233</v>
      </c>
    </row>
    <row r="10" spans="1:44" x14ac:dyDescent="0.15">
      <c r="A10" s="115">
        <v>6001013</v>
      </c>
      <c r="B10" s="115">
        <v>0</v>
      </c>
      <c r="C10" s="61">
        <v>0</v>
      </c>
      <c r="D10" s="138">
        <f t="shared" ref="D10" si="19">(C11-C10)/(B11-B10)</f>
        <v>1</v>
      </c>
      <c r="E10" s="139">
        <f t="shared" ref="E10" si="20">C10-D10*B10</f>
        <v>0</v>
      </c>
      <c r="H10" s="115">
        <v>6001013</v>
      </c>
      <c r="I10" s="115">
        <v>0</v>
      </c>
      <c r="J10" s="61">
        <v>0</v>
      </c>
      <c r="K10" s="138">
        <f t="shared" ref="K10:K11" si="21">(J11-J10)/(I11-I10)</f>
        <v>0.61538461538461542</v>
      </c>
      <c r="L10" s="139">
        <f t="shared" ref="L10:L11" si="22">J10-K10*I10</f>
        <v>0</v>
      </c>
      <c r="R10" s="116">
        <v>6001012</v>
      </c>
      <c r="S10" s="116">
        <v>80000</v>
      </c>
      <c r="T10" s="129">
        <v>325000</v>
      </c>
      <c r="U10" s="138">
        <f t="shared" si="17"/>
        <v>2.5</v>
      </c>
      <c r="V10" s="139">
        <f t="shared" si="18"/>
        <v>125000</v>
      </c>
      <c r="Z10" s="115">
        <v>6001011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5">
        <v>2170000</v>
      </c>
      <c r="AP10">
        <f t="shared" si="8"/>
        <v>2173500</v>
      </c>
      <c r="AQ10" s="136">
        <f t="shared" si="9"/>
        <v>1.0500000000000012</v>
      </c>
      <c r="AR10">
        <f t="shared" si="10"/>
        <v>-105000.00000000233</v>
      </c>
    </row>
    <row r="11" spans="1:44" x14ac:dyDescent="0.15">
      <c r="A11" s="115">
        <v>6001013</v>
      </c>
      <c r="B11" s="115">
        <v>650000</v>
      </c>
      <c r="C11" s="61">
        <f>B11*SQRT(D28)*1</f>
        <v>650000</v>
      </c>
      <c r="D11" s="138">
        <f t="shared" ref="D11" si="23">(C12-C11)/(B12-B11)</f>
        <v>1.0500000000000009</v>
      </c>
      <c r="E11" s="139">
        <f t="shared" ref="E11" si="24">C11-D11*B11</f>
        <v>-32500.000000000582</v>
      </c>
      <c r="F11" s="142">
        <v>1</v>
      </c>
      <c r="H11" s="115">
        <v>6001013</v>
      </c>
      <c r="I11" s="115">
        <v>650000</v>
      </c>
      <c r="J11" s="61">
        <f>1200000/3</f>
        <v>400000</v>
      </c>
      <c r="K11" s="138">
        <f t="shared" si="21"/>
        <v>3.8</v>
      </c>
      <c r="L11" s="139">
        <f t="shared" si="22"/>
        <v>-2070000</v>
      </c>
      <c r="M11" s="142">
        <v>1</v>
      </c>
      <c r="R11" s="116">
        <v>6001012</v>
      </c>
      <c r="S11" s="116">
        <v>100000</v>
      </c>
      <c r="T11" s="129">
        <v>375000</v>
      </c>
      <c r="U11" s="138">
        <f t="shared" si="17"/>
        <v>2.5</v>
      </c>
      <c r="V11" s="139">
        <f t="shared" si="18"/>
        <v>125000</v>
      </c>
      <c r="Z11" s="116">
        <v>6001012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5">
        <v>2180000</v>
      </c>
      <c r="AP11">
        <f t="shared" si="8"/>
        <v>2184000</v>
      </c>
      <c r="AQ11" s="136">
        <f t="shared" si="9"/>
        <v>1.0500000000000012</v>
      </c>
      <c r="AR11">
        <f t="shared" si="10"/>
        <v>-105000.00000000233</v>
      </c>
    </row>
    <row r="12" spans="1:44" x14ac:dyDescent="0.15">
      <c r="A12" s="115">
        <v>6001013</v>
      </c>
      <c r="B12" s="115">
        <f>B11*1.2</f>
        <v>780000</v>
      </c>
      <c r="C12" s="61">
        <f>C11*SQRT(D29)^2</f>
        <v>786500.00000000012</v>
      </c>
      <c r="D12" s="138">
        <f>(C13-C12)/(B13-B12)</f>
        <v>1.0333333333333328</v>
      </c>
      <c r="E12" s="139">
        <f>C12-D12*B12</f>
        <v>-19499.999999999418</v>
      </c>
      <c r="F12" s="142">
        <v>1.2</v>
      </c>
      <c r="H12" s="115">
        <v>6001013</v>
      </c>
      <c r="I12" s="115">
        <v>750000</v>
      </c>
      <c r="J12" s="61">
        <f>$C$11+$C$11*0.2</f>
        <v>780000</v>
      </c>
      <c r="K12" s="138">
        <f>(J15-J12)/(I15-I12)</f>
        <v>1.8777777777777778</v>
      </c>
      <c r="L12" s="139">
        <f>J12-K12*I12</f>
        <v>-628333.33333333326</v>
      </c>
      <c r="M12" s="142">
        <v>1.2</v>
      </c>
      <c r="R12" s="116">
        <v>6001012</v>
      </c>
      <c r="S12" s="116">
        <v>130000</v>
      </c>
      <c r="T12" s="129">
        <v>450000</v>
      </c>
      <c r="U12" s="138">
        <f t="shared" si="17"/>
        <v>1.6666666666666667</v>
      </c>
      <c r="V12" s="139">
        <f t="shared" si="18"/>
        <v>233333.33333333331</v>
      </c>
      <c r="Z12" s="116">
        <v>6001012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5">
        <v>2190000</v>
      </c>
      <c r="AP12">
        <f t="shared" si="8"/>
        <v>2194500</v>
      </c>
      <c r="AQ12" s="136">
        <f t="shared" si="9"/>
        <v>1.0500000000000012</v>
      </c>
      <c r="AR12">
        <f t="shared" si="10"/>
        <v>-105000.00000000233</v>
      </c>
    </row>
    <row r="13" spans="1:44" x14ac:dyDescent="0.15">
      <c r="A13" s="115">
        <v>6001013</v>
      </c>
      <c r="B13" s="115">
        <f>B11*1.5</f>
        <v>975000</v>
      </c>
      <c r="C13" s="61">
        <f>C11*SQRT(D30)^2</f>
        <v>988000</v>
      </c>
      <c r="D13" s="138">
        <f>(C14-C13)/(B14-B13)</f>
        <v>1.0199999999999994</v>
      </c>
      <c r="E13" s="139">
        <f t="shared" ref="E13:E14" si="25">C13-D13*B13</f>
        <v>-6499.9999999994179</v>
      </c>
      <c r="F13" s="142">
        <v>1.5</v>
      </c>
      <c r="H13" s="115">
        <v>6001013</v>
      </c>
      <c r="I13" s="115">
        <v>850000</v>
      </c>
      <c r="J13" s="61">
        <f>$C$11+$C$11*0.5</f>
        <v>975000</v>
      </c>
      <c r="K13" s="138">
        <f t="shared" ref="K13:K14" si="26">(J16-J13)/(I16-I13)</f>
        <v>1.1470588235294117</v>
      </c>
      <c r="L13" s="139">
        <f t="shared" ref="L13:L14" si="27">J13-K13*I13</f>
        <v>0</v>
      </c>
      <c r="M13" s="142">
        <v>1.5</v>
      </c>
      <c r="R13" s="116">
        <v>6001012</v>
      </c>
      <c r="S13" s="116">
        <v>160000</v>
      </c>
      <c r="T13" s="129">
        <v>500000</v>
      </c>
      <c r="U13" s="138">
        <f t="shared" si="17"/>
        <v>1.6666666666666667</v>
      </c>
      <c r="V13" s="139">
        <f t="shared" si="18"/>
        <v>233333.33333333331</v>
      </c>
      <c r="Z13" s="116">
        <v>6001012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5">
        <v>2200000</v>
      </c>
      <c r="AP13">
        <f t="shared" si="8"/>
        <v>2205000</v>
      </c>
      <c r="AQ13" s="136">
        <f t="shared" si="9"/>
        <v>1.0500000000000012</v>
      </c>
      <c r="AR13">
        <f t="shared" si="10"/>
        <v>-105000.00000000233</v>
      </c>
    </row>
    <row r="14" spans="1:44" x14ac:dyDescent="0.15">
      <c r="A14" s="115">
        <v>6001013</v>
      </c>
      <c r="B14" s="115">
        <f>B11*2</f>
        <v>1300000</v>
      </c>
      <c r="C14" s="61">
        <f>C11*SQRT(D31)^2</f>
        <v>1319499.9999999998</v>
      </c>
      <c r="D14" s="138">
        <f>(C15-C14)/(B15-B14)</f>
        <v>1</v>
      </c>
      <c r="E14" s="139">
        <f t="shared" si="25"/>
        <v>19499.999999999767</v>
      </c>
      <c r="F14" s="142">
        <v>2</v>
      </c>
      <c r="H14" s="115">
        <v>6001013</v>
      </c>
      <c r="I14" s="115">
        <v>1000000</v>
      </c>
      <c r="J14" s="61">
        <f>$C$11+$C$11*1</f>
        <v>1300000</v>
      </c>
      <c r="K14" s="138">
        <f t="shared" si="26"/>
        <v>4.2</v>
      </c>
      <c r="L14" s="139">
        <f t="shared" si="27"/>
        <v>-2900000</v>
      </c>
      <c r="M14" s="142">
        <v>2</v>
      </c>
      <c r="R14" s="116">
        <v>6001012</v>
      </c>
      <c r="S14" s="116">
        <v>190000</v>
      </c>
      <c r="T14" s="129">
        <v>550000</v>
      </c>
      <c r="U14" s="138">
        <f t="shared" si="17"/>
        <v>0.83333333333333337</v>
      </c>
      <c r="V14" s="139">
        <f t="shared" si="18"/>
        <v>391666.66666666663</v>
      </c>
      <c r="Z14" s="116">
        <v>6001012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5">
        <v>2210000</v>
      </c>
      <c r="AP14">
        <f t="shared" si="8"/>
        <v>2215500</v>
      </c>
      <c r="AQ14" s="136">
        <f t="shared" si="9"/>
        <v>1.0500000000000012</v>
      </c>
      <c r="AR14">
        <f t="shared" si="10"/>
        <v>-105000.00000000233</v>
      </c>
    </row>
    <row r="15" spans="1:44" x14ac:dyDescent="0.15">
      <c r="A15" s="115">
        <v>6001013</v>
      </c>
      <c r="B15" s="115">
        <f>B11*2.5</f>
        <v>1625000</v>
      </c>
      <c r="C15" s="61">
        <f>C11*SQRT(D32)^2</f>
        <v>1644499.9999999998</v>
      </c>
      <c r="D15" s="135">
        <v>0.01</v>
      </c>
      <c r="E15" s="140">
        <f>C15-D15*B15</f>
        <v>1628249.9999999998</v>
      </c>
      <c r="F15" s="142">
        <v>2.5</v>
      </c>
      <c r="H15" s="115">
        <v>6001013</v>
      </c>
      <c r="I15" s="115">
        <v>1200000</v>
      </c>
      <c r="J15" s="61">
        <f>$C$11+$C$11*1.5</f>
        <v>1625000</v>
      </c>
      <c r="K15" s="135">
        <v>0.05</v>
      </c>
      <c r="L15" s="140">
        <f>J15-K15*I15</f>
        <v>1565000</v>
      </c>
      <c r="M15" s="142">
        <v>2.5</v>
      </c>
      <c r="R15" s="116">
        <v>6001012</v>
      </c>
      <c r="S15" s="116">
        <v>250000</v>
      </c>
      <c r="T15" s="129">
        <v>600000</v>
      </c>
      <c r="U15" s="138">
        <f t="shared" si="17"/>
        <v>0.66666666666666663</v>
      </c>
      <c r="V15" s="139">
        <f t="shared" si="18"/>
        <v>433333.33333333337</v>
      </c>
      <c r="Z15" s="116">
        <v>6001012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5">
        <v>2220000</v>
      </c>
      <c r="AP15">
        <f t="shared" si="8"/>
        <v>2226000.0000000005</v>
      </c>
      <c r="AQ15" s="136">
        <f t="shared" si="9"/>
        <v>1.0500000000000012</v>
      </c>
      <c r="AR15">
        <f t="shared" si="10"/>
        <v>-105000.00000000233</v>
      </c>
    </row>
    <row r="16" spans="1:44" x14ac:dyDescent="0.15">
      <c r="A16" s="116">
        <v>6001014</v>
      </c>
      <c r="B16" s="116">
        <v>0</v>
      </c>
      <c r="C16" s="61">
        <v>0</v>
      </c>
      <c r="D16" s="138">
        <f t="shared" ref="D16" si="28">(C17-C16)/(B17-B16)</f>
        <v>1</v>
      </c>
      <c r="E16" s="139">
        <f t="shared" ref="E16" si="29">C16-D16*B16</f>
        <v>0</v>
      </c>
      <c r="H16" s="116">
        <v>6001014</v>
      </c>
      <c r="I16" s="116">
        <v>0</v>
      </c>
      <c r="J16" s="61">
        <v>0</v>
      </c>
      <c r="K16" s="138">
        <f t="shared" ref="K16:K17" si="30">(J17-J16)/(I17-I16)</f>
        <v>0.33333333333333331</v>
      </c>
      <c r="L16" s="139">
        <f t="shared" ref="L16:L17" si="31">J16-K16*I16</f>
        <v>0</v>
      </c>
      <c r="R16" s="116">
        <v>6001012</v>
      </c>
      <c r="S16" s="116">
        <v>280000</v>
      </c>
      <c r="T16" s="129">
        <v>620000</v>
      </c>
      <c r="U16" s="138">
        <f t="shared" si="17"/>
        <v>0.5</v>
      </c>
      <c r="V16" s="139">
        <f t="shared" si="18"/>
        <v>480000</v>
      </c>
      <c r="Z16" s="116">
        <v>6001012</v>
      </c>
      <c r="AA16">
        <v>160000</v>
      </c>
      <c r="AB16">
        <v>508000</v>
      </c>
      <c r="AC16">
        <v>500000</v>
      </c>
      <c r="AE16">
        <f>D7*B7+E7</f>
        <v>450000</v>
      </c>
      <c r="AF16">
        <f>D7*B8+E7</f>
        <v>544500.00000000012</v>
      </c>
      <c r="AJ16">
        <v>14000</v>
      </c>
      <c r="AK16">
        <v>700</v>
      </c>
      <c r="AL16">
        <v>0.05</v>
      </c>
      <c r="AM16">
        <v>0</v>
      </c>
      <c r="AO16" s="115">
        <v>2230000</v>
      </c>
      <c r="AP16">
        <f t="shared" si="8"/>
        <v>2236500.0000000005</v>
      </c>
      <c r="AQ16" s="136">
        <f t="shared" si="9"/>
        <v>1.0500000000000012</v>
      </c>
      <c r="AR16">
        <f t="shared" si="10"/>
        <v>-105000.00000000233</v>
      </c>
    </row>
    <row r="17" spans="1:44" x14ac:dyDescent="0.15">
      <c r="A17" s="116">
        <v>6001014</v>
      </c>
      <c r="B17" s="116">
        <v>750000</v>
      </c>
      <c r="C17" s="61">
        <f>B17*SQRT(D28)*1</f>
        <v>750000</v>
      </c>
      <c r="D17" s="138">
        <f t="shared" ref="D17" si="32">(C18-C17)/(B18-B17)</f>
        <v>1.0500000000000007</v>
      </c>
      <c r="E17" s="139">
        <f t="shared" ref="E17" si="33">C17-D17*B17</f>
        <v>-37500.000000000582</v>
      </c>
      <c r="F17" s="142">
        <v>1</v>
      </c>
      <c r="H17" s="116">
        <v>6001014</v>
      </c>
      <c r="I17" s="116">
        <v>750000</v>
      </c>
      <c r="J17" s="61">
        <f>1000000/4</f>
        <v>250000</v>
      </c>
      <c r="K17" s="138">
        <f t="shared" si="30"/>
        <v>0.5</v>
      </c>
      <c r="L17" s="139">
        <f t="shared" si="31"/>
        <v>-125000</v>
      </c>
      <c r="M17" s="142">
        <v>1</v>
      </c>
      <c r="R17" s="116">
        <v>6001012</v>
      </c>
      <c r="S17" s="116">
        <v>340000</v>
      </c>
      <c r="T17" s="129">
        <v>650000</v>
      </c>
      <c r="U17" s="138">
        <f>(T18-T17)/(S18-S17)</f>
        <v>0.66666666666666663</v>
      </c>
      <c r="V17" s="139">
        <f>T17-U17*S17</f>
        <v>423333.33333333337</v>
      </c>
      <c r="Z17" s="116">
        <v>6001012</v>
      </c>
      <c r="AA17">
        <v>190000</v>
      </c>
      <c r="AB17">
        <v>569500</v>
      </c>
      <c r="AC17">
        <v>550000</v>
      </c>
      <c r="AE17">
        <f>D8*B8+E8</f>
        <v>544500.00000000012</v>
      </c>
      <c r="AF17">
        <f>D8*B9+E8</f>
        <v>684000</v>
      </c>
      <c r="AJ17">
        <v>15000</v>
      </c>
      <c r="AK17">
        <v>750</v>
      </c>
      <c r="AL17">
        <v>0.05</v>
      </c>
      <c r="AM17">
        <v>0</v>
      </c>
      <c r="AO17" s="115">
        <v>2240000</v>
      </c>
      <c r="AP17">
        <f t="shared" si="8"/>
        <v>2247000.0000000005</v>
      </c>
      <c r="AQ17" s="136">
        <f t="shared" si="9"/>
        <v>1.0500000000000012</v>
      </c>
      <c r="AR17">
        <f t="shared" si="10"/>
        <v>-105000.00000000233</v>
      </c>
    </row>
    <row r="18" spans="1:44" x14ac:dyDescent="0.15">
      <c r="A18" s="116">
        <v>6001014</v>
      </c>
      <c r="B18" s="116">
        <f>B17*1.2</f>
        <v>900000</v>
      </c>
      <c r="C18" s="61">
        <f>C17*SQRT(D29)^2</f>
        <v>907500.00000000012</v>
      </c>
      <c r="D18" s="138">
        <f>(C19-C18)/(B19-B18)</f>
        <v>1.0333333333333328</v>
      </c>
      <c r="E18" s="139">
        <f>C18-D18*B18</f>
        <v>-22499.999999999418</v>
      </c>
      <c r="F18" s="142">
        <v>1.2</v>
      </c>
      <c r="H18" s="116">
        <v>6001014</v>
      </c>
      <c r="I18" s="116">
        <v>850000</v>
      </c>
      <c r="J18" s="61">
        <f>J17+J17*0.2</f>
        <v>300000</v>
      </c>
      <c r="K18" s="138">
        <f>(J19-J18)/(I19-I18)</f>
        <v>0.75</v>
      </c>
      <c r="L18" s="139">
        <f>J18-K18*I18</f>
        <v>-337500</v>
      </c>
      <c r="M18" s="142">
        <v>1.2</v>
      </c>
      <c r="R18" s="116">
        <v>6001012</v>
      </c>
      <c r="S18" s="116">
        <v>370000</v>
      </c>
      <c r="T18" s="129">
        <v>670000</v>
      </c>
      <c r="U18" s="135">
        <v>0.05</v>
      </c>
      <c r="V18" s="140">
        <f>T18-U18*S18</f>
        <v>651500</v>
      </c>
      <c r="Z18" s="116">
        <v>6001012</v>
      </c>
      <c r="AA18">
        <v>220000</v>
      </c>
      <c r="AB18">
        <v>586000</v>
      </c>
      <c r="AE18">
        <f>D9*B9+E9</f>
        <v>684000</v>
      </c>
      <c r="AF18" t="s">
        <v>326</v>
      </c>
      <c r="AJ18">
        <v>16000</v>
      </c>
      <c r="AK18">
        <v>800</v>
      </c>
      <c r="AL18">
        <v>0.05</v>
      </c>
      <c r="AM18">
        <v>0</v>
      </c>
      <c r="AO18" s="115">
        <v>2250000</v>
      </c>
      <c r="AP18">
        <f t="shared" si="8"/>
        <v>2257500.0000000005</v>
      </c>
      <c r="AQ18" s="136">
        <f t="shared" si="9"/>
        <v>1.0500000000000012</v>
      </c>
      <c r="AR18">
        <f t="shared" si="10"/>
        <v>-105000.00000000233</v>
      </c>
    </row>
    <row r="19" spans="1:44" x14ac:dyDescent="0.15">
      <c r="A19" s="116">
        <v>6001014</v>
      </c>
      <c r="B19" s="116">
        <f>B17*1.5</f>
        <v>1125000</v>
      </c>
      <c r="C19" s="61">
        <f>C17*SQRT(D30)^2</f>
        <v>1140000</v>
      </c>
      <c r="D19" s="135">
        <v>0.01</v>
      </c>
      <c r="E19" s="140">
        <f>C19-D19*B19</f>
        <v>1128750</v>
      </c>
      <c r="F19" s="142">
        <v>1.5</v>
      </c>
      <c r="H19" s="116">
        <v>6001014</v>
      </c>
      <c r="I19" s="116">
        <v>950000</v>
      </c>
      <c r="J19" s="61">
        <f>J17+J17*0.5</f>
        <v>375000</v>
      </c>
      <c r="K19" s="135">
        <v>0.05</v>
      </c>
      <c r="L19" s="140">
        <f>J19-K19*I19</f>
        <v>327500</v>
      </c>
      <c r="M19" s="142">
        <v>1.5</v>
      </c>
      <c r="R19" s="115">
        <v>6001013</v>
      </c>
      <c r="S19" s="115">
        <v>0</v>
      </c>
      <c r="T19" s="61">
        <v>0</v>
      </c>
      <c r="U19" s="138">
        <f t="shared" ref="U19:U38" si="34">(T20-T19)/(S20-S19)</f>
        <v>1.25</v>
      </c>
      <c r="V19" s="139">
        <f t="shared" ref="V19:V38" si="35">T19-U19*S19</f>
        <v>0</v>
      </c>
      <c r="Z19" s="116">
        <v>6001012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5">
        <v>2260000</v>
      </c>
      <c r="AP19">
        <f t="shared" si="8"/>
        <v>2268000.0000000005</v>
      </c>
      <c r="AQ19" s="136">
        <f t="shared" si="9"/>
        <v>1.0500000000000012</v>
      </c>
      <c r="AR19">
        <f t="shared" si="10"/>
        <v>-105000.00000000233</v>
      </c>
    </row>
    <row r="20" spans="1:44" x14ac:dyDescent="0.15">
      <c r="A20" s="115">
        <v>6001015</v>
      </c>
      <c r="B20" s="115">
        <v>0</v>
      </c>
      <c r="C20" s="61">
        <v>0</v>
      </c>
      <c r="D20" s="138">
        <f t="shared" ref="D20" si="36">(C21-C20)/(B21-B20)</f>
        <v>1</v>
      </c>
      <c r="E20" s="139">
        <f t="shared" ref="E20" si="37">C20-D20*B20</f>
        <v>0</v>
      </c>
      <c r="H20" s="115">
        <v>6001015</v>
      </c>
      <c r="I20" s="115">
        <v>0</v>
      </c>
      <c r="J20" s="61">
        <v>0</v>
      </c>
      <c r="K20" s="138">
        <f t="shared" ref="K20" si="38">(J21-J20)/(I21-I20)</f>
        <v>0.47619047619047616</v>
      </c>
      <c r="L20" s="139">
        <f t="shared" ref="L20:L23" si="39">J20-K20*I20</f>
        <v>0</v>
      </c>
      <c r="R20" s="115">
        <v>6001013</v>
      </c>
      <c r="S20" s="115">
        <v>500000</v>
      </c>
      <c r="T20" s="61">
        <v>625000</v>
      </c>
      <c r="U20" s="138">
        <f t="shared" si="34"/>
        <v>1.25</v>
      </c>
      <c r="V20" s="139">
        <f t="shared" si="35"/>
        <v>0</v>
      </c>
      <c r="Z20" s="116">
        <v>6001012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5">
        <v>2270000</v>
      </c>
      <c r="AP20">
        <f t="shared" si="8"/>
        <v>2278500.0000000005</v>
      </c>
      <c r="AQ20" s="136">
        <f t="shared" si="9"/>
        <v>1.0500000000000012</v>
      </c>
      <c r="AR20">
        <f t="shared" si="10"/>
        <v>-105000.00000000233</v>
      </c>
    </row>
    <row r="21" spans="1:44" ht="16" customHeight="1" x14ac:dyDescent="0.15">
      <c r="A21" s="115">
        <v>6001015</v>
      </c>
      <c r="B21" s="115">
        <v>2100000</v>
      </c>
      <c r="C21" s="61">
        <f>B21*SQRT(D28)*1</f>
        <v>2100000</v>
      </c>
      <c r="D21" s="138">
        <f>(C22-C21)/(B22-B21)</f>
        <v>1.0500000000000012</v>
      </c>
      <c r="E21" s="139">
        <f t="shared" ref="E21" si="40">C21-D21*B21</f>
        <v>-105000.00000000233</v>
      </c>
      <c r="F21" s="142">
        <v>1</v>
      </c>
      <c r="H21" s="115">
        <v>6001015</v>
      </c>
      <c r="I21" s="115">
        <v>2100000</v>
      </c>
      <c r="J21" s="61">
        <f>2000000/2</f>
        <v>1000000</v>
      </c>
      <c r="K21" s="138">
        <f>(J24-J21)/(I24-I21)</f>
        <v>4.8181818181818183</v>
      </c>
      <c r="L21" s="139">
        <f t="shared" si="39"/>
        <v>-9118181.8181818184</v>
      </c>
      <c r="M21" s="142">
        <v>1</v>
      </c>
      <c r="R21" s="115">
        <v>6001013</v>
      </c>
      <c r="S21" s="115">
        <v>520000</v>
      </c>
      <c r="T21" s="61">
        <v>650000</v>
      </c>
      <c r="U21" s="138">
        <f t="shared" si="34"/>
        <v>2.5</v>
      </c>
      <c r="V21" s="139">
        <f t="shared" si="35"/>
        <v>-650000</v>
      </c>
      <c r="Z21" s="116">
        <v>6001012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5">
        <v>2280000</v>
      </c>
      <c r="AP21">
        <f t="shared" si="8"/>
        <v>2289000.0000000005</v>
      </c>
      <c r="AQ21" s="136">
        <f t="shared" si="9"/>
        <v>1.0500000000000012</v>
      </c>
      <c r="AR21">
        <f t="shared" si="10"/>
        <v>-105000.00000000233</v>
      </c>
    </row>
    <row r="22" spans="1:44" x14ac:dyDescent="0.15">
      <c r="A22" s="115">
        <v>6001015</v>
      </c>
      <c r="B22" s="115">
        <f>B21*1.2</f>
        <v>2520000</v>
      </c>
      <c r="C22" s="61">
        <f>$C$21*SQRT(D29)^2</f>
        <v>2541000.0000000005</v>
      </c>
      <c r="D22" s="138">
        <f>(C23-C22)/(B23-B22)</f>
        <v>1.0333333333333325</v>
      </c>
      <c r="E22" s="139">
        <f t="shared" ref="E22:E23" si="41">C22-D22*B22</f>
        <v>-62999.999999997672</v>
      </c>
      <c r="F22" s="142">
        <v>1.2</v>
      </c>
      <c r="H22" s="115">
        <v>6001015</v>
      </c>
      <c r="I22" s="115">
        <v>2300000</v>
      </c>
      <c r="J22" s="61">
        <f>$C$21+$C$21*1.2</f>
        <v>4620000</v>
      </c>
      <c r="K22" s="138">
        <f t="shared" ref="K22:K23" si="42">(J25-J22)/(I25-I22)</f>
        <v>2.1</v>
      </c>
      <c r="L22" s="139">
        <f t="shared" si="39"/>
        <v>-210000</v>
      </c>
      <c r="M22" s="142">
        <v>1.2</v>
      </c>
      <c r="R22" s="115">
        <v>6001013</v>
      </c>
      <c r="S22" s="115">
        <v>540000</v>
      </c>
      <c r="T22" s="61">
        <v>700000</v>
      </c>
      <c r="U22" s="138">
        <f t="shared" si="34"/>
        <v>2.5</v>
      </c>
      <c r="V22" s="139">
        <f t="shared" si="35"/>
        <v>-650000</v>
      </c>
      <c r="Z22" s="116">
        <v>6001012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5">
        <v>2290000</v>
      </c>
      <c r="AP22">
        <f t="shared" si="8"/>
        <v>2299500.0000000005</v>
      </c>
      <c r="AQ22" s="136">
        <f t="shared" si="9"/>
        <v>1.0500000000000012</v>
      </c>
      <c r="AR22">
        <f t="shared" si="10"/>
        <v>-105000.00000000233</v>
      </c>
    </row>
    <row r="23" spans="1:44" x14ac:dyDescent="0.15">
      <c r="A23" s="115">
        <v>6001015</v>
      </c>
      <c r="B23" s="115">
        <f>B21*1.5</f>
        <v>3150000</v>
      </c>
      <c r="C23" s="61">
        <f>$C$21*SQRT(D30)^2</f>
        <v>3192000</v>
      </c>
      <c r="D23" s="138">
        <f>(C24-C23)/(B24-B23)</f>
        <v>1.02</v>
      </c>
      <c r="E23" s="139">
        <f t="shared" si="41"/>
        <v>-21000</v>
      </c>
      <c r="F23" s="142">
        <v>1.5</v>
      </c>
      <c r="H23" s="115">
        <v>6001015</v>
      </c>
      <c r="I23" s="115">
        <v>2600000</v>
      </c>
      <c r="J23" s="61">
        <f>$C$21+$C$21*1.5</f>
        <v>5250000</v>
      </c>
      <c r="K23" s="138">
        <f t="shared" si="42"/>
        <v>2.0192307692307692</v>
      </c>
      <c r="L23" s="139">
        <f t="shared" si="39"/>
        <v>0</v>
      </c>
      <c r="M23" s="142">
        <v>1.5</v>
      </c>
      <c r="R23" s="115">
        <v>6001013</v>
      </c>
      <c r="S23" s="115">
        <v>560000</v>
      </c>
      <c r="T23" s="61">
        <v>750000</v>
      </c>
      <c r="U23" s="138">
        <f t="shared" si="34"/>
        <v>2</v>
      </c>
      <c r="V23" s="139">
        <f t="shared" si="35"/>
        <v>-370000</v>
      </c>
      <c r="Z23" s="116">
        <v>6001012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5">
        <v>2300000</v>
      </c>
      <c r="AP23">
        <f t="shared" si="8"/>
        <v>2310000.0000000005</v>
      </c>
      <c r="AQ23" s="136">
        <f t="shared" si="9"/>
        <v>1.0500000000000012</v>
      </c>
      <c r="AR23">
        <f t="shared" si="10"/>
        <v>-105000.00000000233</v>
      </c>
    </row>
    <row r="24" spans="1:44" x14ac:dyDescent="0.15">
      <c r="A24" s="115">
        <v>6001015</v>
      </c>
      <c r="B24" s="115">
        <f>B21*2</f>
        <v>4200000</v>
      </c>
      <c r="C24" s="61">
        <f>$C$21*SQRT(D31)^2</f>
        <v>4263000</v>
      </c>
      <c r="D24" s="138">
        <f>(C25-C24)/(B25-B24)</f>
        <v>1</v>
      </c>
      <c r="E24" s="139">
        <f>C24-D24*B24</f>
        <v>63000</v>
      </c>
      <c r="F24" s="142">
        <v>2</v>
      </c>
      <c r="H24" s="115">
        <v>6001015</v>
      </c>
      <c r="I24" s="115">
        <v>3200000</v>
      </c>
      <c r="J24" s="61">
        <f>$C$21+$C$21*2</f>
        <v>6300000</v>
      </c>
      <c r="K24" s="138">
        <f>(J25-J24)/(I25-I24)</f>
        <v>2.625</v>
      </c>
      <c r="L24" s="139">
        <f>J24-K24*I24</f>
        <v>-2100000</v>
      </c>
      <c r="M24" s="142">
        <v>2</v>
      </c>
      <c r="R24" s="115">
        <v>6001013</v>
      </c>
      <c r="S24" s="115">
        <v>580000</v>
      </c>
      <c r="T24" s="61">
        <v>790000</v>
      </c>
      <c r="U24" s="138">
        <f t="shared" si="34"/>
        <v>2</v>
      </c>
      <c r="V24" s="139">
        <f t="shared" si="35"/>
        <v>-370000</v>
      </c>
      <c r="Z24" s="115">
        <v>6001013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5">
        <v>2310000</v>
      </c>
      <c r="AP24">
        <f t="shared" si="8"/>
        <v>2320500.0000000005</v>
      </c>
      <c r="AQ24" s="136">
        <f t="shared" si="9"/>
        <v>1.0500000000000012</v>
      </c>
      <c r="AR24">
        <f t="shared" si="10"/>
        <v>-105000.00000000233</v>
      </c>
    </row>
    <row r="25" spans="1:44" x14ac:dyDescent="0.15">
      <c r="A25" s="115">
        <v>6001015</v>
      </c>
      <c r="B25" s="115">
        <f>B21*2.5</f>
        <v>5250000</v>
      </c>
      <c r="C25" s="61">
        <f>$C$21*SQRT(D32)^2</f>
        <v>5313000</v>
      </c>
      <c r="D25" s="135">
        <v>0.01</v>
      </c>
      <c r="E25" s="140">
        <f>C25-D25*B25</f>
        <v>5260500</v>
      </c>
      <c r="F25" s="142">
        <v>2.5</v>
      </c>
      <c r="H25" s="115">
        <v>6001015</v>
      </c>
      <c r="I25" s="115">
        <v>3600000</v>
      </c>
      <c r="J25" s="61">
        <f>$C$21+$C$21*2.5</f>
        <v>7350000</v>
      </c>
      <c r="K25" s="135">
        <v>0.05</v>
      </c>
      <c r="L25" s="140">
        <f>J25-K25*I25</f>
        <v>7170000</v>
      </c>
      <c r="M25" s="142">
        <v>2.5</v>
      </c>
      <c r="R25" s="115">
        <v>6001013</v>
      </c>
      <c r="S25" s="115">
        <v>600000</v>
      </c>
      <c r="T25" s="61">
        <v>830000</v>
      </c>
      <c r="U25" s="138">
        <f t="shared" si="34"/>
        <v>2</v>
      </c>
      <c r="V25" s="139">
        <f t="shared" si="35"/>
        <v>-370000</v>
      </c>
      <c r="Z25" s="115">
        <v>6001013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5">
        <v>2320000</v>
      </c>
      <c r="AP25">
        <f t="shared" si="8"/>
        <v>2331000.0000000005</v>
      </c>
      <c r="AQ25" s="136">
        <f t="shared" si="9"/>
        <v>1.0500000000000012</v>
      </c>
      <c r="AR25">
        <f t="shared" si="10"/>
        <v>-105000.00000000233</v>
      </c>
    </row>
    <row r="26" spans="1:44" x14ac:dyDescent="0.15">
      <c r="R26" s="115">
        <v>6001013</v>
      </c>
      <c r="S26" s="115">
        <v>620000</v>
      </c>
      <c r="T26" s="61">
        <v>870000</v>
      </c>
      <c r="U26" s="138">
        <f t="shared" si="34"/>
        <v>2</v>
      </c>
      <c r="V26" s="139">
        <f t="shared" si="35"/>
        <v>-370000</v>
      </c>
      <c r="Z26" s="115">
        <v>6001013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5">
        <v>2330000</v>
      </c>
      <c r="AP26">
        <f t="shared" si="8"/>
        <v>2341500.0000000005</v>
      </c>
      <c r="AQ26" s="136">
        <f t="shared" si="9"/>
        <v>1.0500000000000012</v>
      </c>
      <c r="AR26">
        <f t="shared" si="10"/>
        <v>-105000.00000000233</v>
      </c>
    </row>
    <row r="27" spans="1:44" x14ac:dyDescent="0.15">
      <c r="D27" t="s">
        <v>340</v>
      </c>
      <c r="R27" s="115">
        <v>6001013</v>
      </c>
      <c r="S27" s="115">
        <v>640000</v>
      </c>
      <c r="T27" s="61">
        <v>910000</v>
      </c>
      <c r="U27" s="138">
        <f t="shared" si="34"/>
        <v>2</v>
      </c>
      <c r="V27" s="139">
        <f t="shared" si="35"/>
        <v>-370000</v>
      </c>
      <c r="Z27" s="115">
        <v>6001013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5">
        <v>2340000</v>
      </c>
      <c r="AP27">
        <f t="shared" si="8"/>
        <v>2352000.0000000005</v>
      </c>
      <c r="AQ27" s="136">
        <f t="shared" si="9"/>
        <v>1.0500000000000012</v>
      </c>
      <c r="AR27">
        <f t="shared" si="10"/>
        <v>-105000.00000000233</v>
      </c>
    </row>
    <row r="28" spans="1:44" x14ac:dyDescent="0.15">
      <c r="A28" s="133"/>
      <c r="B28" s="133"/>
      <c r="C28" s="134">
        <f>SUM(C5,C9,C15,C19,C25)</f>
        <v>9298300</v>
      </c>
      <c r="D28">
        <v>1</v>
      </c>
      <c r="H28" s="133"/>
      <c r="I28" s="133"/>
      <c r="J28" s="133"/>
      <c r="K28" s="133"/>
      <c r="L28" s="134"/>
      <c r="R28" s="115">
        <v>6001013</v>
      </c>
      <c r="S28" s="115">
        <v>660000</v>
      </c>
      <c r="T28" s="61">
        <v>950000</v>
      </c>
      <c r="U28" s="138">
        <f t="shared" si="34"/>
        <v>1.25</v>
      </c>
      <c r="V28" s="139">
        <f t="shared" si="35"/>
        <v>125000</v>
      </c>
      <c r="Z28" s="115">
        <v>6001013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5">
        <v>2350000</v>
      </c>
      <c r="AP28">
        <f t="shared" si="8"/>
        <v>2362500.0000000005</v>
      </c>
      <c r="AQ28" s="136">
        <f t="shared" si="9"/>
        <v>1.0500000000000012</v>
      </c>
      <c r="AR28">
        <f t="shared" si="10"/>
        <v>-105000.00000000233</v>
      </c>
    </row>
    <row r="29" spans="1:44" x14ac:dyDescent="0.15">
      <c r="A29" s="107"/>
      <c r="B29" s="107"/>
      <c r="C29" s="126"/>
      <c r="D29">
        <v>1.21</v>
      </c>
      <c r="H29" s="107"/>
      <c r="I29" s="107">
        <v>0</v>
      </c>
      <c r="J29" s="107">
        <v>0</v>
      </c>
      <c r="K29" s="107"/>
      <c r="L29" s="126"/>
      <c r="R29" s="115">
        <v>6001013</v>
      </c>
      <c r="S29" s="115">
        <v>680000</v>
      </c>
      <c r="T29" s="61">
        <v>975000</v>
      </c>
      <c r="U29" s="138">
        <f t="shared" si="34"/>
        <v>1.25</v>
      </c>
      <c r="V29" s="139">
        <f t="shared" si="35"/>
        <v>125000</v>
      </c>
      <c r="Z29" s="115">
        <v>6001013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5">
        <v>2360000</v>
      </c>
      <c r="AP29">
        <f t="shared" si="8"/>
        <v>2373000.0000000005</v>
      </c>
      <c r="AQ29" s="136">
        <f t="shared" si="9"/>
        <v>1.0500000000000012</v>
      </c>
      <c r="AR29">
        <f t="shared" si="10"/>
        <v>-105000.00000000233</v>
      </c>
    </row>
    <row r="30" spans="1:44" x14ac:dyDescent="0.15">
      <c r="A30" s="107"/>
      <c r="B30" s="107"/>
      <c r="C30" s="126"/>
      <c r="D30">
        <v>1.52</v>
      </c>
      <c r="H30" s="107"/>
      <c r="I30" s="107">
        <v>2100000</v>
      </c>
      <c r="J30" s="107">
        <v>1250000</v>
      </c>
      <c r="K30" s="107"/>
      <c r="L30" s="126"/>
      <c r="R30" s="115">
        <v>6001013</v>
      </c>
      <c r="S30" s="115">
        <v>700000</v>
      </c>
      <c r="T30" s="61">
        <v>1000000</v>
      </c>
      <c r="U30" s="138">
        <f t="shared" si="34"/>
        <v>1</v>
      </c>
      <c r="V30" s="139">
        <f t="shared" si="35"/>
        <v>300000</v>
      </c>
      <c r="Z30" s="115">
        <v>6001013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5">
        <v>2370000</v>
      </c>
      <c r="AP30">
        <f t="shared" si="8"/>
        <v>2383500.0000000005</v>
      </c>
      <c r="AQ30" s="136">
        <f t="shared" si="9"/>
        <v>1.0500000000000012</v>
      </c>
      <c r="AR30">
        <f t="shared" si="10"/>
        <v>-105000.00000000233</v>
      </c>
    </row>
    <row r="31" spans="1:44" x14ac:dyDescent="0.15">
      <c r="D31">
        <v>2.0299999999999998</v>
      </c>
      <c r="I31">
        <v>2300000</v>
      </c>
      <c r="J31">
        <v>2750000</v>
      </c>
      <c r="R31" s="115">
        <v>6001013</v>
      </c>
      <c r="S31" s="115">
        <v>720000</v>
      </c>
      <c r="T31" s="61">
        <v>1020000</v>
      </c>
      <c r="U31" s="138">
        <f t="shared" si="34"/>
        <v>0.5</v>
      </c>
      <c r="V31" s="139">
        <f t="shared" si="35"/>
        <v>660000</v>
      </c>
      <c r="Z31" s="115">
        <v>6001013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5">
        <v>2380000</v>
      </c>
      <c r="AP31">
        <f t="shared" si="8"/>
        <v>2394000.0000000005</v>
      </c>
      <c r="AQ31" s="136">
        <f t="shared" si="9"/>
        <v>1.0500000000000012</v>
      </c>
      <c r="AR31">
        <f t="shared" si="10"/>
        <v>-105000.00000000233</v>
      </c>
    </row>
    <row r="32" spans="1:44" x14ac:dyDescent="0.15">
      <c r="D32">
        <v>2.5299999999999998</v>
      </c>
      <c r="I32">
        <v>2600000</v>
      </c>
      <c r="J32">
        <v>3125000</v>
      </c>
      <c r="R32" s="115">
        <v>6001013</v>
      </c>
      <c r="S32" s="115">
        <v>740000</v>
      </c>
      <c r="T32" s="61">
        <v>1030000</v>
      </c>
      <c r="U32" s="138">
        <f t="shared" si="34"/>
        <v>1</v>
      </c>
      <c r="V32" s="139">
        <f t="shared" si="35"/>
        <v>290000</v>
      </c>
      <c r="Z32" s="115">
        <v>6001013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5">
        <v>2390000</v>
      </c>
      <c r="AP32">
        <f t="shared" si="8"/>
        <v>2404500.0000000005</v>
      </c>
      <c r="AQ32" s="136">
        <f t="shared" si="9"/>
        <v>1.0500000000000012</v>
      </c>
      <c r="AR32">
        <f t="shared" si="10"/>
        <v>-105000.00000000233</v>
      </c>
    </row>
    <row r="33" spans="9:44" x14ac:dyDescent="0.15">
      <c r="I33">
        <v>3200000</v>
      </c>
      <c r="J33">
        <v>3750000</v>
      </c>
      <c r="R33" s="115">
        <v>6001013</v>
      </c>
      <c r="S33" s="115">
        <v>760000</v>
      </c>
      <c r="T33" s="61">
        <v>1050000</v>
      </c>
      <c r="U33" s="138">
        <f t="shared" si="34"/>
        <v>1</v>
      </c>
      <c r="V33" s="139">
        <f t="shared" si="35"/>
        <v>290000</v>
      </c>
      <c r="Z33" s="115">
        <v>6001013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5">
        <v>2400000</v>
      </c>
      <c r="AP33">
        <f t="shared" si="8"/>
        <v>2415000.0000000005</v>
      </c>
      <c r="AQ33" s="136">
        <f t="shared" si="9"/>
        <v>1.0500000000000012</v>
      </c>
      <c r="AR33">
        <f t="shared" si="10"/>
        <v>-105000.00000000233</v>
      </c>
    </row>
    <row r="34" spans="9:44" x14ac:dyDescent="0.15">
      <c r="I34">
        <v>3600000</v>
      </c>
      <c r="J34">
        <v>4375000</v>
      </c>
      <c r="R34" s="115">
        <v>6001013</v>
      </c>
      <c r="S34" s="115">
        <v>780000</v>
      </c>
      <c r="T34" s="61">
        <v>1070000</v>
      </c>
      <c r="U34" s="138">
        <f t="shared" si="34"/>
        <v>1</v>
      </c>
      <c r="V34" s="139">
        <f t="shared" si="35"/>
        <v>290000</v>
      </c>
      <c r="Z34" s="115">
        <v>6001013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5">
        <v>2410000</v>
      </c>
      <c r="AP34">
        <f t="shared" si="8"/>
        <v>2425500.0000000005</v>
      </c>
      <c r="AQ34" s="136">
        <f t="shared" si="9"/>
        <v>1.0500000000000012</v>
      </c>
      <c r="AR34">
        <f t="shared" si="10"/>
        <v>-105000.00000000233</v>
      </c>
    </row>
    <row r="35" spans="9:44" x14ac:dyDescent="0.15">
      <c r="R35" s="115">
        <v>6001013</v>
      </c>
      <c r="S35" s="115">
        <v>800000</v>
      </c>
      <c r="T35" s="61">
        <v>1090000</v>
      </c>
      <c r="U35" s="138">
        <f t="shared" si="34"/>
        <v>0.5</v>
      </c>
      <c r="V35" s="139">
        <f t="shared" si="35"/>
        <v>690000</v>
      </c>
      <c r="Z35" s="115">
        <v>6001013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5">
        <v>2420000</v>
      </c>
      <c r="AP35">
        <f t="shared" si="8"/>
        <v>2436000.0000000005</v>
      </c>
      <c r="AQ35" s="136">
        <f t="shared" si="9"/>
        <v>1.0500000000000012</v>
      </c>
      <c r="AR35">
        <f t="shared" si="10"/>
        <v>-105000.00000000233</v>
      </c>
    </row>
    <row r="36" spans="9:44" x14ac:dyDescent="0.15">
      <c r="R36" s="115">
        <v>6001013</v>
      </c>
      <c r="S36" s="115">
        <v>820000</v>
      </c>
      <c r="T36" s="61">
        <v>1100000</v>
      </c>
      <c r="U36" s="138">
        <f t="shared" si="34"/>
        <v>0.5</v>
      </c>
      <c r="V36" s="139">
        <f t="shared" si="35"/>
        <v>690000</v>
      </c>
      <c r="Z36" s="115">
        <v>6001013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5">
        <v>2430000</v>
      </c>
      <c r="AP36">
        <f t="shared" si="8"/>
        <v>2446500.0000000005</v>
      </c>
      <c r="AQ36" s="136">
        <f t="shared" si="9"/>
        <v>1.0500000000000012</v>
      </c>
      <c r="AR36">
        <f t="shared" si="10"/>
        <v>-105000.00000000233</v>
      </c>
    </row>
    <row r="37" spans="9:44" x14ac:dyDescent="0.15">
      <c r="R37" s="115">
        <v>6001013</v>
      </c>
      <c r="S37" s="115">
        <v>840000</v>
      </c>
      <c r="T37" s="61">
        <v>1110000</v>
      </c>
      <c r="U37" s="138">
        <f t="shared" si="34"/>
        <v>0.5</v>
      </c>
      <c r="V37" s="139">
        <f t="shared" si="35"/>
        <v>690000</v>
      </c>
      <c r="Z37" s="115">
        <v>6001013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5">
        <v>2440000</v>
      </c>
      <c r="AP37">
        <f t="shared" si="8"/>
        <v>2457000.0000000005</v>
      </c>
      <c r="AQ37" s="136">
        <f t="shared" si="9"/>
        <v>1.0500000000000012</v>
      </c>
      <c r="AR37">
        <f t="shared" si="10"/>
        <v>-105000.00000000233</v>
      </c>
    </row>
    <row r="38" spans="9:44" x14ac:dyDescent="0.15">
      <c r="R38" s="115">
        <v>6001013</v>
      </c>
      <c r="S38" s="115">
        <v>860000</v>
      </c>
      <c r="T38" s="61">
        <v>1120000</v>
      </c>
      <c r="U38" s="138">
        <f t="shared" si="34"/>
        <v>0.5</v>
      </c>
      <c r="V38" s="139">
        <f t="shared" si="35"/>
        <v>690000</v>
      </c>
      <c r="Z38" s="115">
        <v>6001013</v>
      </c>
      <c r="AA38">
        <v>760000</v>
      </c>
      <c r="AB38">
        <v>1058000</v>
      </c>
      <c r="AC38">
        <v>1050000</v>
      </c>
      <c r="AE38">
        <f>D11*B11+E11</f>
        <v>650000</v>
      </c>
      <c r="AF38">
        <f>D11*B12+E11</f>
        <v>786500.00000000012</v>
      </c>
      <c r="AJ38">
        <v>36000</v>
      </c>
      <c r="AK38">
        <v>1800</v>
      </c>
      <c r="AL38">
        <v>0.05</v>
      </c>
      <c r="AM38">
        <v>0</v>
      </c>
      <c r="AO38" s="115">
        <v>2450000</v>
      </c>
      <c r="AP38">
        <f t="shared" si="8"/>
        <v>2467500.0000000005</v>
      </c>
      <c r="AQ38" s="136">
        <f t="shared" si="9"/>
        <v>1.0500000000000012</v>
      </c>
      <c r="AR38">
        <f t="shared" si="10"/>
        <v>-105000.00000000233</v>
      </c>
    </row>
    <row r="39" spans="9:44" x14ac:dyDescent="0.15">
      <c r="R39" s="115">
        <v>6001013</v>
      </c>
      <c r="S39" s="115">
        <v>880000</v>
      </c>
      <c r="T39" s="61">
        <v>1130000</v>
      </c>
      <c r="U39" s="138">
        <f>(T40-T39)/(S40-S39)</f>
        <v>0.5</v>
      </c>
      <c r="V39" s="139">
        <f>T39-U39*S39</f>
        <v>690000</v>
      </c>
      <c r="Z39" s="115">
        <v>6001013</v>
      </c>
      <c r="AA39">
        <v>780000</v>
      </c>
      <c r="AB39">
        <v>1079000</v>
      </c>
      <c r="AC39">
        <v>1070000</v>
      </c>
      <c r="AE39">
        <f>D12*B12+E12</f>
        <v>786500.00000000012</v>
      </c>
      <c r="AF39">
        <f>D12*B15+E12</f>
        <v>1659666.6666666665</v>
      </c>
      <c r="AJ39">
        <v>37000</v>
      </c>
      <c r="AK39">
        <v>1850</v>
      </c>
      <c r="AL39">
        <v>0.05</v>
      </c>
      <c r="AM39">
        <v>0</v>
      </c>
      <c r="AO39" s="115">
        <v>2460000</v>
      </c>
      <c r="AP39">
        <f t="shared" si="8"/>
        <v>2478000.0000000005</v>
      </c>
      <c r="AQ39" s="136">
        <f t="shared" si="9"/>
        <v>1.0500000000000012</v>
      </c>
      <c r="AR39">
        <f t="shared" si="10"/>
        <v>-105000.00000000233</v>
      </c>
    </row>
    <row r="40" spans="9:44" x14ac:dyDescent="0.15">
      <c r="R40" s="115">
        <v>6001013</v>
      </c>
      <c r="S40" s="115">
        <v>900000</v>
      </c>
      <c r="T40" s="61">
        <v>1140000</v>
      </c>
      <c r="U40" s="135">
        <v>0.05</v>
      </c>
      <c r="V40" s="140">
        <f>T40-U40*S40</f>
        <v>1095000</v>
      </c>
      <c r="Z40" s="115">
        <v>6001013</v>
      </c>
      <c r="AA40">
        <v>800000</v>
      </c>
      <c r="AB40">
        <v>1090000</v>
      </c>
      <c r="AC40">
        <v>1090000</v>
      </c>
      <c r="AE40">
        <f>D15*B15+E15</f>
        <v>1644499.9999999998</v>
      </c>
      <c r="AF40" t="s">
        <v>330</v>
      </c>
      <c r="AJ40">
        <v>38000</v>
      </c>
      <c r="AK40">
        <v>1900</v>
      </c>
      <c r="AL40">
        <v>0.05</v>
      </c>
      <c r="AM40">
        <v>0</v>
      </c>
      <c r="AO40" s="115">
        <v>2470000</v>
      </c>
      <c r="AP40">
        <f t="shared" si="8"/>
        <v>2488500.0000000005</v>
      </c>
      <c r="AQ40" s="136">
        <f t="shared" si="9"/>
        <v>1.0500000000000012</v>
      </c>
      <c r="AR40">
        <f t="shared" si="10"/>
        <v>-105000.00000000233</v>
      </c>
    </row>
    <row r="41" spans="9:44" x14ac:dyDescent="0.15">
      <c r="R41" s="116">
        <v>6001014</v>
      </c>
      <c r="S41" s="116">
        <v>0</v>
      </c>
      <c r="T41" s="61">
        <v>0</v>
      </c>
      <c r="U41" s="138">
        <f t="shared" ref="U41:U56" si="43">(T42-T41)/(S42-S41)</f>
        <v>1.3611111111111112</v>
      </c>
      <c r="V41" s="139">
        <f t="shared" ref="V41:V56" si="44">T41-U41*S41</f>
        <v>0</v>
      </c>
      <c r="Z41" s="115">
        <v>6001013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5">
        <v>2480000</v>
      </c>
      <c r="AP41">
        <f t="shared" si="8"/>
        <v>2499000.0000000005</v>
      </c>
      <c r="AQ41" s="136">
        <f t="shared" si="9"/>
        <v>1.0500000000000012</v>
      </c>
      <c r="AR41">
        <f t="shared" si="10"/>
        <v>-105000.00000000233</v>
      </c>
    </row>
    <row r="42" spans="9:44" x14ac:dyDescent="0.15">
      <c r="R42" s="116">
        <v>6001014</v>
      </c>
      <c r="S42" s="116">
        <v>360000</v>
      </c>
      <c r="T42" s="61">
        <v>490000</v>
      </c>
      <c r="U42" s="138">
        <f t="shared" si="43"/>
        <v>1.5</v>
      </c>
      <c r="V42" s="139">
        <f t="shared" si="44"/>
        <v>-50000</v>
      </c>
      <c r="Z42" s="115">
        <v>6001013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5">
        <v>2490000</v>
      </c>
      <c r="AP42">
        <f t="shared" si="8"/>
        <v>2509500.0000000005</v>
      </c>
      <c r="AQ42" s="136">
        <f t="shared" si="9"/>
        <v>1.0500000000000012</v>
      </c>
      <c r="AR42">
        <f t="shared" si="10"/>
        <v>-105000.00000000233</v>
      </c>
    </row>
    <row r="43" spans="9:44" x14ac:dyDescent="0.15">
      <c r="R43" s="116">
        <v>6001014</v>
      </c>
      <c r="S43" s="116">
        <v>380000</v>
      </c>
      <c r="T43" s="61">
        <v>520000</v>
      </c>
      <c r="U43" s="138">
        <f t="shared" si="43"/>
        <v>1</v>
      </c>
      <c r="V43" s="139">
        <f t="shared" si="44"/>
        <v>140000</v>
      </c>
      <c r="Z43" s="115">
        <v>6001013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5">
        <v>2500000</v>
      </c>
      <c r="AP43">
        <f t="shared" si="8"/>
        <v>2520000.0000000005</v>
      </c>
      <c r="AQ43" s="136">
        <f t="shared" si="9"/>
        <v>1.0500000000000012</v>
      </c>
      <c r="AR43">
        <f t="shared" si="10"/>
        <v>-105000.00000000233</v>
      </c>
    </row>
    <row r="44" spans="9:44" x14ac:dyDescent="0.15">
      <c r="R44" s="116">
        <v>6001014</v>
      </c>
      <c r="S44" s="116">
        <v>400000</v>
      </c>
      <c r="T44" s="61">
        <v>540000</v>
      </c>
      <c r="U44" s="138">
        <f t="shared" si="43"/>
        <v>1.5</v>
      </c>
      <c r="V44" s="139">
        <f t="shared" si="44"/>
        <v>-60000</v>
      </c>
      <c r="Z44" s="115">
        <v>6001013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5">
        <v>2510000</v>
      </c>
      <c r="AP44">
        <f t="shared" si="8"/>
        <v>2530500.0000000005</v>
      </c>
      <c r="AQ44" s="136">
        <f t="shared" si="9"/>
        <v>1.0500000000000012</v>
      </c>
      <c r="AR44">
        <f t="shared" si="10"/>
        <v>-105000.00000000233</v>
      </c>
    </row>
    <row r="45" spans="9:44" x14ac:dyDescent="0.15">
      <c r="R45" s="116">
        <v>6001014</v>
      </c>
      <c r="S45" s="116">
        <v>420000</v>
      </c>
      <c r="T45" s="61">
        <v>570000</v>
      </c>
      <c r="U45" s="138">
        <f t="shared" si="43"/>
        <v>1.5</v>
      </c>
      <c r="V45" s="139">
        <f t="shared" si="44"/>
        <v>-60000</v>
      </c>
      <c r="Z45" s="115">
        <v>6001013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5">
        <v>2520000</v>
      </c>
      <c r="AP45">
        <f t="shared" si="8"/>
        <v>2541000.0000000005</v>
      </c>
      <c r="AQ45" s="136">
        <f t="shared" si="9"/>
        <v>1.0333333333333325</v>
      </c>
      <c r="AR45">
        <f t="shared" si="10"/>
        <v>-62999.999999997672</v>
      </c>
    </row>
    <row r="46" spans="9:44" x14ac:dyDescent="0.15">
      <c r="R46" s="116">
        <v>6001014</v>
      </c>
      <c r="S46" s="116">
        <v>440000</v>
      </c>
      <c r="T46" s="61">
        <v>600000</v>
      </c>
      <c r="U46" s="138">
        <f t="shared" si="43"/>
        <v>1.5</v>
      </c>
      <c r="V46" s="139">
        <f t="shared" si="44"/>
        <v>-60000</v>
      </c>
      <c r="Z46" s="116">
        <v>6001014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5">
        <v>2530000</v>
      </c>
      <c r="AP46">
        <f t="shared" si="8"/>
        <v>2551333.3333333335</v>
      </c>
      <c r="AQ46" s="136">
        <f t="shared" si="9"/>
        <v>1.0333333333333325</v>
      </c>
      <c r="AR46">
        <f t="shared" si="10"/>
        <v>-62999.999999997672</v>
      </c>
    </row>
    <row r="47" spans="9:44" x14ac:dyDescent="0.15">
      <c r="R47" s="116">
        <v>6001014</v>
      </c>
      <c r="S47" s="116">
        <v>460000</v>
      </c>
      <c r="T47" s="61">
        <v>630000</v>
      </c>
      <c r="U47" s="138">
        <f t="shared" si="43"/>
        <v>1.5</v>
      </c>
      <c r="V47" s="139">
        <f t="shared" si="44"/>
        <v>-60000</v>
      </c>
      <c r="Z47" s="116">
        <v>6001014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5">
        <v>2540000</v>
      </c>
      <c r="AP47">
        <f t="shared" si="8"/>
        <v>2561666.666666667</v>
      </c>
      <c r="AQ47" s="136">
        <f t="shared" si="9"/>
        <v>1.0333333333333325</v>
      </c>
      <c r="AR47">
        <f t="shared" si="10"/>
        <v>-62999.999999997672</v>
      </c>
    </row>
    <row r="48" spans="9:44" x14ac:dyDescent="0.15">
      <c r="R48" s="116">
        <v>6001014</v>
      </c>
      <c r="S48" s="116">
        <v>480000</v>
      </c>
      <c r="T48" s="61">
        <v>660000</v>
      </c>
      <c r="U48" s="138">
        <f t="shared" si="43"/>
        <v>1.5</v>
      </c>
      <c r="V48" s="139">
        <f t="shared" si="44"/>
        <v>-60000</v>
      </c>
      <c r="Z48" s="116">
        <v>6001014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5">
        <v>2550000</v>
      </c>
      <c r="AP48">
        <f t="shared" si="8"/>
        <v>2572000.0000000005</v>
      </c>
      <c r="AQ48" s="136">
        <f t="shared" si="9"/>
        <v>1.0333333333333325</v>
      </c>
      <c r="AR48">
        <f t="shared" si="10"/>
        <v>-62999.999999997672</v>
      </c>
    </row>
    <row r="49" spans="18:44" x14ac:dyDescent="0.15">
      <c r="R49" s="116">
        <v>6001014</v>
      </c>
      <c r="S49" s="116">
        <v>500000</v>
      </c>
      <c r="T49" s="61">
        <v>690000</v>
      </c>
      <c r="U49" s="138">
        <f t="shared" si="43"/>
        <v>1.5</v>
      </c>
      <c r="V49" s="139">
        <f t="shared" si="44"/>
        <v>-60000</v>
      </c>
      <c r="Z49" s="116">
        <v>6001014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5">
        <v>2560000</v>
      </c>
      <c r="AP49">
        <f t="shared" si="8"/>
        <v>2582333.3333333335</v>
      </c>
      <c r="AQ49" s="136">
        <f t="shared" si="9"/>
        <v>1.0333333333333325</v>
      </c>
      <c r="AR49">
        <f t="shared" si="10"/>
        <v>-62999.999999997672</v>
      </c>
    </row>
    <row r="50" spans="18:44" x14ac:dyDescent="0.15">
      <c r="R50" s="116">
        <v>6001014</v>
      </c>
      <c r="S50" s="116">
        <v>520000</v>
      </c>
      <c r="T50" s="61">
        <v>720000</v>
      </c>
      <c r="U50" s="138">
        <f t="shared" si="43"/>
        <v>1</v>
      </c>
      <c r="V50" s="139">
        <f t="shared" si="44"/>
        <v>200000</v>
      </c>
      <c r="Z50" s="116">
        <v>6001014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5">
        <v>2570000</v>
      </c>
      <c r="AP50">
        <f t="shared" si="8"/>
        <v>2592666.666666667</v>
      </c>
      <c r="AQ50" s="136">
        <f t="shared" si="9"/>
        <v>1.0333333333333325</v>
      </c>
      <c r="AR50">
        <f t="shared" si="10"/>
        <v>-62999.999999997672</v>
      </c>
    </row>
    <row r="51" spans="18:44" x14ac:dyDescent="0.15">
      <c r="R51" s="116">
        <v>6001014</v>
      </c>
      <c r="S51" s="116">
        <v>540000</v>
      </c>
      <c r="T51" s="61">
        <v>740000</v>
      </c>
      <c r="U51" s="138">
        <f t="shared" si="43"/>
        <v>1</v>
      </c>
      <c r="V51" s="139">
        <f t="shared" si="44"/>
        <v>200000</v>
      </c>
      <c r="Z51" s="116">
        <v>6001014</v>
      </c>
      <c r="AA51">
        <v>440000</v>
      </c>
      <c r="AB51">
        <v>600000</v>
      </c>
      <c r="AC51">
        <v>600000</v>
      </c>
      <c r="AE51" t="e">
        <f>#REF!*#REF!+#REF!</f>
        <v>#REF!</v>
      </c>
      <c r="AF51" t="e">
        <f>#REF!*#REF!+#REF!</f>
        <v>#REF!</v>
      </c>
      <c r="AJ51">
        <v>49000</v>
      </c>
      <c r="AK51">
        <v>2450</v>
      </c>
      <c r="AL51">
        <v>0.05</v>
      </c>
      <c r="AM51">
        <v>0</v>
      </c>
      <c r="AO51" s="115">
        <v>2580000</v>
      </c>
      <c r="AP51">
        <f t="shared" si="8"/>
        <v>2603000.0000000005</v>
      </c>
      <c r="AQ51" s="136">
        <f t="shared" si="9"/>
        <v>1.0333333333333325</v>
      </c>
      <c r="AR51">
        <f t="shared" si="10"/>
        <v>-62999.999999997672</v>
      </c>
    </row>
    <row r="52" spans="18:44" x14ac:dyDescent="0.15">
      <c r="R52" s="116">
        <v>6001014</v>
      </c>
      <c r="S52" s="116">
        <v>560000</v>
      </c>
      <c r="T52" s="61">
        <v>760000</v>
      </c>
      <c r="U52" s="138">
        <f t="shared" si="43"/>
        <v>2</v>
      </c>
      <c r="V52" s="139">
        <f t="shared" si="44"/>
        <v>-360000</v>
      </c>
      <c r="Z52" s="116">
        <v>6001014</v>
      </c>
      <c r="AA52">
        <v>460000</v>
      </c>
      <c r="AB52">
        <v>628000</v>
      </c>
      <c r="AC52">
        <v>630000</v>
      </c>
      <c r="AE52" t="e">
        <f>#REF!*#REF!+#REF!</f>
        <v>#REF!</v>
      </c>
      <c r="AF52" t="e">
        <f>#REF!*#REF!+#REF!</f>
        <v>#REF!</v>
      </c>
      <c r="AJ52">
        <v>50000</v>
      </c>
      <c r="AK52">
        <v>2500</v>
      </c>
      <c r="AL52">
        <v>0.05</v>
      </c>
      <c r="AM52">
        <v>0</v>
      </c>
      <c r="AO52" s="115">
        <v>2590000</v>
      </c>
      <c r="AP52">
        <f t="shared" si="8"/>
        <v>2613333.3333333335</v>
      </c>
      <c r="AQ52" s="136">
        <f t="shared" si="9"/>
        <v>1.0333333333333325</v>
      </c>
      <c r="AR52">
        <f t="shared" si="10"/>
        <v>-62999.999999997672</v>
      </c>
    </row>
    <row r="53" spans="18:44" x14ac:dyDescent="0.15">
      <c r="R53" s="116">
        <v>6001014</v>
      </c>
      <c r="S53" s="116">
        <v>580000</v>
      </c>
      <c r="T53" s="61">
        <v>800000</v>
      </c>
      <c r="U53" s="138">
        <f t="shared" si="43"/>
        <v>0.5</v>
      </c>
      <c r="V53" s="139">
        <f t="shared" si="44"/>
        <v>510000</v>
      </c>
      <c r="Z53" s="116">
        <v>6001014</v>
      </c>
      <c r="AA53">
        <v>480000</v>
      </c>
      <c r="AB53">
        <v>656000</v>
      </c>
      <c r="AC53">
        <v>660000</v>
      </c>
      <c r="AE53" t="e">
        <f>#REF!*#REF!+#REF!</f>
        <v>#REF!</v>
      </c>
      <c r="AF53" t="e">
        <f>#REF!*#REF!+#REF!</f>
        <v>#REF!</v>
      </c>
      <c r="AJ53">
        <v>51000</v>
      </c>
      <c r="AK53">
        <v>2550</v>
      </c>
      <c r="AL53">
        <v>0.05</v>
      </c>
      <c r="AM53">
        <v>0</v>
      </c>
      <c r="AO53" s="115">
        <v>2600000</v>
      </c>
      <c r="AP53">
        <f t="shared" si="8"/>
        <v>2623666.666666667</v>
      </c>
      <c r="AQ53" s="136">
        <f t="shared" si="9"/>
        <v>1.0333333333333325</v>
      </c>
      <c r="AR53">
        <f t="shared" si="10"/>
        <v>-62999.999999997672</v>
      </c>
    </row>
    <row r="54" spans="18:44" x14ac:dyDescent="0.15">
      <c r="R54" s="116">
        <v>6001014</v>
      </c>
      <c r="S54" s="116">
        <v>600000</v>
      </c>
      <c r="T54" s="61">
        <v>810000</v>
      </c>
      <c r="U54" s="138">
        <f t="shared" si="43"/>
        <v>0.5</v>
      </c>
      <c r="V54" s="139">
        <f t="shared" si="44"/>
        <v>510000</v>
      </c>
      <c r="Z54" s="116">
        <v>6001014</v>
      </c>
      <c r="AA54">
        <v>500000</v>
      </c>
      <c r="AB54">
        <v>684000</v>
      </c>
      <c r="AC54">
        <v>690000</v>
      </c>
      <c r="AE54" t="e">
        <f>#REF!*#REF!+#REF!</f>
        <v>#REF!</v>
      </c>
      <c r="AF54" t="e">
        <f>#REF!*#REF!+#REF!</f>
        <v>#REF!</v>
      </c>
      <c r="AJ54">
        <v>52000</v>
      </c>
      <c r="AK54">
        <v>2600</v>
      </c>
      <c r="AL54">
        <v>0.05</v>
      </c>
      <c r="AM54">
        <v>0</v>
      </c>
      <c r="AO54" s="115">
        <v>2610000</v>
      </c>
      <c r="AP54">
        <f t="shared" si="8"/>
        <v>2634000.0000000005</v>
      </c>
      <c r="AQ54" s="136">
        <f t="shared" si="9"/>
        <v>1.0333333333333325</v>
      </c>
      <c r="AR54">
        <f t="shared" si="10"/>
        <v>-62999.999999997672</v>
      </c>
    </row>
    <row r="55" spans="18:44" x14ac:dyDescent="0.15">
      <c r="R55" s="116">
        <v>6001014</v>
      </c>
      <c r="S55" s="116">
        <v>620000</v>
      </c>
      <c r="T55" s="61">
        <v>820000</v>
      </c>
      <c r="U55" s="138">
        <f t="shared" si="43"/>
        <v>0.5</v>
      </c>
      <c r="V55" s="139">
        <f t="shared" si="44"/>
        <v>510000</v>
      </c>
      <c r="Z55" s="116">
        <v>6001014</v>
      </c>
      <c r="AA55">
        <v>520000</v>
      </c>
      <c r="AB55">
        <v>712000</v>
      </c>
      <c r="AC55">
        <v>720000</v>
      </c>
      <c r="AE55" t="e">
        <f>#REF!*#REF!+#REF!</f>
        <v>#REF!</v>
      </c>
      <c r="AF55" t="e">
        <f>#REF!*B17+#REF!</f>
        <v>#REF!</v>
      </c>
      <c r="AJ55">
        <v>53000</v>
      </c>
      <c r="AK55">
        <v>2650</v>
      </c>
      <c r="AL55">
        <v>0.05</v>
      </c>
      <c r="AM55">
        <v>0</v>
      </c>
      <c r="AO55" s="115">
        <v>2620000</v>
      </c>
      <c r="AP55">
        <f t="shared" si="8"/>
        <v>2644333.3333333335</v>
      </c>
      <c r="AQ55" s="136">
        <f t="shared" si="9"/>
        <v>1.0333333333333325</v>
      </c>
      <c r="AR55">
        <f t="shared" si="10"/>
        <v>-62999.999999997672</v>
      </c>
    </row>
    <row r="56" spans="18:44" x14ac:dyDescent="0.15">
      <c r="R56" s="116">
        <v>6001014</v>
      </c>
      <c r="S56" s="116">
        <v>640000</v>
      </c>
      <c r="T56" s="61">
        <v>830000</v>
      </c>
      <c r="U56" s="138">
        <f t="shared" si="43"/>
        <v>0.5</v>
      </c>
      <c r="V56" s="139">
        <f t="shared" si="44"/>
        <v>510000</v>
      </c>
      <c r="Z56" s="116">
        <v>6001014</v>
      </c>
      <c r="AA56">
        <v>540000</v>
      </c>
      <c r="AB56">
        <v>740000</v>
      </c>
      <c r="AC56">
        <v>740000</v>
      </c>
      <c r="AE56">
        <f>D17*B17+E17</f>
        <v>750000</v>
      </c>
      <c r="AF56">
        <f>D17*B18+E17</f>
        <v>907500</v>
      </c>
      <c r="AJ56">
        <v>54000</v>
      </c>
      <c r="AK56">
        <v>2700</v>
      </c>
      <c r="AL56">
        <v>0.05</v>
      </c>
      <c r="AM56">
        <v>0</v>
      </c>
      <c r="AO56" s="115">
        <v>2630000</v>
      </c>
      <c r="AP56">
        <f t="shared" si="8"/>
        <v>2654666.666666667</v>
      </c>
      <c r="AQ56" s="136">
        <f t="shared" si="9"/>
        <v>1.0333333333333325</v>
      </c>
      <c r="AR56">
        <f t="shared" si="10"/>
        <v>-62999.999999997672</v>
      </c>
    </row>
    <row r="57" spans="18:44" x14ac:dyDescent="0.15">
      <c r="R57" s="116">
        <v>6001014</v>
      </c>
      <c r="S57" s="116">
        <v>660000</v>
      </c>
      <c r="T57" s="61">
        <v>840000</v>
      </c>
      <c r="U57" s="138">
        <f>(T58-T57)/(S58-S57)</f>
        <v>1</v>
      </c>
      <c r="V57" s="139">
        <f>T57-U57*S57</f>
        <v>180000</v>
      </c>
      <c r="Z57" s="116">
        <v>6001014</v>
      </c>
      <c r="AA57">
        <v>560000</v>
      </c>
      <c r="AB57">
        <v>768000</v>
      </c>
      <c r="AC57">
        <v>760000</v>
      </c>
      <c r="AE57">
        <f>D18*B18+E18</f>
        <v>907500.00000000012</v>
      </c>
      <c r="AF57">
        <f>D18*B19+E18</f>
        <v>1140000</v>
      </c>
      <c r="AJ57">
        <v>55000</v>
      </c>
      <c r="AK57">
        <v>2750</v>
      </c>
      <c r="AL57">
        <v>0.05</v>
      </c>
      <c r="AM57">
        <v>0</v>
      </c>
      <c r="AO57" s="115">
        <v>2640000</v>
      </c>
      <c r="AP57">
        <f t="shared" si="8"/>
        <v>2665000.0000000005</v>
      </c>
      <c r="AQ57" s="136">
        <f t="shared" si="9"/>
        <v>1.0333333333333325</v>
      </c>
      <c r="AR57">
        <f t="shared" si="10"/>
        <v>-62999.999999997672</v>
      </c>
    </row>
    <row r="58" spans="18:44" x14ac:dyDescent="0.15">
      <c r="R58" s="116">
        <v>6001014</v>
      </c>
      <c r="S58" s="116">
        <v>680000</v>
      </c>
      <c r="T58" s="61">
        <v>860000</v>
      </c>
      <c r="U58" s="135">
        <v>0.05</v>
      </c>
      <c r="V58" s="140">
        <f>T58-U58*S58</f>
        <v>826000</v>
      </c>
      <c r="Z58" s="116">
        <v>6001014</v>
      </c>
      <c r="AA58">
        <v>580000</v>
      </c>
      <c r="AB58">
        <v>796000</v>
      </c>
      <c r="AC58">
        <v>800000</v>
      </c>
      <c r="AE58">
        <f>D19*B19+E19</f>
        <v>1140000</v>
      </c>
      <c r="AF58" t="s">
        <v>331</v>
      </c>
      <c r="AJ58">
        <v>56000</v>
      </c>
      <c r="AK58">
        <v>2800</v>
      </c>
      <c r="AL58">
        <v>0.05</v>
      </c>
      <c r="AM58">
        <v>0</v>
      </c>
      <c r="AO58" s="115">
        <v>2650000</v>
      </c>
      <c r="AP58">
        <f t="shared" si="8"/>
        <v>2675333.3333333335</v>
      </c>
      <c r="AQ58" s="136">
        <f t="shared" si="9"/>
        <v>1.0333333333333325</v>
      </c>
      <c r="AR58">
        <f t="shared" si="10"/>
        <v>-62999.999999997672</v>
      </c>
    </row>
    <row r="59" spans="18:44" x14ac:dyDescent="0.15">
      <c r="R59" s="115">
        <v>6001015</v>
      </c>
      <c r="S59" s="115">
        <v>0</v>
      </c>
      <c r="T59" s="61">
        <v>0</v>
      </c>
      <c r="U59" s="138">
        <f t="shared" ref="U59:U85" si="45">(T60-T59)/(S60-S59)</f>
        <v>1.2076923076923076</v>
      </c>
      <c r="V59" s="139">
        <f t="shared" ref="V59:V85" si="46">T59-U59*S59</f>
        <v>0</v>
      </c>
      <c r="Z59" s="116">
        <v>6001014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5">
        <v>2660000</v>
      </c>
      <c r="AP59">
        <f t="shared" si="8"/>
        <v>2685666.666666667</v>
      </c>
      <c r="AQ59" s="136">
        <f t="shared" si="9"/>
        <v>1.0333333333333325</v>
      </c>
      <c r="AR59">
        <f t="shared" si="10"/>
        <v>-62999.999999997672</v>
      </c>
    </row>
    <row r="60" spans="18:44" x14ac:dyDescent="0.15">
      <c r="R60" s="115">
        <v>6001015</v>
      </c>
      <c r="S60" s="115">
        <v>1300000</v>
      </c>
      <c r="T60" s="61">
        <v>1570000</v>
      </c>
      <c r="U60" s="138">
        <f t="shared" si="45"/>
        <v>0.33333333333333331</v>
      </c>
      <c r="V60" s="139">
        <f t="shared" si="46"/>
        <v>1136666.6666666667</v>
      </c>
      <c r="Z60" s="116">
        <v>6001014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5">
        <v>2670000</v>
      </c>
      <c r="AP60">
        <f t="shared" si="8"/>
        <v>2696000.0000000005</v>
      </c>
      <c r="AQ60" s="136">
        <f t="shared" si="9"/>
        <v>1.0333333333333325</v>
      </c>
      <c r="AR60">
        <f t="shared" si="10"/>
        <v>-62999.999999997672</v>
      </c>
    </row>
    <row r="61" spans="18:44" x14ac:dyDescent="0.15">
      <c r="R61" s="115">
        <v>6001015</v>
      </c>
      <c r="S61" s="115">
        <v>1360000</v>
      </c>
      <c r="T61" s="61">
        <v>1590000</v>
      </c>
      <c r="U61" s="138">
        <f t="shared" si="45"/>
        <v>0.5</v>
      </c>
      <c r="V61" s="139">
        <f t="shared" si="46"/>
        <v>910000</v>
      </c>
      <c r="Z61" s="116">
        <v>6001014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5">
        <v>2680000</v>
      </c>
      <c r="AP61">
        <f t="shared" si="8"/>
        <v>2706333.3333333335</v>
      </c>
      <c r="AQ61" s="136">
        <f t="shared" si="9"/>
        <v>1.0333333333333325</v>
      </c>
      <c r="AR61">
        <f t="shared" si="10"/>
        <v>-62999.999999997672</v>
      </c>
    </row>
    <row r="62" spans="18:44" x14ac:dyDescent="0.15">
      <c r="R62" s="115">
        <v>6001015</v>
      </c>
      <c r="S62" s="115">
        <v>1420000</v>
      </c>
      <c r="T62" s="61">
        <v>1620000</v>
      </c>
      <c r="U62" s="138">
        <f t="shared" si="45"/>
        <v>0.5</v>
      </c>
      <c r="V62" s="139">
        <f t="shared" si="46"/>
        <v>910000</v>
      </c>
      <c r="Z62" s="116">
        <v>6001014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5">
        <v>2690000</v>
      </c>
      <c r="AP62">
        <f t="shared" si="8"/>
        <v>2716666.666666667</v>
      </c>
      <c r="AQ62" s="136">
        <f t="shared" si="9"/>
        <v>1.0333333333333325</v>
      </c>
      <c r="AR62">
        <f t="shared" si="10"/>
        <v>-62999.999999997672</v>
      </c>
    </row>
    <row r="63" spans="18:44" x14ac:dyDescent="0.15">
      <c r="R63" s="115">
        <v>6001015</v>
      </c>
      <c r="S63" s="115">
        <v>1480000</v>
      </c>
      <c r="T63" s="61">
        <v>1650000</v>
      </c>
      <c r="U63" s="138">
        <f t="shared" si="45"/>
        <v>0.33333333333333331</v>
      </c>
      <c r="V63" s="139">
        <f t="shared" si="46"/>
        <v>1156666.6666666667</v>
      </c>
      <c r="Z63" s="116">
        <v>6001014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5">
        <v>2700000</v>
      </c>
      <c r="AP63">
        <f t="shared" si="8"/>
        <v>2727000</v>
      </c>
      <c r="AQ63" s="136">
        <f t="shared" si="9"/>
        <v>1.0333333333333325</v>
      </c>
      <c r="AR63">
        <f t="shared" si="10"/>
        <v>-62999.999999997672</v>
      </c>
    </row>
    <row r="64" spans="18:44" x14ac:dyDescent="0.15">
      <c r="R64" s="115">
        <v>6001015</v>
      </c>
      <c r="S64" s="115">
        <v>1540000</v>
      </c>
      <c r="T64" s="61">
        <v>1670000</v>
      </c>
      <c r="U64" s="138">
        <f t="shared" si="45"/>
        <v>0.5</v>
      </c>
      <c r="V64" s="139">
        <f t="shared" si="46"/>
        <v>900000</v>
      </c>
      <c r="Z64" s="115">
        <v>6001015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5">
        <v>2710000</v>
      </c>
      <c r="AP64">
        <f t="shared" si="8"/>
        <v>2737333.3333333335</v>
      </c>
      <c r="AQ64" s="136">
        <f t="shared" si="9"/>
        <v>1.0333333333333325</v>
      </c>
      <c r="AR64">
        <f t="shared" si="10"/>
        <v>-62999.999999997672</v>
      </c>
    </row>
    <row r="65" spans="18:44" x14ac:dyDescent="0.15">
      <c r="R65" s="115">
        <v>6001015</v>
      </c>
      <c r="S65" s="115">
        <v>1600000</v>
      </c>
      <c r="T65" s="61">
        <v>1700000</v>
      </c>
      <c r="U65" s="138">
        <f t="shared" si="45"/>
        <v>0.5</v>
      </c>
      <c r="V65" s="139">
        <f t="shared" si="46"/>
        <v>900000</v>
      </c>
      <c r="Z65" s="115">
        <v>6001015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5">
        <v>2720000</v>
      </c>
      <c r="AP65">
        <f t="shared" si="8"/>
        <v>2747666.666666667</v>
      </c>
      <c r="AQ65" s="136">
        <f t="shared" si="9"/>
        <v>1.0333333333333325</v>
      </c>
      <c r="AR65">
        <f t="shared" si="10"/>
        <v>-62999.999999997672</v>
      </c>
    </row>
    <row r="66" spans="18:44" x14ac:dyDescent="0.15">
      <c r="R66" s="115">
        <v>6001015</v>
      </c>
      <c r="S66" s="115">
        <v>1660000</v>
      </c>
      <c r="T66" s="61">
        <v>1730000</v>
      </c>
      <c r="U66" s="138">
        <f t="shared" si="45"/>
        <v>0.33333333333333331</v>
      </c>
      <c r="V66" s="139">
        <f t="shared" si="46"/>
        <v>1176666.6666666667</v>
      </c>
      <c r="Z66" s="115">
        <v>6001015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5">
        <v>2730000</v>
      </c>
      <c r="AP66">
        <f t="shared" si="8"/>
        <v>2758000</v>
      </c>
      <c r="AQ66" s="136">
        <f t="shared" si="9"/>
        <v>1.0333333333333325</v>
      </c>
      <c r="AR66">
        <f t="shared" si="10"/>
        <v>-62999.999999997672</v>
      </c>
    </row>
    <row r="67" spans="18:44" x14ac:dyDescent="0.15">
      <c r="R67" s="115">
        <v>6001015</v>
      </c>
      <c r="S67" s="115">
        <v>1720000</v>
      </c>
      <c r="T67" s="61">
        <v>1750000</v>
      </c>
      <c r="U67" s="138">
        <f t="shared" si="45"/>
        <v>0.5</v>
      </c>
      <c r="V67" s="139">
        <f t="shared" si="46"/>
        <v>890000</v>
      </c>
      <c r="Z67" s="115">
        <v>6001015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5">
        <v>2740000</v>
      </c>
      <c r="AP67">
        <f t="shared" si="8"/>
        <v>2768333.3333333335</v>
      </c>
      <c r="AQ67" s="136">
        <f t="shared" si="9"/>
        <v>1.0333333333333325</v>
      </c>
      <c r="AR67">
        <f t="shared" si="10"/>
        <v>-62999.999999997672</v>
      </c>
    </row>
    <row r="68" spans="18:44" x14ac:dyDescent="0.15">
      <c r="R68" s="115">
        <v>6001015</v>
      </c>
      <c r="S68" s="115">
        <v>1780000</v>
      </c>
      <c r="T68" s="61">
        <v>1780000</v>
      </c>
      <c r="U68" s="138">
        <f t="shared" si="45"/>
        <v>0.33333333333333331</v>
      </c>
      <c r="V68" s="139">
        <f t="shared" si="46"/>
        <v>1186666.6666666667</v>
      </c>
      <c r="Z68" s="115">
        <v>6001015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5">
        <v>2750000</v>
      </c>
      <c r="AP68">
        <f t="shared" ref="AP68:AP110" si="47">AQ68*AO68+AR68</f>
        <v>2778666.666666667</v>
      </c>
      <c r="AQ68" s="136">
        <f t="shared" si="9"/>
        <v>1.0333333333333325</v>
      </c>
      <c r="AR68">
        <f t="shared" si="10"/>
        <v>-62999.999999997672</v>
      </c>
    </row>
    <row r="69" spans="18:44" x14ac:dyDescent="0.15">
      <c r="R69" s="115">
        <v>6001015</v>
      </c>
      <c r="S69" s="115">
        <v>1840000</v>
      </c>
      <c r="T69" s="61">
        <v>1800000</v>
      </c>
      <c r="U69" s="138">
        <f t="shared" si="45"/>
        <v>0.5</v>
      </c>
      <c r="V69" s="139">
        <f t="shared" si="46"/>
        <v>880000</v>
      </c>
      <c r="Z69" s="115">
        <v>6001015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5">
        <v>2760000</v>
      </c>
      <c r="AP69">
        <f t="shared" si="47"/>
        <v>2789000</v>
      </c>
      <c r="AQ69" s="136">
        <f t="shared" ref="AQ69:AQ110" si="48">VLOOKUP(AO69,B$20:E$25,3,TRUE)</f>
        <v>1.0333333333333325</v>
      </c>
      <c r="AR69">
        <f t="shared" ref="AR69:AR110" si="49">VLOOKUP(AO69,B$20:E$25,4)</f>
        <v>-62999.999999997672</v>
      </c>
    </row>
    <row r="70" spans="18:44" x14ac:dyDescent="0.15">
      <c r="R70" s="115">
        <v>6001015</v>
      </c>
      <c r="S70" s="115">
        <v>1900000</v>
      </c>
      <c r="T70" s="61">
        <v>1830000</v>
      </c>
      <c r="U70" s="138">
        <f t="shared" si="45"/>
        <v>0.75</v>
      </c>
      <c r="V70" s="139">
        <f t="shared" si="46"/>
        <v>405000</v>
      </c>
      <c r="Z70" s="115">
        <v>6001015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5">
        <v>2770000</v>
      </c>
      <c r="AP70">
        <f t="shared" si="47"/>
        <v>2799333.3333333335</v>
      </c>
      <c r="AQ70" s="136">
        <f t="shared" si="48"/>
        <v>1.0333333333333325</v>
      </c>
      <c r="AR70">
        <f t="shared" si="49"/>
        <v>-62999.999999997672</v>
      </c>
    </row>
    <row r="71" spans="18:44" x14ac:dyDescent="0.15">
      <c r="R71" s="115">
        <v>6001015</v>
      </c>
      <c r="S71" s="115">
        <v>1940000</v>
      </c>
      <c r="T71" s="61">
        <v>1860000</v>
      </c>
      <c r="U71" s="138">
        <f t="shared" si="45"/>
        <v>0.75</v>
      </c>
      <c r="V71" s="139">
        <f t="shared" si="46"/>
        <v>405000</v>
      </c>
      <c r="Z71" s="115">
        <v>6001015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5">
        <v>2780000</v>
      </c>
      <c r="AP71">
        <f t="shared" si="47"/>
        <v>2809666.666666667</v>
      </c>
      <c r="AQ71" s="136">
        <f t="shared" si="48"/>
        <v>1.0333333333333325</v>
      </c>
      <c r="AR71">
        <f t="shared" si="49"/>
        <v>-62999.999999997672</v>
      </c>
    </row>
    <row r="72" spans="18:44" x14ac:dyDescent="0.15">
      <c r="R72" s="115">
        <v>6001015</v>
      </c>
      <c r="S72" s="115">
        <v>1980000</v>
      </c>
      <c r="T72" s="61">
        <v>1890000</v>
      </c>
      <c r="U72" s="138">
        <f t="shared" si="45"/>
        <v>0.75</v>
      </c>
      <c r="V72" s="139">
        <f t="shared" si="46"/>
        <v>405000</v>
      </c>
      <c r="Z72" s="115">
        <v>6001015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5">
        <v>2790000</v>
      </c>
      <c r="AP72">
        <f t="shared" si="47"/>
        <v>2820000</v>
      </c>
      <c r="AQ72" s="136">
        <f t="shared" si="48"/>
        <v>1.0333333333333325</v>
      </c>
      <c r="AR72">
        <f t="shared" si="49"/>
        <v>-62999.999999997672</v>
      </c>
    </row>
    <row r="73" spans="18:44" x14ac:dyDescent="0.15">
      <c r="R73" s="115">
        <v>6001015</v>
      </c>
      <c r="S73" s="115">
        <v>2020000</v>
      </c>
      <c r="T73" s="61">
        <v>1920000</v>
      </c>
      <c r="U73" s="138">
        <f t="shared" si="45"/>
        <v>0.5</v>
      </c>
      <c r="V73" s="139">
        <f t="shared" si="46"/>
        <v>910000</v>
      </c>
      <c r="Z73" s="115">
        <v>6001015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5">
        <v>2800000</v>
      </c>
      <c r="AP73">
        <f t="shared" si="47"/>
        <v>2830333.3333333335</v>
      </c>
      <c r="AQ73" s="136">
        <f t="shared" si="48"/>
        <v>1.0333333333333325</v>
      </c>
      <c r="AR73">
        <f t="shared" si="49"/>
        <v>-62999.999999997672</v>
      </c>
    </row>
    <row r="74" spans="18:44" x14ac:dyDescent="0.15">
      <c r="R74" s="115">
        <v>6001015</v>
      </c>
      <c r="S74" s="115">
        <v>2060000</v>
      </c>
      <c r="T74" s="61">
        <v>1940000</v>
      </c>
      <c r="U74" s="138">
        <f t="shared" si="45"/>
        <v>0.5</v>
      </c>
      <c r="V74" s="139">
        <f t="shared" si="46"/>
        <v>910000</v>
      </c>
      <c r="Z74" s="115">
        <v>6001015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5">
        <v>2810000</v>
      </c>
      <c r="AP74">
        <f t="shared" si="47"/>
        <v>2840666.666666667</v>
      </c>
      <c r="AQ74" s="136">
        <f t="shared" si="48"/>
        <v>1.0333333333333325</v>
      </c>
      <c r="AR74">
        <f t="shared" si="49"/>
        <v>-62999.999999997672</v>
      </c>
    </row>
    <row r="75" spans="18:44" x14ac:dyDescent="0.15">
      <c r="R75" s="115">
        <v>6001015</v>
      </c>
      <c r="S75" s="115">
        <v>2100000</v>
      </c>
      <c r="T75" s="61">
        <v>1960000</v>
      </c>
      <c r="U75" s="138">
        <f t="shared" si="45"/>
        <v>0.5</v>
      </c>
      <c r="V75" s="139">
        <f t="shared" si="46"/>
        <v>910000</v>
      </c>
      <c r="Z75" s="115">
        <v>6001015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5">
        <v>2820000</v>
      </c>
      <c r="AP75">
        <f t="shared" si="47"/>
        <v>2851000</v>
      </c>
      <c r="AQ75" s="136">
        <f t="shared" si="48"/>
        <v>1.0333333333333325</v>
      </c>
      <c r="AR75">
        <f t="shared" si="49"/>
        <v>-62999.999999997672</v>
      </c>
    </row>
    <row r="76" spans="18:44" x14ac:dyDescent="0.15">
      <c r="R76" s="115">
        <v>6001015</v>
      </c>
      <c r="S76" s="115">
        <v>2140000</v>
      </c>
      <c r="T76" s="61">
        <v>1980000</v>
      </c>
      <c r="U76" s="138">
        <f t="shared" si="45"/>
        <v>0.5</v>
      </c>
      <c r="V76" s="139">
        <f t="shared" si="46"/>
        <v>910000</v>
      </c>
      <c r="Z76" s="115">
        <v>6001015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5">
        <v>2830000</v>
      </c>
      <c r="AP76">
        <f t="shared" si="47"/>
        <v>2861333.3333333335</v>
      </c>
      <c r="AQ76" s="136">
        <f t="shared" si="48"/>
        <v>1.0333333333333325</v>
      </c>
      <c r="AR76">
        <f t="shared" si="49"/>
        <v>-62999.999999997672</v>
      </c>
    </row>
    <row r="77" spans="18:44" x14ac:dyDescent="0.15">
      <c r="R77" s="115">
        <v>6001015</v>
      </c>
      <c r="S77" s="115">
        <v>2180000</v>
      </c>
      <c r="T77" s="61">
        <v>2000000</v>
      </c>
      <c r="U77" s="138">
        <f t="shared" si="45"/>
        <v>0.25</v>
      </c>
      <c r="V77" s="139">
        <f t="shared" si="46"/>
        <v>1455000</v>
      </c>
      <c r="Z77" s="115">
        <v>6001015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5">
        <v>2840000</v>
      </c>
      <c r="AP77">
        <f t="shared" si="47"/>
        <v>2871666.666666667</v>
      </c>
      <c r="AQ77" s="136">
        <f t="shared" si="48"/>
        <v>1.0333333333333325</v>
      </c>
      <c r="AR77">
        <f t="shared" si="49"/>
        <v>-62999.999999997672</v>
      </c>
    </row>
    <row r="78" spans="18:44" x14ac:dyDescent="0.15">
      <c r="R78" s="115">
        <v>6001015</v>
      </c>
      <c r="S78" s="115">
        <v>2220000</v>
      </c>
      <c r="T78" s="61">
        <v>2010000</v>
      </c>
      <c r="U78" s="138">
        <f t="shared" si="45"/>
        <v>0.5</v>
      </c>
      <c r="V78" s="139">
        <f t="shared" si="46"/>
        <v>900000</v>
      </c>
      <c r="Z78" s="115">
        <v>6001015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5">
        <v>2850000</v>
      </c>
      <c r="AP78">
        <f t="shared" si="47"/>
        <v>2882000</v>
      </c>
      <c r="AQ78" s="136">
        <f t="shared" si="48"/>
        <v>1.0333333333333325</v>
      </c>
      <c r="AR78">
        <f t="shared" si="49"/>
        <v>-62999.999999997672</v>
      </c>
    </row>
    <row r="79" spans="18:44" x14ac:dyDescent="0.15">
      <c r="R79" s="115">
        <v>6001015</v>
      </c>
      <c r="S79" s="115">
        <v>2260000</v>
      </c>
      <c r="T79" s="61">
        <v>2030000</v>
      </c>
      <c r="U79" s="138">
        <f t="shared" si="45"/>
        <v>0.5</v>
      </c>
      <c r="V79" s="139">
        <f t="shared" si="46"/>
        <v>900000</v>
      </c>
      <c r="Z79" s="115">
        <v>6001015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5">
        <v>2860000</v>
      </c>
      <c r="AP79">
        <f t="shared" si="47"/>
        <v>2892333.3333333335</v>
      </c>
      <c r="AQ79" s="136">
        <f t="shared" si="48"/>
        <v>1.0333333333333325</v>
      </c>
      <c r="AR79">
        <f t="shared" si="49"/>
        <v>-62999.999999997672</v>
      </c>
    </row>
    <row r="80" spans="18:44" x14ac:dyDescent="0.15">
      <c r="R80" s="115">
        <v>6001015</v>
      </c>
      <c r="S80" s="115">
        <v>2300000</v>
      </c>
      <c r="T80" s="61">
        <v>2050000</v>
      </c>
      <c r="U80" s="138">
        <f t="shared" si="45"/>
        <v>0.5</v>
      </c>
      <c r="V80" s="139">
        <f t="shared" si="46"/>
        <v>900000</v>
      </c>
      <c r="Z80" s="115">
        <v>6001015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5">
        <v>2870000</v>
      </c>
      <c r="AP80">
        <f t="shared" si="47"/>
        <v>2902666.6666666665</v>
      </c>
      <c r="AQ80" s="136">
        <f t="shared" si="48"/>
        <v>1.0333333333333325</v>
      </c>
      <c r="AR80">
        <f t="shared" si="49"/>
        <v>-62999.999999997672</v>
      </c>
    </row>
    <row r="81" spans="18:44" x14ac:dyDescent="0.15">
      <c r="R81" s="115">
        <v>6001015</v>
      </c>
      <c r="S81" s="115">
        <v>2340000</v>
      </c>
      <c r="T81" s="61">
        <v>2070000</v>
      </c>
      <c r="U81" s="138">
        <f t="shared" si="45"/>
        <v>0.5</v>
      </c>
      <c r="V81" s="139">
        <f t="shared" si="46"/>
        <v>900000</v>
      </c>
      <c r="Z81" s="115">
        <v>6001015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5">
        <v>2880000</v>
      </c>
      <c r="AP81">
        <f t="shared" si="47"/>
        <v>2913000</v>
      </c>
      <c r="AQ81" s="136">
        <f t="shared" si="48"/>
        <v>1.0333333333333325</v>
      </c>
      <c r="AR81">
        <f t="shared" si="49"/>
        <v>-62999.999999997672</v>
      </c>
    </row>
    <row r="82" spans="18:44" x14ac:dyDescent="0.15">
      <c r="R82" s="115">
        <v>6001015</v>
      </c>
      <c r="S82" s="115">
        <v>2380000</v>
      </c>
      <c r="T82" s="61">
        <v>2090000</v>
      </c>
      <c r="U82" s="138">
        <f t="shared" si="45"/>
        <v>0.5</v>
      </c>
      <c r="V82" s="139">
        <f t="shared" si="46"/>
        <v>900000</v>
      </c>
      <c r="Z82" s="115">
        <v>6001015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5">
        <v>2890000</v>
      </c>
      <c r="AP82">
        <f t="shared" si="47"/>
        <v>2923333.3333333335</v>
      </c>
      <c r="AQ82" s="136">
        <f t="shared" si="48"/>
        <v>1.0333333333333325</v>
      </c>
      <c r="AR82">
        <f t="shared" si="49"/>
        <v>-62999.999999997672</v>
      </c>
    </row>
    <row r="83" spans="18:44" x14ac:dyDescent="0.15">
      <c r="R83" s="115">
        <v>6001015</v>
      </c>
      <c r="S83" s="115">
        <v>2420000</v>
      </c>
      <c r="T83" s="61">
        <v>2110000</v>
      </c>
      <c r="U83" s="138">
        <f t="shared" si="45"/>
        <v>1</v>
      </c>
      <c r="V83" s="139">
        <f t="shared" si="46"/>
        <v>-310000</v>
      </c>
      <c r="Z83" s="115">
        <v>6001015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5">
        <v>2900000</v>
      </c>
      <c r="AP83">
        <f t="shared" si="47"/>
        <v>2933666.6666666665</v>
      </c>
      <c r="AQ83" s="136">
        <f t="shared" si="48"/>
        <v>1.0333333333333325</v>
      </c>
      <c r="AR83">
        <f t="shared" si="49"/>
        <v>-62999.999999997672</v>
      </c>
    </row>
    <row r="84" spans="18:44" x14ac:dyDescent="0.15">
      <c r="R84" s="115">
        <v>6001015</v>
      </c>
      <c r="S84" s="115">
        <v>2440000</v>
      </c>
      <c r="T84" s="61">
        <v>2130000</v>
      </c>
      <c r="U84" s="138">
        <f t="shared" si="45"/>
        <v>1</v>
      </c>
      <c r="V84" s="139">
        <f t="shared" si="46"/>
        <v>-310000</v>
      </c>
      <c r="Z84" s="115">
        <v>6001015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5">
        <v>2910000</v>
      </c>
      <c r="AP84">
        <f t="shared" si="47"/>
        <v>2944000</v>
      </c>
      <c r="AQ84" s="136">
        <f t="shared" si="48"/>
        <v>1.0333333333333325</v>
      </c>
      <c r="AR84">
        <f t="shared" si="49"/>
        <v>-62999.999999997672</v>
      </c>
    </row>
    <row r="85" spans="18:44" x14ac:dyDescent="0.15">
      <c r="R85" s="115">
        <v>6001015</v>
      </c>
      <c r="S85" s="115">
        <v>2460000</v>
      </c>
      <c r="T85" s="61">
        <v>2150000</v>
      </c>
      <c r="U85" s="138">
        <f t="shared" si="45"/>
        <v>1</v>
      </c>
      <c r="V85" s="139">
        <f t="shared" si="46"/>
        <v>-310000</v>
      </c>
      <c r="Z85" s="115">
        <v>6001015</v>
      </c>
      <c r="AA85">
        <v>2300000</v>
      </c>
      <c r="AB85">
        <v>2053000</v>
      </c>
      <c r="AC85">
        <v>2050000</v>
      </c>
      <c r="AE85">
        <f>D21*B21+E21</f>
        <v>2100000</v>
      </c>
      <c r="AF85">
        <f>D21*B24+E21</f>
        <v>4305000.0000000019</v>
      </c>
      <c r="AJ85">
        <v>83000</v>
      </c>
      <c r="AK85">
        <v>354150</v>
      </c>
      <c r="AL85">
        <v>0.05</v>
      </c>
      <c r="AM85">
        <v>350000</v>
      </c>
      <c r="AO85" s="115">
        <v>2920000</v>
      </c>
      <c r="AP85">
        <f t="shared" si="47"/>
        <v>2954333.3333333335</v>
      </c>
      <c r="AQ85" s="136">
        <f t="shared" si="48"/>
        <v>1.0333333333333325</v>
      </c>
      <c r="AR85">
        <f t="shared" si="49"/>
        <v>-62999.999999997672</v>
      </c>
    </row>
    <row r="86" spans="18:44" x14ac:dyDescent="0.15">
      <c r="R86" s="115">
        <v>6001015</v>
      </c>
      <c r="S86" s="115">
        <v>2480000</v>
      </c>
      <c r="T86" s="61">
        <v>2170000</v>
      </c>
      <c r="U86" s="138">
        <f>(T87-T86)/(S87-S86)</f>
        <v>0.25</v>
      </c>
      <c r="V86" s="139">
        <f>T86-U86*S86</f>
        <v>1550000</v>
      </c>
      <c r="Z86" s="115">
        <v>6001015</v>
      </c>
      <c r="AA86">
        <v>2340000</v>
      </c>
      <c r="AB86">
        <v>2073000</v>
      </c>
      <c r="AC86">
        <v>2070000</v>
      </c>
      <c r="AE86">
        <f>D24*B24+E24</f>
        <v>4263000</v>
      </c>
      <c r="AF86">
        <f>D24*B25+E24</f>
        <v>5313000</v>
      </c>
      <c r="AJ86">
        <v>84000</v>
      </c>
      <c r="AK86">
        <v>354200</v>
      </c>
      <c r="AL86">
        <v>0.05</v>
      </c>
      <c r="AM86">
        <v>350000</v>
      </c>
      <c r="AO86" s="115">
        <v>2930000</v>
      </c>
      <c r="AP86">
        <f t="shared" si="47"/>
        <v>2964666.6666666665</v>
      </c>
      <c r="AQ86" s="136">
        <f t="shared" si="48"/>
        <v>1.0333333333333325</v>
      </c>
      <c r="AR86">
        <f t="shared" si="49"/>
        <v>-62999.999999997672</v>
      </c>
    </row>
    <row r="87" spans="18:44" x14ac:dyDescent="0.15">
      <c r="R87" s="125">
        <v>6001015</v>
      </c>
      <c r="S87" s="125">
        <v>2500000</v>
      </c>
      <c r="T87" s="137">
        <v>2175000</v>
      </c>
      <c r="U87" s="135">
        <v>0.05</v>
      </c>
      <c r="V87" s="140">
        <f>T87-U87*S87</f>
        <v>2050000</v>
      </c>
      <c r="Z87" s="115">
        <v>6001015</v>
      </c>
      <c r="AA87">
        <v>2380000</v>
      </c>
      <c r="AB87">
        <v>2093000</v>
      </c>
      <c r="AC87">
        <v>2090000</v>
      </c>
      <c r="AE87">
        <f>D25*B25+E25</f>
        <v>5313000</v>
      </c>
      <c r="AF87" t="s">
        <v>332</v>
      </c>
      <c r="AJ87">
        <v>85000</v>
      </c>
      <c r="AK87">
        <v>404250</v>
      </c>
      <c r="AL87">
        <v>0.05</v>
      </c>
      <c r="AM87">
        <v>400000</v>
      </c>
      <c r="AO87" s="115">
        <v>2940000</v>
      </c>
      <c r="AP87">
        <f t="shared" si="47"/>
        <v>2975000</v>
      </c>
      <c r="AQ87" s="136">
        <f t="shared" si="48"/>
        <v>1.0333333333333325</v>
      </c>
      <c r="AR87">
        <f t="shared" si="49"/>
        <v>-62999.999999997672</v>
      </c>
    </row>
    <row r="88" spans="18:44" x14ac:dyDescent="0.15">
      <c r="Z88" s="115">
        <v>6001015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5">
        <v>2950000</v>
      </c>
      <c r="AP88">
        <f t="shared" si="47"/>
        <v>2985333.3333333335</v>
      </c>
      <c r="AQ88" s="136">
        <f t="shared" si="48"/>
        <v>1.0333333333333325</v>
      </c>
      <c r="AR88">
        <f t="shared" si="49"/>
        <v>-62999.999999997672</v>
      </c>
    </row>
    <row r="89" spans="18:44" x14ac:dyDescent="0.15">
      <c r="Z89" s="115">
        <v>6001015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5">
        <v>2960000</v>
      </c>
      <c r="AP89">
        <f t="shared" si="47"/>
        <v>2995666.6666666665</v>
      </c>
      <c r="AQ89" s="136">
        <f t="shared" si="48"/>
        <v>1.0333333333333325</v>
      </c>
      <c r="AR89">
        <f t="shared" si="49"/>
        <v>-62999.999999997672</v>
      </c>
    </row>
    <row r="90" spans="18:44" x14ac:dyDescent="0.15">
      <c r="R90" s="133"/>
      <c r="S90" s="133"/>
      <c r="T90" s="133"/>
      <c r="U90" s="133"/>
      <c r="V90" s="134"/>
      <c r="Z90" s="115">
        <v>6001015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5">
        <v>2970000</v>
      </c>
      <c r="AP90">
        <f t="shared" si="47"/>
        <v>3006000</v>
      </c>
      <c r="AQ90" s="136">
        <f t="shared" si="48"/>
        <v>1.0333333333333325</v>
      </c>
      <c r="AR90">
        <f t="shared" si="49"/>
        <v>-62999.999999997672</v>
      </c>
    </row>
    <row r="91" spans="18:44" x14ac:dyDescent="0.15">
      <c r="R91" s="107"/>
      <c r="S91" s="107"/>
      <c r="T91" s="107"/>
      <c r="U91" s="107"/>
      <c r="V91" s="126"/>
      <c r="Z91" s="115">
        <v>6001015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5">
        <v>2980000</v>
      </c>
      <c r="AP91">
        <f t="shared" si="47"/>
        <v>3016333.3333333335</v>
      </c>
      <c r="AQ91" s="136">
        <f t="shared" si="48"/>
        <v>1.0333333333333325</v>
      </c>
      <c r="AR91">
        <f t="shared" si="49"/>
        <v>-62999.999999997672</v>
      </c>
    </row>
    <row r="92" spans="18:44" x14ac:dyDescent="0.15">
      <c r="R92" s="107"/>
      <c r="S92" s="107"/>
      <c r="T92" s="107"/>
      <c r="U92" s="107"/>
      <c r="V92" s="126"/>
      <c r="Z92" s="115">
        <v>6001015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5">
        <v>2990000</v>
      </c>
      <c r="AP92">
        <f t="shared" si="47"/>
        <v>3026666.6666666665</v>
      </c>
      <c r="AQ92" s="136">
        <f t="shared" si="48"/>
        <v>1.0333333333333325</v>
      </c>
      <c r="AR92">
        <f t="shared" si="49"/>
        <v>-62999.999999997672</v>
      </c>
    </row>
    <row r="93" spans="18:44" x14ac:dyDescent="0.15">
      <c r="AO93" s="115">
        <v>3000000</v>
      </c>
      <c r="AP93">
        <f t="shared" si="47"/>
        <v>3037000</v>
      </c>
      <c r="AQ93" s="136">
        <f t="shared" si="48"/>
        <v>1.0333333333333325</v>
      </c>
      <c r="AR93">
        <f t="shared" si="49"/>
        <v>-62999.999999997672</v>
      </c>
    </row>
    <row r="94" spans="18:44" x14ac:dyDescent="0.15">
      <c r="AO94" s="115">
        <v>3010000</v>
      </c>
      <c r="AP94">
        <f t="shared" si="47"/>
        <v>3047333.3333333335</v>
      </c>
      <c r="AQ94" s="136">
        <f t="shared" si="48"/>
        <v>1.0333333333333325</v>
      </c>
      <c r="AR94">
        <f t="shared" si="49"/>
        <v>-62999.999999997672</v>
      </c>
    </row>
    <row r="95" spans="18:44" x14ac:dyDescent="0.15">
      <c r="AO95" s="115">
        <v>3020000</v>
      </c>
      <c r="AP95">
        <f t="shared" si="47"/>
        <v>3057666.6666666665</v>
      </c>
      <c r="AQ95" s="136">
        <f t="shared" si="48"/>
        <v>1.0333333333333325</v>
      </c>
      <c r="AR95">
        <f t="shared" si="49"/>
        <v>-62999.999999997672</v>
      </c>
    </row>
    <row r="96" spans="18:44" x14ac:dyDescent="0.15">
      <c r="AO96" s="115">
        <v>3030000</v>
      </c>
      <c r="AP96">
        <f t="shared" si="47"/>
        <v>3068000</v>
      </c>
      <c r="AQ96" s="136">
        <f t="shared" si="48"/>
        <v>1.0333333333333325</v>
      </c>
      <c r="AR96">
        <f t="shared" si="49"/>
        <v>-62999.999999997672</v>
      </c>
    </row>
    <row r="97" spans="41:44" x14ac:dyDescent="0.15">
      <c r="AO97" s="115">
        <v>3040000</v>
      </c>
      <c r="AP97">
        <f t="shared" si="47"/>
        <v>3078333.3333333335</v>
      </c>
      <c r="AQ97" s="136">
        <f t="shared" si="48"/>
        <v>1.0333333333333325</v>
      </c>
      <c r="AR97">
        <f t="shared" si="49"/>
        <v>-62999.999999997672</v>
      </c>
    </row>
    <row r="98" spans="41:44" x14ac:dyDescent="0.15">
      <c r="AO98" s="115">
        <v>3050000</v>
      </c>
      <c r="AP98">
        <f t="shared" si="47"/>
        <v>3088666.6666666665</v>
      </c>
      <c r="AQ98" s="136">
        <f t="shared" si="48"/>
        <v>1.0333333333333325</v>
      </c>
      <c r="AR98">
        <f t="shared" si="49"/>
        <v>-62999.999999997672</v>
      </c>
    </row>
    <row r="99" spans="41:44" x14ac:dyDescent="0.15">
      <c r="AO99" s="115">
        <v>3060000</v>
      </c>
      <c r="AP99">
        <f t="shared" si="47"/>
        <v>3099000</v>
      </c>
      <c r="AQ99" s="136">
        <f t="shared" si="48"/>
        <v>1.0333333333333325</v>
      </c>
      <c r="AR99">
        <f t="shared" si="49"/>
        <v>-62999.999999997672</v>
      </c>
    </row>
    <row r="100" spans="41:44" x14ac:dyDescent="0.15">
      <c r="AO100" s="115">
        <v>3070000</v>
      </c>
      <c r="AP100">
        <f t="shared" si="47"/>
        <v>3109333.333333333</v>
      </c>
      <c r="AQ100" s="136">
        <f t="shared" si="48"/>
        <v>1.0333333333333325</v>
      </c>
      <c r="AR100">
        <f t="shared" si="49"/>
        <v>-62999.999999997672</v>
      </c>
    </row>
    <row r="101" spans="41:44" x14ac:dyDescent="0.15">
      <c r="AO101" s="115">
        <v>3080000</v>
      </c>
      <c r="AP101">
        <f t="shared" si="47"/>
        <v>3119666.6666666665</v>
      </c>
      <c r="AQ101" s="136">
        <f t="shared" si="48"/>
        <v>1.0333333333333325</v>
      </c>
      <c r="AR101">
        <f t="shared" si="49"/>
        <v>-62999.999999997672</v>
      </c>
    </row>
    <row r="102" spans="41:44" x14ac:dyDescent="0.15">
      <c r="AO102" s="115">
        <v>3090000</v>
      </c>
      <c r="AP102">
        <f t="shared" si="47"/>
        <v>3130000</v>
      </c>
      <c r="AQ102" s="136">
        <f t="shared" si="48"/>
        <v>1.0333333333333325</v>
      </c>
      <c r="AR102">
        <f t="shared" si="49"/>
        <v>-62999.999999997672</v>
      </c>
    </row>
    <row r="103" spans="41:44" x14ac:dyDescent="0.15">
      <c r="AO103" s="115">
        <v>3100000</v>
      </c>
      <c r="AP103">
        <f t="shared" si="47"/>
        <v>3140333.333333333</v>
      </c>
      <c r="AQ103" s="136">
        <f t="shared" si="48"/>
        <v>1.0333333333333325</v>
      </c>
      <c r="AR103">
        <f t="shared" si="49"/>
        <v>-62999.999999997672</v>
      </c>
    </row>
    <row r="104" spans="41:44" x14ac:dyDescent="0.15">
      <c r="AO104" s="115">
        <v>3110000</v>
      </c>
      <c r="AP104">
        <f t="shared" si="47"/>
        <v>3150666.6666666665</v>
      </c>
      <c r="AQ104" s="136">
        <f t="shared" si="48"/>
        <v>1.0333333333333325</v>
      </c>
      <c r="AR104">
        <f t="shared" si="49"/>
        <v>-62999.999999997672</v>
      </c>
    </row>
    <row r="105" spans="41:44" x14ac:dyDescent="0.15">
      <c r="AO105" s="115">
        <v>3120000</v>
      </c>
      <c r="AP105">
        <f t="shared" si="47"/>
        <v>3161000</v>
      </c>
      <c r="AQ105" s="136">
        <f t="shared" si="48"/>
        <v>1.0333333333333325</v>
      </c>
      <c r="AR105">
        <f t="shared" si="49"/>
        <v>-62999.999999997672</v>
      </c>
    </row>
    <row r="106" spans="41:44" x14ac:dyDescent="0.15">
      <c r="AO106" s="115">
        <v>3130000</v>
      </c>
      <c r="AP106">
        <f t="shared" si="47"/>
        <v>3171333.333333333</v>
      </c>
      <c r="AQ106" s="136">
        <f t="shared" si="48"/>
        <v>1.0333333333333325</v>
      </c>
      <c r="AR106">
        <f t="shared" si="49"/>
        <v>-62999.999999997672</v>
      </c>
    </row>
    <row r="107" spans="41:44" x14ac:dyDescent="0.15">
      <c r="AO107" s="115">
        <v>3140000</v>
      </c>
      <c r="AP107">
        <f t="shared" si="47"/>
        <v>3181666.6666666665</v>
      </c>
      <c r="AQ107" s="136">
        <f t="shared" si="48"/>
        <v>1.0333333333333325</v>
      </c>
      <c r="AR107">
        <f t="shared" si="49"/>
        <v>-62999.999999997672</v>
      </c>
    </row>
    <row r="108" spans="41:44" x14ac:dyDescent="0.15">
      <c r="AO108" s="115">
        <v>3150000</v>
      </c>
      <c r="AP108">
        <f t="shared" si="47"/>
        <v>3192000</v>
      </c>
      <c r="AQ108" s="136">
        <f t="shared" si="48"/>
        <v>1.02</v>
      </c>
      <c r="AR108">
        <f t="shared" si="49"/>
        <v>-21000</v>
      </c>
    </row>
    <row r="109" spans="41:44" x14ac:dyDescent="0.15">
      <c r="AO109" s="115">
        <v>3160000</v>
      </c>
      <c r="AP109">
        <f t="shared" si="47"/>
        <v>3202200</v>
      </c>
      <c r="AQ109" s="136">
        <f t="shared" si="48"/>
        <v>1.02</v>
      </c>
      <c r="AR109">
        <f t="shared" si="49"/>
        <v>-21000</v>
      </c>
    </row>
    <row r="110" spans="41:44" x14ac:dyDescent="0.15">
      <c r="AO110" s="115">
        <v>3170000</v>
      </c>
      <c r="AP110">
        <f t="shared" si="47"/>
        <v>3212400</v>
      </c>
      <c r="AQ110" s="136">
        <f t="shared" si="48"/>
        <v>1.02</v>
      </c>
      <c r="AR110">
        <f t="shared" si="49"/>
        <v>-21000</v>
      </c>
    </row>
  </sheetData>
  <phoneticPr fontId="7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81"/>
  <sheetViews>
    <sheetView topLeftCell="A27" zoomScale="90" zoomScaleNormal="177" zoomScalePageLayoutView="177" workbookViewId="0">
      <selection activeCell="E83" sqref="E83"/>
    </sheetView>
  </sheetViews>
  <sheetFormatPr baseColWidth="12" defaultRowHeight="15" x14ac:dyDescent="0.15"/>
  <sheetData>
    <row r="1" spans="1:15" x14ac:dyDescent="0.15">
      <c r="A1" s="57" t="s">
        <v>255</v>
      </c>
      <c r="B1" s="57" t="s">
        <v>256</v>
      </c>
      <c r="C1" s="57" t="s">
        <v>312</v>
      </c>
      <c r="D1" s="57" t="s">
        <v>257</v>
      </c>
      <c r="E1" s="57" t="s">
        <v>258</v>
      </c>
      <c r="H1" s="132" t="s">
        <v>333</v>
      </c>
      <c r="I1" s="132" t="s">
        <v>334</v>
      </c>
      <c r="J1" s="132" t="s">
        <v>335</v>
      </c>
      <c r="L1" s="57" t="s">
        <v>256</v>
      </c>
      <c r="M1" s="57" t="s">
        <v>312</v>
      </c>
      <c r="N1" s="57" t="s">
        <v>257</v>
      </c>
      <c r="O1" s="57" t="s">
        <v>258</v>
      </c>
    </row>
    <row r="2" spans="1:15" x14ac:dyDescent="0.15">
      <c r="A2" s="121">
        <v>6001011</v>
      </c>
      <c r="B2" s="121">
        <v>0</v>
      </c>
      <c r="C2" s="129">
        <v>0</v>
      </c>
      <c r="D2" s="130">
        <f t="shared" ref="D2:D13" si="0">(C3-C2)/(B3-B2)</f>
        <v>-300000</v>
      </c>
      <c r="E2" s="131">
        <f t="shared" ref="E2:E13" si="1">C2-D2*B2</f>
        <v>0</v>
      </c>
      <c r="F2">
        <f>B2*D2+E2</f>
        <v>0</v>
      </c>
      <c r="H2">
        <v>0</v>
      </c>
      <c r="I2" s="121">
        <v>0</v>
      </c>
      <c r="J2" s="121">
        <v>0</v>
      </c>
      <c r="L2" s="121">
        <v>0</v>
      </c>
      <c r="M2" s="129">
        <v>0</v>
      </c>
      <c r="N2" s="130">
        <f t="shared" ref="N2:N13" si="2">(M3-M2)/(L3-L2)</f>
        <v>-300000</v>
      </c>
      <c r="O2" s="131">
        <f t="shared" ref="O2:O13" si="3">M2-N2*L2</f>
        <v>0</v>
      </c>
    </row>
    <row r="3" spans="1:15" x14ac:dyDescent="0.15">
      <c r="A3" s="121">
        <v>6001011</v>
      </c>
      <c r="B3" s="121">
        <v>0.01</v>
      </c>
      <c r="C3" s="129">
        <v>-3000</v>
      </c>
      <c r="D3" s="130">
        <f>(C4-C3)/(B4-B3)</f>
        <v>-300000</v>
      </c>
      <c r="E3" s="131">
        <f t="shared" si="1"/>
        <v>0</v>
      </c>
      <c r="F3">
        <f t="shared" ref="F3:F71" si="4">B3*D3+E3</f>
        <v>-3000</v>
      </c>
      <c r="H3">
        <v>-3000</v>
      </c>
      <c r="I3" s="121">
        <v>-200000</v>
      </c>
      <c r="J3" s="123">
        <v>-1000</v>
      </c>
      <c r="L3" s="121">
        <v>0.01</v>
      </c>
      <c r="M3" s="129">
        <v>-3000</v>
      </c>
      <c r="N3" s="130">
        <f t="shared" si="2"/>
        <v>-300000</v>
      </c>
      <c r="O3" s="131">
        <f t="shared" si="3"/>
        <v>0</v>
      </c>
    </row>
    <row r="4" spans="1:15" x14ac:dyDescent="0.15">
      <c r="A4" s="121">
        <v>6001011</v>
      </c>
      <c r="B4" s="121">
        <v>0.05</v>
      </c>
      <c r="C4" s="129">
        <v>-15000</v>
      </c>
      <c r="D4" s="130">
        <f t="shared" si="0"/>
        <v>-300000</v>
      </c>
      <c r="E4" s="131">
        <f t="shared" si="1"/>
        <v>0</v>
      </c>
      <c r="F4">
        <f t="shared" si="4"/>
        <v>-15000</v>
      </c>
      <c r="H4">
        <v>-15000</v>
      </c>
      <c r="I4" s="121">
        <v>-200000</v>
      </c>
      <c r="J4" s="123">
        <v>-5000</v>
      </c>
      <c r="L4" s="121">
        <v>0.05</v>
      </c>
      <c r="M4" s="129">
        <v>-15000</v>
      </c>
      <c r="N4" s="130">
        <f t="shared" si="2"/>
        <v>-300000</v>
      </c>
      <c r="O4" s="131">
        <f t="shared" si="3"/>
        <v>0</v>
      </c>
    </row>
    <row r="5" spans="1:15" x14ac:dyDescent="0.15">
      <c r="A5" s="121">
        <v>6001011</v>
      </c>
      <c r="B5" s="121">
        <v>0.1</v>
      </c>
      <c r="C5" s="129">
        <v>-30000</v>
      </c>
      <c r="D5" s="130">
        <f t="shared" si="0"/>
        <v>-300000</v>
      </c>
      <c r="E5" s="131">
        <f t="shared" si="1"/>
        <v>0</v>
      </c>
      <c r="F5">
        <f t="shared" si="4"/>
        <v>-30000</v>
      </c>
      <c r="H5">
        <v>-30000</v>
      </c>
      <c r="I5" s="121">
        <v>-200000</v>
      </c>
      <c r="J5" s="123">
        <v>-10000</v>
      </c>
      <c r="L5" s="121">
        <v>0.1</v>
      </c>
      <c r="M5" s="129">
        <v>-30000</v>
      </c>
      <c r="N5" s="130">
        <f t="shared" si="2"/>
        <v>-300000</v>
      </c>
      <c r="O5" s="131">
        <f t="shared" si="3"/>
        <v>0</v>
      </c>
    </row>
    <row r="6" spans="1:15" x14ac:dyDescent="0.15">
      <c r="A6" s="121">
        <v>6001011</v>
      </c>
      <c r="B6" s="121">
        <v>0.2</v>
      </c>
      <c r="C6" s="129">
        <v>-60000</v>
      </c>
      <c r="D6" s="130">
        <f t="shared" si="0"/>
        <v>-300000</v>
      </c>
      <c r="E6" s="131">
        <f t="shared" si="1"/>
        <v>0</v>
      </c>
      <c r="F6">
        <f t="shared" si="4"/>
        <v>-60000</v>
      </c>
      <c r="H6">
        <v>-60000</v>
      </c>
      <c r="I6" s="121">
        <v>-200000</v>
      </c>
      <c r="J6" s="119">
        <v>-20000</v>
      </c>
      <c r="L6" s="121">
        <v>0.2</v>
      </c>
      <c r="M6" s="129">
        <v>-60000</v>
      </c>
      <c r="N6" s="130">
        <f t="shared" si="2"/>
        <v>-300000</v>
      </c>
      <c r="O6" s="131">
        <f t="shared" si="3"/>
        <v>0</v>
      </c>
    </row>
    <row r="7" spans="1:15" x14ac:dyDescent="0.15">
      <c r="A7" s="121">
        <v>6001011</v>
      </c>
      <c r="B7" s="121">
        <v>0.4</v>
      </c>
      <c r="C7" s="129">
        <v>-120000</v>
      </c>
      <c r="D7" s="130">
        <f t="shared" si="0"/>
        <v>-300000.00000000006</v>
      </c>
      <c r="E7" s="131">
        <f t="shared" si="1"/>
        <v>0</v>
      </c>
      <c r="F7">
        <f t="shared" si="4"/>
        <v>-120000.00000000003</v>
      </c>
      <c r="H7">
        <v>-120000</v>
      </c>
      <c r="I7" s="121">
        <v>-200000</v>
      </c>
      <c r="J7" s="119">
        <v>-40000</v>
      </c>
      <c r="L7" s="121">
        <v>0.4</v>
      </c>
      <c r="M7" s="129">
        <v>-120000</v>
      </c>
      <c r="N7" s="130">
        <f t="shared" si="2"/>
        <v>-300000.00000000006</v>
      </c>
      <c r="O7" s="131">
        <f t="shared" si="3"/>
        <v>0</v>
      </c>
    </row>
    <row r="8" spans="1:15" x14ac:dyDescent="0.15">
      <c r="A8" s="121">
        <v>6001011</v>
      </c>
      <c r="B8" s="121">
        <v>0.6</v>
      </c>
      <c r="C8" s="129">
        <v>-180000</v>
      </c>
      <c r="D8" s="130">
        <f t="shared" si="0"/>
        <v>-299999.99999999988</v>
      </c>
      <c r="E8" s="131">
        <f t="shared" si="1"/>
        <v>0</v>
      </c>
      <c r="F8">
        <f t="shared" si="4"/>
        <v>-179999.99999999991</v>
      </c>
      <c r="H8">
        <v>-180000</v>
      </c>
      <c r="I8" s="121">
        <v>-200000</v>
      </c>
      <c r="J8" s="119">
        <v>-60000</v>
      </c>
      <c r="L8" s="121">
        <v>0.6</v>
      </c>
      <c r="M8" s="129">
        <v>-180000</v>
      </c>
      <c r="N8" s="130">
        <f t="shared" si="2"/>
        <v>-299999.99999999988</v>
      </c>
      <c r="O8" s="131">
        <f t="shared" si="3"/>
        <v>0</v>
      </c>
    </row>
    <row r="9" spans="1:15" x14ac:dyDescent="0.15">
      <c r="A9" s="121">
        <v>6001011</v>
      </c>
      <c r="B9" s="121">
        <v>0.8</v>
      </c>
      <c r="C9" s="129">
        <v>-240000</v>
      </c>
      <c r="D9" s="130">
        <f t="shared" si="0"/>
        <v>-300000.00000000006</v>
      </c>
      <c r="E9" s="131">
        <f t="shared" si="1"/>
        <v>0</v>
      </c>
      <c r="F9">
        <f t="shared" si="4"/>
        <v>-240000.00000000006</v>
      </c>
      <c r="H9">
        <v>-240000</v>
      </c>
      <c r="I9" s="121">
        <v>-200000</v>
      </c>
      <c r="J9" s="119">
        <v>-80000</v>
      </c>
      <c r="L9" s="121">
        <v>0.8</v>
      </c>
      <c r="M9" s="129">
        <v>-240000</v>
      </c>
      <c r="N9" s="130">
        <f t="shared" si="2"/>
        <v>-300000.00000000006</v>
      </c>
      <c r="O9" s="131">
        <f t="shared" si="3"/>
        <v>0</v>
      </c>
    </row>
    <row r="10" spans="1:15" x14ac:dyDescent="0.15">
      <c r="A10" s="121">
        <v>6001011</v>
      </c>
      <c r="B10" s="121">
        <v>1</v>
      </c>
      <c r="C10" s="129">
        <v>-300000</v>
      </c>
      <c r="D10" s="130">
        <f t="shared" si="0"/>
        <v>-300000.00000000006</v>
      </c>
      <c r="E10" s="131">
        <f t="shared" si="1"/>
        <v>0</v>
      </c>
      <c r="F10">
        <f t="shared" si="4"/>
        <v>-300000.00000000006</v>
      </c>
      <c r="H10">
        <v>-300000</v>
      </c>
      <c r="I10" s="121">
        <v>-200000</v>
      </c>
      <c r="J10" s="119">
        <v>-100000</v>
      </c>
      <c r="L10" s="121">
        <v>1</v>
      </c>
      <c r="M10" s="129">
        <v>-300000</v>
      </c>
      <c r="N10" s="130">
        <f t="shared" si="2"/>
        <v>-300000.00000000006</v>
      </c>
      <c r="O10" s="131">
        <f t="shared" si="3"/>
        <v>0</v>
      </c>
    </row>
    <row r="11" spans="1:15" x14ac:dyDescent="0.15">
      <c r="A11" s="121">
        <v>6001011</v>
      </c>
      <c r="B11" s="121">
        <v>1.2</v>
      </c>
      <c r="C11" s="129">
        <v>-360000</v>
      </c>
      <c r="D11" s="130">
        <f t="shared" si="0"/>
        <v>-300000.00000000006</v>
      </c>
      <c r="E11" s="131">
        <f t="shared" si="1"/>
        <v>0</v>
      </c>
      <c r="F11">
        <f t="shared" si="4"/>
        <v>-360000.00000000006</v>
      </c>
      <c r="H11">
        <v>-360000</v>
      </c>
      <c r="I11" s="121">
        <v>-200000</v>
      </c>
      <c r="J11" s="119">
        <v>-120000</v>
      </c>
      <c r="L11" s="121">
        <v>1.2</v>
      </c>
      <c r="M11" s="129">
        <v>-360000</v>
      </c>
      <c r="N11" s="130">
        <f t="shared" si="2"/>
        <v>-300000.00000000006</v>
      </c>
      <c r="O11" s="131">
        <f t="shared" si="3"/>
        <v>0</v>
      </c>
    </row>
    <row r="12" spans="1:15" x14ac:dyDescent="0.15">
      <c r="A12" s="121">
        <v>6001011</v>
      </c>
      <c r="B12" s="121">
        <v>1.4</v>
      </c>
      <c r="C12" s="129">
        <v>-420000</v>
      </c>
      <c r="D12" s="130">
        <f t="shared" si="0"/>
        <v>-299999.99999999971</v>
      </c>
      <c r="E12" s="131">
        <f t="shared" si="1"/>
        <v>0</v>
      </c>
      <c r="F12">
        <f t="shared" si="4"/>
        <v>-419999.99999999959</v>
      </c>
      <c r="H12">
        <v>-420000</v>
      </c>
      <c r="I12" s="121">
        <v>-200000</v>
      </c>
      <c r="J12" s="119">
        <v>-140000</v>
      </c>
      <c r="L12" s="121">
        <v>1.4</v>
      </c>
      <c r="M12" s="129">
        <v>-420000</v>
      </c>
      <c r="N12" s="130">
        <f t="shared" si="2"/>
        <v>-299999.99999999971</v>
      </c>
      <c r="O12" s="131">
        <f t="shared" si="3"/>
        <v>0</v>
      </c>
    </row>
    <row r="13" spans="1:15" x14ac:dyDescent="0.15">
      <c r="A13" s="121">
        <v>6001011</v>
      </c>
      <c r="B13" s="121">
        <v>1.6</v>
      </c>
      <c r="C13" s="129">
        <v>-480000</v>
      </c>
      <c r="D13" s="130">
        <f t="shared" si="0"/>
        <v>-300000.00000000006</v>
      </c>
      <c r="E13" s="131">
        <f t="shared" si="1"/>
        <v>0</v>
      </c>
      <c r="F13">
        <f t="shared" si="4"/>
        <v>-480000.00000000012</v>
      </c>
      <c r="H13">
        <v>-480000</v>
      </c>
      <c r="I13" s="121">
        <v>-200000</v>
      </c>
      <c r="J13" s="119">
        <v>-160000</v>
      </c>
      <c r="L13" s="121">
        <v>1.6</v>
      </c>
      <c r="M13" s="129">
        <v>-480000</v>
      </c>
      <c r="N13" s="130">
        <f t="shared" si="2"/>
        <v>-300000.00000000006</v>
      </c>
      <c r="O13" s="131">
        <f t="shared" si="3"/>
        <v>0</v>
      </c>
    </row>
    <row r="14" spans="1:15" x14ac:dyDescent="0.15">
      <c r="A14" s="121">
        <v>6001011</v>
      </c>
      <c r="B14" s="121">
        <v>1.8</v>
      </c>
      <c r="C14" s="129">
        <v>-540000</v>
      </c>
      <c r="D14" s="130">
        <f>(C15-C14)/(B15-B14)</f>
        <v>-2300000.0000000005</v>
      </c>
      <c r="E14" s="131">
        <f>C14-D14*B14</f>
        <v>3600000.0000000009</v>
      </c>
      <c r="F14">
        <f t="shared" si="4"/>
        <v>-540000</v>
      </c>
      <c r="H14">
        <v>-540000</v>
      </c>
      <c r="I14" s="121">
        <v>-200000</v>
      </c>
      <c r="J14" s="119">
        <v>-180000</v>
      </c>
      <c r="L14" s="121">
        <v>1.8</v>
      </c>
      <c r="M14" s="129">
        <v>-540000</v>
      </c>
      <c r="N14" s="130">
        <f>(M15-M14)/(L15-L14)</f>
        <v>-2300000.0000000005</v>
      </c>
      <c r="O14" s="131">
        <f>M14-N14*L14</f>
        <v>3600000.0000000009</v>
      </c>
    </row>
    <row r="15" spans="1:15" x14ac:dyDescent="0.15">
      <c r="A15" s="121">
        <v>6001011</v>
      </c>
      <c r="B15" s="121">
        <v>2</v>
      </c>
      <c r="C15" s="129">
        <v>-1000000</v>
      </c>
      <c r="D15" s="119">
        <v>0</v>
      </c>
      <c r="E15" s="117">
        <v>-10000000</v>
      </c>
      <c r="F15">
        <f t="shared" si="4"/>
        <v>-10000000</v>
      </c>
      <c r="H15">
        <v>-1000000</v>
      </c>
      <c r="I15" s="121">
        <v>0</v>
      </c>
      <c r="J15" s="119">
        <v>-1000000</v>
      </c>
      <c r="L15" s="121">
        <v>2</v>
      </c>
      <c r="M15" s="129">
        <v>-1000000</v>
      </c>
      <c r="N15" s="119">
        <v>0</v>
      </c>
      <c r="O15" s="117">
        <v>-10000000</v>
      </c>
    </row>
    <row r="16" spans="1:15" x14ac:dyDescent="0.15">
      <c r="A16" s="122">
        <v>6001012</v>
      </c>
      <c r="B16" s="122">
        <v>0</v>
      </c>
      <c r="C16" s="129">
        <v>0</v>
      </c>
      <c r="D16" s="130">
        <f t="shared" ref="D16:D27" si="5">(C17-C16)/(B17-B16)</f>
        <v>-300000</v>
      </c>
      <c r="E16" s="131">
        <f t="shared" ref="E16:E27" si="6">C16-D16*B16</f>
        <v>0</v>
      </c>
      <c r="F16">
        <f t="shared" si="4"/>
        <v>0</v>
      </c>
      <c r="H16">
        <v>0</v>
      </c>
      <c r="I16" s="122">
        <v>0</v>
      </c>
      <c r="J16" s="122">
        <v>0</v>
      </c>
      <c r="L16" s="122">
        <v>0</v>
      </c>
      <c r="M16" s="129">
        <v>0</v>
      </c>
      <c r="N16" s="130">
        <f t="shared" ref="N16:N27" si="7">(M17-M16)/(L17-L16)</f>
        <v>-300000</v>
      </c>
      <c r="O16" s="131">
        <f t="shared" ref="O16:O27" si="8">M16-N16*L16</f>
        <v>0</v>
      </c>
    </row>
    <row r="17" spans="1:15" x14ac:dyDescent="0.15">
      <c r="A17" s="122">
        <v>6001012</v>
      </c>
      <c r="B17" s="122">
        <v>0.01</v>
      </c>
      <c r="C17" s="129">
        <v>-3000</v>
      </c>
      <c r="D17" s="130">
        <f t="shared" si="5"/>
        <v>-300000</v>
      </c>
      <c r="E17" s="131">
        <f t="shared" si="6"/>
        <v>0</v>
      </c>
      <c r="F17">
        <f t="shared" si="4"/>
        <v>-3000</v>
      </c>
      <c r="H17">
        <v>-3000</v>
      </c>
      <c r="I17" s="122">
        <v>-200000</v>
      </c>
      <c r="J17" s="124">
        <v>-1000</v>
      </c>
      <c r="L17" s="122">
        <v>0.01</v>
      </c>
      <c r="M17" s="129">
        <v>-3000</v>
      </c>
      <c r="N17" s="130">
        <f t="shared" si="7"/>
        <v>-300000</v>
      </c>
      <c r="O17" s="131">
        <f t="shared" si="8"/>
        <v>0</v>
      </c>
    </row>
    <row r="18" spans="1:15" x14ac:dyDescent="0.15">
      <c r="A18" s="122">
        <v>6001012</v>
      </c>
      <c r="B18" s="122">
        <v>0.05</v>
      </c>
      <c r="C18" s="129">
        <v>-15000</v>
      </c>
      <c r="D18" s="130">
        <f t="shared" si="5"/>
        <v>-300000</v>
      </c>
      <c r="E18" s="131">
        <f t="shared" si="6"/>
        <v>0</v>
      </c>
      <c r="F18">
        <f t="shared" si="4"/>
        <v>-15000</v>
      </c>
      <c r="H18">
        <v>-15000</v>
      </c>
      <c r="I18" s="122">
        <v>-200000</v>
      </c>
      <c r="J18" s="124">
        <v>-5000</v>
      </c>
      <c r="L18" s="122">
        <v>0.05</v>
      </c>
      <c r="M18" s="129">
        <v>-15000</v>
      </c>
      <c r="N18" s="130">
        <f t="shared" si="7"/>
        <v>-300000</v>
      </c>
      <c r="O18" s="131">
        <f t="shared" si="8"/>
        <v>0</v>
      </c>
    </row>
    <row r="19" spans="1:15" x14ac:dyDescent="0.15">
      <c r="A19" s="122">
        <v>6001012</v>
      </c>
      <c r="B19" s="122">
        <v>0.1</v>
      </c>
      <c r="C19" s="129">
        <v>-30000</v>
      </c>
      <c r="D19" s="130">
        <f t="shared" si="5"/>
        <v>-300000</v>
      </c>
      <c r="E19" s="131">
        <f t="shared" si="6"/>
        <v>0</v>
      </c>
      <c r="F19">
        <f t="shared" si="4"/>
        <v>-30000</v>
      </c>
      <c r="H19">
        <v>-30000</v>
      </c>
      <c r="I19" s="122">
        <v>-200000</v>
      </c>
      <c r="J19" s="124">
        <v>-10000</v>
      </c>
      <c r="L19" s="122">
        <v>0.1</v>
      </c>
      <c r="M19" s="129">
        <v>-30000</v>
      </c>
      <c r="N19" s="130">
        <f t="shared" si="7"/>
        <v>-300000</v>
      </c>
      <c r="O19" s="131">
        <f t="shared" si="8"/>
        <v>0</v>
      </c>
    </row>
    <row r="20" spans="1:15" x14ac:dyDescent="0.15">
      <c r="A20" s="122">
        <v>6001012</v>
      </c>
      <c r="B20" s="122">
        <v>0.2</v>
      </c>
      <c r="C20" s="129">
        <v>-60000</v>
      </c>
      <c r="D20" s="130">
        <f t="shared" si="5"/>
        <v>-300000</v>
      </c>
      <c r="E20" s="131">
        <f t="shared" si="6"/>
        <v>0</v>
      </c>
      <c r="F20">
        <f t="shared" si="4"/>
        <v>-60000</v>
      </c>
      <c r="H20">
        <v>-60000</v>
      </c>
      <c r="I20" s="122">
        <v>-200000</v>
      </c>
      <c r="J20" s="120">
        <v>-20000</v>
      </c>
      <c r="L20" s="122">
        <v>0.2</v>
      </c>
      <c r="M20" s="129">
        <v>-60000</v>
      </c>
      <c r="N20" s="130">
        <f t="shared" si="7"/>
        <v>-300000</v>
      </c>
      <c r="O20" s="131">
        <f t="shared" si="8"/>
        <v>0</v>
      </c>
    </row>
    <row r="21" spans="1:15" x14ac:dyDescent="0.15">
      <c r="A21" s="122">
        <v>6001012</v>
      </c>
      <c r="B21" s="122">
        <v>0.4</v>
      </c>
      <c r="C21" s="129">
        <v>-120000</v>
      </c>
      <c r="D21" s="130">
        <f t="shared" si="5"/>
        <v>-300000.00000000006</v>
      </c>
      <c r="E21" s="131">
        <f t="shared" si="6"/>
        <v>0</v>
      </c>
      <c r="F21">
        <f t="shared" si="4"/>
        <v>-120000.00000000003</v>
      </c>
      <c r="H21">
        <v>-120000</v>
      </c>
      <c r="I21" s="122">
        <v>-200000</v>
      </c>
      <c r="J21" s="120">
        <v>-40000</v>
      </c>
      <c r="L21" s="122">
        <v>0.4</v>
      </c>
      <c r="M21" s="129">
        <v>-120000</v>
      </c>
      <c r="N21" s="130">
        <f t="shared" si="7"/>
        <v>-300000.00000000006</v>
      </c>
      <c r="O21" s="131">
        <f t="shared" si="8"/>
        <v>0</v>
      </c>
    </row>
    <row r="22" spans="1:15" x14ac:dyDescent="0.15">
      <c r="A22" s="122">
        <v>6001012</v>
      </c>
      <c r="B22" s="122">
        <v>0.6</v>
      </c>
      <c r="C22" s="129">
        <v>-180000</v>
      </c>
      <c r="D22" s="130">
        <f t="shared" si="5"/>
        <v>-299999.99999999988</v>
      </c>
      <c r="E22" s="131">
        <f t="shared" si="6"/>
        <v>0</v>
      </c>
      <c r="F22">
        <f t="shared" si="4"/>
        <v>-179999.99999999991</v>
      </c>
      <c r="H22">
        <v>-180000</v>
      </c>
      <c r="I22" s="122">
        <v>-200000</v>
      </c>
      <c r="J22" s="120">
        <v>-60000</v>
      </c>
      <c r="L22" s="122">
        <v>0.6</v>
      </c>
      <c r="M22" s="129">
        <v>-180000</v>
      </c>
      <c r="N22" s="130">
        <f t="shared" si="7"/>
        <v>-299999.99999999988</v>
      </c>
      <c r="O22" s="131">
        <f t="shared" si="8"/>
        <v>0</v>
      </c>
    </row>
    <row r="23" spans="1:15" x14ac:dyDescent="0.15">
      <c r="A23" s="122">
        <v>6001012</v>
      </c>
      <c r="B23" s="122">
        <v>0.8</v>
      </c>
      <c r="C23" s="129">
        <v>-240000</v>
      </c>
      <c r="D23" s="130">
        <f t="shared" si="5"/>
        <v>-300000.00000000006</v>
      </c>
      <c r="E23" s="131">
        <f t="shared" si="6"/>
        <v>0</v>
      </c>
      <c r="F23">
        <f t="shared" si="4"/>
        <v>-240000.00000000006</v>
      </c>
      <c r="H23">
        <v>-240000</v>
      </c>
      <c r="I23" s="122">
        <v>-200000</v>
      </c>
      <c r="J23" s="120">
        <v>-80000</v>
      </c>
      <c r="L23" s="122">
        <v>0.8</v>
      </c>
      <c r="M23" s="129">
        <v>-240000</v>
      </c>
      <c r="N23" s="130">
        <f t="shared" si="7"/>
        <v>-300000.00000000006</v>
      </c>
      <c r="O23" s="131">
        <f t="shared" si="8"/>
        <v>0</v>
      </c>
    </row>
    <row r="24" spans="1:15" x14ac:dyDescent="0.15">
      <c r="A24" s="122">
        <v>6001012</v>
      </c>
      <c r="B24" s="122">
        <v>1</v>
      </c>
      <c r="C24" s="129">
        <v>-300000</v>
      </c>
      <c r="D24" s="130">
        <f t="shared" si="5"/>
        <v>-300000.00000000006</v>
      </c>
      <c r="E24" s="131">
        <f t="shared" si="6"/>
        <v>0</v>
      </c>
      <c r="F24">
        <f t="shared" si="4"/>
        <v>-300000.00000000006</v>
      </c>
      <c r="H24">
        <v>-300000</v>
      </c>
      <c r="I24" s="122">
        <v>-200000</v>
      </c>
      <c r="J24" s="120">
        <v>-100000</v>
      </c>
      <c r="L24" s="122">
        <v>1</v>
      </c>
      <c r="M24" s="129">
        <v>-300000</v>
      </c>
      <c r="N24" s="130">
        <f t="shared" si="7"/>
        <v>-300000.00000000006</v>
      </c>
      <c r="O24" s="131">
        <f t="shared" si="8"/>
        <v>0</v>
      </c>
    </row>
    <row r="25" spans="1:15" x14ac:dyDescent="0.15">
      <c r="A25" s="122">
        <v>6001012</v>
      </c>
      <c r="B25" s="122">
        <v>1.2</v>
      </c>
      <c r="C25" s="129">
        <v>-360000</v>
      </c>
      <c r="D25" s="130">
        <f t="shared" si="5"/>
        <v>-300000.00000000006</v>
      </c>
      <c r="E25" s="131">
        <f t="shared" si="6"/>
        <v>0</v>
      </c>
      <c r="F25">
        <f t="shared" si="4"/>
        <v>-360000.00000000006</v>
      </c>
      <c r="H25">
        <v>-360000</v>
      </c>
      <c r="I25" s="122">
        <v>-200000</v>
      </c>
      <c r="J25" s="120">
        <v>-120000</v>
      </c>
      <c r="L25" s="122">
        <v>1.2</v>
      </c>
      <c r="M25" s="129">
        <v>-360000</v>
      </c>
      <c r="N25" s="130">
        <f t="shared" si="7"/>
        <v>-300000.00000000006</v>
      </c>
      <c r="O25" s="131">
        <f t="shared" si="8"/>
        <v>0</v>
      </c>
    </row>
    <row r="26" spans="1:15" x14ac:dyDescent="0.15">
      <c r="A26" s="122">
        <v>6001012</v>
      </c>
      <c r="B26" s="122">
        <v>1.4</v>
      </c>
      <c r="C26" s="129">
        <v>-420000</v>
      </c>
      <c r="D26" s="130">
        <f t="shared" si="5"/>
        <v>-299999.99999999971</v>
      </c>
      <c r="E26" s="131">
        <f t="shared" si="6"/>
        <v>0</v>
      </c>
      <c r="F26">
        <f t="shared" si="4"/>
        <v>-419999.99999999959</v>
      </c>
      <c r="H26">
        <v>-420000</v>
      </c>
      <c r="I26" s="122">
        <v>-200000</v>
      </c>
      <c r="J26" s="120">
        <v>-140000</v>
      </c>
      <c r="L26" s="122">
        <v>1.4</v>
      </c>
      <c r="M26" s="129">
        <v>-420000</v>
      </c>
      <c r="N26" s="130">
        <f t="shared" si="7"/>
        <v>-299999.99999999971</v>
      </c>
      <c r="O26" s="131">
        <f t="shared" si="8"/>
        <v>0</v>
      </c>
    </row>
    <row r="27" spans="1:15" x14ac:dyDescent="0.15">
      <c r="A27" s="122">
        <v>6001012</v>
      </c>
      <c r="B27" s="122">
        <v>1.6</v>
      </c>
      <c r="C27" s="129">
        <v>-480000</v>
      </c>
      <c r="D27" s="130">
        <f t="shared" si="5"/>
        <v>-300000.00000000006</v>
      </c>
      <c r="E27" s="131">
        <f t="shared" si="6"/>
        <v>0</v>
      </c>
      <c r="F27">
        <f t="shared" si="4"/>
        <v>-480000.00000000012</v>
      </c>
      <c r="H27">
        <v>-480000</v>
      </c>
      <c r="I27" s="122">
        <v>-200000</v>
      </c>
      <c r="J27" s="120">
        <v>-160000</v>
      </c>
      <c r="L27" s="122">
        <v>1.6</v>
      </c>
      <c r="M27" s="129">
        <v>-480000</v>
      </c>
      <c r="N27" s="130">
        <f t="shared" si="7"/>
        <v>-300000.00000000006</v>
      </c>
      <c r="O27" s="131">
        <f t="shared" si="8"/>
        <v>0</v>
      </c>
    </row>
    <row r="28" spans="1:15" x14ac:dyDescent="0.15">
      <c r="A28" s="122">
        <v>6001012</v>
      </c>
      <c r="B28" s="122">
        <v>1.8</v>
      </c>
      <c r="C28" s="129">
        <v>-540000</v>
      </c>
      <c r="D28" s="130">
        <f>(C29-C28)/(B29-B28)</f>
        <v>-2300000.0000000005</v>
      </c>
      <c r="E28" s="131">
        <f>C28-D28*B28</f>
        <v>3600000.0000000009</v>
      </c>
      <c r="F28">
        <f t="shared" si="4"/>
        <v>-540000</v>
      </c>
      <c r="H28">
        <v>-540000</v>
      </c>
      <c r="I28" s="122">
        <v>-200000</v>
      </c>
      <c r="J28" s="120">
        <v>-180000</v>
      </c>
      <c r="L28" s="122">
        <v>1.8</v>
      </c>
      <c r="M28" s="129">
        <v>-540000</v>
      </c>
      <c r="N28" s="130">
        <f>(M29-M28)/(L29-L28)</f>
        <v>-2300000.0000000005</v>
      </c>
      <c r="O28" s="131">
        <f>M28-N28*L28</f>
        <v>3600000.0000000009</v>
      </c>
    </row>
    <row r="29" spans="1:15" x14ac:dyDescent="0.15">
      <c r="A29" s="122">
        <v>6001012</v>
      </c>
      <c r="B29" s="122">
        <v>2</v>
      </c>
      <c r="C29" s="129">
        <v>-1000000</v>
      </c>
      <c r="D29" s="120">
        <v>0</v>
      </c>
      <c r="E29" s="118">
        <v>-10000000</v>
      </c>
      <c r="F29">
        <f t="shared" si="4"/>
        <v>-10000000</v>
      </c>
      <c r="H29">
        <v>-1000000</v>
      </c>
      <c r="I29" s="122">
        <v>0</v>
      </c>
      <c r="J29" s="120">
        <v>-1000000</v>
      </c>
      <c r="L29" s="122">
        <v>2</v>
      </c>
      <c r="M29" s="129">
        <v>-1000000</v>
      </c>
      <c r="N29" s="120">
        <v>0</v>
      </c>
      <c r="O29" s="118">
        <v>-10000000</v>
      </c>
    </row>
    <row r="30" spans="1:15" x14ac:dyDescent="0.15">
      <c r="A30" s="121">
        <v>6001013</v>
      </c>
      <c r="B30" s="121">
        <v>0</v>
      </c>
      <c r="C30" s="129">
        <v>0</v>
      </c>
      <c r="D30" s="130">
        <f t="shared" ref="D30:D46" si="9">(C31-C30)/(B31-B30)</f>
        <v>-1200000</v>
      </c>
      <c r="E30" s="131">
        <f t="shared" ref="E30:E46" si="10">C30-D30*B30</f>
        <v>0</v>
      </c>
      <c r="F30">
        <f>B30*D30+E30</f>
        <v>0</v>
      </c>
      <c r="H30">
        <v>0</v>
      </c>
      <c r="I30" s="121">
        <v>0</v>
      </c>
      <c r="J30" s="121">
        <v>0</v>
      </c>
      <c r="L30" s="121">
        <v>0</v>
      </c>
      <c r="M30" s="129">
        <v>0</v>
      </c>
      <c r="N30" s="130">
        <f t="shared" ref="N30:N46" si="11">(M31-M30)/(L31-L30)</f>
        <v>-1200000</v>
      </c>
      <c r="O30" s="131">
        <f t="shared" ref="O30:O46" si="12">M30-N30*L30</f>
        <v>0</v>
      </c>
    </row>
    <row r="31" spans="1:15" x14ac:dyDescent="0.15">
      <c r="A31" s="121">
        <v>6001013</v>
      </c>
      <c r="B31" s="121">
        <v>0.01</v>
      </c>
      <c r="C31" s="129">
        <v>-12000</v>
      </c>
      <c r="D31" s="130">
        <f t="shared" si="9"/>
        <v>-1200000</v>
      </c>
      <c r="E31" s="131">
        <f t="shared" si="10"/>
        <v>0</v>
      </c>
      <c r="F31">
        <f t="shared" si="4"/>
        <v>-12000</v>
      </c>
      <c r="H31">
        <v>-12000</v>
      </c>
      <c r="I31" s="121">
        <v>-200000</v>
      </c>
      <c r="J31" s="123">
        <v>-10000</v>
      </c>
      <c r="L31" s="121">
        <v>0.01</v>
      </c>
      <c r="M31" s="129">
        <v>-12000</v>
      </c>
      <c r="N31" s="130">
        <f t="shared" si="11"/>
        <v>-1200000</v>
      </c>
      <c r="O31" s="131">
        <f t="shared" si="12"/>
        <v>0</v>
      </c>
    </row>
    <row r="32" spans="1:15" x14ac:dyDescent="0.15">
      <c r="A32" s="121">
        <v>6001013</v>
      </c>
      <c r="B32" s="121">
        <v>0.05</v>
      </c>
      <c r="C32" s="129">
        <v>-60000</v>
      </c>
      <c r="D32" s="130">
        <f t="shared" si="9"/>
        <v>-1200000</v>
      </c>
      <c r="E32" s="131">
        <f t="shared" si="10"/>
        <v>0</v>
      </c>
      <c r="F32">
        <f t="shared" si="4"/>
        <v>-60000</v>
      </c>
      <c r="H32">
        <v>-60000</v>
      </c>
      <c r="I32" s="121">
        <v>-200000</v>
      </c>
      <c r="J32" s="123">
        <v>-50000</v>
      </c>
      <c r="L32" s="121">
        <v>0.05</v>
      </c>
      <c r="M32" s="129">
        <v>-60000</v>
      </c>
      <c r="N32" s="130">
        <f t="shared" si="11"/>
        <v>-1200000</v>
      </c>
      <c r="O32" s="131">
        <f t="shared" si="12"/>
        <v>0</v>
      </c>
    </row>
    <row r="33" spans="1:15" x14ac:dyDescent="0.15">
      <c r="A33" s="121">
        <v>6001013</v>
      </c>
      <c r="B33" s="121">
        <v>0.1</v>
      </c>
      <c r="C33" s="129">
        <v>-120000</v>
      </c>
      <c r="D33" s="130">
        <f t="shared" si="9"/>
        <v>-1200000</v>
      </c>
      <c r="E33" s="131">
        <f t="shared" si="10"/>
        <v>0</v>
      </c>
      <c r="F33">
        <f t="shared" si="4"/>
        <v>-120000</v>
      </c>
      <c r="H33">
        <v>-120000</v>
      </c>
      <c r="I33" s="121">
        <v>-200000</v>
      </c>
      <c r="J33" s="123">
        <v>-100000</v>
      </c>
      <c r="L33" s="121">
        <v>0.1</v>
      </c>
      <c r="M33" s="129">
        <v>-120000</v>
      </c>
      <c r="N33" s="130">
        <f t="shared" si="11"/>
        <v>-1200000</v>
      </c>
      <c r="O33" s="131">
        <f t="shared" si="12"/>
        <v>0</v>
      </c>
    </row>
    <row r="34" spans="1:15" x14ac:dyDescent="0.15">
      <c r="A34" s="121">
        <v>6001013</v>
      </c>
      <c r="B34" s="121">
        <v>0.2</v>
      </c>
      <c r="C34" s="129">
        <v>-240000</v>
      </c>
      <c r="D34" s="130">
        <f t="shared" si="9"/>
        <v>-1200000</v>
      </c>
      <c r="E34" s="131">
        <f t="shared" si="10"/>
        <v>0</v>
      </c>
      <c r="F34">
        <f t="shared" si="4"/>
        <v>-240000</v>
      </c>
      <c r="H34">
        <v>-240000</v>
      </c>
      <c r="I34" s="121">
        <v>-200000</v>
      </c>
      <c r="J34" s="119">
        <v>-200000</v>
      </c>
      <c r="L34" s="121">
        <v>0.2</v>
      </c>
      <c r="M34" s="129">
        <v>-240000</v>
      </c>
      <c r="N34" s="130">
        <f t="shared" si="11"/>
        <v>-1200000</v>
      </c>
      <c r="O34" s="131">
        <f t="shared" si="12"/>
        <v>0</v>
      </c>
    </row>
    <row r="35" spans="1:15" x14ac:dyDescent="0.15">
      <c r="A35" s="121">
        <v>6001013</v>
      </c>
      <c r="B35" s="121">
        <v>0.4</v>
      </c>
      <c r="C35" s="129">
        <v>-480000</v>
      </c>
      <c r="D35" s="130">
        <f t="shared" si="9"/>
        <v>-1200000.0000000002</v>
      </c>
      <c r="E35" s="131">
        <f t="shared" si="10"/>
        <v>0</v>
      </c>
      <c r="F35">
        <f t="shared" si="4"/>
        <v>-480000.00000000012</v>
      </c>
      <c r="H35">
        <v>-480000</v>
      </c>
      <c r="I35" s="121">
        <v>-200000</v>
      </c>
      <c r="J35" s="119">
        <v>-400000</v>
      </c>
      <c r="L35" s="121">
        <v>0.4</v>
      </c>
      <c r="M35" s="129">
        <v>-480000</v>
      </c>
      <c r="N35" s="130">
        <f t="shared" si="11"/>
        <v>-1200000.0000000002</v>
      </c>
      <c r="O35" s="131">
        <f t="shared" si="12"/>
        <v>0</v>
      </c>
    </row>
    <row r="36" spans="1:15" x14ac:dyDescent="0.15">
      <c r="A36" s="121">
        <v>6001013</v>
      </c>
      <c r="B36" s="121">
        <v>0.6</v>
      </c>
      <c r="C36" s="129">
        <v>-720000</v>
      </c>
      <c r="D36" s="130">
        <f t="shared" si="9"/>
        <v>-1199999.9999999995</v>
      </c>
      <c r="E36" s="131">
        <f t="shared" si="10"/>
        <v>0</v>
      </c>
      <c r="F36">
        <f t="shared" si="4"/>
        <v>-719999.99999999965</v>
      </c>
      <c r="H36">
        <v>-720000</v>
      </c>
      <c r="I36" s="121">
        <v>-200000</v>
      </c>
      <c r="J36" s="119">
        <v>-600000</v>
      </c>
      <c r="L36" s="121">
        <v>0.6</v>
      </c>
      <c r="M36" s="129">
        <v>-720000</v>
      </c>
      <c r="N36" s="130">
        <f t="shared" si="11"/>
        <v>-1199999.9999999995</v>
      </c>
      <c r="O36" s="131">
        <f t="shared" si="12"/>
        <v>0</v>
      </c>
    </row>
    <row r="37" spans="1:15" x14ac:dyDescent="0.15">
      <c r="A37" s="121">
        <v>6001013</v>
      </c>
      <c r="B37" s="121">
        <v>0.8</v>
      </c>
      <c r="C37" s="129">
        <v>-960000</v>
      </c>
      <c r="D37" s="130">
        <f t="shared" si="9"/>
        <v>-1200000.0000000002</v>
      </c>
      <c r="E37" s="131">
        <f t="shared" si="10"/>
        <v>0</v>
      </c>
      <c r="F37">
        <f t="shared" si="4"/>
        <v>-960000.00000000023</v>
      </c>
      <c r="H37">
        <v>-960000</v>
      </c>
      <c r="I37" s="121">
        <v>-200000</v>
      </c>
      <c r="J37" s="119">
        <v>-800000</v>
      </c>
      <c r="L37" s="121">
        <v>0.8</v>
      </c>
      <c r="M37" s="129">
        <v>-960000</v>
      </c>
      <c r="N37" s="130">
        <f t="shared" si="11"/>
        <v>-1200000.0000000002</v>
      </c>
      <c r="O37" s="131">
        <f t="shared" si="12"/>
        <v>0</v>
      </c>
    </row>
    <row r="38" spans="1:15" x14ac:dyDescent="0.15">
      <c r="A38" s="121">
        <v>6001013</v>
      </c>
      <c r="B38" s="121">
        <v>1</v>
      </c>
      <c r="C38" s="129">
        <v>-1200000</v>
      </c>
      <c r="D38" s="130">
        <f t="shared" si="9"/>
        <v>-1200000.0000000002</v>
      </c>
      <c r="E38" s="131">
        <f t="shared" si="10"/>
        <v>0</v>
      </c>
      <c r="F38">
        <f t="shared" si="4"/>
        <v>-1200000.0000000002</v>
      </c>
      <c r="H38">
        <v>-1200000</v>
      </c>
      <c r="I38" s="121">
        <v>-200000</v>
      </c>
      <c r="J38" s="119">
        <v>-1000000</v>
      </c>
      <c r="L38" s="121">
        <v>1</v>
      </c>
      <c r="M38" s="129">
        <v>-1200000</v>
      </c>
      <c r="N38" s="130">
        <f t="shared" si="11"/>
        <v>-1200000.0000000002</v>
      </c>
      <c r="O38" s="131">
        <f t="shared" si="12"/>
        <v>0</v>
      </c>
    </row>
    <row r="39" spans="1:15" x14ac:dyDescent="0.15">
      <c r="A39" s="121">
        <v>6001013</v>
      </c>
      <c r="B39" s="121">
        <v>1.2</v>
      </c>
      <c r="C39" s="129">
        <v>-1440000</v>
      </c>
      <c r="D39" s="130">
        <f t="shared" si="9"/>
        <v>-1200000.0000000002</v>
      </c>
      <c r="E39" s="131">
        <f t="shared" si="10"/>
        <v>0</v>
      </c>
      <c r="F39">
        <f t="shared" si="4"/>
        <v>-1440000.0000000002</v>
      </c>
      <c r="H39">
        <v>-1440000</v>
      </c>
      <c r="I39" s="121">
        <v>-200000</v>
      </c>
      <c r="J39" s="119">
        <v>-1200000</v>
      </c>
      <c r="L39" s="121">
        <v>1.2</v>
      </c>
      <c r="M39" s="129">
        <v>-1440000</v>
      </c>
      <c r="N39" s="130">
        <f t="shared" si="11"/>
        <v>-1200000.0000000002</v>
      </c>
      <c r="O39" s="131">
        <f t="shared" si="12"/>
        <v>0</v>
      </c>
    </row>
    <row r="40" spans="1:15" x14ac:dyDescent="0.15">
      <c r="A40" s="121">
        <v>6001013</v>
      </c>
      <c r="B40" s="121">
        <v>1.4</v>
      </c>
      <c r="C40" s="129">
        <v>-1680000</v>
      </c>
      <c r="D40" s="130">
        <f t="shared" si="9"/>
        <v>-1199999.9999999988</v>
      </c>
      <c r="E40" s="131">
        <f t="shared" si="10"/>
        <v>0</v>
      </c>
      <c r="F40">
        <f t="shared" si="4"/>
        <v>-1679999.9999999984</v>
      </c>
      <c r="H40">
        <v>-1680000</v>
      </c>
      <c r="I40" s="121">
        <v>-200000</v>
      </c>
      <c r="J40" s="119">
        <v>-1400000</v>
      </c>
      <c r="L40" s="121">
        <v>1.4</v>
      </c>
      <c r="M40" s="129">
        <v>-1680000</v>
      </c>
      <c r="N40" s="130">
        <f t="shared" si="11"/>
        <v>-1199999.9999999988</v>
      </c>
      <c r="O40" s="131">
        <f t="shared" si="12"/>
        <v>0</v>
      </c>
    </row>
    <row r="41" spans="1:15" x14ac:dyDescent="0.15">
      <c r="A41" s="121">
        <v>6001013</v>
      </c>
      <c r="B41" s="121">
        <v>1.6</v>
      </c>
      <c r="C41" s="129">
        <v>-1920000</v>
      </c>
      <c r="D41" s="130">
        <f t="shared" si="9"/>
        <v>-1200000.0000000002</v>
      </c>
      <c r="E41" s="131">
        <f t="shared" si="10"/>
        <v>0</v>
      </c>
      <c r="F41">
        <f t="shared" si="4"/>
        <v>-1920000.0000000005</v>
      </c>
      <c r="H41">
        <v>-1920000</v>
      </c>
      <c r="I41" s="121">
        <v>-200000</v>
      </c>
      <c r="J41" s="119">
        <v>-1600000</v>
      </c>
      <c r="L41" s="121">
        <v>1.6</v>
      </c>
      <c r="M41" s="129">
        <v>-1920000</v>
      </c>
      <c r="N41" s="130">
        <f t="shared" si="11"/>
        <v>-1200000.0000000002</v>
      </c>
      <c r="O41" s="131">
        <f t="shared" si="12"/>
        <v>0</v>
      </c>
    </row>
    <row r="42" spans="1:15" x14ac:dyDescent="0.15">
      <c r="A42" s="121">
        <v>6001013</v>
      </c>
      <c r="B42" s="121">
        <v>1.8</v>
      </c>
      <c r="C42" s="129">
        <v>-2160000</v>
      </c>
      <c r="D42" s="130">
        <f t="shared" si="9"/>
        <v>-1200000.0000000002</v>
      </c>
      <c r="E42" s="131">
        <f t="shared" si="10"/>
        <v>0</v>
      </c>
      <c r="F42">
        <f t="shared" si="4"/>
        <v>-2160000.0000000005</v>
      </c>
      <c r="H42">
        <v>-2160000</v>
      </c>
      <c r="I42" s="121">
        <v>-200000</v>
      </c>
      <c r="J42" s="119">
        <v>-1800000</v>
      </c>
      <c r="L42" s="121">
        <v>1.8</v>
      </c>
      <c r="M42" s="129">
        <v>-2160000</v>
      </c>
      <c r="N42" s="130">
        <f t="shared" si="11"/>
        <v>-1200000.0000000002</v>
      </c>
      <c r="O42" s="131">
        <f t="shared" si="12"/>
        <v>0</v>
      </c>
    </row>
    <row r="43" spans="1:15" x14ac:dyDescent="0.15">
      <c r="A43" s="121">
        <v>6001013</v>
      </c>
      <c r="B43" s="121">
        <v>2</v>
      </c>
      <c r="C43" s="129">
        <v>-2400000</v>
      </c>
      <c r="D43" s="130">
        <f t="shared" si="9"/>
        <v>-1199999.9999999988</v>
      </c>
      <c r="E43" s="131">
        <f t="shared" si="10"/>
        <v>0</v>
      </c>
      <c r="F43">
        <f t="shared" si="4"/>
        <v>-2399999.9999999977</v>
      </c>
      <c r="H43">
        <v>-2400000</v>
      </c>
      <c r="I43" s="121">
        <v>-200000</v>
      </c>
      <c r="J43" s="119">
        <v>-2000000</v>
      </c>
      <c r="L43" s="121">
        <v>2</v>
      </c>
      <c r="M43" s="129">
        <v>-2400000</v>
      </c>
      <c r="N43" s="130">
        <f t="shared" si="11"/>
        <v>-1199999.9999999988</v>
      </c>
      <c r="O43" s="131">
        <f t="shared" si="12"/>
        <v>0</v>
      </c>
    </row>
    <row r="44" spans="1:15" x14ac:dyDescent="0.15">
      <c r="A44" s="121">
        <v>6001013</v>
      </c>
      <c r="B44" s="121">
        <v>2.2000000000000002</v>
      </c>
      <c r="C44" s="129">
        <v>-2640000</v>
      </c>
      <c r="D44" s="130">
        <f t="shared" si="9"/>
        <v>-1200000.0000000016</v>
      </c>
      <c r="E44" s="131">
        <f t="shared" si="10"/>
        <v>3.7252902984619141E-9</v>
      </c>
      <c r="F44">
        <f t="shared" si="4"/>
        <v>-2640000</v>
      </c>
      <c r="H44">
        <v>-2640000</v>
      </c>
      <c r="I44" s="121">
        <v>-200000</v>
      </c>
      <c r="J44" s="119">
        <v>-2200000</v>
      </c>
      <c r="L44" s="121">
        <v>2.2000000000000002</v>
      </c>
      <c r="M44" s="129">
        <v>-2640000</v>
      </c>
      <c r="N44" s="130">
        <f t="shared" si="11"/>
        <v>-1200000.0000000016</v>
      </c>
      <c r="O44" s="131">
        <f t="shared" si="12"/>
        <v>3.7252902984619141E-9</v>
      </c>
    </row>
    <row r="45" spans="1:15" x14ac:dyDescent="0.15">
      <c r="A45" s="121">
        <v>6001013</v>
      </c>
      <c r="B45" s="121">
        <v>2.4</v>
      </c>
      <c r="C45" s="129">
        <v>-2880000</v>
      </c>
      <c r="D45" s="130">
        <f t="shared" si="9"/>
        <v>-1199999.9999999988</v>
      </c>
      <c r="E45" s="131">
        <f t="shared" si="10"/>
        <v>0</v>
      </c>
      <c r="F45">
        <f t="shared" si="4"/>
        <v>-2879999.9999999972</v>
      </c>
      <c r="H45">
        <v>-2880000</v>
      </c>
      <c r="I45" s="121">
        <v>-200000</v>
      </c>
      <c r="J45" s="119">
        <v>-2400000</v>
      </c>
      <c r="L45" s="121">
        <v>2.4</v>
      </c>
      <c r="M45" s="129">
        <v>-2880000</v>
      </c>
      <c r="N45" s="130">
        <f t="shared" si="11"/>
        <v>-1199999.9999999988</v>
      </c>
      <c r="O45" s="131">
        <f t="shared" si="12"/>
        <v>0</v>
      </c>
    </row>
    <row r="46" spans="1:15" x14ac:dyDescent="0.15">
      <c r="A46" s="121">
        <v>6001013</v>
      </c>
      <c r="B46" s="121">
        <v>2.6</v>
      </c>
      <c r="C46" s="129">
        <v>-3120000</v>
      </c>
      <c r="D46" s="130">
        <f t="shared" si="9"/>
        <v>-1200000.0000000016</v>
      </c>
      <c r="E46" s="131">
        <f t="shared" si="10"/>
        <v>4.1909515857696533E-9</v>
      </c>
      <c r="F46">
        <f t="shared" si="4"/>
        <v>-3120000</v>
      </c>
      <c r="H46">
        <v>-3120000</v>
      </c>
      <c r="I46" s="121">
        <v>-200000</v>
      </c>
      <c r="J46" s="119">
        <v>-2600000</v>
      </c>
      <c r="L46" s="121">
        <v>2.6</v>
      </c>
      <c r="M46" s="129">
        <v>-3120000</v>
      </c>
      <c r="N46" s="130">
        <f t="shared" si="11"/>
        <v>-1200000.0000000016</v>
      </c>
      <c r="O46" s="131">
        <f t="shared" si="12"/>
        <v>4.1909515857696533E-9</v>
      </c>
    </row>
    <row r="47" spans="1:15" x14ac:dyDescent="0.15">
      <c r="A47" s="121">
        <v>6001013</v>
      </c>
      <c r="B47" s="121">
        <v>2.8</v>
      </c>
      <c r="C47" s="129">
        <v>-3360000</v>
      </c>
      <c r="D47" s="130">
        <f>(C48-C47)/(B48-B47)</f>
        <v>-33199999.99999997</v>
      </c>
      <c r="E47" s="131">
        <f>C47-D47*B47</f>
        <v>89599999.999999911</v>
      </c>
      <c r="F47">
        <f t="shared" si="4"/>
        <v>-3360000</v>
      </c>
      <c r="H47">
        <v>-3360000</v>
      </c>
      <c r="I47" s="121">
        <v>-200000</v>
      </c>
      <c r="J47" s="119">
        <v>-2800000</v>
      </c>
      <c r="L47" s="121">
        <v>2.8</v>
      </c>
      <c r="M47" s="129">
        <v>-3360000</v>
      </c>
      <c r="N47" s="130">
        <f>(M48-M47)/(L48-L47)</f>
        <v>-33199999.99999997</v>
      </c>
      <c r="O47" s="131">
        <f>M47-N47*L47</f>
        <v>89599999.999999911</v>
      </c>
    </row>
    <row r="48" spans="1:15" x14ac:dyDescent="0.15">
      <c r="A48" s="121">
        <v>6001013</v>
      </c>
      <c r="B48" s="121">
        <v>3</v>
      </c>
      <c r="C48" s="129">
        <v>-10000000</v>
      </c>
      <c r="D48" s="119">
        <v>0</v>
      </c>
      <c r="E48" s="117">
        <v>-10000000</v>
      </c>
      <c r="F48">
        <f t="shared" si="4"/>
        <v>-10000000</v>
      </c>
      <c r="H48">
        <v>-10000000</v>
      </c>
      <c r="I48" s="121">
        <v>0</v>
      </c>
      <c r="J48" s="119">
        <v>-10000000</v>
      </c>
      <c r="L48" s="121">
        <v>3</v>
      </c>
      <c r="M48" s="129">
        <v>-10000000</v>
      </c>
      <c r="N48" s="119">
        <v>0</v>
      </c>
      <c r="O48" s="117">
        <v>-10000000</v>
      </c>
    </row>
    <row r="49" spans="1:15" x14ac:dyDescent="0.15">
      <c r="A49" s="122">
        <v>6001014</v>
      </c>
      <c r="B49" s="122">
        <v>0</v>
      </c>
      <c r="C49" s="129">
        <v>0</v>
      </c>
      <c r="D49" s="130">
        <f t="shared" ref="D49:D60" si="13">(C50-C49)/(B50-B49)</f>
        <v>-1200000</v>
      </c>
      <c r="E49" s="131">
        <f t="shared" ref="E49:E60" si="14">C49-D49*B49</f>
        <v>0</v>
      </c>
      <c r="F49">
        <f>B49*D49+E49</f>
        <v>0</v>
      </c>
      <c r="H49">
        <v>0</v>
      </c>
      <c r="I49" s="122">
        <v>0</v>
      </c>
      <c r="J49" s="122">
        <v>0</v>
      </c>
      <c r="L49" s="122">
        <v>0</v>
      </c>
      <c r="M49" s="129">
        <v>0</v>
      </c>
      <c r="N49" s="130">
        <f t="shared" ref="N49:N60" si="15">(M50-M49)/(L50-L49)</f>
        <v>-1200000</v>
      </c>
      <c r="O49" s="131">
        <f t="shared" ref="O49:O60" si="16">M49-N49*L49</f>
        <v>0</v>
      </c>
    </row>
    <row r="50" spans="1:15" x14ac:dyDescent="0.15">
      <c r="A50" s="122">
        <v>6001014</v>
      </c>
      <c r="B50" s="122">
        <v>0.01</v>
      </c>
      <c r="C50" s="129">
        <v>-12000</v>
      </c>
      <c r="D50" s="130">
        <f t="shared" si="13"/>
        <v>-1200000</v>
      </c>
      <c r="E50" s="131">
        <f t="shared" si="14"/>
        <v>0</v>
      </c>
      <c r="F50">
        <f t="shared" si="4"/>
        <v>-12000</v>
      </c>
      <c r="H50">
        <v>-12000</v>
      </c>
      <c r="I50" s="122">
        <v>-200000</v>
      </c>
      <c r="J50" s="124">
        <v>-10000</v>
      </c>
      <c r="L50" s="122">
        <v>0.01</v>
      </c>
      <c r="M50" s="129">
        <v>-12000</v>
      </c>
      <c r="N50" s="130">
        <f t="shared" si="15"/>
        <v>-1200000</v>
      </c>
      <c r="O50" s="131">
        <f t="shared" si="16"/>
        <v>0</v>
      </c>
    </row>
    <row r="51" spans="1:15" x14ac:dyDescent="0.15">
      <c r="A51" s="122">
        <v>6001014</v>
      </c>
      <c r="B51" s="122">
        <v>0.05</v>
      </c>
      <c r="C51" s="129">
        <v>-60000</v>
      </c>
      <c r="D51" s="130">
        <f t="shared" si="13"/>
        <v>-1200000</v>
      </c>
      <c r="E51" s="131">
        <f t="shared" si="14"/>
        <v>0</v>
      </c>
      <c r="F51">
        <f t="shared" si="4"/>
        <v>-60000</v>
      </c>
      <c r="H51">
        <v>-60000</v>
      </c>
      <c r="I51" s="122">
        <v>-200000</v>
      </c>
      <c r="J51" s="124">
        <v>-50000</v>
      </c>
      <c r="L51" s="122">
        <v>0.05</v>
      </c>
      <c r="M51" s="129">
        <v>-60000</v>
      </c>
      <c r="N51" s="130">
        <f t="shared" si="15"/>
        <v>-1200000</v>
      </c>
      <c r="O51" s="131">
        <f t="shared" si="16"/>
        <v>0</v>
      </c>
    </row>
    <row r="52" spans="1:15" x14ac:dyDescent="0.15">
      <c r="A52" s="122">
        <v>6001014</v>
      </c>
      <c r="B52" s="122">
        <v>0.1</v>
      </c>
      <c r="C52" s="129">
        <v>-120000</v>
      </c>
      <c r="D52" s="130">
        <f t="shared" si="13"/>
        <v>-1200000</v>
      </c>
      <c r="E52" s="131">
        <f t="shared" si="14"/>
        <v>0</v>
      </c>
      <c r="F52">
        <f t="shared" si="4"/>
        <v>-120000</v>
      </c>
      <c r="H52">
        <v>-120000</v>
      </c>
      <c r="I52" s="122">
        <v>-200000</v>
      </c>
      <c r="J52" s="124">
        <v>-100000</v>
      </c>
      <c r="L52" s="122">
        <v>0.1</v>
      </c>
      <c r="M52" s="129">
        <v>-120000</v>
      </c>
      <c r="N52" s="130">
        <f t="shared" si="15"/>
        <v>-1200000</v>
      </c>
      <c r="O52" s="131">
        <f t="shared" si="16"/>
        <v>0</v>
      </c>
    </row>
    <row r="53" spans="1:15" x14ac:dyDescent="0.15">
      <c r="A53" s="122">
        <v>6001014</v>
      </c>
      <c r="B53" s="122">
        <v>0.2</v>
      </c>
      <c r="C53" s="129">
        <v>-240000</v>
      </c>
      <c r="D53" s="130">
        <f t="shared" si="13"/>
        <v>-1200000</v>
      </c>
      <c r="E53" s="131">
        <f t="shared" si="14"/>
        <v>0</v>
      </c>
      <c r="F53">
        <f t="shared" si="4"/>
        <v>-240000</v>
      </c>
      <c r="H53">
        <v>-240000</v>
      </c>
      <c r="I53" s="122">
        <v>-200000</v>
      </c>
      <c r="J53" s="120">
        <v>-200000</v>
      </c>
      <c r="L53" s="122">
        <v>0.2</v>
      </c>
      <c r="M53" s="129">
        <v>-240000</v>
      </c>
      <c r="N53" s="130">
        <f t="shared" si="15"/>
        <v>-1200000</v>
      </c>
      <c r="O53" s="131">
        <f t="shared" si="16"/>
        <v>0</v>
      </c>
    </row>
    <row r="54" spans="1:15" x14ac:dyDescent="0.15">
      <c r="A54" s="122">
        <v>6001014</v>
      </c>
      <c r="B54" s="122">
        <v>0.4</v>
      </c>
      <c r="C54" s="129">
        <v>-480000</v>
      </c>
      <c r="D54" s="130">
        <f t="shared" si="13"/>
        <v>-1200000.0000000002</v>
      </c>
      <c r="E54" s="131">
        <f t="shared" si="14"/>
        <v>0</v>
      </c>
      <c r="F54">
        <f t="shared" si="4"/>
        <v>-480000.00000000012</v>
      </c>
      <c r="H54">
        <v>-480000</v>
      </c>
      <c r="I54" s="122">
        <v>-200000</v>
      </c>
      <c r="J54" s="120">
        <v>-400000</v>
      </c>
      <c r="L54" s="122">
        <v>0.4</v>
      </c>
      <c r="M54" s="129">
        <v>-480000</v>
      </c>
      <c r="N54" s="130">
        <f t="shared" si="15"/>
        <v>-1200000.0000000002</v>
      </c>
      <c r="O54" s="131">
        <f t="shared" si="16"/>
        <v>0</v>
      </c>
    </row>
    <row r="55" spans="1:15" x14ac:dyDescent="0.15">
      <c r="A55" s="122">
        <v>6001014</v>
      </c>
      <c r="B55" s="122">
        <v>0.6</v>
      </c>
      <c r="C55" s="129">
        <v>-720000</v>
      </c>
      <c r="D55" s="130">
        <f t="shared" si="13"/>
        <v>-1199999.9999999995</v>
      </c>
      <c r="E55" s="131">
        <f t="shared" si="14"/>
        <v>0</v>
      </c>
      <c r="F55">
        <f t="shared" si="4"/>
        <v>-719999.99999999965</v>
      </c>
      <c r="H55">
        <v>-720000</v>
      </c>
      <c r="I55" s="122">
        <v>-200000</v>
      </c>
      <c r="J55" s="120">
        <v>-600000</v>
      </c>
      <c r="L55" s="122">
        <v>0.6</v>
      </c>
      <c r="M55" s="129">
        <v>-720000</v>
      </c>
      <c r="N55" s="130">
        <f t="shared" si="15"/>
        <v>-1199999.9999999995</v>
      </c>
      <c r="O55" s="131">
        <f t="shared" si="16"/>
        <v>0</v>
      </c>
    </row>
    <row r="56" spans="1:15" x14ac:dyDescent="0.15">
      <c r="A56" s="122">
        <v>6001014</v>
      </c>
      <c r="B56" s="122">
        <v>0.8</v>
      </c>
      <c r="C56" s="129">
        <v>-960000</v>
      </c>
      <c r="D56" s="130">
        <f t="shared" si="13"/>
        <v>-1200000.0000000002</v>
      </c>
      <c r="E56" s="131">
        <f t="shared" si="14"/>
        <v>0</v>
      </c>
      <c r="F56">
        <f t="shared" si="4"/>
        <v>-960000.00000000023</v>
      </c>
      <c r="H56">
        <v>-960000</v>
      </c>
      <c r="I56" s="122">
        <v>-200000</v>
      </c>
      <c r="J56" s="120">
        <v>-800000</v>
      </c>
      <c r="L56" s="122">
        <v>0.8</v>
      </c>
      <c r="M56" s="129">
        <v>-960000</v>
      </c>
      <c r="N56" s="130">
        <f t="shared" si="15"/>
        <v>-1200000.0000000002</v>
      </c>
      <c r="O56" s="131">
        <f t="shared" si="16"/>
        <v>0</v>
      </c>
    </row>
    <row r="57" spans="1:15" x14ac:dyDescent="0.15">
      <c r="A57" s="122">
        <v>6001014</v>
      </c>
      <c r="B57" s="122">
        <v>1</v>
      </c>
      <c r="C57" s="129">
        <v>-1200000</v>
      </c>
      <c r="D57" s="130">
        <f t="shared" si="13"/>
        <v>-1200000.0000000002</v>
      </c>
      <c r="E57" s="131">
        <f t="shared" si="14"/>
        <v>0</v>
      </c>
      <c r="F57">
        <f t="shared" si="4"/>
        <v>-1200000.0000000002</v>
      </c>
      <c r="H57">
        <v>-1200000</v>
      </c>
      <c r="I57" s="122">
        <v>-200000</v>
      </c>
      <c r="J57" s="120">
        <v>-1000000</v>
      </c>
      <c r="L57" s="122">
        <v>1</v>
      </c>
      <c r="M57" s="129">
        <v>-1200000</v>
      </c>
      <c r="N57" s="130">
        <f t="shared" si="15"/>
        <v>-1200000.0000000002</v>
      </c>
      <c r="O57" s="131">
        <f t="shared" si="16"/>
        <v>0</v>
      </c>
    </row>
    <row r="58" spans="1:15" x14ac:dyDescent="0.15">
      <c r="A58" s="122">
        <v>6001014</v>
      </c>
      <c r="B58" s="122">
        <v>1.2</v>
      </c>
      <c r="C58" s="129">
        <v>-1440000</v>
      </c>
      <c r="D58" s="130">
        <f t="shared" si="13"/>
        <v>-1200000.0000000002</v>
      </c>
      <c r="E58" s="131">
        <f t="shared" si="14"/>
        <v>0</v>
      </c>
      <c r="F58">
        <f t="shared" si="4"/>
        <v>-1440000.0000000002</v>
      </c>
      <c r="H58">
        <v>-1440000</v>
      </c>
      <c r="I58" s="122">
        <v>-200000</v>
      </c>
      <c r="J58" s="120">
        <v>-1200000</v>
      </c>
      <c r="L58" s="122">
        <v>1.2</v>
      </c>
      <c r="M58" s="129">
        <v>-1440000</v>
      </c>
      <c r="N58" s="130">
        <f t="shared" si="15"/>
        <v>-1200000.0000000002</v>
      </c>
      <c r="O58" s="131">
        <f t="shared" si="16"/>
        <v>0</v>
      </c>
    </row>
    <row r="59" spans="1:15" x14ac:dyDescent="0.15">
      <c r="A59" s="122">
        <v>6001014</v>
      </c>
      <c r="B59" s="122">
        <v>1.4</v>
      </c>
      <c r="C59" s="129">
        <v>-1680000</v>
      </c>
      <c r="D59" s="130">
        <f t="shared" si="13"/>
        <v>-1199999.9999999988</v>
      </c>
      <c r="E59" s="131">
        <f t="shared" si="14"/>
        <v>0</v>
      </c>
      <c r="F59">
        <f t="shared" si="4"/>
        <v>-1679999.9999999984</v>
      </c>
      <c r="H59">
        <v>-1680000</v>
      </c>
      <c r="I59" s="122">
        <v>-200000</v>
      </c>
      <c r="J59" s="120">
        <v>-1400000</v>
      </c>
      <c r="L59" s="122">
        <v>1.4</v>
      </c>
      <c r="M59" s="129">
        <v>-1680000</v>
      </c>
      <c r="N59" s="130">
        <f t="shared" si="15"/>
        <v>-1199999.9999999988</v>
      </c>
      <c r="O59" s="131">
        <f t="shared" si="16"/>
        <v>0</v>
      </c>
    </row>
    <row r="60" spans="1:15" x14ac:dyDescent="0.15">
      <c r="A60" s="122">
        <v>6001014</v>
      </c>
      <c r="B60" s="122">
        <v>1.6</v>
      </c>
      <c r="C60" s="129">
        <v>-1920000</v>
      </c>
      <c r="D60" s="130">
        <f t="shared" si="13"/>
        <v>-1200000.0000000002</v>
      </c>
      <c r="E60" s="131">
        <f t="shared" si="14"/>
        <v>0</v>
      </c>
      <c r="F60">
        <f t="shared" si="4"/>
        <v>-1920000.0000000005</v>
      </c>
      <c r="H60">
        <v>-1920000</v>
      </c>
      <c r="I60" s="122">
        <v>-200000</v>
      </c>
      <c r="J60" s="120">
        <v>-1600000</v>
      </c>
      <c r="L60" s="122">
        <v>1.6</v>
      </c>
      <c r="M60" s="129">
        <v>-1920000</v>
      </c>
      <c r="N60" s="130">
        <f t="shared" si="15"/>
        <v>-1200000.0000000002</v>
      </c>
      <c r="O60" s="131">
        <f t="shared" si="16"/>
        <v>0</v>
      </c>
    </row>
    <row r="61" spans="1:15" x14ac:dyDescent="0.15">
      <c r="A61" s="122">
        <v>6001014</v>
      </c>
      <c r="B61" s="122">
        <v>1.8</v>
      </c>
      <c r="C61" s="129">
        <v>-2160000</v>
      </c>
      <c r="D61" s="130">
        <f>(C62-C61)/(B62-B61)</f>
        <v>-39200000.000000007</v>
      </c>
      <c r="E61" s="131">
        <f>C61-D61*B61</f>
        <v>68400000.000000015</v>
      </c>
      <c r="F61">
        <f t="shared" si="4"/>
        <v>-2160000</v>
      </c>
      <c r="H61">
        <v>-2160000</v>
      </c>
      <c r="I61" s="122">
        <v>-200000</v>
      </c>
      <c r="J61" s="120">
        <v>-1800000</v>
      </c>
      <c r="L61" s="122">
        <v>1.8</v>
      </c>
      <c r="M61" s="129">
        <v>-2160000</v>
      </c>
      <c r="N61" s="130">
        <f>(M62-M61)/(L62-L61)</f>
        <v>-39200000.000000007</v>
      </c>
      <c r="O61" s="131">
        <f>M61-N61*L61</f>
        <v>68400000.000000015</v>
      </c>
    </row>
    <row r="62" spans="1:15" x14ac:dyDescent="0.15">
      <c r="A62" s="122">
        <v>6001014</v>
      </c>
      <c r="B62" s="122">
        <v>2</v>
      </c>
      <c r="C62" s="129">
        <v>-10000000</v>
      </c>
      <c r="D62" s="120">
        <v>0</v>
      </c>
      <c r="E62" s="118">
        <v>-10000000</v>
      </c>
      <c r="F62">
        <f t="shared" si="4"/>
        <v>-10000000</v>
      </c>
      <c r="H62">
        <v>-10000000</v>
      </c>
      <c r="I62" s="122">
        <v>0</v>
      </c>
      <c r="J62" s="120">
        <v>-10000000</v>
      </c>
      <c r="L62" s="122">
        <v>2</v>
      </c>
      <c r="M62" s="129">
        <v>-10000000</v>
      </c>
      <c r="N62" s="120">
        <v>0</v>
      </c>
      <c r="O62" s="118">
        <v>-10000000</v>
      </c>
    </row>
    <row r="63" spans="1:15" x14ac:dyDescent="0.15">
      <c r="A63" s="121">
        <v>6001015</v>
      </c>
      <c r="B63" s="121">
        <v>0</v>
      </c>
      <c r="C63" s="129">
        <v>0</v>
      </c>
      <c r="D63" s="130">
        <f t="shared" ref="D63:D79" si="17">(C64-C63)/(B64-B63)</f>
        <v>-1200000</v>
      </c>
      <c r="E63" s="131">
        <f t="shared" ref="E63:E79" si="18">C63-D63*B63</f>
        <v>0</v>
      </c>
      <c r="F63">
        <f t="shared" si="4"/>
        <v>0</v>
      </c>
      <c r="H63">
        <v>0</v>
      </c>
      <c r="I63" s="121">
        <v>0</v>
      </c>
      <c r="J63" s="121">
        <v>0</v>
      </c>
      <c r="L63" s="121">
        <v>0</v>
      </c>
      <c r="M63" s="129">
        <v>0</v>
      </c>
      <c r="N63" s="130">
        <f t="shared" ref="N63:N79" si="19">(M64-M63)/(L64-L63)</f>
        <v>-1200000</v>
      </c>
      <c r="O63" s="131">
        <f t="shared" ref="O63:O79" si="20">M63-N63*L63</f>
        <v>0</v>
      </c>
    </row>
    <row r="64" spans="1:15" x14ac:dyDescent="0.15">
      <c r="A64" s="121">
        <v>6001015</v>
      </c>
      <c r="B64" s="121">
        <v>0.01</v>
      </c>
      <c r="C64" s="129">
        <v>-12000</v>
      </c>
      <c r="D64" s="130">
        <f t="shared" si="17"/>
        <v>-1200000</v>
      </c>
      <c r="E64" s="131">
        <f t="shared" si="18"/>
        <v>0</v>
      </c>
      <c r="F64">
        <f t="shared" si="4"/>
        <v>-12000</v>
      </c>
      <c r="H64">
        <v>-12000</v>
      </c>
      <c r="I64" s="121">
        <v>-200000</v>
      </c>
      <c r="J64" s="123">
        <v>-10000</v>
      </c>
      <c r="L64" s="121">
        <v>0.01</v>
      </c>
      <c r="M64" s="129">
        <v>-12000</v>
      </c>
      <c r="N64" s="130">
        <f t="shared" si="19"/>
        <v>-1200000</v>
      </c>
      <c r="O64" s="131">
        <f t="shared" si="20"/>
        <v>0</v>
      </c>
    </row>
    <row r="65" spans="1:15" x14ac:dyDescent="0.15">
      <c r="A65" s="121">
        <v>6001015</v>
      </c>
      <c r="B65" s="121">
        <v>0.05</v>
      </c>
      <c r="C65" s="129">
        <v>-60000</v>
      </c>
      <c r="D65" s="130">
        <f t="shared" si="17"/>
        <v>-1200000</v>
      </c>
      <c r="E65" s="131">
        <f t="shared" si="18"/>
        <v>0</v>
      </c>
      <c r="F65">
        <f t="shared" si="4"/>
        <v>-60000</v>
      </c>
      <c r="H65">
        <v>-60000</v>
      </c>
      <c r="I65" s="121">
        <v>-200000</v>
      </c>
      <c r="J65" s="123">
        <v>-50000</v>
      </c>
      <c r="L65" s="121">
        <v>0.05</v>
      </c>
      <c r="M65" s="129">
        <v>-60000</v>
      </c>
      <c r="N65" s="130">
        <f t="shared" si="19"/>
        <v>-1200000</v>
      </c>
      <c r="O65" s="131">
        <f t="shared" si="20"/>
        <v>0</v>
      </c>
    </row>
    <row r="66" spans="1:15" x14ac:dyDescent="0.15">
      <c r="A66" s="121">
        <v>6001015</v>
      </c>
      <c r="B66" s="121">
        <v>0.1</v>
      </c>
      <c r="C66" s="129">
        <v>-120000</v>
      </c>
      <c r="D66" s="130">
        <f t="shared" si="17"/>
        <v>-1200000</v>
      </c>
      <c r="E66" s="131">
        <f t="shared" si="18"/>
        <v>0</v>
      </c>
      <c r="F66">
        <f t="shared" si="4"/>
        <v>-120000</v>
      </c>
      <c r="H66">
        <v>-120000</v>
      </c>
      <c r="I66" s="121">
        <v>-200000</v>
      </c>
      <c r="J66" s="123">
        <v>-100000</v>
      </c>
      <c r="L66" s="121">
        <v>0.1</v>
      </c>
      <c r="M66" s="129">
        <v>-120000</v>
      </c>
      <c r="N66" s="130">
        <f t="shared" si="19"/>
        <v>-1200000</v>
      </c>
      <c r="O66" s="131">
        <f t="shared" si="20"/>
        <v>0</v>
      </c>
    </row>
    <row r="67" spans="1:15" x14ac:dyDescent="0.15">
      <c r="A67" s="121">
        <v>6001015</v>
      </c>
      <c r="B67" s="121">
        <v>0.2</v>
      </c>
      <c r="C67" s="129">
        <v>-240000</v>
      </c>
      <c r="D67" s="130">
        <f t="shared" si="17"/>
        <v>-1200000</v>
      </c>
      <c r="E67" s="131">
        <f t="shared" si="18"/>
        <v>0</v>
      </c>
      <c r="F67">
        <f t="shared" si="4"/>
        <v>-240000</v>
      </c>
      <c r="H67">
        <v>-240000</v>
      </c>
      <c r="I67" s="121">
        <v>-200000</v>
      </c>
      <c r="J67" s="119">
        <v>-200000</v>
      </c>
      <c r="L67" s="121">
        <v>0.2</v>
      </c>
      <c r="M67" s="129">
        <v>-240000</v>
      </c>
      <c r="N67" s="130">
        <f t="shared" si="19"/>
        <v>-1200000</v>
      </c>
      <c r="O67" s="131">
        <f t="shared" si="20"/>
        <v>0</v>
      </c>
    </row>
    <row r="68" spans="1:15" x14ac:dyDescent="0.15">
      <c r="A68" s="121">
        <v>6001015</v>
      </c>
      <c r="B68" s="121">
        <v>0.4</v>
      </c>
      <c r="C68" s="129">
        <v>-480000</v>
      </c>
      <c r="D68" s="130">
        <f t="shared" si="17"/>
        <v>-1200000.0000000002</v>
      </c>
      <c r="E68" s="131">
        <f t="shared" si="18"/>
        <v>0</v>
      </c>
      <c r="F68">
        <f t="shared" si="4"/>
        <v>-480000.00000000012</v>
      </c>
      <c r="H68">
        <v>-480000</v>
      </c>
      <c r="I68" s="121">
        <v>-200000</v>
      </c>
      <c r="J68" s="119">
        <v>-400000</v>
      </c>
      <c r="L68" s="121">
        <v>0.4</v>
      </c>
      <c r="M68" s="129">
        <v>-480000</v>
      </c>
      <c r="N68" s="130">
        <f t="shared" si="19"/>
        <v>-1200000.0000000002</v>
      </c>
      <c r="O68" s="131">
        <f t="shared" si="20"/>
        <v>0</v>
      </c>
    </row>
    <row r="69" spans="1:15" x14ac:dyDescent="0.15">
      <c r="A69" s="121">
        <v>6001015</v>
      </c>
      <c r="B69" s="121">
        <v>0.6</v>
      </c>
      <c r="C69" s="129">
        <v>-720000</v>
      </c>
      <c r="D69" s="130">
        <f t="shared" si="17"/>
        <v>-1199999.9999999995</v>
      </c>
      <c r="E69" s="131">
        <f t="shared" si="18"/>
        <v>0</v>
      </c>
      <c r="F69">
        <f t="shared" si="4"/>
        <v>-719999.99999999965</v>
      </c>
      <c r="H69">
        <v>-720000</v>
      </c>
      <c r="I69" s="121">
        <v>-200000</v>
      </c>
      <c r="J69" s="119">
        <v>-600000</v>
      </c>
      <c r="L69" s="121">
        <v>0.6</v>
      </c>
      <c r="M69" s="129">
        <v>-720000</v>
      </c>
      <c r="N69" s="130">
        <f t="shared" si="19"/>
        <v>-1199999.9999999995</v>
      </c>
      <c r="O69" s="131">
        <f t="shared" si="20"/>
        <v>0</v>
      </c>
    </row>
    <row r="70" spans="1:15" x14ac:dyDescent="0.15">
      <c r="A70" s="121">
        <v>6001015</v>
      </c>
      <c r="B70" s="121">
        <v>0.8</v>
      </c>
      <c r="C70" s="129">
        <v>-960000</v>
      </c>
      <c r="D70" s="130">
        <f t="shared" si="17"/>
        <v>-1200000.0000000002</v>
      </c>
      <c r="E70" s="131">
        <f t="shared" si="18"/>
        <v>0</v>
      </c>
      <c r="F70">
        <f t="shared" si="4"/>
        <v>-960000.00000000023</v>
      </c>
      <c r="H70">
        <v>-960000</v>
      </c>
      <c r="I70" s="121">
        <v>-200000</v>
      </c>
      <c r="J70" s="119">
        <v>-800000</v>
      </c>
      <c r="L70" s="121">
        <v>0.8</v>
      </c>
      <c r="M70" s="129">
        <v>-960000</v>
      </c>
      <c r="N70" s="130">
        <f t="shared" si="19"/>
        <v>-1200000.0000000002</v>
      </c>
      <c r="O70" s="131">
        <f t="shared" si="20"/>
        <v>0</v>
      </c>
    </row>
    <row r="71" spans="1:15" x14ac:dyDescent="0.15">
      <c r="A71" s="121">
        <v>6001015</v>
      </c>
      <c r="B71" s="121">
        <v>1</v>
      </c>
      <c r="C71" s="129">
        <v>-1200000</v>
      </c>
      <c r="D71" s="130">
        <f t="shared" si="17"/>
        <v>-1200000.0000000002</v>
      </c>
      <c r="E71" s="131">
        <f t="shared" si="18"/>
        <v>0</v>
      </c>
      <c r="F71">
        <f t="shared" si="4"/>
        <v>-1200000.0000000002</v>
      </c>
      <c r="H71">
        <v>-1200000</v>
      </c>
      <c r="I71" s="121">
        <v>-200000</v>
      </c>
      <c r="J71" s="119">
        <v>-1000000</v>
      </c>
      <c r="L71" s="121">
        <v>1</v>
      </c>
      <c r="M71" s="129">
        <v>-1200000</v>
      </c>
      <c r="N71" s="130">
        <f t="shared" si="19"/>
        <v>-1200000.0000000002</v>
      </c>
      <c r="O71" s="131">
        <f t="shared" si="20"/>
        <v>0</v>
      </c>
    </row>
    <row r="72" spans="1:15" x14ac:dyDescent="0.15">
      <c r="A72" s="121">
        <v>6001015</v>
      </c>
      <c r="B72" s="121">
        <v>1.2</v>
      </c>
      <c r="C72" s="129">
        <v>-1440000</v>
      </c>
      <c r="D72" s="130">
        <f t="shared" si="17"/>
        <v>-1200000.0000000002</v>
      </c>
      <c r="E72" s="131">
        <f t="shared" si="18"/>
        <v>0</v>
      </c>
      <c r="F72">
        <f t="shared" ref="F72:F76" si="21">B72*D72+E72</f>
        <v>-1440000.0000000002</v>
      </c>
      <c r="H72">
        <v>-1440000</v>
      </c>
      <c r="I72" s="121">
        <v>-200000</v>
      </c>
      <c r="J72" s="119">
        <v>-1200000</v>
      </c>
      <c r="L72" s="121">
        <v>1.2</v>
      </c>
      <c r="M72" s="129">
        <v>-1440000</v>
      </c>
      <c r="N72" s="130">
        <f t="shared" si="19"/>
        <v>-1200000.0000000002</v>
      </c>
      <c r="O72" s="131">
        <f t="shared" si="20"/>
        <v>0</v>
      </c>
    </row>
    <row r="73" spans="1:15" x14ac:dyDescent="0.15">
      <c r="A73" s="121">
        <v>6001015</v>
      </c>
      <c r="B73" s="121">
        <v>1.4</v>
      </c>
      <c r="C73" s="129">
        <v>-1680000</v>
      </c>
      <c r="D73" s="130">
        <f t="shared" si="17"/>
        <v>-1199999.9999999988</v>
      </c>
      <c r="E73" s="131">
        <f t="shared" si="18"/>
        <v>0</v>
      </c>
      <c r="F73">
        <f t="shared" si="21"/>
        <v>-1679999.9999999984</v>
      </c>
      <c r="H73">
        <v>-1680000</v>
      </c>
      <c r="I73" s="121">
        <v>-200000</v>
      </c>
      <c r="J73" s="119">
        <v>-1400000</v>
      </c>
      <c r="L73" s="121">
        <v>1.4</v>
      </c>
      <c r="M73" s="129">
        <v>-1680000</v>
      </c>
      <c r="N73" s="130">
        <f t="shared" si="19"/>
        <v>-1199999.9999999988</v>
      </c>
      <c r="O73" s="131">
        <f t="shared" si="20"/>
        <v>0</v>
      </c>
    </row>
    <row r="74" spans="1:15" x14ac:dyDescent="0.15">
      <c r="A74" s="121">
        <v>6001015</v>
      </c>
      <c r="B74" s="121">
        <v>1.6</v>
      </c>
      <c r="C74" s="129">
        <v>-1920000</v>
      </c>
      <c r="D74" s="130">
        <f t="shared" si="17"/>
        <v>-1200000.0000000002</v>
      </c>
      <c r="E74" s="131">
        <f t="shared" si="18"/>
        <v>0</v>
      </c>
      <c r="F74">
        <f t="shared" si="21"/>
        <v>-1920000.0000000005</v>
      </c>
      <c r="H74">
        <v>-1920000</v>
      </c>
      <c r="I74" s="121">
        <v>-200000</v>
      </c>
      <c r="J74" s="119">
        <v>-1600000</v>
      </c>
      <c r="L74" s="121">
        <v>1.6</v>
      </c>
      <c r="M74" s="129">
        <v>-1920000</v>
      </c>
      <c r="N74" s="130">
        <f t="shared" si="19"/>
        <v>-1200000.0000000002</v>
      </c>
      <c r="O74" s="131">
        <f t="shared" si="20"/>
        <v>0</v>
      </c>
    </row>
    <row r="75" spans="1:15" x14ac:dyDescent="0.15">
      <c r="A75" s="121">
        <v>6001015</v>
      </c>
      <c r="B75" s="121">
        <v>1.8</v>
      </c>
      <c r="C75" s="129">
        <v>-2160000</v>
      </c>
      <c r="D75" s="130">
        <f t="shared" si="17"/>
        <v>-1200000.0000000002</v>
      </c>
      <c r="E75" s="131">
        <f t="shared" si="18"/>
        <v>0</v>
      </c>
      <c r="F75">
        <f t="shared" si="21"/>
        <v>-2160000.0000000005</v>
      </c>
      <c r="H75">
        <v>-2160000</v>
      </c>
      <c r="I75" s="121">
        <v>-200000</v>
      </c>
      <c r="J75" s="119">
        <v>-1800000</v>
      </c>
      <c r="L75" s="121">
        <v>1.8</v>
      </c>
      <c r="M75" s="129">
        <v>-2160000</v>
      </c>
      <c r="N75" s="130">
        <f t="shared" si="19"/>
        <v>-1200000.0000000002</v>
      </c>
      <c r="O75" s="131">
        <f t="shared" si="20"/>
        <v>0</v>
      </c>
    </row>
    <row r="76" spans="1:15" x14ac:dyDescent="0.15">
      <c r="A76" s="121">
        <v>6001015</v>
      </c>
      <c r="B76" s="121">
        <v>2</v>
      </c>
      <c r="C76" s="129">
        <v>-2400000</v>
      </c>
      <c r="D76" s="130">
        <f t="shared" si="17"/>
        <v>-1199999.9999999988</v>
      </c>
      <c r="E76" s="131">
        <f t="shared" si="18"/>
        <v>0</v>
      </c>
      <c r="F76">
        <f t="shared" si="21"/>
        <v>-2399999.9999999977</v>
      </c>
      <c r="H76">
        <v>-2400000</v>
      </c>
      <c r="I76" s="121">
        <v>-200000</v>
      </c>
      <c r="J76" s="119">
        <v>-2000000</v>
      </c>
      <c r="L76" s="121">
        <v>2</v>
      </c>
      <c r="M76" s="129">
        <v>-2400000</v>
      </c>
      <c r="N76" s="130">
        <f t="shared" si="19"/>
        <v>-1199999.9999999988</v>
      </c>
      <c r="O76" s="131">
        <f t="shared" si="20"/>
        <v>0</v>
      </c>
    </row>
    <row r="77" spans="1:15" x14ac:dyDescent="0.15">
      <c r="A77" s="121">
        <v>6001015</v>
      </c>
      <c r="B77" s="121">
        <v>2.2000000000000002</v>
      </c>
      <c r="C77" s="129">
        <v>-2640000</v>
      </c>
      <c r="D77" s="130">
        <f t="shared" si="17"/>
        <v>-1200000.0000000016</v>
      </c>
      <c r="E77" s="131">
        <f t="shared" si="18"/>
        <v>3.7252902984619141E-9</v>
      </c>
      <c r="F77">
        <f>B77*D77+E77</f>
        <v>-2640000</v>
      </c>
      <c r="H77">
        <v>-2640000</v>
      </c>
      <c r="I77" s="121">
        <v>-200000</v>
      </c>
      <c r="J77" s="119">
        <v>-2200000</v>
      </c>
      <c r="L77" s="121">
        <v>2.2000000000000002</v>
      </c>
      <c r="M77" s="129">
        <v>-2640000</v>
      </c>
      <c r="N77" s="130">
        <f t="shared" si="19"/>
        <v>-1200000.0000000016</v>
      </c>
      <c r="O77" s="131">
        <f t="shared" si="20"/>
        <v>3.7252902984619141E-9</v>
      </c>
    </row>
    <row r="78" spans="1:15" x14ac:dyDescent="0.15">
      <c r="A78" s="121">
        <v>6001015</v>
      </c>
      <c r="B78" s="121">
        <v>2.4</v>
      </c>
      <c r="C78" s="129">
        <v>-2880000</v>
      </c>
      <c r="D78" s="130">
        <f t="shared" si="17"/>
        <v>-1199999.9999999988</v>
      </c>
      <c r="E78" s="131">
        <f t="shared" si="18"/>
        <v>0</v>
      </c>
      <c r="F78">
        <f>B78*D78+E78</f>
        <v>-2879999.9999999972</v>
      </c>
      <c r="H78">
        <v>-2880000</v>
      </c>
      <c r="I78" s="121">
        <v>-200000</v>
      </c>
      <c r="J78" s="119">
        <v>-2400000</v>
      </c>
      <c r="L78" s="121">
        <v>2.4</v>
      </c>
      <c r="M78" s="129">
        <v>-2880000</v>
      </c>
      <c r="N78" s="130">
        <f t="shared" si="19"/>
        <v>-1199999.9999999988</v>
      </c>
      <c r="O78" s="131">
        <f t="shared" si="20"/>
        <v>0</v>
      </c>
    </row>
    <row r="79" spans="1:15" x14ac:dyDescent="0.15">
      <c r="A79" s="121">
        <v>6001015</v>
      </c>
      <c r="B79" s="121">
        <v>2.6</v>
      </c>
      <c r="C79" s="129">
        <v>-3120000</v>
      </c>
      <c r="D79" s="130">
        <f t="shared" si="17"/>
        <v>-1200000.0000000016</v>
      </c>
      <c r="E79" s="131">
        <f t="shared" si="18"/>
        <v>4.1909515857696533E-9</v>
      </c>
      <c r="F79">
        <f t="shared" ref="F79:F81" si="22">B79*D79+E79</f>
        <v>-3120000</v>
      </c>
      <c r="H79">
        <v>-3120000</v>
      </c>
      <c r="I79" s="121">
        <v>-200000</v>
      </c>
      <c r="J79" s="119">
        <v>-2600000</v>
      </c>
      <c r="L79" s="121">
        <v>2.6</v>
      </c>
      <c r="M79" s="129">
        <v>-3120000</v>
      </c>
      <c r="N79" s="130">
        <f t="shared" si="19"/>
        <v>-1200000.0000000016</v>
      </c>
      <c r="O79" s="131">
        <f t="shared" si="20"/>
        <v>4.1909515857696533E-9</v>
      </c>
    </row>
    <row r="80" spans="1:15" x14ac:dyDescent="0.15">
      <c r="A80" s="121">
        <v>6001015</v>
      </c>
      <c r="B80" s="121">
        <v>2.8</v>
      </c>
      <c r="C80" s="129">
        <v>-3360000</v>
      </c>
      <c r="D80" s="130">
        <f>(C81-C80)/(B81-B80)</f>
        <v>-33199999.99999997</v>
      </c>
      <c r="E80" s="131">
        <f>C80-D80*B80</f>
        <v>89599999.999999911</v>
      </c>
      <c r="F80">
        <f t="shared" si="22"/>
        <v>-3360000</v>
      </c>
      <c r="H80">
        <v>-3360000</v>
      </c>
      <c r="I80" s="121">
        <v>-200000</v>
      </c>
      <c r="J80" s="119">
        <v>-2800000</v>
      </c>
      <c r="L80" s="121">
        <v>2.8</v>
      </c>
      <c r="M80" s="129">
        <v>-3360000</v>
      </c>
      <c r="N80" s="130">
        <f>(M81-M80)/(L81-L80)</f>
        <v>-33199999.99999997</v>
      </c>
      <c r="O80" s="131">
        <f>M80-N80*L80</f>
        <v>89599999.999999911</v>
      </c>
    </row>
    <row r="81" spans="1:15" x14ac:dyDescent="0.15">
      <c r="A81" s="121">
        <v>6001015</v>
      </c>
      <c r="B81" s="121">
        <v>3</v>
      </c>
      <c r="C81" s="129">
        <v>-10000000</v>
      </c>
      <c r="D81" s="119">
        <v>0</v>
      </c>
      <c r="E81" s="117">
        <v>-10000000</v>
      </c>
      <c r="F81">
        <f t="shared" si="22"/>
        <v>-10000000</v>
      </c>
      <c r="H81">
        <v>-10000000</v>
      </c>
      <c r="I81" s="121">
        <v>0</v>
      </c>
      <c r="J81" s="119">
        <v>-10000000</v>
      </c>
      <c r="L81" s="121">
        <v>3</v>
      </c>
      <c r="M81" s="129">
        <v>-10000000</v>
      </c>
      <c r="N81" s="119">
        <v>0</v>
      </c>
      <c r="O81" s="117">
        <v>-10000000</v>
      </c>
    </row>
  </sheetData>
  <phoneticPr fontId="7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B20" sqref="B20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3" t="s">
        <v>265</v>
      </c>
      <c r="B1" s="143" t="s">
        <v>266</v>
      </c>
      <c r="C1" s="143" t="s">
        <v>267</v>
      </c>
      <c r="D1" s="143" t="s">
        <v>268</v>
      </c>
      <c r="E1" s="144" t="s">
        <v>269</v>
      </c>
      <c r="F1" s="144" t="s">
        <v>270</v>
      </c>
      <c r="G1" s="144" t="s">
        <v>271</v>
      </c>
    </row>
    <row r="2" spans="1:7" x14ac:dyDescent="0.15">
      <c r="A2" s="145">
        <v>1001</v>
      </c>
      <c r="B2" s="145">
        <v>60010</v>
      </c>
      <c r="C2" s="145">
        <v>1</v>
      </c>
      <c r="D2" s="145">
        <v>10000000</v>
      </c>
      <c r="E2" s="145" t="s">
        <v>391</v>
      </c>
      <c r="F2" s="145" t="s">
        <v>392</v>
      </c>
      <c r="G2" s="145" t="s">
        <v>393</v>
      </c>
    </row>
    <row r="3" spans="1:7" x14ac:dyDescent="0.15">
      <c r="A3" s="145">
        <v>1002</v>
      </c>
      <c r="B3" s="145">
        <v>60010</v>
      </c>
      <c r="C3" s="145">
        <v>1</v>
      </c>
      <c r="D3" s="145">
        <v>7500000</v>
      </c>
      <c r="E3" s="145" t="s">
        <v>239</v>
      </c>
      <c r="F3" s="145" t="s">
        <v>394</v>
      </c>
      <c r="G3" s="145" t="s">
        <v>395</v>
      </c>
    </row>
    <row r="4" spans="1:7" x14ac:dyDescent="0.15">
      <c r="A4" s="145">
        <v>1003</v>
      </c>
      <c r="B4" s="145">
        <v>60010</v>
      </c>
      <c r="C4" s="145">
        <v>1</v>
      </c>
      <c r="D4" s="145">
        <v>5000000</v>
      </c>
      <c r="E4" s="145" t="s">
        <v>396</v>
      </c>
      <c r="F4" s="145" t="s">
        <v>397</v>
      </c>
      <c r="G4" s="145" t="s">
        <v>398</v>
      </c>
    </row>
    <row r="5" spans="1:7" x14ac:dyDescent="0.15">
      <c r="A5" s="145">
        <v>1004</v>
      </c>
      <c r="B5" s="145">
        <v>60010</v>
      </c>
      <c r="C5" s="145">
        <v>1</v>
      </c>
      <c r="D5" s="145">
        <v>2500000</v>
      </c>
      <c r="E5" s="145" t="s">
        <v>396</v>
      </c>
      <c r="F5" s="145" t="s">
        <v>399</v>
      </c>
      <c r="G5" s="145" t="s">
        <v>400</v>
      </c>
    </row>
    <row r="6" spans="1:7" x14ac:dyDescent="0.15">
      <c r="A6" s="145">
        <v>1005</v>
      </c>
      <c r="B6" s="145">
        <v>60010</v>
      </c>
      <c r="C6" s="145">
        <v>1</v>
      </c>
      <c r="D6" s="145">
        <v>1000000</v>
      </c>
      <c r="E6" s="145" t="s">
        <v>396</v>
      </c>
      <c r="F6" s="145" t="s">
        <v>401</v>
      </c>
      <c r="G6" s="145" t="s">
        <v>402</v>
      </c>
    </row>
    <row r="7" spans="1:7" x14ac:dyDescent="0.15">
      <c r="A7" s="145">
        <v>1006</v>
      </c>
      <c r="B7" s="145">
        <v>60010</v>
      </c>
      <c r="C7" s="145">
        <v>1</v>
      </c>
      <c r="D7" s="145">
        <v>500000</v>
      </c>
      <c r="E7" s="145" t="s">
        <v>396</v>
      </c>
      <c r="F7" s="145" t="s">
        <v>403</v>
      </c>
      <c r="G7" s="145" t="s">
        <v>404</v>
      </c>
    </row>
    <row r="8" spans="1:7" x14ac:dyDescent="0.15">
      <c r="A8" s="145">
        <v>1007</v>
      </c>
      <c r="B8" s="145">
        <v>60010</v>
      </c>
      <c r="C8" s="145">
        <v>1</v>
      </c>
      <c r="D8" s="145">
        <v>250000</v>
      </c>
      <c r="E8" s="145" t="s">
        <v>396</v>
      </c>
      <c r="F8" s="145" t="s">
        <v>405</v>
      </c>
      <c r="G8" s="145" t="s">
        <v>406</v>
      </c>
    </row>
    <row r="9" spans="1:7" x14ac:dyDescent="0.15">
      <c r="A9" s="145">
        <v>1008</v>
      </c>
      <c r="B9" s="145">
        <v>60010</v>
      </c>
      <c r="C9" s="145">
        <v>1</v>
      </c>
      <c r="D9" s="145">
        <v>0</v>
      </c>
      <c r="E9" s="145" t="s">
        <v>239</v>
      </c>
      <c r="F9" s="145" t="s">
        <v>407</v>
      </c>
      <c r="G9" s="145" t="s">
        <v>408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abSelected="1" workbookViewId="0">
      <selection activeCell="L4" sqref="L4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2" t="s">
        <v>151</v>
      </c>
      <c r="B1" s="77" t="s">
        <v>16</v>
      </c>
      <c r="C1" s="77" t="s">
        <v>33</v>
      </c>
      <c r="D1" s="72" t="s">
        <v>227</v>
      </c>
      <c r="E1" s="72" t="s">
        <v>228</v>
      </c>
      <c r="F1" s="103" t="s">
        <v>237</v>
      </c>
      <c r="G1" s="100" t="s">
        <v>229</v>
      </c>
      <c r="H1" s="101" t="s">
        <v>230</v>
      </c>
      <c r="I1" s="101" t="s">
        <v>231</v>
      </c>
      <c r="J1" s="101" t="s">
        <v>232</v>
      </c>
      <c r="K1" s="101" t="s">
        <v>275</v>
      </c>
      <c r="L1" s="101" t="s">
        <v>276</v>
      </c>
      <c r="M1" s="102" t="s">
        <v>277</v>
      </c>
      <c r="N1" s="102" t="s">
        <v>278</v>
      </c>
      <c r="O1" s="102" t="s">
        <v>279</v>
      </c>
      <c r="P1" s="102" t="s">
        <v>281</v>
      </c>
      <c r="Q1" s="102" t="s">
        <v>282</v>
      </c>
      <c r="R1" s="102" t="s">
        <v>233</v>
      </c>
      <c r="S1" s="102" t="s">
        <v>234</v>
      </c>
      <c r="T1" s="102" t="s">
        <v>235</v>
      </c>
      <c r="U1" s="102" t="s">
        <v>236</v>
      </c>
    </row>
    <row r="2" spans="1:21" s="150" customFormat="1" ht="28" x14ac:dyDescent="0.15">
      <c r="A2" s="146">
        <v>60010</v>
      </c>
      <c r="B2" s="147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147" t="str">
        <f ca="1">VLOOKUP($A2,OFFSET([2]quests!$A$1,0,0,COUNTA([2]quests!$A:$A),MATCH(C$1,[2]quests!$1:$1,0)-MATCH($A$1,[2]quests!$1:$1,0)+1),MATCH(C$1,[2]quests!$1:$1,0)-MATCH($A$1,[2]quests!$1:$1,0)+1,FALSE)</f>
        <v>ランキング2（ラグランジュ）</v>
      </c>
      <c r="D2" s="146">
        <v>1</v>
      </c>
      <c r="E2" s="148">
        <v>1</v>
      </c>
      <c r="F2" s="149" t="str">
        <f>A2&amp;TEXT(E2,"0000")</f>
        <v>600100001</v>
      </c>
      <c r="G2" s="150" t="str">
        <f>F2&amp;TEXT(COUNTIF(F$2:F2,F2),"00")</f>
        <v>60010000101</v>
      </c>
      <c r="H2" s="151" t="s">
        <v>409</v>
      </c>
      <c r="I2" s="151">
        <v>602</v>
      </c>
      <c r="J2" s="151">
        <v>1</v>
      </c>
      <c r="K2" s="151">
        <v>0</v>
      </c>
      <c r="L2" s="151">
        <v>0</v>
      </c>
      <c r="M2" s="151">
        <v>0</v>
      </c>
      <c r="N2" s="151">
        <v>0</v>
      </c>
      <c r="O2" s="151">
        <v>1</v>
      </c>
      <c r="P2" s="151">
        <v>1</v>
      </c>
      <c r="Q2" s="151">
        <v>1</v>
      </c>
      <c r="R2" s="151" t="s">
        <v>239</v>
      </c>
      <c r="S2" s="151" t="s">
        <v>410</v>
      </c>
      <c r="T2" s="151" t="s">
        <v>411</v>
      </c>
      <c r="U2" s="152" t="s">
        <v>465</v>
      </c>
    </row>
    <row r="3" spans="1:21" s="150" customFormat="1" ht="28" x14ac:dyDescent="0.15">
      <c r="A3" s="146">
        <v>60010</v>
      </c>
      <c r="B3" s="147" t="str">
        <f ca="1">VLOOKUP($A3,OFFSET([2]quests!$A$1,0,0,COUNTA([2]quests!$A:$A),MATCH(B$1,[2]quests!$1:$1,0)-MATCH($A$1,[2]quests!$1:$1,0)+1),MATCH(B$1,[2]quests!$1:$1,0)-MATCH($A$1,[2]quests!$1:$1,0)+1,FALSE)</f>
        <v>ラグランジュチャレンジ</v>
      </c>
      <c r="C3" s="147" t="str">
        <f ca="1">VLOOKUP($A3,OFFSET([2]quests!$A$1,0,0,COUNTA([2]quests!$A:$A),MATCH(C$1,[2]quests!$1:$1,0)-MATCH($A$1,[2]quests!$1:$1,0)+1),MATCH(C$1,[2]quests!$1:$1,0)-MATCH($A$1,[2]quests!$1:$1,0)+1,FALSE)</f>
        <v>ランキング2（ラグランジュ）</v>
      </c>
      <c r="D3" s="146">
        <v>1</v>
      </c>
      <c r="E3" s="148">
        <v>1</v>
      </c>
      <c r="F3" s="149" t="str">
        <f t="shared" ref="F3:F6" si="0">A3&amp;TEXT(E3,"0000")</f>
        <v>600100001</v>
      </c>
      <c r="G3" s="150" t="str">
        <f>F3&amp;TEXT(COUNTIF(F$2:F3,F3),"00")</f>
        <v>60010000102</v>
      </c>
      <c r="H3" s="151" t="s">
        <v>409</v>
      </c>
      <c r="I3" s="151">
        <v>600</v>
      </c>
      <c r="J3" s="151">
        <v>2</v>
      </c>
      <c r="K3" s="151">
        <v>0</v>
      </c>
      <c r="L3" s="151">
        <v>0</v>
      </c>
      <c r="M3" s="151">
        <v>0</v>
      </c>
      <c r="N3" s="151">
        <v>0</v>
      </c>
      <c r="O3" s="151">
        <v>1</v>
      </c>
      <c r="P3" s="151">
        <v>1</v>
      </c>
      <c r="Q3" s="151">
        <v>1</v>
      </c>
      <c r="R3" s="151" t="s">
        <v>239</v>
      </c>
      <c r="S3" s="151" t="s">
        <v>412</v>
      </c>
      <c r="T3" s="151" t="s">
        <v>411</v>
      </c>
      <c r="U3" s="152" t="s">
        <v>465</v>
      </c>
    </row>
    <row r="4" spans="1:21" s="150" customFormat="1" ht="28" x14ac:dyDescent="0.15">
      <c r="A4" s="146">
        <v>60010</v>
      </c>
      <c r="B4" s="147" t="str">
        <f ca="1">VLOOKUP($A4,OFFSET([2]quests!$A$1,0,0,COUNTA([2]quests!$A:$A),MATCH(B$1,[2]quests!$1:$1,0)-MATCH($A$1,[2]quests!$1:$1,0)+1),MATCH(B$1,[2]quests!$1:$1,0)-MATCH($A$1,[2]quests!$1:$1,0)+1,FALSE)</f>
        <v>ラグランジュチャレンジ</v>
      </c>
      <c r="C4" s="147" t="str">
        <f ca="1">VLOOKUP($A4,OFFSET([2]quests!$A$1,0,0,COUNTA([2]quests!$A:$A),MATCH(C$1,[2]quests!$1:$1,0)-MATCH($A$1,[2]quests!$1:$1,0)+1),MATCH(C$1,[2]quests!$1:$1,0)-MATCH($A$1,[2]quests!$1:$1,0)+1,FALSE)</f>
        <v>ランキング2（ラグランジュ）</v>
      </c>
      <c r="D4" s="146">
        <v>1</v>
      </c>
      <c r="E4" s="148">
        <v>1</v>
      </c>
      <c r="F4" s="149" t="str">
        <f t="shared" si="0"/>
        <v>600100001</v>
      </c>
      <c r="G4" s="150" t="str">
        <f>F4&amp;TEXT(COUNTIF(F$2:F4,F4),"00")</f>
        <v>60010000103</v>
      </c>
      <c r="H4" s="151" t="s">
        <v>413</v>
      </c>
      <c r="I4" s="151">
        <v>10</v>
      </c>
      <c r="J4" s="151" t="s">
        <v>90</v>
      </c>
      <c r="K4" s="151">
        <v>0</v>
      </c>
      <c r="L4" s="151">
        <v>0</v>
      </c>
      <c r="M4" s="151">
        <v>0</v>
      </c>
      <c r="N4" s="151">
        <v>0</v>
      </c>
      <c r="O4" s="151">
        <v>1</v>
      </c>
      <c r="P4" s="151">
        <v>1</v>
      </c>
      <c r="Q4" s="151">
        <v>1</v>
      </c>
      <c r="R4" s="151" t="s">
        <v>239</v>
      </c>
      <c r="S4" s="151" t="s">
        <v>414</v>
      </c>
      <c r="T4" s="151" t="s">
        <v>411</v>
      </c>
      <c r="U4" s="152" t="s">
        <v>465</v>
      </c>
    </row>
    <row r="5" spans="1:21" s="150" customFormat="1" ht="28" x14ac:dyDescent="0.15">
      <c r="A5" s="146">
        <v>60010</v>
      </c>
      <c r="B5" s="147" t="str">
        <f ca="1">VLOOKUP($A5,OFFSET([2]quests!$A$1,0,0,COUNTA([2]quests!$A:$A),MATCH(B$1,[2]quests!$1:$1,0)-MATCH($A$1,[2]quests!$1:$1,0)+1),MATCH(B$1,[2]quests!$1:$1,0)-MATCH($A$1,[2]quests!$1:$1,0)+1,FALSE)</f>
        <v>ラグランジュチャレンジ</v>
      </c>
      <c r="C5" s="147" t="str">
        <f ca="1">VLOOKUP($A5,OFFSET([2]quests!$A$1,0,0,COUNTA([2]quests!$A:$A),MATCH(C$1,[2]quests!$1:$1,0)-MATCH($A$1,[2]quests!$1:$1,0)+1),MATCH(C$1,[2]quests!$1:$1,0)-MATCH($A$1,[2]quests!$1:$1,0)+1,FALSE)</f>
        <v>ランキング2（ラグランジュ）</v>
      </c>
      <c r="D5" s="146">
        <v>1</v>
      </c>
      <c r="E5" s="148">
        <v>1</v>
      </c>
      <c r="F5" s="149" t="str">
        <f t="shared" si="0"/>
        <v>600100001</v>
      </c>
      <c r="G5" s="150" t="str">
        <f>F5&amp;TEXT(COUNTIF(F$2:F5,F5),"00")</f>
        <v>60010000104</v>
      </c>
      <c r="H5" s="151" t="s">
        <v>238</v>
      </c>
      <c r="I5" s="151">
        <v>837</v>
      </c>
      <c r="J5" s="151">
        <v>1</v>
      </c>
      <c r="K5" s="151">
        <v>0</v>
      </c>
      <c r="L5" s="151">
        <v>0</v>
      </c>
      <c r="M5" s="151">
        <v>0</v>
      </c>
      <c r="N5" s="151">
        <v>0</v>
      </c>
      <c r="O5" s="151">
        <v>1</v>
      </c>
      <c r="P5" s="151">
        <v>1</v>
      </c>
      <c r="Q5" s="151">
        <v>1</v>
      </c>
      <c r="R5" s="151" t="s">
        <v>239</v>
      </c>
      <c r="S5" s="151" t="s">
        <v>415</v>
      </c>
      <c r="T5" s="151" t="s">
        <v>411</v>
      </c>
      <c r="U5" s="152" t="s">
        <v>465</v>
      </c>
    </row>
    <row r="6" spans="1:21" s="150" customFormat="1" ht="28" x14ac:dyDescent="0.15">
      <c r="A6" s="146">
        <v>60010</v>
      </c>
      <c r="B6" s="147" t="str">
        <f ca="1">VLOOKUP($A6,OFFSET([2]quests!$A$1,0,0,COUNTA([2]quests!$A:$A),MATCH(B$1,[2]quests!$1:$1,0)-MATCH($A$1,[2]quests!$1:$1,0)+1),MATCH(B$1,[2]quests!$1:$1,0)-MATCH($A$1,[2]quests!$1:$1,0)+1,FALSE)</f>
        <v>ラグランジュチャレンジ</v>
      </c>
      <c r="C6" s="147" t="str">
        <f ca="1">VLOOKUP($A6,OFFSET([2]quests!$A$1,0,0,COUNTA([2]quests!$A:$A),MATCH(C$1,[2]quests!$1:$1,0)-MATCH($A$1,[2]quests!$1:$1,0)+1),MATCH(C$1,[2]quests!$1:$1,0)-MATCH($A$1,[2]quests!$1:$1,0)+1,FALSE)</f>
        <v>ランキング2（ラグランジュ）</v>
      </c>
      <c r="D6" s="146">
        <v>1</v>
      </c>
      <c r="E6" s="148">
        <v>1</v>
      </c>
      <c r="F6" s="149" t="str">
        <f t="shared" si="0"/>
        <v>600100001</v>
      </c>
      <c r="G6" s="150" t="str">
        <f>F6&amp;TEXT(COUNTIF(F$2:F6,F6),"00")</f>
        <v>60010000105</v>
      </c>
      <c r="H6" s="151" t="s">
        <v>238</v>
      </c>
      <c r="I6" s="151">
        <v>614</v>
      </c>
      <c r="J6" s="151">
        <v>1</v>
      </c>
      <c r="K6" s="151">
        <v>0</v>
      </c>
      <c r="L6" s="151">
        <v>0</v>
      </c>
      <c r="M6" s="151">
        <v>0</v>
      </c>
      <c r="N6" s="151">
        <v>0</v>
      </c>
      <c r="O6" s="151">
        <v>1</v>
      </c>
      <c r="P6" s="151">
        <v>1</v>
      </c>
      <c r="Q6" s="151">
        <v>1</v>
      </c>
      <c r="R6" s="151" t="s">
        <v>239</v>
      </c>
      <c r="S6" s="151" t="s">
        <v>416</v>
      </c>
      <c r="T6" s="151" t="s">
        <v>411</v>
      </c>
      <c r="U6" s="152" t="s">
        <v>465</v>
      </c>
    </row>
    <row r="7" spans="1:21" s="150" customFormat="1" ht="28" x14ac:dyDescent="0.15">
      <c r="A7" s="146">
        <v>60010</v>
      </c>
      <c r="B7" s="147" t="str">
        <f ca="1">VLOOKUP($A7,OFFSET([2]quests!$A$1,0,0,COUNTA([2]quests!$A:$A),MATCH(B$1,[2]quests!$1:$1,0)-MATCH($A$1,[2]quests!$1:$1,0)+1),MATCH(B$1,[2]quests!$1:$1,0)-MATCH($A$1,[2]quests!$1:$1,0)+1,FALSE)</f>
        <v>ラグランジュチャレンジ</v>
      </c>
      <c r="C7" s="147" t="str">
        <f ca="1">VLOOKUP($A7,OFFSET([2]quests!$A$1,0,0,COUNTA([2]quests!$A:$A),MATCH(C$1,[2]quests!$1:$1,0)-MATCH($A$1,[2]quests!$1:$1,0)+1),MATCH(C$1,[2]quests!$1:$1,0)-MATCH($A$1,[2]quests!$1:$1,0)+1,FALSE)</f>
        <v>ランキング2（ラグランジュ）</v>
      </c>
      <c r="D7" s="146">
        <v>2</v>
      </c>
      <c r="E7" s="148">
        <v>2</v>
      </c>
      <c r="F7" s="149" t="str">
        <f>A7&amp;TEXT(E7,"0000")</f>
        <v>600100002</v>
      </c>
      <c r="G7" s="150" t="str">
        <f>F7&amp;TEXT(COUNTIF(F$2:F7,F7),"00")</f>
        <v>60010000201</v>
      </c>
      <c r="H7" s="151" t="s">
        <v>409</v>
      </c>
      <c r="I7" s="151">
        <v>602</v>
      </c>
      <c r="J7" s="151">
        <v>1</v>
      </c>
      <c r="K7" s="151">
        <v>0</v>
      </c>
      <c r="L7" s="151">
        <v>0</v>
      </c>
      <c r="M7" s="151">
        <v>0</v>
      </c>
      <c r="N7" s="151">
        <v>0</v>
      </c>
      <c r="O7" s="151">
        <v>1</v>
      </c>
      <c r="P7" s="151">
        <v>1</v>
      </c>
      <c r="Q7" s="151">
        <v>1</v>
      </c>
      <c r="R7" s="151" t="s">
        <v>239</v>
      </c>
      <c r="S7" s="151" t="s">
        <v>410</v>
      </c>
      <c r="T7" s="151" t="s">
        <v>411</v>
      </c>
      <c r="U7" s="152" t="s">
        <v>465</v>
      </c>
    </row>
    <row r="8" spans="1:21" s="150" customFormat="1" ht="28" x14ac:dyDescent="0.15">
      <c r="A8" s="146">
        <v>60010</v>
      </c>
      <c r="B8" s="147" t="str">
        <f ca="1">VLOOKUP($A8,OFFSET([2]quests!$A$1,0,0,COUNTA([2]quests!$A:$A),MATCH(B$1,[2]quests!$1:$1,0)-MATCH($A$1,[2]quests!$1:$1,0)+1),MATCH(B$1,[2]quests!$1:$1,0)-MATCH($A$1,[2]quests!$1:$1,0)+1,FALSE)</f>
        <v>ラグランジュチャレンジ</v>
      </c>
      <c r="C8" s="147" t="str">
        <f ca="1">VLOOKUP($A8,OFFSET([2]quests!$A$1,0,0,COUNTA([2]quests!$A:$A),MATCH(C$1,[2]quests!$1:$1,0)-MATCH($A$1,[2]quests!$1:$1,0)+1),MATCH(C$1,[2]quests!$1:$1,0)-MATCH($A$1,[2]quests!$1:$1,0)+1,FALSE)</f>
        <v>ランキング2（ラグランジュ）</v>
      </c>
      <c r="D8" s="146">
        <v>2</v>
      </c>
      <c r="E8" s="148">
        <v>2</v>
      </c>
      <c r="F8" s="149" t="str">
        <f t="shared" ref="F8:F26" si="1">A8&amp;TEXT(E8,"0000")</f>
        <v>600100002</v>
      </c>
      <c r="G8" s="150" t="str">
        <f>F8&amp;TEXT(COUNTIF(F$2:F8,F8),"00")</f>
        <v>60010000202</v>
      </c>
      <c r="H8" s="151" t="s">
        <v>409</v>
      </c>
      <c r="I8" s="151">
        <v>600</v>
      </c>
      <c r="J8" s="151">
        <v>1</v>
      </c>
      <c r="K8" s="151">
        <v>0</v>
      </c>
      <c r="L8" s="151">
        <v>0</v>
      </c>
      <c r="M8" s="151">
        <v>0</v>
      </c>
      <c r="N8" s="151">
        <v>0</v>
      </c>
      <c r="O8" s="151">
        <v>1</v>
      </c>
      <c r="P8" s="151">
        <v>1</v>
      </c>
      <c r="Q8" s="151">
        <v>1</v>
      </c>
      <c r="R8" s="151" t="s">
        <v>239</v>
      </c>
      <c r="S8" s="153" t="s">
        <v>417</v>
      </c>
      <c r="T8" s="151" t="s">
        <v>411</v>
      </c>
      <c r="U8" s="152" t="s">
        <v>465</v>
      </c>
    </row>
    <row r="9" spans="1:21" s="150" customFormat="1" ht="28" x14ac:dyDescent="0.15">
      <c r="A9" s="146">
        <v>60010</v>
      </c>
      <c r="B9" s="147" t="str">
        <f ca="1">VLOOKUP($A9,OFFSET([2]quests!$A$1,0,0,COUNTA([2]quests!$A:$A),MATCH(B$1,[2]quests!$1:$1,0)-MATCH($A$1,[2]quests!$1:$1,0)+1),MATCH(B$1,[2]quests!$1:$1,0)-MATCH($A$1,[2]quests!$1:$1,0)+1,FALSE)</f>
        <v>ラグランジュチャレンジ</v>
      </c>
      <c r="C9" s="147" t="str">
        <f ca="1">VLOOKUP($A9,OFFSET([2]quests!$A$1,0,0,COUNTA([2]quests!$A:$A),MATCH(C$1,[2]quests!$1:$1,0)-MATCH($A$1,[2]quests!$1:$1,0)+1),MATCH(C$1,[2]quests!$1:$1,0)-MATCH($A$1,[2]quests!$1:$1,0)+1,FALSE)</f>
        <v>ランキング2（ラグランジュ）</v>
      </c>
      <c r="D9" s="146">
        <v>2</v>
      </c>
      <c r="E9" s="148">
        <v>2</v>
      </c>
      <c r="F9" s="149" t="str">
        <f t="shared" si="1"/>
        <v>600100002</v>
      </c>
      <c r="G9" s="150" t="str">
        <f>F9&amp;TEXT(COUNTIF(F$2:F9,F9),"00")</f>
        <v>60010000203</v>
      </c>
      <c r="H9" s="151" t="s">
        <v>413</v>
      </c>
      <c r="I9" s="151">
        <v>5</v>
      </c>
      <c r="J9" s="151" t="s">
        <v>90</v>
      </c>
      <c r="K9" s="151">
        <v>0</v>
      </c>
      <c r="L9" s="151">
        <v>0</v>
      </c>
      <c r="M9" s="151">
        <v>0</v>
      </c>
      <c r="N9" s="151">
        <v>0</v>
      </c>
      <c r="O9" s="151">
        <v>1</v>
      </c>
      <c r="P9" s="151">
        <v>1</v>
      </c>
      <c r="Q9" s="151">
        <v>1</v>
      </c>
      <c r="R9" s="151" t="s">
        <v>239</v>
      </c>
      <c r="S9" s="151" t="s">
        <v>418</v>
      </c>
      <c r="T9" s="151" t="s">
        <v>411</v>
      </c>
      <c r="U9" s="152" t="s">
        <v>465</v>
      </c>
    </row>
    <row r="10" spans="1:21" s="150" customFormat="1" ht="28" x14ac:dyDescent="0.15">
      <c r="A10" s="146">
        <v>60010</v>
      </c>
      <c r="B10" s="147" t="str">
        <f ca="1">VLOOKUP($A10,OFFSET([2]quests!$A$1,0,0,COUNTA([2]quests!$A:$A),MATCH(B$1,[2]quests!$1:$1,0)-MATCH($A$1,[2]quests!$1:$1,0)+1),MATCH(B$1,[2]quests!$1:$1,0)-MATCH($A$1,[2]quests!$1:$1,0)+1,FALSE)</f>
        <v>ラグランジュチャレンジ</v>
      </c>
      <c r="C10" s="147" t="str">
        <f ca="1">VLOOKUP($A10,OFFSET([2]quests!$A$1,0,0,COUNTA([2]quests!$A:$A),MATCH(C$1,[2]quests!$1:$1,0)-MATCH($A$1,[2]quests!$1:$1,0)+1),MATCH(C$1,[2]quests!$1:$1,0)-MATCH($A$1,[2]quests!$1:$1,0)+1,FALSE)</f>
        <v>ランキング2（ラグランジュ）</v>
      </c>
      <c r="D10" s="146">
        <v>2</v>
      </c>
      <c r="E10" s="148">
        <v>2</v>
      </c>
      <c r="F10" s="149" t="str">
        <f t="shared" si="1"/>
        <v>600100002</v>
      </c>
      <c r="G10" s="150" t="str">
        <f>F10&amp;TEXT(COUNTIF(F$2:F10,F10),"00")</f>
        <v>60010000204</v>
      </c>
      <c r="H10" s="151" t="s">
        <v>238</v>
      </c>
      <c r="I10" s="151">
        <v>610</v>
      </c>
      <c r="J10" s="151">
        <v>1</v>
      </c>
      <c r="K10" s="151">
        <v>0</v>
      </c>
      <c r="L10" s="151">
        <v>0</v>
      </c>
      <c r="M10" s="151">
        <v>0</v>
      </c>
      <c r="N10" s="151">
        <v>0</v>
      </c>
      <c r="O10" s="151">
        <v>1</v>
      </c>
      <c r="P10" s="151">
        <v>1</v>
      </c>
      <c r="Q10" s="151">
        <v>1</v>
      </c>
      <c r="R10" s="151" t="s">
        <v>239</v>
      </c>
      <c r="S10" s="151" t="s">
        <v>419</v>
      </c>
      <c r="T10" s="151" t="s">
        <v>411</v>
      </c>
      <c r="U10" s="152" t="s">
        <v>465</v>
      </c>
    </row>
    <row r="11" spans="1:21" s="150" customFormat="1" ht="28" x14ac:dyDescent="0.15">
      <c r="A11" s="146">
        <v>60010</v>
      </c>
      <c r="B11" s="147" t="str">
        <f ca="1">VLOOKUP($A11,OFFSET([2]quests!$A$1,0,0,COUNTA([2]quests!$A:$A),MATCH(B$1,[2]quests!$1:$1,0)-MATCH($A$1,[2]quests!$1:$1,0)+1),MATCH(B$1,[2]quests!$1:$1,0)-MATCH($A$1,[2]quests!$1:$1,0)+1,FALSE)</f>
        <v>ラグランジュチャレンジ</v>
      </c>
      <c r="C11" s="147" t="str">
        <f ca="1">VLOOKUP($A11,OFFSET([2]quests!$A$1,0,0,COUNTA([2]quests!$A:$A),MATCH(C$1,[2]quests!$1:$1,0)-MATCH($A$1,[2]quests!$1:$1,0)+1),MATCH(C$1,[2]quests!$1:$1,0)-MATCH($A$1,[2]quests!$1:$1,0)+1,FALSE)</f>
        <v>ランキング2（ラグランジュ）</v>
      </c>
      <c r="D11" s="146">
        <v>2</v>
      </c>
      <c r="E11" s="148">
        <v>2</v>
      </c>
      <c r="F11" s="149" t="str">
        <f t="shared" si="1"/>
        <v>600100002</v>
      </c>
      <c r="G11" s="150" t="str">
        <f>F11&amp;TEXT(COUNTIF(F$2:F11,F11),"00")</f>
        <v>60010000205</v>
      </c>
      <c r="H11" s="151" t="s">
        <v>409</v>
      </c>
      <c r="I11" s="151">
        <v>1</v>
      </c>
      <c r="J11" s="151">
        <v>3</v>
      </c>
      <c r="K11" s="151">
        <v>0</v>
      </c>
      <c r="L11" s="151">
        <v>0</v>
      </c>
      <c r="M11" s="151">
        <v>0</v>
      </c>
      <c r="N11" s="151">
        <v>0</v>
      </c>
      <c r="O11" s="151">
        <v>1</v>
      </c>
      <c r="P11" s="151">
        <v>1</v>
      </c>
      <c r="Q11" s="151">
        <v>1</v>
      </c>
      <c r="R11" s="151" t="s">
        <v>239</v>
      </c>
      <c r="S11" s="151" t="s">
        <v>420</v>
      </c>
      <c r="T11" s="151" t="s">
        <v>411</v>
      </c>
      <c r="U11" s="152" t="s">
        <v>465</v>
      </c>
    </row>
    <row r="12" spans="1:21" s="150" customFormat="1" ht="28" x14ac:dyDescent="0.15">
      <c r="A12" s="146">
        <v>60010</v>
      </c>
      <c r="B12" s="147" t="str">
        <f ca="1">VLOOKUP($A12,OFFSET([2]quests!$A$1,0,0,COUNTA([2]quests!$A:$A),MATCH(B$1,[2]quests!$1:$1,0)-MATCH($A$1,[2]quests!$1:$1,0)+1),MATCH(B$1,[2]quests!$1:$1,0)-MATCH($A$1,[2]quests!$1:$1,0)+1,FALSE)</f>
        <v>ラグランジュチャレンジ</v>
      </c>
      <c r="C12" s="147" t="str">
        <f ca="1">VLOOKUP($A12,OFFSET([2]quests!$A$1,0,0,COUNTA([2]quests!$A:$A),MATCH(C$1,[2]quests!$1:$1,0)-MATCH($A$1,[2]quests!$1:$1,0)+1),MATCH(C$1,[2]quests!$1:$1,0)-MATCH($A$1,[2]quests!$1:$1,0)+1,FALSE)</f>
        <v>ランキング2（ラグランジュ）</v>
      </c>
      <c r="D12" s="146">
        <v>3</v>
      </c>
      <c r="E12" s="148">
        <v>3</v>
      </c>
      <c r="F12" s="149" t="str">
        <f t="shared" si="1"/>
        <v>600100003</v>
      </c>
      <c r="G12" s="150" t="str">
        <f>F12&amp;TEXT(COUNTIF(F$2:F12,F12),"00")</f>
        <v>60010000301</v>
      </c>
      <c r="H12" s="151" t="s">
        <v>409</v>
      </c>
      <c r="I12" s="151">
        <v>600</v>
      </c>
      <c r="J12" s="151">
        <v>3</v>
      </c>
      <c r="K12" s="151">
        <v>0</v>
      </c>
      <c r="L12" s="151">
        <v>0</v>
      </c>
      <c r="M12" s="151">
        <v>0</v>
      </c>
      <c r="N12" s="151">
        <v>0</v>
      </c>
      <c r="O12" s="151">
        <v>1</v>
      </c>
      <c r="P12" s="151">
        <v>1</v>
      </c>
      <c r="Q12" s="151">
        <v>1</v>
      </c>
      <c r="R12" s="151" t="s">
        <v>239</v>
      </c>
      <c r="S12" s="151" t="s">
        <v>421</v>
      </c>
      <c r="T12" s="151" t="s">
        <v>411</v>
      </c>
      <c r="U12" s="152" t="s">
        <v>465</v>
      </c>
    </row>
    <row r="13" spans="1:21" s="150" customFormat="1" ht="28" x14ac:dyDescent="0.15">
      <c r="A13" s="146">
        <v>60010</v>
      </c>
      <c r="B13" s="147" t="str">
        <f ca="1">VLOOKUP($A13,OFFSET([2]quests!$A$1,0,0,COUNTA([2]quests!$A:$A),MATCH(B$1,[2]quests!$1:$1,0)-MATCH($A$1,[2]quests!$1:$1,0)+1),MATCH(B$1,[2]quests!$1:$1,0)-MATCH($A$1,[2]quests!$1:$1,0)+1,FALSE)</f>
        <v>ラグランジュチャレンジ</v>
      </c>
      <c r="C13" s="147" t="str">
        <f ca="1">VLOOKUP($A13,OFFSET([2]quests!$A$1,0,0,COUNTA([2]quests!$A:$A),MATCH(C$1,[2]quests!$1:$1,0)-MATCH($A$1,[2]quests!$1:$1,0)+1),MATCH(C$1,[2]quests!$1:$1,0)-MATCH($A$1,[2]quests!$1:$1,0)+1,FALSE)</f>
        <v>ランキング2（ラグランジュ）</v>
      </c>
      <c r="D13" s="146">
        <v>3</v>
      </c>
      <c r="E13" s="148">
        <v>3</v>
      </c>
      <c r="F13" s="149" t="str">
        <f t="shared" si="1"/>
        <v>600100003</v>
      </c>
      <c r="G13" s="150" t="str">
        <f>F13&amp;TEXT(COUNTIF(F$2:F13,F13),"00")</f>
        <v>60010000302</v>
      </c>
      <c r="H13" s="151" t="s">
        <v>238</v>
      </c>
      <c r="I13" s="151">
        <v>335</v>
      </c>
      <c r="J13" s="151">
        <v>1</v>
      </c>
      <c r="K13" s="151">
        <v>0</v>
      </c>
      <c r="L13" s="151">
        <v>0</v>
      </c>
      <c r="M13" s="151">
        <v>0</v>
      </c>
      <c r="N13" s="151">
        <v>0</v>
      </c>
      <c r="O13" s="151">
        <v>1</v>
      </c>
      <c r="P13" s="151">
        <v>1</v>
      </c>
      <c r="Q13" s="151">
        <v>1</v>
      </c>
      <c r="R13" s="151" t="s">
        <v>239</v>
      </c>
      <c r="S13" s="151" t="s">
        <v>422</v>
      </c>
      <c r="T13" s="151" t="s">
        <v>411</v>
      </c>
      <c r="U13" s="152" t="s">
        <v>465</v>
      </c>
    </row>
    <row r="14" spans="1:21" s="150" customFormat="1" ht="28" x14ac:dyDescent="0.15">
      <c r="A14" s="146">
        <v>60010</v>
      </c>
      <c r="B14" s="147" t="str">
        <f ca="1">VLOOKUP($A14,OFFSET([2]quests!$A$1,0,0,COUNTA([2]quests!$A:$A),MATCH(B$1,[2]quests!$1:$1,0)-MATCH($A$1,[2]quests!$1:$1,0)+1),MATCH(B$1,[2]quests!$1:$1,0)-MATCH($A$1,[2]quests!$1:$1,0)+1,FALSE)</f>
        <v>ラグランジュチャレンジ</v>
      </c>
      <c r="C14" s="147" t="str">
        <f ca="1">VLOOKUP($A14,OFFSET([2]quests!$A$1,0,0,COUNTA([2]quests!$A:$A),MATCH(C$1,[2]quests!$1:$1,0)-MATCH($A$1,[2]quests!$1:$1,0)+1),MATCH(C$1,[2]quests!$1:$1,0)-MATCH($A$1,[2]quests!$1:$1,0)+1,FALSE)</f>
        <v>ランキング2（ラグランジュ）</v>
      </c>
      <c r="D14" s="146">
        <v>3</v>
      </c>
      <c r="E14" s="148">
        <v>3</v>
      </c>
      <c r="F14" s="149" t="str">
        <f t="shared" si="1"/>
        <v>600100003</v>
      </c>
      <c r="G14" s="150" t="str">
        <f>F14&amp;TEXT(COUNTIF(F$2:F14,F14),"00")</f>
        <v>60010000303</v>
      </c>
      <c r="H14" s="151" t="s">
        <v>238</v>
      </c>
      <c r="I14" s="151">
        <v>339</v>
      </c>
      <c r="J14" s="151">
        <v>1</v>
      </c>
      <c r="K14" s="151">
        <v>0</v>
      </c>
      <c r="L14" s="151">
        <v>0</v>
      </c>
      <c r="M14" s="151">
        <v>0</v>
      </c>
      <c r="N14" s="151">
        <v>0</v>
      </c>
      <c r="O14" s="151">
        <v>1</v>
      </c>
      <c r="P14" s="151">
        <v>1</v>
      </c>
      <c r="Q14" s="151">
        <v>1</v>
      </c>
      <c r="R14" s="151" t="s">
        <v>239</v>
      </c>
      <c r="S14" s="151" t="s">
        <v>423</v>
      </c>
      <c r="T14" s="151" t="s">
        <v>411</v>
      </c>
      <c r="U14" s="152" t="s">
        <v>465</v>
      </c>
    </row>
    <row r="15" spans="1:21" s="150" customFormat="1" ht="28" x14ac:dyDescent="0.15">
      <c r="A15" s="146">
        <v>60010</v>
      </c>
      <c r="B15" s="147" t="str">
        <f ca="1">VLOOKUP($A15,OFFSET([2]quests!$A$1,0,0,COUNTA([2]quests!$A:$A),MATCH(B$1,[2]quests!$1:$1,0)-MATCH($A$1,[2]quests!$1:$1,0)+1),MATCH(B$1,[2]quests!$1:$1,0)-MATCH($A$1,[2]quests!$1:$1,0)+1,FALSE)</f>
        <v>ラグランジュチャレンジ</v>
      </c>
      <c r="C15" s="147" t="str">
        <f ca="1">VLOOKUP($A15,OFFSET([2]quests!$A$1,0,0,COUNTA([2]quests!$A:$A),MATCH(C$1,[2]quests!$1:$1,0)-MATCH($A$1,[2]quests!$1:$1,0)+1),MATCH(C$1,[2]quests!$1:$1,0)-MATCH($A$1,[2]quests!$1:$1,0)+1,FALSE)</f>
        <v>ランキング2（ラグランジュ）</v>
      </c>
      <c r="D15" s="146">
        <v>3</v>
      </c>
      <c r="E15" s="148">
        <v>3</v>
      </c>
      <c r="F15" s="149" t="str">
        <f t="shared" si="1"/>
        <v>600100003</v>
      </c>
      <c r="G15" s="150" t="str">
        <f>F15&amp;TEXT(COUNTIF(F$2:F15,F15),"00")</f>
        <v>60010000304</v>
      </c>
      <c r="H15" s="151" t="s">
        <v>238</v>
      </c>
      <c r="I15" s="151">
        <v>343</v>
      </c>
      <c r="J15" s="151">
        <v>1</v>
      </c>
      <c r="K15" s="151">
        <v>0</v>
      </c>
      <c r="L15" s="151">
        <v>0</v>
      </c>
      <c r="M15" s="151">
        <v>0</v>
      </c>
      <c r="N15" s="151">
        <v>0</v>
      </c>
      <c r="O15" s="151">
        <v>1</v>
      </c>
      <c r="P15" s="151">
        <v>1</v>
      </c>
      <c r="Q15" s="151">
        <v>1</v>
      </c>
      <c r="R15" s="151" t="s">
        <v>239</v>
      </c>
      <c r="S15" s="151" t="s">
        <v>424</v>
      </c>
      <c r="T15" s="151" t="s">
        <v>411</v>
      </c>
      <c r="U15" s="152" t="s">
        <v>465</v>
      </c>
    </row>
    <row r="16" spans="1:21" s="150" customFormat="1" ht="28" x14ac:dyDescent="0.15">
      <c r="A16" s="146">
        <v>60010</v>
      </c>
      <c r="B16" s="147" t="str">
        <f ca="1">VLOOKUP($A16,OFFSET([2]quests!$A$1,0,0,COUNTA([2]quests!$A:$A),MATCH(B$1,[2]quests!$1:$1,0)-MATCH($A$1,[2]quests!$1:$1,0)+1),MATCH(B$1,[2]quests!$1:$1,0)-MATCH($A$1,[2]quests!$1:$1,0)+1,FALSE)</f>
        <v>ラグランジュチャレンジ</v>
      </c>
      <c r="C16" s="147" t="str">
        <f ca="1">VLOOKUP($A16,OFFSET([2]quests!$A$1,0,0,COUNTA([2]quests!$A:$A),MATCH(C$1,[2]quests!$1:$1,0)-MATCH($A$1,[2]quests!$1:$1,0)+1),MATCH(C$1,[2]quests!$1:$1,0)-MATCH($A$1,[2]quests!$1:$1,0)+1,FALSE)</f>
        <v>ランキング2（ラグランジュ）</v>
      </c>
      <c r="D16" s="146">
        <v>3</v>
      </c>
      <c r="E16" s="148">
        <v>3</v>
      </c>
      <c r="F16" s="149" t="str">
        <f t="shared" si="1"/>
        <v>600100003</v>
      </c>
      <c r="G16" s="150" t="str">
        <f>F16&amp;TEXT(COUNTIF(F$2:F16,F16),"00")</f>
        <v>60010000305</v>
      </c>
      <c r="H16" s="151" t="s">
        <v>238</v>
      </c>
      <c r="I16" s="151">
        <v>347</v>
      </c>
      <c r="J16" s="151">
        <v>1</v>
      </c>
      <c r="K16" s="151">
        <v>0</v>
      </c>
      <c r="L16" s="151">
        <v>0</v>
      </c>
      <c r="M16" s="151">
        <v>0</v>
      </c>
      <c r="N16" s="151">
        <v>0</v>
      </c>
      <c r="O16" s="151">
        <v>1</v>
      </c>
      <c r="P16" s="151">
        <v>1</v>
      </c>
      <c r="Q16" s="151">
        <v>1</v>
      </c>
      <c r="R16" s="151" t="s">
        <v>239</v>
      </c>
      <c r="S16" s="151" t="s">
        <v>425</v>
      </c>
      <c r="T16" s="151" t="s">
        <v>411</v>
      </c>
      <c r="U16" s="152" t="s">
        <v>465</v>
      </c>
    </row>
    <row r="17" spans="1:21" s="150" customFormat="1" ht="28" x14ac:dyDescent="0.15">
      <c r="A17" s="146">
        <v>60010</v>
      </c>
      <c r="B17" s="147" t="str">
        <f ca="1">VLOOKUP($A17,OFFSET([2]quests!$A$1,0,0,COUNTA([2]quests!$A:$A),MATCH(B$1,[2]quests!$1:$1,0)-MATCH($A$1,[2]quests!$1:$1,0)+1),MATCH(B$1,[2]quests!$1:$1,0)-MATCH($A$1,[2]quests!$1:$1,0)+1,FALSE)</f>
        <v>ラグランジュチャレンジ</v>
      </c>
      <c r="C17" s="147" t="str">
        <f ca="1">VLOOKUP($A17,OFFSET([2]quests!$A$1,0,0,COUNTA([2]quests!$A:$A),MATCH(C$1,[2]quests!$1:$1,0)-MATCH($A$1,[2]quests!$1:$1,0)+1),MATCH(C$1,[2]quests!$1:$1,0)-MATCH($A$1,[2]quests!$1:$1,0)+1,FALSE)</f>
        <v>ランキング2（ラグランジュ）</v>
      </c>
      <c r="D17" s="146">
        <v>3</v>
      </c>
      <c r="E17" s="148">
        <v>3</v>
      </c>
      <c r="F17" s="149" t="str">
        <f t="shared" si="1"/>
        <v>600100003</v>
      </c>
      <c r="G17" s="150" t="str">
        <f>F17&amp;TEXT(COUNTIF(F$2:F17,F17),"00")</f>
        <v>60010000306</v>
      </c>
      <c r="H17" s="151" t="s">
        <v>413</v>
      </c>
      <c r="I17" s="151">
        <v>5</v>
      </c>
      <c r="J17" s="151" t="s">
        <v>90</v>
      </c>
      <c r="K17" s="151">
        <v>0</v>
      </c>
      <c r="L17" s="151">
        <v>0</v>
      </c>
      <c r="M17" s="151">
        <v>0</v>
      </c>
      <c r="N17" s="151">
        <v>0</v>
      </c>
      <c r="O17" s="151">
        <v>1</v>
      </c>
      <c r="P17" s="151">
        <v>1</v>
      </c>
      <c r="Q17" s="151">
        <v>1</v>
      </c>
      <c r="R17" s="151" t="s">
        <v>239</v>
      </c>
      <c r="S17" s="151" t="s">
        <v>418</v>
      </c>
      <c r="T17" s="151" t="s">
        <v>411</v>
      </c>
      <c r="U17" s="152" t="s">
        <v>465</v>
      </c>
    </row>
    <row r="18" spans="1:21" s="150" customFormat="1" ht="28" x14ac:dyDescent="0.15">
      <c r="A18" s="146">
        <v>60010</v>
      </c>
      <c r="B18" s="147" t="str">
        <f ca="1">VLOOKUP($A18,OFFSET([2]quests!$A$1,0,0,COUNTA([2]quests!$A:$A),MATCH(B$1,[2]quests!$1:$1,0)-MATCH($A$1,[2]quests!$1:$1,0)+1),MATCH(B$1,[2]quests!$1:$1,0)-MATCH($A$1,[2]quests!$1:$1,0)+1,FALSE)</f>
        <v>ラグランジュチャレンジ</v>
      </c>
      <c r="C18" s="147" t="str">
        <f ca="1">VLOOKUP($A18,OFFSET([2]quests!$A$1,0,0,COUNTA([2]quests!$A:$A),MATCH(C$1,[2]quests!$1:$1,0)-MATCH($A$1,[2]quests!$1:$1,0)+1),MATCH(C$1,[2]quests!$1:$1,0)-MATCH($A$1,[2]quests!$1:$1,0)+1,FALSE)</f>
        <v>ランキング2（ラグランジュ）</v>
      </c>
      <c r="D18" s="146">
        <v>3</v>
      </c>
      <c r="E18" s="148">
        <v>3</v>
      </c>
      <c r="F18" s="149" t="str">
        <f t="shared" si="1"/>
        <v>600100003</v>
      </c>
      <c r="G18" s="150" t="str">
        <f>F18&amp;TEXT(COUNTIF(F$2:F18,F18),"00")</f>
        <v>60010000307</v>
      </c>
      <c r="H18" s="151" t="s">
        <v>238</v>
      </c>
      <c r="I18" s="151">
        <v>125</v>
      </c>
      <c r="J18" s="151">
        <v>1</v>
      </c>
      <c r="K18" s="151">
        <v>0</v>
      </c>
      <c r="L18" s="151">
        <v>0</v>
      </c>
      <c r="M18" s="151">
        <v>0</v>
      </c>
      <c r="N18" s="151">
        <v>0</v>
      </c>
      <c r="O18" s="151">
        <v>1</v>
      </c>
      <c r="P18" s="151">
        <v>1</v>
      </c>
      <c r="Q18" s="151">
        <v>1</v>
      </c>
      <c r="R18" s="151" t="s">
        <v>239</v>
      </c>
      <c r="S18" s="151" t="s">
        <v>426</v>
      </c>
      <c r="T18" s="151" t="s">
        <v>411</v>
      </c>
      <c r="U18" s="152" t="s">
        <v>465</v>
      </c>
    </row>
    <row r="19" spans="1:21" s="150" customFormat="1" ht="28" x14ac:dyDescent="0.15">
      <c r="A19" s="146">
        <v>60010</v>
      </c>
      <c r="B19" s="147" t="str">
        <f ca="1">VLOOKUP($A19,OFFSET([2]quests!$A$1,0,0,COUNTA([2]quests!$A:$A),MATCH(B$1,[2]quests!$1:$1,0)-MATCH($A$1,[2]quests!$1:$1,0)+1),MATCH(B$1,[2]quests!$1:$1,0)-MATCH($A$1,[2]quests!$1:$1,0)+1,FALSE)</f>
        <v>ラグランジュチャレンジ</v>
      </c>
      <c r="C19" s="147" t="str">
        <f ca="1">VLOOKUP($A19,OFFSET([2]quests!$A$1,0,0,COUNTA([2]quests!$A:$A),MATCH(C$1,[2]quests!$1:$1,0)-MATCH($A$1,[2]quests!$1:$1,0)+1),MATCH(C$1,[2]quests!$1:$1,0)-MATCH($A$1,[2]quests!$1:$1,0)+1,FALSE)</f>
        <v>ランキング2（ラグランジュ）</v>
      </c>
      <c r="D19" s="146">
        <v>3</v>
      </c>
      <c r="E19" s="148">
        <v>3</v>
      </c>
      <c r="F19" s="149" t="str">
        <f t="shared" si="1"/>
        <v>600100003</v>
      </c>
      <c r="G19" s="150" t="str">
        <f>F19&amp;TEXT(COUNTIF(F$2:F19,F19),"00")</f>
        <v>60010000308</v>
      </c>
      <c r="H19" s="151" t="s">
        <v>409</v>
      </c>
      <c r="I19" s="151">
        <v>1</v>
      </c>
      <c r="J19" s="151">
        <v>1</v>
      </c>
      <c r="K19" s="151">
        <v>0</v>
      </c>
      <c r="L19" s="151">
        <v>0</v>
      </c>
      <c r="M19" s="151">
        <v>0</v>
      </c>
      <c r="N19" s="151">
        <v>0</v>
      </c>
      <c r="O19" s="151">
        <v>1</v>
      </c>
      <c r="P19" s="151">
        <v>1</v>
      </c>
      <c r="Q19" s="151">
        <v>1</v>
      </c>
      <c r="R19" s="151" t="s">
        <v>239</v>
      </c>
      <c r="S19" s="151" t="s">
        <v>427</v>
      </c>
      <c r="T19" s="151" t="s">
        <v>411</v>
      </c>
      <c r="U19" s="152" t="s">
        <v>465</v>
      </c>
    </row>
    <row r="20" spans="1:21" s="150" customFormat="1" ht="28" x14ac:dyDescent="0.15">
      <c r="A20" s="146">
        <v>60010</v>
      </c>
      <c r="B20" s="147" t="str">
        <f ca="1">VLOOKUP($A20,OFFSET([2]quests!$A$1,0,0,COUNTA([2]quests!$A:$A),MATCH(B$1,[2]quests!$1:$1,0)-MATCH($A$1,[2]quests!$1:$1,0)+1),MATCH(B$1,[2]quests!$1:$1,0)-MATCH($A$1,[2]quests!$1:$1,0)+1,FALSE)</f>
        <v>ラグランジュチャレンジ</v>
      </c>
      <c r="C20" s="147" t="str">
        <f ca="1">VLOOKUP($A20,OFFSET([2]quests!$A$1,0,0,COUNTA([2]quests!$A:$A),MATCH(C$1,[2]quests!$1:$1,0)-MATCH($A$1,[2]quests!$1:$1,0)+1),MATCH(C$1,[2]quests!$1:$1,0)-MATCH($A$1,[2]quests!$1:$1,0)+1,FALSE)</f>
        <v>ランキング2（ラグランジュ）</v>
      </c>
      <c r="D20" s="146">
        <v>4</v>
      </c>
      <c r="E20" s="148">
        <v>5</v>
      </c>
      <c r="F20" s="149" t="str">
        <f t="shared" si="1"/>
        <v>600100005</v>
      </c>
      <c r="G20" s="150" t="str">
        <f>F20&amp;TEXT(COUNTIF(F$2:F20,F20),"00")</f>
        <v>60010000501</v>
      </c>
      <c r="H20" s="151" t="s">
        <v>409</v>
      </c>
      <c r="I20" s="151">
        <v>600</v>
      </c>
      <c r="J20" s="151">
        <v>2</v>
      </c>
      <c r="K20" s="151">
        <v>0</v>
      </c>
      <c r="L20" s="151">
        <v>0</v>
      </c>
      <c r="M20" s="151">
        <v>0</v>
      </c>
      <c r="N20" s="151">
        <v>0</v>
      </c>
      <c r="O20" s="151">
        <v>1</v>
      </c>
      <c r="P20" s="151">
        <v>1</v>
      </c>
      <c r="Q20" s="151">
        <v>1</v>
      </c>
      <c r="R20" s="151" t="s">
        <v>239</v>
      </c>
      <c r="S20" s="151" t="s">
        <v>412</v>
      </c>
      <c r="T20" s="151" t="s">
        <v>411</v>
      </c>
      <c r="U20" s="152" t="s">
        <v>465</v>
      </c>
    </row>
    <row r="21" spans="1:21" s="150" customFormat="1" ht="28" x14ac:dyDescent="0.15">
      <c r="A21" s="146">
        <v>60010</v>
      </c>
      <c r="B21" s="147" t="str">
        <f ca="1">VLOOKUP($A21,OFFSET([2]quests!$A$1,0,0,COUNTA([2]quests!$A:$A),MATCH(B$1,[2]quests!$1:$1,0)-MATCH($A$1,[2]quests!$1:$1,0)+1),MATCH(B$1,[2]quests!$1:$1,0)-MATCH($A$1,[2]quests!$1:$1,0)+1,FALSE)</f>
        <v>ラグランジュチャレンジ</v>
      </c>
      <c r="C21" s="147" t="str">
        <f ca="1">VLOOKUP($A21,OFFSET([2]quests!$A$1,0,0,COUNTA([2]quests!$A:$A),MATCH(C$1,[2]quests!$1:$1,0)-MATCH($A$1,[2]quests!$1:$1,0)+1),MATCH(C$1,[2]quests!$1:$1,0)-MATCH($A$1,[2]quests!$1:$1,0)+1,FALSE)</f>
        <v>ランキング2（ラグランジュ）</v>
      </c>
      <c r="D21" s="146">
        <v>4</v>
      </c>
      <c r="E21" s="148">
        <v>5</v>
      </c>
      <c r="F21" s="149" t="str">
        <f t="shared" si="1"/>
        <v>600100005</v>
      </c>
      <c r="G21" s="150" t="str">
        <f>F21&amp;TEXT(COUNTIF(F$2:F21,F21),"00")</f>
        <v>60010000502</v>
      </c>
      <c r="H21" s="151" t="s">
        <v>238</v>
      </c>
      <c r="I21" s="151">
        <v>335</v>
      </c>
      <c r="J21" s="151">
        <v>1</v>
      </c>
      <c r="K21" s="151">
        <v>0</v>
      </c>
      <c r="L21" s="151">
        <v>0</v>
      </c>
      <c r="M21" s="151">
        <v>0</v>
      </c>
      <c r="N21" s="151">
        <v>0</v>
      </c>
      <c r="O21" s="151">
        <v>1</v>
      </c>
      <c r="P21" s="151">
        <v>1</v>
      </c>
      <c r="Q21" s="151">
        <v>1</v>
      </c>
      <c r="R21" s="151" t="s">
        <v>239</v>
      </c>
      <c r="S21" s="151" t="s">
        <v>422</v>
      </c>
      <c r="T21" s="151" t="s">
        <v>411</v>
      </c>
      <c r="U21" s="152" t="s">
        <v>465</v>
      </c>
    </row>
    <row r="22" spans="1:21" s="150" customFormat="1" ht="28" x14ac:dyDescent="0.15">
      <c r="A22" s="146">
        <v>60010</v>
      </c>
      <c r="B22" s="147" t="str">
        <f ca="1">VLOOKUP($A22,OFFSET([2]quests!$A$1,0,0,COUNTA([2]quests!$A:$A),MATCH(B$1,[2]quests!$1:$1,0)-MATCH($A$1,[2]quests!$1:$1,0)+1),MATCH(B$1,[2]quests!$1:$1,0)-MATCH($A$1,[2]quests!$1:$1,0)+1,FALSE)</f>
        <v>ラグランジュチャレンジ</v>
      </c>
      <c r="C22" s="147" t="str">
        <f ca="1">VLOOKUP($A22,OFFSET([2]quests!$A$1,0,0,COUNTA([2]quests!$A:$A),MATCH(C$1,[2]quests!$1:$1,0)-MATCH($A$1,[2]quests!$1:$1,0)+1),MATCH(C$1,[2]quests!$1:$1,0)-MATCH($A$1,[2]quests!$1:$1,0)+1,FALSE)</f>
        <v>ランキング2（ラグランジュ）</v>
      </c>
      <c r="D22" s="146">
        <v>4</v>
      </c>
      <c r="E22" s="148">
        <v>5</v>
      </c>
      <c r="F22" s="149" t="str">
        <f t="shared" si="1"/>
        <v>600100005</v>
      </c>
      <c r="G22" s="150" t="str">
        <f>F22&amp;TEXT(COUNTIF(F$2:F22,F22),"00")</f>
        <v>60010000503</v>
      </c>
      <c r="H22" s="151" t="s">
        <v>238</v>
      </c>
      <c r="I22" s="151">
        <v>339</v>
      </c>
      <c r="J22" s="151">
        <v>1</v>
      </c>
      <c r="K22" s="151">
        <v>0</v>
      </c>
      <c r="L22" s="151">
        <v>0</v>
      </c>
      <c r="M22" s="151">
        <v>0</v>
      </c>
      <c r="N22" s="151">
        <v>0</v>
      </c>
      <c r="O22" s="151">
        <v>1</v>
      </c>
      <c r="P22" s="151">
        <v>1</v>
      </c>
      <c r="Q22" s="151">
        <v>1</v>
      </c>
      <c r="R22" s="151" t="s">
        <v>239</v>
      </c>
      <c r="S22" s="151" t="s">
        <v>423</v>
      </c>
      <c r="T22" s="151" t="s">
        <v>411</v>
      </c>
      <c r="U22" s="152" t="s">
        <v>465</v>
      </c>
    </row>
    <row r="23" spans="1:21" s="150" customFormat="1" ht="28" x14ac:dyDescent="0.15">
      <c r="A23" s="146">
        <v>60010</v>
      </c>
      <c r="B23" s="147" t="str">
        <f ca="1">VLOOKUP($A23,OFFSET([2]quests!$A$1,0,0,COUNTA([2]quests!$A:$A),MATCH(B$1,[2]quests!$1:$1,0)-MATCH($A$1,[2]quests!$1:$1,0)+1),MATCH(B$1,[2]quests!$1:$1,0)-MATCH($A$1,[2]quests!$1:$1,0)+1,FALSE)</f>
        <v>ラグランジュチャレンジ</v>
      </c>
      <c r="C23" s="147" t="str">
        <f ca="1">VLOOKUP($A23,OFFSET([2]quests!$A$1,0,0,COUNTA([2]quests!$A:$A),MATCH(C$1,[2]quests!$1:$1,0)-MATCH($A$1,[2]quests!$1:$1,0)+1),MATCH(C$1,[2]quests!$1:$1,0)-MATCH($A$1,[2]quests!$1:$1,0)+1,FALSE)</f>
        <v>ランキング2（ラグランジュ）</v>
      </c>
      <c r="D23" s="146">
        <v>4</v>
      </c>
      <c r="E23" s="148">
        <v>5</v>
      </c>
      <c r="F23" s="149" t="str">
        <f t="shared" si="1"/>
        <v>600100005</v>
      </c>
      <c r="G23" s="150" t="str">
        <f>F23&amp;TEXT(COUNTIF(F$2:F23,F23),"00")</f>
        <v>60010000504</v>
      </c>
      <c r="H23" s="151" t="s">
        <v>428</v>
      </c>
      <c r="I23" s="151">
        <v>343</v>
      </c>
      <c r="J23" s="151">
        <v>1</v>
      </c>
      <c r="K23" s="151">
        <v>0</v>
      </c>
      <c r="L23" s="151">
        <v>0</v>
      </c>
      <c r="M23" s="151">
        <v>0</v>
      </c>
      <c r="N23" s="151">
        <v>0</v>
      </c>
      <c r="O23" s="151">
        <v>1</v>
      </c>
      <c r="P23" s="151">
        <v>1</v>
      </c>
      <c r="Q23" s="151">
        <v>1</v>
      </c>
      <c r="R23" s="151" t="s">
        <v>429</v>
      </c>
      <c r="S23" s="151" t="s">
        <v>424</v>
      </c>
      <c r="T23" s="151" t="s">
        <v>411</v>
      </c>
      <c r="U23" s="152" t="s">
        <v>465</v>
      </c>
    </row>
    <row r="24" spans="1:21" s="150" customFormat="1" ht="28" x14ac:dyDescent="0.15">
      <c r="A24" s="146">
        <v>60010</v>
      </c>
      <c r="B24" s="147" t="str">
        <f ca="1">VLOOKUP($A24,OFFSET([2]quests!$A$1,0,0,COUNTA([2]quests!$A:$A),MATCH(B$1,[2]quests!$1:$1,0)-MATCH($A$1,[2]quests!$1:$1,0)+1),MATCH(B$1,[2]quests!$1:$1,0)-MATCH($A$1,[2]quests!$1:$1,0)+1,FALSE)</f>
        <v>ラグランジュチャレンジ</v>
      </c>
      <c r="C24" s="147" t="str">
        <f ca="1">VLOOKUP($A24,OFFSET([2]quests!$A$1,0,0,COUNTA([2]quests!$A:$A),MATCH(C$1,[2]quests!$1:$1,0)-MATCH($A$1,[2]quests!$1:$1,0)+1),MATCH(C$1,[2]quests!$1:$1,0)-MATCH($A$1,[2]quests!$1:$1,0)+1,FALSE)</f>
        <v>ランキング2（ラグランジュ）</v>
      </c>
      <c r="D24" s="146">
        <v>4</v>
      </c>
      <c r="E24" s="148">
        <v>5</v>
      </c>
      <c r="F24" s="149" t="str">
        <f t="shared" si="1"/>
        <v>600100005</v>
      </c>
      <c r="G24" s="150" t="str">
        <f>F24&amp;TEXT(COUNTIF(F$2:F24,F24),"00")</f>
        <v>60010000505</v>
      </c>
      <c r="H24" s="151" t="s">
        <v>430</v>
      </c>
      <c r="I24" s="151">
        <v>347</v>
      </c>
      <c r="J24" s="151">
        <v>1</v>
      </c>
      <c r="K24" s="151">
        <v>0</v>
      </c>
      <c r="L24" s="151">
        <v>0</v>
      </c>
      <c r="M24" s="151">
        <v>0</v>
      </c>
      <c r="N24" s="151">
        <v>0</v>
      </c>
      <c r="O24" s="151">
        <v>1</v>
      </c>
      <c r="P24" s="151">
        <v>1</v>
      </c>
      <c r="Q24" s="151">
        <v>1</v>
      </c>
      <c r="R24" s="151" t="s">
        <v>431</v>
      </c>
      <c r="S24" s="151" t="s">
        <v>425</v>
      </c>
      <c r="T24" s="151" t="s">
        <v>411</v>
      </c>
      <c r="U24" s="152" t="s">
        <v>465</v>
      </c>
    </row>
    <row r="25" spans="1:21" s="150" customFormat="1" ht="28" x14ac:dyDescent="0.15">
      <c r="A25" s="146">
        <v>60010</v>
      </c>
      <c r="B25" s="147" t="str">
        <f ca="1">VLOOKUP($A25,OFFSET([2]quests!$A$1,0,0,COUNTA([2]quests!$A:$A),MATCH(B$1,[2]quests!$1:$1,0)-MATCH($A$1,[2]quests!$1:$1,0)+1),MATCH(B$1,[2]quests!$1:$1,0)-MATCH($A$1,[2]quests!$1:$1,0)+1,FALSE)</f>
        <v>ラグランジュチャレンジ</v>
      </c>
      <c r="C25" s="147" t="str">
        <f ca="1">VLOOKUP($A25,OFFSET([2]quests!$A$1,0,0,COUNTA([2]quests!$A:$A),MATCH(C$1,[2]quests!$1:$1,0)-MATCH($A$1,[2]quests!$1:$1,0)+1),MATCH(C$1,[2]quests!$1:$1,0)-MATCH($A$1,[2]quests!$1:$1,0)+1,FALSE)</f>
        <v>ランキング2（ラグランジュ）</v>
      </c>
      <c r="D25" s="146">
        <v>4</v>
      </c>
      <c r="E25" s="148">
        <v>5</v>
      </c>
      <c r="F25" s="149" t="str">
        <f t="shared" si="1"/>
        <v>600100005</v>
      </c>
      <c r="G25" s="150" t="str">
        <f>F25&amp;TEXT(COUNTIF(F$2:F25,F25),"00")</f>
        <v>60010000506</v>
      </c>
      <c r="H25" s="151" t="s">
        <v>432</v>
      </c>
      <c r="I25" s="151">
        <v>5</v>
      </c>
      <c r="J25" s="151" t="s">
        <v>433</v>
      </c>
      <c r="K25" s="151">
        <v>0</v>
      </c>
      <c r="L25" s="151">
        <v>0</v>
      </c>
      <c r="M25" s="151">
        <v>0</v>
      </c>
      <c r="N25" s="151">
        <v>0</v>
      </c>
      <c r="O25" s="151">
        <v>1</v>
      </c>
      <c r="P25" s="151">
        <v>1</v>
      </c>
      <c r="Q25" s="151">
        <v>1</v>
      </c>
      <c r="R25" s="151" t="s">
        <v>434</v>
      </c>
      <c r="S25" s="151" t="s">
        <v>435</v>
      </c>
      <c r="T25" s="151" t="s">
        <v>411</v>
      </c>
      <c r="U25" s="152" t="s">
        <v>465</v>
      </c>
    </row>
    <row r="26" spans="1:21" s="150" customFormat="1" ht="28" x14ac:dyDescent="0.15">
      <c r="A26" s="146">
        <v>60010</v>
      </c>
      <c r="B26" s="147" t="str">
        <f ca="1">VLOOKUP($A26,OFFSET([2]quests!$A$1,0,0,COUNTA([2]quests!$A:$A),MATCH(B$1,[2]quests!$1:$1,0)-MATCH($A$1,[2]quests!$1:$1,0)+1),MATCH(B$1,[2]quests!$1:$1,0)-MATCH($A$1,[2]quests!$1:$1,0)+1,FALSE)</f>
        <v>ラグランジュチャレンジ</v>
      </c>
      <c r="C26" s="147" t="str">
        <f ca="1">VLOOKUP($A26,OFFSET([2]quests!$A$1,0,0,COUNTA([2]quests!$A:$A),MATCH(C$1,[2]quests!$1:$1,0)-MATCH($A$1,[2]quests!$1:$1,0)+1),MATCH(C$1,[2]quests!$1:$1,0)-MATCH($A$1,[2]quests!$1:$1,0)+1,FALSE)</f>
        <v>ランキング2（ラグランジュ）</v>
      </c>
      <c r="D26" s="146">
        <v>4</v>
      </c>
      <c r="E26" s="148">
        <v>5</v>
      </c>
      <c r="F26" s="149" t="str">
        <f t="shared" si="1"/>
        <v>600100005</v>
      </c>
      <c r="G26" s="150" t="str">
        <f>F26&amp;TEXT(COUNTIF(F$2:F26,F26),"00")</f>
        <v>60010000507</v>
      </c>
      <c r="H26" s="151" t="s">
        <v>436</v>
      </c>
      <c r="I26" s="151">
        <v>2000</v>
      </c>
      <c r="J26" s="151" t="s">
        <v>90</v>
      </c>
      <c r="K26" s="151">
        <v>0</v>
      </c>
      <c r="L26" s="151">
        <v>0</v>
      </c>
      <c r="M26" s="151">
        <v>0</v>
      </c>
      <c r="N26" s="151">
        <v>0</v>
      </c>
      <c r="O26" s="151">
        <v>1</v>
      </c>
      <c r="P26" s="151">
        <v>1</v>
      </c>
      <c r="Q26" s="151">
        <v>1</v>
      </c>
      <c r="R26" s="151" t="s">
        <v>239</v>
      </c>
      <c r="S26" s="151" t="s">
        <v>437</v>
      </c>
      <c r="T26" s="151" t="s">
        <v>411</v>
      </c>
      <c r="U26" s="152" t="s">
        <v>465</v>
      </c>
    </row>
    <row r="27" spans="1:21" s="150" customFormat="1" ht="28" x14ac:dyDescent="0.15">
      <c r="A27" s="146">
        <v>60010</v>
      </c>
      <c r="B27" s="147" t="str">
        <f ca="1">VLOOKUP($A27,OFFSET([2]quests!$A$1,0,0,COUNTA([2]quests!$A:$A),MATCH(B$1,[2]quests!$1:$1,0)-MATCH($A$1,[2]quests!$1:$1,0)+1),MATCH(B$1,[2]quests!$1:$1,0)-MATCH($A$1,[2]quests!$1:$1,0)+1,FALSE)</f>
        <v>ラグランジュチャレンジ</v>
      </c>
      <c r="C27" s="147" t="str">
        <f ca="1">VLOOKUP($A27,OFFSET([2]quests!$A$1,0,0,COUNTA([2]quests!$A:$A),MATCH(C$1,[2]quests!$1:$1,0)-MATCH($A$1,[2]quests!$1:$1,0)+1),MATCH(C$1,[2]quests!$1:$1,0)-MATCH($A$1,[2]quests!$1:$1,0)+1,FALSE)</f>
        <v>ランキング2（ラグランジュ）</v>
      </c>
      <c r="D27" s="146">
        <v>6</v>
      </c>
      <c r="E27" s="148">
        <v>10</v>
      </c>
      <c r="F27" s="149" t="str">
        <f>A27&amp;TEXT(E27,"0000")</f>
        <v>600100010</v>
      </c>
      <c r="G27" s="150" t="str">
        <f>F27&amp;TEXT(COUNTIF(F$2:F27,F27),"00")</f>
        <v>60010001001</v>
      </c>
      <c r="H27" s="151" t="s">
        <v>409</v>
      </c>
      <c r="I27" s="151">
        <v>600</v>
      </c>
      <c r="J27" s="151">
        <v>1</v>
      </c>
      <c r="K27" s="151">
        <v>0</v>
      </c>
      <c r="L27" s="151">
        <v>0</v>
      </c>
      <c r="M27" s="151">
        <v>0</v>
      </c>
      <c r="N27" s="151">
        <v>0</v>
      </c>
      <c r="O27" s="151">
        <v>1</v>
      </c>
      <c r="P27" s="151">
        <v>1</v>
      </c>
      <c r="Q27" s="151">
        <v>1</v>
      </c>
      <c r="R27" s="151" t="s">
        <v>239</v>
      </c>
      <c r="S27" s="151" t="s">
        <v>417</v>
      </c>
      <c r="T27" s="151" t="s">
        <v>411</v>
      </c>
      <c r="U27" s="152" t="s">
        <v>465</v>
      </c>
    </row>
    <row r="28" spans="1:21" s="150" customFormat="1" ht="28" x14ac:dyDescent="0.15">
      <c r="A28" s="146">
        <v>60010</v>
      </c>
      <c r="B28" s="147" t="str">
        <f ca="1">VLOOKUP($A28,OFFSET([2]quests!$A$1,0,0,COUNTA([2]quests!$A:$A),MATCH(B$1,[2]quests!$1:$1,0)-MATCH($A$1,[2]quests!$1:$1,0)+1),MATCH(B$1,[2]quests!$1:$1,0)-MATCH($A$1,[2]quests!$1:$1,0)+1,FALSE)</f>
        <v>ラグランジュチャレンジ</v>
      </c>
      <c r="C28" s="147" t="str">
        <f ca="1">VLOOKUP($A28,OFFSET([2]quests!$A$1,0,0,COUNTA([2]quests!$A:$A),MATCH(C$1,[2]quests!$1:$1,0)-MATCH($A$1,[2]quests!$1:$1,0)+1),MATCH(C$1,[2]quests!$1:$1,0)-MATCH($A$1,[2]quests!$1:$1,0)+1,FALSE)</f>
        <v>ランキング2（ラグランジュ）</v>
      </c>
      <c r="D28" s="146">
        <v>6</v>
      </c>
      <c r="E28" s="148">
        <v>10</v>
      </c>
      <c r="F28" s="149" t="str">
        <f t="shared" ref="F28:F42" si="2">A28&amp;TEXT(E28,"0000")</f>
        <v>600100010</v>
      </c>
      <c r="G28" s="150" t="str">
        <f>F28&amp;TEXT(COUNTIF(F$2:F28,F28),"00")</f>
        <v>60010001002</v>
      </c>
      <c r="H28" s="151" t="s">
        <v>238</v>
      </c>
      <c r="I28" s="151">
        <v>334</v>
      </c>
      <c r="J28" s="151">
        <v>1</v>
      </c>
      <c r="K28" s="151">
        <v>0</v>
      </c>
      <c r="L28" s="151">
        <v>0</v>
      </c>
      <c r="M28" s="151">
        <v>0</v>
      </c>
      <c r="N28" s="151">
        <v>0</v>
      </c>
      <c r="O28" s="151">
        <v>1</v>
      </c>
      <c r="P28" s="151">
        <v>1</v>
      </c>
      <c r="Q28" s="151">
        <v>1</v>
      </c>
      <c r="R28" s="151" t="s">
        <v>239</v>
      </c>
      <c r="S28" s="151" t="s">
        <v>438</v>
      </c>
      <c r="T28" s="151" t="s">
        <v>411</v>
      </c>
      <c r="U28" s="152" t="s">
        <v>465</v>
      </c>
    </row>
    <row r="29" spans="1:21" s="150" customFormat="1" ht="28" x14ac:dyDescent="0.15">
      <c r="A29" s="146">
        <v>60010</v>
      </c>
      <c r="B29" s="147" t="str">
        <f ca="1">VLOOKUP($A29,OFFSET([2]quests!$A$1,0,0,COUNTA([2]quests!$A:$A),MATCH(B$1,[2]quests!$1:$1,0)-MATCH($A$1,[2]quests!$1:$1,0)+1),MATCH(B$1,[2]quests!$1:$1,0)-MATCH($A$1,[2]quests!$1:$1,0)+1,FALSE)</f>
        <v>ラグランジュチャレンジ</v>
      </c>
      <c r="C29" s="147" t="str">
        <f ca="1">VLOOKUP($A29,OFFSET([2]quests!$A$1,0,0,COUNTA([2]quests!$A:$A),MATCH(C$1,[2]quests!$1:$1,0)-MATCH($A$1,[2]quests!$1:$1,0)+1),MATCH(C$1,[2]quests!$1:$1,0)-MATCH($A$1,[2]quests!$1:$1,0)+1,FALSE)</f>
        <v>ランキング2（ラグランジュ）</v>
      </c>
      <c r="D29" s="146">
        <v>6</v>
      </c>
      <c r="E29" s="148">
        <v>10</v>
      </c>
      <c r="F29" s="149" t="str">
        <f t="shared" si="2"/>
        <v>600100010</v>
      </c>
      <c r="G29" s="150" t="str">
        <f>F29&amp;TEXT(COUNTIF(F$2:F29,F29),"00")</f>
        <v>60010001003</v>
      </c>
      <c r="H29" s="151" t="s">
        <v>439</v>
      </c>
      <c r="I29" s="151">
        <v>338</v>
      </c>
      <c r="J29" s="151">
        <v>1</v>
      </c>
      <c r="K29" s="151">
        <v>0</v>
      </c>
      <c r="L29" s="151">
        <v>0</v>
      </c>
      <c r="M29" s="151">
        <v>0</v>
      </c>
      <c r="N29" s="151">
        <v>0</v>
      </c>
      <c r="O29" s="151">
        <v>1</v>
      </c>
      <c r="P29" s="151">
        <v>1</v>
      </c>
      <c r="Q29" s="151">
        <v>1</v>
      </c>
      <c r="R29" s="151" t="s">
        <v>440</v>
      </c>
      <c r="S29" s="151" t="s">
        <v>441</v>
      </c>
      <c r="T29" s="151" t="s">
        <v>411</v>
      </c>
      <c r="U29" s="152" t="s">
        <v>465</v>
      </c>
    </row>
    <row r="30" spans="1:21" s="150" customFormat="1" ht="28" x14ac:dyDescent="0.15">
      <c r="A30" s="146">
        <v>60010</v>
      </c>
      <c r="B30" s="147" t="str">
        <f ca="1">VLOOKUP($A30,OFFSET([2]quests!$A$1,0,0,COUNTA([2]quests!$A:$A),MATCH(B$1,[2]quests!$1:$1,0)-MATCH($A$1,[2]quests!$1:$1,0)+1),MATCH(B$1,[2]quests!$1:$1,0)-MATCH($A$1,[2]quests!$1:$1,0)+1,FALSE)</f>
        <v>ラグランジュチャレンジ</v>
      </c>
      <c r="C30" s="147" t="str">
        <f ca="1">VLOOKUP($A30,OFFSET([2]quests!$A$1,0,0,COUNTA([2]quests!$A:$A),MATCH(C$1,[2]quests!$1:$1,0)-MATCH($A$1,[2]quests!$1:$1,0)+1),MATCH(C$1,[2]quests!$1:$1,0)-MATCH($A$1,[2]quests!$1:$1,0)+1,FALSE)</f>
        <v>ランキング2（ラグランジュ）</v>
      </c>
      <c r="D30" s="146">
        <v>6</v>
      </c>
      <c r="E30" s="148">
        <v>10</v>
      </c>
      <c r="F30" s="149" t="str">
        <f t="shared" si="2"/>
        <v>600100010</v>
      </c>
      <c r="G30" s="150" t="str">
        <f>F30&amp;TEXT(COUNTIF(F$2:F30,F30),"00")</f>
        <v>60010001004</v>
      </c>
      <c r="H30" s="151" t="s">
        <v>442</v>
      </c>
      <c r="I30" s="151">
        <v>342</v>
      </c>
      <c r="J30" s="151">
        <v>1</v>
      </c>
      <c r="K30" s="151">
        <v>0</v>
      </c>
      <c r="L30" s="151">
        <v>0</v>
      </c>
      <c r="M30" s="151">
        <v>0</v>
      </c>
      <c r="N30" s="151">
        <v>0</v>
      </c>
      <c r="O30" s="151">
        <v>1</v>
      </c>
      <c r="P30" s="151">
        <v>1</v>
      </c>
      <c r="Q30" s="151">
        <v>1</v>
      </c>
      <c r="R30" s="151" t="s">
        <v>434</v>
      </c>
      <c r="S30" s="151" t="s">
        <v>443</v>
      </c>
      <c r="T30" s="151" t="s">
        <v>411</v>
      </c>
      <c r="U30" s="152" t="s">
        <v>465</v>
      </c>
    </row>
    <row r="31" spans="1:21" s="150" customFormat="1" ht="28" x14ac:dyDescent="0.15">
      <c r="A31" s="146">
        <v>60010</v>
      </c>
      <c r="B31" s="147" t="str">
        <f ca="1">VLOOKUP($A31,OFFSET([2]quests!$A$1,0,0,COUNTA([2]quests!$A:$A),MATCH(B$1,[2]quests!$1:$1,0)-MATCH($A$1,[2]quests!$1:$1,0)+1),MATCH(B$1,[2]quests!$1:$1,0)-MATCH($A$1,[2]quests!$1:$1,0)+1,FALSE)</f>
        <v>ラグランジュチャレンジ</v>
      </c>
      <c r="C31" s="147" t="str">
        <f ca="1">VLOOKUP($A31,OFFSET([2]quests!$A$1,0,0,COUNTA([2]quests!$A:$A),MATCH(C$1,[2]quests!$1:$1,0)-MATCH($A$1,[2]quests!$1:$1,0)+1),MATCH(C$1,[2]quests!$1:$1,0)-MATCH($A$1,[2]quests!$1:$1,0)+1,FALSE)</f>
        <v>ランキング2（ラグランジュ）</v>
      </c>
      <c r="D31" s="146">
        <v>6</v>
      </c>
      <c r="E31" s="148">
        <v>10</v>
      </c>
      <c r="F31" s="149" t="str">
        <f t="shared" si="2"/>
        <v>600100010</v>
      </c>
      <c r="G31" s="150" t="str">
        <f>F31&amp;TEXT(COUNTIF(F$2:F31,F31),"00")</f>
        <v>60010001005</v>
      </c>
      <c r="H31" s="151" t="s">
        <v>238</v>
      </c>
      <c r="I31" s="151">
        <v>346</v>
      </c>
      <c r="J31" s="151">
        <v>1</v>
      </c>
      <c r="K31" s="151">
        <v>0</v>
      </c>
      <c r="L31" s="151">
        <v>0</v>
      </c>
      <c r="M31" s="151">
        <v>0</v>
      </c>
      <c r="N31" s="151">
        <v>0</v>
      </c>
      <c r="O31" s="151">
        <v>1</v>
      </c>
      <c r="P31" s="151">
        <v>1</v>
      </c>
      <c r="Q31" s="151">
        <v>1</v>
      </c>
      <c r="R31" s="151" t="s">
        <v>239</v>
      </c>
      <c r="S31" s="151" t="s">
        <v>444</v>
      </c>
      <c r="T31" s="151" t="s">
        <v>411</v>
      </c>
      <c r="U31" s="152" t="s">
        <v>465</v>
      </c>
    </row>
    <row r="32" spans="1:21" s="150" customFormat="1" ht="28" x14ac:dyDescent="0.15">
      <c r="A32" s="146">
        <v>60010</v>
      </c>
      <c r="B32" s="147" t="str">
        <f ca="1">VLOOKUP($A32,OFFSET([2]quests!$A$1,0,0,COUNTA([2]quests!$A:$A),MATCH(B$1,[2]quests!$1:$1,0)-MATCH($A$1,[2]quests!$1:$1,0)+1),MATCH(B$1,[2]quests!$1:$1,0)-MATCH($A$1,[2]quests!$1:$1,0)+1,FALSE)</f>
        <v>ラグランジュチャレンジ</v>
      </c>
      <c r="C32" s="147" t="str">
        <f ca="1">VLOOKUP($A32,OFFSET([2]quests!$A$1,0,0,COUNTA([2]quests!$A:$A),MATCH(C$1,[2]quests!$1:$1,0)-MATCH($A$1,[2]quests!$1:$1,0)+1),MATCH(C$1,[2]quests!$1:$1,0)-MATCH($A$1,[2]quests!$1:$1,0)+1,FALSE)</f>
        <v>ランキング2（ラグランジュ）</v>
      </c>
      <c r="D32" s="146">
        <v>6</v>
      </c>
      <c r="E32" s="148">
        <v>10</v>
      </c>
      <c r="F32" s="149" t="str">
        <f t="shared" si="2"/>
        <v>600100010</v>
      </c>
      <c r="G32" s="150" t="str">
        <f>F32&amp;TEXT(COUNTIF(F$2:F32,F32),"00")</f>
        <v>60010001006</v>
      </c>
      <c r="H32" s="151" t="s">
        <v>445</v>
      </c>
      <c r="I32" s="151">
        <v>3</v>
      </c>
      <c r="J32" s="151" t="s">
        <v>446</v>
      </c>
      <c r="K32" s="151">
        <v>0</v>
      </c>
      <c r="L32" s="151">
        <v>0</v>
      </c>
      <c r="M32" s="151">
        <v>0</v>
      </c>
      <c r="N32" s="151">
        <v>0</v>
      </c>
      <c r="O32" s="151">
        <v>1</v>
      </c>
      <c r="P32" s="151">
        <v>1</v>
      </c>
      <c r="Q32" s="151">
        <v>1</v>
      </c>
      <c r="R32" s="151" t="s">
        <v>447</v>
      </c>
      <c r="S32" s="151" t="s">
        <v>448</v>
      </c>
      <c r="T32" s="151" t="s">
        <v>411</v>
      </c>
      <c r="U32" s="152" t="s">
        <v>465</v>
      </c>
    </row>
    <row r="33" spans="1:21" s="150" customFormat="1" ht="28" x14ac:dyDescent="0.15">
      <c r="A33" s="146">
        <v>60010</v>
      </c>
      <c r="B33" s="147" t="str">
        <f ca="1">VLOOKUP($A33,OFFSET([2]quests!$A$1,0,0,COUNTA([2]quests!$A:$A),MATCH(B$1,[2]quests!$1:$1,0)-MATCH($A$1,[2]quests!$1:$1,0)+1),MATCH(B$1,[2]quests!$1:$1,0)-MATCH($A$1,[2]quests!$1:$1,0)+1,FALSE)</f>
        <v>ラグランジュチャレンジ</v>
      </c>
      <c r="C33" s="147" t="str">
        <f ca="1">VLOOKUP($A33,OFFSET([2]quests!$A$1,0,0,COUNTA([2]quests!$A:$A),MATCH(C$1,[2]quests!$1:$1,0)-MATCH($A$1,[2]quests!$1:$1,0)+1),MATCH(C$1,[2]quests!$1:$1,0)-MATCH($A$1,[2]quests!$1:$1,0)+1,FALSE)</f>
        <v>ランキング2（ラグランジュ）</v>
      </c>
      <c r="D33" s="146">
        <v>6</v>
      </c>
      <c r="E33" s="148">
        <v>10</v>
      </c>
      <c r="F33" s="149" t="str">
        <f t="shared" si="2"/>
        <v>600100010</v>
      </c>
      <c r="G33" s="150" t="str">
        <f>F33&amp;TEXT(COUNTIF(F$2:F33,F33),"00")</f>
        <v>60010001007</v>
      </c>
      <c r="H33" s="151" t="s">
        <v>449</v>
      </c>
      <c r="I33" s="151">
        <v>2000</v>
      </c>
      <c r="J33" s="151" t="s">
        <v>433</v>
      </c>
      <c r="K33" s="151">
        <v>0</v>
      </c>
      <c r="L33" s="151">
        <v>0</v>
      </c>
      <c r="M33" s="151">
        <v>0</v>
      </c>
      <c r="N33" s="151">
        <v>0</v>
      </c>
      <c r="O33" s="151">
        <v>1</v>
      </c>
      <c r="P33" s="151">
        <v>1</v>
      </c>
      <c r="Q33" s="151">
        <v>1</v>
      </c>
      <c r="R33" s="151" t="s">
        <v>434</v>
      </c>
      <c r="S33" s="151" t="s">
        <v>450</v>
      </c>
      <c r="T33" s="151" t="s">
        <v>411</v>
      </c>
      <c r="U33" s="152" t="s">
        <v>465</v>
      </c>
    </row>
    <row r="34" spans="1:21" s="150" customFormat="1" ht="28" x14ac:dyDescent="0.15">
      <c r="A34" s="146">
        <v>60010</v>
      </c>
      <c r="B34" s="147" t="str">
        <f ca="1">VLOOKUP($A34,OFFSET([2]quests!$A$1,0,0,COUNTA([2]quests!$A:$A),MATCH(B$1,[2]quests!$1:$1,0)-MATCH($A$1,[2]quests!$1:$1,0)+1),MATCH(B$1,[2]quests!$1:$1,0)-MATCH($A$1,[2]quests!$1:$1,0)+1,FALSE)</f>
        <v>ラグランジュチャレンジ</v>
      </c>
      <c r="C34" s="147" t="str">
        <f ca="1">VLOOKUP($A34,OFFSET([2]quests!$A$1,0,0,COUNTA([2]quests!$A:$A),MATCH(C$1,[2]quests!$1:$1,0)-MATCH($A$1,[2]quests!$1:$1,0)+1),MATCH(C$1,[2]quests!$1:$1,0)-MATCH($A$1,[2]quests!$1:$1,0)+1,FALSE)</f>
        <v>ランキング2（ラグランジュ）</v>
      </c>
      <c r="D34" s="146">
        <v>11</v>
      </c>
      <c r="E34" s="148">
        <v>25</v>
      </c>
      <c r="F34" s="149" t="str">
        <f t="shared" si="2"/>
        <v>600100025</v>
      </c>
      <c r="G34" s="150" t="str">
        <f>F34&amp;TEXT(COUNTIF(F$2:F34,F34),"00")</f>
        <v>60010002501</v>
      </c>
      <c r="H34" s="151" t="s">
        <v>413</v>
      </c>
      <c r="I34" s="151">
        <v>3</v>
      </c>
      <c r="J34" s="151" t="s">
        <v>90</v>
      </c>
      <c r="K34" s="151">
        <v>0</v>
      </c>
      <c r="L34" s="151">
        <v>0</v>
      </c>
      <c r="M34" s="151">
        <v>0</v>
      </c>
      <c r="N34" s="151">
        <v>0</v>
      </c>
      <c r="O34" s="151">
        <v>1</v>
      </c>
      <c r="P34" s="151">
        <v>1</v>
      </c>
      <c r="Q34" s="151">
        <v>1</v>
      </c>
      <c r="R34" s="151" t="s">
        <v>239</v>
      </c>
      <c r="S34" s="151" t="s">
        <v>451</v>
      </c>
      <c r="T34" s="151" t="s">
        <v>411</v>
      </c>
      <c r="U34" s="152" t="s">
        <v>465</v>
      </c>
    </row>
    <row r="35" spans="1:21" s="150" customFormat="1" ht="28" x14ac:dyDescent="0.15">
      <c r="A35" s="146">
        <v>60010</v>
      </c>
      <c r="B35" s="147" t="str">
        <f ca="1">VLOOKUP($A35,OFFSET([2]quests!$A$1,0,0,COUNTA([2]quests!$A:$A),MATCH(B$1,[2]quests!$1:$1,0)-MATCH($A$1,[2]quests!$1:$1,0)+1),MATCH(B$1,[2]quests!$1:$1,0)-MATCH($A$1,[2]quests!$1:$1,0)+1,FALSE)</f>
        <v>ラグランジュチャレンジ</v>
      </c>
      <c r="C35" s="147" t="str">
        <f ca="1">VLOOKUP($A35,OFFSET([2]quests!$A$1,0,0,COUNTA([2]quests!$A:$A),MATCH(C$1,[2]quests!$1:$1,0)-MATCH($A$1,[2]quests!$1:$1,0)+1),MATCH(C$1,[2]quests!$1:$1,0)-MATCH($A$1,[2]quests!$1:$1,0)+1,FALSE)</f>
        <v>ランキング2（ラグランジュ）</v>
      </c>
      <c r="D35" s="146">
        <v>11</v>
      </c>
      <c r="E35" s="148">
        <v>25</v>
      </c>
      <c r="F35" s="149" t="str">
        <f t="shared" si="2"/>
        <v>600100025</v>
      </c>
      <c r="G35" s="150" t="str">
        <f>F35&amp;TEXT(COUNTIF(F$2:F35,F35),"00")</f>
        <v>60010002502</v>
      </c>
      <c r="H35" s="151" t="s">
        <v>449</v>
      </c>
      <c r="I35" s="151">
        <v>2000</v>
      </c>
      <c r="J35" s="151" t="s">
        <v>433</v>
      </c>
      <c r="K35" s="151">
        <v>0</v>
      </c>
      <c r="L35" s="151">
        <v>0</v>
      </c>
      <c r="M35" s="151">
        <v>0</v>
      </c>
      <c r="N35" s="151">
        <v>0</v>
      </c>
      <c r="O35" s="151">
        <v>1</v>
      </c>
      <c r="P35" s="151">
        <v>1</v>
      </c>
      <c r="Q35" s="151">
        <v>1</v>
      </c>
      <c r="R35" s="151" t="s">
        <v>434</v>
      </c>
      <c r="S35" s="151" t="s">
        <v>450</v>
      </c>
      <c r="T35" s="151" t="s">
        <v>411</v>
      </c>
      <c r="U35" s="152" t="s">
        <v>465</v>
      </c>
    </row>
    <row r="36" spans="1:21" s="150" customFormat="1" ht="28" x14ac:dyDescent="0.15">
      <c r="A36" s="146">
        <v>60010</v>
      </c>
      <c r="B36" s="147" t="str">
        <f ca="1">VLOOKUP($A36,OFFSET([2]quests!$A$1,0,0,COUNTA([2]quests!$A:$A),MATCH(B$1,[2]quests!$1:$1,0)-MATCH($A$1,[2]quests!$1:$1,0)+1),MATCH(B$1,[2]quests!$1:$1,0)-MATCH($A$1,[2]quests!$1:$1,0)+1,FALSE)</f>
        <v>ラグランジュチャレンジ</v>
      </c>
      <c r="C36" s="147" t="str">
        <f ca="1">VLOOKUP($A36,OFFSET([2]quests!$A$1,0,0,COUNTA([2]quests!$A:$A),MATCH(C$1,[2]quests!$1:$1,0)-MATCH($A$1,[2]quests!$1:$1,0)+1),MATCH(C$1,[2]quests!$1:$1,0)-MATCH($A$1,[2]quests!$1:$1,0)+1,FALSE)</f>
        <v>ランキング2（ラグランジュ）</v>
      </c>
      <c r="D36" s="146">
        <v>11</v>
      </c>
      <c r="E36" s="148">
        <v>25</v>
      </c>
      <c r="F36" s="149" t="str">
        <f t="shared" si="2"/>
        <v>600100025</v>
      </c>
      <c r="G36" s="150" t="str">
        <f>F36&amp;TEXT(COUNTIF(F$2:F36,F36),"00")</f>
        <v>60010002503</v>
      </c>
      <c r="H36" s="151" t="s">
        <v>452</v>
      </c>
      <c r="I36" s="151">
        <v>200000</v>
      </c>
      <c r="J36" s="151" t="s">
        <v>90</v>
      </c>
      <c r="K36" s="151">
        <v>0</v>
      </c>
      <c r="L36" s="151">
        <v>0</v>
      </c>
      <c r="M36" s="151">
        <v>0</v>
      </c>
      <c r="N36" s="151">
        <v>0</v>
      </c>
      <c r="O36" s="151">
        <v>1</v>
      </c>
      <c r="P36" s="151">
        <v>1</v>
      </c>
      <c r="Q36" s="151">
        <v>1</v>
      </c>
      <c r="R36" s="151" t="s">
        <v>239</v>
      </c>
      <c r="S36" s="151" t="s">
        <v>453</v>
      </c>
      <c r="T36" s="151" t="s">
        <v>411</v>
      </c>
      <c r="U36" s="152" t="s">
        <v>465</v>
      </c>
    </row>
    <row r="37" spans="1:21" s="150" customFormat="1" ht="28" x14ac:dyDescent="0.15">
      <c r="A37" s="146">
        <v>60010</v>
      </c>
      <c r="B37" s="147" t="str">
        <f ca="1">VLOOKUP($A37,OFFSET([2]quests!$A$1,0,0,COUNTA([2]quests!$A:$A),MATCH(B$1,[2]quests!$1:$1,0)-MATCH($A$1,[2]quests!$1:$1,0)+1),MATCH(B$1,[2]quests!$1:$1,0)-MATCH($A$1,[2]quests!$1:$1,0)+1,FALSE)</f>
        <v>ラグランジュチャレンジ</v>
      </c>
      <c r="C37" s="147" t="str">
        <f ca="1">VLOOKUP($A37,OFFSET([2]quests!$A$1,0,0,COUNTA([2]quests!$A:$A),MATCH(C$1,[2]quests!$1:$1,0)-MATCH($A$1,[2]quests!$1:$1,0)+1),MATCH(C$1,[2]quests!$1:$1,0)-MATCH($A$1,[2]quests!$1:$1,0)+1,FALSE)</f>
        <v>ランキング2（ラグランジュ）</v>
      </c>
      <c r="D37" s="146">
        <v>26</v>
      </c>
      <c r="E37" s="148">
        <v>35</v>
      </c>
      <c r="F37" s="149" t="str">
        <f t="shared" si="2"/>
        <v>600100035</v>
      </c>
      <c r="G37" s="150" t="str">
        <f>F37&amp;TEXT(COUNTIF(F$2:F37,F37),"00")</f>
        <v>60010003501</v>
      </c>
      <c r="H37" s="151" t="s">
        <v>413</v>
      </c>
      <c r="I37" s="151">
        <v>2</v>
      </c>
      <c r="J37" s="151" t="s">
        <v>90</v>
      </c>
      <c r="K37" s="151">
        <v>0</v>
      </c>
      <c r="L37" s="151">
        <v>0</v>
      </c>
      <c r="M37" s="151">
        <v>0</v>
      </c>
      <c r="N37" s="151">
        <v>0</v>
      </c>
      <c r="O37" s="151">
        <v>1</v>
      </c>
      <c r="P37" s="151">
        <v>1</v>
      </c>
      <c r="Q37" s="151">
        <v>1</v>
      </c>
      <c r="R37" s="151" t="s">
        <v>239</v>
      </c>
      <c r="S37" s="151" t="s">
        <v>454</v>
      </c>
      <c r="T37" s="151" t="s">
        <v>411</v>
      </c>
      <c r="U37" s="152" t="s">
        <v>465</v>
      </c>
    </row>
    <row r="38" spans="1:21" s="150" customFormat="1" ht="28" x14ac:dyDescent="0.15">
      <c r="A38" s="146">
        <v>60010</v>
      </c>
      <c r="B38" s="147" t="str">
        <f ca="1">VLOOKUP($A38,OFFSET([2]quests!$A$1,0,0,COUNTA([2]quests!$A:$A),MATCH(B$1,[2]quests!$1:$1,0)-MATCH($A$1,[2]quests!$1:$1,0)+1),MATCH(B$1,[2]quests!$1:$1,0)-MATCH($A$1,[2]quests!$1:$1,0)+1,FALSE)</f>
        <v>ラグランジュチャレンジ</v>
      </c>
      <c r="C38" s="147" t="str">
        <f ca="1">VLOOKUP($A38,OFFSET([2]quests!$A$1,0,0,COUNTA([2]quests!$A:$A),MATCH(C$1,[2]quests!$1:$1,0)-MATCH($A$1,[2]quests!$1:$1,0)+1),MATCH(C$1,[2]quests!$1:$1,0)-MATCH($A$1,[2]quests!$1:$1,0)+1,FALSE)</f>
        <v>ランキング2（ラグランジュ）</v>
      </c>
      <c r="D38" s="146">
        <v>26</v>
      </c>
      <c r="E38" s="148">
        <v>35</v>
      </c>
      <c r="F38" s="149" t="str">
        <f t="shared" si="2"/>
        <v>600100035</v>
      </c>
      <c r="G38" s="150" t="str">
        <f>F38&amp;TEXT(COUNTIF(F$2:F38,F38),"00")</f>
        <v>60010003502</v>
      </c>
      <c r="H38" s="151" t="s">
        <v>436</v>
      </c>
      <c r="I38" s="151">
        <v>1000</v>
      </c>
      <c r="J38" s="151" t="s">
        <v>90</v>
      </c>
      <c r="K38" s="151">
        <v>0</v>
      </c>
      <c r="L38" s="151">
        <v>0</v>
      </c>
      <c r="M38" s="151">
        <v>0</v>
      </c>
      <c r="N38" s="151">
        <v>0</v>
      </c>
      <c r="O38" s="151">
        <v>1</v>
      </c>
      <c r="P38" s="151">
        <v>1</v>
      </c>
      <c r="Q38" s="151">
        <v>1</v>
      </c>
      <c r="R38" s="151" t="s">
        <v>239</v>
      </c>
      <c r="S38" s="151" t="s">
        <v>455</v>
      </c>
      <c r="T38" s="151" t="s">
        <v>411</v>
      </c>
      <c r="U38" s="152" t="s">
        <v>465</v>
      </c>
    </row>
    <row r="39" spans="1:21" s="150" customFormat="1" ht="28" x14ac:dyDescent="0.15">
      <c r="A39" s="146">
        <v>60010</v>
      </c>
      <c r="B39" s="147" t="str">
        <f ca="1">VLOOKUP($A39,OFFSET([2]quests!$A$1,0,0,COUNTA([2]quests!$A:$A),MATCH(B$1,[2]quests!$1:$1,0)-MATCH($A$1,[2]quests!$1:$1,0)+1),MATCH(B$1,[2]quests!$1:$1,0)-MATCH($A$1,[2]quests!$1:$1,0)+1,FALSE)</f>
        <v>ラグランジュチャレンジ</v>
      </c>
      <c r="C39" s="147" t="str">
        <f ca="1">VLOOKUP($A39,OFFSET([2]quests!$A$1,0,0,COUNTA([2]quests!$A:$A),MATCH(C$1,[2]quests!$1:$1,0)-MATCH($A$1,[2]quests!$1:$1,0)+1),MATCH(C$1,[2]quests!$1:$1,0)-MATCH($A$1,[2]quests!$1:$1,0)+1,FALSE)</f>
        <v>ランキング2（ラグランジュ）</v>
      </c>
      <c r="D39" s="146">
        <v>26</v>
      </c>
      <c r="E39" s="148">
        <v>35</v>
      </c>
      <c r="F39" s="149" t="str">
        <f t="shared" si="2"/>
        <v>600100035</v>
      </c>
      <c r="G39" s="150" t="str">
        <f>F39&amp;TEXT(COUNTIF(F$2:F39,F39),"00")</f>
        <v>60010003503</v>
      </c>
      <c r="H39" s="151" t="s">
        <v>456</v>
      </c>
      <c r="I39" s="151">
        <v>150000</v>
      </c>
      <c r="J39" s="151" t="s">
        <v>433</v>
      </c>
      <c r="K39" s="151">
        <v>0</v>
      </c>
      <c r="L39" s="151">
        <v>0</v>
      </c>
      <c r="M39" s="151">
        <v>0</v>
      </c>
      <c r="N39" s="151">
        <v>0</v>
      </c>
      <c r="O39" s="151">
        <v>1</v>
      </c>
      <c r="P39" s="151">
        <v>1</v>
      </c>
      <c r="Q39" s="151">
        <v>1</v>
      </c>
      <c r="R39" s="151" t="s">
        <v>434</v>
      </c>
      <c r="S39" s="151" t="s">
        <v>457</v>
      </c>
      <c r="T39" s="151" t="s">
        <v>411</v>
      </c>
      <c r="U39" s="152" t="s">
        <v>465</v>
      </c>
    </row>
    <row r="40" spans="1:21" s="150" customFormat="1" ht="28" x14ac:dyDescent="0.15">
      <c r="A40" s="146">
        <v>60010</v>
      </c>
      <c r="B40" s="147" t="str">
        <f ca="1">VLOOKUP($A40,OFFSET([2]quests!$A$1,0,0,COUNTA([2]quests!$A:$A),MATCH(B$1,[2]quests!$1:$1,0)-MATCH($A$1,[2]quests!$1:$1,0)+1),MATCH(B$1,[2]quests!$1:$1,0)-MATCH($A$1,[2]quests!$1:$1,0)+1,FALSE)</f>
        <v>ラグランジュチャレンジ</v>
      </c>
      <c r="C40" s="147" t="str">
        <f ca="1">VLOOKUP($A40,OFFSET([2]quests!$A$1,0,0,COUNTA([2]quests!$A:$A),MATCH(C$1,[2]quests!$1:$1,0)-MATCH($A$1,[2]quests!$1:$1,0)+1),MATCH(C$1,[2]quests!$1:$1,0)-MATCH($A$1,[2]quests!$1:$1,0)+1,FALSE)</f>
        <v>ランキング2（ラグランジュ）</v>
      </c>
      <c r="D40" s="146">
        <v>36</v>
      </c>
      <c r="E40" s="148">
        <v>1000</v>
      </c>
      <c r="F40" s="149" t="str">
        <f t="shared" si="2"/>
        <v>600101000</v>
      </c>
      <c r="G40" s="150" t="str">
        <f>F40&amp;TEXT(COUNTIF(F$2:F40,F40),"00")</f>
        <v>60010100001</v>
      </c>
      <c r="H40" s="151" t="s">
        <v>458</v>
      </c>
      <c r="I40" s="151">
        <v>1</v>
      </c>
      <c r="J40" s="151" t="s">
        <v>459</v>
      </c>
      <c r="K40" s="151">
        <v>0</v>
      </c>
      <c r="L40" s="151">
        <v>0</v>
      </c>
      <c r="M40" s="151">
        <v>0</v>
      </c>
      <c r="N40" s="151">
        <v>0</v>
      </c>
      <c r="O40" s="151">
        <v>1</v>
      </c>
      <c r="P40" s="151">
        <v>1</v>
      </c>
      <c r="Q40" s="151">
        <v>1</v>
      </c>
      <c r="R40" s="151" t="s">
        <v>460</v>
      </c>
      <c r="S40" s="151" t="s">
        <v>461</v>
      </c>
      <c r="T40" s="151" t="s">
        <v>411</v>
      </c>
      <c r="U40" s="152" t="s">
        <v>465</v>
      </c>
    </row>
    <row r="41" spans="1:21" s="150" customFormat="1" ht="28" x14ac:dyDescent="0.15">
      <c r="A41" s="146">
        <v>60010</v>
      </c>
      <c r="B41" s="147" t="str">
        <f ca="1">VLOOKUP($A41,OFFSET([2]quests!$A$1,0,0,COUNTA([2]quests!$A:$A),MATCH(B$1,[2]quests!$1:$1,0)-MATCH($A$1,[2]quests!$1:$1,0)+1),MATCH(B$1,[2]quests!$1:$1,0)-MATCH($A$1,[2]quests!$1:$1,0)+1,FALSE)</f>
        <v>ラグランジュチャレンジ</v>
      </c>
      <c r="C41" s="147" t="str">
        <f ca="1">VLOOKUP($A41,OFFSET([2]quests!$A$1,0,0,COUNTA([2]quests!$A:$A),MATCH(C$1,[2]quests!$1:$1,0)-MATCH($A$1,[2]quests!$1:$1,0)+1),MATCH(C$1,[2]quests!$1:$1,0)-MATCH($A$1,[2]quests!$1:$1,0)+1,FALSE)</f>
        <v>ランキング2（ラグランジュ）</v>
      </c>
      <c r="D41" s="146">
        <v>36</v>
      </c>
      <c r="E41" s="148">
        <v>1000</v>
      </c>
      <c r="F41" s="149" t="str">
        <f t="shared" si="2"/>
        <v>600101000</v>
      </c>
      <c r="G41" s="150" t="str">
        <f>F41&amp;TEXT(COUNTIF(F$2:F41,F41),"00")</f>
        <v>60010100002</v>
      </c>
      <c r="H41" s="151" t="s">
        <v>462</v>
      </c>
      <c r="I41" s="151">
        <v>1000</v>
      </c>
      <c r="J41" s="151" t="s">
        <v>446</v>
      </c>
      <c r="K41" s="151">
        <v>0</v>
      </c>
      <c r="L41" s="151">
        <v>0</v>
      </c>
      <c r="M41" s="151">
        <v>0</v>
      </c>
      <c r="N41" s="151">
        <v>0</v>
      </c>
      <c r="O41" s="151">
        <v>1</v>
      </c>
      <c r="P41" s="151">
        <v>1</v>
      </c>
      <c r="Q41" s="151">
        <v>1</v>
      </c>
      <c r="R41" s="151" t="s">
        <v>447</v>
      </c>
      <c r="S41" s="151" t="s">
        <v>463</v>
      </c>
      <c r="T41" s="151" t="s">
        <v>411</v>
      </c>
      <c r="U41" s="152" t="s">
        <v>465</v>
      </c>
    </row>
    <row r="42" spans="1:21" s="150" customFormat="1" ht="28" x14ac:dyDescent="0.15">
      <c r="A42" s="146">
        <v>60010</v>
      </c>
      <c r="B42" s="147" t="str">
        <f ca="1">VLOOKUP($A42,OFFSET([2]quests!$A$1,0,0,COUNTA([2]quests!$A:$A),MATCH(B$1,[2]quests!$1:$1,0)-MATCH($A$1,[2]quests!$1:$1,0)+1),MATCH(B$1,[2]quests!$1:$1,0)-MATCH($A$1,[2]quests!$1:$1,0)+1,FALSE)</f>
        <v>ラグランジュチャレンジ</v>
      </c>
      <c r="C42" s="147" t="str">
        <f ca="1">VLOOKUP($A42,OFFSET([2]quests!$A$1,0,0,COUNTA([2]quests!$A:$A),MATCH(C$1,[2]quests!$1:$1,0)-MATCH($A$1,[2]quests!$1:$1,0)+1),MATCH(C$1,[2]quests!$1:$1,0)-MATCH($A$1,[2]quests!$1:$1,0)+1,FALSE)</f>
        <v>ランキング2（ラグランジュ）</v>
      </c>
      <c r="D42" s="146">
        <v>36</v>
      </c>
      <c r="E42" s="148">
        <v>1000</v>
      </c>
      <c r="F42" s="149" t="str">
        <f t="shared" si="2"/>
        <v>600101000</v>
      </c>
      <c r="G42" s="150" t="str">
        <f>F42&amp;TEXT(COUNTIF(F$2:F42,F42),"00")</f>
        <v>60010100003</v>
      </c>
      <c r="H42" s="151" t="s">
        <v>456</v>
      </c>
      <c r="I42" s="151">
        <v>100000</v>
      </c>
      <c r="J42" s="151" t="s">
        <v>433</v>
      </c>
      <c r="K42" s="151">
        <v>0</v>
      </c>
      <c r="L42" s="151">
        <v>0</v>
      </c>
      <c r="M42" s="151">
        <v>0</v>
      </c>
      <c r="N42" s="151">
        <v>0</v>
      </c>
      <c r="O42" s="151">
        <v>1</v>
      </c>
      <c r="P42" s="151">
        <v>1</v>
      </c>
      <c r="Q42" s="151">
        <v>1</v>
      </c>
      <c r="R42" s="151" t="s">
        <v>434</v>
      </c>
      <c r="S42" s="151" t="s">
        <v>464</v>
      </c>
      <c r="T42" s="151" t="s">
        <v>411</v>
      </c>
      <c r="U42" s="152" t="s">
        <v>465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T18" sqref="T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8.3320312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181</v>
      </c>
    </row>
    <row r="2" spans="1:40" ht="21" customHeight="1" x14ac:dyDescent="0.15">
      <c r="A2" s="16" t="str">
        <f>B2&amp;"_"&amp;C2&amp;"-"&amp;G2&amp;"/"&amp;L2&amp;"&lt;lv"&amp;R2&amp;"&gt;s"&amp;AA2</f>
        <v>60010_1-1/6002&lt;lv60&gt;s2</v>
      </c>
      <c r="B2" s="21">
        <v>60010</v>
      </c>
      <c r="C2" s="20">
        <v>1</v>
      </c>
      <c r="D2" s="2" t="str">
        <f>B2&amp;"_"&amp;C2</f>
        <v>60010_1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ラグランジュチャレンジ</v>
      </c>
      <c r="G2" s="20">
        <v>1</v>
      </c>
      <c r="H2" s="15" t="str">
        <f>B2&amp;"_"&amp;C2&amp;"-"&amp;G2</f>
        <v>60010_1-1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4">
        <v>6002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ヨシタカ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0.3</v>
      </c>
      <c r="T2" s="24">
        <v>0.8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6001001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6002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60010_1-1/6001&lt;lv60&gt;s2</v>
      </c>
      <c r="B3" s="21">
        <v>60010</v>
      </c>
      <c r="C3" s="20">
        <v>1</v>
      </c>
      <c r="D3" s="2" t="str">
        <f>B3&amp;"_"&amp;C3</f>
        <v>60010_1</v>
      </c>
      <c r="E3" s="4" t="str">
        <f ca="1">VLOOKUP($B3,OFFSET([2]quests!$A$1,0,0,COUNTA([2]quests!$A:$A),MATCH(E$1,[2]quests!$1:$1,0)-MATCH($B$1,[2]quests!$1:$1,0)+1),MATCH(E$1,[2]quests!$1:$1,0)-MATCH($B$1,[2]quests!$1:$1,0)+1,FALSE)</f>
        <v>ラグランジュチャレンジ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ラグランジュチャレンジ</v>
      </c>
      <c r="G3" s="20">
        <v>1</v>
      </c>
      <c r="H3" s="15" t="str">
        <f>B3&amp;"_"&amp;C3&amp;"-"&amp;G3</f>
        <v>60010_1-1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4">
        <v>6001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0.3</v>
      </c>
      <c r="T3" s="24">
        <v>0.6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6001002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6001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3">
        <f ca="1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60010_1-2/6003&lt;lv60&gt;s2</v>
      </c>
      <c r="B4" s="21">
        <v>60010</v>
      </c>
      <c r="C4" s="20">
        <v>1</v>
      </c>
      <c r="D4" s="2" t="str">
        <f>B4&amp;"_"&amp;C4</f>
        <v>60010_1</v>
      </c>
      <c r="E4" s="4" t="str">
        <f ca="1">VLOOKUP($B4,OFFSET([2]quests!$A$1,0,0,COUNTA([2]quests!$A:$A),MATCH(E$1,[2]quests!$1:$1,0)-MATCH($B$1,[2]quests!$1:$1,0)+1),MATCH(E$1,[2]quests!$1:$1,0)-MATCH($B$1,[2]quests!$1:$1,0)+1,FALSE)</f>
        <v>ラグランジュチャレンジ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ラグランジュチャレンジ</v>
      </c>
      <c r="G4" s="20">
        <v>2</v>
      </c>
      <c r="H4" s="15" t="str">
        <f>B4&amp;"_"&amp;C4&amp;"-"&amp;G4</f>
        <v>60010_1-2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14">
        <v>6003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朱雀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25</v>
      </c>
      <c r="R4" s="5">
        <v>60</v>
      </c>
      <c r="S4" s="24">
        <v>1</v>
      </c>
      <c r="T4" s="24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単体攻撃</v>
      </c>
      <c r="W4" s="4">
        <v>6001003</v>
      </c>
      <c r="X4" s="6">
        <v>1</v>
      </c>
      <c r="Y4" s="6">
        <v>100</v>
      </c>
      <c r="Z4" s="6">
        <v>1</v>
      </c>
      <c r="AA4" s="17">
        <v>2</v>
      </c>
      <c r="AB4" s="23">
        <f>L4</f>
        <v>6003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朱雀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3">
        <f ca="1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ref="A5" si="0">B5&amp;"_"&amp;C5&amp;"-"&amp;G5&amp;"/"&amp;L5&amp;"&lt;lv"&amp;R5&amp;"&gt;s"&amp;AA5</f>
        <v>60010_1-2/6004&lt;lv60&gt;s1</v>
      </c>
      <c r="B5" s="21">
        <v>60010</v>
      </c>
      <c r="C5" s="20">
        <v>1</v>
      </c>
      <c r="D5" s="2" t="str">
        <f t="shared" ref="D5" si="1">B5&amp;"_"&amp;C5</f>
        <v>60010_1</v>
      </c>
      <c r="E5" s="4" t="str">
        <f ca="1">VLOOKUP($B5,OFFSET([2]quests!$A$1,0,0,COUNTA([2]quests!$A:$A),MATCH(E$1,[2]quests!$1:$1,0)-MATCH($B$1,[2]quests!$1:$1,0)+1),MATCH(E$1,[2]quests!$1:$1,0)-MATCH($B$1,[2]quests!$1:$1,0)+1,FALSE)</f>
        <v>ラグランジュチャレンジ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ラグランジュチャレンジ</v>
      </c>
      <c r="G5" s="20">
        <v>2</v>
      </c>
      <c r="H5" s="15" t="str">
        <f t="shared" ref="H5" si="2">B5&amp;"_"&amp;C5&amp;"-"&amp;G5</f>
        <v>60010_1-2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14">
        <v>6004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4">
        <v>0.6</v>
      </c>
      <c r="T5" s="24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5回連続攻撃</v>
      </c>
      <c r="W5" s="4">
        <v>6001004</v>
      </c>
      <c r="X5" s="6">
        <v>2</v>
      </c>
      <c r="Y5" s="6">
        <v>100</v>
      </c>
      <c r="Z5" s="6">
        <v>0</v>
      </c>
      <c r="AA5" s="17">
        <v>1</v>
      </c>
      <c r="AB5" s="23">
        <f t="shared" ref="AB5" si="3">L5</f>
        <v>6004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t="shared" ref="AG5" ca="1" si="4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:A9" si="5">B6&amp;"_"&amp;C6&amp;"-"&amp;G6&amp;"/"&amp;L6&amp;"&lt;lv"&amp;R6&amp;"&gt;s"&amp;AA6</f>
        <v>60010_1-3/6005&lt;lv60&gt;s2</v>
      </c>
      <c r="B6" s="21">
        <v>60010</v>
      </c>
      <c r="C6" s="20">
        <v>1</v>
      </c>
      <c r="D6" s="2" t="str">
        <f t="shared" ref="D6:D9" si="6">B6&amp;"_"&amp;C6</f>
        <v>60010_1</v>
      </c>
      <c r="E6" s="4" t="str">
        <f ca="1">VLOOKUP($B6,OFFSET([2]quests!$A$1,0,0,COUNTA([2]quests!$A:$A),MATCH(E$1,[2]quests!$1:$1,0)-MATCH($B$1,[2]quests!$1:$1,0)+1),MATCH(E$1,[2]quests!$1:$1,0)-MATCH($B$1,[2]quests!$1:$1,0)+1,FALSE)</f>
        <v>ラグランジュチャレンジ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ラグランジュチャレンジ</v>
      </c>
      <c r="G6" s="20">
        <v>3</v>
      </c>
      <c r="H6" s="15" t="str">
        <f t="shared" ref="H6:H9" si="7">B6&amp;"_"&amp;C6&amp;"-"&amp;G6</f>
        <v>60010_1-3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14">
        <v>6005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孤神 テティス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2</v>
      </c>
      <c r="T6" s="24">
        <v>1.4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お邪魔パネル8個生成</v>
      </c>
      <c r="W6" s="4">
        <v>6001005</v>
      </c>
      <c r="X6" s="6">
        <v>1</v>
      </c>
      <c r="Y6" s="6">
        <v>100</v>
      </c>
      <c r="Z6" s="6">
        <v>1</v>
      </c>
      <c r="AA6" s="17">
        <v>2</v>
      </c>
      <c r="AB6" s="23">
        <f t="shared" ref="AB6:AB9" si="8">L6</f>
        <v>6005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孤神 テティス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7">
        <v>1</v>
      </c>
      <c r="AG6" s="23">
        <f t="shared" ref="AG6:AG9" ca="1" si="9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5"/>
        <v>60010_1-4/6007&lt;lv60&gt;s2</v>
      </c>
      <c r="B7" s="21">
        <v>60010</v>
      </c>
      <c r="C7" s="20">
        <v>1</v>
      </c>
      <c r="D7" s="2" t="str">
        <f t="shared" si="6"/>
        <v>60010_1</v>
      </c>
      <c r="E7" s="4" t="str">
        <f ca="1">VLOOKUP($B7,OFFSET([2]quests!$A$1,0,0,COUNTA([2]quests!$A:$A),MATCH(E$1,[2]quests!$1:$1,0)-MATCH($B$1,[2]quests!$1:$1,0)+1),MATCH(E$1,[2]quests!$1:$1,0)-MATCH($B$1,[2]quests!$1:$1,0)+1,FALSE)</f>
        <v>ラグランジュチャレンジ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ラグランジュチャレンジ</v>
      </c>
      <c r="G7" s="20">
        <v>4</v>
      </c>
      <c r="H7" s="15" t="str">
        <f t="shared" si="7"/>
        <v>60010_1-4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114">
        <v>6007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番犬 ケルベロス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4</v>
      </c>
      <c r="T7" s="24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7" s="4">
        <v>6001007</v>
      </c>
      <c r="X7" s="6">
        <v>1</v>
      </c>
      <c r="Y7" s="6">
        <v>100</v>
      </c>
      <c r="Z7" s="6">
        <v>1</v>
      </c>
      <c r="AA7" s="17">
        <v>2</v>
      </c>
      <c r="AB7" s="23">
        <f t="shared" si="8"/>
        <v>6007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3">
        <f t="shared" ca="1" si="9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ref="A8" si="10">B8&amp;"_"&amp;C8&amp;"-"&amp;G8&amp;"/"&amp;L8&amp;"&lt;lv"&amp;R8&amp;"&gt;s"&amp;AA8</f>
        <v>60010_1-4/6008&lt;lv60&gt;s3</v>
      </c>
      <c r="B8" s="21">
        <v>60010</v>
      </c>
      <c r="C8" s="20">
        <v>1</v>
      </c>
      <c r="D8" s="2" t="str">
        <f t="shared" ref="D8" si="11">B8&amp;"_"&amp;C8</f>
        <v>60010_1</v>
      </c>
      <c r="E8" s="4" t="str">
        <f ca="1">VLOOKUP($B8,OFFSET([2]quests!$A$1,0,0,COUNTA([2]quests!$A:$A),MATCH(E$1,[2]quests!$1:$1,0)-MATCH($B$1,[2]quests!$1:$1,0)+1),MATCH(E$1,[2]quests!$1:$1,0)-MATCH($B$1,[2]quests!$1:$1,0)+1,FALSE)</f>
        <v>ラグランジュチャレンジ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ラグランジュチャレンジ</v>
      </c>
      <c r="G8" s="20">
        <v>4</v>
      </c>
      <c r="H8" s="15" t="str">
        <f t="shared" ref="H8" si="12">B8&amp;"_"&amp;C8&amp;"-"&amp;G8</f>
        <v>60010_1-4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4">
        <v>6008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焔神 プロメテウス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4</v>
      </c>
      <c r="T8" s="24">
        <v>1.4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8" s="4">
        <v>6001008</v>
      </c>
      <c r="X8" s="6">
        <v>1</v>
      </c>
      <c r="Y8" s="6">
        <v>100</v>
      </c>
      <c r="Z8" s="6">
        <v>1</v>
      </c>
      <c r="AA8" s="17">
        <v>3</v>
      </c>
      <c r="AB8" s="23">
        <f t="shared" ref="AB8" si="13">L8</f>
        <v>6008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焔神 プロメテウス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3">
        <f t="shared" ref="AG8" ca="1" si="14">AD8</f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si="5"/>
        <v>60010_1-5/6009&lt;lv60&gt;s2</v>
      </c>
      <c r="B9" s="21">
        <v>60010</v>
      </c>
      <c r="C9" s="20">
        <v>1</v>
      </c>
      <c r="D9" s="2" t="str">
        <f t="shared" si="6"/>
        <v>60010_1</v>
      </c>
      <c r="E9" s="4" t="str">
        <f ca="1">VLOOKUP($B9,OFFSET([2]quests!$A$1,0,0,COUNTA([2]quests!$A:$A),MATCH(E$1,[2]quests!$1:$1,0)-MATCH($B$1,[2]quests!$1:$1,0)+1),MATCH(E$1,[2]quests!$1:$1,0)-MATCH($B$1,[2]quests!$1:$1,0)+1,FALSE)</f>
        <v>ラグランジュチャレンジ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ラグランジュチャレンジ</v>
      </c>
      <c r="G9" s="20">
        <v>5</v>
      </c>
      <c r="H9" s="15" t="str">
        <f t="shared" si="7"/>
        <v>60010_1-5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2</v>
      </c>
      <c r="L9" s="114">
        <v>6009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超越自我 ラグランジュ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4">
        <v>6</v>
      </c>
      <c r="T9" s="24">
        <v>1.4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ここから先は予測不能よ！</v>
      </c>
      <c r="W9" s="4">
        <v>6001009</v>
      </c>
      <c r="X9" s="6">
        <v>1</v>
      </c>
      <c r="Y9" s="6">
        <v>100</v>
      </c>
      <c r="Z9" s="6">
        <v>1</v>
      </c>
      <c r="AA9" s="17">
        <v>2</v>
      </c>
      <c r="AB9" s="23">
        <f t="shared" si="8"/>
        <v>6009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超越自我 ラグランジュ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3">
        <f t="shared" ca="1" si="9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Y4" sqref="Y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60010_1-3/6006&lt;lv60&gt;sq1st2</v>
      </c>
      <c r="B2" s="21">
        <v>60010</v>
      </c>
      <c r="C2" s="20">
        <v>1</v>
      </c>
      <c r="D2" s="2" t="str">
        <f>B2&amp;"_"&amp;C2</f>
        <v>60010_1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ラグランジュチャレンジ</v>
      </c>
      <c r="G2" s="20">
        <v>3</v>
      </c>
      <c r="H2" s="15" t="str">
        <f>B2&amp;"_"&amp;C2&amp;"-"&amp;G2</f>
        <v>60010_1-3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4">
        <v>6006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海底の孤高神 テティス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4</v>
      </c>
      <c r="U2" s="24">
        <v>1.3</v>
      </c>
      <c r="V2" s="5">
        <v>0</v>
      </c>
      <c r="W2" s="4"/>
      <c r="X2" s="4">
        <v>6001006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60010_1-5/6009&lt;lv60&gt;sq2st2</v>
      </c>
      <c r="B3" s="21">
        <v>60010</v>
      </c>
      <c r="C3" s="20">
        <v>1</v>
      </c>
      <c r="D3" s="2" t="str">
        <f t="shared" ref="D3:D4" si="1">B3&amp;"_"&amp;C3</f>
        <v>60010_1</v>
      </c>
      <c r="E3" s="4" t="str">
        <f ca="1">VLOOKUP($B3,OFFSET([2]quests!$A$1,0,0,COUNTA([2]quests!$A:$A),MATCH(E$1,[2]quests!$1:$1,0)-MATCH($B$1,[2]quests!$1:$1,0)+1),MATCH(E$1,[2]quests!$1:$1,0)-MATCH($B$1,[2]quests!$1:$1,0)+1,FALSE)</f>
        <v>ラグランジュチャレンジ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ラグランジュチャレンジ</v>
      </c>
      <c r="G3" s="20">
        <v>5</v>
      </c>
      <c r="H3" s="15" t="str">
        <f t="shared" ref="H3:H4" si="2">B3&amp;"_"&amp;C3&amp;"-"&amp;G3</f>
        <v>60010_1-5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4">
        <v>6009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超越自我 ラグランジュ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6</v>
      </c>
      <c r="U3" s="24">
        <v>1.2</v>
      </c>
      <c r="V3" s="5">
        <v>0</v>
      </c>
      <c r="W3" s="4"/>
      <c r="X3" s="4">
        <v>6001010</v>
      </c>
      <c r="Y3" s="69">
        <v>2</v>
      </c>
    </row>
    <row r="4" spans="1:25" ht="21" customHeight="1" x14ac:dyDescent="0.15">
      <c r="A4" s="16" t="str">
        <f t="shared" si="0"/>
        <v>60010_1-5/6010&lt;lv60&gt;sq2st3</v>
      </c>
      <c r="B4" s="21">
        <v>60010</v>
      </c>
      <c r="C4" s="20">
        <v>1</v>
      </c>
      <c r="D4" s="2" t="str">
        <f t="shared" si="1"/>
        <v>60010_1</v>
      </c>
      <c r="E4" s="4" t="str">
        <f ca="1">VLOOKUP($B4,OFFSET([2]quests!$A$1,0,0,COUNTA([2]quests!$A:$A),MATCH(E$1,[2]quests!$1:$1,0)-MATCH($B$1,[2]quests!$1:$1,0)+1),MATCH(E$1,[2]quests!$1:$1,0)-MATCH($B$1,[2]quests!$1:$1,0)+1,FALSE)</f>
        <v>ラグランジュチャレンジ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ラグランジュチャレンジ</v>
      </c>
      <c r="G4" s="20">
        <v>5</v>
      </c>
      <c r="H4" s="15" t="str">
        <f t="shared" si="2"/>
        <v>60010_1-5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4">
        <v>6010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超越凌駕 ラグランジュ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6</v>
      </c>
      <c r="U4" s="24">
        <v>1</v>
      </c>
      <c r="V4" s="5">
        <v>0</v>
      </c>
      <c r="W4" s="4"/>
      <c r="X4" s="4">
        <v>6001011</v>
      </c>
      <c r="Y4" s="69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workbookViewId="0">
      <pane xSplit="5" ySplit="1" topLeftCell="F21" activePane="bottomRight" state="frozen"/>
      <selection pane="topRight"/>
      <selection pane="bottomLeft"/>
      <selection pane="bottomRight" activeCell="A35" sqref="A35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6001001_6001001</v>
      </c>
      <c r="B2" s="46">
        <v>6001001</v>
      </c>
      <c r="C2" s="46">
        <v>6001001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火炎放射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" s="46">
        <v>6001001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100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" s="46"/>
      <c r="Q2" s="46"/>
      <c r="R2" s="46"/>
    </row>
    <row r="3" spans="1:18" ht="21" customHeight="1" x14ac:dyDescent="0.15">
      <c r="A3" s="38" t="str">
        <f t="shared" ref="A3:A34" si="1">B3&amp;"_"&amp;C3</f>
        <v>6001001_6001002</v>
      </c>
      <c r="B3" s="46">
        <v>6001001</v>
      </c>
      <c r="C3" s="46">
        <v>6001002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火炎放射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6">
        <v>6001002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90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6"/>
      <c r="Q3" s="46"/>
      <c r="R3" s="46"/>
    </row>
    <row r="4" spans="1:18" ht="21" customHeight="1" x14ac:dyDescent="0.15">
      <c r="A4" s="38" t="str">
        <f t="shared" si="1"/>
        <v>6001001_6001003</v>
      </c>
      <c r="B4" s="46">
        <v>6001001</v>
      </c>
      <c r="C4" s="46">
        <v>6001003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火炎放射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</v>
      </c>
      <c r="F4" s="46">
        <v>6001003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80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" s="46"/>
      <c r="Q4" s="46"/>
      <c r="R4" s="46"/>
    </row>
    <row r="5" spans="1:18" ht="21" customHeight="1" x14ac:dyDescent="0.15">
      <c r="A5" s="38" t="str">
        <f t="shared" si="1"/>
        <v>6001002_6001004</v>
      </c>
      <c r="B5" s="46">
        <v>6001002</v>
      </c>
      <c r="C5" s="46">
        <v>6001004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</v>
      </c>
      <c r="F5" s="46">
        <v>6001004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100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" s="46"/>
      <c r="Q5" s="46"/>
      <c r="R5" s="46"/>
    </row>
    <row r="6" spans="1:18" ht="21" customHeight="1" x14ac:dyDescent="0.15">
      <c r="A6" s="38" t="str">
        <f t="shared" si="1"/>
        <v>6001002_6001005</v>
      </c>
      <c r="B6" s="46">
        <v>6001002</v>
      </c>
      <c r="C6" s="46">
        <v>6001005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</v>
      </c>
      <c r="F6" s="46">
        <v>6001005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90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si="1"/>
        <v>6001002_6001006</v>
      </c>
      <c r="B7" s="46">
        <v>6001002</v>
      </c>
      <c r="C7" s="46">
        <v>6001006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7" s="46">
        <v>6001006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80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6"/>
      <c r="Q7" s="46"/>
      <c r="R7" s="46"/>
    </row>
    <row r="8" spans="1:18" ht="21" customHeight="1" x14ac:dyDescent="0.15">
      <c r="A8" s="38" t="str">
        <f t="shared" si="1"/>
        <v>6001003_6001007</v>
      </c>
      <c r="B8" s="46">
        <v>6001003</v>
      </c>
      <c r="C8" s="46">
        <v>6001007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炎災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8" s="46">
        <v>6001007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100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" s="46"/>
      <c r="Q8" s="46"/>
      <c r="R8" s="46"/>
    </row>
    <row r="9" spans="1:18" ht="21" customHeight="1" x14ac:dyDescent="0.15">
      <c r="A9" s="38" t="str">
        <f t="shared" si="1"/>
        <v>6001003_6001008</v>
      </c>
      <c r="B9" s="46">
        <v>6001003</v>
      </c>
      <c r="C9" s="46">
        <v>6001008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炎災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</v>
      </c>
      <c r="F9" s="46">
        <v>6001008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90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x14ac:dyDescent="0.15">
      <c r="A10" s="38" t="str">
        <f t="shared" si="1"/>
        <v>6001003_6001009</v>
      </c>
      <c r="B10" s="46">
        <v>6001003</v>
      </c>
      <c r="C10" s="46">
        <v>6001009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炎災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0" s="46">
        <v>6001009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80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0" s="46"/>
      <c r="Q10" s="46"/>
      <c r="R10" s="46"/>
    </row>
    <row r="11" spans="1:18" ht="21" customHeight="1" x14ac:dyDescent="0.15">
      <c r="A11" s="38" t="str">
        <f t="shared" si="1"/>
        <v>6001004_6001010</v>
      </c>
      <c r="B11" s="46">
        <v>6001004</v>
      </c>
      <c r="C11" s="46">
        <v>6001010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火遊び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1" s="46">
        <v>6001010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100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" s="46"/>
      <c r="Q11" s="46"/>
      <c r="R11" s="46"/>
    </row>
    <row r="12" spans="1:18" ht="21" customHeight="1" x14ac:dyDescent="0.15">
      <c r="A12" s="38" t="str">
        <f t="shared" si="1"/>
        <v>6001004_6001011</v>
      </c>
      <c r="B12" s="46">
        <v>6001004</v>
      </c>
      <c r="C12" s="46">
        <v>6001011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火遊び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2" s="46">
        <v>6001011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90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6"/>
      <c r="Q12" s="46"/>
      <c r="R12" s="46"/>
    </row>
    <row r="13" spans="1:18" ht="21" customHeight="1" x14ac:dyDescent="0.15">
      <c r="A13" s="38" t="str">
        <f t="shared" si="1"/>
        <v>6001004_6001012</v>
      </c>
      <c r="B13" s="46">
        <v>6001004</v>
      </c>
      <c r="C13" s="46">
        <v>6001012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火遊び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3" s="46">
        <v>6001012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80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3" s="46"/>
      <c r="Q13" s="46"/>
      <c r="R13" s="46"/>
    </row>
    <row r="14" spans="1:18" ht="21" customHeight="1" x14ac:dyDescent="0.15">
      <c r="A14" s="38" t="str">
        <f t="shared" si="1"/>
        <v>6001005_6001013</v>
      </c>
      <c r="B14" s="46">
        <v>6001005</v>
      </c>
      <c r="C14" s="46">
        <v>6001013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お邪魔パネル8個生成</v>
      </c>
      <c r="F14" s="46">
        <v>6001013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6001005_6001014</v>
      </c>
      <c r="B15" s="46">
        <v>6001005</v>
      </c>
      <c r="C15" s="46">
        <v>6001014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海の底から愛をこめて…！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全体攻撃＋お邪魔パネル8個生成</v>
      </c>
      <c r="F15" s="46">
        <v>6001014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6001006_6001018</v>
      </c>
      <c r="B16" s="46">
        <v>6001006</v>
      </c>
      <c r="C16" s="46">
        <v>6001018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お邪魔パネル8個生成</v>
      </c>
      <c r="F16" s="46">
        <v>6001018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2" customHeight="1" x14ac:dyDescent="0.15">
      <c r="A17" s="38" t="str">
        <f t="shared" si="1"/>
        <v>6001006_6001019</v>
      </c>
      <c r="B17" s="46">
        <v>6001006</v>
      </c>
      <c r="C17" s="46">
        <v>6001019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私を怒らせないで…！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全体攻撃＋お邪魔パネル3個生成</v>
      </c>
      <c r="F17" s="46">
        <v>6001019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6001007_6001023</v>
      </c>
      <c r="B18" s="46">
        <v>6001007</v>
      </c>
      <c r="C18" s="46">
        <v>6001023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通っちゃ困りますぅ！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18" s="46">
        <v>6001023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6001007_6001024</v>
      </c>
      <c r="B19" s="46">
        <v>6001007</v>
      </c>
      <c r="C19" s="46">
        <v>6001024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まだまだ頑張れますぅ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自分自身に5ターン攻撃力UP</v>
      </c>
      <c r="F19" s="46">
        <v>6001024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6001007_6001025</v>
      </c>
      <c r="B20" s="46">
        <v>6001007</v>
      </c>
      <c r="C20" s="46">
        <v>6001025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 xml:space="preserve">まとめて増強ですぅ 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全体に3ターン防御力UP</v>
      </c>
      <c r="F20" s="46">
        <v>6001025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6001008_6001033</v>
      </c>
      <c r="B21" s="46">
        <v>6001008</v>
      </c>
      <c r="C21" s="46">
        <v>6001033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発火に気をつけな！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21" s="46">
        <v>6001033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6001008_6001034</v>
      </c>
      <c r="B22" s="46">
        <v>6001008</v>
      </c>
      <c r="C22" s="46">
        <v>6001034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熱いのお見舞いするぜ！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22" s="46">
        <v>6001034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6001008_6001035</v>
      </c>
      <c r="B23" s="46">
        <v>6001008</v>
      </c>
      <c r="C23" s="46">
        <v>6001035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骨まで焼き尽くしてやる！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解除されるまで自分自身の攻撃頻度UP</v>
      </c>
      <c r="F23" s="46">
        <v>6001035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6001009_6001043</v>
      </c>
      <c r="B24" s="46">
        <v>6001009</v>
      </c>
      <c r="C24" s="46">
        <v>6001043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ここから先は予測不能よ！</v>
      </c>
      <c r="F24" s="46">
        <v>6001043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6001009_6001045</v>
      </c>
      <c r="B25" s="46">
        <v>6001009</v>
      </c>
      <c r="C25" s="46">
        <v>6001045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6">
        <v>6001045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6001009_6001046</v>
      </c>
      <c r="B26" s="46">
        <v>6001009</v>
      </c>
      <c r="C26" s="46">
        <v>6001046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燃え尽きなさい！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6">
        <v>6001046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2" customHeight="1" x14ac:dyDescent="0.15">
      <c r="A27" s="38" t="str">
        <f t="shared" si="1"/>
        <v>6001010_6001053</v>
      </c>
      <c r="B27" s="46">
        <v>6001010</v>
      </c>
      <c r="C27" s="46">
        <v>6001053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まだまだいくわよ！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6">
        <v>6001053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2" customHeight="1" x14ac:dyDescent="0.15">
      <c r="A28" s="38" t="str">
        <f t="shared" si="1"/>
        <v>6001010_6001054</v>
      </c>
      <c r="B28" s="46">
        <v>6001010</v>
      </c>
      <c r="C28" s="46">
        <v>6001054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46">
        <v>6001054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2" customHeight="1" x14ac:dyDescent="0.15">
      <c r="A29" s="38" t="str">
        <f t="shared" si="1"/>
        <v>6001010_6001055</v>
      </c>
      <c r="B29" s="46">
        <v>6001010</v>
      </c>
      <c r="C29" s="46">
        <v>6001055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未定増殖・マルティプライヤー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お邪魔パネル10個生成</v>
      </c>
      <c r="F29" s="46">
        <v>6001055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2" customHeight="1" x14ac:dyDescent="0.15">
      <c r="A30" s="38" t="str">
        <f t="shared" si="1"/>
        <v>6001010_6001056</v>
      </c>
      <c r="B30" s="46">
        <v>6001010</v>
      </c>
      <c r="C30" s="46">
        <v>6001056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星の声が聞こえる？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赤パネル吸収して3ターン攻撃力UP</v>
      </c>
      <c r="F30" s="46">
        <v>6001056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2" customHeight="1" x14ac:dyDescent="0.15">
      <c r="A31" s="38" t="str">
        <f t="shared" si="1"/>
        <v>6001010_6001057</v>
      </c>
      <c r="B31" s="46">
        <v>6001010</v>
      </c>
      <c r="C31" s="46">
        <v>6001057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ラグランジュ・ポイント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1" s="46">
        <v>6001057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6001011_6001063</v>
      </c>
      <c r="B32" s="46">
        <v>6001011</v>
      </c>
      <c r="C32" s="46">
        <v>6001063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空を観なさい…終わりよ！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46">
        <v>6001063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6001011_6001064</v>
      </c>
      <c r="B33" s="46">
        <v>6001011</v>
      </c>
      <c r="C33" s="46">
        <v>6001064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ラグランジュ・メテオ4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お邪魔パネル4個生成＋5回連続攻撃</v>
      </c>
      <c r="F33" s="46">
        <v>6001064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6001011_6001065</v>
      </c>
      <c r="B34" s="46">
        <v>6001011</v>
      </c>
      <c r="C34" s="46">
        <v>6001065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ラグランジュ・メテオ8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お邪魔パネル8個生成＋5回連続攻撃</v>
      </c>
      <c r="F34" s="46">
        <v>6001065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ref="A35" si="2">B35&amp;"_"&amp;C35</f>
        <v>6001011_6001066</v>
      </c>
      <c r="B35" s="46">
        <v>6001011</v>
      </c>
      <c r="C35" s="46">
        <v>6001066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ラグランジュ・メテオ12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お邪魔パネル12生成＋5回連続攻撃＋5ターン防御力UP</v>
      </c>
      <c r="F35" s="46">
        <v>6001066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" si="3">B36&amp;"_"&amp;C36</f>
        <v>6001011_6001067</v>
      </c>
      <c r="B36" s="46">
        <v>6001011</v>
      </c>
      <c r="C36" s="46">
        <v>6001067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これがエントロピーの最大…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お邪魔パネルを吸収して解除されるまで攻撃力UP</v>
      </c>
      <c r="F36" s="46">
        <v>6001067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6"/>
  <sheetViews>
    <sheetView showGridLines="0" zoomScale="90" zoomScaleNormal="75" zoomScalePageLayoutView="75" workbookViewId="0">
      <pane ySplit="1" topLeftCell="A12" activePane="bottomLeft" state="frozenSplit"/>
      <selection pane="bottomLeft" activeCell="A25" sqref="A25:XFD2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6001001</v>
      </c>
      <c r="B2" s="46" t="s">
        <v>374</v>
      </c>
      <c r="C2" s="49">
        <v>3</v>
      </c>
      <c r="D2" s="49" t="s">
        <v>128</v>
      </c>
      <c r="E2" s="50" t="s">
        <v>341</v>
      </c>
      <c r="F2" s="50" t="s">
        <v>387</v>
      </c>
      <c r="G2" s="62" t="str">
        <f>IFERROR(LEFT(B2,FIND("],",B2)),B2)</f>
        <v>[effect:fix_speed, target:myself, turn:1]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IFERROR(VLOOKUP(MID(G2,J2,K2-J2),[6]skilldef!$C:$D,2,FALSE),"-") &amp; " / " &amp; IFERROR(VLOOKUP(MID(G2,H2,I2-H2),[6]skilldef!$A:$B,2,FALSE),"-")</f>
        <v>自分自身に / 行動値設定</v>
      </c>
      <c r="M2" s="62" t="str">
        <f>IFERROR(RIGHT(B2,LEN(B2)-FIND("],",B2)-1),"none")</f>
        <v>[effect:rush, count:1, val:1]</v>
      </c>
      <c r="N2" s="47" t="str">
        <f>IFERROR(LEFT(M2,FIND("],",M2)+S12),M2)</f>
        <v>[effect:rush, count:1, val:1]</v>
      </c>
      <c r="O2" s="62">
        <f>FIND("effect:",N2)+7</f>
        <v>9</v>
      </c>
      <c r="P2" s="62">
        <f>IFERROR(FIND(",",N2),LEN(N2))</f>
        <v>13</v>
      </c>
      <c r="Q2" s="62" t="e">
        <f>FIND("target:",N2)+7</f>
        <v>#VALUE!</v>
      </c>
      <c r="R2" s="62">
        <f>FIND(",",N2,P2+1)</f>
        <v>22</v>
      </c>
      <c r="S2" s="62" t="str">
        <f>IFERROR(VLOOKUP(MID(N2,Q2,R2-Q2),[6]skilldef!$C:$D,2,FALSE),"-") &amp; " / " &amp; IFERROR(VLOOKUP(MID(N2,O2,P2-O2),[6]skilldef!$A:$B,2,FALSE),"-")</f>
        <v>- / 連続攻撃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6001002</v>
      </c>
      <c r="B3" s="46" t="s">
        <v>375</v>
      </c>
      <c r="C3" s="49">
        <v>3</v>
      </c>
      <c r="D3" s="49" t="s">
        <v>128</v>
      </c>
      <c r="E3" s="50" t="s">
        <v>341</v>
      </c>
      <c r="F3" s="50" t="s">
        <v>387</v>
      </c>
      <c r="G3" s="62" t="str">
        <f t="shared" ref="G3:G17" si="0">IFERROR(LEFT(B3,FIND("],",B3)),B3)</f>
        <v>[effect:fix_speed, target:myself, turn:2]</v>
      </c>
      <c r="H3" s="62">
        <f t="shared" ref="H3:H34" si="1">FIND("effect:",G3)+7</f>
        <v>9</v>
      </c>
      <c r="I3" s="62">
        <f t="shared" ref="I3:I17" si="2">IFERROR(FIND(",",G3),LEN(G3))</f>
        <v>18</v>
      </c>
      <c r="J3" s="62">
        <f t="shared" ref="J3:J17" si="3">FIND("target:",G3)+7</f>
        <v>27</v>
      </c>
      <c r="K3" s="62">
        <f t="shared" ref="K3:K17" si="4">FIND(",",G3,I3+1)</f>
        <v>33</v>
      </c>
      <c r="L3" s="62" t="str">
        <f>IFERROR(VLOOKUP(MID(G3,J3,K3-J3),[6]skilldef!$C:$D,2,FALSE),"-") &amp; " / " &amp; IFERROR(VLOOKUP(MID(G3,H3,I3-H3),[6]skilldef!$A:$B,2,FALSE),"-")</f>
        <v>自分自身に / 行動値設定</v>
      </c>
      <c r="M3" s="62" t="str">
        <f t="shared" ref="M3:M17" si="5">IFERROR(RIGHT(B3,LEN(B3)-FIND("],",B3)-1),"none")</f>
        <v>[effect:rush, count:1, val:1]</v>
      </c>
      <c r="N3" s="47" t="str">
        <f t="shared" ref="N3:N5" si="6">IFERROR(LEFT(M3,FIND("],",M3)+S13),M3)</f>
        <v>[effect:rush, count:1, val:1]</v>
      </c>
      <c r="O3" s="62">
        <f t="shared" ref="O3:O34" si="7">FIND("effect:",N3)+7</f>
        <v>9</v>
      </c>
      <c r="P3" s="62">
        <f t="shared" ref="P3:P17" si="8">IFERROR(FIND(",",N3),LEN(N3))</f>
        <v>13</v>
      </c>
      <c r="Q3" s="62" t="e">
        <f t="shared" ref="Q3:Q17" si="9">FIND("target:",N3)+7</f>
        <v>#VALUE!</v>
      </c>
      <c r="R3" s="62">
        <f t="shared" ref="R3:R17" si="10">FIND(",",N3,P3+1)</f>
        <v>22</v>
      </c>
      <c r="S3" s="62" t="str">
        <f>IFERROR(VLOOKUP(MID(N3,Q3,R3-Q3),[6]skilldef!$C:$D,2,FALSE),"-") &amp; " / " &amp; IFERROR(VLOOKUP(MID(N3,O3,P3-O3),[6]skilldef!$A:$B,2,FALSE),"-")</f>
        <v>- / 連続攻撃</v>
      </c>
      <c r="T3" s="47" t="str">
        <f t="shared" ref="T3:T17" si="11">IFERROR(RIGHT(M3,LEN(M3)-FIND("],",M3)-1),"none")</f>
        <v>none</v>
      </c>
      <c r="U3" s="62" t="e">
        <f t="shared" ref="U3:U34" si="12">FIND("effect:",T3)+7</f>
        <v>#VALUE!</v>
      </c>
      <c r="V3" s="62">
        <f t="shared" ref="V3:V17" si="13">IFERROR(FIND(",",T3),LEN(T3))</f>
        <v>4</v>
      </c>
      <c r="W3" s="62" t="e">
        <f t="shared" ref="W3:W17" si="14">FIND("target:",T3)+7</f>
        <v>#VALUE!</v>
      </c>
      <c r="X3" s="62" t="e">
        <f t="shared" ref="X3:X17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6001003</v>
      </c>
      <c r="B4" s="46" t="s">
        <v>376</v>
      </c>
      <c r="C4" s="49">
        <v>3</v>
      </c>
      <c r="D4" s="49" t="s">
        <v>128</v>
      </c>
      <c r="E4" s="50" t="s">
        <v>341</v>
      </c>
      <c r="F4" s="50" t="s">
        <v>387</v>
      </c>
      <c r="G4" s="62" t="str">
        <f t="shared" si="0"/>
        <v>[effect:fix_speed, target:myself, turn:3]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33</v>
      </c>
      <c r="L4" s="62" t="str">
        <f>IFERROR(VLOOKUP(MID(G4,J4,K4-J4),[6]skilldef!$C:$D,2,FALSE),"-") &amp; " / " &amp; IFERROR(VLOOKUP(MID(G4,H4,I4-H4),[6]skilldef!$A:$B,2,FALSE),"-")</f>
        <v>自分自身に / 行動値設定</v>
      </c>
      <c r="M4" s="62" t="str">
        <f t="shared" si="5"/>
        <v>[effect:rush, count:1, val:1]</v>
      </c>
      <c r="N4" s="47" t="str">
        <f t="shared" si="6"/>
        <v>[effect:rush, count:1, val:1]</v>
      </c>
      <c r="O4" s="62">
        <f t="shared" si="7"/>
        <v>9</v>
      </c>
      <c r="P4" s="62">
        <f t="shared" si="8"/>
        <v>13</v>
      </c>
      <c r="Q4" s="62" t="e">
        <f t="shared" si="9"/>
        <v>#VALUE!</v>
      </c>
      <c r="R4" s="62">
        <f t="shared" si="10"/>
        <v>22</v>
      </c>
      <c r="S4" s="62" t="str">
        <f>IFERROR(VLOOKUP(MID(N4,Q4,R4-Q4),[6]skilldef!$C:$D,2,FALSE),"-") &amp; " / " &amp; IFERROR(VLOOKUP(MID(N4,O4,P4-O4),[6]skilldef!$A:$B,2,FALSE),"-")</f>
        <v>- / 連続攻撃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6001004</v>
      </c>
      <c r="B5" s="46" t="s">
        <v>374</v>
      </c>
      <c r="C5" s="49">
        <v>3</v>
      </c>
      <c r="D5" s="49" t="s">
        <v>128</v>
      </c>
      <c r="E5" s="50" t="s">
        <v>342</v>
      </c>
      <c r="F5" s="50" t="s">
        <v>387</v>
      </c>
      <c r="G5" s="62" t="str">
        <f t="shared" si="0"/>
        <v>[effect:fix_speed, target:myself, turn:1]</v>
      </c>
      <c r="H5" s="62">
        <f t="shared" si="1"/>
        <v>9</v>
      </c>
      <c r="I5" s="62">
        <f t="shared" si="2"/>
        <v>18</v>
      </c>
      <c r="J5" s="62">
        <f t="shared" si="3"/>
        <v>27</v>
      </c>
      <c r="K5" s="62">
        <f t="shared" si="4"/>
        <v>33</v>
      </c>
      <c r="L5" s="62" t="str">
        <f>IFERROR(VLOOKUP(MID(G5,J5,K5-J5),[6]skilldef!$C:$D,2,FALSE),"-") &amp; " / " &amp; IFERROR(VLOOKUP(MID(G5,H5,I5-H5),[6]skilldef!$A:$B,2,FALSE),"-")</f>
        <v>自分自身に / 行動値設定</v>
      </c>
      <c r="M5" s="62" t="str">
        <f t="shared" si="5"/>
        <v>[effect:rush, count:1, val:1]</v>
      </c>
      <c r="N5" s="47" t="str">
        <f t="shared" si="6"/>
        <v>[effect:rush, count:1, val:1]</v>
      </c>
      <c r="O5" s="62">
        <f t="shared" si="7"/>
        <v>9</v>
      </c>
      <c r="P5" s="62">
        <f t="shared" si="8"/>
        <v>13</v>
      </c>
      <c r="Q5" s="62" t="e">
        <f t="shared" si="9"/>
        <v>#VALUE!</v>
      </c>
      <c r="R5" s="62">
        <f t="shared" si="10"/>
        <v>22</v>
      </c>
      <c r="S5" s="62" t="str">
        <f>IFERROR(VLOOKUP(MID(N5,Q5,R5-Q5),[6]skilldef!$C:$D,2,FALSE),"-") &amp; " / " &amp; IFERROR(VLOOKUP(MID(N5,O5,P5-O5),[6]skilldef!$A:$B,2,FALSE),"-")</f>
        <v>- / 連続攻撃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6001005</v>
      </c>
      <c r="B6" s="46" t="s">
        <v>375</v>
      </c>
      <c r="C6" s="49">
        <v>3</v>
      </c>
      <c r="D6" s="49" t="s">
        <v>128</v>
      </c>
      <c r="E6" s="50" t="s">
        <v>342</v>
      </c>
      <c r="F6" s="50" t="s">
        <v>387</v>
      </c>
      <c r="G6" s="62" t="str">
        <f t="shared" si="0"/>
        <v>[effect:fix_speed, target:myself, turn:2]</v>
      </c>
      <c r="H6" s="62">
        <f t="shared" si="1"/>
        <v>9</v>
      </c>
      <c r="I6" s="62">
        <f t="shared" si="2"/>
        <v>18</v>
      </c>
      <c r="J6" s="62">
        <f t="shared" si="3"/>
        <v>27</v>
      </c>
      <c r="K6" s="62">
        <f t="shared" si="4"/>
        <v>33</v>
      </c>
      <c r="L6" s="62" t="str">
        <f>IFERROR(VLOOKUP(MID(G6,J6,K6-J6),[6]skilldef!$C:$D,2,FALSE),"-") &amp; " / " &amp; IFERROR(VLOOKUP(MID(G6,H6,I6-H6),[6]skilldef!$A:$B,2,FALSE),"-")</f>
        <v>自分自身に / 行動値設定</v>
      </c>
      <c r="M6" s="62" t="str">
        <f t="shared" si="5"/>
        <v>[effect:rush, count:1, val:1]</v>
      </c>
      <c r="N6" s="47" t="str">
        <f>IFERROR(LEFT(M6,FIND("],",M6)+#REF!),M6)</f>
        <v>[effect:rush, count:1, val:1]</v>
      </c>
      <c r="O6" s="62">
        <f t="shared" si="7"/>
        <v>9</v>
      </c>
      <c r="P6" s="62">
        <f t="shared" si="8"/>
        <v>13</v>
      </c>
      <c r="Q6" s="62" t="e">
        <f t="shared" si="9"/>
        <v>#VALUE!</v>
      </c>
      <c r="R6" s="62">
        <f t="shared" si="10"/>
        <v>22</v>
      </c>
      <c r="S6" s="62" t="str">
        <f>IFERROR(VLOOKUP(MID(N6,Q6,R6-Q6),[6]skilldef!$C:$D,2,FALSE),"-") &amp; " / " &amp; IFERROR(VLOOKUP(MID(N6,O6,P6-O6),[6]skilldef!$A:$B,2,FALSE),"-")</f>
        <v>- / 連続攻撃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6001006</v>
      </c>
      <c r="B7" s="46" t="s">
        <v>376</v>
      </c>
      <c r="C7" s="49">
        <v>3</v>
      </c>
      <c r="D7" s="49" t="s">
        <v>128</v>
      </c>
      <c r="E7" s="50" t="s">
        <v>342</v>
      </c>
      <c r="F7" s="50" t="s">
        <v>387</v>
      </c>
      <c r="G7" s="62" t="str">
        <f t="shared" si="0"/>
        <v>[effect:fix_speed, target:myself, turn:3]</v>
      </c>
      <c r="H7" s="62">
        <f t="shared" si="1"/>
        <v>9</v>
      </c>
      <c r="I7" s="62">
        <f t="shared" si="2"/>
        <v>18</v>
      </c>
      <c r="J7" s="62">
        <f t="shared" si="3"/>
        <v>27</v>
      </c>
      <c r="K7" s="62">
        <f t="shared" si="4"/>
        <v>33</v>
      </c>
      <c r="L7" s="62" t="str">
        <f>IFERROR(VLOOKUP(MID(G7,J7,K7-J7),[6]skilldef!$C:$D,2,FALSE),"-") &amp; " / " &amp; IFERROR(VLOOKUP(MID(G7,H7,I7-H7),[6]skilldef!$A:$B,2,FALSE),"-")</f>
        <v>自分自身に / 行動値設定</v>
      </c>
      <c r="M7" s="62" t="str">
        <f t="shared" si="5"/>
        <v>[effect:rush, count:1, val:1]</v>
      </c>
      <c r="N7" s="47" t="str">
        <f>IFERROR(LEFT(M7,FIND("],",M7)+#REF!),M7)</f>
        <v>[effect:rush, count:1, val:1]</v>
      </c>
      <c r="O7" s="62">
        <f t="shared" si="7"/>
        <v>9</v>
      </c>
      <c r="P7" s="62">
        <f t="shared" si="8"/>
        <v>13</v>
      </c>
      <c r="Q7" s="62" t="e">
        <f t="shared" si="9"/>
        <v>#VALUE!</v>
      </c>
      <c r="R7" s="62">
        <f t="shared" si="10"/>
        <v>22</v>
      </c>
      <c r="S7" s="62" t="str">
        <f>IFERROR(VLOOKUP(MID(N7,Q7,R7-Q7),[6]skilldef!$C:$D,2,FALSE),"-") &amp; " / " &amp; IFERROR(VLOOKUP(MID(N7,O7,P7-O7),[6]skilldef!$A:$B,2,FALSE),"-")</f>
        <v>- / 連続攻撃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6001007</v>
      </c>
      <c r="B8" s="46" t="s">
        <v>374</v>
      </c>
      <c r="C8" s="49">
        <v>3</v>
      </c>
      <c r="D8" s="49" t="s">
        <v>128</v>
      </c>
      <c r="E8" s="50" t="s">
        <v>343</v>
      </c>
      <c r="F8" s="50" t="s">
        <v>387</v>
      </c>
      <c r="G8" s="62" t="str">
        <f t="shared" si="0"/>
        <v>[effect:fix_speed, target:myself, turn:1]</v>
      </c>
      <c r="H8" s="62">
        <f t="shared" si="1"/>
        <v>9</v>
      </c>
      <c r="I8" s="62">
        <f t="shared" si="2"/>
        <v>18</v>
      </c>
      <c r="J8" s="62">
        <f t="shared" si="3"/>
        <v>27</v>
      </c>
      <c r="K8" s="62">
        <f t="shared" si="4"/>
        <v>33</v>
      </c>
      <c r="L8" s="62" t="str">
        <f>IFERROR(VLOOKUP(MID(G8,J8,K8-J8),[6]skilldef!$C:$D,2,FALSE),"-") &amp; " / " &amp; IFERROR(VLOOKUP(MID(G8,H8,I8-H8),[6]skilldef!$A:$B,2,FALSE),"-")</f>
        <v>自分自身に / 行動値設定</v>
      </c>
      <c r="M8" s="62" t="str">
        <f t="shared" si="5"/>
        <v>[effect:rush, count:1, val:1]</v>
      </c>
      <c r="N8" s="47" t="str">
        <f>IFERROR(LEFT(M8,FIND("],",M8)+#REF!),M8)</f>
        <v>[effect:rush, count:1, val:1]</v>
      </c>
      <c r="O8" s="62">
        <f t="shared" si="7"/>
        <v>9</v>
      </c>
      <c r="P8" s="62">
        <f t="shared" si="8"/>
        <v>13</v>
      </c>
      <c r="Q8" s="62" t="e">
        <f t="shared" si="9"/>
        <v>#VALUE!</v>
      </c>
      <c r="R8" s="62">
        <f t="shared" si="10"/>
        <v>22</v>
      </c>
      <c r="S8" s="62" t="str">
        <f>IFERROR(VLOOKUP(MID(N8,Q8,R8-Q8),[6]skilldef!$C:$D,2,FALSE),"-") &amp; " / " &amp; IFERROR(VLOOKUP(MID(N8,O8,P8-O8),[6]skilldef!$A:$B,2,FALSE),"-")</f>
        <v>- / 連続攻撃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46">
        <v>6001008</v>
      </c>
      <c r="B9" s="46" t="s">
        <v>375</v>
      </c>
      <c r="C9" s="49">
        <v>3</v>
      </c>
      <c r="D9" s="49" t="s">
        <v>128</v>
      </c>
      <c r="E9" s="50" t="s">
        <v>343</v>
      </c>
      <c r="F9" s="50" t="s">
        <v>387</v>
      </c>
      <c r="G9" s="62" t="str">
        <f t="shared" si="0"/>
        <v>[effect:fix_speed, target:myself, turn:2]</v>
      </c>
      <c r="H9" s="62">
        <f t="shared" si="1"/>
        <v>9</v>
      </c>
      <c r="I9" s="62">
        <f t="shared" si="2"/>
        <v>18</v>
      </c>
      <c r="J9" s="62">
        <f t="shared" si="3"/>
        <v>27</v>
      </c>
      <c r="K9" s="62">
        <f t="shared" si="4"/>
        <v>33</v>
      </c>
      <c r="L9" s="62" t="str">
        <f>IFERROR(VLOOKUP(MID(G9,J9,K9-J9),[6]skilldef!$C:$D,2,FALSE),"-") &amp; " / " &amp; IFERROR(VLOOKUP(MID(G9,H9,I9-H9),[6]skilldef!$A:$B,2,FALSE),"-")</f>
        <v>自分自身に / 行動値設定</v>
      </c>
      <c r="M9" s="62" t="str">
        <f t="shared" si="5"/>
        <v>[effect:rush, count:1, val:1]</v>
      </c>
      <c r="N9" s="47" t="str">
        <f>IFERROR(LEFT(M9,FIND("],",M9)+S16),M9)</f>
        <v>[effect:rush, count:1, val:1]</v>
      </c>
      <c r="O9" s="62">
        <f t="shared" si="7"/>
        <v>9</v>
      </c>
      <c r="P9" s="62">
        <f t="shared" si="8"/>
        <v>13</v>
      </c>
      <c r="Q9" s="62" t="e">
        <f t="shared" si="9"/>
        <v>#VALUE!</v>
      </c>
      <c r="R9" s="62">
        <f t="shared" si="10"/>
        <v>22</v>
      </c>
      <c r="S9" s="62" t="str">
        <f>IFERROR(VLOOKUP(MID(N9,Q9,R9-Q9),[6]skilldef!$C:$D,2,FALSE),"-") &amp; " / " &amp; IFERROR(VLOOKUP(MID(N9,O9,P9-O9),[6]skilldef!$A:$B,2,FALSE),"-")</f>
        <v>- / 連続攻撃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46">
        <v>6001009</v>
      </c>
      <c r="B10" s="46" t="s">
        <v>376</v>
      </c>
      <c r="C10" s="49">
        <v>3</v>
      </c>
      <c r="D10" s="49" t="s">
        <v>128</v>
      </c>
      <c r="E10" s="50" t="s">
        <v>343</v>
      </c>
      <c r="F10" s="50" t="s">
        <v>387</v>
      </c>
      <c r="G10" s="62" t="str">
        <f t="shared" si="0"/>
        <v>[effect:fix_speed, target:myself, turn:3]</v>
      </c>
      <c r="H10" s="62">
        <f t="shared" si="1"/>
        <v>9</v>
      </c>
      <c r="I10" s="62">
        <f t="shared" si="2"/>
        <v>18</v>
      </c>
      <c r="J10" s="62">
        <f t="shared" si="3"/>
        <v>27</v>
      </c>
      <c r="K10" s="62">
        <f t="shared" si="4"/>
        <v>33</v>
      </c>
      <c r="L10" s="62" t="str">
        <f>IFERROR(VLOOKUP(MID(G10,J10,K10-J10),[6]skilldef!$C:$D,2,FALSE),"-") &amp; " / " &amp; IFERROR(VLOOKUP(MID(G10,H10,I10-H10),[6]skilldef!$A:$B,2,FALSE),"-")</f>
        <v>自分自身に / 行動値設定</v>
      </c>
      <c r="M10" s="62" t="str">
        <f t="shared" si="5"/>
        <v>[effect:rush, count:1, val:1]</v>
      </c>
      <c r="N10" s="47" t="str">
        <f>IFERROR(LEFT(M10,FIND("],",M10)+S17),M10)</f>
        <v>[effect:rush, count:1, val:1]</v>
      </c>
      <c r="O10" s="62">
        <f t="shared" si="7"/>
        <v>9</v>
      </c>
      <c r="P10" s="62">
        <f t="shared" si="8"/>
        <v>13</v>
      </c>
      <c r="Q10" s="62" t="e">
        <f t="shared" si="9"/>
        <v>#VALUE!</v>
      </c>
      <c r="R10" s="62">
        <f t="shared" si="10"/>
        <v>22</v>
      </c>
      <c r="S10" s="62" t="str">
        <f>IFERROR(VLOOKUP(MID(N10,Q10,R10-Q10),[6]skilldef!$C:$D,2,FALSE),"-") &amp; " / " &amp; IFERROR(VLOOKUP(MID(N10,O10,P10-O10),[6]skilldef!$A:$B,2,FALSE),"-")</f>
        <v>- / 連続攻撃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6001010</v>
      </c>
      <c r="B11" s="46" t="s">
        <v>373</v>
      </c>
      <c r="C11" s="49">
        <v>3</v>
      </c>
      <c r="D11" s="49" t="s">
        <v>128</v>
      </c>
      <c r="E11" s="50" t="s">
        <v>344</v>
      </c>
      <c r="F11" s="50" t="s">
        <v>364</v>
      </c>
      <c r="G11" s="62" t="str">
        <f t="shared" si="0"/>
        <v>[effect:fix_speed, target:myself, turn:1]</v>
      </c>
      <c r="H11" s="62">
        <f t="shared" si="1"/>
        <v>9</v>
      </c>
      <c r="I11" s="62">
        <f t="shared" si="2"/>
        <v>18</v>
      </c>
      <c r="J11" s="62">
        <f t="shared" si="3"/>
        <v>27</v>
      </c>
      <c r="K11" s="62">
        <f t="shared" si="4"/>
        <v>33</v>
      </c>
      <c r="L11" s="62" t="str">
        <f>IFERROR(VLOOKUP(MID(G11,J11,K11-J11),[6]skilldef!$C:$D,2,FALSE),"-") &amp; " / " &amp; IFERROR(VLOOKUP(MID(G11,H11,I11-H11),[6]skilldef!$A:$B,2,FALSE),"-")</f>
        <v>自分自身に / 行動値設定</v>
      </c>
      <c r="M11" s="62" t="str">
        <f t="shared" si="5"/>
        <v>[effect:rush, count:5, val:0.2]</v>
      </c>
      <c r="N11" s="47" t="str">
        <f>IFERROR(LEFT(M11,FIND("],",M11)+#REF!),M11)</f>
        <v>[effect:rush, count:5, val:0.2]</v>
      </c>
      <c r="O11" s="62">
        <f t="shared" si="7"/>
        <v>9</v>
      </c>
      <c r="P11" s="62">
        <f t="shared" si="8"/>
        <v>13</v>
      </c>
      <c r="Q11" s="62" t="e">
        <f t="shared" si="9"/>
        <v>#VALUE!</v>
      </c>
      <c r="R11" s="62">
        <f t="shared" si="10"/>
        <v>22</v>
      </c>
      <c r="S11" s="62" t="str">
        <f>IFERROR(VLOOKUP(MID(N11,Q11,R11-Q11),[6]skilldef!$C:$D,2,FALSE),"-") &amp; " / " &amp; IFERROR(VLOOKUP(MID(N11,O11,P11-O11),[6]skilldef!$A:$B,2,FALSE),"-")</f>
        <v>- / 連続攻撃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6001011</v>
      </c>
      <c r="B12" s="46" t="s">
        <v>285</v>
      </c>
      <c r="C12" s="49">
        <v>3</v>
      </c>
      <c r="D12" s="49" t="s">
        <v>128</v>
      </c>
      <c r="E12" s="50" t="s">
        <v>344</v>
      </c>
      <c r="F12" s="50" t="s">
        <v>364</v>
      </c>
      <c r="G12" s="62" t="str">
        <f t="shared" si="0"/>
        <v>[effect:fix_speed, target:myself, turn:2]</v>
      </c>
      <c r="H12" s="62">
        <f t="shared" si="1"/>
        <v>9</v>
      </c>
      <c r="I12" s="62">
        <f t="shared" si="2"/>
        <v>18</v>
      </c>
      <c r="J12" s="62">
        <f t="shared" si="3"/>
        <v>27</v>
      </c>
      <c r="K12" s="62">
        <f t="shared" si="4"/>
        <v>33</v>
      </c>
      <c r="L12" s="62" t="str">
        <f>IFERROR(VLOOKUP(MID(G12,J12,K12-J12),[6]skilldef!$C:$D,2,FALSE),"-") &amp; " / " &amp; IFERROR(VLOOKUP(MID(G12,H12,I12-H12),[6]skilldef!$A:$B,2,FALSE),"-")</f>
        <v>自分自身に / 行動値設定</v>
      </c>
      <c r="M12" s="62" t="str">
        <f t="shared" si="5"/>
        <v>[effect:rush, count:5, val:0.2]</v>
      </c>
      <c r="N12" s="47" t="str">
        <f>IFERROR(LEFT(M12,FIND("],",M12)+#REF!),M12)</f>
        <v>[effect:rush, count:5, val:0.2]</v>
      </c>
      <c r="O12" s="62">
        <f t="shared" si="7"/>
        <v>9</v>
      </c>
      <c r="P12" s="62">
        <f t="shared" si="8"/>
        <v>13</v>
      </c>
      <c r="Q12" s="62" t="e">
        <f t="shared" si="9"/>
        <v>#VALUE!</v>
      </c>
      <c r="R12" s="62">
        <f t="shared" si="10"/>
        <v>22</v>
      </c>
      <c r="S12" s="62" t="str">
        <f>IFERROR(VLOOKUP(MID(N12,Q12,R12-Q12),[6]skilldef!$C:$D,2,FALSE),"-") &amp; " / " &amp; IFERROR(VLOOKUP(MID(N12,O12,P12-O12),[6]skilldef!$A:$B,2,FALSE),"-")</f>
        <v>- / 連続攻撃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6001012</v>
      </c>
      <c r="B13" s="46" t="s">
        <v>286</v>
      </c>
      <c r="C13" s="49">
        <v>3</v>
      </c>
      <c r="D13" s="49" t="s">
        <v>128</v>
      </c>
      <c r="E13" s="50" t="s">
        <v>344</v>
      </c>
      <c r="F13" s="50" t="s">
        <v>364</v>
      </c>
      <c r="G13" s="62" t="str">
        <f t="shared" si="0"/>
        <v>[effect:fix_speed, target:myself, turn:3]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33</v>
      </c>
      <c r="L13" s="62" t="str">
        <f>IFERROR(VLOOKUP(MID(G13,J13,K13-J13),[6]skilldef!$C:$D,2,FALSE),"-") &amp; " / " &amp; IFERROR(VLOOKUP(MID(G13,H13,I13-H13),[6]skilldef!$A:$B,2,FALSE),"-")</f>
        <v>自分自身に / 行動値設定</v>
      </c>
      <c r="M13" s="62" t="str">
        <f t="shared" si="5"/>
        <v>[effect:rush, count:5, val:0.2]</v>
      </c>
      <c r="N13" s="47" t="str">
        <f>IFERROR(LEFT(M13,FIND("],",M13)+#REF!),M13)</f>
        <v>[effect:rush, count:5, val:0.2]</v>
      </c>
      <c r="O13" s="62">
        <f t="shared" si="7"/>
        <v>9</v>
      </c>
      <c r="P13" s="62">
        <f t="shared" si="8"/>
        <v>13</v>
      </c>
      <c r="Q13" s="62" t="e">
        <f t="shared" si="9"/>
        <v>#VALUE!</v>
      </c>
      <c r="R13" s="62">
        <f t="shared" si="10"/>
        <v>22</v>
      </c>
      <c r="S13" s="62" t="str">
        <f>IFERROR(VLOOKUP(MID(N13,Q13,R13-Q13),[6]skilldef!$C:$D,2,FALSE),"-") &amp; " / " &amp; IFERROR(VLOOKUP(MID(N13,O13,P13-O13),[6]skilldef!$A:$B,2,FALSE),"-")</f>
        <v>- / 連続攻撃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6001013</v>
      </c>
      <c r="B14" s="46" t="s">
        <v>308</v>
      </c>
      <c r="C14" s="49">
        <v>3</v>
      </c>
      <c r="D14" s="49" t="s">
        <v>128</v>
      </c>
      <c r="E14" s="50" t="s">
        <v>345</v>
      </c>
      <c r="F14" s="50" t="s">
        <v>377</v>
      </c>
      <c r="G14" s="62" t="str">
        <f t="shared" si="0"/>
        <v>[effect:fix_speed, target:myself, turn:3]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33</v>
      </c>
      <c r="L14" s="62" t="str">
        <f>IFERROR(VLOOKUP(MID(G14,J14,K14-J14),[6]skilldef!$C:$D,2,FALSE),"-") &amp; " / " &amp; IFERROR(VLOOKUP(MID(G14,H14,I14-H14),[6]skilldef!$A:$B,2,FALSE),"-")</f>
        <v>自分自身に / 行動値設定</v>
      </c>
      <c r="M14" s="62" t="str">
        <f t="shared" si="5"/>
        <v>[effect:force_change_block, new_block:jammer, target:block_all, count:8, val:0, animation:change_block]</v>
      </c>
      <c r="N14" s="47" t="str">
        <f>IFERROR(LEFT(M14,FIND("],",M14)+S18),M14)</f>
        <v>[effect:force_change_block, new_block:jammer, target:block_all, count:8, val:0, animation:change_block]</v>
      </c>
      <c r="O14" s="62">
        <f t="shared" si="7"/>
        <v>9</v>
      </c>
      <c r="P14" s="62">
        <f t="shared" si="8"/>
        <v>27</v>
      </c>
      <c r="Q14" s="62">
        <f t="shared" si="9"/>
        <v>54</v>
      </c>
      <c r="R14" s="62">
        <f t="shared" si="10"/>
        <v>45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6001014</v>
      </c>
      <c r="B15" s="46" t="s">
        <v>298</v>
      </c>
      <c r="C15" s="49">
        <v>3</v>
      </c>
      <c r="D15" s="49" t="s">
        <v>128</v>
      </c>
      <c r="E15" s="50" t="s">
        <v>346</v>
      </c>
      <c r="F15" s="50" t="s">
        <v>378</v>
      </c>
      <c r="G15" s="62" t="str">
        <f t="shared" si="0"/>
        <v>[effect:spread, val:0.3]</v>
      </c>
      <c r="H15" s="62">
        <f t="shared" si="1"/>
        <v>9</v>
      </c>
      <c r="I15" s="62">
        <f t="shared" si="2"/>
        <v>15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IFERROR(VLOOKUP(MID(G15,J15,K15-J15),[6]skilldef!$C:$D,2,FALSE),"-") &amp; " / " &amp; IFERROR(VLOOKUP(MID(G15,H15,I15-H15),[6]skilldef!$A:$B,2,FALSE),"-")</f>
        <v>- / 全体攻撃</v>
      </c>
      <c r="M15" s="62" t="str">
        <f t="shared" si="5"/>
        <v>[effect:force_change_block, new_block:jammer, target:block_all, count:8, val:0, animation:change_block]</v>
      </c>
      <c r="N15" s="47" t="str">
        <f>IFERROR(LEFT(M15,FIND("],",M15)+S19),M15)</f>
        <v>[effect:force_change_block, new_block:jammer, target:block_all, count:8, val:0, animation:change_block]</v>
      </c>
      <c r="O15" s="62">
        <f t="shared" si="7"/>
        <v>9</v>
      </c>
      <c r="P15" s="62">
        <f t="shared" si="8"/>
        <v>27</v>
      </c>
      <c r="Q15" s="62">
        <f t="shared" si="9"/>
        <v>54</v>
      </c>
      <c r="R15" s="62">
        <f t="shared" si="10"/>
        <v>45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6001018</v>
      </c>
      <c r="B16" s="46" t="s">
        <v>299</v>
      </c>
      <c r="C16" s="49">
        <v>3</v>
      </c>
      <c r="D16" s="49" t="s">
        <v>128</v>
      </c>
      <c r="E16" s="50" t="s">
        <v>345</v>
      </c>
      <c r="F16" s="50" t="s">
        <v>379</v>
      </c>
      <c r="G16" s="62" t="str">
        <f t="shared" si="0"/>
        <v>[effect:fix_speed, target:myself, turn:2]</v>
      </c>
      <c r="H16" s="62">
        <f t="shared" si="1"/>
        <v>9</v>
      </c>
      <c r="I16" s="62">
        <f t="shared" si="2"/>
        <v>18</v>
      </c>
      <c r="J16" s="62">
        <f t="shared" si="3"/>
        <v>27</v>
      </c>
      <c r="K16" s="62">
        <f t="shared" si="4"/>
        <v>33</v>
      </c>
      <c r="L16" s="62" t="str">
        <f>IFERROR(VLOOKUP(MID(G16,J16,K16-J16),[6]skilldef!$C:$D,2,FALSE),"-") &amp; " / " &amp; IFERROR(VLOOKUP(MID(G16,H16,I16-H16),[6]skilldef!$A:$B,2,FALSE),"-")</f>
        <v>自分自身に / 行動値設定</v>
      </c>
      <c r="M16" s="62" t="str">
        <f t="shared" si="5"/>
        <v>[effect:force_change_block, new_block:jammer, target:block_all, count:8, val:0, animation:change_block]</v>
      </c>
      <c r="N16" s="47" t="str">
        <f>IFERROR(LEFT(M16,FIND("],",M16)+#REF!),M16)</f>
        <v>[effect:force_change_block, new_block:jammer, target:block_all, count:8, val:0, animation:change_block]</v>
      </c>
      <c r="O16" s="62">
        <f t="shared" si="7"/>
        <v>9</v>
      </c>
      <c r="P16" s="62">
        <f t="shared" si="8"/>
        <v>27</v>
      </c>
      <c r="Q16" s="62">
        <f t="shared" si="9"/>
        <v>54</v>
      </c>
      <c r="R16" s="62">
        <f t="shared" si="10"/>
        <v>45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6001019</v>
      </c>
      <c r="B17" s="46" t="s">
        <v>300</v>
      </c>
      <c r="C17" s="49">
        <v>3</v>
      </c>
      <c r="D17" s="49" t="s">
        <v>128</v>
      </c>
      <c r="E17" s="50" t="s">
        <v>347</v>
      </c>
      <c r="F17" s="50" t="s">
        <v>380</v>
      </c>
      <c r="G17" s="62" t="str">
        <f t="shared" si="0"/>
        <v>[effect:spread, val:0.3]</v>
      </c>
      <c r="H17" s="62">
        <f t="shared" si="1"/>
        <v>9</v>
      </c>
      <c r="I17" s="62">
        <f t="shared" si="2"/>
        <v>15</v>
      </c>
      <c r="J17" s="62" t="e">
        <f t="shared" si="3"/>
        <v>#VALUE!</v>
      </c>
      <c r="K17" s="62" t="e">
        <f t="shared" si="4"/>
        <v>#VALUE!</v>
      </c>
      <c r="L17" s="62" t="str">
        <f>IFERROR(VLOOKUP(MID(G17,J17,K17-J17),[6]skilldef!$C:$D,2,FALSE),"-") &amp; " / " &amp; IFERROR(VLOOKUP(MID(G17,H17,I17-H17),[6]skilldef!$A:$B,2,FALSE),"-")</f>
        <v>- / 全体攻撃</v>
      </c>
      <c r="M17" s="62" t="str">
        <f t="shared" si="5"/>
        <v>[effect:force_change_block, new_block:jammer, target:block_all, count:3, val:0, animation:change_block]</v>
      </c>
      <c r="N17" s="47" t="str">
        <f>IFERROR(LEFT(M17,FIND("],",M17)+#REF!),M17)</f>
        <v>[effect:force_change_block, new_block:jammer, target:block_all, count:3, val:0, animation:change_block]</v>
      </c>
      <c r="O17" s="62">
        <f t="shared" si="7"/>
        <v>9</v>
      </c>
      <c r="P17" s="62">
        <f t="shared" si="8"/>
        <v>27</v>
      </c>
      <c r="Q17" s="62">
        <f t="shared" si="9"/>
        <v>54</v>
      </c>
      <c r="R17" s="62">
        <f t="shared" si="10"/>
        <v>45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6001023</v>
      </c>
      <c r="B18" s="46" t="s">
        <v>287</v>
      </c>
      <c r="C18" s="49">
        <v>3</v>
      </c>
      <c r="D18" s="49" t="s">
        <v>128</v>
      </c>
      <c r="E18" s="50" t="s">
        <v>348</v>
      </c>
      <c r="F18" s="50" t="s">
        <v>349</v>
      </c>
      <c r="G18" s="62" t="str">
        <f t="shared" ref="G18:G20" si="16">IFERROR(LEFT(B18,FIND("],",B18)),B18)</f>
        <v>[effect:fix_speed, target:myself, turn:2]</v>
      </c>
      <c r="H18" s="62">
        <f t="shared" si="1"/>
        <v>9</v>
      </c>
      <c r="I18" s="62">
        <f t="shared" ref="I18:I20" si="17">IFERROR(FIND(",",G18),LEN(G18))</f>
        <v>18</v>
      </c>
      <c r="J18" s="62">
        <f t="shared" ref="J18:J20" si="18">FIND("target:",G18)+7</f>
        <v>27</v>
      </c>
      <c r="K18" s="62">
        <f t="shared" ref="K18:K20" si="19">FIND(",",G18,I18+1)</f>
        <v>33</v>
      </c>
      <c r="L18" s="62" t="str">
        <f>IFERROR(VLOOKUP(MID(G18,J18,K18-J18),[6]skilldef!$C:$D,2,FALSE),"-") &amp; " / " &amp; IFERROR(VLOOKUP(MID(G18,H18,I18-H18),[6]skilldef!$A:$B,2,FALSE),"-")</f>
        <v>自分自身に / 行動値設定</v>
      </c>
      <c r="M18" s="62" t="str">
        <f t="shared" ref="M18:M20" si="20">IFERROR(RIGHT(B18,LEN(B18)-FIND("],",B18)-1),"none")</f>
        <v>none</v>
      </c>
      <c r="N18" s="47" t="str">
        <f t="shared" ref="N18:N21" si="21">IFERROR(LEFT(M18,FIND("],",M18)+S21),M18)</f>
        <v>none</v>
      </c>
      <c r="O18" s="62" t="e">
        <f t="shared" si="7"/>
        <v>#VALUE!</v>
      </c>
      <c r="P18" s="62">
        <f t="shared" ref="P18:P20" si="22">IFERROR(FIND(",",N18),LEN(N18))</f>
        <v>4</v>
      </c>
      <c r="Q18" s="62" t="e">
        <f t="shared" ref="Q18:Q20" si="23">FIND("target:",N18)+7</f>
        <v>#VALUE!</v>
      </c>
      <c r="R18" s="62" t="e">
        <f t="shared" ref="R18:R20" si="24">FIND(",",N18,P18+1)</f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ref="T18:T20" si="25">IFERROR(RIGHT(M18,LEN(M18)-FIND("],",M18)-1),"none")</f>
        <v>none</v>
      </c>
      <c r="U18" s="62" t="e">
        <f t="shared" si="12"/>
        <v>#VALUE!</v>
      </c>
      <c r="V18" s="62">
        <f t="shared" ref="V18:V20" si="26">IFERROR(FIND(",",T18),LEN(T18))</f>
        <v>4</v>
      </c>
      <c r="W18" s="62" t="e">
        <f t="shared" ref="W18:W20" si="27">FIND("target:",T18)+7</f>
        <v>#VALUE!</v>
      </c>
      <c r="X18" s="62" t="e">
        <f t="shared" ref="X18:X20" si="28">FIND(",",T18,V18+1)</f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6001024</v>
      </c>
      <c r="B19" s="46" t="s">
        <v>291</v>
      </c>
      <c r="C19" s="49">
        <v>3</v>
      </c>
      <c r="D19" s="49" t="s">
        <v>128</v>
      </c>
      <c r="E19" s="50" t="s">
        <v>350</v>
      </c>
      <c r="F19" s="50" t="s">
        <v>352</v>
      </c>
      <c r="G19" s="62" t="str">
        <f t="shared" si="16"/>
        <v>[effect:enhance_enemy, target:myself, turn:5, status:attack, val:1.5, calc:mul, animation:enemy_enhance_attack]</v>
      </c>
      <c r="H19" s="62">
        <f t="shared" si="1"/>
        <v>9</v>
      </c>
      <c r="I19" s="62">
        <f t="shared" si="17"/>
        <v>22</v>
      </c>
      <c r="J19" s="62">
        <f t="shared" si="18"/>
        <v>31</v>
      </c>
      <c r="K19" s="62">
        <f t="shared" si="19"/>
        <v>37</v>
      </c>
      <c r="L19" s="62" t="str">
        <f>IFERROR(VLOOKUP(MID(G19,J19,K19-J19),[6]skilldef!$C:$D,2,FALSE),"-") &amp; " / " &amp; IFERROR(VLOOKUP(MID(G19,H19,I19-H19),[6]skilldef!$A:$B,2,FALSE),"-")</f>
        <v>自分自身に / ステータス強化</v>
      </c>
      <c r="M19" s="62" t="str">
        <f t="shared" si="20"/>
        <v>none</v>
      </c>
      <c r="N19" s="47" t="str">
        <f t="shared" si="21"/>
        <v>none</v>
      </c>
      <c r="O19" s="62" t="e">
        <f t="shared" si="7"/>
        <v>#VALUE!</v>
      </c>
      <c r="P19" s="62">
        <f t="shared" si="22"/>
        <v>4</v>
      </c>
      <c r="Q19" s="62" t="e">
        <f t="shared" si="23"/>
        <v>#VALUE!</v>
      </c>
      <c r="R19" s="62" t="e">
        <f t="shared" si="24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25"/>
        <v>none</v>
      </c>
      <c r="U19" s="62" t="e">
        <f t="shared" si="12"/>
        <v>#VALUE!</v>
      </c>
      <c r="V19" s="62">
        <f t="shared" si="26"/>
        <v>4</v>
      </c>
      <c r="W19" s="62" t="e">
        <f t="shared" si="27"/>
        <v>#VALUE!</v>
      </c>
      <c r="X19" s="62" t="e">
        <f t="shared" si="28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6001025</v>
      </c>
      <c r="B20" s="46" t="s">
        <v>294</v>
      </c>
      <c r="C20" s="49">
        <v>3</v>
      </c>
      <c r="D20" s="49" t="s">
        <v>128</v>
      </c>
      <c r="E20" s="50" t="s">
        <v>351</v>
      </c>
      <c r="F20" s="50" t="s">
        <v>353</v>
      </c>
      <c r="G20" s="62" t="str">
        <f t="shared" si="16"/>
        <v>[effect:enhance_enemy, target:enemy_all, turn:3, status:defense, val:10000, calc:add, animation:enemy_enhance_defense]</v>
      </c>
      <c r="H20" s="62">
        <f t="shared" si="1"/>
        <v>9</v>
      </c>
      <c r="I20" s="62">
        <f t="shared" si="17"/>
        <v>22</v>
      </c>
      <c r="J20" s="62">
        <f t="shared" si="18"/>
        <v>31</v>
      </c>
      <c r="K20" s="62">
        <f t="shared" si="19"/>
        <v>40</v>
      </c>
      <c r="L20" s="62" t="str">
        <f>IFERROR(VLOOKUP(MID(G20,J20,K20-J20),[6]skilldef!$C:$D,2,FALSE),"-") &amp; " / " &amp; IFERROR(VLOOKUP(MID(G20,H20,I20-H20),[6]skilldef!$A:$B,2,FALSE),"-")</f>
        <v>敵全体に / ステータス強化</v>
      </c>
      <c r="M20" s="62" t="str">
        <f t="shared" si="20"/>
        <v>none</v>
      </c>
      <c r="N20" s="47" t="str">
        <f t="shared" si="21"/>
        <v>none</v>
      </c>
      <c r="O20" s="62" t="e">
        <f t="shared" si="7"/>
        <v>#VALUE!</v>
      </c>
      <c r="P20" s="62">
        <f t="shared" si="22"/>
        <v>4</v>
      </c>
      <c r="Q20" s="62" t="e">
        <f t="shared" si="23"/>
        <v>#VALUE!</v>
      </c>
      <c r="R20" s="62" t="e">
        <f t="shared" si="24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25"/>
        <v>none</v>
      </c>
      <c r="U20" s="62" t="e">
        <f t="shared" si="12"/>
        <v>#VALUE!</v>
      </c>
      <c r="V20" s="62">
        <f t="shared" si="26"/>
        <v>4</v>
      </c>
      <c r="W20" s="62" t="e">
        <f t="shared" si="27"/>
        <v>#VALUE!</v>
      </c>
      <c r="X20" s="62" t="e">
        <f t="shared" si="28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46">
        <v>6001033</v>
      </c>
      <c r="B21" s="46" t="s">
        <v>288</v>
      </c>
      <c r="C21" s="49">
        <v>3</v>
      </c>
      <c r="D21" s="49" t="s">
        <v>128</v>
      </c>
      <c r="E21" s="50" t="s">
        <v>355</v>
      </c>
      <c r="F21" s="50" t="s">
        <v>349</v>
      </c>
      <c r="G21" s="62" t="str">
        <f t="shared" ref="G21:G26" si="29">IFERROR(LEFT(B21,FIND("],",B21)),B21)</f>
        <v>[effect:fix_speed, target:myself, turn:3]</v>
      </c>
      <c r="H21" s="62">
        <f t="shared" si="1"/>
        <v>9</v>
      </c>
      <c r="I21" s="62">
        <f t="shared" ref="I21:I26" si="30">IFERROR(FIND(",",G21),LEN(G21))</f>
        <v>18</v>
      </c>
      <c r="J21" s="62">
        <f t="shared" ref="J21:J26" si="31">FIND("target:",G21)+7</f>
        <v>27</v>
      </c>
      <c r="K21" s="62">
        <f t="shared" ref="K21:K26" si="32">FIND(",",G21,I21+1)</f>
        <v>33</v>
      </c>
      <c r="L21" s="62" t="str">
        <f>IFERROR(VLOOKUP(MID(G21,J21,K21-J21),[6]skilldef!$C:$D,2,FALSE),"-") &amp; " / " &amp; IFERROR(VLOOKUP(MID(G21,H21,I21-H21),[6]skilldef!$A:$B,2,FALSE),"-")</f>
        <v>自分自身に / 行動値設定</v>
      </c>
      <c r="M21" s="62" t="str">
        <f t="shared" ref="M21:M26" si="33">IFERROR(RIGHT(B21,LEN(B21)-FIND("],",B21)-1),"none")</f>
        <v>none</v>
      </c>
      <c r="N21" s="47" t="str">
        <f t="shared" si="21"/>
        <v>none</v>
      </c>
      <c r="O21" s="62" t="e">
        <f t="shared" si="7"/>
        <v>#VALUE!</v>
      </c>
      <c r="P21" s="62">
        <f t="shared" ref="P21:P26" si="34">IFERROR(FIND(",",N21),LEN(N21))</f>
        <v>4</v>
      </c>
      <c r="Q21" s="62" t="e">
        <f t="shared" ref="Q21:Q26" si="35">FIND("target:",N21)+7</f>
        <v>#VALUE!</v>
      </c>
      <c r="R21" s="62" t="e">
        <f t="shared" ref="R21:R26" si="36">FIND(",",N21,P21+1)</f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ref="T21:T26" si="37">IFERROR(RIGHT(M21,LEN(M21)-FIND("],",M21)-1),"none")</f>
        <v>none</v>
      </c>
      <c r="U21" s="62" t="e">
        <f t="shared" si="12"/>
        <v>#VALUE!</v>
      </c>
      <c r="V21" s="62">
        <f t="shared" ref="V21:V26" si="38">IFERROR(FIND(",",T21),LEN(T21))</f>
        <v>4</v>
      </c>
      <c r="W21" s="62" t="e">
        <f t="shared" ref="W21:W26" si="39">FIND("target:",T21)+7</f>
        <v>#VALUE!</v>
      </c>
      <c r="X21" s="62" t="e">
        <f t="shared" ref="X21:X26" si="40">FIND(",",T21,V21+1)</f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6001034</v>
      </c>
      <c r="B22" s="46" t="s">
        <v>290</v>
      </c>
      <c r="C22" s="49">
        <v>3</v>
      </c>
      <c r="D22" s="49" t="s">
        <v>128</v>
      </c>
      <c r="E22" s="50" t="s">
        <v>356</v>
      </c>
      <c r="F22" s="50" t="s">
        <v>354</v>
      </c>
      <c r="G22" s="62" t="str">
        <f t="shared" si="29"/>
        <v>[effect:charge, status:attack, val:1.5]</v>
      </c>
      <c r="H22" s="62">
        <f t="shared" si="1"/>
        <v>9</v>
      </c>
      <c r="I22" s="62">
        <f t="shared" si="30"/>
        <v>15</v>
      </c>
      <c r="J22" s="62" t="e">
        <f t="shared" si="31"/>
        <v>#VALUE!</v>
      </c>
      <c r="K22" s="62">
        <f t="shared" si="32"/>
        <v>30</v>
      </c>
      <c r="L22" s="62" t="str">
        <f>IFERROR(VLOOKUP(MID(G22,J22,K22-J22),[6]skilldef!$C:$D,2,FALSE),"-") &amp; " / " &amp; IFERROR(VLOOKUP(MID(G22,H22,I22-H22),[6]skilldef!$A:$B,2,FALSE),"-")</f>
        <v>- / 溜め</v>
      </c>
      <c r="M22" s="62" t="str">
        <f t="shared" si="33"/>
        <v>none</v>
      </c>
      <c r="N22" s="47" t="str">
        <f>IFERROR(LEFT(M22,FIND("],",M22)+#REF!),M22)</f>
        <v>none</v>
      </c>
      <c r="O22" s="62" t="e">
        <f t="shared" si="7"/>
        <v>#VALUE!</v>
      </c>
      <c r="P22" s="62">
        <f t="shared" si="34"/>
        <v>4</v>
      </c>
      <c r="Q22" s="62" t="e">
        <f t="shared" si="35"/>
        <v>#VALUE!</v>
      </c>
      <c r="R22" s="62" t="e">
        <f t="shared" si="36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37"/>
        <v>none</v>
      </c>
      <c r="U22" s="62" t="e">
        <f t="shared" si="12"/>
        <v>#VALUE!</v>
      </c>
      <c r="V22" s="62">
        <f t="shared" si="38"/>
        <v>4</v>
      </c>
      <c r="W22" s="62" t="e">
        <f t="shared" si="39"/>
        <v>#VALUE!</v>
      </c>
      <c r="X22" s="62" t="e">
        <f t="shared" si="40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6001035</v>
      </c>
      <c r="B23" s="46" t="s">
        <v>289</v>
      </c>
      <c r="C23" s="49">
        <v>3</v>
      </c>
      <c r="D23" s="49" t="s">
        <v>128</v>
      </c>
      <c r="E23" s="50" t="s">
        <v>357</v>
      </c>
      <c r="F23" s="50" t="s">
        <v>389</v>
      </c>
      <c r="G23" s="62" t="str">
        <f t="shared" si="29"/>
        <v>[effect:freq_turn, target:myself, turn:-1, val:1, animation:enemy_freq_turn]</v>
      </c>
      <c r="H23" s="62">
        <f t="shared" si="1"/>
        <v>9</v>
      </c>
      <c r="I23" s="62">
        <f t="shared" si="30"/>
        <v>18</v>
      </c>
      <c r="J23" s="62">
        <f t="shared" si="31"/>
        <v>27</v>
      </c>
      <c r="K23" s="62">
        <f t="shared" si="32"/>
        <v>33</v>
      </c>
      <c r="L23" s="62" t="str">
        <f>IFERROR(VLOOKUP(MID(G23,J23,K23-J23),[6]skilldef!$C:$D,2,FALSE),"-") &amp; " / " &amp; IFERROR(VLOOKUP(MID(G23,H23,I23-H23),[6]skilldef!$A:$B,2,FALSE),"-")</f>
        <v>自分自身に / 攻撃頻度がUP</v>
      </c>
      <c r="M23" s="62" t="str">
        <f t="shared" si="33"/>
        <v>none</v>
      </c>
      <c r="N23" s="47" t="str">
        <f>IFERROR(LEFT(M23,FIND("],",M23)+S25),M23)</f>
        <v>none</v>
      </c>
      <c r="O23" s="62" t="e">
        <f t="shared" si="7"/>
        <v>#VALUE!</v>
      </c>
      <c r="P23" s="62">
        <f t="shared" si="34"/>
        <v>4</v>
      </c>
      <c r="Q23" s="62" t="e">
        <f t="shared" si="35"/>
        <v>#VALUE!</v>
      </c>
      <c r="R23" s="62" t="e">
        <f t="shared" si="36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37"/>
        <v>none</v>
      </c>
      <c r="U23" s="62" t="e">
        <f t="shared" si="12"/>
        <v>#VALUE!</v>
      </c>
      <c r="V23" s="62">
        <f t="shared" si="38"/>
        <v>4</v>
      </c>
      <c r="W23" s="62" t="e">
        <f t="shared" si="39"/>
        <v>#VALUE!</v>
      </c>
      <c r="X23" s="62" t="e">
        <f t="shared" si="40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46">
        <v>6001043</v>
      </c>
      <c r="B24" s="46" t="s">
        <v>337</v>
      </c>
      <c r="C24" s="49">
        <v>3</v>
      </c>
      <c r="D24" s="49" t="s">
        <v>128</v>
      </c>
      <c r="E24" s="50" t="s">
        <v>358</v>
      </c>
      <c r="F24" s="50" t="s">
        <v>359</v>
      </c>
      <c r="G24" s="62" t="str">
        <f t="shared" si="29"/>
        <v>[effect:tolerance, target:myself, turn:-1, tolerance_effect:all, count:-1, animation:enemy_tolerance]</v>
      </c>
      <c r="H24" s="62">
        <f t="shared" si="1"/>
        <v>9</v>
      </c>
      <c r="I24" s="62">
        <f t="shared" si="30"/>
        <v>18</v>
      </c>
      <c r="J24" s="62">
        <f t="shared" si="31"/>
        <v>27</v>
      </c>
      <c r="K24" s="62">
        <f t="shared" si="32"/>
        <v>33</v>
      </c>
      <c r="L24" s="62" t="str">
        <f>IFERROR(VLOOKUP(MID(G24,J24,K24-J24),[6]skilldef!$C:$D,2,FALSE),"-") &amp; " / " &amp; IFERROR(VLOOKUP(MID(G24,H24,I24-H24),[6]skilldef!$A:$B,2,FALSE),"-")</f>
        <v>自分自身に / 状態異常耐性</v>
      </c>
      <c r="M24" s="62" t="str">
        <f t="shared" si="33"/>
        <v>[effect:force_change_block, new_block:jammer, target:block_all, count:10, val:0, animation:change_block],[effect:remove_enhancement, target:unit_all, target_effect:all, target_type:buff, animation:frozen_wave]</v>
      </c>
      <c r="N24" s="47" t="str">
        <f>IFERROR(LEFT(M24,FIND("],",M24)+S27),M24)</f>
        <v>[effect:force_change_block, new_block:jammer, target:block_all, count:10, val:0, animation:change_block],[effect:remove_enhancement, target:unit_all, target_effect:all, target_type:buff, animation:frozen_wave]</v>
      </c>
      <c r="O24" s="62">
        <f t="shared" si="7"/>
        <v>9</v>
      </c>
      <c r="P24" s="62">
        <f t="shared" si="34"/>
        <v>27</v>
      </c>
      <c r="Q24" s="62">
        <f t="shared" si="35"/>
        <v>54</v>
      </c>
      <c r="R24" s="62">
        <f t="shared" si="36"/>
        <v>45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37"/>
        <v>[effect:remove_enhancement, target:unit_all, target_effect:all, target_type:buff, animation:frozen_wave]</v>
      </c>
      <c r="U24" s="62">
        <f t="shared" si="12"/>
        <v>9</v>
      </c>
      <c r="V24" s="62">
        <f t="shared" si="38"/>
        <v>27</v>
      </c>
      <c r="W24" s="62">
        <f t="shared" si="39"/>
        <v>36</v>
      </c>
      <c r="X24" s="62">
        <f t="shared" si="40"/>
        <v>44</v>
      </c>
      <c r="Y24" s="62" t="str">
        <f>IFERROR(VLOOKUP(MID(T24,W24,X24-W24),[6]skilldef!$C:$D,2,FALSE),"-") &amp; " / " &amp; IFERROR(VLOOKUP(MID(T24,U24,V24-U24),[6]skilldef!$A:$B,2,FALSE),"-")</f>
        <v>味方全体に / -</v>
      </c>
      <c r="Z24" s="49"/>
      <c r="AA24" s="51"/>
      <c r="AB24" s="49"/>
    </row>
    <row r="25" spans="1:28" ht="21" customHeight="1" x14ac:dyDescent="0.15">
      <c r="A25" s="46">
        <v>6001045</v>
      </c>
      <c r="B25" s="46" t="s">
        <v>301</v>
      </c>
      <c r="C25" s="49">
        <v>3</v>
      </c>
      <c r="D25" s="49" t="s">
        <v>128</v>
      </c>
      <c r="E25" s="50" t="s">
        <v>362</v>
      </c>
      <c r="F25" s="50" t="s">
        <v>384</v>
      </c>
      <c r="G25" s="62" t="str">
        <f t="shared" si="29"/>
        <v>[effect:critical, val:1.2]</v>
      </c>
      <c r="H25" s="62">
        <f t="shared" si="1"/>
        <v>9</v>
      </c>
      <c r="I25" s="62">
        <f t="shared" si="30"/>
        <v>17</v>
      </c>
      <c r="J25" s="62" t="e">
        <f t="shared" si="31"/>
        <v>#VALUE!</v>
      </c>
      <c r="K25" s="62" t="e">
        <f t="shared" si="32"/>
        <v>#VALUE!</v>
      </c>
      <c r="L25" s="62" t="str">
        <f>IFERROR(VLOOKUP(MID(G25,J25,K25-J25),[6]skilldef!$C:$D,2,FALSE),"-") &amp; " / " &amp; IFERROR(VLOOKUP(MID(G25,H25,I25-H25),[6]skilldef!$A:$B,2,FALSE),"-")</f>
        <v>- / 大攻撃</v>
      </c>
      <c r="M25" s="62" t="str">
        <f t="shared" si="33"/>
        <v>none</v>
      </c>
      <c r="N25" s="47" t="str">
        <f>IFERROR(LEFT(M25,FIND("],",M25)+S29),M25)</f>
        <v>none</v>
      </c>
      <c r="O25" s="62" t="e">
        <f t="shared" si="7"/>
        <v>#VALUE!</v>
      </c>
      <c r="P25" s="62">
        <f t="shared" si="34"/>
        <v>4</v>
      </c>
      <c r="Q25" s="62" t="e">
        <f t="shared" si="35"/>
        <v>#VALUE!</v>
      </c>
      <c r="R25" s="62" t="e">
        <f t="shared" si="36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37"/>
        <v>none</v>
      </c>
      <c r="U25" s="62" t="e">
        <f t="shared" si="12"/>
        <v>#VALUE!</v>
      </c>
      <c r="V25" s="62">
        <f t="shared" si="38"/>
        <v>4</v>
      </c>
      <c r="W25" s="62" t="e">
        <f t="shared" si="39"/>
        <v>#VALUE!</v>
      </c>
      <c r="X25" s="62" t="e">
        <f t="shared" si="40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6001046</v>
      </c>
      <c r="B26" s="46" t="s">
        <v>292</v>
      </c>
      <c r="C26" s="49">
        <v>3</v>
      </c>
      <c r="D26" s="49" t="s">
        <v>128</v>
      </c>
      <c r="E26" s="50" t="s">
        <v>361</v>
      </c>
      <c r="F26" s="50" t="s">
        <v>284</v>
      </c>
      <c r="G26" s="62" t="str">
        <f t="shared" si="29"/>
        <v>[effect:spread, val:0.3]</v>
      </c>
      <c r="H26" s="62">
        <f t="shared" si="1"/>
        <v>9</v>
      </c>
      <c r="I26" s="62">
        <f t="shared" si="30"/>
        <v>15</v>
      </c>
      <c r="J26" s="62" t="e">
        <f t="shared" si="31"/>
        <v>#VALUE!</v>
      </c>
      <c r="K26" s="62" t="e">
        <f t="shared" si="32"/>
        <v>#VALUE!</v>
      </c>
      <c r="L26" s="62" t="str">
        <f>IFERROR(VLOOKUP(MID(G26,J26,K26-J26),[6]skilldef!$C:$D,2,FALSE),"-") &amp; " / " &amp; IFERROR(VLOOKUP(MID(G26,H26,I26-H26),[6]skilldef!$A:$B,2,FALSE),"-")</f>
        <v>- / 全体攻撃</v>
      </c>
      <c r="M26" s="62" t="str">
        <f t="shared" si="33"/>
        <v>none</v>
      </c>
      <c r="N26" s="47" t="str">
        <f>IFERROR(LEFT(M26,FIND("],",M26)+S30),M26)</f>
        <v>none</v>
      </c>
      <c r="O26" s="62" t="e">
        <f t="shared" si="7"/>
        <v>#VALUE!</v>
      </c>
      <c r="P26" s="62">
        <f t="shared" si="34"/>
        <v>4</v>
      </c>
      <c r="Q26" s="62" t="e">
        <f t="shared" si="35"/>
        <v>#VALUE!</v>
      </c>
      <c r="R26" s="62" t="e">
        <f t="shared" si="36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37"/>
        <v>none</v>
      </c>
      <c r="U26" s="62" t="e">
        <f t="shared" si="12"/>
        <v>#VALUE!</v>
      </c>
      <c r="V26" s="62">
        <f t="shared" si="38"/>
        <v>4</v>
      </c>
      <c r="W26" s="62" t="e">
        <f t="shared" si="39"/>
        <v>#VALUE!</v>
      </c>
      <c r="X26" s="62" t="e">
        <f t="shared" si="40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6001053</v>
      </c>
      <c r="B27" s="46" t="s">
        <v>306</v>
      </c>
      <c r="C27" s="49">
        <v>3</v>
      </c>
      <c r="D27" s="49" t="s">
        <v>128</v>
      </c>
      <c r="E27" s="50" t="s">
        <v>365</v>
      </c>
      <c r="F27" s="50" t="s">
        <v>307</v>
      </c>
      <c r="G27" s="62" t="str">
        <f t="shared" ref="G27:G31" si="41">IFERROR(LEFT(B27,FIND("],",B27)),B27)</f>
        <v>[effect:tolerance, target:myself, turn:-1, tolerance_effect:all, count:-1, animation:enemy_tolerance]</v>
      </c>
      <c r="H27" s="62">
        <f t="shared" si="1"/>
        <v>9</v>
      </c>
      <c r="I27" s="62">
        <f t="shared" ref="I27:I31" si="42">IFERROR(FIND(",",G27),LEN(G27))</f>
        <v>18</v>
      </c>
      <c r="J27" s="62">
        <f t="shared" ref="J27:J31" si="43">FIND("target:",G27)+7</f>
        <v>27</v>
      </c>
      <c r="K27" s="62">
        <f t="shared" ref="K27:K31" si="44">FIND(",",G27,I27+1)</f>
        <v>33</v>
      </c>
      <c r="L27" s="62" t="str">
        <f>IFERROR(VLOOKUP(MID(G27,J27,K27-J27),[6]skilldef!$C:$D,2,FALSE),"-") &amp; " / " &amp; IFERROR(VLOOKUP(MID(G27,H27,I27-H27),[6]skilldef!$A:$B,2,FALSE),"-")</f>
        <v>自分自身に / 状態異常耐性</v>
      </c>
      <c r="M27" s="62" t="str">
        <f t="shared" ref="M27:M31" si="45">IFERROR(RIGHT(B27,LEN(B27)-FIND("],",B27)-1),"none")</f>
        <v>none</v>
      </c>
      <c r="N27" s="47" t="str">
        <f t="shared" ref="N27:N36" si="46">IFERROR(LEFT(M27,FIND("],",M27)+S32),M27)</f>
        <v>none</v>
      </c>
      <c r="O27" s="62" t="e">
        <f t="shared" si="7"/>
        <v>#VALUE!</v>
      </c>
      <c r="P27" s="62">
        <f t="shared" ref="P27:P31" si="47">IFERROR(FIND(",",N27),LEN(N27))</f>
        <v>4</v>
      </c>
      <c r="Q27" s="62" t="e">
        <f t="shared" ref="Q27:Q31" si="48">FIND("target:",N27)+7</f>
        <v>#VALUE!</v>
      </c>
      <c r="R27" s="62" t="e">
        <f t="shared" ref="R27:R31" si="49">FIND(",",N27,P27+1)</f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ref="T27:T31" si="50">IFERROR(RIGHT(M27,LEN(M27)-FIND("],",M27)-1),"none")</f>
        <v>none</v>
      </c>
      <c r="U27" s="62" t="e">
        <f t="shared" si="12"/>
        <v>#VALUE!</v>
      </c>
      <c r="V27" s="62">
        <f t="shared" ref="V27:V31" si="51">IFERROR(FIND(",",T27),LEN(T27))</f>
        <v>4</v>
      </c>
      <c r="W27" s="62" t="e">
        <f t="shared" ref="W27:W31" si="52">FIND("target:",T27)+7</f>
        <v>#VALUE!</v>
      </c>
      <c r="X27" s="62" t="e">
        <f t="shared" ref="X27:X31" si="53">FIND(",",T27,V27+1)</f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46">
        <v>6001054</v>
      </c>
      <c r="B28" s="46" t="s">
        <v>302</v>
      </c>
      <c r="C28" s="49">
        <v>3</v>
      </c>
      <c r="D28" s="49" t="s">
        <v>128</v>
      </c>
      <c r="E28" s="50" t="s">
        <v>362</v>
      </c>
      <c r="F28" s="50" t="s">
        <v>385</v>
      </c>
      <c r="G28" s="62" t="str">
        <f t="shared" si="41"/>
        <v>[effect:critical, val:1.2]</v>
      </c>
      <c r="H28" s="62">
        <f t="shared" si="1"/>
        <v>9</v>
      </c>
      <c r="I28" s="62">
        <f t="shared" si="42"/>
        <v>17</v>
      </c>
      <c r="J28" s="62" t="e">
        <f t="shared" si="43"/>
        <v>#VALUE!</v>
      </c>
      <c r="K28" s="62" t="e">
        <f t="shared" si="44"/>
        <v>#VALUE!</v>
      </c>
      <c r="L28" s="62" t="str">
        <f>IFERROR(VLOOKUP(MID(G28,J28,K28-J28),[6]skilldef!$C:$D,2,FALSE),"-") &amp; " / " &amp; IFERROR(VLOOKUP(MID(G28,H28,I28-H28),[6]skilldef!$A:$B,2,FALSE),"-")</f>
        <v>- / 大攻撃</v>
      </c>
      <c r="M28" s="62" t="str">
        <f t="shared" si="45"/>
        <v>none</v>
      </c>
      <c r="N28" s="47" t="str">
        <f t="shared" si="46"/>
        <v>none</v>
      </c>
      <c r="O28" s="62" t="e">
        <f t="shared" si="7"/>
        <v>#VALUE!</v>
      </c>
      <c r="P28" s="62">
        <f t="shared" si="47"/>
        <v>4</v>
      </c>
      <c r="Q28" s="62" t="e">
        <f t="shared" si="48"/>
        <v>#VALUE!</v>
      </c>
      <c r="R28" s="62" t="e">
        <f t="shared" si="49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50"/>
        <v>none</v>
      </c>
      <c r="U28" s="62" t="e">
        <f t="shared" si="12"/>
        <v>#VALUE!</v>
      </c>
      <c r="V28" s="62">
        <f t="shared" si="51"/>
        <v>4</v>
      </c>
      <c r="W28" s="62" t="e">
        <f t="shared" si="52"/>
        <v>#VALUE!</v>
      </c>
      <c r="X28" s="62" t="e">
        <f t="shared" si="53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46">
        <v>6001055</v>
      </c>
      <c r="B29" s="46" t="s">
        <v>303</v>
      </c>
      <c r="C29" s="49">
        <v>3</v>
      </c>
      <c r="D29" s="49" t="s">
        <v>128</v>
      </c>
      <c r="E29" s="50" t="s">
        <v>360</v>
      </c>
      <c r="F29" s="50" t="s">
        <v>381</v>
      </c>
      <c r="G29" s="62" t="str">
        <f t="shared" si="41"/>
        <v>[effect:force_change_block, new_block:jammer, target:block_all, count:10, val:0, animation:change_block]</v>
      </c>
      <c r="H29" s="62">
        <f t="shared" si="1"/>
        <v>9</v>
      </c>
      <c r="I29" s="62">
        <f t="shared" si="42"/>
        <v>27</v>
      </c>
      <c r="J29" s="62">
        <f t="shared" si="43"/>
        <v>54</v>
      </c>
      <c r="K29" s="62">
        <f t="shared" si="44"/>
        <v>45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45"/>
        <v>none</v>
      </c>
      <c r="N29" s="47" t="str">
        <f t="shared" si="46"/>
        <v>none</v>
      </c>
      <c r="O29" s="62" t="e">
        <f t="shared" si="7"/>
        <v>#VALUE!</v>
      </c>
      <c r="P29" s="62">
        <f t="shared" si="47"/>
        <v>4</v>
      </c>
      <c r="Q29" s="62" t="e">
        <f t="shared" si="48"/>
        <v>#VALUE!</v>
      </c>
      <c r="R29" s="62" t="e">
        <f t="shared" si="49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50"/>
        <v>none</v>
      </c>
      <c r="U29" s="62" t="e">
        <f t="shared" si="12"/>
        <v>#VALUE!</v>
      </c>
      <c r="V29" s="62">
        <f t="shared" si="51"/>
        <v>4</v>
      </c>
      <c r="W29" s="62" t="e">
        <f t="shared" si="52"/>
        <v>#VALUE!</v>
      </c>
      <c r="X29" s="62" t="e">
        <f t="shared" si="53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46">
        <v>6001056</v>
      </c>
      <c r="B30" s="46" t="s">
        <v>295</v>
      </c>
      <c r="C30" s="49">
        <v>3</v>
      </c>
      <c r="D30" s="49" t="s">
        <v>128</v>
      </c>
      <c r="E30" s="50" t="s">
        <v>371</v>
      </c>
      <c r="F30" s="50" t="s">
        <v>388</v>
      </c>
      <c r="G30" s="62" t="str">
        <f t="shared" si="41"/>
        <v>[effect:break_enchance_enemy, val:0.1, lowest_val:0, count :-1, status:attack, turn:3, block:block_red, target:myself, calc:mul, animation:enemy_enhance_attack]</v>
      </c>
      <c r="H30" s="62">
        <f t="shared" si="1"/>
        <v>9</v>
      </c>
      <c r="I30" s="62">
        <f t="shared" si="42"/>
        <v>29</v>
      </c>
      <c r="J30" s="62">
        <f t="shared" si="43"/>
        <v>112</v>
      </c>
      <c r="K30" s="62">
        <f t="shared" si="44"/>
        <v>38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45"/>
        <v>none</v>
      </c>
      <c r="N30" s="47" t="str">
        <f t="shared" si="46"/>
        <v>none</v>
      </c>
      <c r="O30" s="62" t="e">
        <f t="shared" si="7"/>
        <v>#VALUE!</v>
      </c>
      <c r="P30" s="62">
        <f t="shared" si="47"/>
        <v>4</v>
      </c>
      <c r="Q30" s="62" t="e">
        <f t="shared" si="48"/>
        <v>#VALUE!</v>
      </c>
      <c r="R30" s="62" t="e">
        <f t="shared" si="49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50"/>
        <v>none</v>
      </c>
      <c r="U30" s="62" t="e">
        <f t="shared" si="12"/>
        <v>#VALUE!</v>
      </c>
      <c r="V30" s="62">
        <f t="shared" si="51"/>
        <v>4</v>
      </c>
      <c r="W30" s="62" t="e">
        <f t="shared" si="52"/>
        <v>#VALUE!</v>
      </c>
      <c r="X30" s="62" t="e">
        <f t="shared" si="53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46">
        <v>6001057</v>
      </c>
      <c r="B31" s="46" t="s">
        <v>293</v>
      </c>
      <c r="C31" s="49">
        <v>3</v>
      </c>
      <c r="D31" s="49" t="s">
        <v>128</v>
      </c>
      <c r="E31" s="50" t="s">
        <v>366</v>
      </c>
      <c r="F31" s="50" t="s">
        <v>364</v>
      </c>
      <c r="G31" s="62" t="str">
        <f t="shared" si="41"/>
        <v>[effect:rush, count:5, val:0.2]</v>
      </c>
      <c r="H31" s="62">
        <f t="shared" si="1"/>
        <v>9</v>
      </c>
      <c r="I31" s="62">
        <f t="shared" si="42"/>
        <v>13</v>
      </c>
      <c r="J31" s="62" t="e">
        <f t="shared" si="43"/>
        <v>#VALUE!</v>
      </c>
      <c r="K31" s="62">
        <f t="shared" si="44"/>
        <v>22</v>
      </c>
      <c r="L31" s="62" t="str">
        <f>IFERROR(VLOOKUP(MID(G31,J31,K31-J31),[6]skilldef!$C:$D,2,FALSE),"-") &amp; " / " &amp; IFERROR(VLOOKUP(MID(G31,H31,I31-H31),[6]skilldef!$A:$B,2,FALSE),"-")</f>
        <v>- / 連続攻撃</v>
      </c>
      <c r="M31" s="62" t="str">
        <f t="shared" si="45"/>
        <v>none</v>
      </c>
      <c r="N31" s="47" t="str">
        <f t="shared" si="46"/>
        <v>none</v>
      </c>
      <c r="O31" s="62" t="e">
        <f t="shared" si="7"/>
        <v>#VALUE!</v>
      </c>
      <c r="P31" s="62">
        <f t="shared" si="47"/>
        <v>4</v>
      </c>
      <c r="Q31" s="62" t="e">
        <f t="shared" si="48"/>
        <v>#VALUE!</v>
      </c>
      <c r="R31" s="62" t="e">
        <f t="shared" si="49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50"/>
        <v>none</v>
      </c>
      <c r="U31" s="62" t="e">
        <f t="shared" si="12"/>
        <v>#VALUE!</v>
      </c>
      <c r="V31" s="62">
        <f t="shared" si="51"/>
        <v>4</v>
      </c>
      <c r="W31" s="62" t="e">
        <f t="shared" si="52"/>
        <v>#VALUE!</v>
      </c>
      <c r="X31" s="62" t="e">
        <f t="shared" si="53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46">
        <v>6001063</v>
      </c>
      <c r="B32" s="46" t="s">
        <v>309</v>
      </c>
      <c r="C32" s="49">
        <v>3</v>
      </c>
      <c r="D32" s="49" t="s">
        <v>128</v>
      </c>
      <c r="E32" s="50" t="s">
        <v>372</v>
      </c>
      <c r="F32" s="50" t="s">
        <v>307</v>
      </c>
      <c r="G32" s="62" t="str">
        <f t="shared" ref="G32:G36" si="54">IFERROR(LEFT(B32,FIND("],",B32)),B32)</f>
        <v>[effect:tolerance, target:myself, turn:-1, tolerance_effect:all, count:-1, animation:enemy_tolerance]</v>
      </c>
      <c r="H32" s="62">
        <f t="shared" si="1"/>
        <v>9</v>
      </c>
      <c r="I32" s="62">
        <f t="shared" ref="I32:I36" si="55">IFERROR(FIND(",",G32),LEN(G32))</f>
        <v>18</v>
      </c>
      <c r="J32" s="62">
        <f t="shared" ref="J32:J36" si="56">FIND("target:",G32)+7</f>
        <v>27</v>
      </c>
      <c r="K32" s="62">
        <f t="shared" ref="K32:K36" si="57">FIND(",",G32,I32+1)</f>
        <v>33</v>
      </c>
      <c r="L32" s="62" t="str">
        <f>IFERROR(VLOOKUP(MID(G32,J32,K32-J32),[6]skilldef!$C:$D,2,FALSE),"-") &amp; " / " &amp; IFERROR(VLOOKUP(MID(G32,H32,I32-H32),[6]skilldef!$A:$B,2,FALSE),"-")</f>
        <v>自分自身に / 状態異常耐性</v>
      </c>
      <c r="M32" s="62" t="str">
        <f t="shared" ref="M32:M36" si="58">IFERROR(RIGHT(B32,LEN(B32)-FIND("],",B32)-1),"none")</f>
        <v>[effect:fix_speed, target:myself, turn:1]</v>
      </c>
      <c r="N32" s="47" t="str">
        <f t="shared" si="46"/>
        <v>[effect:fix_speed, target:myself, turn:1]</v>
      </c>
      <c r="O32" s="62">
        <f t="shared" si="7"/>
        <v>9</v>
      </c>
      <c r="P32" s="62">
        <f t="shared" ref="P32:P36" si="59">IFERROR(FIND(",",N32),LEN(N32))</f>
        <v>18</v>
      </c>
      <c r="Q32" s="62">
        <f t="shared" ref="Q32:Q36" si="60">FIND("target:",N32)+7</f>
        <v>27</v>
      </c>
      <c r="R32" s="62">
        <f t="shared" ref="R32:R36" si="61">FIND(",",N32,P32+1)</f>
        <v>33</v>
      </c>
      <c r="S32" s="62" t="str">
        <f>IFERROR(VLOOKUP(MID(N32,Q32,R32-Q32),[6]skilldef!$C:$D,2,FALSE),"-") &amp; " / " &amp; IFERROR(VLOOKUP(MID(N32,O32,P32-O32),[6]skilldef!$A:$B,2,FALSE),"-")</f>
        <v>自分自身に / 行動値設定</v>
      </c>
      <c r="T32" s="47" t="str">
        <f t="shared" ref="T32:T36" si="62">IFERROR(RIGHT(M32,LEN(M32)-FIND("],",M32)-1),"none")</f>
        <v>none</v>
      </c>
      <c r="U32" s="62" t="e">
        <f t="shared" si="12"/>
        <v>#VALUE!</v>
      </c>
      <c r="V32" s="62">
        <f t="shared" ref="V32:V36" si="63">IFERROR(FIND(",",T32),LEN(T32))</f>
        <v>4</v>
      </c>
      <c r="W32" s="62" t="e">
        <f t="shared" ref="W32:W36" si="64">FIND("target:",T32)+7</f>
        <v>#VALUE!</v>
      </c>
      <c r="X32" s="62" t="e">
        <f t="shared" ref="X32:X36" si="65">FIND(",",T32,V32+1)</f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46">
        <v>6001064</v>
      </c>
      <c r="B33" s="46" t="s">
        <v>304</v>
      </c>
      <c r="C33" s="49">
        <v>3</v>
      </c>
      <c r="D33" s="49" t="s">
        <v>128</v>
      </c>
      <c r="E33" s="50" t="s">
        <v>367</v>
      </c>
      <c r="F33" s="50" t="s">
        <v>382</v>
      </c>
      <c r="G33" s="62" t="str">
        <f t="shared" si="54"/>
        <v>[effect:force_change_block, new_block:jammer, target:block_all, count:4, val:0, animation:change_block]</v>
      </c>
      <c r="H33" s="62">
        <f t="shared" si="1"/>
        <v>9</v>
      </c>
      <c r="I33" s="62">
        <f t="shared" si="55"/>
        <v>27</v>
      </c>
      <c r="J33" s="62">
        <f t="shared" si="56"/>
        <v>54</v>
      </c>
      <c r="K33" s="62">
        <f t="shared" si="57"/>
        <v>45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8"/>
        <v>[effect:rush, count:5, val:0.2]</v>
      </c>
      <c r="N33" s="47" t="str">
        <f t="shared" si="46"/>
        <v>[effect:rush, count:5, val:0.2]</v>
      </c>
      <c r="O33" s="62">
        <f t="shared" si="7"/>
        <v>9</v>
      </c>
      <c r="P33" s="62">
        <f t="shared" si="59"/>
        <v>13</v>
      </c>
      <c r="Q33" s="62" t="e">
        <f t="shared" si="60"/>
        <v>#VALUE!</v>
      </c>
      <c r="R33" s="62">
        <f t="shared" si="61"/>
        <v>22</v>
      </c>
      <c r="S33" s="62" t="str">
        <f>IFERROR(VLOOKUP(MID(N33,Q33,R33-Q33),[6]skilldef!$C:$D,2,FALSE),"-") &amp; " / " &amp; IFERROR(VLOOKUP(MID(N33,O33,P33-O33),[6]skilldef!$A:$B,2,FALSE),"-")</f>
        <v>- / 連続攻撃</v>
      </c>
      <c r="T33" s="47" t="str">
        <f t="shared" si="62"/>
        <v>none</v>
      </c>
      <c r="U33" s="62" t="e">
        <f t="shared" si="12"/>
        <v>#VALUE!</v>
      </c>
      <c r="V33" s="62">
        <f t="shared" si="63"/>
        <v>4</v>
      </c>
      <c r="W33" s="62" t="e">
        <f t="shared" si="64"/>
        <v>#VALUE!</v>
      </c>
      <c r="X33" s="62" t="e">
        <f t="shared" si="6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46">
        <v>6001065</v>
      </c>
      <c r="B34" s="46" t="s">
        <v>305</v>
      </c>
      <c r="C34" s="49">
        <v>3</v>
      </c>
      <c r="D34" s="49" t="s">
        <v>128</v>
      </c>
      <c r="E34" s="50" t="s">
        <v>368</v>
      </c>
      <c r="F34" s="50" t="s">
        <v>383</v>
      </c>
      <c r="G34" s="62" t="str">
        <f t="shared" si="54"/>
        <v>[effect:force_change_block, new_block:jammer, target:block_all, count:8, val:0, animation:change_block]</v>
      </c>
      <c r="H34" s="62">
        <f t="shared" si="1"/>
        <v>9</v>
      </c>
      <c r="I34" s="62">
        <f t="shared" si="55"/>
        <v>27</v>
      </c>
      <c r="J34" s="62">
        <f t="shared" si="56"/>
        <v>54</v>
      </c>
      <c r="K34" s="62">
        <f t="shared" si="57"/>
        <v>45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8"/>
        <v>[effect:rush, count:5, val:0.2]</v>
      </c>
      <c r="N34" s="47" t="str">
        <f t="shared" si="46"/>
        <v>[effect:rush, count:5, val:0.2]</v>
      </c>
      <c r="O34" s="62">
        <f t="shared" si="7"/>
        <v>9</v>
      </c>
      <c r="P34" s="62">
        <f t="shared" si="59"/>
        <v>13</v>
      </c>
      <c r="Q34" s="62" t="e">
        <f t="shared" si="60"/>
        <v>#VALUE!</v>
      </c>
      <c r="R34" s="62">
        <f t="shared" si="61"/>
        <v>22</v>
      </c>
      <c r="S34" s="62" t="str">
        <f>IFERROR(VLOOKUP(MID(N34,Q34,R34-Q34),[6]skilldef!$C:$D,2,FALSE),"-") &amp; " / " &amp; IFERROR(VLOOKUP(MID(N34,O34,P34-O34),[6]skilldef!$A:$B,2,FALSE),"-")</f>
        <v>- / 連続攻撃</v>
      </c>
      <c r="T34" s="47" t="str">
        <f t="shared" si="62"/>
        <v>none</v>
      </c>
      <c r="U34" s="62" t="e">
        <f t="shared" si="12"/>
        <v>#VALUE!</v>
      </c>
      <c r="V34" s="62">
        <f t="shared" si="63"/>
        <v>4</v>
      </c>
      <c r="W34" s="62" t="e">
        <f t="shared" si="64"/>
        <v>#VALUE!</v>
      </c>
      <c r="X34" s="62" t="e">
        <f t="shared" si="6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46">
        <v>6001066</v>
      </c>
      <c r="B35" s="46" t="s">
        <v>369</v>
      </c>
      <c r="C35" s="49">
        <v>3</v>
      </c>
      <c r="D35" s="49" t="s">
        <v>128</v>
      </c>
      <c r="E35" s="50" t="s">
        <v>370</v>
      </c>
      <c r="F35" s="50" t="s">
        <v>386</v>
      </c>
      <c r="G35" s="62" t="str">
        <f t="shared" si="54"/>
        <v>[effect:force_change_block, new_block:jammer, target:block_all, count:12, val:0, animation:change_block]</v>
      </c>
      <c r="H35" s="62">
        <f t="shared" ref="H35:H36" si="66">FIND("effect:",G35)+7</f>
        <v>9</v>
      </c>
      <c r="I35" s="62">
        <f t="shared" si="55"/>
        <v>27</v>
      </c>
      <c r="J35" s="62">
        <f t="shared" si="56"/>
        <v>54</v>
      </c>
      <c r="K35" s="62">
        <f t="shared" si="57"/>
        <v>45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8"/>
        <v>[effect:rush, count:5, val:0.2],[effect:enhance_enemy, target:myself, turn:5, status:defense, val:10000, calc:add, animation:enemy_enhance_defense]</v>
      </c>
      <c r="N35" s="47" t="str">
        <f t="shared" si="46"/>
        <v>[effect:rush, count:5, val:0.2]</v>
      </c>
      <c r="O35" s="62">
        <f t="shared" ref="O35:O36" si="67">FIND("effect:",N35)+7</f>
        <v>9</v>
      </c>
      <c r="P35" s="62">
        <f t="shared" si="59"/>
        <v>13</v>
      </c>
      <c r="Q35" s="62" t="e">
        <f t="shared" si="60"/>
        <v>#VALUE!</v>
      </c>
      <c r="R35" s="62">
        <f t="shared" si="61"/>
        <v>22</v>
      </c>
      <c r="S35" s="62" t="str">
        <f>IFERROR(VLOOKUP(MID(N35,Q35,R35-Q35),[6]skilldef!$C:$D,2,FALSE),"-") &amp; " / " &amp; IFERROR(VLOOKUP(MID(N35,O35,P35-O35),[6]skilldef!$A:$B,2,FALSE),"-")</f>
        <v>- / 連続攻撃</v>
      </c>
      <c r="T35" s="47" t="str">
        <f t="shared" si="62"/>
        <v>[effect:enhance_enemy, target:myself, turn:5, status:defense, val:10000, calc:add, animation:enemy_enhance_defense]</v>
      </c>
      <c r="U35" s="62">
        <f t="shared" ref="U35:U36" si="68">FIND("effect:",T35)+7</f>
        <v>9</v>
      </c>
      <c r="V35" s="62">
        <f t="shared" si="63"/>
        <v>22</v>
      </c>
      <c r="W35" s="62">
        <f t="shared" si="64"/>
        <v>31</v>
      </c>
      <c r="X35" s="62">
        <f t="shared" si="65"/>
        <v>37</v>
      </c>
      <c r="Y35" s="62" t="str">
        <f>IFERROR(VLOOKUP(MID(T35,W35,X35-W35),[6]skilldef!$C:$D,2,FALSE),"-") &amp; " / " &amp; IFERROR(VLOOKUP(MID(T35,U35,V35-U35),[6]skilldef!$A:$B,2,FALSE),"-")</f>
        <v>自分自身に / ステータス強化</v>
      </c>
      <c r="Z35" s="49"/>
      <c r="AA35" s="51"/>
      <c r="AB35" s="49"/>
    </row>
    <row r="36" spans="1:28" ht="21" customHeight="1" x14ac:dyDescent="0.15">
      <c r="A36" s="46">
        <v>6001067</v>
      </c>
      <c r="B36" s="46" t="s">
        <v>339</v>
      </c>
      <c r="C36" s="49">
        <v>3</v>
      </c>
      <c r="D36" s="49" t="s">
        <v>128</v>
      </c>
      <c r="E36" s="50" t="s">
        <v>363</v>
      </c>
      <c r="F36" s="50" t="s">
        <v>390</v>
      </c>
      <c r="G36" s="62" t="str">
        <f t="shared" si="54"/>
        <v>[effect:break_enchance_enemy, val:0.1, lowest_val:0, count :-1, status:attack, turn:-1, block:jammer, target:myself, calc:mul, animation:enemy_enhance_attack]</v>
      </c>
      <c r="H36" s="62">
        <f t="shared" si="66"/>
        <v>9</v>
      </c>
      <c r="I36" s="62">
        <f t="shared" si="55"/>
        <v>29</v>
      </c>
      <c r="J36" s="62">
        <f t="shared" si="56"/>
        <v>110</v>
      </c>
      <c r="K36" s="62">
        <f t="shared" si="57"/>
        <v>38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8"/>
        <v>none</v>
      </c>
      <c r="N36" s="47" t="str">
        <f t="shared" si="46"/>
        <v>none</v>
      </c>
      <c r="O36" s="62" t="e">
        <f t="shared" si="67"/>
        <v>#VALUE!</v>
      </c>
      <c r="P36" s="62">
        <f t="shared" si="59"/>
        <v>4</v>
      </c>
      <c r="Q36" s="62" t="e">
        <f t="shared" si="60"/>
        <v>#VALUE!</v>
      </c>
      <c r="R36" s="62" t="e">
        <f t="shared" si="61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62"/>
        <v>none</v>
      </c>
      <c r="U36" s="62" t="e">
        <f t="shared" si="68"/>
        <v>#VALUE!</v>
      </c>
      <c r="V36" s="62">
        <f t="shared" si="63"/>
        <v>4</v>
      </c>
      <c r="W36" s="62" t="e">
        <f t="shared" si="64"/>
        <v>#VALUE!</v>
      </c>
      <c r="X36" s="62" t="e">
        <f t="shared" si="6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75" zoomScaleNormal="75" zoomScalePageLayoutView="75" workbookViewId="0">
      <pane ySplit="1" topLeftCell="A12" activePane="bottomLeft" state="frozenSplit"/>
      <selection pane="bottomLeft" activeCell="E42" sqref="E4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6001001</v>
      </c>
      <c r="B2" s="46">
        <v>100</v>
      </c>
      <c r="C2" s="46" t="s">
        <v>89</v>
      </c>
      <c r="D2" s="46">
        <v>25</v>
      </c>
      <c r="E2" s="46" t="s">
        <v>296</v>
      </c>
      <c r="F2" s="46" t="s">
        <v>90</v>
      </c>
      <c r="G2" s="46" t="s">
        <v>297</v>
      </c>
      <c r="H2" s="46" t="s">
        <v>90</v>
      </c>
      <c r="I2" s="46" t="s">
        <v>90</v>
      </c>
      <c r="J2" s="47">
        <f t="shared" ref="J2" si="0">D2</f>
        <v>25</v>
      </c>
    </row>
    <row r="3" spans="1:11" ht="21" customHeight="1" x14ac:dyDescent="0.15">
      <c r="A3" s="46">
        <v>6001002</v>
      </c>
      <c r="B3" s="46">
        <v>90</v>
      </c>
      <c r="C3" s="46" t="s">
        <v>89</v>
      </c>
      <c r="D3" s="46">
        <v>50</v>
      </c>
      <c r="E3" s="46" t="s">
        <v>296</v>
      </c>
      <c r="F3" s="46" t="s">
        <v>90</v>
      </c>
      <c r="G3" s="46" t="s">
        <v>297</v>
      </c>
      <c r="H3" s="46" t="s">
        <v>90</v>
      </c>
      <c r="I3" s="46" t="s">
        <v>90</v>
      </c>
      <c r="J3" s="47">
        <f t="shared" ref="J3:J34" si="1">D3</f>
        <v>50</v>
      </c>
    </row>
    <row r="4" spans="1:11" ht="21" customHeight="1" x14ac:dyDescent="0.15">
      <c r="A4" s="46">
        <v>6001003</v>
      </c>
      <c r="B4" s="46">
        <v>80</v>
      </c>
      <c r="C4" s="46" t="s">
        <v>89</v>
      </c>
      <c r="D4" s="46">
        <v>75</v>
      </c>
      <c r="E4" s="46" t="s">
        <v>296</v>
      </c>
      <c r="F4" s="46" t="s">
        <v>90</v>
      </c>
      <c r="G4" s="46" t="s">
        <v>297</v>
      </c>
      <c r="H4" s="46" t="s">
        <v>90</v>
      </c>
      <c r="I4" s="46" t="s">
        <v>90</v>
      </c>
      <c r="J4" s="47">
        <f t="shared" si="1"/>
        <v>75</v>
      </c>
    </row>
    <row r="5" spans="1:11" ht="21" customHeight="1" x14ac:dyDescent="0.15">
      <c r="A5" s="46">
        <v>6001004</v>
      </c>
      <c r="B5" s="46">
        <v>100</v>
      </c>
      <c r="C5" s="46" t="s">
        <v>89</v>
      </c>
      <c r="D5" s="46">
        <v>25</v>
      </c>
      <c r="E5" s="46" t="s">
        <v>296</v>
      </c>
      <c r="F5" s="46" t="s">
        <v>90</v>
      </c>
      <c r="G5" s="46" t="s">
        <v>297</v>
      </c>
      <c r="H5" s="46" t="s">
        <v>90</v>
      </c>
      <c r="I5" s="46" t="s">
        <v>90</v>
      </c>
      <c r="J5" s="47">
        <f t="shared" si="1"/>
        <v>25</v>
      </c>
    </row>
    <row r="6" spans="1:11" ht="21" customHeight="1" x14ac:dyDescent="0.15">
      <c r="A6" s="46">
        <v>6001005</v>
      </c>
      <c r="B6" s="46">
        <v>90</v>
      </c>
      <c r="C6" s="46" t="s">
        <v>89</v>
      </c>
      <c r="D6" s="46">
        <v>50</v>
      </c>
      <c r="E6" s="46" t="s">
        <v>296</v>
      </c>
      <c r="F6" s="46" t="s">
        <v>90</v>
      </c>
      <c r="G6" s="46" t="s">
        <v>297</v>
      </c>
      <c r="H6" s="46" t="s">
        <v>90</v>
      </c>
      <c r="I6" s="46" t="s">
        <v>90</v>
      </c>
      <c r="J6" s="47">
        <f t="shared" si="1"/>
        <v>50</v>
      </c>
    </row>
    <row r="7" spans="1:11" ht="21" customHeight="1" x14ac:dyDescent="0.15">
      <c r="A7" s="46">
        <v>6001006</v>
      </c>
      <c r="B7" s="46">
        <v>80</v>
      </c>
      <c r="C7" s="46" t="s">
        <v>89</v>
      </c>
      <c r="D7" s="46">
        <v>75</v>
      </c>
      <c r="E7" s="46" t="s">
        <v>296</v>
      </c>
      <c r="F7" s="46" t="s">
        <v>90</v>
      </c>
      <c r="G7" s="46" t="s">
        <v>297</v>
      </c>
      <c r="H7" s="46" t="s">
        <v>90</v>
      </c>
      <c r="I7" s="46" t="s">
        <v>90</v>
      </c>
      <c r="J7" s="47">
        <f t="shared" si="1"/>
        <v>75</v>
      </c>
    </row>
    <row r="8" spans="1:11" ht="21" customHeight="1" x14ac:dyDescent="0.15">
      <c r="A8" s="46">
        <v>6001007</v>
      </c>
      <c r="B8" s="46">
        <v>100</v>
      </c>
      <c r="C8" s="46" t="s">
        <v>89</v>
      </c>
      <c r="D8" s="46">
        <v>25</v>
      </c>
      <c r="E8" s="46" t="s">
        <v>296</v>
      </c>
      <c r="F8" s="46" t="s">
        <v>90</v>
      </c>
      <c r="G8" s="46" t="s">
        <v>297</v>
      </c>
      <c r="H8" s="46" t="s">
        <v>90</v>
      </c>
      <c r="I8" s="46" t="s">
        <v>90</v>
      </c>
      <c r="J8" s="47">
        <f t="shared" si="1"/>
        <v>25</v>
      </c>
    </row>
    <row r="9" spans="1:11" ht="21" customHeight="1" x14ac:dyDescent="0.15">
      <c r="A9" s="46">
        <v>6001008</v>
      </c>
      <c r="B9" s="46">
        <v>90</v>
      </c>
      <c r="C9" s="46" t="s">
        <v>89</v>
      </c>
      <c r="D9" s="46">
        <v>50</v>
      </c>
      <c r="E9" s="46" t="s">
        <v>296</v>
      </c>
      <c r="F9" s="46" t="s">
        <v>90</v>
      </c>
      <c r="G9" s="46" t="s">
        <v>297</v>
      </c>
      <c r="H9" s="46" t="s">
        <v>90</v>
      </c>
      <c r="I9" s="46" t="s">
        <v>90</v>
      </c>
      <c r="J9" s="47">
        <f t="shared" si="1"/>
        <v>50</v>
      </c>
    </row>
    <row r="10" spans="1:11" ht="21" customHeight="1" x14ac:dyDescent="0.15">
      <c r="A10" s="46">
        <v>6001009</v>
      </c>
      <c r="B10" s="46">
        <v>80</v>
      </c>
      <c r="C10" s="46" t="s">
        <v>89</v>
      </c>
      <c r="D10" s="46">
        <v>75</v>
      </c>
      <c r="E10" s="46" t="s">
        <v>296</v>
      </c>
      <c r="F10" s="46" t="s">
        <v>90</v>
      </c>
      <c r="G10" s="46" t="s">
        <v>297</v>
      </c>
      <c r="H10" s="46" t="s">
        <v>90</v>
      </c>
      <c r="I10" s="46" t="s">
        <v>90</v>
      </c>
      <c r="J10" s="47">
        <f t="shared" si="1"/>
        <v>75</v>
      </c>
    </row>
    <row r="11" spans="1:11" ht="21" customHeight="1" x14ac:dyDescent="0.15">
      <c r="A11" s="46">
        <v>6001010</v>
      </c>
      <c r="B11" s="46">
        <v>100</v>
      </c>
      <c r="C11" s="46" t="s">
        <v>89</v>
      </c>
      <c r="D11" s="46">
        <v>25</v>
      </c>
      <c r="E11" s="46" t="s">
        <v>296</v>
      </c>
      <c r="F11" s="46" t="s">
        <v>90</v>
      </c>
      <c r="G11" s="46" t="s">
        <v>297</v>
      </c>
      <c r="H11" s="46" t="s">
        <v>90</v>
      </c>
      <c r="I11" s="46" t="s">
        <v>90</v>
      </c>
      <c r="J11" s="47">
        <f t="shared" si="1"/>
        <v>25</v>
      </c>
    </row>
    <row r="12" spans="1:11" ht="21" customHeight="1" x14ac:dyDescent="0.15">
      <c r="A12" s="46">
        <v>6001011</v>
      </c>
      <c r="B12" s="46">
        <v>90</v>
      </c>
      <c r="C12" s="46" t="s">
        <v>89</v>
      </c>
      <c r="D12" s="46">
        <v>50</v>
      </c>
      <c r="E12" s="46" t="s">
        <v>296</v>
      </c>
      <c r="F12" s="46" t="s">
        <v>90</v>
      </c>
      <c r="G12" s="46" t="s">
        <v>297</v>
      </c>
      <c r="H12" s="46" t="s">
        <v>90</v>
      </c>
      <c r="I12" s="46" t="s">
        <v>90</v>
      </c>
      <c r="J12" s="47">
        <f t="shared" si="1"/>
        <v>50</v>
      </c>
    </row>
    <row r="13" spans="1:11" ht="21" customHeight="1" x14ac:dyDescent="0.15">
      <c r="A13" s="46">
        <v>6001012</v>
      </c>
      <c r="B13" s="46">
        <v>80</v>
      </c>
      <c r="C13" s="46" t="s">
        <v>89</v>
      </c>
      <c r="D13" s="46">
        <v>75</v>
      </c>
      <c r="E13" s="46" t="s">
        <v>296</v>
      </c>
      <c r="F13" s="46" t="s">
        <v>90</v>
      </c>
      <c r="G13" s="46" t="s">
        <v>297</v>
      </c>
      <c r="H13" s="46" t="s">
        <v>90</v>
      </c>
      <c r="I13" s="46" t="s">
        <v>90</v>
      </c>
      <c r="J13" s="47">
        <f t="shared" si="1"/>
        <v>75</v>
      </c>
    </row>
    <row r="14" spans="1:11" ht="21" customHeight="1" x14ac:dyDescent="0.15">
      <c r="A14" s="46">
        <v>6001013</v>
      </c>
      <c r="B14" s="46">
        <v>1</v>
      </c>
      <c r="C14" s="46" t="s">
        <v>89</v>
      </c>
      <c r="D14" s="46">
        <v>100</v>
      </c>
      <c r="E14" s="46" t="s">
        <v>296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1"/>
        <v>100</v>
      </c>
    </row>
    <row r="15" spans="1:11" ht="21" customHeight="1" x14ac:dyDescent="0.15">
      <c r="A15" s="46">
        <v>6001014</v>
      </c>
      <c r="B15" s="46">
        <v>0</v>
      </c>
      <c r="C15" s="46" t="s">
        <v>89</v>
      </c>
      <c r="D15" s="46">
        <v>100</v>
      </c>
      <c r="E15" s="46" t="s">
        <v>296</v>
      </c>
      <c r="F15" s="46" t="s">
        <v>90</v>
      </c>
      <c r="G15" s="46" t="s">
        <v>297</v>
      </c>
      <c r="H15" s="46">
        <v>2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6001018</v>
      </c>
      <c r="B16" s="46">
        <v>1</v>
      </c>
      <c r="C16" s="46" t="s">
        <v>89</v>
      </c>
      <c r="D16" s="46">
        <v>100</v>
      </c>
      <c r="E16" s="46" t="s">
        <v>296</v>
      </c>
      <c r="F16" s="46" t="s">
        <v>90</v>
      </c>
      <c r="G16" s="46">
        <v>1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6001019</v>
      </c>
      <c r="B17" s="46">
        <v>0</v>
      </c>
      <c r="C17" s="46" t="s">
        <v>89</v>
      </c>
      <c r="D17" s="46">
        <v>100</v>
      </c>
      <c r="E17" s="46">
        <v>50</v>
      </c>
      <c r="F17" s="46" t="s">
        <v>90</v>
      </c>
      <c r="G17" s="46" t="s">
        <v>297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6001023</v>
      </c>
      <c r="B18" s="46">
        <v>1</v>
      </c>
      <c r="C18" s="46" t="s">
        <v>89</v>
      </c>
      <c r="D18" s="46">
        <v>100</v>
      </c>
      <c r="E18" s="46" t="s">
        <v>296</v>
      </c>
      <c r="F18" s="46" t="s">
        <v>90</v>
      </c>
      <c r="G18" s="46">
        <v>1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46">
        <v>6001024</v>
      </c>
      <c r="B19" s="46">
        <v>0</v>
      </c>
      <c r="C19" s="46" t="s">
        <v>89</v>
      </c>
      <c r="D19" s="46">
        <v>100</v>
      </c>
      <c r="E19" s="46">
        <v>80</v>
      </c>
      <c r="F19" s="46" t="s">
        <v>90</v>
      </c>
      <c r="G19" s="46">
        <v>1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46">
        <v>6001025</v>
      </c>
      <c r="B20" s="46">
        <v>0</v>
      </c>
      <c r="C20" s="46" t="s">
        <v>89</v>
      </c>
      <c r="D20" s="46">
        <v>100</v>
      </c>
      <c r="E20" s="46">
        <v>50</v>
      </c>
      <c r="F20" s="46" t="s">
        <v>90</v>
      </c>
      <c r="G20" s="46">
        <v>1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6001033</v>
      </c>
      <c r="B21" s="46">
        <v>1</v>
      </c>
      <c r="C21" s="46" t="s">
        <v>89</v>
      </c>
      <c r="D21" s="46">
        <v>100</v>
      </c>
      <c r="E21" s="46" t="s">
        <v>296</v>
      </c>
      <c r="F21" s="46" t="s">
        <v>90</v>
      </c>
      <c r="G21" s="46">
        <v>1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6001034</v>
      </c>
      <c r="B22" s="46">
        <v>0</v>
      </c>
      <c r="C22" s="46" t="s">
        <v>89</v>
      </c>
      <c r="D22" s="46">
        <v>100</v>
      </c>
      <c r="E22" s="46" t="s">
        <v>296</v>
      </c>
      <c r="F22" s="46" t="s">
        <v>90</v>
      </c>
      <c r="G22" s="46" t="s">
        <v>297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46">
        <v>6001035</v>
      </c>
      <c r="B23" s="46">
        <v>0</v>
      </c>
      <c r="C23" s="46" t="s">
        <v>89</v>
      </c>
      <c r="D23" s="46">
        <v>100</v>
      </c>
      <c r="E23" s="46">
        <v>50</v>
      </c>
      <c r="F23" s="46" t="s">
        <v>90</v>
      </c>
      <c r="G23" s="46">
        <v>1</v>
      </c>
      <c r="H23" s="46" t="s">
        <v>90</v>
      </c>
      <c r="I23" s="46" t="s">
        <v>90</v>
      </c>
      <c r="J23" s="47">
        <f t="shared" si="1"/>
        <v>100</v>
      </c>
    </row>
    <row r="24" spans="1:10" ht="21" customHeight="1" x14ac:dyDescent="0.15">
      <c r="A24" s="46">
        <v>6001043</v>
      </c>
      <c r="B24" s="46">
        <v>1</v>
      </c>
      <c r="C24" s="46" t="s">
        <v>89</v>
      </c>
      <c r="D24" s="46">
        <v>100</v>
      </c>
      <c r="E24" s="46" t="s">
        <v>296</v>
      </c>
      <c r="F24" s="46" t="s">
        <v>90</v>
      </c>
      <c r="G24" s="46">
        <v>1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6001045</v>
      </c>
      <c r="B25" s="46">
        <v>0</v>
      </c>
      <c r="C25" s="46" t="s">
        <v>89</v>
      </c>
      <c r="D25" s="46">
        <v>100</v>
      </c>
      <c r="E25" s="46" t="s">
        <v>296</v>
      </c>
      <c r="F25" s="46" t="s">
        <v>90</v>
      </c>
      <c r="G25" s="46" t="s">
        <v>297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6001046</v>
      </c>
      <c r="B26" s="46">
        <v>0</v>
      </c>
      <c r="C26" s="46" t="s">
        <v>89</v>
      </c>
      <c r="D26" s="46">
        <v>100</v>
      </c>
      <c r="E26" s="46">
        <v>50</v>
      </c>
      <c r="F26" s="46" t="s">
        <v>90</v>
      </c>
      <c r="G26" s="46" t="s">
        <v>297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46">
        <v>6001053</v>
      </c>
      <c r="B27" s="46">
        <v>1</v>
      </c>
      <c r="C27" s="46" t="s">
        <v>89</v>
      </c>
      <c r="D27" s="46">
        <v>100</v>
      </c>
      <c r="E27" s="46" t="s">
        <v>296</v>
      </c>
      <c r="F27" s="46" t="s">
        <v>90</v>
      </c>
      <c r="G27" s="46">
        <v>1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46">
        <v>6001054</v>
      </c>
      <c r="B28" s="46">
        <v>0</v>
      </c>
      <c r="C28" s="46" t="s">
        <v>89</v>
      </c>
      <c r="D28" s="46">
        <v>100</v>
      </c>
      <c r="E28" s="46" t="s">
        <v>296</v>
      </c>
      <c r="F28" s="46" t="s">
        <v>90</v>
      </c>
      <c r="G28" s="46" t="s">
        <v>297</v>
      </c>
      <c r="H28" s="46" t="s">
        <v>90</v>
      </c>
      <c r="I28" s="46" t="s">
        <v>90</v>
      </c>
      <c r="J28" s="47">
        <f t="shared" si="1"/>
        <v>100</v>
      </c>
    </row>
    <row r="29" spans="1:10" ht="21" customHeight="1" x14ac:dyDescent="0.15">
      <c r="A29" s="46">
        <v>6001055</v>
      </c>
      <c r="B29" s="46">
        <v>0</v>
      </c>
      <c r="C29" s="46">
        <v>100</v>
      </c>
      <c r="D29" s="46">
        <v>100</v>
      </c>
      <c r="E29" s="46">
        <v>60</v>
      </c>
      <c r="F29" s="46" t="s">
        <v>90</v>
      </c>
      <c r="G29" s="46">
        <v>1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6001056</v>
      </c>
      <c r="B30" s="46">
        <v>0</v>
      </c>
      <c r="C30" s="46">
        <v>90</v>
      </c>
      <c r="D30" s="46">
        <v>100</v>
      </c>
      <c r="E30" s="46">
        <v>60</v>
      </c>
      <c r="F30" s="46" t="s">
        <v>90</v>
      </c>
      <c r="G30" s="46">
        <v>1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6001057</v>
      </c>
      <c r="B31" s="46">
        <v>0</v>
      </c>
      <c r="C31" s="46">
        <v>80</v>
      </c>
      <c r="D31" s="46">
        <v>100</v>
      </c>
      <c r="E31" s="46">
        <v>60</v>
      </c>
      <c r="F31" s="46" t="s">
        <v>90</v>
      </c>
      <c r="G31" s="46">
        <v>1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6001063</v>
      </c>
      <c r="B32" s="46">
        <v>1</v>
      </c>
      <c r="C32" s="46" t="s">
        <v>89</v>
      </c>
      <c r="D32" s="46">
        <v>100</v>
      </c>
      <c r="E32" s="46" t="s">
        <v>296</v>
      </c>
      <c r="F32" s="46" t="s">
        <v>90</v>
      </c>
      <c r="G32" s="46">
        <v>1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46">
        <v>6001064</v>
      </c>
      <c r="B33" s="46">
        <v>0</v>
      </c>
      <c r="C33" s="46" t="s">
        <v>89</v>
      </c>
      <c r="D33" s="46">
        <v>100</v>
      </c>
      <c r="E33" s="46">
        <v>80</v>
      </c>
      <c r="F33" s="46" t="s">
        <v>90</v>
      </c>
      <c r="G33" s="46">
        <v>1</v>
      </c>
      <c r="H33" s="46" t="s">
        <v>90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6001065</v>
      </c>
      <c r="B34" s="46">
        <v>0</v>
      </c>
      <c r="C34" s="46" t="s">
        <v>89</v>
      </c>
      <c r="D34" s="46">
        <v>100</v>
      </c>
      <c r="E34" s="46">
        <v>60</v>
      </c>
      <c r="F34" s="46" t="s">
        <v>90</v>
      </c>
      <c r="G34" s="46">
        <v>1</v>
      </c>
      <c r="H34" s="46" t="s">
        <v>90</v>
      </c>
      <c r="I34" s="46" t="s">
        <v>90</v>
      </c>
      <c r="J34" s="47">
        <f t="shared" si="1"/>
        <v>100</v>
      </c>
    </row>
    <row r="35" spans="1:10" ht="21" customHeight="1" x14ac:dyDescent="0.15">
      <c r="A35" s="46">
        <v>6001066</v>
      </c>
      <c r="B35" s="46">
        <v>0</v>
      </c>
      <c r="C35" s="46" t="s">
        <v>89</v>
      </c>
      <c r="D35" s="46">
        <v>100</v>
      </c>
      <c r="E35" s="46">
        <v>40</v>
      </c>
      <c r="F35" s="46" t="s">
        <v>90</v>
      </c>
      <c r="G35" s="46">
        <v>1</v>
      </c>
      <c r="H35" s="46" t="s">
        <v>90</v>
      </c>
      <c r="I35" s="46" t="s">
        <v>90</v>
      </c>
      <c r="J35" s="47">
        <f t="shared" ref="J35:J36" si="2">D35</f>
        <v>100</v>
      </c>
    </row>
    <row r="36" spans="1:10" ht="21" customHeight="1" x14ac:dyDescent="0.15">
      <c r="A36" s="46">
        <v>6001067</v>
      </c>
      <c r="B36" s="46">
        <v>0</v>
      </c>
      <c r="C36" s="46" t="s">
        <v>89</v>
      </c>
      <c r="D36" s="46">
        <v>100</v>
      </c>
      <c r="E36" s="46" t="s">
        <v>296</v>
      </c>
      <c r="F36" s="46" t="s">
        <v>90</v>
      </c>
      <c r="G36" s="46">
        <v>1</v>
      </c>
      <c r="H36" s="46" t="s">
        <v>90</v>
      </c>
      <c r="I36" s="46" t="s">
        <v>90</v>
      </c>
      <c r="J36" s="47">
        <f t="shared" si="2"/>
        <v>100</v>
      </c>
    </row>
  </sheetData>
  <autoFilter ref="A1:G1"/>
  <phoneticPr fontId="7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f>floors!C2</f>
        <v>60010</v>
      </c>
      <c r="B2" s="56">
        <v>1</v>
      </c>
      <c r="C2" s="70" t="str">
        <f>A2&amp; "_"&amp;B2</f>
        <v>60010_1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169</v>
      </c>
      <c r="G2" s="56">
        <v>1000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171</v>
      </c>
      <c r="R2" s="56" t="s">
        <v>172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190</v>
      </c>
      <c r="B1" s="72" t="s">
        <v>191</v>
      </c>
      <c r="C1" s="77" t="s">
        <v>192</v>
      </c>
      <c r="D1" s="77" t="s">
        <v>33</v>
      </c>
      <c r="E1" s="72" t="s">
        <v>193</v>
      </c>
      <c r="F1" s="77" t="s">
        <v>194</v>
      </c>
      <c r="G1" s="77" t="s">
        <v>33</v>
      </c>
      <c r="H1" s="72" t="s">
        <v>195</v>
      </c>
      <c r="I1" s="92" t="s">
        <v>197</v>
      </c>
      <c r="J1" s="79" t="s">
        <v>127</v>
      </c>
      <c r="K1" s="78" t="s">
        <v>188</v>
      </c>
      <c r="L1" s="93" t="s">
        <v>187</v>
      </c>
      <c r="M1" s="80" t="s">
        <v>198</v>
      </c>
    </row>
    <row r="2" spans="1:13" x14ac:dyDescent="0.15">
      <c r="A2" s="81" t="s">
        <v>203</v>
      </c>
      <c r="B2" s="82">
        <f>floors!$C$2</f>
        <v>60010</v>
      </c>
      <c r="C2" s="83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ランキング2（ラグランジュ）</v>
      </c>
      <c r="E2" s="87" t="s">
        <v>218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0</v>
      </c>
      <c r="I2">
        <v>1</v>
      </c>
      <c r="J2" s="84" t="s">
        <v>200</v>
      </c>
      <c r="K2" s="94" t="str">
        <f>VLOOKUP(I2,[7]stage_hints!$A:$C,3,FALSE)</f>
        <v>長くつなげて大ダメージ</v>
      </c>
      <c r="L2" s="95" t="str">
        <f>VLOOKUP(I2,[7]stage_hints!$A:$D,4,FALSE)</f>
        <v>パネルを長くつなげるほど_x000D_大ダメージを与えることができます</v>
      </c>
      <c r="M2" s="56" t="s">
        <v>215</v>
      </c>
    </row>
    <row r="3" spans="1:13" x14ac:dyDescent="0.15">
      <c r="A3" s="81" t="s">
        <v>203</v>
      </c>
      <c r="B3" s="82">
        <f>floors!$C$2</f>
        <v>60010</v>
      </c>
      <c r="C3" s="83" t="str">
        <f ca="1">VLOOKUP($B3,OFFSET([2]quests!$A$1,0,0,COUNTA([2]quests!$A:$A),MATCH(C$1,[2]quests!$1:$1,0)-MATCH($B$1,[2]quests!$1:$1,0)+1),MATCH(C$1,[2]quests!$1:$1,0)-MATCH($B$1,[2]quests!$1:$1,0)+1,FALSE)</f>
        <v>ラグランジュチャレンジ</v>
      </c>
      <c r="D3" s="83" t="str">
        <f ca="1">VLOOKUP($B3,OFFSET([2]quests!$A$1,0,0,COUNTA([2]quests!$A:$A),MATCH(D$1,[2]quests!$1:$1,0)-MATCH($B$1,[2]quests!$1:$1,0)+1),MATCH(D$1,[2]quests!$1:$1,0)-MATCH($B$1,[2]quests!$1:$1,0)+1,FALSE)</f>
        <v>ランキング2（ラグランジュ）</v>
      </c>
      <c r="E3" s="87" t="s">
        <v>218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>
        <v>0</v>
      </c>
      <c r="I3">
        <v>2</v>
      </c>
      <c r="J3" s="84" t="s">
        <v>200</v>
      </c>
      <c r="K3" s="94" t="str">
        <f>VLOOKUP(I3,[7]stage_hints!$A:$C,3,FALSE)</f>
        <v>属性の相性</v>
      </c>
      <c r="L3" s="95" t="str">
        <f>VLOOKUP(I3,[7]stage_hints!$A:$D,4,FALSE)</f>
        <v>赤＞青　青＞黄　黄＞緑　緑＞赤_x000D_敵属性に最適なパーティがオススメです</v>
      </c>
      <c r="M3" s="56" t="s">
        <v>215</v>
      </c>
    </row>
    <row r="4" spans="1:13" x14ac:dyDescent="0.15">
      <c r="A4" s="81" t="s">
        <v>203</v>
      </c>
      <c r="B4" s="82">
        <f>floors!$C$2</f>
        <v>60010</v>
      </c>
      <c r="C4" s="83" t="str">
        <f ca="1">VLOOKUP($B4,OFFSET([2]quests!$A$1,0,0,COUNTA([2]quests!$A:$A),MATCH(C$1,[2]quests!$1:$1,0)-MATCH($B$1,[2]quests!$1:$1,0)+1),MATCH(C$1,[2]quests!$1:$1,0)-MATCH($B$1,[2]quests!$1:$1,0)+1,FALSE)</f>
        <v>ラグランジュチャレンジ</v>
      </c>
      <c r="D4" s="83" t="str">
        <f ca="1">VLOOKUP($B4,OFFSET([2]quests!$A$1,0,0,COUNTA([2]quests!$A:$A),MATCH(D$1,[2]quests!$1:$1,0)-MATCH($B$1,[2]quests!$1:$1,0)+1),MATCH(D$1,[2]quests!$1:$1,0)-MATCH($B$1,[2]quests!$1:$1,0)+1,FALSE)</f>
        <v>ランキング2（ラグランジュ）</v>
      </c>
      <c r="E4" s="87" t="s">
        <v>218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5">
        <v>0</v>
      </c>
      <c r="I4">
        <v>3</v>
      </c>
      <c r="J4" s="84" t="s">
        <v>200</v>
      </c>
      <c r="K4" s="94" t="str">
        <f>VLOOKUP(I4,[7]stage_hints!$A:$C,3,FALSE)</f>
        <v>ターゲット</v>
      </c>
      <c r="L4" s="95" t="str">
        <f>VLOOKUP(I4,[7]stage_hints!$A:$D,4,FALSE)</f>
        <v>敵ユニットをタップすると_x000D_その敵を狙い撃ちできます</v>
      </c>
      <c r="M4" s="56" t="s">
        <v>215</v>
      </c>
    </row>
    <row r="5" spans="1:13" x14ac:dyDescent="0.15">
      <c r="A5" s="81" t="s">
        <v>203</v>
      </c>
      <c r="B5" s="82">
        <f>floors!$C$2</f>
        <v>60010</v>
      </c>
      <c r="C5" s="83" t="str">
        <f ca="1">VLOOKUP($B5,OFFSET([2]quests!$A$1,0,0,COUNTA([2]quests!$A:$A),MATCH(C$1,[2]quests!$1:$1,0)-MATCH($B$1,[2]quests!$1:$1,0)+1),MATCH(C$1,[2]quests!$1:$1,0)-MATCH($B$1,[2]quests!$1:$1,0)+1,FALSE)</f>
        <v>ラグランジュチャレンジ</v>
      </c>
      <c r="D5" s="83" t="str">
        <f ca="1">VLOOKUP($B5,OFFSET([2]quests!$A$1,0,0,COUNTA([2]quests!$A:$A),MATCH(D$1,[2]quests!$1:$1,0)-MATCH($B$1,[2]quests!$1:$1,0)+1),MATCH(D$1,[2]quests!$1:$1,0)-MATCH($B$1,[2]quests!$1:$1,0)+1,FALSE)</f>
        <v>ランキング2（ラグランジュ）</v>
      </c>
      <c r="E5" s="87" t="s">
        <v>218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5">
        <v>0</v>
      </c>
      <c r="I5">
        <v>5</v>
      </c>
      <c r="J5" s="84" t="s">
        <v>200</v>
      </c>
      <c r="K5" s="94" t="str">
        <f>VLOOKUP(I5,[7]stage_hints!$A:$C,3,FALSE)</f>
        <v>ユニット強化でレベルアップ</v>
      </c>
      <c r="L5" s="95" t="str">
        <f>VLOOKUP(I5,[7]stage_hints!$A:$D,4,FALSE)</f>
        <v>「ユニット強化」でレベルアップすると_x000D_勝てない敵にも勝てるようになります</v>
      </c>
      <c r="M5" s="56" t="s">
        <v>215</v>
      </c>
    </row>
    <row r="6" spans="1:13" x14ac:dyDescent="0.15">
      <c r="A6" s="81" t="s">
        <v>203</v>
      </c>
      <c r="B6" s="82">
        <f>floors!$C$2</f>
        <v>60010</v>
      </c>
      <c r="C6" s="83" t="str">
        <f ca="1">VLOOKUP($B6,OFFSET([2]quests!$A$1,0,0,COUNTA([2]quests!$A:$A),MATCH(C$1,[2]quests!$1:$1,0)-MATCH($B$1,[2]quests!$1:$1,0)+1),MATCH(C$1,[2]quests!$1:$1,0)-MATCH($B$1,[2]quests!$1:$1,0)+1,FALSE)</f>
        <v>ラグランジュチャレンジ</v>
      </c>
      <c r="D6" s="83" t="str">
        <f ca="1">VLOOKUP($B6,OFFSET([2]quests!$A$1,0,0,COUNTA([2]quests!$A:$A),MATCH(D$1,[2]quests!$1:$1,0)-MATCH($B$1,[2]quests!$1:$1,0)+1),MATCH(D$1,[2]quests!$1:$1,0)-MATCH($B$1,[2]quests!$1:$1,0)+1,FALSE)</f>
        <v>ランキング2（ラグランジュ）</v>
      </c>
      <c r="E6" s="87" t="s">
        <v>218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5">
        <v>0</v>
      </c>
      <c r="I6">
        <v>6</v>
      </c>
      <c r="J6" s="84" t="s">
        <v>200</v>
      </c>
      <c r="K6" s="94" t="str">
        <f>VLOOKUP(I6,[7]stage_hints!$A:$C,3,FALSE)</f>
        <v>ユニット強化の属性ボーナス</v>
      </c>
      <c r="L6" s="95" t="str">
        <f>VLOOKUP(I6,[7]stage_hints!$A:$D,4,FALSE)</f>
        <v>同属性ユニットを強化素材にすると_x000D_経験値が多くもらえます</v>
      </c>
      <c r="M6" s="56" t="s">
        <v>215</v>
      </c>
    </row>
    <row r="7" spans="1:13" x14ac:dyDescent="0.15">
      <c r="A7" s="81" t="s">
        <v>203</v>
      </c>
      <c r="B7" s="82">
        <f>floors!$C$2</f>
        <v>60010</v>
      </c>
      <c r="C7" s="83" t="str">
        <f ca="1">VLOOKUP($B7,OFFSET([2]quests!$A$1,0,0,COUNTA([2]quests!$A:$A),MATCH(C$1,[2]quests!$1:$1,0)-MATCH($B$1,[2]quests!$1:$1,0)+1),MATCH(C$1,[2]quests!$1:$1,0)-MATCH($B$1,[2]quests!$1:$1,0)+1,FALSE)</f>
        <v>ラグランジュチャレンジ</v>
      </c>
      <c r="D7" s="83" t="str">
        <f ca="1">VLOOKUP($B7,OFFSET([2]quests!$A$1,0,0,COUNTA([2]quests!$A:$A),MATCH(D$1,[2]quests!$1:$1,0)-MATCH($B$1,[2]quests!$1:$1,0)+1),MATCH(D$1,[2]quests!$1:$1,0)-MATCH($B$1,[2]quests!$1:$1,0)+1,FALSE)</f>
        <v>ランキング2（ラグランジュ）</v>
      </c>
      <c r="E7" s="87" t="s">
        <v>218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5">
        <v>0</v>
      </c>
      <c r="I7">
        <v>7</v>
      </c>
      <c r="J7" s="84" t="s">
        <v>200</v>
      </c>
      <c r="K7" s="94" t="str">
        <f>VLOOKUP(I7,[7]stage_hints!$A:$C,3,FALSE)</f>
        <v>メタルダックで経験値を獲得</v>
      </c>
      <c r="L7" s="95" t="str">
        <f>VLOOKUP(I7,[7]stage_hints!$A:$D,4,FALSE)</f>
        <v>「メタルなアヒル」を強化素材にすると_x000D_大量の経験値がもらえます</v>
      </c>
      <c r="M7" s="56" t="s">
        <v>215</v>
      </c>
    </row>
    <row r="8" spans="1:13" x14ac:dyDescent="0.15">
      <c r="A8" s="81" t="s">
        <v>203</v>
      </c>
      <c r="B8" s="82">
        <f>floors!$C$2</f>
        <v>60010</v>
      </c>
      <c r="C8" s="83" t="str">
        <f ca="1">VLOOKUP($B8,OFFSET([2]quests!$A$1,0,0,COUNTA([2]quests!$A:$A),MATCH(C$1,[2]quests!$1:$1,0)-MATCH($B$1,[2]quests!$1:$1,0)+1),MATCH(C$1,[2]quests!$1:$1,0)-MATCH($B$1,[2]quests!$1:$1,0)+1,FALSE)</f>
        <v>ラグランジュチャレンジ</v>
      </c>
      <c r="D8" s="83" t="str">
        <f ca="1">VLOOKUP($B8,OFFSET([2]quests!$A$1,0,0,COUNTA([2]quests!$A:$A),MATCH(D$1,[2]quests!$1:$1,0)-MATCH($B$1,[2]quests!$1:$1,0)+1),MATCH(D$1,[2]quests!$1:$1,0)-MATCH($B$1,[2]quests!$1:$1,0)+1,FALSE)</f>
        <v>ランキング2（ラグランジュ）</v>
      </c>
      <c r="E8" s="87" t="s">
        <v>218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5">
        <v>0</v>
      </c>
      <c r="I8">
        <v>8</v>
      </c>
      <c r="J8" s="84" t="s">
        <v>200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6" t="s">
        <v>215</v>
      </c>
    </row>
    <row r="9" spans="1:13" x14ac:dyDescent="0.15">
      <c r="A9" s="81" t="s">
        <v>203</v>
      </c>
      <c r="B9" s="82">
        <f>floors!$C$2</f>
        <v>60010</v>
      </c>
      <c r="C9" s="83" t="str">
        <f ca="1">VLOOKUP($B9,OFFSET([2]quests!$A$1,0,0,COUNTA([2]quests!$A:$A),MATCH(C$1,[2]quests!$1:$1,0)-MATCH($B$1,[2]quests!$1:$1,0)+1),MATCH(C$1,[2]quests!$1:$1,0)-MATCH($B$1,[2]quests!$1:$1,0)+1,FALSE)</f>
        <v>ラグランジュチャレンジ</v>
      </c>
      <c r="D9" s="83" t="str">
        <f ca="1">VLOOKUP($B9,OFFSET([2]quests!$A$1,0,0,COUNTA([2]quests!$A:$A),MATCH(D$1,[2]quests!$1:$1,0)-MATCH($B$1,[2]quests!$1:$1,0)+1),MATCH(D$1,[2]quests!$1:$1,0)-MATCH($B$1,[2]quests!$1:$1,0)+1,FALSE)</f>
        <v>ランキング2（ラグランジュ）</v>
      </c>
      <c r="E9" s="87" t="s">
        <v>218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5">
        <v>0</v>
      </c>
      <c r="I9">
        <v>9</v>
      </c>
      <c r="J9" s="84" t="s">
        <v>200</v>
      </c>
      <c r="K9" s="94" t="str">
        <f>VLOOKUP(I9,[7]stage_hints!$A:$C,3,FALSE)</f>
        <v>ゴールドダックでビットを獲得</v>
      </c>
      <c r="L9" s="95" t="str">
        <f>VLOOKUP(I9,[7]stage_hints!$A:$D,4,FALSE)</f>
        <v>「ゴールドなアヒル」を売却すると_x000D_大量のビットがもらえます</v>
      </c>
      <c r="M9" s="56" t="s">
        <v>215</v>
      </c>
    </row>
    <row r="10" spans="1:13" x14ac:dyDescent="0.15">
      <c r="A10" s="81" t="s">
        <v>203</v>
      </c>
      <c r="B10" s="82">
        <f>floors!$C$2</f>
        <v>60010</v>
      </c>
      <c r="C10" s="83" t="str">
        <f ca="1">VLOOKUP($B10,OFFSET([2]quests!$A$1,0,0,COUNTA([2]quests!$A:$A),MATCH(C$1,[2]quests!$1:$1,0)-MATCH($B$1,[2]quests!$1:$1,0)+1),MATCH(C$1,[2]quests!$1:$1,0)-MATCH($B$1,[2]quests!$1:$1,0)+1,FALSE)</f>
        <v>ラグランジュチャレンジ</v>
      </c>
      <c r="D10" s="83" t="str">
        <f ca="1">VLOOKUP($B10,OFFSET([2]quests!$A$1,0,0,COUNTA([2]quests!$A:$A),MATCH(D$1,[2]quests!$1:$1,0)-MATCH($B$1,[2]quests!$1:$1,0)+1),MATCH(D$1,[2]quests!$1:$1,0)-MATCH($B$1,[2]quests!$1:$1,0)+1,FALSE)</f>
        <v>ランキング2（ラグランジュ）</v>
      </c>
      <c r="E10" s="87" t="s">
        <v>218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5">
        <v>0</v>
      </c>
      <c r="I10">
        <v>10</v>
      </c>
      <c r="J10" s="84" t="s">
        <v>200</v>
      </c>
      <c r="K10" s="94" t="str">
        <f>VLOOKUP(I10,[7]stage_hints!$A:$C,3,FALSE)</f>
        <v>土日に大量のビットを獲得</v>
      </c>
      <c r="L10" s="95" t="str">
        <f>VLOOKUP(I10,[7]stage_hints!$A:$D,4,FALSE)</f>
        <v>土日限定の「ゴールドカジノ」では_x000D_売却素材ユニットが多く手に入ります</v>
      </c>
      <c r="M10" s="56" t="s">
        <v>215</v>
      </c>
    </row>
    <row r="11" spans="1:13" x14ac:dyDescent="0.15">
      <c r="A11" s="81" t="s">
        <v>203</v>
      </c>
      <c r="B11" s="82">
        <f>floors!$C$2</f>
        <v>60010</v>
      </c>
      <c r="C11" s="83" t="str">
        <f ca="1">VLOOKUP($B11,OFFSET([2]quests!$A$1,0,0,COUNTA([2]quests!$A:$A),MATCH(C$1,[2]quests!$1:$1,0)-MATCH($B$1,[2]quests!$1:$1,0)+1),MATCH(C$1,[2]quests!$1:$1,0)-MATCH($B$1,[2]quests!$1:$1,0)+1,FALSE)</f>
        <v>ラグランジュチャレンジ</v>
      </c>
      <c r="D11" s="83" t="str">
        <f ca="1">VLOOKUP($B11,OFFSET([2]quests!$A$1,0,0,COUNTA([2]quests!$A:$A),MATCH(D$1,[2]quests!$1:$1,0)-MATCH($B$1,[2]quests!$1:$1,0)+1),MATCH(D$1,[2]quests!$1:$1,0)-MATCH($B$1,[2]quests!$1:$1,0)+1,FALSE)</f>
        <v>ランキング2（ラグランジュ）</v>
      </c>
      <c r="E11" s="87" t="s">
        <v>218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5">
        <v>0</v>
      </c>
      <c r="I11">
        <v>11</v>
      </c>
      <c r="J11" s="84" t="s">
        <v>200</v>
      </c>
      <c r="K11" s="94" t="str">
        <f>VLOOKUP(I11,[7]stage_hints!$A:$C,3,FALSE)</f>
        <v>ランク解放クエスト</v>
      </c>
      <c r="L11" s="95" t="str">
        <f>VLOOKUP(I11,[7]stage_hints!$A:$D,4,FALSE)</f>
        <v>一定ランクに到達すると_x000D_報酬付きのランク開放クエストが現れます</v>
      </c>
      <c r="M11" s="56" t="s">
        <v>215</v>
      </c>
    </row>
    <row r="12" spans="1:13" x14ac:dyDescent="0.15">
      <c r="A12" s="81" t="s">
        <v>203</v>
      </c>
      <c r="B12" s="82">
        <f>floors!$C$2</f>
        <v>60010</v>
      </c>
      <c r="C12" s="83" t="str">
        <f ca="1">VLOOKUP($B12,OFFSET([2]quests!$A$1,0,0,COUNTA([2]quests!$A:$A),MATCH(C$1,[2]quests!$1:$1,0)-MATCH($B$1,[2]quests!$1:$1,0)+1),MATCH(C$1,[2]quests!$1:$1,0)-MATCH($B$1,[2]quests!$1:$1,0)+1,FALSE)</f>
        <v>ラグランジュチャレンジ</v>
      </c>
      <c r="D12" s="83" t="str">
        <f ca="1">VLOOKUP($B12,OFFSET([2]quests!$A$1,0,0,COUNTA([2]quests!$A:$A),MATCH(D$1,[2]quests!$1:$1,0)-MATCH($B$1,[2]quests!$1:$1,0)+1),MATCH(D$1,[2]quests!$1:$1,0)-MATCH($B$1,[2]quests!$1:$1,0)+1,FALSE)</f>
        <v>ランキング2（ラグランジュ）</v>
      </c>
      <c r="E12" s="87" t="s">
        <v>218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5">
        <v>0</v>
      </c>
      <c r="I12">
        <v>12</v>
      </c>
      <c r="J12" s="84" t="s">
        <v>200</v>
      </c>
      <c r="K12" s="94" t="str">
        <f>VLOOKUP(I12,[7]stage_hints!$A:$C,3,FALSE)</f>
        <v>ユニットのお気に入り登録</v>
      </c>
      <c r="L12" s="95" t="str">
        <f>VLOOKUP(I12,[7]stage_hints!$A:$D,4,FALSE)</f>
        <v>大事なユニットを誤って消さないように_x000D_フォルダから「お気に入り登録」しましょう</v>
      </c>
      <c r="M12" s="56" t="s">
        <v>215</v>
      </c>
    </row>
    <row r="13" spans="1:13" x14ac:dyDescent="0.15">
      <c r="A13" s="81" t="s">
        <v>203</v>
      </c>
      <c r="B13" s="82">
        <f>floors!$C$2</f>
        <v>60010</v>
      </c>
      <c r="C13" s="83" t="str">
        <f ca="1">VLOOKUP($B13,OFFSET([2]quests!$A$1,0,0,COUNTA([2]quests!$A:$A),MATCH(C$1,[2]quests!$1:$1,0)-MATCH($B$1,[2]quests!$1:$1,0)+1),MATCH(C$1,[2]quests!$1:$1,0)-MATCH($B$1,[2]quests!$1:$1,0)+1,FALSE)</f>
        <v>ラグランジュチャレンジ</v>
      </c>
      <c r="D13" s="83" t="str">
        <f ca="1">VLOOKUP($B13,OFFSET([2]quests!$A$1,0,0,COUNTA([2]quests!$A:$A),MATCH(D$1,[2]quests!$1:$1,0)-MATCH($B$1,[2]quests!$1:$1,0)+1),MATCH(D$1,[2]quests!$1:$1,0)-MATCH($B$1,[2]quests!$1:$1,0)+1,FALSE)</f>
        <v>ランキング2（ラグランジュ）</v>
      </c>
      <c r="E13" s="87" t="s">
        <v>218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5">
        <v>0</v>
      </c>
      <c r="I13">
        <v>13</v>
      </c>
      <c r="J13" s="84" t="s">
        <v>200</v>
      </c>
      <c r="K13" s="94" t="str">
        <f>VLOOKUP(I13,[7]stage_hints!$A:$C,3,FALSE)</f>
        <v>ユニットの覚醒</v>
      </c>
      <c r="L13" s="95" t="str">
        <f>VLOOKUP(I13,[7]stage_hints!$A:$D,4,FALSE)</f>
        <v>ユニットを覚醒させると_x000D_比べものにならない強さが手に入ります</v>
      </c>
      <c r="M13" s="56" t="s">
        <v>215</v>
      </c>
    </row>
    <row r="14" spans="1:13" x14ac:dyDescent="0.15">
      <c r="A14" s="81" t="s">
        <v>203</v>
      </c>
      <c r="B14" s="82">
        <f>floors!$C$2</f>
        <v>60010</v>
      </c>
      <c r="C14" s="83" t="str">
        <f ca="1">VLOOKUP($B14,OFFSET([2]quests!$A$1,0,0,COUNTA([2]quests!$A:$A),MATCH(C$1,[2]quests!$1:$1,0)-MATCH($B$1,[2]quests!$1:$1,0)+1),MATCH(C$1,[2]quests!$1:$1,0)-MATCH($B$1,[2]quests!$1:$1,0)+1,FALSE)</f>
        <v>ラグランジュチャレンジ</v>
      </c>
      <c r="D14" s="83" t="str">
        <f ca="1">VLOOKUP($B14,OFFSET([2]quests!$A$1,0,0,COUNTA([2]quests!$A:$A),MATCH(D$1,[2]quests!$1:$1,0)-MATCH($B$1,[2]quests!$1:$1,0)+1),MATCH(D$1,[2]quests!$1:$1,0)-MATCH($B$1,[2]quests!$1:$1,0)+1,FALSE)</f>
        <v>ランキング2（ラグランジュ）</v>
      </c>
      <c r="E14" s="87" t="s">
        <v>218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5">
        <v>0</v>
      </c>
      <c r="I14">
        <v>14</v>
      </c>
      <c r="J14" s="84" t="s">
        <v>200</v>
      </c>
      <c r="K14" s="94" t="str">
        <f>VLOOKUP(I14,[7]stage_hints!$A:$C,3,FALSE)</f>
        <v>覚醒するにはレベルを最大に</v>
      </c>
      <c r="L14" s="95" t="str">
        <f>VLOOKUP(I14,[7]stage_hints!$A:$D,4,FALSE)</f>
        <v>覚醒するにはユニットのレベルを_x000D_最大まで上げる必要があります</v>
      </c>
      <c r="M14" s="56" t="s">
        <v>215</v>
      </c>
    </row>
    <row r="15" spans="1:13" x14ac:dyDescent="0.15">
      <c r="A15" s="81" t="s">
        <v>203</v>
      </c>
      <c r="B15" s="82">
        <f>floors!$C$2</f>
        <v>60010</v>
      </c>
      <c r="C15" s="83" t="str">
        <f ca="1">VLOOKUP($B15,OFFSET([2]quests!$A$1,0,0,COUNTA([2]quests!$A:$A),MATCH(C$1,[2]quests!$1:$1,0)-MATCH($B$1,[2]quests!$1:$1,0)+1),MATCH(C$1,[2]quests!$1:$1,0)-MATCH($B$1,[2]quests!$1:$1,0)+1,FALSE)</f>
        <v>ラグランジュチャレンジ</v>
      </c>
      <c r="D15" s="83" t="str">
        <f ca="1">VLOOKUP($B15,OFFSET([2]quests!$A$1,0,0,COUNTA([2]quests!$A:$A),MATCH(D$1,[2]quests!$1:$1,0)-MATCH($B$1,[2]quests!$1:$1,0)+1),MATCH(D$1,[2]quests!$1:$1,0)-MATCH($B$1,[2]quests!$1:$1,0)+1,FALSE)</f>
        <v>ランキング2（ラグランジュ）</v>
      </c>
      <c r="E15" s="87" t="s">
        <v>218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15</v>
      </c>
      <c r="J15" s="84" t="s">
        <v>200</v>
      </c>
      <c r="K15" s="94" t="str">
        <f>VLOOKUP(I15,[7]stage_hints!$A:$C,3,FALSE)</f>
        <v>覚醒素材を獲得</v>
      </c>
      <c r="L15" s="95" t="str">
        <f>VLOOKUP(I15,[7]stage_hints!$A:$D,4,FALSE)</f>
        <v>「曜日クエスト」では_x000D_ユニットの覚醒に必要な素材が手に入ります</v>
      </c>
      <c r="M15" s="56" t="s">
        <v>215</v>
      </c>
    </row>
    <row r="16" spans="1:13" x14ac:dyDescent="0.15">
      <c r="A16" s="81" t="s">
        <v>203</v>
      </c>
      <c r="B16" s="82">
        <f>floors!$C$2</f>
        <v>60010</v>
      </c>
      <c r="C16" s="83" t="str">
        <f ca="1">VLOOKUP($B16,OFFSET([2]quests!$A$1,0,0,COUNTA([2]quests!$A:$A),MATCH(C$1,[2]quests!$1:$1,0)-MATCH($B$1,[2]quests!$1:$1,0)+1),MATCH(C$1,[2]quests!$1:$1,0)-MATCH($B$1,[2]quests!$1:$1,0)+1,FALSE)</f>
        <v>ラグランジュチャレンジ</v>
      </c>
      <c r="D16" s="83" t="str">
        <f ca="1">VLOOKUP($B16,OFFSET([2]quests!$A$1,0,0,COUNTA([2]quests!$A:$A),MATCH(D$1,[2]quests!$1:$1,0)-MATCH($B$1,[2]quests!$1:$1,0)+1),MATCH(D$1,[2]quests!$1:$1,0)-MATCH($B$1,[2]quests!$1:$1,0)+1,FALSE)</f>
        <v>ランキング2（ラグランジュ）</v>
      </c>
      <c r="E16" s="87" t="s">
        <v>218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16</v>
      </c>
      <c r="J16" s="84" t="s">
        <v>200</v>
      </c>
      <c r="K16" s="94" t="str">
        <f>VLOOKUP(I16,[7]stage_hints!$A:$C,3,FALSE)</f>
        <v>マルチプレイのメリット（その1）</v>
      </c>
      <c r="L16" s="95" t="str">
        <f>VLOOKUP(I16,[7]stage_hints!$A:$D,4,FALSE)</f>
        <v>他のプレイヤーとマルチプレイで遊ぶと_x000D_ポリゴンがもらえます（100人まで）</v>
      </c>
      <c r="M16" s="56" t="s">
        <v>215</v>
      </c>
    </row>
    <row r="17" spans="1:13" x14ac:dyDescent="0.15">
      <c r="A17" s="81" t="s">
        <v>203</v>
      </c>
      <c r="B17" s="82">
        <f>floors!$C$2</f>
        <v>60010</v>
      </c>
      <c r="C17" s="83" t="str">
        <f ca="1">VLOOKUP($B17,OFFSET([2]quests!$A$1,0,0,COUNTA([2]quests!$A:$A),MATCH(C$1,[2]quests!$1:$1,0)-MATCH($B$1,[2]quests!$1:$1,0)+1),MATCH(C$1,[2]quests!$1:$1,0)-MATCH($B$1,[2]quests!$1:$1,0)+1,FALSE)</f>
        <v>ラグランジュチャレンジ</v>
      </c>
      <c r="D17" s="83" t="str">
        <f ca="1">VLOOKUP($B17,OFFSET([2]quests!$A$1,0,0,COUNTA([2]quests!$A:$A),MATCH(D$1,[2]quests!$1:$1,0)-MATCH($B$1,[2]quests!$1:$1,0)+1),MATCH(D$1,[2]quests!$1:$1,0)-MATCH($B$1,[2]quests!$1:$1,0)+1,FALSE)</f>
        <v>ランキング2（ラグランジュ）</v>
      </c>
      <c r="E17" s="87" t="s">
        <v>218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17</v>
      </c>
      <c r="J17" s="84" t="s">
        <v>200</v>
      </c>
      <c r="K17" s="94" t="str">
        <f>VLOOKUP(I17,[7]stage_hints!$A:$C,3,FALSE)</f>
        <v>リンクガチャ</v>
      </c>
      <c r="L17" s="95" t="str">
        <f>VLOOKUP(I17,[7]stage_hints!$A:$D,4,FALSE)</f>
        <v>無料のリンクガチャを回して_x000D_経験値素材や売却素材を獲得しましょう</v>
      </c>
      <c r="M17" s="56" t="s">
        <v>215</v>
      </c>
    </row>
    <row r="18" spans="1:13" x14ac:dyDescent="0.15">
      <c r="A18" s="81" t="s">
        <v>203</v>
      </c>
      <c r="B18" s="82">
        <f>floors!$C$2</f>
        <v>60010</v>
      </c>
      <c r="C18" s="83" t="str">
        <f ca="1">VLOOKUP($B18,OFFSET([2]quests!$A$1,0,0,COUNTA([2]quests!$A:$A),MATCH(C$1,[2]quests!$1:$1,0)-MATCH($B$1,[2]quests!$1:$1,0)+1),MATCH(C$1,[2]quests!$1:$1,0)-MATCH($B$1,[2]quests!$1:$1,0)+1,FALSE)</f>
        <v>ラグランジュチャレンジ</v>
      </c>
      <c r="D18" s="83" t="str">
        <f ca="1">VLOOKUP($B18,OFFSET([2]quests!$A$1,0,0,COUNTA([2]quests!$A:$A),MATCH(D$1,[2]quests!$1:$1,0)-MATCH($B$1,[2]quests!$1:$1,0)+1),MATCH(D$1,[2]quests!$1:$1,0)-MATCH($B$1,[2]quests!$1:$1,0)+1,FALSE)</f>
        <v>ランキング2（ラグランジュ）</v>
      </c>
      <c r="E18" s="87" t="s">
        <v>218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18</v>
      </c>
      <c r="J18" s="84" t="s">
        <v>200</v>
      </c>
      <c r="K18" s="94" t="str">
        <f>VLOOKUP(I18,[7]stage_hints!$A:$C,3,FALSE)</f>
        <v>マルチプレイのメリット（その2）</v>
      </c>
      <c r="L18" s="95" t="str">
        <f>VLOOKUP(I18,[7]stage_hints!$A:$D,4,FALSE)</f>
        <v>マルチプレイならリンクが2倍もらえます_x000D_リンクガチャをたくさん回しましょう</v>
      </c>
      <c r="M18" s="56" t="s">
        <v>215</v>
      </c>
    </row>
    <row r="19" spans="1:13" x14ac:dyDescent="0.15">
      <c r="A19" s="81" t="s">
        <v>203</v>
      </c>
      <c r="B19" s="82">
        <f>floors!$C$2</f>
        <v>60010</v>
      </c>
      <c r="C19" s="83" t="str">
        <f ca="1">VLOOKUP($B19,OFFSET([2]quests!$A$1,0,0,COUNTA([2]quests!$A:$A),MATCH(C$1,[2]quests!$1:$1,0)-MATCH($B$1,[2]quests!$1:$1,0)+1),MATCH(C$1,[2]quests!$1:$1,0)-MATCH($B$1,[2]quests!$1:$1,0)+1,FALSE)</f>
        <v>ラグランジュチャレンジ</v>
      </c>
      <c r="D19" s="83" t="str">
        <f ca="1">VLOOKUP($B19,OFFSET([2]quests!$A$1,0,0,COUNTA([2]quests!$A:$A),MATCH(D$1,[2]quests!$1:$1,0)-MATCH($B$1,[2]quests!$1:$1,0)+1),MATCH(D$1,[2]quests!$1:$1,0)-MATCH($B$1,[2]quests!$1:$1,0)+1,FALSE)</f>
        <v>ランキング2（ラグランジュ）</v>
      </c>
      <c r="E19" s="87" t="s">
        <v>218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19</v>
      </c>
      <c r="J19" s="84" t="s">
        <v>200</v>
      </c>
      <c r="K19" s="94" t="str">
        <f>VLOOKUP(I19,[7]stage_hints!$A:$C,3,FALSE)</f>
        <v>ソロ専用チャレンジタワー</v>
      </c>
      <c r="L19" s="95" t="str">
        <f>VLOOKUP(I19,[7]stage_hints!$A:$D,4,FALSE)</f>
        <v>ソロ専用の「チャレンジタワー」では_x000D_各フロアごとにクリア報酬がもらえます</v>
      </c>
      <c r="M19" s="56" t="s">
        <v>215</v>
      </c>
    </row>
    <row r="20" spans="1:13" x14ac:dyDescent="0.15">
      <c r="A20" s="81" t="s">
        <v>203</v>
      </c>
      <c r="B20" s="82">
        <f>floors!$C$2</f>
        <v>60010</v>
      </c>
      <c r="C20" s="83" t="str">
        <f ca="1">VLOOKUP($B20,OFFSET([2]quests!$A$1,0,0,COUNTA([2]quests!$A:$A),MATCH(C$1,[2]quests!$1:$1,0)-MATCH($B$1,[2]quests!$1:$1,0)+1),MATCH(C$1,[2]quests!$1:$1,0)-MATCH($B$1,[2]quests!$1:$1,0)+1,FALSE)</f>
        <v>ラグランジュチャレンジ</v>
      </c>
      <c r="D20" s="83" t="str">
        <f ca="1">VLOOKUP($B20,OFFSET([2]quests!$A$1,0,0,COUNTA([2]quests!$A:$A),MATCH(D$1,[2]quests!$1:$1,0)-MATCH($B$1,[2]quests!$1:$1,0)+1),MATCH(D$1,[2]quests!$1:$1,0)-MATCH($B$1,[2]quests!$1:$1,0)+1,FALSE)</f>
        <v>ランキング2（ラグランジュ）</v>
      </c>
      <c r="E20" s="87" t="s">
        <v>218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20</v>
      </c>
      <c r="J20" s="84" t="s">
        <v>200</v>
      </c>
      <c r="K20" s="94" t="str">
        <f>VLOOKUP(I20,[7]stage_hints!$A:$C,3,FALSE)</f>
        <v>マルチプレイのメリット（その3）</v>
      </c>
      <c r="L20" s="95" t="str">
        <f>VLOOKUP(I20,[7]stage_hints!$A:$D,4,FALSE)</f>
        <v>マルチプレイへの参加はエナジー消費ゼロ_x000D_いつでも好きなだけ遊ぶことができます</v>
      </c>
      <c r="M20" s="56" t="s">
        <v>215</v>
      </c>
    </row>
    <row r="21" spans="1:13" x14ac:dyDescent="0.15">
      <c r="A21" s="81" t="s">
        <v>203</v>
      </c>
      <c r="B21" s="82">
        <f>floors!$C$2</f>
        <v>60010</v>
      </c>
      <c r="C21" s="83" t="str">
        <f ca="1">VLOOKUP($B21,OFFSET([2]quests!$A$1,0,0,COUNTA([2]quests!$A:$A),MATCH(C$1,[2]quests!$1:$1,0)-MATCH($B$1,[2]quests!$1:$1,0)+1),MATCH(C$1,[2]quests!$1:$1,0)-MATCH($B$1,[2]quests!$1:$1,0)+1,FALSE)</f>
        <v>ラグランジュチャレンジ</v>
      </c>
      <c r="D21" s="83" t="str">
        <f ca="1">VLOOKUP($B21,OFFSET([2]quests!$A$1,0,0,COUNTA([2]quests!$A:$A),MATCH(D$1,[2]quests!$1:$1,0)-MATCH($B$1,[2]quests!$1:$1,0)+1),MATCH(D$1,[2]quests!$1:$1,0)-MATCH($B$1,[2]quests!$1:$1,0)+1,FALSE)</f>
        <v>ランキング2（ラグランジュ）</v>
      </c>
      <c r="E21" s="87" t="s">
        <v>218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21</v>
      </c>
      <c r="J21" s="84" t="s">
        <v>200</v>
      </c>
      <c r="K21" s="94" t="str">
        <f>VLOOKUP(I21,[7]stage_hints!$A:$C,3,FALSE)</f>
        <v>スキルを有効に</v>
      </c>
      <c r="L21" s="95" t="str">
        <f>VLOOKUP(I21,[7]stage_hints!$A:$D,4,FALSE)</f>
        <v>ターン経過でユニットのスキルが使えます_x000D_強力スキルでバトルを有利に進めましょう</v>
      </c>
      <c r="M21" s="56" t="s">
        <v>215</v>
      </c>
    </row>
    <row r="22" spans="1:13" x14ac:dyDescent="0.15">
      <c r="A22" s="81" t="s">
        <v>203</v>
      </c>
      <c r="B22" s="82">
        <f>floors!$C$2</f>
        <v>60010</v>
      </c>
      <c r="C22" s="83" t="str">
        <f ca="1">VLOOKUP($B22,OFFSET([2]quests!$A$1,0,0,COUNTA([2]quests!$A:$A),MATCH(C$1,[2]quests!$1:$1,0)-MATCH($B$1,[2]quests!$1:$1,0)+1),MATCH(C$1,[2]quests!$1:$1,0)-MATCH($B$1,[2]quests!$1:$1,0)+1,FALSE)</f>
        <v>ラグランジュチャレンジ</v>
      </c>
      <c r="D22" s="83" t="str">
        <f ca="1">VLOOKUP($B22,OFFSET([2]quests!$A$1,0,0,COUNTA([2]quests!$A:$A),MATCH(D$1,[2]quests!$1:$1,0)-MATCH($B$1,[2]quests!$1:$1,0)+1),MATCH(D$1,[2]quests!$1:$1,0)-MATCH($B$1,[2]quests!$1:$1,0)+1,FALSE)</f>
        <v>ランキング2（ラグランジュ）</v>
      </c>
      <c r="E22" s="87" t="s">
        <v>218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22</v>
      </c>
      <c r="J22" s="84" t="s">
        <v>200</v>
      </c>
      <c r="K22" s="94" t="str">
        <f>VLOOKUP(I22,[7]stage_hints!$A:$C,3,FALSE)</f>
        <v>フィーバーで一発逆転（その1）</v>
      </c>
      <c r="L22" s="95" t="str">
        <f>VLOOKUP(I22,[7]stage_hints!$A:$D,4,FALSE)</f>
        <v>フィーバーは攻撃と回復を兼ね備えます_x000D_ピンチからの一発逆転を狙いましょう</v>
      </c>
      <c r="M22" s="56" t="s">
        <v>215</v>
      </c>
    </row>
    <row r="23" spans="1:13" x14ac:dyDescent="0.15">
      <c r="A23" s="81" t="s">
        <v>203</v>
      </c>
      <c r="B23" s="82">
        <f>floors!$C$2</f>
        <v>60010</v>
      </c>
      <c r="C23" s="83" t="str">
        <f ca="1">VLOOKUP($B23,OFFSET([2]quests!$A$1,0,0,COUNTA([2]quests!$A:$A),MATCH(C$1,[2]quests!$1:$1,0)-MATCH($B$1,[2]quests!$1:$1,0)+1),MATCH(C$1,[2]quests!$1:$1,0)-MATCH($B$1,[2]quests!$1:$1,0)+1,FALSE)</f>
        <v>ラグランジュチャレンジ</v>
      </c>
      <c r="D23" s="83" t="str">
        <f ca="1">VLOOKUP($B23,OFFSET([2]quests!$A$1,0,0,COUNTA([2]quests!$A:$A),MATCH(D$1,[2]quests!$1:$1,0)-MATCH($B$1,[2]quests!$1:$1,0)+1),MATCH(D$1,[2]quests!$1:$1,0)-MATCH($B$1,[2]quests!$1:$1,0)+1,FALSE)</f>
        <v>ランキング2（ラグランジュ）</v>
      </c>
      <c r="E23" s="87" t="s">
        <v>218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23</v>
      </c>
      <c r="J23" s="84" t="s">
        <v>200</v>
      </c>
      <c r="K23" s="94" t="str">
        <f>VLOOKUP(I23,[7]stage_hints!$A:$C,3,FALSE)</f>
        <v>フィーバーで一発逆転（その2）</v>
      </c>
      <c r="L23" s="95" t="str">
        <f>VLOOKUP(I23,[7]stage_hints!$A:$D,4,FALSE)</f>
        <v>フィーバー中は虹色のボムパネルを狙って_x000D_画面上のパネルを一気に破壊しましょう</v>
      </c>
      <c r="M23" s="56" t="s">
        <v>215</v>
      </c>
    </row>
    <row r="24" spans="1:13" x14ac:dyDescent="0.15">
      <c r="A24" s="81" t="s">
        <v>203</v>
      </c>
      <c r="B24" s="82">
        <f>floors!$C$2</f>
        <v>60010</v>
      </c>
      <c r="C24" s="83" t="str">
        <f ca="1">VLOOKUP($B24,OFFSET([2]quests!$A$1,0,0,COUNTA([2]quests!$A:$A),MATCH(C$1,[2]quests!$1:$1,0)-MATCH($B$1,[2]quests!$1:$1,0)+1),MATCH(C$1,[2]quests!$1:$1,0)-MATCH($B$1,[2]quests!$1:$1,0)+1,FALSE)</f>
        <v>ラグランジュチャレンジ</v>
      </c>
      <c r="D24" s="83" t="str">
        <f ca="1">VLOOKUP($B24,OFFSET([2]quests!$A$1,0,0,COUNTA([2]quests!$A:$A),MATCH(D$1,[2]quests!$1:$1,0)-MATCH($B$1,[2]quests!$1:$1,0)+1),MATCH(D$1,[2]quests!$1:$1,0)-MATCH($B$1,[2]quests!$1:$1,0)+1,FALSE)</f>
        <v>ランキング2（ラグランジュ）</v>
      </c>
      <c r="E24" s="87" t="s">
        <v>218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24</v>
      </c>
      <c r="J24" s="84" t="s">
        <v>200</v>
      </c>
      <c r="K24" s="94" t="str">
        <f>VLOOKUP(I24,[7]stage_hints!$A:$C,3,FALSE)</f>
        <v>りんごを使って限界突破</v>
      </c>
      <c r="L24" s="95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6" t="s">
        <v>215</v>
      </c>
    </row>
    <row r="25" spans="1:13" x14ac:dyDescent="0.15">
      <c r="A25" s="81" t="s">
        <v>203</v>
      </c>
      <c r="B25" s="82">
        <f>floors!$C$2</f>
        <v>60010</v>
      </c>
      <c r="C25" s="83" t="str">
        <f ca="1">VLOOKUP($B25,OFFSET([2]quests!$A$1,0,0,COUNTA([2]quests!$A:$A),MATCH(C$1,[2]quests!$1:$1,0)-MATCH($B$1,[2]quests!$1:$1,0)+1),MATCH(C$1,[2]quests!$1:$1,0)-MATCH($B$1,[2]quests!$1:$1,0)+1,FALSE)</f>
        <v>ラグランジュチャレンジ</v>
      </c>
      <c r="D25" s="83" t="str">
        <f ca="1">VLOOKUP($B25,OFFSET([2]quests!$A$1,0,0,COUNTA([2]quests!$A:$A),MATCH(D$1,[2]quests!$1:$1,0)-MATCH($B$1,[2]quests!$1:$1,0)+1),MATCH(D$1,[2]quests!$1:$1,0)-MATCH($B$1,[2]quests!$1:$1,0)+1,FALSE)</f>
        <v>ランキング2（ラグランジュ）</v>
      </c>
      <c r="E25" s="87" t="s">
        <v>218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25</v>
      </c>
      <c r="J25" s="84" t="s">
        <v>200</v>
      </c>
      <c r="K25" s="94" t="str">
        <f>VLOOKUP(I25,[7]stage_hints!$A:$C,3,FALSE)</f>
        <v>スキルレベルアップ</v>
      </c>
      <c r="L25" s="95" t="str">
        <f>VLOOKUP(I25,[7]stage_hints!$A:$D,4,FALSE)</f>
        <v>「クリスタルのりんご」を強化に使うと_x000D_スキルレベルを上げることができます</v>
      </c>
      <c r="M25" s="56" t="s">
        <v>215</v>
      </c>
    </row>
    <row r="26" spans="1:13" x14ac:dyDescent="0.15">
      <c r="A26" s="81" t="s">
        <v>203</v>
      </c>
      <c r="B26" s="82">
        <f>floors!$C$2</f>
        <v>60010</v>
      </c>
      <c r="C26" s="83" t="str">
        <f ca="1">VLOOKUP($B26,OFFSET([2]quests!$A$1,0,0,COUNTA([2]quests!$A:$A),MATCH(C$1,[2]quests!$1:$1,0)-MATCH($B$1,[2]quests!$1:$1,0)+1),MATCH(C$1,[2]quests!$1:$1,0)-MATCH($B$1,[2]quests!$1:$1,0)+1,FALSE)</f>
        <v>ラグランジュチャレンジ</v>
      </c>
      <c r="D26" s="83" t="str">
        <f ca="1">VLOOKUP($B26,OFFSET([2]quests!$A$1,0,0,COUNTA([2]quests!$A:$A),MATCH(D$1,[2]quests!$1:$1,0)-MATCH($B$1,[2]quests!$1:$1,0)+1),MATCH(D$1,[2]quests!$1:$1,0)-MATCH($B$1,[2]quests!$1:$1,0)+1,FALSE)</f>
        <v>ランキング2（ラグランジュ）</v>
      </c>
      <c r="E26" s="87" t="s">
        <v>218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26</v>
      </c>
      <c r="J26" s="84" t="s">
        <v>200</v>
      </c>
      <c r="K26" s="94" t="str">
        <f>VLOOKUP(I26,[7]stage_hints!$A:$C,3,FALSE)</f>
        <v>スキルレベルの効果</v>
      </c>
      <c r="L26" s="95" t="str">
        <f>VLOOKUP(I26,[7]stage_hints!$A:$D,4,FALSE)</f>
        <v>スキルレベルが上がると_x000D_短いターンでスキルを使うことができます</v>
      </c>
      <c r="M26" s="56" t="s">
        <v>215</v>
      </c>
    </row>
    <row r="27" spans="1:13" x14ac:dyDescent="0.15">
      <c r="A27" s="81" t="s">
        <v>203</v>
      </c>
      <c r="B27" s="82">
        <f>floors!$C$2</f>
        <v>60010</v>
      </c>
      <c r="C27" s="83" t="str">
        <f ca="1">VLOOKUP($B27,OFFSET([2]quests!$A$1,0,0,COUNTA([2]quests!$A:$A),MATCH(C$1,[2]quests!$1:$1,0)-MATCH($B$1,[2]quests!$1:$1,0)+1),MATCH(C$1,[2]quests!$1:$1,0)-MATCH($B$1,[2]quests!$1:$1,0)+1,FALSE)</f>
        <v>ラグランジュチャレンジ</v>
      </c>
      <c r="D27" s="83" t="str">
        <f ca="1">VLOOKUP($B27,OFFSET([2]quests!$A$1,0,0,COUNTA([2]quests!$A:$A),MATCH(D$1,[2]quests!$1:$1,0)-MATCH($B$1,[2]quests!$1:$1,0)+1),MATCH(D$1,[2]quests!$1:$1,0)-MATCH($B$1,[2]quests!$1:$1,0)+1,FALSE)</f>
        <v>ランキング2（ラグランジュ）</v>
      </c>
      <c r="E27" s="87" t="s">
        <v>218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200</v>
      </c>
      <c r="K27" s="94" t="str">
        <f>VLOOKUP(I27,[7]stage_hints!$A:$C,3,FALSE)</f>
        <v>システム適合者を確認</v>
      </c>
      <c r="L27" s="95" t="str">
        <f>VLOOKUP(I27,[7]stage_hints!$A:$D,4,FALSE)</f>
        <v>ALICEが「アナタ」を呼んでいます</v>
      </c>
      <c r="M27" s="56" t="s">
        <v>215</v>
      </c>
    </row>
    <row r="28" spans="1:13" x14ac:dyDescent="0.15">
      <c r="A28" s="81" t="s">
        <v>203</v>
      </c>
      <c r="B28" s="82">
        <f>floors!$C$2</f>
        <v>60010</v>
      </c>
      <c r="C28" s="83" t="str">
        <f ca="1">VLOOKUP($B28,OFFSET([2]quests!$A$1,0,0,COUNTA([2]quests!$A:$A),MATCH(C$1,[2]quests!$1:$1,0)-MATCH($B$1,[2]quests!$1:$1,0)+1),MATCH(C$1,[2]quests!$1:$1,0)-MATCH($B$1,[2]quests!$1:$1,0)+1,FALSE)</f>
        <v>ラグランジュチャレンジ</v>
      </c>
      <c r="D28" s="83" t="str">
        <f ca="1">VLOOKUP($B28,OFFSET([2]quests!$A$1,0,0,COUNTA([2]quests!$A:$A),MATCH(D$1,[2]quests!$1:$1,0)-MATCH($B$1,[2]quests!$1:$1,0)+1),MATCH(D$1,[2]quests!$1:$1,0)-MATCH($B$1,[2]quests!$1:$1,0)+1,FALSE)</f>
        <v>ランキング2（ラグランジュ）</v>
      </c>
      <c r="E28" s="87" t="s">
        <v>219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3</v>
      </c>
      <c r="J28" s="84" t="s">
        <v>200</v>
      </c>
      <c r="K28" s="94" t="str">
        <f>VLOOKUP(I28,[7]stage_hints!$A:$C,3,FALSE)</f>
        <v>ターゲット</v>
      </c>
      <c r="L28" s="95" t="str">
        <f>VLOOKUP(I28,[7]stage_hints!$A:$D,4,FALSE)</f>
        <v>敵ユニットをタップすると_x000D_その敵を狙い撃ちできます</v>
      </c>
      <c r="M28" s="56" t="s">
        <v>215</v>
      </c>
    </row>
    <row r="29" spans="1:13" x14ac:dyDescent="0.15">
      <c r="A29" s="81" t="s">
        <v>203</v>
      </c>
      <c r="B29" s="82">
        <f>floors!$C$2</f>
        <v>60010</v>
      </c>
      <c r="C29" s="83" t="str">
        <f ca="1">VLOOKUP($B29,OFFSET([2]quests!$A$1,0,0,COUNTA([2]quests!$A:$A),MATCH(C$1,[2]quests!$1:$1,0)-MATCH($B$1,[2]quests!$1:$1,0)+1),MATCH(C$1,[2]quests!$1:$1,0)-MATCH($B$1,[2]quests!$1:$1,0)+1,FALSE)</f>
        <v>ラグランジュチャレンジ</v>
      </c>
      <c r="D29" s="83" t="str">
        <f ca="1">VLOOKUP($B29,OFFSET([2]quests!$A$1,0,0,COUNTA([2]quests!$A:$A),MATCH(D$1,[2]quests!$1:$1,0)-MATCH($B$1,[2]quests!$1:$1,0)+1),MATCH(D$1,[2]quests!$1:$1,0)-MATCH($B$1,[2]quests!$1:$1,0)+1,FALSE)</f>
        <v>ランキング2（ラグランジュ）</v>
      </c>
      <c r="E29" s="87" t="s">
        <v>219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6</v>
      </c>
      <c r="J29" s="84" t="s">
        <v>200</v>
      </c>
      <c r="K29" s="94" t="str">
        <f>VLOOKUP(I29,[7]stage_hints!$A:$C,3,FALSE)</f>
        <v>ユニット強化の属性ボーナス</v>
      </c>
      <c r="L29" s="95" t="str">
        <f>VLOOKUP(I29,[7]stage_hints!$A:$D,4,FALSE)</f>
        <v>同属性ユニットを強化素材にすると_x000D_経験値が多くもらえます</v>
      </c>
      <c r="M29" s="56" t="s">
        <v>215</v>
      </c>
    </row>
    <row r="30" spans="1:13" x14ac:dyDescent="0.15">
      <c r="A30" s="81" t="s">
        <v>203</v>
      </c>
      <c r="B30" s="82">
        <f>floors!$C$2</f>
        <v>60010</v>
      </c>
      <c r="C30" s="83" t="str">
        <f ca="1">VLOOKUP($B30,OFFSET([2]quests!$A$1,0,0,COUNTA([2]quests!$A:$A),MATCH(C$1,[2]quests!$1:$1,0)-MATCH($B$1,[2]quests!$1:$1,0)+1),MATCH(C$1,[2]quests!$1:$1,0)-MATCH($B$1,[2]quests!$1:$1,0)+1,FALSE)</f>
        <v>ラグランジュチャレンジ</v>
      </c>
      <c r="D30" s="83" t="str">
        <f ca="1">VLOOKUP($B30,OFFSET([2]quests!$A$1,0,0,COUNTA([2]quests!$A:$A),MATCH(D$1,[2]quests!$1:$1,0)-MATCH($B$1,[2]quests!$1:$1,0)+1),MATCH(D$1,[2]quests!$1:$1,0)-MATCH($B$1,[2]quests!$1:$1,0)+1,FALSE)</f>
        <v>ランキング2（ラグランジュ）</v>
      </c>
      <c r="E30" s="87" t="s">
        <v>219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7</v>
      </c>
      <c r="J30" s="84" t="s">
        <v>200</v>
      </c>
      <c r="K30" s="94" t="str">
        <f>VLOOKUP(I30,[7]stage_hints!$A:$C,3,FALSE)</f>
        <v>メタルダックで経験値を獲得</v>
      </c>
      <c r="L30" s="95" t="str">
        <f>VLOOKUP(I30,[7]stage_hints!$A:$D,4,FALSE)</f>
        <v>「メタルなアヒル」を強化素材にすると_x000D_大量の経験値がもらえます</v>
      </c>
      <c r="M30" s="56" t="s">
        <v>215</v>
      </c>
    </row>
    <row r="31" spans="1:13" x14ac:dyDescent="0.15">
      <c r="A31" s="81" t="s">
        <v>203</v>
      </c>
      <c r="B31" s="82">
        <f>floors!$C$2</f>
        <v>60010</v>
      </c>
      <c r="C31" s="83" t="str">
        <f ca="1">VLOOKUP($B31,OFFSET([2]quests!$A$1,0,0,COUNTA([2]quests!$A:$A),MATCH(C$1,[2]quests!$1:$1,0)-MATCH($B$1,[2]quests!$1:$1,0)+1),MATCH(C$1,[2]quests!$1:$1,0)-MATCH($B$1,[2]quests!$1:$1,0)+1,FALSE)</f>
        <v>ラグランジュチャレンジ</v>
      </c>
      <c r="D31" s="83" t="str">
        <f ca="1">VLOOKUP($B31,OFFSET([2]quests!$A$1,0,0,COUNTA([2]quests!$A:$A),MATCH(D$1,[2]quests!$1:$1,0)-MATCH($B$1,[2]quests!$1:$1,0)+1),MATCH(D$1,[2]quests!$1:$1,0)-MATCH($B$1,[2]quests!$1:$1,0)+1,FALSE)</f>
        <v>ランキング2（ラグランジュ）</v>
      </c>
      <c r="E31" s="87" t="s">
        <v>219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8</v>
      </c>
      <c r="J31" s="84" t="s">
        <v>200</v>
      </c>
      <c r="K31" s="94" t="str">
        <f>VLOOKUP(I31,[7]stage_hints!$A:$C,3,FALSE)</f>
        <v>ゲリラクエストは要チェック</v>
      </c>
      <c r="L31" s="95" t="str">
        <f>VLOOKUP(I31,[7]stage_hints!$A:$D,4,FALSE)</f>
        <v>時間限定の「アヒル捕獲作戦」では_x000D_経験値素材ユニットが多く手に入ります</v>
      </c>
      <c r="M31" s="56" t="s">
        <v>215</v>
      </c>
    </row>
    <row r="32" spans="1:13" x14ac:dyDescent="0.15">
      <c r="A32" s="81" t="s">
        <v>203</v>
      </c>
      <c r="B32" s="82">
        <f>floors!$C$2</f>
        <v>60010</v>
      </c>
      <c r="C32" s="83" t="str">
        <f ca="1">VLOOKUP($B32,OFFSET([2]quests!$A$1,0,0,COUNTA([2]quests!$A:$A),MATCH(C$1,[2]quests!$1:$1,0)-MATCH($B$1,[2]quests!$1:$1,0)+1),MATCH(C$1,[2]quests!$1:$1,0)-MATCH($B$1,[2]quests!$1:$1,0)+1,FALSE)</f>
        <v>ラグランジュチャレンジ</v>
      </c>
      <c r="D32" s="83" t="str">
        <f ca="1">VLOOKUP($B32,OFFSET([2]quests!$A$1,0,0,COUNTA([2]quests!$A:$A),MATCH(D$1,[2]quests!$1:$1,0)-MATCH($B$1,[2]quests!$1:$1,0)+1),MATCH(D$1,[2]quests!$1:$1,0)-MATCH($B$1,[2]quests!$1:$1,0)+1,FALSE)</f>
        <v>ランキング2（ラグランジュ）</v>
      </c>
      <c r="E32" s="87" t="s">
        <v>219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9</v>
      </c>
      <c r="J32" s="84" t="s">
        <v>200</v>
      </c>
      <c r="K32" s="94" t="str">
        <f>VLOOKUP(I32,[7]stage_hints!$A:$C,3,FALSE)</f>
        <v>ゴールドダックでビットを獲得</v>
      </c>
      <c r="L32" s="95" t="str">
        <f>VLOOKUP(I32,[7]stage_hints!$A:$D,4,FALSE)</f>
        <v>「ゴールドなアヒル」を売却すると_x000D_大量のビットがもらえます</v>
      </c>
      <c r="M32" s="56" t="s">
        <v>215</v>
      </c>
    </row>
    <row r="33" spans="1:13" x14ac:dyDescent="0.15">
      <c r="A33" s="81" t="s">
        <v>203</v>
      </c>
      <c r="B33" s="82">
        <f>floors!$C$2</f>
        <v>60010</v>
      </c>
      <c r="C33" s="83" t="str">
        <f ca="1">VLOOKUP($B33,OFFSET([2]quests!$A$1,0,0,COUNTA([2]quests!$A:$A),MATCH(C$1,[2]quests!$1:$1,0)-MATCH($B$1,[2]quests!$1:$1,0)+1),MATCH(C$1,[2]quests!$1:$1,0)-MATCH($B$1,[2]quests!$1:$1,0)+1,FALSE)</f>
        <v>ラグランジュチャレンジ</v>
      </c>
      <c r="D33" s="83" t="str">
        <f ca="1">VLOOKUP($B33,OFFSET([2]quests!$A$1,0,0,COUNTA([2]quests!$A:$A),MATCH(D$1,[2]quests!$1:$1,0)-MATCH($B$1,[2]quests!$1:$1,0)+1),MATCH(D$1,[2]quests!$1:$1,0)-MATCH($B$1,[2]quests!$1:$1,0)+1,FALSE)</f>
        <v>ランキング2（ラグランジュ）</v>
      </c>
      <c r="E33" s="87" t="s">
        <v>219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10</v>
      </c>
      <c r="J33" s="84" t="s">
        <v>200</v>
      </c>
      <c r="K33" s="94" t="str">
        <f>VLOOKUP(I33,[7]stage_hints!$A:$C,3,FALSE)</f>
        <v>土日に大量のビットを獲得</v>
      </c>
      <c r="L33" s="95" t="str">
        <f>VLOOKUP(I33,[7]stage_hints!$A:$D,4,FALSE)</f>
        <v>土日限定の「ゴールドカジノ」では_x000D_売却素材ユニットが多く手に入ります</v>
      </c>
      <c r="M33" s="56" t="s">
        <v>215</v>
      </c>
    </row>
    <row r="34" spans="1:13" x14ac:dyDescent="0.15">
      <c r="A34" s="81" t="s">
        <v>203</v>
      </c>
      <c r="B34" s="82">
        <f>floors!$C$2</f>
        <v>60010</v>
      </c>
      <c r="C34" s="83" t="str">
        <f ca="1">VLOOKUP($B34,OFFSET([2]quests!$A$1,0,0,COUNTA([2]quests!$A:$A),MATCH(C$1,[2]quests!$1:$1,0)-MATCH($B$1,[2]quests!$1:$1,0)+1),MATCH(C$1,[2]quests!$1:$1,0)-MATCH($B$1,[2]quests!$1:$1,0)+1,FALSE)</f>
        <v>ラグランジュチャレンジ</v>
      </c>
      <c r="D34" s="83" t="str">
        <f ca="1">VLOOKUP($B34,OFFSET([2]quests!$A$1,0,0,COUNTA([2]quests!$A:$A),MATCH(D$1,[2]quests!$1:$1,0)-MATCH($B$1,[2]quests!$1:$1,0)+1),MATCH(D$1,[2]quests!$1:$1,0)-MATCH($B$1,[2]quests!$1:$1,0)+1,FALSE)</f>
        <v>ランキング2（ラグランジュ）</v>
      </c>
      <c r="E34" s="87" t="s">
        <v>219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11</v>
      </c>
      <c r="J34" s="84" t="s">
        <v>200</v>
      </c>
      <c r="K34" s="94" t="str">
        <f>VLOOKUP(I34,[7]stage_hints!$A:$C,3,FALSE)</f>
        <v>ランク解放クエスト</v>
      </c>
      <c r="L34" s="95" t="str">
        <f>VLOOKUP(I34,[7]stage_hints!$A:$D,4,FALSE)</f>
        <v>一定ランクに到達すると_x000D_報酬付きのランク開放クエストが現れます</v>
      </c>
      <c r="M34" s="56" t="s">
        <v>215</v>
      </c>
    </row>
    <row r="35" spans="1:13" x14ac:dyDescent="0.15">
      <c r="A35" s="81" t="s">
        <v>203</v>
      </c>
      <c r="B35" s="82">
        <f>floors!$C$2</f>
        <v>60010</v>
      </c>
      <c r="C35" s="83" t="str">
        <f ca="1">VLOOKUP($B35,OFFSET([2]quests!$A$1,0,0,COUNTA([2]quests!$A:$A),MATCH(C$1,[2]quests!$1:$1,0)-MATCH($B$1,[2]quests!$1:$1,0)+1),MATCH(C$1,[2]quests!$1:$1,0)-MATCH($B$1,[2]quests!$1:$1,0)+1,FALSE)</f>
        <v>ラグランジュチャレンジ</v>
      </c>
      <c r="D35" s="83" t="str">
        <f ca="1">VLOOKUP($B35,OFFSET([2]quests!$A$1,0,0,COUNTA([2]quests!$A:$A),MATCH(D$1,[2]quests!$1:$1,0)-MATCH($B$1,[2]quests!$1:$1,0)+1),MATCH(D$1,[2]quests!$1:$1,0)-MATCH($B$1,[2]quests!$1:$1,0)+1,FALSE)</f>
        <v>ランキング2（ラグランジュ）</v>
      </c>
      <c r="E35" s="87" t="s">
        <v>219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12</v>
      </c>
      <c r="J35" s="84" t="s">
        <v>200</v>
      </c>
      <c r="K35" s="94" t="str">
        <f>VLOOKUP(I35,[7]stage_hints!$A:$C,3,FALSE)</f>
        <v>ユニットのお気に入り登録</v>
      </c>
      <c r="L35" s="95" t="str">
        <f>VLOOKUP(I35,[7]stage_hints!$A:$D,4,FALSE)</f>
        <v>大事なユニットを誤って消さないように_x000D_フォルダから「お気に入り登録」しましょう</v>
      </c>
      <c r="M35" s="56" t="s">
        <v>215</v>
      </c>
    </row>
    <row r="36" spans="1:13" x14ac:dyDescent="0.15">
      <c r="A36" s="81" t="s">
        <v>203</v>
      </c>
      <c r="B36" s="82">
        <f>floors!$C$2</f>
        <v>60010</v>
      </c>
      <c r="C36" s="83" t="str">
        <f ca="1">VLOOKUP($B36,OFFSET([2]quests!$A$1,0,0,COUNTA([2]quests!$A:$A),MATCH(C$1,[2]quests!$1:$1,0)-MATCH($B$1,[2]quests!$1:$1,0)+1),MATCH(C$1,[2]quests!$1:$1,0)-MATCH($B$1,[2]quests!$1:$1,0)+1,FALSE)</f>
        <v>ラグランジュチャレンジ</v>
      </c>
      <c r="D36" s="83" t="str">
        <f ca="1">VLOOKUP($B36,OFFSET([2]quests!$A$1,0,0,COUNTA([2]quests!$A:$A),MATCH(D$1,[2]quests!$1:$1,0)-MATCH($B$1,[2]quests!$1:$1,0)+1),MATCH(D$1,[2]quests!$1:$1,0)-MATCH($B$1,[2]quests!$1:$1,0)+1,FALSE)</f>
        <v>ランキング2（ラグランジュ）</v>
      </c>
      <c r="E36" s="87" t="s">
        <v>219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13</v>
      </c>
      <c r="J36" s="84" t="s">
        <v>200</v>
      </c>
      <c r="K36" s="94" t="str">
        <f>VLOOKUP(I36,[7]stage_hints!$A:$C,3,FALSE)</f>
        <v>ユニットの覚醒</v>
      </c>
      <c r="L36" s="95" t="str">
        <f>VLOOKUP(I36,[7]stage_hints!$A:$D,4,FALSE)</f>
        <v>ユニットを覚醒させると_x000D_比べものにならない強さが手に入ります</v>
      </c>
      <c r="M36" s="56" t="s">
        <v>215</v>
      </c>
    </row>
    <row r="37" spans="1:13" x14ac:dyDescent="0.15">
      <c r="A37" s="81" t="s">
        <v>203</v>
      </c>
      <c r="B37" s="82">
        <f>floors!$C$2</f>
        <v>60010</v>
      </c>
      <c r="C37" s="83" t="str">
        <f ca="1">VLOOKUP($B37,OFFSET([2]quests!$A$1,0,0,COUNTA([2]quests!$A:$A),MATCH(C$1,[2]quests!$1:$1,0)-MATCH($B$1,[2]quests!$1:$1,0)+1),MATCH(C$1,[2]quests!$1:$1,0)-MATCH($B$1,[2]quests!$1:$1,0)+1,FALSE)</f>
        <v>ラグランジュチャレンジ</v>
      </c>
      <c r="D37" s="83" t="str">
        <f ca="1">VLOOKUP($B37,OFFSET([2]quests!$A$1,0,0,COUNTA([2]quests!$A:$A),MATCH(D$1,[2]quests!$1:$1,0)-MATCH($B$1,[2]quests!$1:$1,0)+1),MATCH(D$1,[2]quests!$1:$1,0)-MATCH($B$1,[2]quests!$1:$1,0)+1,FALSE)</f>
        <v>ランキング2（ラグランジュ）</v>
      </c>
      <c r="E37" s="87" t="s">
        <v>219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14</v>
      </c>
      <c r="J37" s="84" t="s">
        <v>200</v>
      </c>
      <c r="K37" s="94" t="str">
        <f>VLOOKUP(I37,[7]stage_hints!$A:$C,3,FALSE)</f>
        <v>覚醒するにはレベルを最大に</v>
      </c>
      <c r="L37" s="95" t="str">
        <f>VLOOKUP(I37,[7]stage_hints!$A:$D,4,FALSE)</f>
        <v>覚醒するにはユニットのレベルを_x000D_最大まで上げる必要があります</v>
      </c>
      <c r="M37" s="56" t="s">
        <v>215</v>
      </c>
    </row>
    <row r="38" spans="1:13" x14ac:dyDescent="0.15">
      <c r="A38" s="81" t="s">
        <v>203</v>
      </c>
      <c r="B38" s="82">
        <f>floors!$C$2</f>
        <v>60010</v>
      </c>
      <c r="C38" s="83" t="str">
        <f ca="1">VLOOKUP($B38,OFFSET([2]quests!$A$1,0,0,COUNTA([2]quests!$A:$A),MATCH(C$1,[2]quests!$1:$1,0)-MATCH($B$1,[2]quests!$1:$1,0)+1),MATCH(C$1,[2]quests!$1:$1,0)-MATCH($B$1,[2]quests!$1:$1,0)+1,FALSE)</f>
        <v>ラグランジュチャレンジ</v>
      </c>
      <c r="D38" s="83" t="str">
        <f ca="1">VLOOKUP($B38,OFFSET([2]quests!$A$1,0,0,COUNTA([2]quests!$A:$A),MATCH(D$1,[2]quests!$1:$1,0)-MATCH($B$1,[2]quests!$1:$1,0)+1),MATCH(D$1,[2]quests!$1:$1,0)-MATCH($B$1,[2]quests!$1:$1,0)+1,FALSE)</f>
        <v>ランキング2（ラグランジュ）</v>
      </c>
      <c r="E38" s="87" t="s">
        <v>219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15</v>
      </c>
      <c r="J38" s="84" t="s">
        <v>200</v>
      </c>
      <c r="K38" s="94" t="str">
        <f>VLOOKUP(I38,[7]stage_hints!$A:$C,3,FALSE)</f>
        <v>覚醒素材を獲得</v>
      </c>
      <c r="L38" s="95" t="str">
        <f>VLOOKUP(I38,[7]stage_hints!$A:$D,4,FALSE)</f>
        <v>「曜日クエスト」では_x000D_ユニットの覚醒に必要な素材が手に入ります</v>
      </c>
      <c r="M38" s="56" t="s">
        <v>215</v>
      </c>
    </row>
    <row r="39" spans="1:13" x14ac:dyDescent="0.15">
      <c r="A39" s="81" t="s">
        <v>203</v>
      </c>
      <c r="B39" s="82">
        <f>floors!$C$2</f>
        <v>60010</v>
      </c>
      <c r="C39" s="83" t="str">
        <f ca="1">VLOOKUP($B39,OFFSET([2]quests!$A$1,0,0,COUNTA([2]quests!$A:$A),MATCH(C$1,[2]quests!$1:$1,0)-MATCH($B$1,[2]quests!$1:$1,0)+1),MATCH(C$1,[2]quests!$1:$1,0)-MATCH($B$1,[2]quests!$1:$1,0)+1,FALSE)</f>
        <v>ラグランジュチャレンジ</v>
      </c>
      <c r="D39" s="83" t="str">
        <f ca="1">VLOOKUP($B39,OFFSET([2]quests!$A$1,0,0,COUNTA([2]quests!$A:$A),MATCH(D$1,[2]quests!$1:$1,0)-MATCH($B$1,[2]quests!$1:$1,0)+1),MATCH(D$1,[2]quests!$1:$1,0)-MATCH($B$1,[2]quests!$1:$1,0)+1,FALSE)</f>
        <v>ランキング2（ラグランジュ）</v>
      </c>
      <c r="E39" s="87" t="s">
        <v>219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16</v>
      </c>
      <c r="J39" s="84" t="s">
        <v>200</v>
      </c>
      <c r="K39" s="94" t="str">
        <f>VLOOKUP(I39,[7]stage_hints!$A:$C,3,FALSE)</f>
        <v>マルチプレイのメリット（その1）</v>
      </c>
      <c r="L39" s="95" t="str">
        <f>VLOOKUP(I39,[7]stage_hints!$A:$D,4,FALSE)</f>
        <v>他のプレイヤーとマルチプレイで遊ぶと_x000D_ポリゴンがもらえます（100人まで）</v>
      </c>
      <c r="M39" s="56" t="s">
        <v>215</v>
      </c>
    </row>
    <row r="40" spans="1:13" x14ac:dyDescent="0.15">
      <c r="A40" s="81" t="s">
        <v>203</v>
      </c>
      <c r="B40" s="82">
        <f>floors!$C$2</f>
        <v>60010</v>
      </c>
      <c r="C40" s="83" t="str">
        <f ca="1">VLOOKUP($B40,OFFSET([2]quests!$A$1,0,0,COUNTA([2]quests!$A:$A),MATCH(C$1,[2]quests!$1:$1,0)-MATCH($B$1,[2]quests!$1:$1,0)+1),MATCH(C$1,[2]quests!$1:$1,0)-MATCH($B$1,[2]quests!$1:$1,0)+1,FALSE)</f>
        <v>ラグランジュチャレンジ</v>
      </c>
      <c r="D40" s="83" t="str">
        <f ca="1">VLOOKUP($B40,OFFSET([2]quests!$A$1,0,0,COUNTA([2]quests!$A:$A),MATCH(D$1,[2]quests!$1:$1,0)-MATCH($B$1,[2]quests!$1:$1,0)+1),MATCH(D$1,[2]quests!$1:$1,0)-MATCH($B$1,[2]quests!$1:$1,0)+1,FALSE)</f>
        <v>ランキング2（ラグランジュ）</v>
      </c>
      <c r="E40" s="87" t="s">
        <v>219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17</v>
      </c>
      <c r="J40" s="84" t="s">
        <v>200</v>
      </c>
      <c r="K40" s="94" t="str">
        <f>VLOOKUP(I40,[7]stage_hints!$A:$C,3,FALSE)</f>
        <v>リンクガチャ</v>
      </c>
      <c r="L40" s="95" t="str">
        <f>VLOOKUP(I40,[7]stage_hints!$A:$D,4,FALSE)</f>
        <v>無料のリンクガチャを回して_x000D_経験値素材や売却素材を獲得しましょう</v>
      </c>
      <c r="M40" s="56" t="s">
        <v>215</v>
      </c>
    </row>
    <row r="41" spans="1:13" x14ac:dyDescent="0.15">
      <c r="A41" s="81" t="s">
        <v>203</v>
      </c>
      <c r="B41" s="82">
        <f>floors!$C$2</f>
        <v>60010</v>
      </c>
      <c r="C41" s="83" t="str">
        <f ca="1">VLOOKUP($B41,OFFSET([2]quests!$A$1,0,0,COUNTA([2]quests!$A:$A),MATCH(C$1,[2]quests!$1:$1,0)-MATCH($B$1,[2]quests!$1:$1,0)+1),MATCH(C$1,[2]quests!$1:$1,0)-MATCH($B$1,[2]quests!$1:$1,0)+1,FALSE)</f>
        <v>ラグランジュチャレンジ</v>
      </c>
      <c r="D41" s="83" t="str">
        <f ca="1">VLOOKUP($B41,OFFSET([2]quests!$A$1,0,0,COUNTA([2]quests!$A:$A),MATCH(D$1,[2]quests!$1:$1,0)-MATCH($B$1,[2]quests!$1:$1,0)+1),MATCH(D$1,[2]quests!$1:$1,0)-MATCH($B$1,[2]quests!$1:$1,0)+1,FALSE)</f>
        <v>ランキング2（ラグランジュ）</v>
      </c>
      <c r="E41" s="87" t="s">
        <v>219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5">
        <v>0</v>
      </c>
      <c r="I41">
        <v>18</v>
      </c>
      <c r="J41" s="84" t="s">
        <v>200</v>
      </c>
      <c r="K41" s="94" t="str">
        <f>VLOOKUP(I41,[7]stage_hints!$A:$C,3,FALSE)</f>
        <v>マルチプレイのメリット（その2）</v>
      </c>
      <c r="L41" s="95" t="str">
        <f>VLOOKUP(I41,[7]stage_hints!$A:$D,4,FALSE)</f>
        <v>マルチプレイならリンクが2倍もらえます_x000D_リンクガチャをたくさん回しましょう</v>
      </c>
      <c r="M41" s="56" t="s">
        <v>215</v>
      </c>
    </row>
    <row r="42" spans="1:13" x14ac:dyDescent="0.15">
      <c r="A42" s="81" t="s">
        <v>203</v>
      </c>
      <c r="B42" s="82">
        <f>floors!$C$2</f>
        <v>60010</v>
      </c>
      <c r="C42" s="83" t="str">
        <f ca="1">VLOOKUP($B42,OFFSET([2]quests!$A$1,0,0,COUNTA([2]quests!$A:$A),MATCH(C$1,[2]quests!$1:$1,0)-MATCH($B$1,[2]quests!$1:$1,0)+1),MATCH(C$1,[2]quests!$1:$1,0)-MATCH($B$1,[2]quests!$1:$1,0)+1,FALSE)</f>
        <v>ラグランジュチャレンジ</v>
      </c>
      <c r="D42" s="83" t="str">
        <f ca="1">VLOOKUP($B42,OFFSET([2]quests!$A$1,0,0,COUNTA([2]quests!$A:$A),MATCH(D$1,[2]quests!$1:$1,0)-MATCH($B$1,[2]quests!$1:$1,0)+1),MATCH(D$1,[2]quests!$1:$1,0)-MATCH($B$1,[2]quests!$1:$1,0)+1,FALSE)</f>
        <v>ランキング2（ラグランジュ）</v>
      </c>
      <c r="E42" s="87" t="s">
        <v>219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5">
        <v>0</v>
      </c>
      <c r="I42">
        <v>19</v>
      </c>
      <c r="J42" s="84" t="s">
        <v>200</v>
      </c>
      <c r="K42" s="94" t="str">
        <f>VLOOKUP(I42,[7]stage_hints!$A:$C,3,FALSE)</f>
        <v>ソロ専用チャレンジタワー</v>
      </c>
      <c r="L42" s="95" t="str">
        <f>VLOOKUP(I42,[7]stage_hints!$A:$D,4,FALSE)</f>
        <v>ソロ専用の「チャレンジタワー」では_x000D_各フロアごとにクリア報酬がもらえます</v>
      </c>
      <c r="M42" s="56" t="s">
        <v>215</v>
      </c>
    </row>
    <row r="43" spans="1:13" x14ac:dyDescent="0.15">
      <c r="A43" s="81" t="s">
        <v>203</v>
      </c>
      <c r="B43" s="82">
        <f>floors!$C$2</f>
        <v>60010</v>
      </c>
      <c r="C43" s="83" t="str">
        <f ca="1">VLOOKUP($B43,OFFSET([2]quests!$A$1,0,0,COUNTA([2]quests!$A:$A),MATCH(C$1,[2]quests!$1:$1,0)-MATCH($B$1,[2]quests!$1:$1,0)+1),MATCH(C$1,[2]quests!$1:$1,0)-MATCH($B$1,[2]quests!$1:$1,0)+1,FALSE)</f>
        <v>ラグランジュチャレンジ</v>
      </c>
      <c r="D43" s="83" t="str">
        <f ca="1">VLOOKUP($B43,OFFSET([2]quests!$A$1,0,0,COUNTA([2]quests!$A:$A),MATCH(D$1,[2]quests!$1:$1,0)-MATCH($B$1,[2]quests!$1:$1,0)+1),MATCH(D$1,[2]quests!$1:$1,0)-MATCH($B$1,[2]quests!$1:$1,0)+1,FALSE)</f>
        <v>ランキング2（ラグランジュ）</v>
      </c>
      <c r="E43" s="87" t="s">
        <v>219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5">
        <v>0</v>
      </c>
      <c r="I43">
        <v>20</v>
      </c>
      <c r="J43" s="84" t="s">
        <v>200</v>
      </c>
      <c r="K43" s="94" t="str">
        <f>VLOOKUP(I43,[7]stage_hints!$A:$C,3,FALSE)</f>
        <v>マルチプレイのメリット（その3）</v>
      </c>
      <c r="L43" s="95" t="str">
        <f>VLOOKUP(I43,[7]stage_hints!$A:$D,4,FALSE)</f>
        <v>マルチプレイへの参加はエナジー消費ゼロ_x000D_いつでも好きなだけ遊ぶことができます</v>
      </c>
      <c r="M43" s="56" t="s">
        <v>215</v>
      </c>
    </row>
    <row r="44" spans="1:13" x14ac:dyDescent="0.15">
      <c r="A44" s="81" t="s">
        <v>203</v>
      </c>
      <c r="B44" s="82">
        <f>floors!$C$2</f>
        <v>60010</v>
      </c>
      <c r="C44" s="83" t="str">
        <f ca="1">VLOOKUP($B44,OFFSET([2]quests!$A$1,0,0,COUNTA([2]quests!$A:$A),MATCH(C$1,[2]quests!$1:$1,0)-MATCH($B$1,[2]quests!$1:$1,0)+1),MATCH(C$1,[2]quests!$1:$1,0)-MATCH($B$1,[2]quests!$1:$1,0)+1,FALSE)</f>
        <v>ラグランジュチャレンジ</v>
      </c>
      <c r="D44" s="83" t="str">
        <f ca="1">VLOOKUP($B44,OFFSET([2]quests!$A$1,0,0,COUNTA([2]quests!$A:$A),MATCH(D$1,[2]quests!$1:$1,0)-MATCH($B$1,[2]quests!$1:$1,0)+1),MATCH(D$1,[2]quests!$1:$1,0)-MATCH($B$1,[2]quests!$1:$1,0)+1,FALSE)</f>
        <v>ランキング2（ラグランジュ）</v>
      </c>
      <c r="E44" s="87" t="s">
        <v>219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5">
        <v>0</v>
      </c>
      <c r="I44">
        <v>21</v>
      </c>
      <c r="J44" s="84" t="s">
        <v>200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6" t="s">
        <v>215</v>
      </c>
    </row>
    <row r="45" spans="1:13" x14ac:dyDescent="0.15">
      <c r="A45" s="81" t="s">
        <v>203</v>
      </c>
      <c r="B45" s="82">
        <f>floors!$C$2</f>
        <v>60010</v>
      </c>
      <c r="C45" s="83" t="str">
        <f ca="1">VLOOKUP($B45,OFFSET([2]quests!$A$1,0,0,COUNTA([2]quests!$A:$A),MATCH(C$1,[2]quests!$1:$1,0)-MATCH($B$1,[2]quests!$1:$1,0)+1),MATCH(C$1,[2]quests!$1:$1,0)-MATCH($B$1,[2]quests!$1:$1,0)+1,FALSE)</f>
        <v>ラグランジュチャレンジ</v>
      </c>
      <c r="D45" s="83" t="str">
        <f ca="1">VLOOKUP($B45,OFFSET([2]quests!$A$1,0,0,COUNTA([2]quests!$A:$A),MATCH(D$1,[2]quests!$1:$1,0)-MATCH($B$1,[2]quests!$1:$1,0)+1),MATCH(D$1,[2]quests!$1:$1,0)-MATCH($B$1,[2]quests!$1:$1,0)+1,FALSE)</f>
        <v>ランキング2（ラグランジュ）</v>
      </c>
      <c r="E45" s="87" t="s">
        <v>219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5">
        <v>0</v>
      </c>
      <c r="I45">
        <v>22</v>
      </c>
      <c r="J45" s="84" t="s">
        <v>200</v>
      </c>
      <c r="K45" s="94" t="str">
        <f>VLOOKUP(I45,[7]stage_hints!$A:$C,3,FALSE)</f>
        <v>フィーバーで一発逆転（その1）</v>
      </c>
      <c r="L45" s="95" t="str">
        <f>VLOOKUP(I45,[7]stage_hints!$A:$D,4,FALSE)</f>
        <v>フィーバーは攻撃と回復を兼ね備えます_x000D_ピンチからの一発逆転を狙いましょう</v>
      </c>
      <c r="M45" s="56" t="s">
        <v>215</v>
      </c>
    </row>
    <row r="46" spans="1:13" x14ac:dyDescent="0.15">
      <c r="A46" s="81" t="s">
        <v>203</v>
      </c>
      <c r="B46" s="82">
        <f>floors!$C$2</f>
        <v>60010</v>
      </c>
      <c r="C46" s="83" t="str">
        <f ca="1">VLOOKUP($B46,OFFSET([2]quests!$A$1,0,0,COUNTA([2]quests!$A:$A),MATCH(C$1,[2]quests!$1:$1,0)-MATCH($B$1,[2]quests!$1:$1,0)+1),MATCH(C$1,[2]quests!$1:$1,0)-MATCH($B$1,[2]quests!$1:$1,0)+1,FALSE)</f>
        <v>ラグランジュチャレンジ</v>
      </c>
      <c r="D46" s="83" t="str">
        <f ca="1">VLOOKUP($B46,OFFSET([2]quests!$A$1,0,0,COUNTA([2]quests!$A:$A),MATCH(D$1,[2]quests!$1:$1,0)-MATCH($B$1,[2]quests!$1:$1,0)+1),MATCH(D$1,[2]quests!$1:$1,0)-MATCH($B$1,[2]quests!$1:$1,0)+1,FALSE)</f>
        <v>ランキング2（ラグランジュ）</v>
      </c>
      <c r="E46" s="87" t="s">
        <v>219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5">
        <v>0</v>
      </c>
      <c r="I46">
        <v>23</v>
      </c>
      <c r="J46" s="84" t="s">
        <v>200</v>
      </c>
      <c r="K46" s="94" t="str">
        <f>VLOOKUP(I46,[7]stage_hints!$A:$C,3,FALSE)</f>
        <v>フィーバーで一発逆転（その2）</v>
      </c>
      <c r="L46" s="95" t="str">
        <f>VLOOKUP(I46,[7]stage_hints!$A:$D,4,FALSE)</f>
        <v>フィーバー中は虹色のボムパネルを狙って_x000D_画面上のパネルを一気に破壊しましょう</v>
      </c>
      <c r="M46" s="56" t="s">
        <v>215</v>
      </c>
    </row>
    <row r="47" spans="1:13" x14ac:dyDescent="0.15">
      <c r="A47" s="81" t="s">
        <v>203</v>
      </c>
      <c r="B47" s="82">
        <f>floors!$C$2</f>
        <v>60010</v>
      </c>
      <c r="C47" s="83" t="str">
        <f ca="1">VLOOKUP($B47,OFFSET([2]quests!$A$1,0,0,COUNTA([2]quests!$A:$A),MATCH(C$1,[2]quests!$1:$1,0)-MATCH($B$1,[2]quests!$1:$1,0)+1),MATCH(C$1,[2]quests!$1:$1,0)-MATCH($B$1,[2]quests!$1:$1,0)+1,FALSE)</f>
        <v>ラグランジュチャレンジ</v>
      </c>
      <c r="D47" s="83" t="str">
        <f ca="1">VLOOKUP($B47,OFFSET([2]quests!$A$1,0,0,COUNTA([2]quests!$A:$A),MATCH(D$1,[2]quests!$1:$1,0)-MATCH($B$1,[2]quests!$1:$1,0)+1),MATCH(D$1,[2]quests!$1:$1,0)-MATCH($B$1,[2]quests!$1:$1,0)+1,FALSE)</f>
        <v>ランキング2（ラグランジュ）</v>
      </c>
      <c r="E47" s="87" t="s">
        <v>219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5">
        <v>0</v>
      </c>
      <c r="I47">
        <v>24</v>
      </c>
      <c r="J47" s="84" t="s">
        <v>200</v>
      </c>
      <c r="K47" s="94" t="str">
        <f>VLOOKUP(I47,[7]stage_hints!$A:$C,3,FALSE)</f>
        <v>りんごを使って限界突破</v>
      </c>
      <c r="L47" s="95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6" t="s">
        <v>215</v>
      </c>
    </row>
    <row r="48" spans="1:13" x14ac:dyDescent="0.15">
      <c r="A48" s="81" t="s">
        <v>203</v>
      </c>
      <c r="B48" s="82">
        <f>floors!$C$2</f>
        <v>60010</v>
      </c>
      <c r="C48" s="83" t="str">
        <f ca="1">VLOOKUP($B48,OFFSET([2]quests!$A$1,0,0,COUNTA([2]quests!$A:$A),MATCH(C$1,[2]quests!$1:$1,0)-MATCH($B$1,[2]quests!$1:$1,0)+1),MATCH(C$1,[2]quests!$1:$1,0)-MATCH($B$1,[2]quests!$1:$1,0)+1,FALSE)</f>
        <v>ラグランジュチャレンジ</v>
      </c>
      <c r="D48" s="83" t="str">
        <f ca="1">VLOOKUP($B48,OFFSET([2]quests!$A$1,0,0,COUNTA([2]quests!$A:$A),MATCH(D$1,[2]quests!$1:$1,0)-MATCH($B$1,[2]quests!$1:$1,0)+1),MATCH(D$1,[2]quests!$1:$1,0)-MATCH($B$1,[2]quests!$1:$1,0)+1,FALSE)</f>
        <v>ランキング2（ラグランジュ）</v>
      </c>
      <c r="E48" s="87" t="s">
        <v>219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5">
        <v>0</v>
      </c>
      <c r="I48">
        <v>25</v>
      </c>
      <c r="J48" s="84" t="s">
        <v>200</v>
      </c>
      <c r="K48" s="94" t="str">
        <f>VLOOKUP(I48,[7]stage_hints!$A:$C,3,FALSE)</f>
        <v>スキルレベルアップ</v>
      </c>
      <c r="L48" s="95" t="str">
        <f>VLOOKUP(I48,[7]stage_hints!$A:$D,4,FALSE)</f>
        <v>「クリスタルのりんご」を強化に使うと_x000D_スキルレベルを上げることができます</v>
      </c>
      <c r="M48" s="56" t="s">
        <v>215</v>
      </c>
    </row>
    <row r="49" spans="1:13" x14ac:dyDescent="0.15">
      <c r="A49" s="81" t="s">
        <v>203</v>
      </c>
      <c r="B49" s="82">
        <f>floors!$C$2</f>
        <v>60010</v>
      </c>
      <c r="C49" s="83" t="str">
        <f ca="1">VLOOKUP($B49,OFFSET([2]quests!$A$1,0,0,COUNTA([2]quests!$A:$A),MATCH(C$1,[2]quests!$1:$1,0)-MATCH($B$1,[2]quests!$1:$1,0)+1),MATCH(C$1,[2]quests!$1:$1,0)-MATCH($B$1,[2]quests!$1:$1,0)+1,FALSE)</f>
        <v>ラグランジュチャレンジ</v>
      </c>
      <c r="D49" s="83" t="str">
        <f ca="1">VLOOKUP($B49,OFFSET([2]quests!$A$1,0,0,COUNTA([2]quests!$A:$A),MATCH(D$1,[2]quests!$1:$1,0)-MATCH($B$1,[2]quests!$1:$1,0)+1),MATCH(D$1,[2]quests!$1:$1,0)-MATCH($B$1,[2]quests!$1:$1,0)+1,FALSE)</f>
        <v>ランキング2（ラグランジュ）</v>
      </c>
      <c r="E49" s="87" t="s">
        <v>219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5">
        <v>0</v>
      </c>
      <c r="I49">
        <v>26</v>
      </c>
      <c r="J49" s="84" t="s">
        <v>200</v>
      </c>
      <c r="K49" s="94" t="str">
        <f>VLOOKUP(I49,[7]stage_hints!$A:$C,3,FALSE)</f>
        <v>スキルレベルの効果</v>
      </c>
      <c r="L49" s="95" t="str">
        <f>VLOOKUP(I49,[7]stage_hints!$A:$D,4,FALSE)</f>
        <v>スキルレベルが上がると_x000D_短いターンでスキルを使うことができます</v>
      </c>
      <c r="M49" s="56" t="s">
        <v>215</v>
      </c>
    </row>
    <row r="50" spans="1:13" x14ac:dyDescent="0.15">
      <c r="A50" s="81" t="s">
        <v>203</v>
      </c>
      <c r="B50" s="82">
        <f>floors!$C$2</f>
        <v>60010</v>
      </c>
      <c r="C50" s="83" t="str">
        <f ca="1">VLOOKUP($B50,OFFSET([2]quests!$A$1,0,0,COUNTA([2]quests!$A:$A),MATCH(C$1,[2]quests!$1:$1,0)-MATCH($B$1,[2]quests!$1:$1,0)+1),MATCH(C$1,[2]quests!$1:$1,0)-MATCH($B$1,[2]quests!$1:$1,0)+1,FALSE)</f>
        <v>ラグランジュチャレンジ</v>
      </c>
      <c r="D50" s="83" t="str">
        <f ca="1">VLOOKUP($B50,OFFSET([2]quests!$A$1,0,0,COUNTA([2]quests!$A:$A),MATCH(D$1,[2]quests!$1:$1,0)-MATCH($B$1,[2]quests!$1:$1,0)+1),MATCH(D$1,[2]quests!$1:$1,0)-MATCH($B$1,[2]quests!$1:$1,0)+1,FALSE)</f>
        <v>ランキング2（ラグランジュ）</v>
      </c>
      <c r="E50" s="87" t="s">
        <v>219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5">
        <v>0</v>
      </c>
      <c r="I50">
        <v>27</v>
      </c>
      <c r="J50" s="84" t="s">
        <v>200</v>
      </c>
      <c r="K50" s="94" t="str">
        <f>VLOOKUP(I50,[7]stage_hints!$A:$C,3,FALSE)</f>
        <v>ホーム画面からデッキを編成</v>
      </c>
      <c r="L50" s="95" t="str">
        <f>VLOOKUP(I50,[7]stage_hints!$A:$D,4,FALSE)</f>
        <v>ホーム画面でユニットを長押しすると_x000D_すぐにパーティ編成に移動できます</v>
      </c>
      <c r="M50" s="56" t="s">
        <v>215</v>
      </c>
    </row>
    <row r="51" spans="1:13" x14ac:dyDescent="0.15">
      <c r="A51" s="81" t="s">
        <v>203</v>
      </c>
      <c r="B51" s="82">
        <f>floors!$C$2</f>
        <v>60010</v>
      </c>
      <c r="C51" s="83" t="str">
        <f ca="1">VLOOKUP($B51,OFFSET([2]quests!$A$1,0,0,COUNTA([2]quests!$A:$A),MATCH(C$1,[2]quests!$1:$1,0)-MATCH($B$1,[2]quests!$1:$1,0)+1),MATCH(C$1,[2]quests!$1:$1,0)-MATCH($B$1,[2]quests!$1:$1,0)+1,FALSE)</f>
        <v>ラグランジュチャレンジ</v>
      </c>
      <c r="D51" s="83" t="str">
        <f ca="1">VLOOKUP($B51,OFFSET([2]quests!$A$1,0,0,COUNTA([2]quests!$A:$A),MATCH(D$1,[2]quests!$1:$1,0)-MATCH($B$1,[2]quests!$1:$1,0)+1),MATCH(D$1,[2]quests!$1:$1,0)-MATCH($B$1,[2]quests!$1:$1,0)+1,FALSE)</f>
        <v>ランキング2（ラグランジュ）</v>
      </c>
      <c r="E51" s="87" t="s">
        <v>219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5">
        <v>0</v>
      </c>
      <c r="I51">
        <v>28</v>
      </c>
      <c r="J51" s="84" t="s">
        <v>200</v>
      </c>
      <c r="K51" s="94" t="str">
        <f>VLOOKUP(I51,[7]stage_hints!$A:$C,3,FALSE)</f>
        <v>ステータス情報は長押しで</v>
      </c>
      <c r="L51" s="95" t="str">
        <f>VLOOKUP(I51,[7]stage_hints!$A:$D,4,FALSE)</f>
        <v>ユニットのアイコンを長押しすると_x000D_ステータス情報を確認することができます</v>
      </c>
      <c r="M51" s="56" t="s">
        <v>215</v>
      </c>
    </row>
    <row r="52" spans="1:13" x14ac:dyDescent="0.15">
      <c r="A52" s="81" t="s">
        <v>203</v>
      </c>
      <c r="B52" s="82">
        <f>floors!$C$2</f>
        <v>60010</v>
      </c>
      <c r="C52" s="83" t="str">
        <f ca="1">VLOOKUP($B52,OFFSET([2]quests!$A$1,0,0,COUNTA([2]quests!$A:$A),MATCH(C$1,[2]quests!$1:$1,0)-MATCH($B$1,[2]quests!$1:$1,0)+1),MATCH(C$1,[2]quests!$1:$1,0)-MATCH($B$1,[2]quests!$1:$1,0)+1,FALSE)</f>
        <v>ラグランジュチャレンジ</v>
      </c>
      <c r="D52" s="83" t="str">
        <f ca="1">VLOOKUP($B52,OFFSET([2]quests!$A$1,0,0,COUNTA([2]quests!$A:$A),MATCH(D$1,[2]quests!$1:$1,0)-MATCH($B$1,[2]quests!$1:$1,0)+1),MATCH(D$1,[2]quests!$1:$1,0)-MATCH($B$1,[2]quests!$1:$1,0)+1,FALSE)</f>
        <v>ランキング2（ラグランジュ）</v>
      </c>
      <c r="E52" s="87" t="s">
        <v>219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5">
        <v>0</v>
      </c>
      <c r="I52">
        <v>29</v>
      </c>
      <c r="J52" s="84" t="s">
        <v>200</v>
      </c>
      <c r="K52" s="94" t="str">
        <f>VLOOKUP(I52,[7]stage_hints!$A:$C,3,FALSE)</f>
        <v>「バグ」のメリット</v>
      </c>
      <c r="L52" s="95" t="str">
        <f>VLOOKUP(I52,[7]stage_hints!$A:$D,4,FALSE)</f>
        <v>ユニットの「バグ」を増やすと_x000D_報酬をもらえる確率がアップします</v>
      </c>
      <c r="M52" s="56" t="s">
        <v>215</v>
      </c>
    </row>
    <row r="53" spans="1:13" x14ac:dyDescent="0.15">
      <c r="A53" s="81" t="s">
        <v>203</v>
      </c>
      <c r="B53" s="82">
        <f>floors!$C$2</f>
        <v>60010</v>
      </c>
      <c r="C53" s="83" t="str">
        <f ca="1">VLOOKUP($B53,OFFSET([2]quests!$A$1,0,0,COUNTA([2]quests!$A:$A),MATCH(C$1,[2]quests!$1:$1,0)-MATCH($B$1,[2]quests!$1:$1,0)+1),MATCH(C$1,[2]quests!$1:$1,0)-MATCH($B$1,[2]quests!$1:$1,0)+1,FALSE)</f>
        <v>ラグランジュチャレンジ</v>
      </c>
      <c r="D53" s="83" t="str">
        <f ca="1">VLOOKUP($B53,OFFSET([2]quests!$A$1,0,0,COUNTA([2]quests!$A:$A),MATCH(D$1,[2]quests!$1:$1,0)-MATCH($B$1,[2]quests!$1:$1,0)+1),MATCH(D$1,[2]quests!$1:$1,0)-MATCH($B$1,[2]quests!$1:$1,0)+1,FALSE)</f>
        <v>ランキング2（ラグランジュ）</v>
      </c>
      <c r="E53" s="87" t="s">
        <v>219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5">
        <v>0</v>
      </c>
      <c r="I53">
        <v>30</v>
      </c>
      <c r="J53" s="84" t="s">
        <v>200</v>
      </c>
      <c r="K53" s="94" t="str">
        <f>VLOOKUP(I53,[7]stage_hints!$A:$C,3,FALSE)</f>
        <v>「バグ」の増やし方</v>
      </c>
      <c r="L53" s="95" t="str">
        <f>VLOOKUP(I53,[7]stage_hints!$A:$D,4,FALSE)</f>
        <v>同じユニット同士を強化で合成すると_x000D_「バグ」を増やすことができます</v>
      </c>
      <c r="M53" s="56" t="s">
        <v>215</v>
      </c>
    </row>
    <row r="54" spans="1:13" x14ac:dyDescent="0.15">
      <c r="A54" s="81" t="s">
        <v>203</v>
      </c>
      <c r="B54" s="82">
        <f>floors!$C$2</f>
        <v>60010</v>
      </c>
      <c r="C54" s="83" t="str">
        <f ca="1">VLOOKUP($B54,OFFSET([2]quests!$A$1,0,0,COUNTA([2]quests!$A:$A),MATCH(C$1,[2]quests!$1:$1,0)-MATCH($B$1,[2]quests!$1:$1,0)+1),MATCH(C$1,[2]quests!$1:$1,0)-MATCH($B$1,[2]quests!$1:$1,0)+1,FALSE)</f>
        <v>ラグランジュチャレンジ</v>
      </c>
      <c r="D54" s="83" t="str">
        <f ca="1">VLOOKUP($B54,OFFSET([2]quests!$A$1,0,0,COUNTA([2]quests!$A:$A),MATCH(D$1,[2]quests!$1:$1,0)-MATCH($B$1,[2]quests!$1:$1,0)+1),MATCH(D$1,[2]quests!$1:$1,0)-MATCH($B$1,[2]quests!$1:$1,0)+1,FALSE)</f>
        <v>ランキング2（ラグランジュ）</v>
      </c>
      <c r="E54" s="87" t="s">
        <v>219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5">
        <v>0</v>
      </c>
      <c r="I54">
        <v>31</v>
      </c>
      <c r="J54" s="84" t="s">
        <v>200</v>
      </c>
      <c r="K54" s="94" t="str">
        <f>VLOOKUP(I54,[7]stage_hints!$A:$C,3,FALSE)</f>
        <v>イベントはお知らせでチェック</v>
      </c>
      <c r="L54" s="95" t="str">
        <f>VLOOKUP(I54,[7]stage_hints!$A:$D,4,FALSE)</f>
        <v>イベント限定ユニットを取り忘れないように_x000D_お知らせをこまめにチェックしましょう</v>
      </c>
      <c r="M54" s="56" t="s">
        <v>215</v>
      </c>
    </row>
    <row r="55" spans="1:13" x14ac:dyDescent="0.15">
      <c r="A55" s="81" t="s">
        <v>203</v>
      </c>
      <c r="B55" s="82">
        <f>floors!$C$2</f>
        <v>60010</v>
      </c>
      <c r="C55" s="83" t="str">
        <f ca="1">VLOOKUP($B55,OFFSET([2]quests!$A$1,0,0,COUNTA([2]quests!$A:$A),MATCH(C$1,[2]quests!$1:$1,0)-MATCH($B$1,[2]quests!$1:$1,0)+1),MATCH(C$1,[2]quests!$1:$1,0)-MATCH($B$1,[2]quests!$1:$1,0)+1,FALSE)</f>
        <v>ラグランジュチャレンジ</v>
      </c>
      <c r="D55" s="83" t="str">
        <f ca="1">VLOOKUP($B55,OFFSET([2]quests!$A$1,0,0,COUNTA([2]quests!$A:$A),MATCH(D$1,[2]quests!$1:$1,0)-MATCH($B$1,[2]quests!$1:$1,0)+1),MATCH(D$1,[2]quests!$1:$1,0)-MATCH($B$1,[2]quests!$1:$1,0)+1,FALSE)</f>
        <v>ランキング2（ラグランジュ）</v>
      </c>
      <c r="E55" s="87" t="s">
        <v>219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5">
        <v>0</v>
      </c>
      <c r="I55">
        <v>32</v>
      </c>
      <c r="J55" s="84" t="s">
        <v>200</v>
      </c>
      <c r="K55" s="94" t="str">
        <f>VLOOKUP(I55,[7]stage_hints!$A:$C,3,FALSE)</f>
        <v>敵の連続攻撃には</v>
      </c>
      <c r="L55" s="95" t="str">
        <f>VLOOKUP(I55,[7]stage_hints!$A:$D,4,FALSE)</f>
        <v>カウンタースキルを持つユニットがいれば_x000D_ダメージ回数分の反撃ができます</v>
      </c>
      <c r="M55" s="56" t="s">
        <v>215</v>
      </c>
    </row>
    <row r="56" spans="1:13" x14ac:dyDescent="0.15">
      <c r="A56" s="81" t="s">
        <v>203</v>
      </c>
      <c r="B56" s="82">
        <f>floors!$C$2</f>
        <v>60010</v>
      </c>
      <c r="C56" s="83" t="str">
        <f ca="1">VLOOKUP($B56,OFFSET([2]quests!$A$1,0,0,COUNTA([2]quests!$A:$A),MATCH(C$1,[2]quests!$1:$1,0)-MATCH($B$1,[2]quests!$1:$1,0)+1),MATCH(C$1,[2]quests!$1:$1,0)-MATCH($B$1,[2]quests!$1:$1,0)+1,FALSE)</f>
        <v>ラグランジュチャレンジ</v>
      </c>
      <c r="D56" s="83" t="str">
        <f ca="1">VLOOKUP($B56,OFFSET([2]quests!$A$1,0,0,COUNTA([2]quests!$A:$A),MATCH(D$1,[2]quests!$1:$1,0)-MATCH($B$1,[2]quests!$1:$1,0)+1),MATCH(D$1,[2]quests!$1:$1,0)-MATCH($B$1,[2]quests!$1:$1,0)+1,FALSE)</f>
        <v>ランキング2（ラグランジュ）</v>
      </c>
      <c r="E56" s="87" t="s">
        <v>219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5">
        <v>0</v>
      </c>
      <c r="I56">
        <v>33</v>
      </c>
      <c r="J56" s="84" t="s">
        <v>200</v>
      </c>
      <c r="K56" s="94" t="str">
        <f>VLOOKUP(I56,[7]stage_hints!$A:$C,3,FALSE)</f>
        <v>敵のカウンター攻撃には</v>
      </c>
      <c r="L56" s="95" t="str">
        <f>VLOOKUP(I56,[7]stage_hints!$A:$D,4,FALSE)</f>
        <v>カウンターブレイクスキルを持っていれば_x000D_敵のカウンターを解除して攻撃ができます</v>
      </c>
      <c r="M56" s="56" t="s">
        <v>215</v>
      </c>
    </row>
    <row r="57" spans="1:13" x14ac:dyDescent="0.15">
      <c r="A57" s="81" t="s">
        <v>203</v>
      </c>
      <c r="B57" s="82">
        <f>floors!$C$2</f>
        <v>60010</v>
      </c>
      <c r="C57" s="83" t="str">
        <f ca="1">VLOOKUP($B57,OFFSET([2]quests!$A$1,0,0,COUNTA([2]quests!$A:$A),MATCH(C$1,[2]quests!$1:$1,0)-MATCH($B$1,[2]quests!$1:$1,0)+1),MATCH(C$1,[2]quests!$1:$1,0)-MATCH($B$1,[2]quests!$1:$1,0)+1,FALSE)</f>
        <v>ラグランジュチャレンジ</v>
      </c>
      <c r="D57" s="83" t="str">
        <f ca="1">VLOOKUP($B57,OFFSET([2]quests!$A$1,0,0,COUNTA([2]quests!$A:$A),MATCH(D$1,[2]quests!$1:$1,0)-MATCH($B$1,[2]quests!$1:$1,0)+1),MATCH(D$1,[2]quests!$1:$1,0)-MATCH($B$1,[2]quests!$1:$1,0)+1,FALSE)</f>
        <v>ランキング2（ラグランジュ）</v>
      </c>
      <c r="E57" s="87" t="s">
        <v>219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5">
        <v>0</v>
      </c>
      <c r="I57">
        <v>34</v>
      </c>
      <c r="J57" s="84" t="s">
        <v>200</v>
      </c>
      <c r="K57" s="94" t="str">
        <f>VLOOKUP(I57,[7]stage_hints!$A:$C,3,FALSE)</f>
        <v>ステータスをスキルで下げられたら</v>
      </c>
      <c r="L57" s="95" t="str">
        <f>VLOOKUP(I57,[7]stage_hints!$A:$D,4,FALSE)</f>
        <v>ステータスダウンのスキルを受けたら_x000D_ステータスアップスキルで上書きしましょう</v>
      </c>
      <c r="M57" s="56" t="s">
        <v>215</v>
      </c>
    </row>
    <row r="58" spans="1:13" x14ac:dyDescent="0.15">
      <c r="A58" s="81" t="s">
        <v>203</v>
      </c>
      <c r="B58" s="82">
        <f>floors!$C$2</f>
        <v>60010</v>
      </c>
      <c r="C58" s="83" t="str">
        <f ca="1">VLOOKUP($B58,OFFSET([2]quests!$A$1,0,0,COUNTA([2]quests!$A:$A),MATCH(C$1,[2]quests!$1:$1,0)-MATCH($B$1,[2]quests!$1:$1,0)+1),MATCH(C$1,[2]quests!$1:$1,0)-MATCH($B$1,[2]quests!$1:$1,0)+1,FALSE)</f>
        <v>ラグランジュチャレンジ</v>
      </c>
      <c r="D58" s="83" t="str">
        <f ca="1">VLOOKUP($B58,OFFSET([2]quests!$A$1,0,0,COUNTA([2]quests!$A:$A),MATCH(D$1,[2]quests!$1:$1,0)-MATCH($B$1,[2]quests!$1:$1,0)+1),MATCH(D$1,[2]quests!$1:$1,0)-MATCH($B$1,[2]quests!$1:$1,0)+1,FALSE)</f>
        <v>ランキング2（ラグランジュ）</v>
      </c>
      <c r="E58" s="87" t="s">
        <v>219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5">
        <v>0</v>
      </c>
      <c r="I58">
        <v>35</v>
      </c>
      <c r="J58" s="84" t="s">
        <v>200</v>
      </c>
      <c r="K58" s="94" t="str">
        <f>VLOOKUP(I58,[7]stage_hints!$A:$C,3,FALSE)</f>
        <v>敵のステータスがスキルで上がったら</v>
      </c>
      <c r="L58" s="95" t="str">
        <f>VLOOKUP(I58,[7]stage_hints!$A:$D,4,FALSE)</f>
        <v>敵のステータスがスキルでアップしたときは_x000D_ステータスダウンスキルで上書きしましょう</v>
      </c>
      <c r="M58" s="56" t="s">
        <v>215</v>
      </c>
    </row>
    <row r="59" spans="1:13" x14ac:dyDescent="0.15">
      <c r="A59" s="81" t="s">
        <v>203</v>
      </c>
      <c r="B59" s="82">
        <f>floors!$C$2</f>
        <v>60010</v>
      </c>
      <c r="C59" s="83" t="str">
        <f ca="1">VLOOKUP($B59,OFFSET([2]quests!$A$1,0,0,COUNTA([2]quests!$A:$A),MATCH(C$1,[2]quests!$1:$1,0)-MATCH($B$1,[2]quests!$1:$1,0)+1),MATCH(C$1,[2]quests!$1:$1,0)-MATCH($B$1,[2]quests!$1:$1,0)+1,FALSE)</f>
        <v>ラグランジュチャレンジ</v>
      </c>
      <c r="D59" s="83" t="str">
        <f ca="1">VLOOKUP($B59,OFFSET([2]quests!$A$1,0,0,COUNTA([2]quests!$A:$A),MATCH(D$1,[2]quests!$1:$1,0)-MATCH($B$1,[2]quests!$1:$1,0)+1),MATCH(D$1,[2]quests!$1:$1,0)-MATCH($B$1,[2]quests!$1:$1,0)+1,FALSE)</f>
        <v>ランキング2（ラグランジュ）</v>
      </c>
      <c r="E59" s="87" t="s">
        <v>219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5">
        <v>0</v>
      </c>
      <c r="I59">
        <v>39</v>
      </c>
      <c r="J59" s="84" t="s">
        <v>200</v>
      </c>
      <c r="K59" s="94" t="str">
        <f>VLOOKUP(I59,[7]stage_hints!$A:$C,3,FALSE)</f>
        <v>システム適合者を確認</v>
      </c>
      <c r="L59" s="95" t="str">
        <f>VLOOKUP(I59,[7]stage_hints!$A:$D,4,FALSE)</f>
        <v>ALICEが「アナタ」を呼んでいます</v>
      </c>
      <c r="M59" s="56" t="s">
        <v>215</v>
      </c>
    </row>
    <row r="60" spans="1:13" x14ac:dyDescent="0.15">
      <c r="A60" s="81" t="s">
        <v>203</v>
      </c>
      <c r="B60" s="82">
        <f>floors!$C$2</f>
        <v>60010</v>
      </c>
      <c r="C60" s="83" t="str">
        <f ca="1">VLOOKUP($B60,OFFSET([2]quests!$A$1,0,0,COUNTA([2]quests!$A:$A),MATCH(C$1,[2]quests!$1:$1,0)-MATCH($B$1,[2]quests!$1:$1,0)+1),MATCH(C$1,[2]quests!$1:$1,0)-MATCH($B$1,[2]quests!$1:$1,0)+1,FALSE)</f>
        <v>ラグランジュチャレンジ</v>
      </c>
      <c r="D60" s="83" t="str">
        <f ca="1">VLOOKUP($B60,OFFSET([2]quests!$A$1,0,0,COUNTA([2]quests!$A:$A),MATCH(D$1,[2]quests!$1:$1,0)-MATCH($B$1,[2]quests!$1:$1,0)+1),MATCH(D$1,[2]quests!$1:$1,0)-MATCH($B$1,[2]quests!$1:$1,0)+1,FALSE)</f>
        <v>ランキング2（ラグランジュ）</v>
      </c>
      <c r="E60" s="87" t="s">
        <v>220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5">
        <v>0</v>
      </c>
      <c r="I60" s="98">
        <v>3</v>
      </c>
      <c r="J60" s="84" t="s">
        <v>200</v>
      </c>
      <c r="K60" s="94" t="str">
        <f>VLOOKUP(I60,[7]stage_hints!$A:$C,3,FALSE)</f>
        <v>ターゲット</v>
      </c>
      <c r="L60" s="95" t="str">
        <f>VLOOKUP(I60,[7]stage_hints!$A:$D,4,FALSE)</f>
        <v>敵ユニットをタップすると_x000D_その敵を狙い撃ちできます</v>
      </c>
      <c r="M60" s="56" t="s">
        <v>215</v>
      </c>
    </row>
    <row r="61" spans="1:13" x14ac:dyDescent="0.15">
      <c r="A61" s="81" t="s">
        <v>203</v>
      </c>
      <c r="B61" s="82">
        <f>floors!$C$2</f>
        <v>60010</v>
      </c>
      <c r="C61" s="83" t="str">
        <f ca="1">VLOOKUP($B61,OFFSET([2]quests!$A$1,0,0,COUNTA([2]quests!$A:$A),MATCH(C$1,[2]quests!$1:$1,0)-MATCH($B$1,[2]quests!$1:$1,0)+1),MATCH(C$1,[2]quests!$1:$1,0)-MATCH($B$1,[2]quests!$1:$1,0)+1,FALSE)</f>
        <v>ラグランジュチャレンジ</v>
      </c>
      <c r="D61" s="83" t="str">
        <f ca="1">VLOOKUP($B61,OFFSET([2]quests!$A$1,0,0,COUNTA([2]quests!$A:$A),MATCH(D$1,[2]quests!$1:$1,0)-MATCH($B$1,[2]quests!$1:$1,0)+1),MATCH(D$1,[2]quests!$1:$1,0)-MATCH($B$1,[2]quests!$1:$1,0)+1,FALSE)</f>
        <v>ランキング2（ラグランジュ）</v>
      </c>
      <c r="E61" s="87" t="s">
        <v>220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5">
        <v>0</v>
      </c>
      <c r="I61" s="98">
        <v>6</v>
      </c>
      <c r="J61" s="84" t="s">
        <v>200</v>
      </c>
      <c r="K61" s="94" t="str">
        <f>VLOOKUP(I61,[7]stage_hints!$A:$C,3,FALSE)</f>
        <v>ユニット強化の属性ボーナス</v>
      </c>
      <c r="L61" s="95" t="str">
        <f>VLOOKUP(I61,[7]stage_hints!$A:$D,4,FALSE)</f>
        <v>同属性ユニットを強化素材にすると_x000D_経験値が多くもらえます</v>
      </c>
      <c r="M61" s="56" t="s">
        <v>215</v>
      </c>
    </row>
    <row r="62" spans="1:13" x14ac:dyDescent="0.15">
      <c r="A62" s="81" t="s">
        <v>203</v>
      </c>
      <c r="B62" s="82">
        <f>floors!$C$2</f>
        <v>60010</v>
      </c>
      <c r="C62" s="83" t="str">
        <f ca="1">VLOOKUP($B62,OFFSET([2]quests!$A$1,0,0,COUNTA([2]quests!$A:$A),MATCH(C$1,[2]quests!$1:$1,0)-MATCH($B$1,[2]quests!$1:$1,0)+1),MATCH(C$1,[2]quests!$1:$1,0)-MATCH($B$1,[2]quests!$1:$1,0)+1,FALSE)</f>
        <v>ラグランジュチャレンジ</v>
      </c>
      <c r="D62" s="83" t="str">
        <f ca="1">VLOOKUP($B62,OFFSET([2]quests!$A$1,0,0,COUNTA([2]quests!$A:$A),MATCH(D$1,[2]quests!$1:$1,0)-MATCH($B$1,[2]quests!$1:$1,0)+1),MATCH(D$1,[2]quests!$1:$1,0)-MATCH($B$1,[2]quests!$1:$1,0)+1,FALSE)</f>
        <v>ランキング2（ラグランジュ）</v>
      </c>
      <c r="E62" s="87" t="s">
        <v>220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5">
        <v>0</v>
      </c>
      <c r="I62" s="98">
        <v>7</v>
      </c>
      <c r="J62" s="84" t="s">
        <v>200</v>
      </c>
      <c r="K62" s="94" t="str">
        <f>VLOOKUP(I62,[7]stage_hints!$A:$C,3,FALSE)</f>
        <v>メタルダックで経験値を獲得</v>
      </c>
      <c r="L62" s="95" t="str">
        <f>VLOOKUP(I62,[7]stage_hints!$A:$D,4,FALSE)</f>
        <v>「メタルなアヒル」を強化素材にすると_x000D_大量の経験値がもらえます</v>
      </c>
      <c r="M62" s="56" t="s">
        <v>215</v>
      </c>
    </row>
    <row r="63" spans="1:13" x14ac:dyDescent="0.15">
      <c r="A63" s="81" t="s">
        <v>203</v>
      </c>
      <c r="B63" s="82">
        <f>floors!$C$2</f>
        <v>60010</v>
      </c>
      <c r="C63" s="83" t="str">
        <f ca="1">VLOOKUP($B63,OFFSET([2]quests!$A$1,0,0,COUNTA([2]quests!$A:$A),MATCH(C$1,[2]quests!$1:$1,0)-MATCH($B$1,[2]quests!$1:$1,0)+1),MATCH(C$1,[2]quests!$1:$1,0)-MATCH($B$1,[2]quests!$1:$1,0)+1,FALSE)</f>
        <v>ラグランジュチャレンジ</v>
      </c>
      <c r="D63" s="83" t="str">
        <f ca="1">VLOOKUP($B63,OFFSET([2]quests!$A$1,0,0,COUNTA([2]quests!$A:$A),MATCH(D$1,[2]quests!$1:$1,0)-MATCH($B$1,[2]quests!$1:$1,0)+1),MATCH(D$1,[2]quests!$1:$1,0)-MATCH($B$1,[2]quests!$1:$1,0)+1,FALSE)</f>
        <v>ランキング2（ラグランジュ）</v>
      </c>
      <c r="E63" s="87" t="s">
        <v>220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5">
        <v>0</v>
      </c>
      <c r="I63" s="98">
        <v>8</v>
      </c>
      <c r="J63" s="84" t="s">
        <v>200</v>
      </c>
      <c r="K63" s="94" t="str">
        <f>VLOOKUP(I63,[7]stage_hints!$A:$C,3,FALSE)</f>
        <v>ゲリラクエストは要チェック</v>
      </c>
      <c r="L63" s="95" t="str">
        <f>VLOOKUP(I63,[7]stage_hints!$A:$D,4,FALSE)</f>
        <v>時間限定の「アヒル捕獲作戦」では_x000D_経験値素材ユニットが多く手に入ります</v>
      </c>
      <c r="M63" s="56" t="s">
        <v>215</v>
      </c>
    </row>
    <row r="64" spans="1:13" x14ac:dyDescent="0.15">
      <c r="A64" s="81" t="s">
        <v>203</v>
      </c>
      <c r="B64" s="82">
        <f>floors!$C$2</f>
        <v>60010</v>
      </c>
      <c r="C64" s="83" t="str">
        <f ca="1">VLOOKUP($B64,OFFSET([2]quests!$A$1,0,0,COUNTA([2]quests!$A:$A),MATCH(C$1,[2]quests!$1:$1,0)-MATCH($B$1,[2]quests!$1:$1,0)+1),MATCH(C$1,[2]quests!$1:$1,0)-MATCH($B$1,[2]quests!$1:$1,0)+1,FALSE)</f>
        <v>ラグランジュチャレンジ</v>
      </c>
      <c r="D64" s="83" t="str">
        <f ca="1">VLOOKUP($B64,OFFSET([2]quests!$A$1,0,0,COUNTA([2]quests!$A:$A),MATCH(D$1,[2]quests!$1:$1,0)-MATCH($B$1,[2]quests!$1:$1,0)+1),MATCH(D$1,[2]quests!$1:$1,0)-MATCH($B$1,[2]quests!$1:$1,0)+1,FALSE)</f>
        <v>ランキング2（ラグランジュ）</v>
      </c>
      <c r="E64" s="87" t="s">
        <v>220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5">
        <v>0</v>
      </c>
      <c r="I64" s="98">
        <v>9</v>
      </c>
      <c r="J64" s="84" t="s">
        <v>200</v>
      </c>
      <c r="K64" s="94" t="str">
        <f>VLOOKUP(I64,[7]stage_hints!$A:$C,3,FALSE)</f>
        <v>ゴールドダックでビットを獲得</v>
      </c>
      <c r="L64" s="95" t="str">
        <f>VLOOKUP(I64,[7]stage_hints!$A:$D,4,FALSE)</f>
        <v>「ゴールドなアヒル」を売却すると_x000D_大量のビットがもらえます</v>
      </c>
      <c r="M64" s="56" t="s">
        <v>215</v>
      </c>
    </row>
    <row r="65" spans="1:13" x14ac:dyDescent="0.15">
      <c r="A65" s="81" t="s">
        <v>203</v>
      </c>
      <c r="B65" s="82">
        <f>floors!$C$2</f>
        <v>60010</v>
      </c>
      <c r="C65" s="83" t="str">
        <f ca="1">VLOOKUP($B65,OFFSET([2]quests!$A$1,0,0,COUNTA([2]quests!$A:$A),MATCH(C$1,[2]quests!$1:$1,0)-MATCH($B$1,[2]quests!$1:$1,0)+1),MATCH(C$1,[2]quests!$1:$1,0)-MATCH($B$1,[2]quests!$1:$1,0)+1,FALSE)</f>
        <v>ラグランジュチャレンジ</v>
      </c>
      <c r="D65" s="83" t="str">
        <f ca="1">VLOOKUP($B65,OFFSET([2]quests!$A$1,0,0,COUNTA([2]quests!$A:$A),MATCH(D$1,[2]quests!$1:$1,0)-MATCH($B$1,[2]quests!$1:$1,0)+1),MATCH(D$1,[2]quests!$1:$1,0)-MATCH($B$1,[2]quests!$1:$1,0)+1,FALSE)</f>
        <v>ランキング2（ラグランジュ）</v>
      </c>
      <c r="E65" s="87" t="s">
        <v>220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5">
        <v>0</v>
      </c>
      <c r="I65" s="98">
        <v>10</v>
      </c>
      <c r="J65" s="84" t="s">
        <v>200</v>
      </c>
      <c r="K65" s="94" t="str">
        <f>VLOOKUP(I65,[7]stage_hints!$A:$C,3,FALSE)</f>
        <v>土日に大量のビットを獲得</v>
      </c>
      <c r="L65" s="95" t="str">
        <f>VLOOKUP(I65,[7]stage_hints!$A:$D,4,FALSE)</f>
        <v>土日限定の「ゴールドカジノ」では_x000D_売却素材ユニットが多く手に入ります</v>
      </c>
      <c r="M65" s="56" t="s">
        <v>215</v>
      </c>
    </row>
    <row r="66" spans="1:13" x14ac:dyDescent="0.15">
      <c r="A66" s="81" t="s">
        <v>203</v>
      </c>
      <c r="B66" s="82">
        <f>floors!$C$2</f>
        <v>60010</v>
      </c>
      <c r="C66" s="83" t="str">
        <f ca="1">VLOOKUP($B66,OFFSET([2]quests!$A$1,0,0,COUNTA([2]quests!$A:$A),MATCH(C$1,[2]quests!$1:$1,0)-MATCH($B$1,[2]quests!$1:$1,0)+1),MATCH(C$1,[2]quests!$1:$1,0)-MATCH($B$1,[2]quests!$1:$1,0)+1,FALSE)</f>
        <v>ラグランジュチャレンジ</v>
      </c>
      <c r="D66" s="83" t="str">
        <f ca="1">VLOOKUP($B66,OFFSET([2]quests!$A$1,0,0,COUNTA([2]quests!$A:$A),MATCH(D$1,[2]quests!$1:$1,0)-MATCH($B$1,[2]quests!$1:$1,0)+1),MATCH(D$1,[2]quests!$1:$1,0)-MATCH($B$1,[2]quests!$1:$1,0)+1,FALSE)</f>
        <v>ランキング2（ラグランジュ）</v>
      </c>
      <c r="E66" s="87" t="s">
        <v>220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5">
        <v>0</v>
      </c>
      <c r="I66" s="98">
        <v>11</v>
      </c>
      <c r="J66" s="84" t="s">
        <v>200</v>
      </c>
      <c r="K66" s="94" t="str">
        <f>VLOOKUP(I66,[7]stage_hints!$A:$C,3,FALSE)</f>
        <v>ランク解放クエスト</v>
      </c>
      <c r="L66" s="95" t="str">
        <f>VLOOKUP(I66,[7]stage_hints!$A:$D,4,FALSE)</f>
        <v>一定ランクに到達すると_x000D_報酬付きのランク開放クエストが現れます</v>
      </c>
      <c r="M66" s="56" t="s">
        <v>215</v>
      </c>
    </row>
    <row r="67" spans="1:13" x14ac:dyDescent="0.15">
      <c r="A67" s="81" t="s">
        <v>203</v>
      </c>
      <c r="B67" s="82">
        <f>floors!$C$2</f>
        <v>60010</v>
      </c>
      <c r="C67" s="83" t="str">
        <f ca="1">VLOOKUP($B67,OFFSET([2]quests!$A$1,0,0,COUNTA([2]quests!$A:$A),MATCH(C$1,[2]quests!$1:$1,0)-MATCH($B$1,[2]quests!$1:$1,0)+1),MATCH(C$1,[2]quests!$1:$1,0)-MATCH($B$1,[2]quests!$1:$1,0)+1,FALSE)</f>
        <v>ラグランジュチャレンジ</v>
      </c>
      <c r="D67" s="83" t="str">
        <f ca="1">VLOOKUP($B67,OFFSET([2]quests!$A$1,0,0,COUNTA([2]quests!$A:$A),MATCH(D$1,[2]quests!$1:$1,0)-MATCH($B$1,[2]quests!$1:$1,0)+1),MATCH(D$1,[2]quests!$1:$1,0)-MATCH($B$1,[2]quests!$1:$1,0)+1,FALSE)</f>
        <v>ランキング2（ラグランジュ）</v>
      </c>
      <c r="E67" s="87" t="s">
        <v>220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5">
        <v>0</v>
      </c>
      <c r="I67" s="98">
        <v>12</v>
      </c>
      <c r="J67" s="84" t="s">
        <v>200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6" t="s">
        <v>215</v>
      </c>
    </row>
    <row r="68" spans="1:13" x14ac:dyDescent="0.15">
      <c r="A68" s="81" t="s">
        <v>203</v>
      </c>
      <c r="B68" s="82">
        <f>floors!$C$2</f>
        <v>60010</v>
      </c>
      <c r="C68" s="83" t="str">
        <f ca="1">VLOOKUP($B68,OFFSET([2]quests!$A$1,0,0,COUNTA([2]quests!$A:$A),MATCH(C$1,[2]quests!$1:$1,0)-MATCH($B$1,[2]quests!$1:$1,0)+1),MATCH(C$1,[2]quests!$1:$1,0)-MATCH($B$1,[2]quests!$1:$1,0)+1,FALSE)</f>
        <v>ラグランジュチャレンジ</v>
      </c>
      <c r="D68" s="83" t="str">
        <f ca="1">VLOOKUP($B68,OFFSET([2]quests!$A$1,0,0,COUNTA([2]quests!$A:$A),MATCH(D$1,[2]quests!$1:$1,0)-MATCH($B$1,[2]quests!$1:$1,0)+1),MATCH(D$1,[2]quests!$1:$1,0)-MATCH($B$1,[2]quests!$1:$1,0)+1,FALSE)</f>
        <v>ランキング2（ラグランジュ）</v>
      </c>
      <c r="E68" s="87" t="s">
        <v>220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5">
        <v>0</v>
      </c>
      <c r="I68" s="98">
        <v>13</v>
      </c>
      <c r="J68" s="84" t="s">
        <v>200</v>
      </c>
      <c r="K68" s="94" t="str">
        <f>VLOOKUP(I68,[7]stage_hints!$A:$C,3,FALSE)</f>
        <v>ユニットの覚醒</v>
      </c>
      <c r="L68" s="95" t="str">
        <f>VLOOKUP(I68,[7]stage_hints!$A:$D,4,FALSE)</f>
        <v>ユニットを覚醒させると_x000D_比べものにならない強さが手に入ります</v>
      </c>
      <c r="M68" s="56" t="s">
        <v>215</v>
      </c>
    </row>
    <row r="69" spans="1:13" x14ac:dyDescent="0.15">
      <c r="A69" s="81" t="s">
        <v>203</v>
      </c>
      <c r="B69" s="82">
        <f>floors!$C$2</f>
        <v>60010</v>
      </c>
      <c r="C69" s="83" t="str">
        <f ca="1">VLOOKUP($B69,OFFSET([2]quests!$A$1,0,0,COUNTA([2]quests!$A:$A),MATCH(C$1,[2]quests!$1:$1,0)-MATCH($B$1,[2]quests!$1:$1,0)+1),MATCH(C$1,[2]quests!$1:$1,0)-MATCH($B$1,[2]quests!$1:$1,0)+1,FALSE)</f>
        <v>ラグランジュチャレンジ</v>
      </c>
      <c r="D69" s="83" t="str">
        <f ca="1">VLOOKUP($B69,OFFSET([2]quests!$A$1,0,0,COUNTA([2]quests!$A:$A),MATCH(D$1,[2]quests!$1:$1,0)-MATCH($B$1,[2]quests!$1:$1,0)+1),MATCH(D$1,[2]quests!$1:$1,0)-MATCH($B$1,[2]quests!$1:$1,0)+1,FALSE)</f>
        <v>ランキング2（ラグランジュ）</v>
      </c>
      <c r="E69" s="87" t="s">
        <v>220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5">
        <v>0</v>
      </c>
      <c r="I69" s="98">
        <v>14</v>
      </c>
      <c r="J69" s="84" t="s">
        <v>200</v>
      </c>
      <c r="K69" s="94" t="str">
        <f>VLOOKUP(I69,[7]stage_hints!$A:$C,3,FALSE)</f>
        <v>覚醒するにはレベルを最大に</v>
      </c>
      <c r="L69" s="95" t="str">
        <f>VLOOKUP(I69,[7]stage_hints!$A:$D,4,FALSE)</f>
        <v>覚醒するにはユニットのレベルを_x000D_最大まで上げる必要があります</v>
      </c>
      <c r="M69" s="56" t="s">
        <v>215</v>
      </c>
    </row>
    <row r="70" spans="1:13" x14ac:dyDescent="0.15">
      <c r="A70" s="81" t="s">
        <v>203</v>
      </c>
      <c r="B70" s="82">
        <f>floors!$C$2</f>
        <v>60010</v>
      </c>
      <c r="C70" s="83" t="str">
        <f ca="1">VLOOKUP($B70,OFFSET([2]quests!$A$1,0,0,COUNTA([2]quests!$A:$A),MATCH(C$1,[2]quests!$1:$1,0)-MATCH($B$1,[2]quests!$1:$1,0)+1),MATCH(C$1,[2]quests!$1:$1,0)-MATCH($B$1,[2]quests!$1:$1,0)+1,FALSE)</f>
        <v>ラグランジュチャレンジ</v>
      </c>
      <c r="D70" s="83" t="str">
        <f ca="1">VLOOKUP($B70,OFFSET([2]quests!$A$1,0,0,COUNTA([2]quests!$A:$A),MATCH(D$1,[2]quests!$1:$1,0)-MATCH($B$1,[2]quests!$1:$1,0)+1),MATCH(D$1,[2]quests!$1:$1,0)-MATCH($B$1,[2]quests!$1:$1,0)+1,FALSE)</f>
        <v>ランキング2（ラグランジュ）</v>
      </c>
      <c r="E70" s="87" t="s">
        <v>220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5">
        <v>0</v>
      </c>
      <c r="I70" s="98">
        <v>15</v>
      </c>
      <c r="J70" s="84" t="s">
        <v>200</v>
      </c>
      <c r="K70" s="94" t="str">
        <f>VLOOKUP(I70,[7]stage_hints!$A:$C,3,FALSE)</f>
        <v>覚醒素材を獲得</v>
      </c>
      <c r="L70" s="95" t="str">
        <f>VLOOKUP(I70,[7]stage_hints!$A:$D,4,FALSE)</f>
        <v>「曜日クエスト」では_x000D_ユニットの覚醒に必要な素材が手に入ります</v>
      </c>
      <c r="M70" s="56" t="s">
        <v>215</v>
      </c>
    </row>
    <row r="71" spans="1:13" x14ac:dyDescent="0.15">
      <c r="A71" s="81" t="s">
        <v>203</v>
      </c>
      <c r="B71" s="82">
        <f>floors!$C$2</f>
        <v>60010</v>
      </c>
      <c r="C71" s="83" t="str">
        <f ca="1">VLOOKUP($B71,OFFSET([2]quests!$A$1,0,0,COUNTA([2]quests!$A:$A),MATCH(C$1,[2]quests!$1:$1,0)-MATCH($B$1,[2]quests!$1:$1,0)+1),MATCH(C$1,[2]quests!$1:$1,0)-MATCH($B$1,[2]quests!$1:$1,0)+1,FALSE)</f>
        <v>ラグランジュチャレンジ</v>
      </c>
      <c r="D71" s="83" t="str">
        <f ca="1">VLOOKUP($B71,OFFSET([2]quests!$A$1,0,0,COUNTA([2]quests!$A:$A),MATCH(D$1,[2]quests!$1:$1,0)-MATCH($B$1,[2]quests!$1:$1,0)+1),MATCH(D$1,[2]quests!$1:$1,0)-MATCH($B$1,[2]quests!$1:$1,0)+1,FALSE)</f>
        <v>ランキング2（ラグランジュ）</v>
      </c>
      <c r="E71" s="87" t="s">
        <v>220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5">
        <v>0</v>
      </c>
      <c r="I71" s="98">
        <v>16</v>
      </c>
      <c r="J71" s="84" t="s">
        <v>200</v>
      </c>
      <c r="K71" s="94" t="str">
        <f>VLOOKUP(I71,[7]stage_hints!$A:$C,3,FALSE)</f>
        <v>マルチプレイのメリット（その1）</v>
      </c>
      <c r="L71" s="95" t="str">
        <f>VLOOKUP(I71,[7]stage_hints!$A:$D,4,FALSE)</f>
        <v>他のプレイヤーとマルチプレイで遊ぶと_x000D_ポリゴンがもらえます（100人まで）</v>
      </c>
      <c r="M71" s="56" t="s">
        <v>215</v>
      </c>
    </row>
    <row r="72" spans="1:13" x14ac:dyDescent="0.15">
      <c r="A72" s="81" t="s">
        <v>203</v>
      </c>
      <c r="B72" s="82">
        <f>floors!$C$2</f>
        <v>60010</v>
      </c>
      <c r="C72" s="83" t="str">
        <f ca="1">VLOOKUP($B72,OFFSET([2]quests!$A$1,0,0,COUNTA([2]quests!$A:$A),MATCH(C$1,[2]quests!$1:$1,0)-MATCH($B$1,[2]quests!$1:$1,0)+1),MATCH(C$1,[2]quests!$1:$1,0)-MATCH($B$1,[2]quests!$1:$1,0)+1,FALSE)</f>
        <v>ラグランジュチャレンジ</v>
      </c>
      <c r="D72" s="83" t="str">
        <f ca="1">VLOOKUP($B72,OFFSET([2]quests!$A$1,0,0,COUNTA([2]quests!$A:$A),MATCH(D$1,[2]quests!$1:$1,0)-MATCH($B$1,[2]quests!$1:$1,0)+1),MATCH(D$1,[2]quests!$1:$1,0)-MATCH($B$1,[2]quests!$1:$1,0)+1,FALSE)</f>
        <v>ランキング2（ラグランジュ）</v>
      </c>
      <c r="E72" s="87" t="s">
        <v>220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5">
        <v>0</v>
      </c>
      <c r="I72" s="98">
        <v>17</v>
      </c>
      <c r="J72" s="84" t="s">
        <v>200</v>
      </c>
      <c r="K72" s="94" t="str">
        <f>VLOOKUP(I72,[7]stage_hints!$A:$C,3,FALSE)</f>
        <v>リンクガチャ</v>
      </c>
      <c r="L72" s="95" t="str">
        <f>VLOOKUP(I72,[7]stage_hints!$A:$D,4,FALSE)</f>
        <v>無料のリンクガチャを回して_x000D_経験値素材や売却素材を獲得しましょう</v>
      </c>
      <c r="M72" s="56" t="s">
        <v>215</v>
      </c>
    </row>
    <row r="73" spans="1:13" x14ac:dyDescent="0.15">
      <c r="A73" s="81" t="s">
        <v>203</v>
      </c>
      <c r="B73" s="82">
        <f>floors!$C$2</f>
        <v>60010</v>
      </c>
      <c r="C73" s="83" t="str">
        <f ca="1">VLOOKUP($B73,OFFSET([2]quests!$A$1,0,0,COUNTA([2]quests!$A:$A),MATCH(C$1,[2]quests!$1:$1,0)-MATCH($B$1,[2]quests!$1:$1,0)+1),MATCH(C$1,[2]quests!$1:$1,0)-MATCH($B$1,[2]quests!$1:$1,0)+1,FALSE)</f>
        <v>ラグランジュチャレンジ</v>
      </c>
      <c r="D73" s="83" t="str">
        <f ca="1">VLOOKUP($B73,OFFSET([2]quests!$A$1,0,0,COUNTA([2]quests!$A:$A),MATCH(D$1,[2]quests!$1:$1,0)-MATCH($B$1,[2]quests!$1:$1,0)+1),MATCH(D$1,[2]quests!$1:$1,0)-MATCH($B$1,[2]quests!$1:$1,0)+1,FALSE)</f>
        <v>ランキング2（ラグランジュ）</v>
      </c>
      <c r="E73" s="87" t="s">
        <v>220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5">
        <v>0</v>
      </c>
      <c r="I73" s="98">
        <v>18</v>
      </c>
      <c r="J73" s="84" t="s">
        <v>200</v>
      </c>
      <c r="K73" s="94" t="str">
        <f>VLOOKUP(I73,[7]stage_hints!$A:$C,3,FALSE)</f>
        <v>マルチプレイのメリット（その2）</v>
      </c>
      <c r="L73" s="95" t="str">
        <f>VLOOKUP(I73,[7]stage_hints!$A:$D,4,FALSE)</f>
        <v>マルチプレイならリンクが2倍もらえます_x000D_リンクガチャをたくさん回しましょう</v>
      </c>
      <c r="M73" s="56" t="s">
        <v>215</v>
      </c>
    </row>
    <row r="74" spans="1:13" x14ac:dyDescent="0.15">
      <c r="A74" s="81" t="s">
        <v>203</v>
      </c>
      <c r="B74" s="82">
        <f>floors!$C$2</f>
        <v>60010</v>
      </c>
      <c r="C74" s="83" t="str">
        <f ca="1">VLOOKUP($B74,OFFSET([2]quests!$A$1,0,0,COUNTA([2]quests!$A:$A),MATCH(C$1,[2]quests!$1:$1,0)-MATCH($B$1,[2]quests!$1:$1,0)+1),MATCH(C$1,[2]quests!$1:$1,0)-MATCH($B$1,[2]quests!$1:$1,0)+1,FALSE)</f>
        <v>ラグランジュチャレンジ</v>
      </c>
      <c r="D74" s="83" t="str">
        <f ca="1">VLOOKUP($B74,OFFSET([2]quests!$A$1,0,0,COUNTA([2]quests!$A:$A),MATCH(D$1,[2]quests!$1:$1,0)-MATCH($B$1,[2]quests!$1:$1,0)+1),MATCH(D$1,[2]quests!$1:$1,0)-MATCH($B$1,[2]quests!$1:$1,0)+1,FALSE)</f>
        <v>ランキング2（ラグランジュ）</v>
      </c>
      <c r="E74" s="87" t="s">
        <v>220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5">
        <v>0</v>
      </c>
      <c r="I74" s="98">
        <v>19</v>
      </c>
      <c r="J74" s="84" t="s">
        <v>200</v>
      </c>
      <c r="K74" s="94" t="str">
        <f>VLOOKUP(I74,[7]stage_hints!$A:$C,3,FALSE)</f>
        <v>ソロ専用チャレンジタワー</v>
      </c>
      <c r="L74" s="95" t="str">
        <f>VLOOKUP(I74,[7]stage_hints!$A:$D,4,FALSE)</f>
        <v>ソロ専用の「チャレンジタワー」では_x000D_各フロアごとにクリア報酬がもらえます</v>
      </c>
      <c r="M74" s="56" t="s">
        <v>215</v>
      </c>
    </row>
    <row r="75" spans="1:13" x14ac:dyDescent="0.15">
      <c r="A75" s="81" t="s">
        <v>203</v>
      </c>
      <c r="B75" s="82">
        <f>floors!$C$2</f>
        <v>60010</v>
      </c>
      <c r="C75" s="83" t="str">
        <f ca="1">VLOOKUP($B75,OFFSET([2]quests!$A$1,0,0,COUNTA([2]quests!$A:$A),MATCH(C$1,[2]quests!$1:$1,0)-MATCH($B$1,[2]quests!$1:$1,0)+1),MATCH(C$1,[2]quests!$1:$1,0)-MATCH($B$1,[2]quests!$1:$1,0)+1,FALSE)</f>
        <v>ラグランジュチャレンジ</v>
      </c>
      <c r="D75" s="83" t="str">
        <f ca="1">VLOOKUP($B75,OFFSET([2]quests!$A$1,0,0,COUNTA([2]quests!$A:$A),MATCH(D$1,[2]quests!$1:$1,0)-MATCH($B$1,[2]quests!$1:$1,0)+1),MATCH(D$1,[2]quests!$1:$1,0)-MATCH($B$1,[2]quests!$1:$1,0)+1,FALSE)</f>
        <v>ランキング2（ラグランジュ）</v>
      </c>
      <c r="E75" s="87" t="s">
        <v>220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5">
        <v>0</v>
      </c>
      <c r="I75" s="98">
        <v>20</v>
      </c>
      <c r="J75" s="84" t="s">
        <v>200</v>
      </c>
      <c r="K75" s="94" t="str">
        <f>VLOOKUP(I75,[7]stage_hints!$A:$C,3,FALSE)</f>
        <v>マルチプレイのメリット（その3）</v>
      </c>
      <c r="L75" s="95" t="str">
        <f>VLOOKUP(I75,[7]stage_hints!$A:$D,4,FALSE)</f>
        <v>マルチプレイへの参加はエナジー消費ゼロ_x000D_いつでも好きなだけ遊ぶことができます</v>
      </c>
      <c r="M75" s="56" t="s">
        <v>215</v>
      </c>
    </row>
    <row r="76" spans="1:13" x14ac:dyDescent="0.15">
      <c r="A76" s="81" t="s">
        <v>203</v>
      </c>
      <c r="B76" s="82">
        <f>floors!$C$2</f>
        <v>60010</v>
      </c>
      <c r="C76" s="83" t="str">
        <f ca="1">VLOOKUP($B76,OFFSET([2]quests!$A$1,0,0,COUNTA([2]quests!$A:$A),MATCH(C$1,[2]quests!$1:$1,0)-MATCH($B$1,[2]quests!$1:$1,0)+1),MATCH(C$1,[2]quests!$1:$1,0)-MATCH($B$1,[2]quests!$1:$1,0)+1,FALSE)</f>
        <v>ラグランジュチャレンジ</v>
      </c>
      <c r="D76" s="83" t="str">
        <f ca="1">VLOOKUP($B76,OFFSET([2]quests!$A$1,0,0,COUNTA([2]quests!$A:$A),MATCH(D$1,[2]quests!$1:$1,0)-MATCH($B$1,[2]quests!$1:$1,0)+1),MATCH(D$1,[2]quests!$1:$1,0)-MATCH($B$1,[2]quests!$1:$1,0)+1,FALSE)</f>
        <v>ランキング2（ラグランジュ）</v>
      </c>
      <c r="E76" s="87" t="s">
        <v>220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5">
        <v>0</v>
      </c>
      <c r="I76" s="98">
        <v>21</v>
      </c>
      <c r="J76" s="84" t="s">
        <v>200</v>
      </c>
      <c r="K76" s="94" t="str">
        <f>VLOOKUP(I76,[7]stage_hints!$A:$C,3,FALSE)</f>
        <v>スキルを有効に</v>
      </c>
      <c r="L76" s="95" t="str">
        <f>VLOOKUP(I76,[7]stage_hints!$A:$D,4,FALSE)</f>
        <v>ターン経過でユニットのスキルが使えます_x000D_強力スキルでバトルを有利に進めましょう</v>
      </c>
      <c r="M76" s="56" t="s">
        <v>215</v>
      </c>
    </row>
    <row r="77" spans="1:13" x14ac:dyDescent="0.15">
      <c r="A77" s="81" t="s">
        <v>203</v>
      </c>
      <c r="B77" s="82">
        <f>floors!$C$2</f>
        <v>60010</v>
      </c>
      <c r="C77" s="83" t="str">
        <f ca="1">VLOOKUP($B77,OFFSET([2]quests!$A$1,0,0,COUNTA([2]quests!$A:$A),MATCH(C$1,[2]quests!$1:$1,0)-MATCH($B$1,[2]quests!$1:$1,0)+1),MATCH(C$1,[2]quests!$1:$1,0)-MATCH($B$1,[2]quests!$1:$1,0)+1,FALSE)</f>
        <v>ラグランジュチャレンジ</v>
      </c>
      <c r="D77" s="83" t="str">
        <f ca="1">VLOOKUP($B77,OFFSET([2]quests!$A$1,0,0,COUNTA([2]quests!$A:$A),MATCH(D$1,[2]quests!$1:$1,0)-MATCH($B$1,[2]quests!$1:$1,0)+1),MATCH(D$1,[2]quests!$1:$1,0)-MATCH($B$1,[2]quests!$1:$1,0)+1,FALSE)</f>
        <v>ランキング2（ラグランジュ）</v>
      </c>
      <c r="E77" s="87" t="s">
        <v>220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5">
        <v>0</v>
      </c>
      <c r="I77" s="98">
        <v>22</v>
      </c>
      <c r="J77" s="84" t="s">
        <v>200</v>
      </c>
      <c r="K77" s="94" t="str">
        <f>VLOOKUP(I77,[7]stage_hints!$A:$C,3,FALSE)</f>
        <v>フィーバーで一発逆転（その1）</v>
      </c>
      <c r="L77" s="95" t="str">
        <f>VLOOKUP(I77,[7]stage_hints!$A:$D,4,FALSE)</f>
        <v>フィーバーは攻撃と回復を兼ね備えます_x000D_ピンチからの一発逆転を狙いましょう</v>
      </c>
      <c r="M77" s="56" t="s">
        <v>215</v>
      </c>
    </row>
    <row r="78" spans="1:13" x14ac:dyDescent="0.15">
      <c r="A78" s="81" t="s">
        <v>203</v>
      </c>
      <c r="B78" s="82">
        <f>floors!$C$2</f>
        <v>60010</v>
      </c>
      <c r="C78" s="83" t="str">
        <f ca="1">VLOOKUP($B78,OFFSET([2]quests!$A$1,0,0,COUNTA([2]quests!$A:$A),MATCH(C$1,[2]quests!$1:$1,0)-MATCH($B$1,[2]quests!$1:$1,0)+1),MATCH(C$1,[2]quests!$1:$1,0)-MATCH($B$1,[2]quests!$1:$1,0)+1,FALSE)</f>
        <v>ラグランジュチャレンジ</v>
      </c>
      <c r="D78" s="83" t="str">
        <f ca="1">VLOOKUP($B78,OFFSET([2]quests!$A$1,0,0,COUNTA([2]quests!$A:$A),MATCH(D$1,[2]quests!$1:$1,0)-MATCH($B$1,[2]quests!$1:$1,0)+1),MATCH(D$1,[2]quests!$1:$1,0)-MATCH($B$1,[2]quests!$1:$1,0)+1,FALSE)</f>
        <v>ランキング2（ラグランジュ）</v>
      </c>
      <c r="E78" s="87" t="s">
        <v>220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5">
        <v>0</v>
      </c>
      <c r="I78" s="98">
        <v>23</v>
      </c>
      <c r="J78" s="84" t="s">
        <v>200</v>
      </c>
      <c r="K78" s="94" t="str">
        <f>VLOOKUP(I78,[7]stage_hints!$A:$C,3,FALSE)</f>
        <v>フィーバーで一発逆転（その2）</v>
      </c>
      <c r="L78" s="95" t="str">
        <f>VLOOKUP(I78,[7]stage_hints!$A:$D,4,FALSE)</f>
        <v>フィーバー中は虹色のボムパネルを狙って_x000D_画面上のパネルを一気に破壊しましょう</v>
      </c>
      <c r="M78" s="56" t="s">
        <v>215</v>
      </c>
    </row>
    <row r="79" spans="1:13" x14ac:dyDescent="0.15">
      <c r="A79" s="81" t="s">
        <v>203</v>
      </c>
      <c r="B79" s="82">
        <f>floors!$C$2</f>
        <v>60010</v>
      </c>
      <c r="C79" s="83" t="str">
        <f ca="1">VLOOKUP($B79,OFFSET([2]quests!$A$1,0,0,COUNTA([2]quests!$A:$A),MATCH(C$1,[2]quests!$1:$1,0)-MATCH($B$1,[2]quests!$1:$1,0)+1),MATCH(C$1,[2]quests!$1:$1,0)-MATCH($B$1,[2]quests!$1:$1,0)+1,FALSE)</f>
        <v>ラグランジュチャレンジ</v>
      </c>
      <c r="D79" s="83" t="str">
        <f ca="1">VLOOKUP($B79,OFFSET([2]quests!$A$1,0,0,COUNTA([2]quests!$A:$A),MATCH(D$1,[2]quests!$1:$1,0)-MATCH($B$1,[2]quests!$1:$1,0)+1),MATCH(D$1,[2]quests!$1:$1,0)-MATCH($B$1,[2]quests!$1:$1,0)+1,FALSE)</f>
        <v>ランキング2（ラグランジュ）</v>
      </c>
      <c r="E79" s="87" t="s">
        <v>220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5">
        <v>0</v>
      </c>
      <c r="I79" s="98">
        <v>24</v>
      </c>
      <c r="J79" s="84" t="s">
        <v>200</v>
      </c>
      <c r="K79" s="94" t="str">
        <f>VLOOKUP(I79,[7]stage_hints!$A:$C,3,FALSE)</f>
        <v>りんごを使って限界突破</v>
      </c>
      <c r="L79" s="95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6" t="s">
        <v>215</v>
      </c>
    </row>
    <row r="80" spans="1:13" x14ac:dyDescent="0.15">
      <c r="A80" s="81" t="s">
        <v>203</v>
      </c>
      <c r="B80" s="82">
        <f>floors!$C$2</f>
        <v>60010</v>
      </c>
      <c r="C80" s="83" t="str">
        <f ca="1">VLOOKUP($B80,OFFSET([2]quests!$A$1,0,0,COUNTA([2]quests!$A:$A),MATCH(C$1,[2]quests!$1:$1,0)-MATCH($B$1,[2]quests!$1:$1,0)+1),MATCH(C$1,[2]quests!$1:$1,0)-MATCH($B$1,[2]quests!$1:$1,0)+1,FALSE)</f>
        <v>ラグランジュチャレンジ</v>
      </c>
      <c r="D80" s="83" t="str">
        <f ca="1">VLOOKUP($B80,OFFSET([2]quests!$A$1,0,0,COUNTA([2]quests!$A:$A),MATCH(D$1,[2]quests!$1:$1,0)-MATCH($B$1,[2]quests!$1:$1,0)+1),MATCH(D$1,[2]quests!$1:$1,0)-MATCH($B$1,[2]quests!$1:$1,0)+1,FALSE)</f>
        <v>ランキング2（ラグランジュ）</v>
      </c>
      <c r="E80" s="87" t="s">
        <v>220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5">
        <v>0</v>
      </c>
      <c r="I80" s="98">
        <v>25</v>
      </c>
      <c r="J80" s="84" t="s">
        <v>200</v>
      </c>
      <c r="K80" s="94" t="str">
        <f>VLOOKUP(I80,[7]stage_hints!$A:$C,3,FALSE)</f>
        <v>スキルレベルアップ</v>
      </c>
      <c r="L80" s="95" t="str">
        <f>VLOOKUP(I80,[7]stage_hints!$A:$D,4,FALSE)</f>
        <v>「クリスタルのりんご」を強化に使うと_x000D_スキルレベルを上げることができます</v>
      </c>
      <c r="M80" s="56" t="s">
        <v>215</v>
      </c>
    </row>
    <row r="81" spans="1:13" x14ac:dyDescent="0.15">
      <c r="A81" s="81" t="s">
        <v>203</v>
      </c>
      <c r="B81" s="82">
        <f>floors!$C$2</f>
        <v>60010</v>
      </c>
      <c r="C81" s="83" t="str">
        <f ca="1">VLOOKUP($B81,OFFSET([2]quests!$A$1,0,0,COUNTA([2]quests!$A:$A),MATCH(C$1,[2]quests!$1:$1,0)-MATCH($B$1,[2]quests!$1:$1,0)+1),MATCH(C$1,[2]quests!$1:$1,0)-MATCH($B$1,[2]quests!$1:$1,0)+1,FALSE)</f>
        <v>ラグランジュチャレンジ</v>
      </c>
      <c r="D81" s="83" t="str">
        <f ca="1">VLOOKUP($B81,OFFSET([2]quests!$A$1,0,0,COUNTA([2]quests!$A:$A),MATCH(D$1,[2]quests!$1:$1,0)-MATCH($B$1,[2]quests!$1:$1,0)+1),MATCH(D$1,[2]quests!$1:$1,0)-MATCH($B$1,[2]quests!$1:$1,0)+1,FALSE)</f>
        <v>ランキング2（ラグランジュ）</v>
      </c>
      <c r="E81" s="87" t="s">
        <v>220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5">
        <v>0</v>
      </c>
      <c r="I81" s="98">
        <v>26</v>
      </c>
      <c r="J81" s="84" t="s">
        <v>200</v>
      </c>
      <c r="K81" s="94" t="str">
        <f>VLOOKUP(I81,[7]stage_hints!$A:$C,3,FALSE)</f>
        <v>スキルレベルの効果</v>
      </c>
      <c r="L81" s="95" t="str">
        <f>VLOOKUP(I81,[7]stage_hints!$A:$D,4,FALSE)</f>
        <v>スキルレベルが上がると_x000D_短いターンでスキルを使うことができます</v>
      </c>
      <c r="M81" s="56" t="s">
        <v>215</v>
      </c>
    </row>
    <row r="82" spans="1:13" x14ac:dyDescent="0.15">
      <c r="A82" s="81" t="s">
        <v>203</v>
      </c>
      <c r="B82" s="82">
        <f>floors!$C$2</f>
        <v>60010</v>
      </c>
      <c r="C82" s="83" t="str">
        <f ca="1">VLOOKUP($B82,OFFSET([2]quests!$A$1,0,0,COUNTA([2]quests!$A:$A),MATCH(C$1,[2]quests!$1:$1,0)-MATCH($B$1,[2]quests!$1:$1,0)+1),MATCH(C$1,[2]quests!$1:$1,0)-MATCH($B$1,[2]quests!$1:$1,0)+1,FALSE)</f>
        <v>ラグランジュチャレンジ</v>
      </c>
      <c r="D82" s="83" t="str">
        <f ca="1">VLOOKUP($B82,OFFSET([2]quests!$A$1,0,0,COUNTA([2]quests!$A:$A),MATCH(D$1,[2]quests!$1:$1,0)-MATCH($B$1,[2]quests!$1:$1,0)+1),MATCH(D$1,[2]quests!$1:$1,0)-MATCH($B$1,[2]quests!$1:$1,0)+1,FALSE)</f>
        <v>ランキング2（ラグランジュ）</v>
      </c>
      <c r="E82" s="87" t="s">
        <v>220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5">
        <v>0</v>
      </c>
      <c r="I82" s="98">
        <v>27</v>
      </c>
      <c r="J82" s="84" t="s">
        <v>200</v>
      </c>
      <c r="K82" s="94" t="str">
        <f>VLOOKUP(I82,[7]stage_hints!$A:$C,3,FALSE)</f>
        <v>ホーム画面からデッキを編成</v>
      </c>
      <c r="L82" s="95" t="str">
        <f>VLOOKUP(I82,[7]stage_hints!$A:$D,4,FALSE)</f>
        <v>ホーム画面でユニットを長押しすると_x000D_すぐにパーティ編成に移動できます</v>
      </c>
      <c r="M82" s="56" t="s">
        <v>215</v>
      </c>
    </row>
    <row r="83" spans="1:13" x14ac:dyDescent="0.15">
      <c r="A83" s="81" t="s">
        <v>203</v>
      </c>
      <c r="B83" s="82">
        <f>floors!$C$2</f>
        <v>60010</v>
      </c>
      <c r="C83" s="83" t="str">
        <f ca="1">VLOOKUP($B83,OFFSET([2]quests!$A$1,0,0,COUNTA([2]quests!$A:$A),MATCH(C$1,[2]quests!$1:$1,0)-MATCH($B$1,[2]quests!$1:$1,0)+1),MATCH(C$1,[2]quests!$1:$1,0)-MATCH($B$1,[2]quests!$1:$1,0)+1,FALSE)</f>
        <v>ラグランジュチャレンジ</v>
      </c>
      <c r="D83" s="83" t="str">
        <f ca="1">VLOOKUP($B83,OFFSET([2]quests!$A$1,0,0,COUNTA([2]quests!$A:$A),MATCH(D$1,[2]quests!$1:$1,0)-MATCH($B$1,[2]quests!$1:$1,0)+1),MATCH(D$1,[2]quests!$1:$1,0)-MATCH($B$1,[2]quests!$1:$1,0)+1,FALSE)</f>
        <v>ランキング2（ラグランジュ）</v>
      </c>
      <c r="E83" s="87" t="s">
        <v>220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5">
        <v>0</v>
      </c>
      <c r="I83" s="98">
        <v>28</v>
      </c>
      <c r="J83" s="84" t="s">
        <v>200</v>
      </c>
      <c r="K83" s="94" t="str">
        <f>VLOOKUP(I83,[7]stage_hints!$A:$C,3,FALSE)</f>
        <v>ステータス情報は長押しで</v>
      </c>
      <c r="L83" s="95" t="str">
        <f>VLOOKUP(I83,[7]stage_hints!$A:$D,4,FALSE)</f>
        <v>ユニットのアイコンを長押しすると_x000D_ステータス情報を確認することができます</v>
      </c>
      <c r="M83" s="56" t="s">
        <v>215</v>
      </c>
    </row>
    <row r="84" spans="1:13" x14ac:dyDescent="0.15">
      <c r="A84" s="81" t="s">
        <v>203</v>
      </c>
      <c r="B84" s="82">
        <f>floors!$C$2</f>
        <v>60010</v>
      </c>
      <c r="C84" s="83" t="str">
        <f ca="1">VLOOKUP($B84,OFFSET([2]quests!$A$1,0,0,COUNTA([2]quests!$A:$A),MATCH(C$1,[2]quests!$1:$1,0)-MATCH($B$1,[2]quests!$1:$1,0)+1),MATCH(C$1,[2]quests!$1:$1,0)-MATCH($B$1,[2]quests!$1:$1,0)+1,FALSE)</f>
        <v>ラグランジュチャレンジ</v>
      </c>
      <c r="D84" s="83" t="str">
        <f ca="1">VLOOKUP($B84,OFFSET([2]quests!$A$1,0,0,COUNTA([2]quests!$A:$A),MATCH(D$1,[2]quests!$1:$1,0)-MATCH($B$1,[2]quests!$1:$1,0)+1),MATCH(D$1,[2]quests!$1:$1,0)-MATCH($B$1,[2]quests!$1:$1,0)+1,FALSE)</f>
        <v>ランキング2（ラグランジュ）</v>
      </c>
      <c r="E84" s="87" t="s">
        <v>220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5">
        <v>0</v>
      </c>
      <c r="I84" s="98">
        <v>29</v>
      </c>
      <c r="J84" s="84" t="s">
        <v>200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6" t="s">
        <v>215</v>
      </c>
    </row>
    <row r="85" spans="1:13" x14ac:dyDescent="0.15">
      <c r="A85" s="81" t="s">
        <v>203</v>
      </c>
      <c r="B85" s="82">
        <f>floors!$C$2</f>
        <v>60010</v>
      </c>
      <c r="C85" s="83" t="str">
        <f ca="1">VLOOKUP($B85,OFFSET([2]quests!$A$1,0,0,COUNTA([2]quests!$A:$A),MATCH(C$1,[2]quests!$1:$1,0)-MATCH($B$1,[2]quests!$1:$1,0)+1),MATCH(C$1,[2]quests!$1:$1,0)-MATCH($B$1,[2]quests!$1:$1,0)+1,FALSE)</f>
        <v>ラグランジュチャレンジ</v>
      </c>
      <c r="D85" s="83" t="str">
        <f ca="1">VLOOKUP($B85,OFFSET([2]quests!$A$1,0,0,COUNTA([2]quests!$A:$A),MATCH(D$1,[2]quests!$1:$1,0)-MATCH($B$1,[2]quests!$1:$1,0)+1),MATCH(D$1,[2]quests!$1:$1,0)-MATCH($B$1,[2]quests!$1:$1,0)+1,FALSE)</f>
        <v>ランキング2（ラグランジュ）</v>
      </c>
      <c r="E85" s="87" t="s">
        <v>220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5">
        <v>0</v>
      </c>
      <c r="I85" s="98">
        <v>30</v>
      </c>
      <c r="J85" s="84" t="s">
        <v>200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6" t="s">
        <v>215</v>
      </c>
    </row>
    <row r="86" spans="1:13" x14ac:dyDescent="0.15">
      <c r="A86" s="81" t="s">
        <v>203</v>
      </c>
      <c r="B86" s="82">
        <f>floors!$C$2</f>
        <v>60010</v>
      </c>
      <c r="C86" s="83" t="str">
        <f ca="1">VLOOKUP($B86,OFFSET([2]quests!$A$1,0,0,COUNTA([2]quests!$A:$A),MATCH(C$1,[2]quests!$1:$1,0)-MATCH($B$1,[2]quests!$1:$1,0)+1),MATCH(C$1,[2]quests!$1:$1,0)-MATCH($B$1,[2]quests!$1:$1,0)+1,FALSE)</f>
        <v>ラグランジュチャレンジ</v>
      </c>
      <c r="D86" s="83" t="str">
        <f ca="1">VLOOKUP($B86,OFFSET([2]quests!$A$1,0,0,COUNTA([2]quests!$A:$A),MATCH(D$1,[2]quests!$1:$1,0)-MATCH($B$1,[2]quests!$1:$1,0)+1),MATCH(D$1,[2]quests!$1:$1,0)-MATCH($B$1,[2]quests!$1:$1,0)+1,FALSE)</f>
        <v>ランキング2（ラグランジュ）</v>
      </c>
      <c r="E86" s="87" t="s">
        <v>220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5">
        <v>0</v>
      </c>
      <c r="I86" s="98">
        <v>31</v>
      </c>
      <c r="J86" s="84" t="s">
        <v>200</v>
      </c>
      <c r="K86" s="94" t="str">
        <f>VLOOKUP(I86,[7]stage_hints!$A:$C,3,FALSE)</f>
        <v>イベントはお知らせでチェック</v>
      </c>
      <c r="L86" s="95" t="str">
        <f>VLOOKUP(I86,[7]stage_hints!$A:$D,4,FALSE)</f>
        <v>イベント限定ユニットを取り忘れないように_x000D_お知らせをこまめにチェックしましょう</v>
      </c>
      <c r="M86" s="56" t="s">
        <v>215</v>
      </c>
    </row>
    <row r="87" spans="1:13" x14ac:dyDescent="0.15">
      <c r="A87" s="81" t="s">
        <v>203</v>
      </c>
      <c r="B87" s="82">
        <f>floors!$C$2</f>
        <v>60010</v>
      </c>
      <c r="C87" s="83" t="str">
        <f ca="1">VLOOKUP($B87,OFFSET([2]quests!$A$1,0,0,COUNTA([2]quests!$A:$A),MATCH(C$1,[2]quests!$1:$1,0)-MATCH($B$1,[2]quests!$1:$1,0)+1),MATCH(C$1,[2]quests!$1:$1,0)-MATCH($B$1,[2]quests!$1:$1,0)+1,FALSE)</f>
        <v>ラグランジュチャレンジ</v>
      </c>
      <c r="D87" s="83" t="str">
        <f ca="1">VLOOKUP($B87,OFFSET([2]quests!$A$1,0,0,COUNTA([2]quests!$A:$A),MATCH(D$1,[2]quests!$1:$1,0)-MATCH($B$1,[2]quests!$1:$1,0)+1),MATCH(D$1,[2]quests!$1:$1,0)-MATCH($B$1,[2]quests!$1:$1,0)+1,FALSE)</f>
        <v>ランキング2（ラグランジュ）</v>
      </c>
      <c r="E87" s="87" t="s">
        <v>220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5">
        <v>0</v>
      </c>
      <c r="I87" s="98">
        <v>32</v>
      </c>
      <c r="J87" s="84" t="s">
        <v>200</v>
      </c>
      <c r="K87" s="94" t="str">
        <f>VLOOKUP(I87,[7]stage_hints!$A:$C,3,FALSE)</f>
        <v>敵の連続攻撃には</v>
      </c>
      <c r="L87" s="95" t="str">
        <f>VLOOKUP(I87,[7]stage_hints!$A:$D,4,FALSE)</f>
        <v>カウンタースキルを持つユニットがいれば_x000D_ダメージ回数分の反撃ができます</v>
      </c>
      <c r="M87" s="56" t="s">
        <v>215</v>
      </c>
    </row>
    <row r="88" spans="1:13" x14ac:dyDescent="0.15">
      <c r="A88" s="81" t="s">
        <v>203</v>
      </c>
      <c r="B88" s="82">
        <f>floors!$C$2</f>
        <v>60010</v>
      </c>
      <c r="C88" s="83" t="str">
        <f ca="1">VLOOKUP($B88,OFFSET([2]quests!$A$1,0,0,COUNTA([2]quests!$A:$A),MATCH(C$1,[2]quests!$1:$1,0)-MATCH($B$1,[2]quests!$1:$1,0)+1),MATCH(C$1,[2]quests!$1:$1,0)-MATCH($B$1,[2]quests!$1:$1,0)+1,FALSE)</f>
        <v>ラグランジュチャレンジ</v>
      </c>
      <c r="D88" s="83" t="str">
        <f ca="1">VLOOKUP($B88,OFFSET([2]quests!$A$1,0,0,COUNTA([2]quests!$A:$A),MATCH(D$1,[2]quests!$1:$1,0)-MATCH($B$1,[2]quests!$1:$1,0)+1),MATCH(D$1,[2]quests!$1:$1,0)-MATCH($B$1,[2]quests!$1:$1,0)+1,FALSE)</f>
        <v>ランキング2（ラグランジュ）</v>
      </c>
      <c r="E88" s="87" t="s">
        <v>220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5">
        <v>0</v>
      </c>
      <c r="I88" s="98">
        <v>33</v>
      </c>
      <c r="J88" s="84" t="s">
        <v>200</v>
      </c>
      <c r="K88" s="94" t="str">
        <f>VLOOKUP(I88,[7]stage_hints!$A:$C,3,FALSE)</f>
        <v>敵のカウンター攻撃には</v>
      </c>
      <c r="L88" s="95" t="str">
        <f>VLOOKUP(I88,[7]stage_hints!$A:$D,4,FALSE)</f>
        <v>カウンターブレイクスキルを持っていれば_x000D_敵のカウンターを解除して攻撃ができます</v>
      </c>
      <c r="M88" s="56" t="s">
        <v>215</v>
      </c>
    </row>
    <row r="89" spans="1:13" x14ac:dyDescent="0.15">
      <c r="A89" s="81" t="s">
        <v>203</v>
      </c>
      <c r="B89" s="82">
        <f>floors!$C$2</f>
        <v>60010</v>
      </c>
      <c r="C89" s="83" t="str">
        <f ca="1">VLOOKUP($B89,OFFSET([2]quests!$A$1,0,0,COUNTA([2]quests!$A:$A),MATCH(C$1,[2]quests!$1:$1,0)-MATCH($B$1,[2]quests!$1:$1,0)+1),MATCH(C$1,[2]quests!$1:$1,0)-MATCH($B$1,[2]quests!$1:$1,0)+1,FALSE)</f>
        <v>ラグランジュチャレンジ</v>
      </c>
      <c r="D89" s="83" t="str">
        <f ca="1">VLOOKUP($B89,OFFSET([2]quests!$A$1,0,0,COUNTA([2]quests!$A:$A),MATCH(D$1,[2]quests!$1:$1,0)-MATCH($B$1,[2]quests!$1:$1,0)+1),MATCH(D$1,[2]quests!$1:$1,0)-MATCH($B$1,[2]quests!$1:$1,0)+1,FALSE)</f>
        <v>ランキング2（ラグランジュ）</v>
      </c>
      <c r="E89" s="87" t="s">
        <v>220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5">
        <v>0</v>
      </c>
      <c r="I89" s="98">
        <v>34</v>
      </c>
      <c r="J89" s="84" t="s">
        <v>200</v>
      </c>
      <c r="K89" s="94" t="str">
        <f>VLOOKUP(I89,[7]stage_hints!$A:$C,3,FALSE)</f>
        <v>ステータスをスキルで下げられたら</v>
      </c>
      <c r="L89" s="95" t="str">
        <f>VLOOKUP(I89,[7]stage_hints!$A:$D,4,FALSE)</f>
        <v>ステータスダウンのスキルを受けたら_x000D_ステータスアップスキルで上書きしましょう</v>
      </c>
      <c r="M89" s="56" t="s">
        <v>215</v>
      </c>
    </row>
    <row r="90" spans="1:13" x14ac:dyDescent="0.15">
      <c r="A90" s="81" t="s">
        <v>203</v>
      </c>
      <c r="B90" s="82">
        <f>floors!$C$2</f>
        <v>60010</v>
      </c>
      <c r="C90" s="83" t="str">
        <f ca="1">VLOOKUP($B90,OFFSET([2]quests!$A$1,0,0,COUNTA([2]quests!$A:$A),MATCH(C$1,[2]quests!$1:$1,0)-MATCH($B$1,[2]quests!$1:$1,0)+1),MATCH(C$1,[2]quests!$1:$1,0)-MATCH($B$1,[2]quests!$1:$1,0)+1,FALSE)</f>
        <v>ラグランジュチャレンジ</v>
      </c>
      <c r="D90" s="83" t="str">
        <f ca="1">VLOOKUP($B90,OFFSET([2]quests!$A$1,0,0,COUNTA([2]quests!$A:$A),MATCH(D$1,[2]quests!$1:$1,0)-MATCH($B$1,[2]quests!$1:$1,0)+1),MATCH(D$1,[2]quests!$1:$1,0)-MATCH($B$1,[2]quests!$1:$1,0)+1,FALSE)</f>
        <v>ランキング2（ラグランジュ）</v>
      </c>
      <c r="E90" s="87" t="s">
        <v>220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5">
        <v>0</v>
      </c>
      <c r="I90" s="98">
        <v>35</v>
      </c>
      <c r="J90" s="84" t="s">
        <v>200</v>
      </c>
      <c r="K90" s="94" t="str">
        <f>VLOOKUP(I90,[7]stage_hints!$A:$C,3,FALSE)</f>
        <v>敵のステータスがスキルで上がったら</v>
      </c>
      <c r="L90" s="95" t="str">
        <f>VLOOKUP(I90,[7]stage_hints!$A:$D,4,FALSE)</f>
        <v>敵のステータスがスキルでアップしたときは_x000D_ステータスダウンスキルで上書きしましょう</v>
      </c>
      <c r="M90" s="56" t="s">
        <v>215</v>
      </c>
    </row>
    <row r="91" spans="1:13" x14ac:dyDescent="0.15">
      <c r="A91" s="81" t="s">
        <v>203</v>
      </c>
      <c r="B91" s="82">
        <f>floors!$C$2</f>
        <v>60010</v>
      </c>
      <c r="C91" s="83" t="str">
        <f ca="1">VLOOKUP($B91,OFFSET([2]quests!$A$1,0,0,COUNTA([2]quests!$A:$A),MATCH(C$1,[2]quests!$1:$1,0)-MATCH($B$1,[2]quests!$1:$1,0)+1),MATCH(C$1,[2]quests!$1:$1,0)-MATCH($B$1,[2]quests!$1:$1,0)+1,FALSE)</f>
        <v>ラグランジュチャレンジ</v>
      </c>
      <c r="D91" s="83" t="str">
        <f ca="1">VLOOKUP($B91,OFFSET([2]quests!$A$1,0,0,COUNTA([2]quests!$A:$A),MATCH(D$1,[2]quests!$1:$1,0)-MATCH($B$1,[2]quests!$1:$1,0)+1),MATCH(D$1,[2]quests!$1:$1,0)-MATCH($B$1,[2]quests!$1:$1,0)+1,FALSE)</f>
        <v>ランキング2（ラグランジュ）</v>
      </c>
      <c r="E91" s="87" t="s">
        <v>220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5">
        <v>0</v>
      </c>
      <c r="I91" s="98">
        <v>36</v>
      </c>
      <c r="J91" s="84" t="s">
        <v>200</v>
      </c>
      <c r="K91" s="94" t="str">
        <f>VLOOKUP(I91,[7]stage_hints!$A:$C,3,FALSE)</f>
        <v>チャレンジタワーのボス</v>
      </c>
      <c r="L91" s="95" t="str">
        <f>VLOOKUP(I91,[7]stage_hints!$A:$D,4,FALSE)</f>
        <v>チャレンジタワーでのみ登場するボスは_x000D_一定確率で獲得することができます</v>
      </c>
      <c r="M91" s="56" t="s">
        <v>215</v>
      </c>
    </row>
    <row r="92" spans="1:13" x14ac:dyDescent="0.15">
      <c r="A92" s="81" t="s">
        <v>203</v>
      </c>
      <c r="B92" s="82">
        <f>floors!$C$2</f>
        <v>60010</v>
      </c>
      <c r="C92" s="83" t="str">
        <f ca="1">VLOOKUP($B92,OFFSET([2]quests!$A$1,0,0,COUNTA([2]quests!$A:$A),MATCH(C$1,[2]quests!$1:$1,0)-MATCH($B$1,[2]quests!$1:$1,0)+1),MATCH(C$1,[2]quests!$1:$1,0)-MATCH($B$1,[2]quests!$1:$1,0)+1,FALSE)</f>
        <v>ラグランジュチャレンジ</v>
      </c>
      <c r="D92" s="83" t="str">
        <f ca="1">VLOOKUP($B92,OFFSET([2]quests!$A$1,0,0,COUNTA([2]quests!$A:$A),MATCH(D$1,[2]quests!$1:$1,0)-MATCH($B$1,[2]quests!$1:$1,0)+1),MATCH(D$1,[2]quests!$1:$1,0)-MATCH($B$1,[2]quests!$1:$1,0)+1,FALSE)</f>
        <v>ランキング2（ラグランジュ）</v>
      </c>
      <c r="E92" s="87" t="s">
        <v>220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5">
        <v>0</v>
      </c>
      <c r="I92" s="98">
        <v>37</v>
      </c>
      <c r="J92" s="84" t="s">
        <v>200</v>
      </c>
      <c r="K92" s="94" t="str">
        <f>VLOOKUP(I92,[7]stage_hints!$A:$C,3,FALSE)</f>
        <v>限界突破値の引き継ぎ</v>
      </c>
      <c r="L92" s="95" t="str">
        <f>VLOOKUP(I92,[7]stage_hints!$A:$D,4,FALSE)</f>
        <v>同じユニットを強化で合成すると_x000D_限界突破値を引き継げます（覚醒前後も可）</v>
      </c>
      <c r="M92" s="56" t="s">
        <v>215</v>
      </c>
    </row>
    <row r="93" spans="1:13" x14ac:dyDescent="0.15">
      <c r="A93" s="81" t="s">
        <v>203</v>
      </c>
      <c r="B93" s="82">
        <f>floors!$C$2</f>
        <v>60010</v>
      </c>
      <c r="C93" s="83" t="str">
        <f ca="1">VLOOKUP($B93,OFFSET([2]quests!$A$1,0,0,COUNTA([2]quests!$A:$A),MATCH(C$1,[2]quests!$1:$1,0)-MATCH($B$1,[2]quests!$1:$1,0)+1),MATCH(C$1,[2]quests!$1:$1,0)-MATCH($B$1,[2]quests!$1:$1,0)+1,FALSE)</f>
        <v>ラグランジュチャレンジ</v>
      </c>
      <c r="D93" s="83" t="str">
        <f ca="1">VLOOKUP($B93,OFFSET([2]quests!$A$1,0,0,COUNTA([2]quests!$A:$A),MATCH(D$1,[2]quests!$1:$1,0)-MATCH($B$1,[2]quests!$1:$1,0)+1),MATCH(D$1,[2]quests!$1:$1,0)-MATCH($B$1,[2]quests!$1:$1,0)+1,FALSE)</f>
        <v>ランキング2（ラグランジュ）</v>
      </c>
      <c r="E93" s="87" t="s">
        <v>220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5">
        <v>0</v>
      </c>
      <c r="I93" s="98">
        <v>39</v>
      </c>
      <c r="J93" s="84" t="s">
        <v>200</v>
      </c>
      <c r="K93" s="94" t="str">
        <f>VLOOKUP(I93,[7]stage_hints!$A:$C,3,FALSE)</f>
        <v>システム適合者を確認</v>
      </c>
      <c r="L93" s="95" t="str">
        <f>VLOOKUP(I93,[7]stage_hints!$A:$D,4,FALSE)</f>
        <v>ALICEが「アナタ」を呼んでいます</v>
      </c>
      <c r="M93" s="56" t="s">
        <v>215</v>
      </c>
    </row>
    <row r="94" spans="1:13" x14ac:dyDescent="0.15">
      <c r="A94" s="81" t="s">
        <v>203</v>
      </c>
      <c r="B94" s="82">
        <f>floors!$C$2</f>
        <v>60010</v>
      </c>
      <c r="C94" s="83" t="str">
        <f ca="1">VLOOKUP($B94,OFFSET([2]quests!$A$1,0,0,COUNTA([2]quests!$A:$A),MATCH(C$1,[2]quests!$1:$1,0)-MATCH($B$1,[2]quests!$1:$1,0)+1),MATCH(C$1,[2]quests!$1:$1,0)-MATCH($B$1,[2]quests!$1:$1,0)+1,FALSE)</f>
        <v>ラグランジュチャレンジ</v>
      </c>
      <c r="D94" s="83" t="str">
        <f ca="1">VLOOKUP($B94,OFFSET([2]quests!$A$1,0,0,COUNTA([2]quests!$A:$A),MATCH(D$1,[2]quests!$1:$1,0)-MATCH($B$1,[2]quests!$1:$1,0)+1),MATCH(D$1,[2]quests!$1:$1,0)-MATCH($B$1,[2]quests!$1:$1,0)+1,FALSE)</f>
        <v>ランキング2（ラグランジュ）</v>
      </c>
      <c r="E94" s="87" t="s">
        <v>221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5">
        <v>0</v>
      </c>
      <c r="I94">
        <v>12</v>
      </c>
      <c r="J94" s="84" t="s">
        <v>200</v>
      </c>
      <c r="K94" s="94" t="str">
        <f>VLOOKUP(I94,[7]stage_hints!$A:$C,3,FALSE)</f>
        <v>ユニットのお気に入り登録</v>
      </c>
      <c r="L94" s="95" t="str">
        <f>VLOOKUP(I94,[7]stage_hints!$A:$D,4,FALSE)</f>
        <v>大事なユニットを誤って消さないように_x000D_フォルダから「お気に入り登録」しましょう</v>
      </c>
      <c r="M94" s="56" t="s">
        <v>215</v>
      </c>
    </row>
    <row r="95" spans="1:13" x14ac:dyDescent="0.15">
      <c r="A95" s="81" t="s">
        <v>203</v>
      </c>
      <c r="B95" s="82">
        <f>floors!$C$2</f>
        <v>60010</v>
      </c>
      <c r="C95" s="83" t="str">
        <f ca="1">VLOOKUP($B95,OFFSET([2]quests!$A$1,0,0,COUNTA([2]quests!$A:$A),MATCH(C$1,[2]quests!$1:$1,0)-MATCH($B$1,[2]quests!$1:$1,0)+1),MATCH(C$1,[2]quests!$1:$1,0)-MATCH($B$1,[2]quests!$1:$1,0)+1,FALSE)</f>
        <v>ラグランジュチャレンジ</v>
      </c>
      <c r="D95" s="83" t="str">
        <f ca="1">VLOOKUP($B95,OFFSET([2]quests!$A$1,0,0,COUNTA([2]quests!$A:$A),MATCH(D$1,[2]quests!$1:$1,0)-MATCH($B$1,[2]quests!$1:$1,0)+1),MATCH(D$1,[2]quests!$1:$1,0)-MATCH($B$1,[2]quests!$1:$1,0)+1,FALSE)</f>
        <v>ランキング2（ラグランジュ）</v>
      </c>
      <c r="E95" s="87" t="s">
        <v>221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5">
        <v>0</v>
      </c>
      <c r="I95">
        <v>17</v>
      </c>
      <c r="J95" s="84" t="s">
        <v>200</v>
      </c>
      <c r="K95" s="94" t="str">
        <f>VLOOKUP(I95,[7]stage_hints!$A:$C,3,FALSE)</f>
        <v>リンクガチャ</v>
      </c>
      <c r="L95" s="95" t="str">
        <f>VLOOKUP(I95,[7]stage_hints!$A:$D,4,FALSE)</f>
        <v>無料のリンクガチャを回して_x000D_経験値素材や売却素材を獲得しましょう</v>
      </c>
      <c r="M95" s="56" t="s">
        <v>215</v>
      </c>
    </row>
    <row r="96" spans="1:13" x14ac:dyDescent="0.15">
      <c r="A96" s="81" t="s">
        <v>203</v>
      </c>
      <c r="B96" s="82">
        <f>floors!$C$2</f>
        <v>60010</v>
      </c>
      <c r="C96" s="83" t="str">
        <f ca="1">VLOOKUP($B96,OFFSET([2]quests!$A$1,0,0,COUNTA([2]quests!$A:$A),MATCH(C$1,[2]quests!$1:$1,0)-MATCH($B$1,[2]quests!$1:$1,0)+1),MATCH(C$1,[2]quests!$1:$1,0)-MATCH($B$1,[2]quests!$1:$1,0)+1,FALSE)</f>
        <v>ラグランジュチャレンジ</v>
      </c>
      <c r="D96" s="83" t="str">
        <f ca="1">VLOOKUP($B96,OFFSET([2]quests!$A$1,0,0,COUNTA([2]quests!$A:$A),MATCH(D$1,[2]quests!$1:$1,0)-MATCH($B$1,[2]quests!$1:$1,0)+1),MATCH(D$1,[2]quests!$1:$1,0)-MATCH($B$1,[2]quests!$1:$1,0)+1,FALSE)</f>
        <v>ランキング2（ラグランジュ）</v>
      </c>
      <c r="E96" s="87" t="s">
        <v>221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5">
        <v>0</v>
      </c>
      <c r="I96">
        <v>19</v>
      </c>
      <c r="J96" s="84" t="s">
        <v>200</v>
      </c>
      <c r="K96" s="94" t="str">
        <f>VLOOKUP(I96,[7]stage_hints!$A:$C,3,FALSE)</f>
        <v>ソロ専用チャレンジタワー</v>
      </c>
      <c r="L96" s="95" t="str">
        <f>VLOOKUP(I96,[7]stage_hints!$A:$D,4,FALSE)</f>
        <v>ソロ専用の「チャレンジタワー」では_x000D_各フロアごとにクリア報酬がもらえます</v>
      </c>
      <c r="M96" s="56" t="s">
        <v>215</v>
      </c>
    </row>
    <row r="97" spans="1:13" x14ac:dyDescent="0.15">
      <c r="A97" s="81" t="s">
        <v>203</v>
      </c>
      <c r="B97" s="82">
        <f>floors!$C$2</f>
        <v>60010</v>
      </c>
      <c r="C97" s="83" t="str">
        <f ca="1">VLOOKUP($B97,OFFSET([2]quests!$A$1,0,0,COUNTA([2]quests!$A:$A),MATCH(C$1,[2]quests!$1:$1,0)-MATCH($B$1,[2]quests!$1:$1,0)+1),MATCH(C$1,[2]quests!$1:$1,0)-MATCH($B$1,[2]quests!$1:$1,0)+1,FALSE)</f>
        <v>ラグランジュチャレンジ</v>
      </c>
      <c r="D97" s="83" t="str">
        <f ca="1">VLOOKUP($B97,OFFSET([2]quests!$A$1,0,0,COUNTA([2]quests!$A:$A),MATCH(D$1,[2]quests!$1:$1,0)-MATCH($B$1,[2]quests!$1:$1,0)+1),MATCH(D$1,[2]quests!$1:$1,0)-MATCH($B$1,[2]quests!$1:$1,0)+1,FALSE)</f>
        <v>ランキング2（ラグランジュ）</v>
      </c>
      <c r="E97" s="87" t="s">
        <v>221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5">
        <v>0</v>
      </c>
      <c r="I97">
        <v>21</v>
      </c>
      <c r="J97" s="84" t="s">
        <v>200</v>
      </c>
      <c r="K97" s="94" t="str">
        <f>VLOOKUP(I97,[7]stage_hints!$A:$C,3,FALSE)</f>
        <v>スキルを有効に</v>
      </c>
      <c r="L97" s="95" t="str">
        <f>VLOOKUP(I97,[7]stage_hints!$A:$D,4,FALSE)</f>
        <v>ターン経過でユニットのスキルが使えます_x000D_強力スキルでバトルを有利に進めましょう</v>
      </c>
      <c r="M97" s="56" t="s">
        <v>215</v>
      </c>
    </row>
    <row r="98" spans="1:13" x14ac:dyDescent="0.15">
      <c r="A98" s="81" t="s">
        <v>203</v>
      </c>
      <c r="B98" s="82">
        <f>floors!$C$2</f>
        <v>60010</v>
      </c>
      <c r="C98" s="83" t="str">
        <f ca="1">VLOOKUP($B98,OFFSET([2]quests!$A$1,0,0,COUNTA([2]quests!$A:$A),MATCH(C$1,[2]quests!$1:$1,0)-MATCH($B$1,[2]quests!$1:$1,0)+1),MATCH(C$1,[2]quests!$1:$1,0)-MATCH($B$1,[2]quests!$1:$1,0)+1,FALSE)</f>
        <v>ラグランジュチャレンジ</v>
      </c>
      <c r="D98" s="83" t="str">
        <f ca="1">VLOOKUP($B98,OFFSET([2]quests!$A$1,0,0,COUNTA([2]quests!$A:$A),MATCH(D$1,[2]quests!$1:$1,0)-MATCH($B$1,[2]quests!$1:$1,0)+1),MATCH(D$1,[2]quests!$1:$1,0)-MATCH($B$1,[2]quests!$1:$1,0)+1,FALSE)</f>
        <v>ランキング2（ラグランジュ）</v>
      </c>
      <c r="E98" s="87" t="s">
        <v>221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5">
        <v>0</v>
      </c>
      <c r="I98">
        <v>27</v>
      </c>
      <c r="J98" s="84" t="s">
        <v>200</v>
      </c>
      <c r="K98" s="94" t="str">
        <f>VLOOKUP(I98,[7]stage_hints!$A:$C,3,FALSE)</f>
        <v>ホーム画面からデッキを編成</v>
      </c>
      <c r="L98" s="95" t="str">
        <f>VLOOKUP(I98,[7]stage_hints!$A:$D,4,FALSE)</f>
        <v>ホーム画面でユニットを長押しすると_x000D_すぐにパーティ編成に移動できます</v>
      </c>
      <c r="M98" s="56" t="s">
        <v>215</v>
      </c>
    </row>
    <row r="99" spans="1:13" x14ac:dyDescent="0.15">
      <c r="A99" s="81" t="s">
        <v>203</v>
      </c>
      <c r="B99" s="82">
        <f>floors!$C$2</f>
        <v>60010</v>
      </c>
      <c r="C99" s="83" t="str">
        <f ca="1">VLOOKUP($B99,OFFSET([2]quests!$A$1,0,0,COUNTA([2]quests!$A:$A),MATCH(C$1,[2]quests!$1:$1,0)-MATCH($B$1,[2]quests!$1:$1,0)+1),MATCH(C$1,[2]quests!$1:$1,0)-MATCH($B$1,[2]quests!$1:$1,0)+1,FALSE)</f>
        <v>ラグランジュチャレンジ</v>
      </c>
      <c r="D99" s="83" t="str">
        <f ca="1">VLOOKUP($B99,OFFSET([2]quests!$A$1,0,0,COUNTA([2]quests!$A:$A),MATCH(D$1,[2]quests!$1:$1,0)-MATCH($B$1,[2]quests!$1:$1,0)+1),MATCH(D$1,[2]quests!$1:$1,0)-MATCH($B$1,[2]quests!$1:$1,0)+1,FALSE)</f>
        <v>ランキング2（ラグランジュ）</v>
      </c>
      <c r="E99" s="87" t="s">
        <v>221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5">
        <v>0</v>
      </c>
      <c r="I99">
        <v>28</v>
      </c>
      <c r="J99" s="84" t="s">
        <v>200</v>
      </c>
      <c r="K99" s="94" t="str">
        <f>VLOOKUP(I99,[7]stage_hints!$A:$C,3,FALSE)</f>
        <v>ステータス情報は長押しで</v>
      </c>
      <c r="L99" s="95" t="str">
        <f>VLOOKUP(I99,[7]stage_hints!$A:$D,4,FALSE)</f>
        <v>ユニットのアイコンを長押しすると_x000D_ステータス情報を確認することができます</v>
      </c>
      <c r="M99" s="56" t="s">
        <v>215</v>
      </c>
    </row>
    <row r="100" spans="1:13" x14ac:dyDescent="0.15">
      <c r="A100" s="81" t="s">
        <v>203</v>
      </c>
      <c r="B100" s="82">
        <f>floors!$C$2</f>
        <v>60010</v>
      </c>
      <c r="C100" s="83" t="str">
        <f ca="1">VLOOKUP($B100,OFFSET([2]quests!$A$1,0,0,COUNTA([2]quests!$A:$A),MATCH(C$1,[2]quests!$1:$1,0)-MATCH($B$1,[2]quests!$1:$1,0)+1),MATCH(C$1,[2]quests!$1:$1,0)-MATCH($B$1,[2]quests!$1:$1,0)+1,FALSE)</f>
        <v>ラグランジュチャレンジ</v>
      </c>
      <c r="D100" s="83" t="str">
        <f ca="1">VLOOKUP($B100,OFFSET([2]quests!$A$1,0,0,COUNTA([2]quests!$A:$A),MATCH(D$1,[2]quests!$1:$1,0)-MATCH($B$1,[2]quests!$1:$1,0)+1),MATCH(D$1,[2]quests!$1:$1,0)-MATCH($B$1,[2]quests!$1:$1,0)+1,FALSE)</f>
        <v>ランキング2（ラグランジュ）</v>
      </c>
      <c r="E100" s="87" t="s">
        <v>221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5">
        <v>0</v>
      </c>
      <c r="I100">
        <v>29</v>
      </c>
      <c r="J100" s="84" t="s">
        <v>200</v>
      </c>
      <c r="K100" s="94" t="str">
        <f>VLOOKUP(I100,[7]stage_hints!$A:$C,3,FALSE)</f>
        <v>「バグ」のメリット</v>
      </c>
      <c r="L100" s="95" t="str">
        <f>VLOOKUP(I100,[7]stage_hints!$A:$D,4,FALSE)</f>
        <v>ユニットの「バグ」を増やすと_x000D_報酬をもらえる確率がアップします</v>
      </c>
      <c r="M100" s="56" t="s">
        <v>215</v>
      </c>
    </row>
    <row r="101" spans="1:13" x14ac:dyDescent="0.15">
      <c r="A101" s="81" t="s">
        <v>203</v>
      </c>
      <c r="B101" s="82">
        <f>floors!$C$2</f>
        <v>60010</v>
      </c>
      <c r="C101" s="83" t="str">
        <f ca="1">VLOOKUP($B101,OFFSET([2]quests!$A$1,0,0,COUNTA([2]quests!$A:$A),MATCH(C$1,[2]quests!$1:$1,0)-MATCH($B$1,[2]quests!$1:$1,0)+1),MATCH(C$1,[2]quests!$1:$1,0)-MATCH($B$1,[2]quests!$1:$1,0)+1,FALSE)</f>
        <v>ラグランジュチャレンジ</v>
      </c>
      <c r="D101" s="83" t="str">
        <f ca="1">VLOOKUP($B101,OFFSET([2]quests!$A$1,0,0,COUNTA([2]quests!$A:$A),MATCH(D$1,[2]quests!$1:$1,0)-MATCH($B$1,[2]quests!$1:$1,0)+1),MATCH(D$1,[2]quests!$1:$1,0)-MATCH($B$1,[2]quests!$1:$1,0)+1,FALSE)</f>
        <v>ランキング2（ラグランジュ）</v>
      </c>
      <c r="E101" s="87" t="s">
        <v>221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5">
        <v>0</v>
      </c>
      <c r="I101">
        <v>30</v>
      </c>
      <c r="J101" s="84" t="s">
        <v>200</v>
      </c>
      <c r="K101" s="94" t="str">
        <f>VLOOKUP(I101,[7]stage_hints!$A:$C,3,FALSE)</f>
        <v>「バグ」の増やし方</v>
      </c>
      <c r="L101" s="95" t="str">
        <f>VLOOKUP(I101,[7]stage_hints!$A:$D,4,FALSE)</f>
        <v>同じユニット同士を強化で合成すると_x000D_「バグ」を増やすことができます</v>
      </c>
      <c r="M101" s="56" t="s">
        <v>215</v>
      </c>
    </row>
    <row r="102" spans="1:13" x14ac:dyDescent="0.15">
      <c r="A102" s="81" t="s">
        <v>203</v>
      </c>
      <c r="B102" s="82">
        <f>floors!$C$2</f>
        <v>60010</v>
      </c>
      <c r="C102" s="83" t="str">
        <f ca="1">VLOOKUP($B102,OFFSET([2]quests!$A$1,0,0,COUNTA([2]quests!$A:$A),MATCH(C$1,[2]quests!$1:$1,0)-MATCH($B$1,[2]quests!$1:$1,0)+1),MATCH(C$1,[2]quests!$1:$1,0)-MATCH($B$1,[2]quests!$1:$1,0)+1,FALSE)</f>
        <v>ラグランジュチャレンジ</v>
      </c>
      <c r="D102" s="83" t="str">
        <f ca="1">VLOOKUP($B102,OFFSET([2]quests!$A$1,0,0,COUNTA([2]quests!$A:$A),MATCH(D$1,[2]quests!$1:$1,0)-MATCH($B$1,[2]quests!$1:$1,0)+1),MATCH(D$1,[2]quests!$1:$1,0)-MATCH($B$1,[2]quests!$1:$1,0)+1,FALSE)</f>
        <v>ランキング2（ラグランジュ）</v>
      </c>
      <c r="E102" s="87" t="s">
        <v>221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5">
        <v>0</v>
      </c>
      <c r="I102">
        <v>32</v>
      </c>
      <c r="J102" s="84" t="s">
        <v>200</v>
      </c>
      <c r="K102" s="94" t="str">
        <f>VLOOKUP(I102,[7]stage_hints!$A:$C,3,FALSE)</f>
        <v>敵の連続攻撃には</v>
      </c>
      <c r="L102" s="95" t="str">
        <f>VLOOKUP(I102,[7]stage_hints!$A:$D,4,FALSE)</f>
        <v>カウンタースキルを持つユニットがいれば_x000D_ダメージ回数分の反撃ができます</v>
      </c>
      <c r="M102" s="56" t="s">
        <v>215</v>
      </c>
    </row>
    <row r="103" spans="1:13" x14ac:dyDescent="0.15">
      <c r="A103" s="81" t="s">
        <v>203</v>
      </c>
      <c r="B103" s="82">
        <f>floors!$C$2</f>
        <v>60010</v>
      </c>
      <c r="C103" s="83" t="str">
        <f ca="1">VLOOKUP($B103,OFFSET([2]quests!$A$1,0,0,COUNTA([2]quests!$A:$A),MATCH(C$1,[2]quests!$1:$1,0)-MATCH($B$1,[2]quests!$1:$1,0)+1),MATCH(C$1,[2]quests!$1:$1,0)-MATCH($B$1,[2]quests!$1:$1,0)+1,FALSE)</f>
        <v>ラグランジュチャレンジ</v>
      </c>
      <c r="D103" s="83" t="str">
        <f ca="1">VLOOKUP($B103,OFFSET([2]quests!$A$1,0,0,COUNTA([2]quests!$A:$A),MATCH(D$1,[2]quests!$1:$1,0)-MATCH($B$1,[2]quests!$1:$1,0)+1),MATCH(D$1,[2]quests!$1:$1,0)-MATCH($B$1,[2]quests!$1:$1,0)+1,FALSE)</f>
        <v>ランキング2（ラグランジュ）</v>
      </c>
      <c r="E103" s="87" t="s">
        <v>221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5">
        <v>0</v>
      </c>
      <c r="I103">
        <v>33</v>
      </c>
      <c r="J103" s="84" t="s">
        <v>200</v>
      </c>
      <c r="K103" s="94" t="str">
        <f>VLOOKUP(I103,[7]stage_hints!$A:$C,3,FALSE)</f>
        <v>敵のカウンター攻撃には</v>
      </c>
      <c r="L103" s="95" t="str">
        <f>VLOOKUP(I103,[7]stage_hints!$A:$D,4,FALSE)</f>
        <v>カウンターブレイクスキルを持っていれば_x000D_敵のカウンターを解除して攻撃ができます</v>
      </c>
      <c r="M103" s="56" t="s">
        <v>215</v>
      </c>
    </row>
    <row r="104" spans="1:13" x14ac:dyDescent="0.15">
      <c r="A104" s="81" t="s">
        <v>203</v>
      </c>
      <c r="B104" s="82">
        <f>floors!$C$2</f>
        <v>60010</v>
      </c>
      <c r="C104" s="83" t="str">
        <f ca="1">VLOOKUP($B104,OFFSET([2]quests!$A$1,0,0,COUNTA([2]quests!$A:$A),MATCH(C$1,[2]quests!$1:$1,0)-MATCH($B$1,[2]quests!$1:$1,0)+1),MATCH(C$1,[2]quests!$1:$1,0)-MATCH($B$1,[2]quests!$1:$1,0)+1,FALSE)</f>
        <v>ラグランジュチャレンジ</v>
      </c>
      <c r="D104" s="83" t="str">
        <f ca="1">VLOOKUP($B104,OFFSET([2]quests!$A$1,0,0,COUNTA([2]quests!$A:$A),MATCH(D$1,[2]quests!$1:$1,0)-MATCH($B$1,[2]quests!$1:$1,0)+1),MATCH(D$1,[2]quests!$1:$1,0)-MATCH($B$1,[2]quests!$1:$1,0)+1,FALSE)</f>
        <v>ランキング2（ラグランジュ）</v>
      </c>
      <c r="E104" s="87" t="s">
        <v>221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5">
        <v>0</v>
      </c>
      <c r="I104">
        <v>34</v>
      </c>
      <c r="J104" s="84" t="s">
        <v>200</v>
      </c>
      <c r="K104" s="94" t="str">
        <f>VLOOKUP(I104,[7]stage_hints!$A:$C,3,FALSE)</f>
        <v>ステータスをスキルで下げられたら</v>
      </c>
      <c r="L104" s="95" t="str">
        <f>VLOOKUP(I104,[7]stage_hints!$A:$D,4,FALSE)</f>
        <v>ステータスダウンのスキルを受けたら_x000D_ステータスアップスキルで上書きしましょう</v>
      </c>
      <c r="M104" s="56" t="s">
        <v>215</v>
      </c>
    </row>
    <row r="105" spans="1:13" x14ac:dyDescent="0.15">
      <c r="A105" s="81" t="s">
        <v>203</v>
      </c>
      <c r="B105" s="82">
        <f>floors!$C$2</f>
        <v>60010</v>
      </c>
      <c r="C105" s="83" t="str">
        <f ca="1">VLOOKUP($B105,OFFSET([2]quests!$A$1,0,0,COUNTA([2]quests!$A:$A),MATCH(C$1,[2]quests!$1:$1,0)-MATCH($B$1,[2]quests!$1:$1,0)+1),MATCH(C$1,[2]quests!$1:$1,0)-MATCH($B$1,[2]quests!$1:$1,0)+1,FALSE)</f>
        <v>ラグランジュチャレンジ</v>
      </c>
      <c r="D105" s="83" t="str">
        <f ca="1">VLOOKUP($B105,OFFSET([2]quests!$A$1,0,0,COUNTA([2]quests!$A:$A),MATCH(D$1,[2]quests!$1:$1,0)-MATCH($B$1,[2]quests!$1:$1,0)+1),MATCH(D$1,[2]quests!$1:$1,0)-MATCH($B$1,[2]quests!$1:$1,0)+1,FALSE)</f>
        <v>ランキング2（ラグランジュ）</v>
      </c>
      <c r="E105" s="87" t="s">
        <v>221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5">
        <v>0</v>
      </c>
      <c r="I105">
        <v>35</v>
      </c>
      <c r="J105" s="84" t="s">
        <v>200</v>
      </c>
      <c r="K105" s="94" t="str">
        <f>VLOOKUP(I105,[7]stage_hints!$A:$C,3,FALSE)</f>
        <v>敵のステータスがスキルで上がったら</v>
      </c>
      <c r="L105" s="95" t="str">
        <f>VLOOKUP(I105,[7]stage_hints!$A:$D,4,FALSE)</f>
        <v>敵のステータスがスキルでアップしたときは_x000D_ステータスダウンスキルで上書きしましょう</v>
      </c>
      <c r="M105" s="56" t="s">
        <v>215</v>
      </c>
    </row>
    <row r="106" spans="1:13" x14ac:dyDescent="0.15">
      <c r="A106" s="81" t="s">
        <v>203</v>
      </c>
      <c r="B106" s="82">
        <f>floors!$C$2</f>
        <v>60010</v>
      </c>
      <c r="C106" s="83" t="str">
        <f ca="1">VLOOKUP($B106,OFFSET([2]quests!$A$1,0,0,COUNTA([2]quests!$A:$A),MATCH(C$1,[2]quests!$1:$1,0)-MATCH($B$1,[2]quests!$1:$1,0)+1),MATCH(C$1,[2]quests!$1:$1,0)-MATCH($B$1,[2]quests!$1:$1,0)+1,FALSE)</f>
        <v>ラグランジュチャレンジ</v>
      </c>
      <c r="D106" s="83" t="str">
        <f ca="1">VLOOKUP($B106,OFFSET([2]quests!$A$1,0,0,COUNTA([2]quests!$A:$A),MATCH(D$1,[2]quests!$1:$1,0)-MATCH($B$1,[2]quests!$1:$1,0)+1),MATCH(D$1,[2]quests!$1:$1,0)-MATCH($B$1,[2]quests!$1:$1,0)+1,FALSE)</f>
        <v>ランキング2（ラグランジュ）</v>
      </c>
      <c r="E106" s="87" t="s">
        <v>221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5">
        <v>0</v>
      </c>
      <c r="I106">
        <v>36</v>
      </c>
      <c r="J106" s="84" t="s">
        <v>200</v>
      </c>
      <c r="K106" s="94" t="str">
        <f>VLOOKUP(I106,[7]stage_hints!$A:$C,3,FALSE)</f>
        <v>チャレンジタワーのボス</v>
      </c>
      <c r="L106" s="95" t="str">
        <f>VLOOKUP(I106,[7]stage_hints!$A:$D,4,FALSE)</f>
        <v>チャレンジタワーでのみ登場するボスは_x000D_一定確率で獲得することができます</v>
      </c>
      <c r="M106" s="56" t="s">
        <v>215</v>
      </c>
    </row>
    <row r="107" spans="1:13" x14ac:dyDescent="0.15">
      <c r="A107" s="81" t="s">
        <v>203</v>
      </c>
      <c r="B107" s="82">
        <f>floors!$C$2</f>
        <v>60010</v>
      </c>
      <c r="C107" s="83" t="str">
        <f ca="1">VLOOKUP($B107,OFFSET([2]quests!$A$1,0,0,COUNTA([2]quests!$A:$A),MATCH(C$1,[2]quests!$1:$1,0)-MATCH($B$1,[2]quests!$1:$1,0)+1),MATCH(C$1,[2]quests!$1:$1,0)-MATCH($B$1,[2]quests!$1:$1,0)+1,FALSE)</f>
        <v>ラグランジュチャレンジ</v>
      </c>
      <c r="D107" s="83" t="str">
        <f ca="1">VLOOKUP($B107,OFFSET([2]quests!$A$1,0,0,COUNTA([2]quests!$A:$A),MATCH(D$1,[2]quests!$1:$1,0)-MATCH($B$1,[2]quests!$1:$1,0)+1),MATCH(D$1,[2]quests!$1:$1,0)-MATCH($B$1,[2]quests!$1:$1,0)+1,FALSE)</f>
        <v>ランキング2（ラグランジュ）</v>
      </c>
      <c r="E107" s="87" t="s">
        <v>221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5">
        <v>0</v>
      </c>
      <c r="I107">
        <v>37</v>
      </c>
      <c r="J107" s="84" t="s">
        <v>200</v>
      </c>
      <c r="K107" s="94" t="str">
        <f>VLOOKUP(I107,[7]stage_hints!$A:$C,3,FALSE)</f>
        <v>限界突破値の引き継ぎ</v>
      </c>
      <c r="L107" s="95" t="str">
        <f>VLOOKUP(I107,[7]stage_hints!$A:$D,4,FALSE)</f>
        <v>同じユニットを強化で合成すると_x000D_限界突破値を引き継げます（覚醒前後も可）</v>
      </c>
      <c r="M107" s="56" t="s">
        <v>215</v>
      </c>
    </row>
    <row r="108" spans="1:13" x14ac:dyDescent="0.15">
      <c r="A108" s="81" t="s">
        <v>203</v>
      </c>
      <c r="B108" s="82">
        <f>floors!$C$2</f>
        <v>60010</v>
      </c>
      <c r="C108" s="83" t="str">
        <f ca="1">VLOOKUP($B108,OFFSET([2]quests!$A$1,0,0,COUNTA([2]quests!$A:$A),MATCH(C$1,[2]quests!$1:$1,0)-MATCH($B$1,[2]quests!$1:$1,0)+1),MATCH(C$1,[2]quests!$1:$1,0)-MATCH($B$1,[2]quests!$1:$1,0)+1,FALSE)</f>
        <v>ラグランジュチャレンジ</v>
      </c>
      <c r="D108" s="83" t="str">
        <f ca="1">VLOOKUP($B108,OFFSET([2]quests!$A$1,0,0,COUNTA([2]quests!$A:$A),MATCH(D$1,[2]quests!$1:$1,0)-MATCH($B$1,[2]quests!$1:$1,0)+1),MATCH(D$1,[2]quests!$1:$1,0)-MATCH($B$1,[2]quests!$1:$1,0)+1,FALSE)</f>
        <v>ランキング2（ラグランジュ）</v>
      </c>
      <c r="E108" s="87" t="s">
        <v>221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5">
        <v>0</v>
      </c>
      <c r="I108">
        <v>39</v>
      </c>
      <c r="J108" s="84" t="s">
        <v>200</v>
      </c>
      <c r="K108" s="94" t="str">
        <f>VLOOKUP(I108,[7]stage_hints!$A:$C,3,FALSE)</f>
        <v>システム適合者を確認</v>
      </c>
      <c r="L108" s="95" t="str">
        <f>VLOOKUP(I108,[7]stage_hints!$A:$D,4,FALSE)</f>
        <v>ALICEが「アナタ」を呼んでいます</v>
      </c>
      <c r="M108" s="56" t="s">
        <v>215</v>
      </c>
    </row>
    <row r="109" spans="1:13" x14ac:dyDescent="0.15">
      <c r="A109" s="81" t="s">
        <v>203</v>
      </c>
      <c r="B109" s="82">
        <f>floors!$C$2</f>
        <v>60010</v>
      </c>
      <c r="C109" s="83" t="str">
        <f ca="1">VLOOKUP($B109,OFFSET([2]quests!$A$1,0,0,COUNTA([2]quests!$A:$A),MATCH(C$1,[2]quests!$1:$1,0)-MATCH($B$1,[2]quests!$1:$1,0)+1),MATCH(C$1,[2]quests!$1:$1,0)-MATCH($B$1,[2]quests!$1:$1,0)+1,FALSE)</f>
        <v>ラグランジュチャレンジ</v>
      </c>
      <c r="D109" s="83" t="str">
        <f ca="1">VLOOKUP($B109,OFFSET([2]quests!$A$1,0,0,COUNTA([2]quests!$A:$A),MATCH(D$1,[2]quests!$1:$1,0)-MATCH($B$1,[2]quests!$1:$1,0)+1),MATCH(D$1,[2]quests!$1:$1,0)-MATCH($B$1,[2]quests!$1:$1,0)+1,FALSE)</f>
        <v>ランキング2（ラグランジュ）</v>
      </c>
      <c r="E109" s="87" t="s">
        <v>222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5">
        <v>0</v>
      </c>
      <c r="I109">
        <v>12</v>
      </c>
      <c r="J109" s="84" t="s">
        <v>200</v>
      </c>
      <c r="K109" s="94" t="str">
        <f>VLOOKUP(I109,[7]stage_hints!$A:$C,3,FALSE)</f>
        <v>ユニットのお気に入り登録</v>
      </c>
      <c r="L109" s="95" t="str">
        <f>VLOOKUP(I109,[7]stage_hints!$A:$D,4,FALSE)</f>
        <v>大事なユニットを誤って消さないように_x000D_フォルダから「お気に入り登録」しましょう</v>
      </c>
      <c r="M109" s="56" t="s">
        <v>215</v>
      </c>
    </row>
    <row r="110" spans="1:13" x14ac:dyDescent="0.15">
      <c r="A110" s="81" t="s">
        <v>203</v>
      </c>
      <c r="B110" s="82">
        <f>floors!$C$2</f>
        <v>60010</v>
      </c>
      <c r="C110" s="83" t="str">
        <f ca="1">VLOOKUP($B110,OFFSET([2]quests!$A$1,0,0,COUNTA([2]quests!$A:$A),MATCH(C$1,[2]quests!$1:$1,0)-MATCH($B$1,[2]quests!$1:$1,0)+1),MATCH(C$1,[2]quests!$1:$1,0)-MATCH($B$1,[2]quests!$1:$1,0)+1,FALSE)</f>
        <v>ラグランジュチャレンジ</v>
      </c>
      <c r="D110" s="83" t="str">
        <f ca="1">VLOOKUP($B110,OFFSET([2]quests!$A$1,0,0,COUNTA([2]quests!$A:$A),MATCH(D$1,[2]quests!$1:$1,0)-MATCH($B$1,[2]quests!$1:$1,0)+1),MATCH(D$1,[2]quests!$1:$1,0)-MATCH($B$1,[2]quests!$1:$1,0)+1,FALSE)</f>
        <v>ランキング2（ラグランジュ）</v>
      </c>
      <c r="E110" s="87" t="s">
        <v>222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5">
        <v>0</v>
      </c>
      <c r="I110">
        <v>17</v>
      </c>
      <c r="J110" s="84" t="s">
        <v>200</v>
      </c>
      <c r="K110" s="94" t="str">
        <f>VLOOKUP(I110,[7]stage_hints!$A:$C,3,FALSE)</f>
        <v>リンクガチャ</v>
      </c>
      <c r="L110" s="95" t="str">
        <f>VLOOKUP(I110,[7]stage_hints!$A:$D,4,FALSE)</f>
        <v>無料のリンクガチャを回して_x000D_経験値素材や売却素材を獲得しましょう</v>
      </c>
      <c r="M110" s="56" t="s">
        <v>215</v>
      </c>
    </row>
    <row r="111" spans="1:13" x14ac:dyDescent="0.15">
      <c r="A111" s="81" t="s">
        <v>203</v>
      </c>
      <c r="B111" s="82">
        <f>floors!$C$2</f>
        <v>60010</v>
      </c>
      <c r="C111" s="83" t="str">
        <f ca="1">VLOOKUP($B111,OFFSET([2]quests!$A$1,0,0,COUNTA([2]quests!$A:$A),MATCH(C$1,[2]quests!$1:$1,0)-MATCH($B$1,[2]quests!$1:$1,0)+1),MATCH(C$1,[2]quests!$1:$1,0)-MATCH($B$1,[2]quests!$1:$1,0)+1,FALSE)</f>
        <v>ラグランジュチャレンジ</v>
      </c>
      <c r="D111" s="83" t="str">
        <f ca="1">VLOOKUP($B111,OFFSET([2]quests!$A$1,0,0,COUNTA([2]quests!$A:$A),MATCH(D$1,[2]quests!$1:$1,0)-MATCH($B$1,[2]quests!$1:$1,0)+1),MATCH(D$1,[2]quests!$1:$1,0)-MATCH($B$1,[2]quests!$1:$1,0)+1,FALSE)</f>
        <v>ランキング2（ラグランジュ）</v>
      </c>
      <c r="E111" s="87" t="s">
        <v>222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5">
        <v>0</v>
      </c>
      <c r="I111">
        <v>19</v>
      </c>
      <c r="J111" s="84" t="s">
        <v>200</v>
      </c>
      <c r="K111" s="94" t="str">
        <f>VLOOKUP(I111,[7]stage_hints!$A:$C,3,FALSE)</f>
        <v>ソロ専用チャレンジタワー</v>
      </c>
      <c r="L111" s="95" t="str">
        <f>VLOOKUP(I111,[7]stage_hints!$A:$D,4,FALSE)</f>
        <v>ソロ専用の「チャレンジタワー」では_x000D_各フロアごとにクリア報酬がもらえます</v>
      </c>
      <c r="M111" s="56" t="s">
        <v>215</v>
      </c>
    </row>
    <row r="112" spans="1:13" x14ac:dyDescent="0.15">
      <c r="A112" s="81" t="s">
        <v>203</v>
      </c>
      <c r="B112" s="82">
        <f>floors!$C$2</f>
        <v>60010</v>
      </c>
      <c r="C112" s="83" t="str">
        <f ca="1">VLOOKUP($B112,OFFSET([2]quests!$A$1,0,0,COUNTA([2]quests!$A:$A),MATCH(C$1,[2]quests!$1:$1,0)-MATCH($B$1,[2]quests!$1:$1,0)+1),MATCH(C$1,[2]quests!$1:$1,0)-MATCH($B$1,[2]quests!$1:$1,0)+1,FALSE)</f>
        <v>ラグランジュチャレンジ</v>
      </c>
      <c r="D112" s="83" t="str">
        <f ca="1">VLOOKUP($B112,OFFSET([2]quests!$A$1,0,0,COUNTA([2]quests!$A:$A),MATCH(D$1,[2]quests!$1:$1,0)-MATCH($B$1,[2]quests!$1:$1,0)+1),MATCH(D$1,[2]quests!$1:$1,0)-MATCH($B$1,[2]quests!$1:$1,0)+1,FALSE)</f>
        <v>ランキング2（ラグランジュ）</v>
      </c>
      <c r="E112" s="87" t="s">
        <v>222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5">
        <v>0</v>
      </c>
      <c r="I112">
        <v>21</v>
      </c>
      <c r="J112" s="84" t="s">
        <v>200</v>
      </c>
      <c r="K112" s="94" t="str">
        <f>VLOOKUP(I112,[7]stage_hints!$A:$C,3,FALSE)</f>
        <v>スキルを有効に</v>
      </c>
      <c r="L112" s="95" t="str">
        <f>VLOOKUP(I112,[7]stage_hints!$A:$D,4,FALSE)</f>
        <v>ターン経過でユニットのスキルが使えます_x000D_強力スキルでバトルを有利に進めましょう</v>
      </c>
      <c r="M112" s="56" t="s">
        <v>215</v>
      </c>
    </row>
    <row r="113" spans="1:13" x14ac:dyDescent="0.15">
      <c r="A113" s="81" t="s">
        <v>203</v>
      </c>
      <c r="B113" s="82">
        <f>floors!$C$2</f>
        <v>60010</v>
      </c>
      <c r="C113" s="83" t="str">
        <f ca="1">VLOOKUP($B113,OFFSET([2]quests!$A$1,0,0,COUNTA([2]quests!$A:$A),MATCH(C$1,[2]quests!$1:$1,0)-MATCH($B$1,[2]quests!$1:$1,0)+1),MATCH(C$1,[2]quests!$1:$1,0)-MATCH($B$1,[2]quests!$1:$1,0)+1,FALSE)</f>
        <v>ラグランジュチャレンジ</v>
      </c>
      <c r="D113" s="83" t="str">
        <f ca="1">VLOOKUP($B113,OFFSET([2]quests!$A$1,0,0,COUNTA([2]quests!$A:$A),MATCH(D$1,[2]quests!$1:$1,0)-MATCH($B$1,[2]quests!$1:$1,0)+1),MATCH(D$1,[2]quests!$1:$1,0)-MATCH($B$1,[2]quests!$1:$1,0)+1,FALSE)</f>
        <v>ランキング2（ラグランジュ）</v>
      </c>
      <c r="E113" s="87" t="s">
        <v>222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5">
        <v>0</v>
      </c>
      <c r="I113">
        <v>29</v>
      </c>
      <c r="J113" s="84" t="s">
        <v>200</v>
      </c>
      <c r="K113" s="94" t="str">
        <f>VLOOKUP(I113,[7]stage_hints!$A:$C,3,FALSE)</f>
        <v>「バグ」のメリット</v>
      </c>
      <c r="L113" s="95" t="str">
        <f>VLOOKUP(I113,[7]stage_hints!$A:$D,4,FALSE)</f>
        <v>ユニットの「バグ」を増やすと_x000D_報酬をもらえる確率がアップします</v>
      </c>
      <c r="M113" s="56" t="s">
        <v>215</v>
      </c>
    </row>
    <row r="114" spans="1:13" x14ac:dyDescent="0.15">
      <c r="A114" s="81" t="s">
        <v>203</v>
      </c>
      <c r="B114" s="82">
        <f>floors!$C$2</f>
        <v>60010</v>
      </c>
      <c r="C114" s="83" t="str">
        <f ca="1">VLOOKUP($B114,OFFSET([2]quests!$A$1,0,0,COUNTA([2]quests!$A:$A),MATCH(C$1,[2]quests!$1:$1,0)-MATCH($B$1,[2]quests!$1:$1,0)+1),MATCH(C$1,[2]quests!$1:$1,0)-MATCH($B$1,[2]quests!$1:$1,0)+1,FALSE)</f>
        <v>ラグランジュチャレンジ</v>
      </c>
      <c r="D114" s="83" t="str">
        <f ca="1">VLOOKUP($B114,OFFSET([2]quests!$A$1,0,0,COUNTA([2]quests!$A:$A),MATCH(D$1,[2]quests!$1:$1,0)-MATCH($B$1,[2]quests!$1:$1,0)+1),MATCH(D$1,[2]quests!$1:$1,0)-MATCH($B$1,[2]quests!$1:$1,0)+1,FALSE)</f>
        <v>ランキング2（ラグランジュ）</v>
      </c>
      <c r="E114" s="87" t="s">
        <v>222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5">
        <v>0</v>
      </c>
      <c r="I114">
        <v>30</v>
      </c>
      <c r="J114" s="84" t="s">
        <v>200</v>
      </c>
      <c r="K114" s="94" t="str">
        <f>VLOOKUP(I114,[7]stage_hints!$A:$C,3,FALSE)</f>
        <v>「バグ」の増やし方</v>
      </c>
      <c r="L114" s="95" t="str">
        <f>VLOOKUP(I114,[7]stage_hints!$A:$D,4,FALSE)</f>
        <v>同じユニット同士を強化で合成すると_x000D_「バグ」を増やすことができます</v>
      </c>
      <c r="M114" s="56" t="s">
        <v>215</v>
      </c>
    </row>
    <row r="115" spans="1:13" x14ac:dyDescent="0.15">
      <c r="A115" s="81" t="s">
        <v>203</v>
      </c>
      <c r="B115" s="82">
        <f>floors!$C$2</f>
        <v>60010</v>
      </c>
      <c r="C115" s="83" t="str">
        <f ca="1">VLOOKUP($B115,OFFSET([2]quests!$A$1,0,0,COUNTA([2]quests!$A:$A),MATCH(C$1,[2]quests!$1:$1,0)-MATCH($B$1,[2]quests!$1:$1,0)+1),MATCH(C$1,[2]quests!$1:$1,0)-MATCH($B$1,[2]quests!$1:$1,0)+1,FALSE)</f>
        <v>ラグランジュチャレンジ</v>
      </c>
      <c r="D115" s="83" t="str">
        <f ca="1">VLOOKUP($B115,OFFSET([2]quests!$A$1,0,0,COUNTA([2]quests!$A:$A),MATCH(D$1,[2]quests!$1:$1,0)-MATCH($B$1,[2]quests!$1:$1,0)+1),MATCH(D$1,[2]quests!$1:$1,0)-MATCH($B$1,[2]quests!$1:$1,0)+1,FALSE)</f>
        <v>ランキング2（ラグランジュ）</v>
      </c>
      <c r="E115" s="87" t="s">
        <v>222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5">
        <v>0</v>
      </c>
      <c r="I115">
        <v>32</v>
      </c>
      <c r="J115" s="84" t="s">
        <v>200</v>
      </c>
      <c r="K115" s="94" t="str">
        <f>VLOOKUP(I115,[7]stage_hints!$A:$C,3,FALSE)</f>
        <v>敵の連続攻撃には</v>
      </c>
      <c r="L115" s="95" t="str">
        <f>VLOOKUP(I115,[7]stage_hints!$A:$D,4,FALSE)</f>
        <v>カウンタースキルを持つユニットがいれば_x000D_ダメージ回数分の反撃ができます</v>
      </c>
      <c r="M115" s="56" t="s">
        <v>215</v>
      </c>
    </row>
    <row r="116" spans="1:13" x14ac:dyDescent="0.15">
      <c r="A116" s="81" t="s">
        <v>203</v>
      </c>
      <c r="B116" s="82">
        <f>floors!$C$2</f>
        <v>60010</v>
      </c>
      <c r="C116" s="83" t="str">
        <f ca="1">VLOOKUP($B116,OFFSET([2]quests!$A$1,0,0,COUNTA([2]quests!$A:$A),MATCH(C$1,[2]quests!$1:$1,0)-MATCH($B$1,[2]quests!$1:$1,0)+1),MATCH(C$1,[2]quests!$1:$1,0)-MATCH($B$1,[2]quests!$1:$1,0)+1,FALSE)</f>
        <v>ラグランジュチャレンジ</v>
      </c>
      <c r="D116" s="83" t="str">
        <f ca="1">VLOOKUP($B116,OFFSET([2]quests!$A$1,0,0,COUNTA([2]quests!$A:$A),MATCH(D$1,[2]quests!$1:$1,0)-MATCH($B$1,[2]quests!$1:$1,0)+1),MATCH(D$1,[2]quests!$1:$1,0)-MATCH($B$1,[2]quests!$1:$1,0)+1,FALSE)</f>
        <v>ランキング2（ラグランジュ）</v>
      </c>
      <c r="E116" s="87" t="s">
        <v>222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5">
        <v>0</v>
      </c>
      <c r="I116">
        <v>33</v>
      </c>
      <c r="J116" s="84" t="s">
        <v>200</v>
      </c>
      <c r="K116" s="94" t="str">
        <f>VLOOKUP(I116,[7]stage_hints!$A:$C,3,FALSE)</f>
        <v>敵のカウンター攻撃には</v>
      </c>
      <c r="L116" s="95" t="str">
        <f>VLOOKUP(I116,[7]stage_hints!$A:$D,4,FALSE)</f>
        <v>カウンターブレイクスキルを持っていれば_x000D_敵のカウンターを解除して攻撃ができます</v>
      </c>
      <c r="M116" s="56" t="s">
        <v>215</v>
      </c>
    </row>
    <row r="117" spans="1:13" x14ac:dyDescent="0.15">
      <c r="A117" s="81" t="s">
        <v>203</v>
      </c>
      <c r="B117" s="82">
        <f>floors!$C$2</f>
        <v>60010</v>
      </c>
      <c r="C117" s="83" t="str">
        <f ca="1">VLOOKUP($B117,OFFSET([2]quests!$A$1,0,0,COUNTA([2]quests!$A:$A),MATCH(C$1,[2]quests!$1:$1,0)-MATCH($B$1,[2]quests!$1:$1,0)+1),MATCH(C$1,[2]quests!$1:$1,0)-MATCH($B$1,[2]quests!$1:$1,0)+1,FALSE)</f>
        <v>ラグランジュチャレンジ</v>
      </c>
      <c r="D117" s="83" t="str">
        <f ca="1">VLOOKUP($B117,OFFSET([2]quests!$A$1,0,0,COUNTA([2]quests!$A:$A),MATCH(D$1,[2]quests!$1:$1,0)-MATCH($B$1,[2]quests!$1:$1,0)+1),MATCH(D$1,[2]quests!$1:$1,0)-MATCH($B$1,[2]quests!$1:$1,0)+1,FALSE)</f>
        <v>ランキング2（ラグランジュ）</v>
      </c>
      <c r="E117" s="87" t="s">
        <v>222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5">
        <v>0</v>
      </c>
      <c r="I117">
        <v>34</v>
      </c>
      <c r="J117" s="84" t="s">
        <v>200</v>
      </c>
      <c r="K117" s="94" t="str">
        <f>VLOOKUP(I117,[7]stage_hints!$A:$C,3,FALSE)</f>
        <v>ステータスをスキルで下げられたら</v>
      </c>
      <c r="L117" s="95" t="str">
        <f>VLOOKUP(I117,[7]stage_hints!$A:$D,4,FALSE)</f>
        <v>ステータスダウンのスキルを受けたら_x000D_ステータスアップスキルで上書きしましょう</v>
      </c>
      <c r="M117" s="56" t="s">
        <v>215</v>
      </c>
    </row>
    <row r="118" spans="1:13" x14ac:dyDescent="0.15">
      <c r="A118" s="81" t="s">
        <v>203</v>
      </c>
      <c r="B118" s="82">
        <f>floors!$C$2</f>
        <v>60010</v>
      </c>
      <c r="C118" s="83" t="str">
        <f ca="1">VLOOKUP($B118,OFFSET([2]quests!$A$1,0,0,COUNTA([2]quests!$A:$A),MATCH(C$1,[2]quests!$1:$1,0)-MATCH($B$1,[2]quests!$1:$1,0)+1),MATCH(C$1,[2]quests!$1:$1,0)-MATCH($B$1,[2]quests!$1:$1,0)+1,FALSE)</f>
        <v>ラグランジュチャレンジ</v>
      </c>
      <c r="D118" s="83" t="str">
        <f ca="1">VLOOKUP($B118,OFFSET([2]quests!$A$1,0,0,COUNTA([2]quests!$A:$A),MATCH(D$1,[2]quests!$1:$1,0)-MATCH($B$1,[2]quests!$1:$1,0)+1),MATCH(D$1,[2]quests!$1:$1,0)-MATCH($B$1,[2]quests!$1:$1,0)+1,FALSE)</f>
        <v>ランキング2（ラグランジュ）</v>
      </c>
      <c r="E118" s="87" t="s">
        <v>222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5">
        <v>0</v>
      </c>
      <c r="I118">
        <v>35</v>
      </c>
      <c r="J118" s="84" t="s">
        <v>200</v>
      </c>
      <c r="K118" s="94" t="str">
        <f>VLOOKUP(I118,[7]stage_hints!$A:$C,3,FALSE)</f>
        <v>敵のステータスがスキルで上がったら</v>
      </c>
      <c r="L118" s="95" t="str">
        <f>VLOOKUP(I118,[7]stage_hints!$A:$D,4,FALSE)</f>
        <v>敵のステータスがスキルでアップしたときは_x000D_ステータスダウンスキルで上書きしましょう</v>
      </c>
      <c r="M118" s="56" t="s">
        <v>215</v>
      </c>
    </row>
    <row r="119" spans="1:13" x14ac:dyDescent="0.15">
      <c r="A119" s="81" t="s">
        <v>203</v>
      </c>
      <c r="B119" s="82">
        <f>floors!$C$2</f>
        <v>60010</v>
      </c>
      <c r="C119" s="83" t="str">
        <f ca="1">VLOOKUP($B119,OFFSET([2]quests!$A$1,0,0,COUNTA([2]quests!$A:$A),MATCH(C$1,[2]quests!$1:$1,0)-MATCH($B$1,[2]quests!$1:$1,0)+1),MATCH(C$1,[2]quests!$1:$1,0)-MATCH($B$1,[2]quests!$1:$1,0)+1,FALSE)</f>
        <v>ラグランジュチャレンジ</v>
      </c>
      <c r="D119" s="83" t="str">
        <f ca="1">VLOOKUP($B119,OFFSET([2]quests!$A$1,0,0,COUNTA([2]quests!$A:$A),MATCH(D$1,[2]quests!$1:$1,0)-MATCH($B$1,[2]quests!$1:$1,0)+1),MATCH(D$1,[2]quests!$1:$1,0)-MATCH($B$1,[2]quests!$1:$1,0)+1,FALSE)</f>
        <v>ランキング2（ラグランジュ）</v>
      </c>
      <c r="E119" s="87" t="s">
        <v>222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5">
        <v>0</v>
      </c>
      <c r="I119">
        <v>36</v>
      </c>
      <c r="J119" s="84" t="s">
        <v>200</v>
      </c>
      <c r="K119" s="94" t="str">
        <f>VLOOKUP(I119,[7]stage_hints!$A:$C,3,FALSE)</f>
        <v>チャレンジタワーのボス</v>
      </c>
      <c r="L119" s="95" t="str">
        <f>VLOOKUP(I119,[7]stage_hints!$A:$D,4,FALSE)</f>
        <v>チャレンジタワーでのみ登場するボスは_x000D_一定確率で獲得することができます</v>
      </c>
      <c r="M119" s="56" t="s">
        <v>215</v>
      </c>
    </row>
    <row r="120" spans="1:13" x14ac:dyDescent="0.15">
      <c r="A120" s="81" t="s">
        <v>203</v>
      </c>
      <c r="B120" s="82">
        <f>floors!$C$2</f>
        <v>60010</v>
      </c>
      <c r="C120" s="83" t="str">
        <f ca="1">VLOOKUP($B120,OFFSET([2]quests!$A$1,0,0,COUNTA([2]quests!$A:$A),MATCH(C$1,[2]quests!$1:$1,0)-MATCH($B$1,[2]quests!$1:$1,0)+1),MATCH(C$1,[2]quests!$1:$1,0)-MATCH($B$1,[2]quests!$1:$1,0)+1,FALSE)</f>
        <v>ラグランジュチャレンジ</v>
      </c>
      <c r="D120" s="83" t="str">
        <f ca="1">VLOOKUP($B120,OFFSET([2]quests!$A$1,0,0,COUNTA([2]quests!$A:$A),MATCH(D$1,[2]quests!$1:$1,0)-MATCH($B$1,[2]quests!$1:$1,0)+1),MATCH(D$1,[2]quests!$1:$1,0)-MATCH($B$1,[2]quests!$1:$1,0)+1,FALSE)</f>
        <v>ランキング2（ラグランジュ）</v>
      </c>
      <c r="E120" s="87" t="s">
        <v>222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5">
        <v>0</v>
      </c>
      <c r="I120">
        <v>37</v>
      </c>
      <c r="J120" s="84" t="s">
        <v>200</v>
      </c>
      <c r="K120" s="94" t="str">
        <f>VLOOKUP(I120,[7]stage_hints!$A:$C,3,FALSE)</f>
        <v>限界突破値の引き継ぎ</v>
      </c>
      <c r="L120" s="95" t="str">
        <f>VLOOKUP(I120,[7]stage_hints!$A:$D,4,FALSE)</f>
        <v>同じユニットを強化で合成すると_x000D_限界突破値を引き継げます（覚醒前後も可）</v>
      </c>
      <c r="M120" s="56" t="s">
        <v>215</v>
      </c>
    </row>
    <row r="121" spans="1:13" x14ac:dyDescent="0.15">
      <c r="A121" s="81" t="s">
        <v>203</v>
      </c>
      <c r="B121" s="82">
        <f>floors!$C$2</f>
        <v>60010</v>
      </c>
      <c r="C121" s="83" t="str">
        <f ca="1">VLOOKUP($B121,OFFSET([2]quests!$A$1,0,0,COUNTA([2]quests!$A:$A),MATCH(C$1,[2]quests!$1:$1,0)-MATCH($B$1,[2]quests!$1:$1,0)+1),MATCH(C$1,[2]quests!$1:$1,0)-MATCH($B$1,[2]quests!$1:$1,0)+1,FALSE)</f>
        <v>ラグランジュチャレンジ</v>
      </c>
      <c r="D121" s="83" t="str">
        <f ca="1">VLOOKUP($B121,OFFSET([2]quests!$A$1,0,0,COUNTA([2]quests!$A:$A),MATCH(D$1,[2]quests!$1:$1,0)-MATCH($B$1,[2]quests!$1:$1,0)+1),MATCH(D$1,[2]quests!$1:$1,0)-MATCH($B$1,[2]quests!$1:$1,0)+1,FALSE)</f>
        <v>ランキング2（ラグランジュ）</v>
      </c>
      <c r="E121" s="87" t="s">
        <v>222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5">
        <v>0</v>
      </c>
      <c r="I121">
        <v>39</v>
      </c>
      <c r="J121" s="84" t="s">
        <v>200</v>
      </c>
      <c r="K121" s="94" t="str">
        <f>VLOOKUP(I121,[7]stage_hints!$A:$C,3,FALSE)</f>
        <v>システム適合者を確認</v>
      </c>
      <c r="L121" s="95" t="str">
        <f>VLOOKUP(I121,[7]stage_hints!$A:$D,4,FALSE)</f>
        <v>ALICEが「アナタ」を呼んでいます</v>
      </c>
      <c r="M121" s="56" t="s">
        <v>215</v>
      </c>
    </row>
    <row r="122" spans="1:13" x14ac:dyDescent="0.15">
      <c r="A122" s="81" t="s">
        <v>203</v>
      </c>
      <c r="B122" s="82">
        <f>floors!$C$2</f>
        <v>60010</v>
      </c>
      <c r="C122" s="83" t="str">
        <f ca="1">VLOOKUP($B122,OFFSET([2]quests!$A$1,0,0,COUNTA([2]quests!$A:$A),MATCH(C$1,[2]quests!$1:$1,0)-MATCH($B$1,[2]quests!$1:$1,0)+1),MATCH(C$1,[2]quests!$1:$1,0)-MATCH($B$1,[2]quests!$1:$1,0)+1,FALSE)</f>
        <v>ラグランジュチャレンジ</v>
      </c>
      <c r="D122" s="83" t="str">
        <f ca="1">VLOOKUP($B122,OFFSET([2]quests!$A$1,0,0,COUNTA([2]quests!$A:$A),MATCH(D$1,[2]quests!$1:$1,0)-MATCH($B$1,[2]quests!$1:$1,0)+1),MATCH(D$1,[2]quests!$1:$1,0)-MATCH($B$1,[2]quests!$1:$1,0)+1,FALSE)</f>
        <v>ランキング2（ラグランジュ）</v>
      </c>
      <c r="E122" s="87" t="s">
        <v>223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5">
        <v>0</v>
      </c>
      <c r="I122">
        <v>12</v>
      </c>
      <c r="J122" s="84" t="s">
        <v>200</v>
      </c>
      <c r="K122" s="94" t="str">
        <f>VLOOKUP(I122,[7]stage_hints!$A:$C,3,FALSE)</f>
        <v>ユニットのお気に入り登録</v>
      </c>
      <c r="L122" s="95" t="str">
        <f>VLOOKUP(I122,[7]stage_hints!$A:$D,4,FALSE)</f>
        <v>大事なユニットを誤って消さないように_x000D_フォルダから「お気に入り登録」しましょう</v>
      </c>
      <c r="M122" s="56" t="s">
        <v>215</v>
      </c>
    </row>
    <row r="123" spans="1:13" x14ac:dyDescent="0.15">
      <c r="A123" s="81" t="s">
        <v>203</v>
      </c>
      <c r="B123" s="82">
        <f>floors!$C$2</f>
        <v>60010</v>
      </c>
      <c r="C123" s="83" t="str">
        <f ca="1">VLOOKUP($B123,OFFSET([2]quests!$A$1,0,0,COUNTA([2]quests!$A:$A),MATCH(C$1,[2]quests!$1:$1,0)-MATCH($B$1,[2]quests!$1:$1,0)+1),MATCH(C$1,[2]quests!$1:$1,0)-MATCH($B$1,[2]quests!$1:$1,0)+1,FALSE)</f>
        <v>ラグランジュチャレンジ</v>
      </c>
      <c r="D123" s="83" t="str">
        <f ca="1">VLOOKUP($B123,OFFSET([2]quests!$A$1,0,0,COUNTA([2]quests!$A:$A),MATCH(D$1,[2]quests!$1:$1,0)-MATCH($B$1,[2]quests!$1:$1,0)+1),MATCH(D$1,[2]quests!$1:$1,0)-MATCH($B$1,[2]quests!$1:$1,0)+1,FALSE)</f>
        <v>ランキング2（ラグランジュ）</v>
      </c>
      <c r="E123" s="87" t="s">
        <v>223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5">
        <v>0</v>
      </c>
      <c r="I123">
        <v>17</v>
      </c>
      <c r="J123" s="84" t="s">
        <v>200</v>
      </c>
      <c r="K123" s="94" t="str">
        <f>VLOOKUP(I123,[7]stage_hints!$A:$C,3,FALSE)</f>
        <v>リンクガチャ</v>
      </c>
      <c r="L123" s="95" t="str">
        <f>VLOOKUP(I123,[7]stage_hints!$A:$D,4,FALSE)</f>
        <v>無料のリンクガチャを回して_x000D_経験値素材や売却素材を獲得しましょう</v>
      </c>
      <c r="M123" s="56" t="s">
        <v>215</v>
      </c>
    </row>
    <row r="124" spans="1:13" x14ac:dyDescent="0.15">
      <c r="A124" s="81" t="s">
        <v>203</v>
      </c>
      <c r="B124" s="82">
        <f>floors!$C$2</f>
        <v>60010</v>
      </c>
      <c r="C124" s="83" t="str">
        <f ca="1">VLOOKUP($B124,OFFSET([2]quests!$A$1,0,0,COUNTA([2]quests!$A:$A),MATCH(C$1,[2]quests!$1:$1,0)-MATCH($B$1,[2]quests!$1:$1,0)+1),MATCH(C$1,[2]quests!$1:$1,0)-MATCH($B$1,[2]quests!$1:$1,0)+1,FALSE)</f>
        <v>ラグランジュチャレンジ</v>
      </c>
      <c r="D124" s="83" t="str">
        <f ca="1">VLOOKUP($B124,OFFSET([2]quests!$A$1,0,0,COUNTA([2]quests!$A:$A),MATCH(D$1,[2]quests!$1:$1,0)-MATCH($B$1,[2]quests!$1:$1,0)+1),MATCH(D$1,[2]quests!$1:$1,0)-MATCH($B$1,[2]quests!$1:$1,0)+1,FALSE)</f>
        <v>ランキング2（ラグランジュ）</v>
      </c>
      <c r="E124" s="87" t="s">
        <v>223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5">
        <v>0</v>
      </c>
      <c r="I124">
        <v>19</v>
      </c>
      <c r="J124" s="84" t="s">
        <v>200</v>
      </c>
      <c r="K124" s="94" t="str">
        <f>VLOOKUP(I124,[7]stage_hints!$A:$C,3,FALSE)</f>
        <v>ソロ専用チャレンジタワー</v>
      </c>
      <c r="L124" s="95" t="str">
        <f>VLOOKUP(I124,[7]stage_hints!$A:$D,4,FALSE)</f>
        <v>ソロ専用の「チャレンジタワー」では_x000D_各フロアごとにクリア報酬がもらえます</v>
      </c>
      <c r="M124" s="56" t="s">
        <v>215</v>
      </c>
    </row>
    <row r="125" spans="1:13" x14ac:dyDescent="0.15">
      <c r="A125" s="81" t="s">
        <v>203</v>
      </c>
      <c r="B125" s="82">
        <f>floors!$C$2</f>
        <v>60010</v>
      </c>
      <c r="C125" s="83" t="str">
        <f ca="1">VLOOKUP($B125,OFFSET([2]quests!$A$1,0,0,COUNTA([2]quests!$A:$A),MATCH(C$1,[2]quests!$1:$1,0)-MATCH($B$1,[2]quests!$1:$1,0)+1),MATCH(C$1,[2]quests!$1:$1,0)-MATCH($B$1,[2]quests!$1:$1,0)+1,FALSE)</f>
        <v>ラグランジュチャレンジ</v>
      </c>
      <c r="D125" s="83" t="str">
        <f ca="1">VLOOKUP($B125,OFFSET([2]quests!$A$1,0,0,COUNTA([2]quests!$A:$A),MATCH(D$1,[2]quests!$1:$1,0)-MATCH($B$1,[2]quests!$1:$1,0)+1),MATCH(D$1,[2]quests!$1:$1,0)-MATCH($B$1,[2]quests!$1:$1,0)+1,FALSE)</f>
        <v>ランキング2（ラグランジュ）</v>
      </c>
      <c r="E125" s="87" t="s">
        <v>223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5">
        <v>0</v>
      </c>
      <c r="I125">
        <v>21</v>
      </c>
      <c r="J125" s="84" t="s">
        <v>200</v>
      </c>
      <c r="K125" s="94" t="str">
        <f>VLOOKUP(I125,[7]stage_hints!$A:$C,3,FALSE)</f>
        <v>スキルを有効に</v>
      </c>
      <c r="L125" s="95" t="str">
        <f>VLOOKUP(I125,[7]stage_hints!$A:$D,4,FALSE)</f>
        <v>ターン経過でユニットのスキルが使えます_x000D_強力スキルでバトルを有利に進めましょう</v>
      </c>
      <c r="M125" s="56" t="s">
        <v>215</v>
      </c>
    </row>
    <row r="126" spans="1:13" x14ac:dyDescent="0.15">
      <c r="A126" s="81" t="s">
        <v>203</v>
      </c>
      <c r="B126" s="82">
        <f>floors!$C$2</f>
        <v>60010</v>
      </c>
      <c r="C126" s="83" t="str">
        <f ca="1">VLOOKUP($B126,OFFSET([2]quests!$A$1,0,0,COUNTA([2]quests!$A:$A),MATCH(C$1,[2]quests!$1:$1,0)-MATCH($B$1,[2]quests!$1:$1,0)+1),MATCH(C$1,[2]quests!$1:$1,0)-MATCH($B$1,[2]quests!$1:$1,0)+1,FALSE)</f>
        <v>ラグランジュチャレンジ</v>
      </c>
      <c r="D126" s="83" t="str">
        <f ca="1">VLOOKUP($B126,OFFSET([2]quests!$A$1,0,0,COUNTA([2]quests!$A:$A),MATCH(D$1,[2]quests!$1:$1,0)-MATCH($B$1,[2]quests!$1:$1,0)+1),MATCH(D$1,[2]quests!$1:$1,0)-MATCH($B$1,[2]quests!$1:$1,0)+1,FALSE)</f>
        <v>ランキング2（ラグランジュ）</v>
      </c>
      <c r="E126" s="87" t="s">
        <v>223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5">
        <v>0</v>
      </c>
      <c r="I126">
        <v>29</v>
      </c>
      <c r="J126" s="84" t="s">
        <v>200</v>
      </c>
      <c r="K126" s="94" t="str">
        <f>VLOOKUP(I126,[7]stage_hints!$A:$C,3,FALSE)</f>
        <v>「バグ」のメリット</v>
      </c>
      <c r="L126" s="95" t="str">
        <f>VLOOKUP(I126,[7]stage_hints!$A:$D,4,FALSE)</f>
        <v>ユニットの「バグ」を増やすと_x000D_報酬をもらえる確率がアップします</v>
      </c>
      <c r="M126" s="56" t="s">
        <v>215</v>
      </c>
    </row>
    <row r="127" spans="1:13" x14ac:dyDescent="0.15">
      <c r="A127" s="81" t="s">
        <v>203</v>
      </c>
      <c r="B127" s="82">
        <f>floors!$C$2</f>
        <v>60010</v>
      </c>
      <c r="C127" s="83" t="str">
        <f ca="1">VLOOKUP($B127,OFFSET([2]quests!$A$1,0,0,COUNTA([2]quests!$A:$A),MATCH(C$1,[2]quests!$1:$1,0)-MATCH($B$1,[2]quests!$1:$1,0)+1),MATCH(C$1,[2]quests!$1:$1,0)-MATCH($B$1,[2]quests!$1:$1,0)+1,FALSE)</f>
        <v>ラグランジュチャレンジ</v>
      </c>
      <c r="D127" s="83" t="str">
        <f ca="1">VLOOKUP($B127,OFFSET([2]quests!$A$1,0,0,COUNTA([2]quests!$A:$A),MATCH(D$1,[2]quests!$1:$1,0)-MATCH($B$1,[2]quests!$1:$1,0)+1),MATCH(D$1,[2]quests!$1:$1,0)-MATCH($B$1,[2]quests!$1:$1,0)+1,FALSE)</f>
        <v>ランキング2（ラグランジュ）</v>
      </c>
      <c r="E127" s="87" t="s">
        <v>223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5">
        <v>0</v>
      </c>
      <c r="I127">
        <v>30</v>
      </c>
      <c r="J127" s="84" t="s">
        <v>200</v>
      </c>
      <c r="K127" s="94" t="str">
        <f>VLOOKUP(I127,[7]stage_hints!$A:$C,3,FALSE)</f>
        <v>「バグ」の増やし方</v>
      </c>
      <c r="L127" s="95" t="str">
        <f>VLOOKUP(I127,[7]stage_hints!$A:$D,4,FALSE)</f>
        <v>同じユニット同士を強化で合成すると_x000D_「バグ」を増やすことができます</v>
      </c>
      <c r="M127" s="56" t="s">
        <v>215</v>
      </c>
    </row>
    <row r="128" spans="1:13" x14ac:dyDescent="0.15">
      <c r="A128" s="81" t="s">
        <v>203</v>
      </c>
      <c r="B128" s="82">
        <f>floors!$C$2</f>
        <v>60010</v>
      </c>
      <c r="C128" s="83" t="str">
        <f ca="1">VLOOKUP($B128,OFFSET([2]quests!$A$1,0,0,COUNTA([2]quests!$A:$A),MATCH(C$1,[2]quests!$1:$1,0)-MATCH($B$1,[2]quests!$1:$1,0)+1),MATCH(C$1,[2]quests!$1:$1,0)-MATCH($B$1,[2]quests!$1:$1,0)+1,FALSE)</f>
        <v>ラグランジュチャレンジ</v>
      </c>
      <c r="D128" s="83" t="str">
        <f ca="1">VLOOKUP($B128,OFFSET([2]quests!$A$1,0,0,COUNTA([2]quests!$A:$A),MATCH(D$1,[2]quests!$1:$1,0)-MATCH($B$1,[2]quests!$1:$1,0)+1),MATCH(D$1,[2]quests!$1:$1,0)-MATCH($B$1,[2]quests!$1:$1,0)+1,FALSE)</f>
        <v>ランキング2（ラグランジュ）</v>
      </c>
      <c r="E128" s="87" t="s">
        <v>223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5">
        <v>0</v>
      </c>
      <c r="I128">
        <v>32</v>
      </c>
      <c r="J128" s="84" t="s">
        <v>200</v>
      </c>
      <c r="K128" s="94" t="str">
        <f>VLOOKUP(I128,[7]stage_hints!$A:$C,3,FALSE)</f>
        <v>敵の連続攻撃には</v>
      </c>
      <c r="L128" s="95" t="str">
        <f>VLOOKUP(I128,[7]stage_hints!$A:$D,4,FALSE)</f>
        <v>カウンタースキルを持つユニットがいれば_x000D_ダメージ回数分の反撃ができます</v>
      </c>
      <c r="M128" s="56" t="s">
        <v>215</v>
      </c>
    </row>
    <row r="129" spans="1:13" x14ac:dyDescent="0.15">
      <c r="A129" s="81" t="s">
        <v>203</v>
      </c>
      <c r="B129" s="82">
        <f>floors!$C$2</f>
        <v>60010</v>
      </c>
      <c r="C129" s="83" t="str">
        <f ca="1">VLOOKUP($B129,OFFSET([2]quests!$A$1,0,0,COUNTA([2]quests!$A:$A),MATCH(C$1,[2]quests!$1:$1,0)-MATCH($B$1,[2]quests!$1:$1,0)+1),MATCH(C$1,[2]quests!$1:$1,0)-MATCH($B$1,[2]quests!$1:$1,0)+1,FALSE)</f>
        <v>ラグランジュチャレンジ</v>
      </c>
      <c r="D129" s="83" t="str">
        <f ca="1">VLOOKUP($B129,OFFSET([2]quests!$A$1,0,0,COUNTA([2]quests!$A:$A),MATCH(D$1,[2]quests!$1:$1,0)-MATCH($B$1,[2]quests!$1:$1,0)+1),MATCH(D$1,[2]quests!$1:$1,0)-MATCH($B$1,[2]quests!$1:$1,0)+1,FALSE)</f>
        <v>ランキング2（ラグランジュ）</v>
      </c>
      <c r="E129" s="87" t="s">
        <v>223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5">
        <v>0</v>
      </c>
      <c r="I129">
        <v>33</v>
      </c>
      <c r="J129" s="84" t="s">
        <v>200</v>
      </c>
      <c r="K129" s="94" t="str">
        <f>VLOOKUP(I129,[7]stage_hints!$A:$C,3,FALSE)</f>
        <v>敵のカウンター攻撃には</v>
      </c>
      <c r="L129" s="95" t="str">
        <f>VLOOKUP(I129,[7]stage_hints!$A:$D,4,FALSE)</f>
        <v>カウンターブレイクスキルを持っていれば_x000D_敵のカウンターを解除して攻撃ができます</v>
      </c>
      <c r="M129" s="56" t="s">
        <v>215</v>
      </c>
    </row>
    <row r="130" spans="1:13" x14ac:dyDescent="0.15">
      <c r="A130" s="81" t="s">
        <v>203</v>
      </c>
      <c r="B130" s="82">
        <f>floors!$C$2</f>
        <v>60010</v>
      </c>
      <c r="C130" s="83" t="str">
        <f ca="1">VLOOKUP($B130,OFFSET([2]quests!$A$1,0,0,COUNTA([2]quests!$A:$A),MATCH(C$1,[2]quests!$1:$1,0)-MATCH($B$1,[2]quests!$1:$1,0)+1),MATCH(C$1,[2]quests!$1:$1,0)-MATCH($B$1,[2]quests!$1:$1,0)+1,FALSE)</f>
        <v>ラグランジュチャレンジ</v>
      </c>
      <c r="D130" s="83" t="str">
        <f ca="1">VLOOKUP($B130,OFFSET([2]quests!$A$1,0,0,COUNTA([2]quests!$A:$A),MATCH(D$1,[2]quests!$1:$1,0)-MATCH($B$1,[2]quests!$1:$1,0)+1),MATCH(D$1,[2]quests!$1:$1,0)-MATCH($B$1,[2]quests!$1:$1,0)+1,FALSE)</f>
        <v>ランキング2（ラグランジュ）</v>
      </c>
      <c r="E130" s="87" t="s">
        <v>223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5">
        <v>0</v>
      </c>
      <c r="I130">
        <v>34</v>
      </c>
      <c r="J130" s="84" t="s">
        <v>200</v>
      </c>
      <c r="K130" s="94" t="str">
        <f>VLOOKUP(I130,[7]stage_hints!$A:$C,3,FALSE)</f>
        <v>ステータスをスキルで下げられたら</v>
      </c>
      <c r="L130" s="95" t="str">
        <f>VLOOKUP(I130,[7]stage_hints!$A:$D,4,FALSE)</f>
        <v>ステータスダウンのスキルを受けたら_x000D_ステータスアップスキルで上書きしましょう</v>
      </c>
      <c r="M130" s="56" t="s">
        <v>215</v>
      </c>
    </row>
    <row r="131" spans="1:13" x14ac:dyDescent="0.15">
      <c r="A131" s="81" t="s">
        <v>203</v>
      </c>
      <c r="B131" s="82">
        <f>floors!$C$2</f>
        <v>60010</v>
      </c>
      <c r="C131" s="83" t="str">
        <f ca="1">VLOOKUP($B131,OFFSET([2]quests!$A$1,0,0,COUNTA([2]quests!$A:$A),MATCH(C$1,[2]quests!$1:$1,0)-MATCH($B$1,[2]quests!$1:$1,0)+1),MATCH(C$1,[2]quests!$1:$1,0)-MATCH($B$1,[2]quests!$1:$1,0)+1,FALSE)</f>
        <v>ラグランジュチャレンジ</v>
      </c>
      <c r="D131" s="83" t="str">
        <f ca="1">VLOOKUP($B131,OFFSET([2]quests!$A$1,0,0,COUNTA([2]quests!$A:$A),MATCH(D$1,[2]quests!$1:$1,0)-MATCH($B$1,[2]quests!$1:$1,0)+1),MATCH(D$1,[2]quests!$1:$1,0)-MATCH($B$1,[2]quests!$1:$1,0)+1,FALSE)</f>
        <v>ランキング2（ラグランジュ）</v>
      </c>
      <c r="E131" s="87" t="s">
        <v>223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5">
        <v>0</v>
      </c>
      <c r="I131">
        <v>35</v>
      </c>
      <c r="J131" s="84" t="s">
        <v>200</v>
      </c>
      <c r="K131" s="94" t="str">
        <f>VLOOKUP(I131,[7]stage_hints!$A:$C,3,FALSE)</f>
        <v>敵のステータスがスキルで上がったら</v>
      </c>
      <c r="L131" s="95" t="str">
        <f>VLOOKUP(I131,[7]stage_hints!$A:$D,4,FALSE)</f>
        <v>敵のステータスがスキルでアップしたときは_x000D_ステータスダウンスキルで上書きしましょう</v>
      </c>
      <c r="M131" s="56" t="s">
        <v>215</v>
      </c>
    </row>
    <row r="132" spans="1:13" x14ac:dyDescent="0.15">
      <c r="A132" s="81" t="s">
        <v>203</v>
      </c>
      <c r="B132" s="82">
        <f>floors!$C$2</f>
        <v>60010</v>
      </c>
      <c r="C132" s="83" t="str">
        <f ca="1">VLOOKUP($B132,OFFSET([2]quests!$A$1,0,0,COUNTA([2]quests!$A:$A),MATCH(C$1,[2]quests!$1:$1,0)-MATCH($B$1,[2]quests!$1:$1,0)+1),MATCH(C$1,[2]quests!$1:$1,0)-MATCH($B$1,[2]quests!$1:$1,0)+1,FALSE)</f>
        <v>ラグランジュチャレンジ</v>
      </c>
      <c r="D132" s="83" t="str">
        <f ca="1">VLOOKUP($B132,OFFSET([2]quests!$A$1,0,0,COUNTA([2]quests!$A:$A),MATCH(D$1,[2]quests!$1:$1,0)-MATCH($B$1,[2]quests!$1:$1,0)+1),MATCH(D$1,[2]quests!$1:$1,0)-MATCH($B$1,[2]quests!$1:$1,0)+1,FALSE)</f>
        <v>ランキング2（ラグランジュ）</v>
      </c>
      <c r="E132" s="87" t="s">
        <v>223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5">
        <v>0</v>
      </c>
      <c r="I132">
        <v>36</v>
      </c>
      <c r="J132" s="84" t="s">
        <v>200</v>
      </c>
      <c r="K132" s="94" t="str">
        <f>VLOOKUP(I132,[7]stage_hints!$A:$C,3,FALSE)</f>
        <v>チャレンジタワーのボス</v>
      </c>
      <c r="L132" s="95" t="str">
        <f>VLOOKUP(I132,[7]stage_hints!$A:$D,4,FALSE)</f>
        <v>チャレンジタワーでのみ登場するボスは_x000D_一定確率で獲得することができます</v>
      </c>
      <c r="M132" s="56" t="s">
        <v>215</v>
      </c>
    </row>
    <row r="133" spans="1:13" x14ac:dyDescent="0.15">
      <c r="A133" s="81" t="s">
        <v>203</v>
      </c>
      <c r="B133" s="82">
        <f>floors!$C$2</f>
        <v>60010</v>
      </c>
      <c r="C133" s="83" t="str">
        <f ca="1">VLOOKUP($B133,OFFSET([2]quests!$A$1,0,0,COUNTA([2]quests!$A:$A),MATCH(C$1,[2]quests!$1:$1,0)-MATCH($B$1,[2]quests!$1:$1,0)+1),MATCH(C$1,[2]quests!$1:$1,0)-MATCH($B$1,[2]quests!$1:$1,0)+1,FALSE)</f>
        <v>ラグランジュチャレンジ</v>
      </c>
      <c r="D133" s="83" t="str">
        <f ca="1">VLOOKUP($B133,OFFSET([2]quests!$A$1,0,0,COUNTA([2]quests!$A:$A),MATCH(D$1,[2]quests!$1:$1,0)-MATCH($B$1,[2]quests!$1:$1,0)+1),MATCH(D$1,[2]quests!$1:$1,0)-MATCH($B$1,[2]quests!$1:$1,0)+1,FALSE)</f>
        <v>ランキング2（ラグランジュ）</v>
      </c>
      <c r="E133" s="87" t="s">
        <v>223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5">
        <v>0</v>
      </c>
      <c r="I133">
        <v>37</v>
      </c>
      <c r="J133" s="84" t="s">
        <v>200</v>
      </c>
      <c r="K133" s="94" t="str">
        <f>VLOOKUP(I133,[7]stage_hints!$A:$C,3,FALSE)</f>
        <v>限界突破値の引き継ぎ</v>
      </c>
      <c r="L133" s="95" t="str">
        <f>VLOOKUP(I133,[7]stage_hints!$A:$D,4,FALSE)</f>
        <v>同じユニットを強化で合成すると_x000D_限界突破値を引き継げます（覚醒前後も可）</v>
      </c>
      <c r="M133" s="56" t="s">
        <v>215</v>
      </c>
    </row>
    <row r="134" spans="1:13" x14ac:dyDescent="0.15">
      <c r="A134" s="81" t="s">
        <v>203</v>
      </c>
      <c r="B134" s="82">
        <f>floors!$C$2</f>
        <v>60010</v>
      </c>
      <c r="C134" s="83" t="str">
        <f ca="1">VLOOKUP($B134,OFFSET([2]quests!$A$1,0,0,COUNTA([2]quests!$A:$A),MATCH(C$1,[2]quests!$1:$1,0)-MATCH($B$1,[2]quests!$1:$1,0)+1),MATCH(C$1,[2]quests!$1:$1,0)-MATCH($B$1,[2]quests!$1:$1,0)+1,FALSE)</f>
        <v>ラグランジュチャレンジ</v>
      </c>
      <c r="D134" s="83" t="str">
        <f ca="1">VLOOKUP($B134,OFFSET([2]quests!$A$1,0,0,COUNTA([2]quests!$A:$A),MATCH(D$1,[2]quests!$1:$1,0)-MATCH($B$1,[2]quests!$1:$1,0)+1),MATCH(D$1,[2]quests!$1:$1,0)-MATCH($B$1,[2]quests!$1:$1,0)+1,FALSE)</f>
        <v>ランキング2（ラグランジュ）</v>
      </c>
      <c r="E134" s="87" t="s">
        <v>223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5">
        <v>0</v>
      </c>
      <c r="I134">
        <v>39</v>
      </c>
      <c r="J134" s="84" t="s">
        <v>200</v>
      </c>
      <c r="K134" s="94" t="str">
        <f>VLOOKUP(I134,[7]stage_hints!$A:$C,3,FALSE)</f>
        <v>システム適合者を確認</v>
      </c>
      <c r="L134" s="95" t="str">
        <f>VLOOKUP(I134,[7]stage_hints!$A:$D,4,FALSE)</f>
        <v>ALICEが「アナタ」を呼んでいます</v>
      </c>
      <c r="M134" s="56" t="s">
        <v>215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8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190</v>
      </c>
      <c r="B1" s="72" t="s">
        <v>151</v>
      </c>
      <c r="C1" s="77" t="s">
        <v>192</v>
      </c>
      <c r="D1" s="77" t="s">
        <v>33</v>
      </c>
      <c r="E1" s="72" t="s">
        <v>193</v>
      </c>
      <c r="F1" s="77" t="s">
        <v>18</v>
      </c>
      <c r="G1" s="77" t="s">
        <v>33</v>
      </c>
      <c r="H1" s="72" t="s">
        <v>195</v>
      </c>
      <c r="I1" s="90" t="s">
        <v>196</v>
      </c>
      <c r="J1" s="92" t="s">
        <v>197</v>
      </c>
      <c r="K1" s="79" t="s">
        <v>127</v>
      </c>
      <c r="L1" s="78" t="s">
        <v>188</v>
      </c>
      <c r="M1" s="93" t="s">
        <v>187</v>
      </c>
      <c r="N1" s="80" t="s">
        <v>198</v>
      </c>
    </row>
    <row r="2" spans="1:14" x14ac:dyDescent="0.15">
      <c r="A2" s="81" t="s">
        <v>199</v>
      </c>
      <c r="B2" s="82">
        <f>floors!$C$2</f>
        <v>60010</v>
      </c>
      <c r="C2" s="83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ランキング2（ラグランジュ）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ラグランジュチャレンジ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ランキング2（ラグランジュ）</v>
      </c>
      <c r="H2" s="85">
        <v>0</v>
      </c>
      <c r="I2" s="91">
        <f>ROW()-1</f>
        <v>1</v>
      </c>
      <c r="J2" s="86" t="str">
        <f>B2&amp;TEXT(I2,"00")</f>
        <v>6001001</v>
      </c>
      <c r="K2" s="84" t="s">
        <v>200</v>
      </c>
      <c r="L2" s="87" t="s">
        <v>201</v>
      </c>
      <c r="M2" s="88" t="s">
        <v>204</v>
      </c>
      <c r="N2" s="56" t="s">
        <v>202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2016-06-02T15:29:01Z</dcterms:modified>
</cp:coreProperties>
</file>