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38400" windowHeight="2106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1" l="1"/>
  <c r="D9" i="21"/>
  <c r="F9" i="21"/>
  <c r="G9" i="21"/>
  <c r="I9" i="21"/>
  <c r="C6" i="21"/>
  <c r="D6" i="21"/>
  <c r="F6" i="21"/>
  <c r="G6" i="21"/>
  <c r="I6" i="21"/>
  <c r="O6" i="21"/>
  <c r="J2" i="11"/>
  <c r="M2" i="10"/>
  <c r="T2" i="10"/>
  <c r="W2" i="10"/>
  <c r="V2" i="10"/>
  <c r="X2" i="10"/>
  <c r="U2" i="10"/>
  <c r="Y2" i="10"/>
  <c r="S18" i="10"/>
  <c r="N10" i="10"/>
  <c r="Q10" i="10"/>
  <c r="P10" i="10"/>
  <c r="R10" i="10"/>
  <c r="O10" i="10"/>
  <c r="S10" i="10"/>
  <c r="N2" i="10"/>
  <c r="Q2" i="10"/>
  <c r="P2" i="10"/>
  <c r="R2" i="10"/>
  <c r="O2" i="10"/>
  <c r="S2" i="10"/>
  <c r="G2" i="10"/>
  <c r="J2" i="10"/>
  <c r="I2" i="10"/>
  <c r="K2" i="10"/>
  <c r="H2" i="10"/>
  <c r="L2" i="10"/>
  <c r="A2" i="9"/>
  <c r="T4" i="1"/>
  <c r="G4" i="2"/>
  <c r="H4" i="2"/>
  <c r="E4" i="2"/>
  <c r="D4" i="2"/>
  <c r="A4" i="2"/>
  <c r="H2" i="1"/>
  <c r="H3" i="1"/>
  <c r="H4" i="1"/>
  <c r="H5" i="1"/>
  <c r="H6" i="1"/>
  <c r="H7" i="1"/>
  <c r="B4" i="2"/>
  <c r="A7" i="1"/>
  <c r="A6" i="1"/>
  <c r="AD7" i="1"/>
  <c r="AF7" i="1"/>
  <c r="AI7" i="1"/>
  <c r="AG7" i="1"/>
  <c r="AE7" i="1"/>
  <c r="V7" i="1"/>
  <c r="T7" i="1"/>
  <c r="Q7" i="1"/>
  <c r="P7" i="1"/>
  <c r="O7" i="1"/>
  <c r="N7" i="1"/>
  <c r="M7" i="1"/>
  <c r="D7" i="1"/>
  <c r="F7" i="1"/>
  <c r="E7" i="1"/>
  <c r="AD6" i="1"/>
  <c r="AF6" i="1"/>
  <c r="AI6" i="1"/>
  <c r="AG6" i="1"/>
  <c r="AE6" i="1"/>
  <c r="V6" i="1"/>
  <c r="T6" i="1"/>
  <c r="Q6" i="1"/>
  <c r="P6" i="1"/>
  <c r="O6" i="1"/>
  <c r="N6" i="1"/>
  <c r="M6" i="1"/>
  <c r="D6" i="1"/>
  <c r="F6" i="1"/>
  <c r="E6" i="1"/>
  <c r="AD5" i="1"/>
  <c r="AF5" i="1"/>
  <c r="AI5" i="1"/>
  <c r="AG5" i="1"/>
  <c r="AE5" i="1"/>
  <c r="V5" i="1"/>
  <c r="T5" i="1"/>
  <c r="Q5" i="1"/>
  <c r="P5" i="1"/>
  <c r="O5" i="1"/>
  <c r="N5" i="1"/>
  <c r="M5" i="1"/>
  <c r="D5" i="1"/>
  <c r="F5" i="1"/>
  <c r="E5" i="1"/>
  <c r="AD4" i="1"/>
  <c r="AF4" i="1"/>
  <c r="AI4" i="1"/>
  <c r="AG4" i="1"/>
  <c r="AE4" i="1"/>
  <c r="V4" i="1"/>
  <c r="Q4" i="1"/>
  <c r="P4" i="1"/>
  <c r="O4" i="1"/>
  <c r="N4" i="1"/>
  <c r="M4" i="1"/>
  <c r="D4" i="1"/>
  <c r="F4" i="1"/>
  <c r="E4" i="1"/>
  <c r="AD3" i="1"/>
  <c r="AF3" i="1"/>
  <c r="AI3" i="1"/>
  <c r="AG3" i="1"/>
  <c r="AE3" i="1"/>
  <c r="V3" i="1"/>
  <c r="T3" i="1"/>
  <c r="Q3" i="1"/>
  <c r="P3" i="1"/>
  <c r="O3" i="1"/>
  <c r="N3" i="1"/>
  <c r="M3" i="1"/>
  <c r="D3" i="1"/>
  <c r="F3" i="1"/>
  <c r="E3" i="1"/>
  <c r="AD2" i="1"/>
  <c r="AF2" i="1"/>
  <c r="AI2" i="1"/>
  <c r="AG2" i="1"/>
  <c r="AE2" i="1"/>
  <c r="V2" i="1"/>
  <c r="T2" i="1"/>
  <c r="Q2" i="1"/>
  <c r="P2" i="1"/>
  <c r="O2" i="1"/>
  <c r="N2" i="1"/>
  <c r="M2" i="1"/>
  <c r="D2" i="1"/>
  <c r="F2" i="1"/>
  <c r="E2" i="1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I8" i="21"/>
  <c r="G8" i="21"/>
  <c r="F8" i="21"/>
  <c r="D8" i="21"/>
  <c r="C8" i="21"/>
  <c r="I7" i="21"/>
  <c r="G7" i="21"/>
  <c r="F7" i="21"/>
  <c r="D7" i="21"/>
  <c r="C7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I2" i="21"/>
  <c r="G2" i="21"/>
  <c r="F2" i="21"/>
  <c r="D2" i="21"/>
  <c r="C2" i="21"/>
  <c r="C6" i="18"/>
  <c r="D6" i="18"/>
  <c r="C9" i="18"/>
  <c r="D9" i="18"/>
  <c r="C8" i="18"/>
  <c r="D8" i="18"/>
  <c r="C7" i="18"/>
  <c r="D7" i="18"/>
  <c r="C3" i="18"/>
  <c r="D3" i="18"/>
  <c r="C4" i="18"/>
  <c r="D4" i="18"/>
  <c r="C5" i="18"/>
  <c r="D5" i="18"/>
  <c r="O3" i="21"/>
  <c r="O4" i="21"/>
  <c r="O5" i="21"/>
  <c r="O2" i="21"/>
  <c r="A22" i="9"/>
  <c r="A25" i="9"/>
  <c r="A24" i="9"/>
  <c r="A23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G3" i="2"/>
  <c r="H3" i="2"/>
  <c r="E3" i="2"/>
  <c r="D3" i="2"/>
  <c r="A3" i="2"/>
  <c r="B3" i="2"/>
  <c r="G2" i="2"/>
  <c r="A2" i="2"/>
  <c r="A5" i="1"/>
  <c r="A4" i="1"/>
  <c r="A3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E12" i="16"/>
  <c r="E11" i="16"/>
  <c r="E10" i="16"/>
  <c r="C2" i="18"/>
  <c r="D2" i="18"/>
  <c r="E9" i="16"/>
  <c r="E8" i="16"/>
  <c r="E7" i="16"/>
  <c r="E6" i="16"/>
  <c r="E5" i="16"/>
  <c r="E4" i="16"/>
  <c r="E3" i="16"/>
  <c r="E2" i="16"/>
  <c r="A2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<sst xmlns="http://schemas.openxmlformats.org/spreadsheetml/2006/main" count="656" uniqueCount="335">
  <si>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</si>
  <si>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</si>
  <si>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</si>
  <si>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</si>
  <si>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</si>
  <si>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</si>
  <si>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</si>
  <si>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</si>
  <si>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</si>
  <si>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</si>
  <si>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</si>
  <si>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</si>
  <si>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</si>
  <si>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</si>
  <si>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</si>
  <si>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</si>
  <si>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</si>
  <si>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</si>
  <si>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</si>
  <si>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</si>
  <si>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</si>
  <si>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</si>
  <si>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</si>
  <si>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</si>
  <si>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</si>
  <si>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</si>
  <si>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</si>
  <si>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</si>
  <si>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</si>
  <si>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</si>
  <si>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</si>
  <si>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</si>
  <si>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</si>
  <si>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</si>
  <si>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</si>
  <si>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</si>
  <si>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</si>
  <si>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</si>
  <si>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</si>
  <si>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</si>
  <si>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</si>
  <si>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</si>
  <si>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</si>
  <si>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</si>
  <si>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</si>
  <si>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</si>
  <si>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</si>
  <si>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</si>
  <si>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</si>
  <si>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</si>
  <si>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</si>
  <si>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</si>
  <si>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</si>
  <si>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</si>
  <si>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</si>
  <si>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</si>
  <si>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</si>
  <si>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</si>
  <si>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</si>
  <si>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</si>
  <si>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</si>
  <si>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</si>
  <si>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</si>
  <si>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</si>
  <si>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</si>
  <si>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</si>
  <si>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</si>
  <si>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</si>
  <si>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</si>
  <si>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</si>
  <si>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</si>
  <si>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</si>
  <si>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</si>
  <si>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</si>
  <si>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</si>
  <si>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</si>
  <si>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</si>
  <si>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</si>
  <si>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</si>
  <si>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</si>
  <si>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</si>
  <si>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</si>
  <si>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</si>
  <si>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</si>
  <si>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</si>
  <si>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</si>
  <si>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</si>
  <si>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</si>
  <si>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</si>
  <si>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</si>
  <si>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</si>
  <si>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</si>
  <si>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</si>
  <si>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</si>
  <si>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</si>
  <si>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</si>
  <si>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</si>
  <si>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</si>
  <si>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</si>
  <si>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</si>
  <si>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</si>
  <si>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</si>
  <si>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</si>
  <si>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</si>
  <si>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</si>
  <si>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</si>
  <si>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</si>
  <si>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</si>
  <si>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</si>
  <si>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</si>
  <si>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</si>
  <si>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</si>
  <si>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</si>
  <si>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</si>
  <si>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</si>
  <si>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</si>
  <si>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</si>
  <si>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</si>
  <si>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</si>
  <si>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</si>
  <si>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</si>
  <si>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</si>
  <si>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</si>
  <si>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</si>
  <si>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</si>
  <si>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</si>
  <si>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</si>
  <si>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</si>
  <si>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</si>
  <si>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</si>
  <si>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</si>
  <si>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</si>
  <si>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</si>
  <si>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</si>
  <si>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</si>
  <si>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</si>
  <si>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</si>
  <si>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</si>
  <si>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</si>
  <si>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</si>
  <si>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</si>
  <si>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</si>
  <si>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</si>
  <si>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</si>
  <si>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</si>
  <si>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</si>
  <si>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</si>
  <si>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</si>
  <si>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</si>
  <si>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</si>
  <si>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</si>
  <si>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</si>
  <si>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</si>
  <si>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</si>
  <si>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</si>
  <si>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</si>
  <si>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</si>
  <si>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</si>
  <si>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</si>
  <si>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</si>
  <si>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</si>
  <si>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</si>
  <si>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</si>
  <si>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</si>
  <si>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</si>
  <si>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</si>
  <si>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</si>
  <si>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</si>
  <si>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</si>
  <si>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</si>
  <si>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</si>
  <si>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</si>
  <si>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</si>
  <si>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</si>
  <si>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</si>
  <si>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</si>
  <si>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</si>
  <si>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</si>
  <si>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</si>
  <si>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</si>
  <si>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</si>
  <si>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</si>
  <si>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</si>
  <si>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</si>
  <si>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</si>
  <si>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</si>
  <si>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</si>
  <si>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</si>
  <si>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</si>
  <si>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</si>
  <si>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</si>
  <si>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</si>
  <si>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</si>
  <si>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</si>
  <si>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</si>
  <si>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</si>
  <si>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</si>
  <si>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</si>
  <si>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</si>
  <si>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</si>
  <si>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</si>
  <si>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</si>
  <si>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</si>
  <si>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</si>
  <si>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</si>
  <si>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</si>
  <si>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</si>
  <si>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</si>
  <si>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</si>
  <si>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</si>
  <si>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</si>
  <si>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</si>
  <si>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</si>
  <si>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</si>
  <si>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</si>
  <si>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</si>
  <si>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</si>
  <si>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</si>
  <si>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</si>
  <si>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</si>
  <si>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</si>
  <si>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</si>
  <si>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</si>
  <si>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</si>
  <si>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</si>
  <si>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</si>
  <si>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</si>
  <si>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</si>
  <si>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</si>
  <si>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</si>
  <si>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</si>
  <si>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</si>
  <si>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</si>
  <si>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</si>
  <si>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</si>
  <si>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</si>
  <si>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</si>
  <si>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</si>
  <si>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</si>
  <si>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</si>
  <si>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</si>
  <si>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</si>
  <si>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</si>
  <si>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</si>
  <si>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</si>
  <si>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</si>
  <si>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</si>
  <si>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</si>
  <si>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このフロアの敵は
ターンが経過すると攻撃力がUPします
なるべく素早く抜けましょう</t>
    <phoneticPr fontId="5"/>
  </si>
  <si>
    <t>unit</t>
  </si>
  <si>
    <t>link</t>
  </si>
  <si>
    <t>null</t>
    <phoneticPr fontId="5"/>
  </si>
  <si>
    <t>bit</t>
    <phoneticPr fontId="5"/>
  </si>
  <si>
    <t>bit</t>
    <phoneticPr fontId="5"/>
  </si>
  <si>
    <t>singleonly</t>
    <phoneticPr fontId="5"/>
  </si>
  <si>
    <t>「塔の結界・ヒューマン極」はコスト29以上と
種族ヒューマン以外のユニットに
即死級のダメージを与えます
注意しましょう</t>
    <rPh sb="30" eb="32">
      <t>イガイノ</t>
    </rPh>
    <phoneticPr fontId="5"/>
  </si>
  <si>
    <t>このフロアで使用されるパネル吸収攻撃は
吸収した数ではダメージが変動しません
上手く利用すれば整地に繋がります</t>
    <rPh sb="6" eb="8">
      <t>シヨウ</t>
    </rPh>
    <rPh sb="24" eb="25">
      <t>カズ</t>
    </rPh>
    <rPh sb="40" eb="42">
      <t>ウマク</t>
    </rPh>
    <rPh sb="48" eb="50">
      <t>セイチ</t>
    </rPh>
    <rPh sb="51" eb="52">
      <t>ツナガリマス</t>
    </rPh>
    <phoneticPr fontId="5"/>
  </si>
  <si>
    <t>ドロシーは自身の防御力を上げた後
全体に強力な3回攻撃を使用します
防御系スキルなどで対策しましょう</t>
    <rPh sb="35" eb="38">
      <t>ボウギョケイ</t>
    </rPh>
    <phoneticPr fontId="5"/>
  </si>
  <si>
    <t>ja</t>
    <phoneticPr fontId="5"/>
  </si>
  <si>
    <t>土方歳三は自身の防御力を上げた後
全体に強力な3回攻撃を使用します
防御系スキルなどで対策しましょう</t>
    <rPh sb="0" eb="2">
      <t>ヒジカタ</t>
    </rPh>
    <rPh sb="3" eb="4">
      <t>サン</t>
    </rPh>
    <rPh sb="35" eb="38">
      <t>ボウギョケイ</t>
    </rPh>
    <phoneticPr fontId="5"/>
  </si>
  <si>
    <t>NULL</t>
    <phoneticPr fontId="5"/>
  </si>
  <si>
    <t>　</t>
    <phoneticPr fontId="5"/>
  </si>
  <si>
    <t>[effect:spread, val:0.3]</t>
    <phoneticPr fontId="5"/>
  </si>
  <si>
    <t>ローリング体当たり</t>
    <rPh sb="5" eb="7">
      <t>タイアタリ</t>
    </rPh>
    <phoneticPr fontId="5"/>
  </si>
  <si>
    <t>全体攻撃</t>
    <phoneticPr fontId="5"/>
  </si>
  <si>
    <t>ja</t>
    <phoneticPr fontId="5"/>
  </si>
  <si>
    <t>セルフエンチャント</t>
    <phoneticPr fontId="5"/>
  </si>
  <si>
    <t>エージェントスイープ</t>
    <phoneticPr fontId="5"/>
  </si>
  <si>
    <t>セルフエンチャント</t>
    <phoneticPr fontId="5"/>
  </si>
  <si>
    <t>私だって硬いんですし！</t>
    <rPh sb="0" eb="1">
      <t>ワタシ</t>
    </rPh>
    <rPh sb="4" eb="5">
      <t>カタイ</t>
    </rPh>
    <phoneticPr fontId="5"/>
  </si>
  <si>
    <t>8ターン緑パネル無効+防御力激烈UP</t>
    <rPh sb="4" eb="5">
      <t>ミドリ</t>
    </rPh>
    <rPh sb="8" eb="10">
      <t>ムコウ</t>
    </rPh>
    <rPh sb="11" eb="14">
      <t>ボウギョリョク</t>
    </rPh>
    <rPh sb="14" eb="16">
      <t>ゲキレツ</t>
    </rPh>
    <phoneticPr fontId="5"/>
  </si>
  <si>
    <t>ブルークラッシャー</t>
    <phoneticPr fontId="5"/>
  </si>
  <si>
    <t>青属性のユニットに大ダメージ</t>
    <rPh sb="0" eb="3">
      <t>アオゾクセイ</t>
    </rPh>
    <rPh sb="9" eb="10">
      <t>ダイダメージ</t>
    </rPh>
    <phoneticPr fontId="5"/>
  </si>
  <si>
    <t>ja</t>
    <phoneticPr fontId="5"/>
  </si>
  <si>
    <t>洗礼を受けるのです！</t>
    <rPh sb="0" eb="2">
      <t>センレイ</t>
    </rPh>
    <rPh sb="3" eb="4">
      <t>ウケル</t>
    </rPh>
    <phoneticPr fontId="5"/>
  </si>
  <si>
    <t>黄パネルを吸収して全体攻撃（最大7個）</t>
    <rPh sb="0" eb="1">
      <t>キイロ</t>
    </rPh>
    <rPh sb="5" eb="7">
      <t>キュウシュウ</t>
    </rPh>
    <rPh sb="9" eb="11">
      <t>ゼンタイ</t>
    </rPh>
    <rPh sb="11" eb="13">
      <t>コウゲキ</t>
    </rPh>
    <rPh sb="14" eb="16">
      <t>サイダイ</t>
    </rPh>
    <rPh sb="17" eb="18">
      <t>コ</t>
    </rPh>
    <phoneticPr fontId="5"/>
  </si>
  <si>
    <t>意志の抗弾</t>
    <rPh sb="0" eb="2">
      <t>イシノ</t>
    </rPh>
    <rPh sb="3" eb="4">
      <t>アラガウ</t>
    </rPh>
    <rPh sb="4" eb="5">
      <t>タマ</t>
    </rPh>
    <phoneticPr fontId="5"/>
  </si>
  <si>
    <t>緑パネルを吸収して全体攻撃（最大7個）</t>
    <rPh sb="0" eb="1">
      <t>ミドリオ</t>
    </rPh>
    <rPh sb="5" eb="7">
      <t>キュウシュウ</t>
    </rPh>
    <rPh sb="9" eb="11">
      <t>ゼンタイ</t>
    </rPh>
    <rPh sb="11" eb="13">
      <t>コウゲキ</t>
    </rPh>
    <rPh sb="14" eb="16">
      <t>サイダイ</t>
    </rPh>
    <rPh sb="17" eb="18">
      <t>コ</t>
    </rPh>
    <phoneticPr fontId="5"/>
  </si>
  <si>
    <t>虚勢はそこまでよ</t>
    <rPh sb="0" eb="2">
      <t>キョセイ</t>
    </rPh>
    <phoneticPr fontId="5"/>
  </si>
  <si>
    <t>[effect:spread, val:0.35],[effect:spread, val:0.25],[effect:spread, val:0.2]</t>
    <phoneticPr fontId="5"/>
  </si>
  <si>
    <t>ヘルファイア・ブラスト</t>
    <phoneticPr fontId="5"/>
  </si>
  <si>
    <t>3回全体攻撃</t>
    <phoneticPr fontId="5"/>
  </si>
  <si>
    <t>[effect:spread, val:0.35],[effect:spread, val:0.25],[effect:spread, val:0.2]</t>
    <phoneticPr fontId="5"/>
  </si>
  <si>
    <t>あんたの太刀筋は見切った！</t>
    <rPh sb="4" eb="7">
      <t>タチスジ</t>
    </rPh>
    <rPh sb="8" eb="10">
      <t>ミキッタ</t>
    </rPh>
    <phoneticPr fontId="5"/>
  </si>
  <si>
    <t>Cパネル生成延長+8ターン防御力激烈UP</t>
    <rPh sb="16" eb="18">
      <t>ゲキレツ</t>
    </rPh>
    <phoneticPr fontId="5"/>
  </si>
  <si>
    <t>混合剣・橙滅</t>
    <rPh sb="0" eb="2">
      <t>コンゴウ</t>
    </rPh>
    <rPh sb="2" eb="3">
      <t>ケン</t>
    </rPh>
    <rPh sb="4" eb="5">
      <t>ダイダイ</t>
    </rPh>
    <rPh sb="5" eb="6">
      <t>メツ</t>
    </rPh>
    <phoneticPr fontId="5"/>
  </si>
  <si>
    <t>こっからが本番だ！</t>
    <rPh sb="5" eb="7">
      <t>ホンバn</t>
    </rPh>
    <phoneticPr fontId="5"/>
  </si>
  <si>
    <t>翠緑の波動</t>
    <rPh sb="0" eb="2">
      <t>スイリョクノ</t>
    </rPh>
    <rPh sb="3" eb="5">
      <t>ハドウ</t>
    </rPh>
    <phoneticPr fontId="5"/>
  </si>
  <si>
    <t>緑パネルを吸収して全体攻撃（最大14個）</t>
    <rPh sb="0" eb="1">
      <t>ミドリ</t>
    </rPh>
    <rPh sb="5" eb="7">
      <t>キュウシュウ</t>
    </rPh>
    <rPh sb="9" eb="11">
      <t>ゼンタイ</t>
    </rPh>
    <rPh sb="11" eb="13">
      <t>コウゲキ</t>
    </rPh>
    <rPh sb="14" eb="16">
      <t>サイダイ</t>
    </rPh>
    <rPh sb="18" eb="19">
      <t>コ</t>
    </rPh>
    <phoneticPr fontId="5"/>
  </si>
  <si>
    <t>[effect:spread, val:0.3],[effect:spread, val:0.2],[effect:spread, val:0.2]</t>
    <phoneticPr fontId="5"/>
  </si>
  <si>
    <t>まだだ！！！</t>
    <phoneticPr fontId="5"/>
  </si>
  <si>
    <t>3回全体攻撃</t>
    <phoneticPr fontId="5"/>
  </si>
  <si>
    <t>ja</t>
    <phoneticPr fontId="5"/>
  </si>
  <si>
    <t>烈風刃</t>
    <rPh sb="0" eb="2">
      <t>レップウ</t>
    </rPh>
    <rPh sb="2" eb="3">
      <t>ヤイバ</t>
    </rPh>
    <phoneticPr fontId="5"/>
  </si>
  <si>
    <t>黄パネルを吸収して全体攻撃（最大14個）</t>
    <rPh sb="0" eb="1">
      <t>キイロ</t>
    </rPh>
    <rPh sb="5" eb="7">
      <t>キュウシュウシテ</t>
    </rPh>
    <rPh sb="9" eb="11">
      <t>ゼンタイ</t>
    </rPh>
    <rPh sb="11" eb="13">
      <t>コウゲキ</t>
    </rPh>
    <rPh sb="14" eb="16">
      <t>サイダイ</t>
    </rPh>
    <rPh sb="18" eb="19">
      <t>コ</t>
    </rPh>
    <phoneticPr fontId="5"/>
  </si>
  <si>
    <t>さぁ仕掛けますよ…！</t>
    <rPh sb="2" eb="4">
      <t>シカケルゾ</t>
    </rPh>
    <phoneticPr fontId="5"/>
  </si>
  <si>
    <t>[effect:spread, val:0.4],[effect:spread, val:0.3],[effect:spread, val:0.2]</t>
    <phoneticPr fontId="5"/>
  </si>
  <si>
    <t>鬼神の閃刃</t>
    <rPh sb="0" eb="1">
      <t>オニ</t>
    </rPh>
    <rPh sb="1" eb="2">
      <t>カミ</t>
    </rPh>
    <rPh sb="3" eb="4">
      <t>センコウ</t>
    </rPh>
    <rPh sb="4" eb="5">
      <t>ヤイバ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</si>
  <si>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</si>
  <si>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</si>
  <si>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</si>
  <si>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</si>
  <si>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塔の結界・ヒューマン極</t>
    <phoneticPr fontId="5"/>
  </si>
  <si>
    <t>[effect:break_attack_fix, target:unit_all, val:10, lowest_val:750, count:7, color:green, block01:block_yellow],[effect:enemy_message, val1:1.4, val2:2]</t>
    <phoneticPr fontId="5"/>
  </si>
  <si>
    <t>[effect:break_attack_fix, target:unit_all, val:10, lowest_val:850, count:7, color:red, block01:block_green],[effect:enemy_message, val1:1.4, val2:2]</t>
    <phoneticPr fontId="5"/>
  </si>
  <si>
    <t>[effect:break_attack_fix, target:unit_all, val:10, lowest_val:850, count:7, color:red, block01:block_green],[effect:enemy_message, val1:1.4, val2:2.2]</t>
    <phoneticPr fontId="5"/>
  </si>
  <si>
    <t>[effect:dis_panel, target:block_green, turn:8, animation:enemy_dis_green],[effect:enhance_enemy, target:enemy_all, turn:8, status:defense, val:15000, calc:add, animation:enemy_enhance_defense],[effect:enemy_message, val1:1.4, val2:2.2]</t>
    <phoneticPr fontId="5"/>
  </si>
  <si>
    <t>[effect:crash_condition, target:unit_all, turn:-1, val:1, animation:enemy_crash_extend],[effect:enhance_enemy, target:enemy_all, turn:8, status:defense, val:20000, calc:add, animation:enemy_enhance_defense],[effect:enemy_message, val1:1.4, val2:2.2]</t>
    <phoneticPr fontId="5"/>
  </si>
  <si>
    <t>[effect:break_attack_fix, target:unit_all, val:10, lowest_val:800, count:14, color:red, block01:block_green],[effect:enhance_enemy, target:enemy_all, turn:5, status:defense, val:20000, calc:add, animation:enemy_enhance_defense],[effect:enemy_message, val1:1.4, val2:2.4]</t>
    <phoneticPr fontId="5"/>
  </si>
  <si>
    <t>[effect:break_attack_fix, target:unit_all, val:10, lowest_val:850, count:14, color:green, block01:block_yellow],[effect:enemy_message, val1:1.4, val2:2]</t>
    <phoneticPr fontId="5"/>
  </si>
  <si>
    <t>[effect:break_attack_fix, target:unit_all, val:10, lowest_val:800, count:14, color:red, block01:block_green],[effect:enemy_message, val1:1.4, val2:2]</t>
    <phoneticPr fontId="5"/>
  </si>
  <si>
    <t>[effect:enhance_enemy, target:myself, turn:-1, status:defense, val:25000, calc:add, animation:enemy_enhance_defense],[effect:degrade_unit, target:unit_all, turn:-1, status:attack, val:0.50, calc:mul],[effect:enemy_message, val1:1.4, val2:2.4]</t>
    <phoneticPr fontId="5"/>
  </si>
  <si>
    <t>[effect:enhance_enemy, target:myself, turn:-1, status:attack, val:1.9, calc:mul, animation:enemy_enhance_attack]</t>
    <phoneticPr fontId="5"/>
  </si>
  <si>
    <t>[effect:enhance_enemy, target:myself, turn:-1, status:attack, val:1.9, calc:mul, animation:enemy_enhance_attack]</t>
    <phoneticPr fontId="5"/>
  </si>
  <si>
    <t>[effect:enhance_enemy, target:myself, turn:-1, status:defense, val:20000, calc:add, animation:enemy_enhance_defense],[effect:degrade_unit, target:unit_all, turn:-1, status:attack, val:0.5, calc:mul],[effect:enemy_message, val1:1.4, val2:2.4]</t>
    <phoneticPr fontId="5"/>
  </si>
  <si>
    <t>[effect:break_attack_fix, target:unit_all, val:10, lowest_val:850, count:14, color:green, block01:block_yellow],[effect:degrade_unit, target:unit_all, turn:-1, status:attack, val:0.4, calc:mul],[effect:enemy_message, val1:1.4, val2:2]</t>
    <phoneticPr fontId="5"/>
  </si>
  <si>
    <t>[effect:damage_anti_color, target:unit_all, color:blue, val1:0.62, val2:0.12]</t>
    <phoneticPr fontId="5"/>
  </si>
  <si>
    <t>[effect:damage_anti_color, target:unit_all, color:red, val1:0.62, val2:0.12],[effect:dis_panel, target:block_yellow, turn:8, animation:enemy_dis_yellow],[effect:enemy_message, val1:1.4, val2:2.4]</t>
    <phoneticPr fontId="5"/>
  </si>
  <si>
    <t>リー！リリーー！</t>
    <phoneticPr fontId="5"/>
  </si>
  <si>
    <t>この階層の敵は防御力が高い！</t>
    <phoneticPr fontId="5"/>
  </si>
  <si>
    <t>自身の防御力激烈UP+
全ユニットの攻撃力50%DOWN</t>
    <rPh sb="0" eb="2">
      <t>ジシンノ</t>
    </rPh>
    <rPh sb="3" eb="6">
      <t>ボウギョリョク</t>
    </rPh>
    <rPh sb="6" eb="8">
      <t>ゲキレツ</t>
    </rPh>
    <rPh sb="12" eb="13">
      <t>ゼン</t>
    </rPh>
    <rPh sb="18" eb="21">
      <t>コウゲキリョク</t>
    </rPh>
    <phoneticPr fontId="5"/>
  </si>
  <si>
    <t>赤属性のユニットに大ダメージ+
8ターン黄パネル無効</t>
    <rPh sb="0" eb="3">
      <t>アカゾクセイ</t>
    </rPh>
    <rPh sb="9" eb="10">
      <t>ダイダメージ</t>
    </rPh>
    <rPh sb="20" eb="21">
      <t>キイロ</t>
    </rPh>
    <rPh sb="24" eb="26">
      <t>ムコウ</t>
    </rPh>
    <phoneticPr fontId="5"/>
  </si>
  <si>
    <t>攻撃力超大UP</t>
    <rPh sb="0" eb="3">
      <t>コウゲキリョク</t>
    </rPh>
    <rPh sb="3" eb="5">
      <t>チョウダイ</t>
    </rPh>
    <phoneticPr fontId="5"/>
  </si>
  <si>
    <t>種族ヒューマン以外のユニットに大ダメージ+
コスト29以上のユニットに大ダメージ</t>
    <phoneticPr fontId="5"/>
  </si>
  <si>
    <t>緑パネルを吸収して全体攻撃（最大14個）+
5ターン敵全体の防御力激烈UP</t>
    <rPh sb="0" eb="1">
      <t>ミドリパネル</t>
    </rPh>
    <rPh sb="5" eb="7">
      <t>キュウシュウ</t>
    </rPh>
    <rPh sb="9" eb="11">
      <t>ゼンタイ</t>
    </rPh>
    <rPh sb="11" eb="13">
      <t>コウゲキ</t>
    </rPh>
    <rPh sb="14" eb="16">
      <t>サイダイ</t>
    </rPh>
    <rPh sb="18" eb="19">
      <t>コ</t>
    </rPh>
    <rPh sb="26" eb="29">
      <t>テキゼンタイ</t>
    </rPh>
    <rPh sb="30" eb="33">
      <t>ボウギョリョク</t>
    </rPh>
    <rPh sb="33" eb="35">
      <t>ゲキレツ</t>
    </rPh>
    <phoneticPr fontId="5"/>
  </si>
  <si>
    <t>この階は防御力DOWNのスキルが有効です
防御力ダウンのスキルを持った
ユニットを連れていきましょう</t>
    <phoneticPr fontId="5"/>
  </si>
  <si>
    <t>この階は防御力DOWNのスキルが有効です
防御力ダウンのスキルを持った
ユニットを連れていきましょう</t>
    <phoneticPr fontId="5"/>
  </si>
  <si>
    <t>烈風刃・散</t>
    <rPh sb="0" eb="2">
      <t>レップウ</t>
    </rPh>
    <rPh sb="2" eb="3">
      <t>ヤイバ</t>
    </rPh>
    <phoneticPr fontId="5"/>
  </si>
  <si>
    <t>[effect:enhance_enemy, target:myself, turn:-1, status:defense, val:1, calc:add, animation:enemy_enhance_defense],[effect:enemy_message, val1:1, val2:2.2]</t>
    <phoneticPr fontId="5"/>
  </si>
  <si>
    <t>[effect:enemy_message, val1:1.4, val2:2.8],[effect:damage_anti_tribe, target:unit_all, tribe:human, val1:0.01, val2:99.9],[effect:damage_anti_cost, target:unit_all, lower:29, val1:99.9, val2:0.01, cost_type:unit],[effect:damage_anti_cost, target:unit_all, lower:29, val1:99.9, val2:0.01, cost_type:unit]</t>
    <phoneticPr fontId="5"/>
  </si>
  <si>
    <t>黄パネルを吸収して全体攻撃（最大14個）+
全ユニットの攻撃力40%DOWN</t>
    <rPh sb="0" eb="1">
      <t>キイロ</t>
    </rPh>
    <rPh sb="5" eb="7">
      <t>キュウシュウシテ</t>
    </rPh>
    <rPh sb="9" eb="11">
      <t>ゼンタイ</t>
    </rPh>
    <rPh sb="11" eb="13">
      <t>コウゲキ</t>
    </rPh>
    <rPh sb="14" eb="16">
      <t>サイダイ</t>
    </rPh>
    <rPh sb="18" eb="19">
      <t>コ</t>
    </rPh>
    <phoneticPr fontId="5"/>
  </si>
  <si>
    <t>自身の防御力激烈UP+
全ユニットの攻撃力50%DOWN</t>
    <rPh sb="0" eb="2">
      <t>ジシンノ</t>
    </rPh>
    <rPh sb="12" eb="13">
      <t>ゼn</t>
    </rPh>
    <phoneticPr fontId="5"/>
  </si>
  <si>
    <t>skip</t>
  </si>
  <si>
    <t>13302_9</t>
    <phoneticPr fontId="5"/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</si>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</sst>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EC9C5"/>
        <bgColor indexed="64"/>
      </patternFill>
    </fill>
    <fill>
      <patternFill patternType="solid">
        <fgColor rgb="FFB7EEDA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 wrapText="1"/>
    </xf>
    <xf numFmtId="0" fontId="6" fillId="35" borderId="9" xfId="0" applyFont="1" applyFill="1" applyBorder="1" applyAlignment="1">
      <alignment vertical="center"/>
    </xf>
    <xf numFmtId="0" fontId="30" fillId="33" borderId="7" xfId="0" applyFont="1" applyFill="1" applyBorder="1"/>
    <xf numFmtId="38" fontId="16" fillId="0" borderId="7" xfId="628" applyFont="1" applyFill="1" applyBorder="1" applyAlignment="1">
      <alignment wrapText="1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0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horizontal="left" vertical="center"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35" borderId="3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/>
  </sheetViews>
  <sheetFormatPr baseColWidth="12" defaultRowHeight="15" x14ac:dyDescent="0.15"/>
  <cols>
    <col min="2" max="2" width="14.83203125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128</v>
      </c>
      <c r="B1" s="52" t="s">
        <v>99</v>
      </c>
      <c r="C1" s="52" t="s">
        <v>100</v>
      </c>
      <c r="D1" s="52" t="s">
        <v>101</v>
      </c>
      <c r="E1" s="52" t="s">
        <v>102</v>
      </c>
      <c r="F1" s="52" t="s">
        <v>103</v>
      </c>
      <c r="G1" s="52" t="s">
        <v>104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334</v>
      </c>
      <c r="B2" s="54" t="s">
        <v>105</v>
      </c>
      <c r="C2" s="60" t="s">
        <v>333</v>
      </c>
      <c r="D2" s="54" t="s">
        <v>106</v>
      </c>
      <c r="E2" s="53" t="str">
        <f>B2&amp;C2&amp;D2</f>
        <v>floors_13302_9.tmp</v>
      </c>
      <c r="F2" s="54" t="s">
        <v>107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334</v>
      </c>
      <c r="B3" s="54" t="s">
        <v>108</v>
      </c>
      <c r="C3" s="60" t="s">
        <v>333</v>
      </c>
      <c r="D3" s="54" t="s">
        <v>106</v>
      </c>
      <c r="E3" s="53" t="str">
        <f>B3&amp;C3&amp;D3</f>
        <v>enemy_habitats_13302_9.tmp</v>
      </c>
      <c r="F3" s="54" t="s">
        <v>109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53</v>
      </c>
      <c r="AD3" s="55" t="s">
        <v>175</v>
      </c>
    </row>
    <row r="4" spans="1:30" x14ac:dyDescent="0.15">
      <c r="A4" s="58" t="s">
        <v>334</v>
      </c>
      <c r="B4" s="54" t="s">
        <v>110</v>
      </c>
      <c r="C4" s="60" t="s">
        <v>333</v>
      </c>
      <c r="D4" s="54" t="s">
        <v>106</v>
      </c>
      <c r="E4" s="53" t="str">
        <f>B4&amp;C4&amp;D4</f>
        <v>enemy_habitat_S_13302_9.tmp</v>
      </c>
      <c r="F4" s="54" t="s">
        <v>111</v>
      </c>
      <c r="G4" s="55" t="s">
        <v>0</v>
      </c>
      <c r="H4" s="55" t="s">
        <v>1</v>
      </c>
      <c r="I4" s="55" t="s">
        <v>13</v>
      </c>
      <c r="J4" s="55" t="s">
        <v>53</v>
      </c>
      <c r="K4" s="55" t="s">
        <v>54</v>
      </c>
      <c r="L4" s="55" t="s">
        <v>55</v>
      </c>
      <c r="M4" s="55" t="s">
        <v>56</v>
      </c>
      <c r="N4" s="55" t="s">
        <v>57</v>
      </c>
      <c r="O4" s="55" t="s">
        <v>58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332</v>
      </c>
      <c r="B5" s="54" t="s">
        <v>112</v>
      </c>
      <c r="C5" s="60" t="s">
        <v>333</v>
      </c>
      <c r="D5" s="54" t="s">
        <v>106</v>
      </c>
      <c r="E5" s="53" t="str">
        <f>B5&amp;C5&amp;D5</f>
        <v>enemy_skill_sets_13302_9.tmp</v>
      </c>
      <c r="F5" s="54" t="s">
        <v>113</v>
      </c>
      <c r="G5" s="56" t="s">
        <v>22</v>
      </c>
      <c r="H5" s="56" t="s">
        <v>98</v>
      </c>
      <c r="I5" s="56" t="s">
        <v>93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332</v>
      </c>
      <c r="B6" s="54" t="s">
        <v>114</v>
      </c>
      <c r="C6" s="60" t="s">
        <v>333</v>
      </c>
      <c r="D6" s="54" t="s">
        <v>115</v>
      </c>
      <c r="E6" s="53" t="str">
        <f t="shared" ref="E6:E10" si="0">B6&amp;C6&amp;D6</f>
        <v>enemy_skills_tmp_13302_9.tmp</v>
      </c>
      <c r="F6" s="54" t="s">
        <v>89</v>
      </c>
      <c r="G6" s="55" t="s">
        <v>78</v>
      </c>
      <c r="H6" s="55" t="s">
        <v>79</v>
      </c>
      <c r="I6" s="55" t="s">
        <v>80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332</v>
      </c>
      <c r="B7" s="54" t="s">
        <v>116</v>
      </c>
      <c r="C7" s="60" t="s">
        <v>333</v>
      </c>
      <c r="D7" s="54" t="s">
        <v>106</v>
      </c>
      <c r="E7" s="53" t="str">
        <f>B7&amp;C7&amp;D7</f>
        <v>enemy_skills_i18n_13302_9.tmp</v>
      </c>
      <c r="F7" s="54" t="s">
        <v>117</v>
      </c>
      <c r="G7" s="55" t="s">
        <v>78</v>
      </c>
      <c r="H7" s="55" t="s">
        <v>90</v>
      </c>
      <c r="I7" s="55" t="s">
        <v>91</v>
      </c>
      <c r="J7" s="55" t="s">
        <v>92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332</v>
      </c>
      <c r="B8" s="54" t="s">
        <v>118</v>
      </c>
      <c r="C8" s="60" t="s">
        <v>333</v>
      </c>
      <c r="D8" s="54" t="s">
        <v>119</v>
      </c>
      <c r="E8" s="53" t="str">
        <f t="shared" si="0"/>
        <v>enemy_skill_triggers_13302_9.tmp</v>
      </c>
      <c r="F8" s="54" t="s">
        <v>120</v>
      </c>
      <c r="G8" s="55" t="s">
        <v>93</v>
      </c>
      <c r="H8" s="55" t="s">
        <v>94</v>
      </c>
      <c r="I8" s="55" t="s">
        <v>95</v>
      </c>
      <c r="J8" s="55" t="s">
        <v>96</v>
      </c>
      <c r="K8" s="55" t="s">
        <v>121</v>
      </c>
      <c r="L8" s="55" t="s">
        <v>97</v>
      </c>
      <c r="M8" s="55" t="s">
        <v>122</v>
      </c>
      <c r="N8" s="55" t="s">
        <v>123</v>
      </c>
      <c r="O8" s="55" t="s">
        <v>124</v>
      </c>
      <c r="P8" s="55" t="s">
        <v>66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334</v>
      </c>
      <c r="B9" s="65" t="s">
        <v>174</v>
      </c>
      <c r="C9" s="60" t="s">
        <v>333</v>
      </c>
      <c r="D9" s="65" t="s">
        <v>168</v>
      </c>
      <c r="E9" s="66" t="str">
        <f t="shared" si="0"/>
        <v>stage_bug_bonuses_13302_9.tmp</v>
      </c>
      <c r="F9" s="65" t="s">
        <v>169</v>
      </c>
      <c r="G9" s="62" t="s">
        <v>148</v>
      </c>
      <c r="H9" s="62" t="s">
        <v>170</v>
      </c>
      <c r="I9" s="62" t="s">
        <v>171</v>
      </c>
      <c r="J9" s="64" t="s">
        <v>172</v>
      </c>
      <c r="K9" s="62" t="s">
        <v>173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4"/>
      <c r="Y9" s="54"/>
      <c r="Z9" s="54"/>
      <c r="AA9" s="54"/>
      <c r="AB9" s="54"/>
      <c r="AC9" s="54"/>
      <c r="AD9" s="54"/>
    </row>
    <row r="10" spans="1:30" s="72" customFormat="1" x14ac:dyDescent="0.15">
      <c r="A10" s="58" t="s">
        <v>332</v>
      </c>
      <c r="B10" s="65" t="s">
        <v>197</v>
      </c>
      <c r="C10" s="60" t="s">
        <v>333</v>
      </c>
      <c r="D10" s="65" t="s">
        <v>177</v>
      </c>
      <c r="E10" s="66" t="str">
        <f t="shared" si="0"/>
        <v>stage_hints_data_c_13302_9.tmp</v>
      </c>
      <c r="F10" s="65" t="s">
        <v>205</v>
      </c>
      <c r="G10" s="70" t="s">
        <v>178</v>
      </c>
      <c r="H10" s="70" t="s">
        <v>170</v>
      </c>
      <c r="I10" s="71" t="s">
        <v>179</v>
      </c>
      <c r="J10" s="64" t="s">
        <v>180</v>
      </c>
      <c r="K10" s="64" t="s">
        <v>181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8" t="s">
        <v>334</v>
      </c>
      <c r="B11" s="65" t="s">
        <v>198</v>
      </c>
      <c r="C11" s="60" t="s">
        <v>333</v>
      </c>
      <c r="D11" s="65" t="s">
        <v>168</v>
      </c>
      <c r="E11" s="66" t="str">
        <f t="shared" ref="E11:E13" si="1">B11&amp;C11&amp;D11</f>
        <v>stage_hints_data_f_13302_9.tmp</v>
      </c>
      <c r="F11" s="65" t="s">
        <v>206</v>
      </c>
      <c r="G11" s="70" t="s">
        <v>178</v>
      </c>
      <c r="H11" s="70" t="s">
        <v>170</v>
      </c>
      <c r="I11" s="71" t="s">
        <v>179</v>
      </c>
      <c r="J11" s="64" t="s">
        <v>180</v>
      </c>
      <c r="K11" s="64" t="s">
        <v>181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58" t="s">
        <v>334</v>
      </c>
      <c r="B12" s="65" t="s">
        <v>199</v>
      </c>
      <c r="C12" s="60" t="s">
        <v>333</v>
      </c>
      <c r="D12" s="65" t="s">
        <v>168</v>
      </c>
      <c r="E12" s="66" t="str">
        <f t="shared" si="1"/>
        <v>stage_hints_i18n_13302_9.tmp</v>
      </c>
      <c r="F12" s="65" t="s">
        <v>207</v>
      </c>
      <c r="G12" s="71" t="s">
        <v>200</v>
      </c>
      <c r="H12" s="89" t="s">
        <v>201</v>
      </c>
      <c r="I12" s="70" t="s">
        <v>202</v>
      </c>
      <c r="J12" s="97" t="s">
        <v>203</v>
      </c>
      <c r="K12" s="64" t="s">
        <v>204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58" t="s">
        <v>334</v>
      </c>
      <c r="B13" s="65" t="s">
        <v>245</v>
      </c>
      <c r="C13" s="60" t="s">
        <v>333</v>
      </c>
      <c r="D13" s="65" t="s">
        <v>226</v>
      </c>
      <c r="E13" s="66" t="str">
        <f t="shared" si="1"/>
        <v>stage_bonuses_13302_9.tmp</v>
      </c>
      <c r="F13" s="65" t="s">
        <v>225</v>
      </c>
      <c r="G13" s="70" t="s">
        <v>227</v>
      </c>
      <c r="H13" s="70" t="s">
        <v>228</v>
      </c>
      <c r="I13" s="70" t="s">
        <v>229</v>
      </c>
      <c r="J13" s="70" t="s">
        <v>230</v>
      </c>
      <c r="K13" s="70" t="s">
        <v>231</v>
      </c>
      <c r="L13" s="70" t="s">
        <v>232</v>
      </c>
      <c r="M13" s="70" t="s">
        <v>233</v>
      </c>
      <c r="N13" s="70" t="s">
        <v>234</v>
      </c>
      <c r="O13" s="70" t="s">
        <v>235</v>
      </c>
      <c r="P13" s="70" t="s">
        <v>236</v>
      </c>
      <c r="Q13" s="70" t="s">
        <v>237</v>
      </c>
      <c r="R13" s="70" t="s">
        <v>238</v>
      </c>
      <c r="S13" s="70" t="s">
        <v>239</v>
      </c>
      <c r="T13" s="70" t="s">
        <v>240</v>
      </c>
      <c r="U13" s="70" t="s">
        <v>241</v>
      </c>
      <c r="V13" s="70" t="s">
        <v>242</v>
      </c>
      <c r="W13" s="70" t="s">
        <v>243</v>
      </c>
      <c r="X13" s="70" t="s">
        <v>244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13302_9-1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9</v>
      </c>
      <c r="G2" s="22" t="str">
        <f>C2&amp;"_"&amp;F2</f>
        <v>13302_9</v>
      </c>
      <c r="H2" s="15" t="str">
        <f ca="1">VLOOKUP($G2,OFFSET([2]stages!$A$1,0,0,COUNTA([2]stages!$A:$A),MATCH(H$1,[2]stages!$2:$2,0)-MATCH($G$1,[2]stages!$2:$2,0)+1),MATCH(H$1,[2]stages!$2:$2,0)-MATCH($G$1,[2]stages!$2:$2,0)+1,FALSE)</f>
        <v>9階 コスト28以下ヒューマン限定</v>
      </c>
      <c r="I2" s="20">
        <v>1</v>
      </c>
      <c r="J2" s="12">
        <v>30</v>
      </c>
      <c r="K2" s="12">
        <v>30</v>
      </c>
    </row>
    <row r="3" spans="1:11" ht="21" customHeight="1" x14ac:dyDescent="0.15">
      <c r="A3" s="16" t="str">
        <f>G3&amp;"-"&amp;I3</f>
        <v>13302_9-2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9</v>
      </c>
      <c r="G3" s="22" t="str">
        <f>C3&amp;"_"&amp;F3</f>
        <v>13302_9</v>
      </c>
      <c r="H3" s="15" t="str">
        <f ca="1">VLOOKUP($G3,OFFSET([2]stages!$A$1,0,0,COUNTA([2]stages!$A:$A),MATCH(H$1,[2]stages!$2:$2,0)-MATCH($G$1,[2]stages!$2:$2,0)+1),MATCH(H$1,[2]stages!$2:$2,0)-MATCH($G$1,[2]stages!$2:$2,0)+1,FALSE)</f>
        <v>9階 コスト28以下ヒューマン限定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13302_9-3</v>
      </c>
      <c r="B4" s="16" t="str">
        <f>IF(COUNTIF(enemy_habitats!$H:$H,A4),"OK","NG")</f>
        <v>OK</v>
      </c>
      <c r="C4" s="7">
        <v>13302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0">
        <v>9</v>
      </c>
      <c r="G4" s="22" t="str">
        <f>C4&amp;"_"&amp;F4</f>
        <v>13302_9</v>
      </c>
      <c r="H4" s="15" t="str">
        <f ca="1">VLOOKUP($G4,OFFSET([2]stages!$A$1,0,0,COUNTA([2]stages!$A:$A),MATCH(H$1,[2]stages!$2:$2,0)-MATCH($G$1,[2]stages!$2:$2,0)+1),MATCH(H$1,[2]stages!$2:$2,0)-MATCH($G$1,[2]stages!$2:$2,0)+1,FALSE)</f>
        <v>9階 コスト28以下ヒューマン限定</v>
      </c>
      <c r="I4" s="20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4"/>
  <sheetViews>
    <sheetView showGridLines="0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246</v>
      </c>
      <c r="U1" s="24" t="s">
        <v>50</v>
      </c>
      <c r="V1" s="98" t="s">
        <v>247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176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13302_9-1/1&lt;lv60&gt;s1</v>
      </c>
      <c r="B2" s="21">
        <v>13302</v>
      </c>
      <c r="C2" s="116">
        <v>9</v>
      </c>
      <c r="D2" s="15" t="str">
        <f t="shared" ref="D2:D7" si="1">B2&amp;"_"&amp;C2</f>
        <v>13302_9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9階 コスト28以下ヒューマン限定</v>
      </c>
      <c r="G2" s="116">
        <v>1</v>
      </c>
      <c r="H2" s="15" t="str">
        <f t="shared" ref="H2:H7" si="2">B2&amp;"_"&amp;C2&amp;"-"&amp;G2</f>
        <v>13302_9-1</v>
      </c>
      <c r="I2" s="4" t="e">
        <v>#VALUE!</v>
      </c>
      <c r="J2" s="4" t="e">
        <v>#VALUE!</v>
      </c>
      <c r="K2" s="36" t="s">
        <v>298</v>
      </c>
      <c r="L2" s="117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3">
        <v>1.1000000000000001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13530.000000000002</v>
      </c>
      <c r="U2" s="23">
        <v>0.5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2252.5</v>
      </c>
      <c r="W2" s="5">
        <v>0</v>
      </c>
      <c r="X2" s="4" t="e">
        <v>#VALUE!</v>
      </c>
      <c r="Y2" s="118">
        <v>13301601</v>
      </c>
      <c r="Z2" s="6">
        <v>1</v>
      </c>
      <c r="AA2" s="6">
        <v>100</v>
      </c>
      <c r="AB2" s="6">
        <v>0</v>
      </c>
      <c r="AC2" s="106">
        <v>1</v>
      </c>
      <c r="AD2" s="119">
        <f t="shared" ref="AD2:AD7" si="3">L2</f>
        <v>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120">
        <v>1</v>
      </c>
      <c r="AI2" s="119">
        <f t="shared" ref="AI2:AI7" ca="1" si="4">AF2</f>
        <v>1</v>
      </c>
      <c r="AJ2" s="8">
        <v>0</v>
      </c>
      <c r="AK2" s="120">
        <v>0</v>
      </c>
      <c r="AL2" s="120">
        <v>0</v>
      </c>
      <c r="AM2" s="120">
        <v>0</v>
      </c>
      <c r="AN2" s="120">
        <v>0</v>
      </c>
      <c r="AO2" s="120">
        <v>1</v>
      </c>
      <c r="AP2" s="67">
        <v>1</v>
      </c>
    </row>
    <row r="3" spans="1:42" ht="21" customHeight="1" x14ac:dyDescent="0.15">
      <c r="A3" s="16" t="str">
        <f t="shared" si="0"/>
        <v>13302_9-1/3&lt;lv60&gt;s1</v>
      </c>
      <c r="B3" s="21">
        <v>13302</v>
      </c>
      <c r="C3" s="116">
        <v>9</v>
      </c>
      <c r="D3" s="15" t="str">
        <f t="shared" si="1"/>
        <v>13302_9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9階 コスト28以下ヒューマン限定</v>
      </c>
      <c r="G3" s="116">
        <v>1</v>
      </c>
      <c r="H3" s="15" t="str">
        <f t="shared" si="2"/>
        <v>13302_9-1</v>
      </c>
      <c r="I3" s="4" t="e">
        <v>#VALUE!</v>
      </c>
      <c r="J3" s="4" t="e">
        <v>#VALUE!</v>
      </c>
      <c r="K3" s="36" t="s">
        <v>88</v>
      </c>
      <c r="L3" s="117">
        <v>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エージェント ジョー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3">
        <v>1.1000000000000001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13800.6</v>
      </c>
      <c r="U3" s="23">
        <v>0.6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2169.6</v>
      </c>
      <c r="W3" s="5">
        <v>0</v>
      </c>
      <c r="X3" s="4" t="e">
        <v>#VALUE!</v>
      </c>
      <c r="Y3" s="59">
        <v>13301602</v>
      </c>
      <c r="Z3" s="6">
        <v>1</v>
      </c>
      <c r="AA3" s="6">
        <v>100</v>
      </c>
      <c r="AB3" s="6">
        <v>0</v>
      </c>
      <c r="AC3" s="106">
        <v>1</v>
      </c>
      <c r="AD3" s="119">
        <f t="shared" si="3"/>
        <v>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エージェント ジョー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120">
        <v>1</v>
      </c>
      <c r="AI3" s="119">
        <f t="shared" ca="1" si="4"/>
        <v>1</v>
      </c>
      <c r="AJ3" s="8">
        <v>0</v>
      </c>
      <c r="AK3" s="120">
        <v>0</v>
      </c>
      <c r="AL3" s="120">
        <v>0</v>
      </c>
      <c r="AM3" s="120">
        <v>0</v>
      </c>
      <c r="AN3" s="120">
        <v>0</v>
      </c>
      <c r="AO3" s="120">
        <v>1</v>
      </c>
      <c r="AP3" s="67">
        <v>1</v>
      </c>
    </row>
    <row r="4" spans="1:42" ht="21" customHeight="1" x14ac:dyDescent="0.15">
      <c r="A4" s="16" t="str">
        <f t="shared" si="0"/>
        <v>13302_9-2/730&lt;lv65&gt;s2</v>
      </c>
      <c r="B4" s="21">
        <v>13302</v>
      </c>
      <c r="C4" s="116">
        <v>9</v>
      </c>
      <c r="D4" s="15" t="str">
        <f t="shared" si="1"/>
        <v>13302_9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9階 コスト28以下ヒューマン限定</v>
      </c>
      <c r="G4" s="116">
        <v>2</v>
      </c>
      <c r="H4" s="15" t="str">
        <f t="shared" si="2"/>
        <v>13302_9-2</v>
      </c>
      <c r="I4" s="4" t="e">
        <v>#VALUE!</v>
      </c>
      <c r="J4" s="4" t="e">
        <v>#VALUE!</v>
      </c>
      <c r="K4" s="36" t="s">
        <v>299</v>
      </c>
      <c r="L4" s="117">
        <v>730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ガラシャ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65</v>
      </c>
      <c r="S4" s="23">
        <v>2.2000000000000002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145884.20000000001</v>
      </c>
      <c r="U4" s="23">
        <v>0.7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3572.1</v>
      </c>
      <c r="W4" s="5">
        <v>0</v>
      </c>
      <c r="X4" s="4" t="e">
        <v>#VALUE!</v>
      </c>
      <c r="Y4" s="59">
        <v>13301603</v>
      </c>
      <c r="Z4" s="6">
        <v>1</v>
      </c>
      <c r="AA4" s="6">
        <v>100</v>
      </c>
      <c r="AB4" s="6">
        <v>0</v>
      </c>
      <c r="AC4" s="106">
        <v>2</v>
      </c>
      <c r="AD4" s="119">
        <f t="shared" si="3"/>
        <v>730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ガラシャ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120">
        <v>1</v>
      </c>
      <c r="AI4" s="119">
        <f t="shared" ca="1" si="4"/>
        <v>4</v>
      </c>
      <c r="AJ4" s="8">
        <v>0</v>
      </c>
      <c r="AK4" s="120">
        <v>0</v>
      </c>
      <c r="AL4" s="120">
        <v>0</v>
      </c>
      <c r="AM4" s="120">
        <v>0</v>
      </c>
      <c r="AN4" s="120">
        <v>0</v>
      </c>
      <c r="AO4" s="120">
        <v>1</v>
      </c>
      <c r="AP4" s="67">
        <v>1</v>
      </c>
    </row>
    <row r="5" spans="1:42" ht="21" customHeight="1" x14ac:dyDescent="0.15">
      <c r="A5" s="16" t="str">
        <f t="shared" si="0"/>
        <v>13302_9-2/434&lt;lv65&gt;s2</v>
      </c>
      <c r="B5" s="21">
        <v>13302</v>
      </c>
      <c r="C5" s="116">
        <v>9</v>
      </c>
      <c r="D5" s="15" t="str">
        <f t="shared" si="1"/>
        <v>13302_9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9階 コスト28以下ヒューマン限定</v>
      </c>
      <c r="G5" s="116">
        <v>2</v>
      </c>
      <c r="H5" s="15" t="str">
        <f t="shared" si="2"/>
        <v>13302_9-2</v>
      </c>
      <c r="I5" s="4" t="e">
        <v>#VALUE!</v>
      </c>
      <c r="J5" s="4" t="e">
        <v>#VALUE!</v>
      </c>
      <c r="K5" s="36" t="s">
        <v>300</v>
      </c>
      <c r="L5" s="117">
        <v>434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D.R.T.H.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65</v>
      </c>
      <c r="S5" s="23">
        <v>2.2000000000000002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178778.6</v>
      </c>
      <c r="U5" s="23">
        <v>0.7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4766.2999999999993</v>
      </c>
      <c r="W5" s="5">
        <v>0</v>
      </c>
      <c r="X5" s="4" t="e">
        <v>#VALUE!</v>
      </c>
      <c r="Y5" s="59">
        <v>13301604</v>
      </c>
      <c r="Z5" s="6">
        <v>1</v>
      </c>
      <c r="AA5" s="6">
        <v>100</v>
      </c>
      <c r="AB5" s="6">
        <v>0</v>
      </c>
      <c r="AC5" s="106">
        <v>2</v>
      </c>
      <c r="AD5" s="119">
        <f t="shared" si="3"/>
        <v>434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D.R.T.H.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120">
        <v>1</v>
      </c>
      <c r="AI5" s="119">
        <f t="shared" ca="1" si="4"/>
        <v>4</v>
      </c>
      <c r="AJ5" s="8">
        <v>0</v>
      </c>
      <c r="AK5" s="120">
        <v>0</v>
      </c>
      <c r="AL5" s="120">
        <v>0</v>
      </c>
      <c r="AM5" s="120">
        <v>0</v>
      </c>
      <c r="AN5" s="120">
        <v>0</v>
      </c>
      <c r="AO5" s="120">
        <v>1</v>
      </c>
      <c r="AP5" s="67">
        <v>1</v>
      </c>
    </row>
    <row r="6" spans="1:42" ht="21" customHeight="1" x14ac:dyDescent="0.15">
      <c r="A6" s="16" t="str">
        <f t="shared" si="0"/>
        <v>13302_9-3/728&lt;lv65&gt;s2</v>
      </c>
      <c r="B6" s="21">
        <v>13302</v>
      </c>
      <c r="C6" s="116">
        <v>9</v>
      </c>
      <c r="D6" s="15" t="str">
        <f t="shared" si="1"/>
        <v>13302_9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9階 コスト28以下ヒューマン限定</v>
      </c>
      <c r="G6" s="116">
        <v>3</v>
      </c>
      <c r="H6" s="15" t="str">
        <f t="shared" si="2"/>
        <v>13302_9-3</v>
      </c>
      <c r="I6" s="4" t="e">
        <v>#VALUE!</v>
      </c>
      <c r="J6" s="4" t="e">
        <v>#VALUE!</v>
      </c>
      <c r="K6" s="36" t="s">
        <v>301</v>
      </c>
      <c r="L6" s="117">
        <v>728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井伊直虎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65</v>
      </c>
      <c r="S6" s="23">
        <v>2.5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203157.5</v>
      </c>
      <c r="U6" s="23">
        <v>0.7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4766.2999999999993</v>
      </c>
      <c r="W6" s="5">
        <v>0</v>
      </c>
      <c r="X6" s="4" t="e">
        <v>#VALUE!</v>
      </c>
      <c r="Y6" s="59">
        <v>13301605</v>
      </c>
      <c r="Z6" s="6">
        <v>1</v>
      </c>
      <c r="AA6" s="6">
        <v>100</v>
      </c>
      <c r="AB6" s="6">
        <v>0</v>
      </c>
      <c r="AC6" s="106">
        <v>2</v>
      </c>
      <c r="AD6" s="119">
        <f t="shared" si="3"/>
        <v>728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井伊直虎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120">
        <v>1</v>
      </c>
      <c r="AI6" s="119">
        <f t="shared" ca="1" si="4"/>
        <v>4</v>
      </c>
      <c r="AJ6" s="8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1</v>
      </c>
      <c r="AP6" s="67">
        <v>1</v>
      </c>
    </row>
    <row r="7" spans="1:42" ht="21" customHeight="1" x14ac:dyDescent="0.15">
      <c r="A7" s="16" t="str">
        <f t="shared" si="0"/>
        <v>13302_9-3/322&lt;lv65&gt;s2</v>
      </c>
      <c r="B7" s="21">
        <v>13302</v>
      </c>
      <c r="C7" s="116">
        <v>9</v>
      </c>
      <c r="D7" s="15" t="str">
        <f t="shared" si="1"/>
        <v>13302_9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9階 コスト28以下ヒューマン限定</v>
      </c>
      <c r="G7" s="116">
        <v>3</v>
      </c>
      <c r="H7" s="15" t="str">
        <f t="shared" si="2"/>
        <v>13302_9-3</v>
      </c>
      <c r="I7" s="4" t="e">
        <v>#VALUE!</v>
      </c>
      <c r="J7" s="4" t="e">
        <v>#VALUE!</v>
      </c>
      <c r="K7" s="36" t="s">
        <v>88</v>
      </c>
      <c r="L7" s="117">
        <v>322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愛志士 土方歳三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65</v>
      </c>
      <c r="S7" s="23">
        <v>2.2999999999999998</v>
      </c>
      <c r="T7" s="9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190642.4</v>
      </c>
      <c r="U7" s="23">
        <v>0.7</v>
      </c>
      <c r="V7" s="9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6090.7</v>
      </c>
      <c r="W7" s="5">
        <v>0</v>
      </c>
      <c r="X7" s="4" t="e">
        <v>#VALUE!</v>
      </c>
      <c r="Y7" s="59">
        <v>13301606</v>
      </c>
      <c r="Z7" s="6">
        <v>1</v>
      </c>
      <c r="AA7" s="6">
        <v>100</v>
      </c>
      <c r="AB7" s="6">
        <v>0</v>
      </c>
      <c r="AC7" s="106">
        <v>2</v>
      </c>
      <c r="AD7" s="119">
        <f t="shared" si="3"/>
        <v>322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愛志士 土方歳三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7" s="120">
        <v>1</v>
      </c>
      <c r="AI7" s="119">
        <f t="shared" ca="1" si="4"/>
        <v>4</v>
      </c>
      <c r="AJ7" s="8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1</v>
      </c>
      <c r="AP7" s="67">
        <v>1</v>
      </c>
    </row>
    <row r="14" spans="1:42" ht="21" customHeight="1" x14ac:dyDescent="0.15">
      <c r="M14" s="9"/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246</v>
      </c>
      <c r="V1" s="24" t="s">
        <v>50</v>
      </c>
      <c r="W1" s="98" t="s">
        <v>247</v>
      </c>
      <c r="X1" s="24" t="s">
        <v>52</v>
      </c>
      <c r="Y1" s="26" t="s">
        <v>127</v>
      </c>
      <c r="Z1" s="27" t="s">
        <v>126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5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74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75</v>
      </c>
      <c r="AA1" s="39" t="s">
        <v>76</v>
      </c>
      <c r="AB1" s="39" t="s">
        <v>77</v>
      </c>
    </row>
    <row r="2" spans="1:28" ht="21" customHeight="1" x14ac:dyDescent="0.15">
      <c r="A2" s="45">
        <v>13301601</v>
      </c>
      <c r="B2" s="45" t="s">
        <v>328</v>
      </c>
      <c r="C2" s="48">
        <v>1</v>
      </c>
      <c r="D2" s="48" t="s">
        <v>194</v>
      </c>
      <c r="E2" s="111" t="s">
        <v>318</v>
      </c>
      <c r="F2" s="112" t="s">
        <v>319</v>
      </c>
      <c r="G2" s="61" t="str">
        <f t="shared" ref="G2" si="0">IFERROR(LEFT(B2,FIND("],",B2)),B2)</f>
        <v>[effect:enhance_enemy, target:myself, turn:-1, status:defense, val:1, calc:add, animation:enemy_enhance_defense]</v>
      </c>
      <c r="H2" s="61">
        <f t="shared" ref="H2" si="1">FIND("effect:",G2)+7</f>
        <v>9</v>
      </c>
      <c r="I2" s="61">
        <f t="shared" ref="I2" si="2">IFERROR(FIND(",",G2),LEN(G2))</f>
        <v>22</v>
      </c>
      <c r="J2" s="61">
        <f t="shared" ref="J2" si="3">FIND("target:",G2)+7</f>
        <v>31</v>
      </c>
      <c r="K2" s="61">
        <f t="shared" ref="K2" si="4">FIND(",",G2,I2+1)</f>
        <v>37</v>
      </c>
      <c r="L2" s="61" t="str">
        <f>IFERROR(VLOOKUP(MID(G2,J2,K2-J2),[5]skilldef!$C:$D,2,FALSE),"-") &amp; " / " &amp; IFERROR(VLOOKUP(MID(G2,H2,I2-H2),[5]skilldef!$A:$B,2,FALSE),"-")</f>
        <v>自分自身に / ステータス強化</v>
      </c>
      <c r="M2" s="61" t="str">
        <f t="shared" ref="M2" si="5">IFERROR(RIGHT(B2,LEN(B2)-FIND("],",B2)-1),"none")</f>
        <v>[effect:enemy_message, val1:1, val2:2.2]</v>
      </c>
      <c r="N2" s="46" t="str">
        <f t="shared" ref="N2" si="6">IFERROR(LEFT(M2,FIND("],",M2)+S10),M2)</f>
        <v>[effect:enemy_message, val1:1, val2:2.2]</v>
      </c>
      <c r="O2" s="61">
        <f t="shared" ref="O2" si="7">FIND("effect:",N2)+7</f>
        <v>9</v>
      </c>
      <c r="P2" s="61">
        <f t="shared" ref="P2" si="8">IFERROR(FIND(",",N2),LEN(N2))</f>
        <v>22</v>
      </c>
      <c r="Q2" s="61" t="e">
        <f t="shared" ref="Q2" si="9">FIND("target:",N2)+7</f>
        <v>#VALUE!</v>
      </c>
      <c r="R2" s="61">
        <f t="shared" ref="R2" si="10">FIND(",",N2,P2+1)</f>
        <v>30</v>
      </c>
      <c r="S2" s="61" t="str">
        <f>IFERROR(VLOOKUP(MID(N2,Q2,R2-Q2),[5]skilldef!$C:$D,2,FALSE),"-") &amp; " / " &amp; IFERROR(VLOOKUP(MID(N2,O2,P2-O2),[5]skilldef!$A:$B,2,FALSE),"-")</f>
        <v>- / -</v>
      </c>
      <c r="T2" s="46" t="str">
        <f t="shared" ref="T2" si="11">IFERROR(RIGHT(M2,LEN(M2)-FIND("],",M2)-1),"none")</f>
        <v>none</v>
      </c>
      <c r="U2" s="61" t="e">
        <f t="shared" ref="U2" si="12">FIND("effect:",T2)+7</f>
        <v>#VALUE!</v>
      </c>
      <c r="V2" s="61">
        <f t="shared" ref="V2" si="13">IFERROR(FIND(",",T2),LEN(T2))</f>
        <v>4</v>
      </c>
      <c r="W2" s="61" t="e">
        <f t="shared" ref="W2" si="14">FIND("target:",T2)+7</f>
        <v>#VALUE!</v>
      </c>
      <c r="X2" s="61" t="e">
        <f t="shared" ref="X2" si="15"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49"/>
      <c r="AB2" s="48"/>
    </row>
    <row r="3" spans="1:28" ht="21" customHeight="1" x14ac:dyDescent="0.15">
      <c r="A3" s="45">
        <v>13301602</v>
      </c>
      <c r="B3" s="45" t="s">
        <v>262</v>
      </c>
      <c r="C3" s="48">
        <v>1</v>
      </c>
      <c r="D3" s="48" t="s">
        <v>194</v>
      </c>
      <c r="E3" s="111" t="s">
        <v>263</v>
      </c>
      <c r="F3" s="112" t="s">
        <v>264</v>
      </c>
      <c r="G3" s="61" t="str">
        <f t="shared" ref="G3:G25" si="16">IFERROR(LEFT(B3,FIND("],",B3)),B3)</f>
        <v>[effect:spread, val:0.3]</v>
      </c>
      <c r="H3" s="61">
        <f t="shared" ref="H3:H25" si="17">FIND("effect:",G3)+7</f>
        <v>9</v>
      </c>
      <c r="I3" s="61">
        <f t="shared" ref="I3:I25" si="18">IFERROR(FIND(",",G3),LEN(G3))</f>
        <v>15</v>
      </c>
      <c r="J3" s="61" t="e">
        <f t="shared" ref="J3:J25" si="19">FIND("target:",G3)+7</f>
        <v>#VALUE!</v>
      </c>
      <c r="K3" s="61" t="e">
        <f t="shared" ref="K3:K25" si="20">FIND(",",G3,I3+1)</f>
        <v>#VALUE!</v>
      </c>
      <c r="L3" s="61" t="str">
        <f>IFERROR(VLOOKUP(MID(G3,J3,K3-J3),[5]skilldef!$C:$D,2,FALSE),"-") &amp; " / " &amp; IFERROR(VLOOKUP(MID(G3,H3,I3-H3),[5]skilldef!$A:$B,2,FALSE),"-")</f>
        <v>- / 全体攻撃</v>
      </c>
      <c r="M3" s="61" t="str">
        <f t="shared" ref="M3:M25" si="21">IFERROR(RIGHT(B3,LEN(B3)-FIND("],",B3)-1),"none")</f>
        <v>none</v>
      </c>
      <c r="N3" s="46" t="str">
        <f t="shared" ref="N3:N10" si="22">IFERROR(LEFT(M3,FIND("],",M3)+S11),M3)</f>
        <v>none</v>
      </c>
      <c r="O3" s="61" t="e">
        <f t="shared" ref="O3:O25" si="23">FIND("effect:",N3)+7</f>
        <v>#VALUE!</v>
      </c>
      <c r="P3" s="61">
        <f t="shared" ref="P3:P25" si="24">IFERROR(FIND(",",N3),LEN(N3))</f>
        <v>4</v>
      </c>
      <c r="Q3" s="61" t="e">
        <f t="shared" ref="Q3:Q25" si="25">FIND("target:",N3)+7</f>
        <v>#VALUE!</v>
      </c>
      <c r="R3" s="61" t="e">
        <f t="shared" ref="R3:R25" si="26">FIND(",",N3,P3+1)</f>
        <v>#VALUE!</v>
      </c>
      <c r="S3" s="61" t="str">
        <f>IFERROR(VLOOKUP(MID(N3,Q3,R3-Q3),[5]skilldef!$C:$D,2,FALSE),"-") &amp; " / " &amp; IFERROR(VLOOKUP(MID(N3,O3,P3-O3),[5]skilldef!$A:$B,2,FALSE),"-")</f>
        <v>- / -</v>
      </c>
      <c r="T3" s="46" t="str">
        <f t="shared" ref="T3:T25" si="27">IFERROR(RIGHT(M3,LEN(M3)-FIND("],",M3)-1),"none")</f>
        <v>none</v>
      </c>
      <c r="U3" s="61" t="e">
        <f t="shared" ref="U3:U25" si="28">FIND("effect:",T3)+7</f>
        <v>#VALUE!</v>
      </c>
      <c r="V3" s="61">
        <f t="shared" ref="V3:V25" si="29">IFERROR(FIND(",",T3),LEN(T3))</f>
        <v>4</v>
      </c>
      <c r="W3" s="61" t="e">
        <f t="shared" ref="W3:W25" si="30">FIND("target:",T3)+7</f>
        <v>#VALUE!</v>
      </c>
      <c r="X3" s="61" t="e">
        <f t="shared" ref="X3:X25" si="31"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49"/>
      <c r="AB3" s="48"/>
    </row>
    <row r="4" spans="1:28" ht="31" customHeight="1" x14ac:dyDescent="0.15">
      <c r="A4" s="45">
        <v>13301603</v>
      </c>
      <c r="B4" s="45" t="s">
        <v>312</v>
      </c>
      <c r="C4" s="48">
        <v>1</v>
      </c>
      <c r="D4" s="48" t="s">
        <v>265</v>
      </c>
      <c r="E4" s="111" t="s">
        <v>266</v>
      </c>
      <c r="F4" s="112" t="s">
        <v>322</v>
      </c>
      <c r="G4" s="61" t="str">
        <f t="shared" si="16"/>
        <v>[effect:enhance_enemy, target:myself, turn:-1, status:attack, val:1.9, calc:mul, animation:enemy_enhance_attack]</v>
      </c>
      <c r="H4" s="61">
        <f t="shared" si="17"/>
        <v>9</v>
      </c>
      <c r="I4" s="61">
        <f t="shared" si="18"/>
        <v>22</v>
      </c>
      <c r="J4" s="61">
        <f t="shared" si="19"/>
        <v>31</v>
      </c>
      <c r="K4" s="61">
        <f t="shared" si="20"/>
        <v>37</v>
      </c>
      <c r="L4" s="61" t="str">
        <f>IFERROR(VLOOKUP(MID(G4,J4,K4-J4),[5]skilldef!$C:$D,2,FALSE),"-") &amp; " / " &amp; IFERROR(VLOOKUP(MID(G4,H4,I4-H4),[5]skilldef!$A:$B,2,FALSE),"-")</f>
        <v>自分自身に / ステータス強化</v>
      </c>
      <c r="M4" s="61" t="str">
        <f t="shared" si="21"/>
        <v>none</v>
      </c>
      <c r="N4" s="46" t="str">
        <f t="shared" si="22"/>
        <v>none</v>
      </c>
      <c r="O4" s="61" t="e">
        <f t="shared" si="23"/>
        <v>#VALUE!</v>
      </c>
      <c r="P4" s="61">
        <f t="shared" si="24"/>
        <v>4</v>
      </c>
      <c r="Q4" s="61" t="e">
        <f t="shared" si="25"/>
        <v>#VALUE!</v>
      </c>
      <c r="R4" s="61" t="e">
        <f t="shared" si="26"/>
        <v>#VALUE!</v>
      </c>
      <c r="S4" s="61" t="str">
        <f>IFERROR(VLOOKUP(MID(N4,Q4,R4-Q4),[5]skilldef!$C:$D,2,FALSE),"-") &amp; " / " &amp; IFERROR(VLOOKUP(MID(N4,O4,P4-O4),[5]skilldef!$A:$B,2,FALSE),"-")</f>
        <v>- / -</v>
      </c>
      <c r="T4" s="46" t="str">
        <f t="shared" si="27"/>
        <v>none</v>
      </c>
      <c r="U4" s="61" t="e">
        <f t="shared" si="28"/>
        <v>#VALUE!</v>
      </c>
      <c r="V4" s="61">
        <f t="shared" si="29"/>
        <v>4</v>
      </c>
      <c r="W4" s="61" t="e">
        <f t="shared" si="30"/>
        <v>#VALUE!</v>
      </c>
      <c r="X4" s="61" t="e">
        <f t="shared" si="31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49"/>
      <c r="AB4" s="48"/>
    </row>
    <row r="5" spans="1:28" ht="34" customHeight="1" x14ac:dyDescent="0.15">
      <c r="A5" s="45">
        <v>13301604</v>
      </c>
      <c r="B5" s="45" t="s">
        <v>329</v>
      </c>
      <c r="C5" s="48">
        <v>1</v>
      </c>
      <c r="D5" s="48" t="s">
        <v>194</v>
      </c>
      <c r="E5" s="111" t="s">
        <v>302</v>
      </c>
      <c r="F5" s="112" t="s">
        <v>323</v>
      </c>
      <c r="G5" s="61" t="str">
        <f t="shared" si="16"/>
        <v>[effect:enemy_message, val1:1.4, val2:2.8]</v>
      </c>
      <c r="H5" s="61">
        <f t="shared" si="17"/>
        <v>9</v>
      </c>
      <c r="I5" s="61">
        <f t="shared" si="18"/>
        <v>22</v>
      </c>
      <c r="J5" s="61" t="e">
        <f t="shared" si="19"/>
        <v>#VALUE!</v>
      </c>
      <c r="K5" s="61">
        <f t="shared" si="20"/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si="21"/>
        <v>[effect:damage_anti_tribe, target:unit_all, tribe:human, val1:0.01, val2:99.9],[effect:damage_anti_cost, target:unit_all, lower:29, val1:99.9, val2:0.01, cost_type:unit],[effect:damage_anti_cost, target:unit_all, lower:29, val1:99.9, val2:0.01, cost_type:unit]</v>
      </c>
      <c r="N5" s="46" t="str">
        <f t="shared" si="22"/>
        <v>[effect:damage_anti_tribe, target:unit_all, tribe:human, val1:0.01, val2:99.9],[effect:damage_anti_cost, target:unit_all, lower:29, val1:99.9, val2:0.01, cost_type:unit],[effect:damage_anti_cost, target:unit_all, lower:29, val1:99.9, val2:0.01, cost_type:unit]</v>
      </c>
      <c r="O5" s="61">
        <f t="shared" si="23"/>
        <v>9</v>
      </c>
      <c r="P5" s="61">
        <f t="shared" si="24"/>
        <v>26</v>
      </c>
      <c r="Q5" s="61">
        <f t="shared" si="25"/>
        <v>35</v>
      </c>
      <c r="R5" s="61">
        <f t="shared" si="26"/>
        <v>43</v>
      </c>
      <c r="S5" s="61" t="str">
        <f>IFERROR(VLOOKUP(MID(N5,Q5,R5-Q5),[5]skilldef!$C:$D,2,FALSE),"-") &amp; " / " &amp; IFERROR(VLOOKUP(MID(N5,O5,P5-O5),[5]skilldef!$A:$B,2,FALSE),"-")</f>
        <v>味方全体に / 種族キラー</v>
      </c>
      <c r="T5" s="46" t="str">
        <f t="shared" si="27"/>
        <v>[effect:damage_anti_cost, target:unit_all, lower:29, val1:99.9, val2:0.01, cost_type:unit],[effect:damage_anti_cost, target:unit_all, lower:29, val1:99.9, val2:0.01, cost_type:unit]</v>
      </c>
      <c r="U5" s="61">
        <f t="shared" si="28"/>
        <v>9</v>
      </c>
      <c r="V5" s="61">
        <f t="shared" si="29"/>
        <v>25</v>
      </c>
      <c r="W5" s="61">
        <f t="shared" si="30"/>
        <v>34</v>
      </c>
      <c r="X5" s="61">
        <f t="shared" si="31"/>
        <v>42</v>
      </c>
      <c r="Y5" s="61" t="str">
        <f>IFERROR(VLOOKUP(MID(T5,W5,X5-W5),[5]skilldef!$C:$D,2,FALSE),"-") &amp; " / " &amp; IFERROR(VLOOKUP(MID(T5,U5,V5-U5),[5]skilldef!$A:$B,2,FALSE),"-")</f>
        <v>味方全体に / -</v>
      </c>
      <c r="Z5" s="48"/>
      <c r="AA5" s="49"/>
      <c r="AB5" s="48"/>
    </row>
    <row r="6" spans="1:28" ht="21" customHeight="1" x14ac:dyDescent="0.15">
      <c r="A6" s="45">
        <v>13301605</v>
      </c>
      <c r="B6" s="45" t="s">
        <v>262</v>
      </c>
      <c r="C6" s="48">
        <v>1</v>
      </c>
      <c r="D6" s="48" t="s">
        <v>194</v>
      </c>
      <c r="E6" s="111" t="s">
        <v>267</v>
      </c>
      <c r="F6" s="112" t="s">
        <v>264</v>
      </c>
      <c r="G6" s="61" t="str">
        <f t="shared" si="16"/>
        <v>[effect:spread, val:0.3]</v>
      </c>
      <c r="H6" s="61">
        <f t="shared" si="17"/>
        <v>9</v>
      </c>
      <c r="I6" s="61">
        <f t="shared" si="18"/>
        <v>15</v>
      </c>
      <c r="J6" s="61" t="e">
        <f t="shared" si="19"/>
        <v>#VALUE!</v>
      </c>
      <c r="K6" s="61" t="e">
        <f t="shared" si="20"/>
        <v>#VALUE!</v>
      </c>
      <c r="L6" s="61" t="str">
        <f>IFERROR(VLOOKUP(MID(G6,J6,K6-J6),[5]skilldef!$C:$D,2,FALSE),"-") &amp; " / " &amp; IFERROR(VLOOKUP(MID(G6,H6,I6-H6),[5]skilldef!$A:$B,2,FALSE),"-")</f>
        <v>- / 全体攻撃</v>
      </c>
      <c r="M6" s="61" t="str">
        <f t="shared" si="21"/>
        <v>none</v>
      </c>
      <c r="N6" s="46" t="str">
        <f t="shared" si="22"/>
        <v>none</v>
      </c>
      <c r="O6" s="61" t="e">
        <f t="shared" si="23"/>
        <v>#VALUE!</v>
      </c>
      <c r="P6" s="61">
        <f t="shared" si="24"/>
        <v>4</v>
      </c>
      <c r="Q6" s="61" t="e">
        <f t="shared" si="25"/>
        <v>#VALUE!</v>
      </c>
      <c r="R6" s="61" t="e">
        <f t="shared" si="26"/>
        <v>#VALUE!</v>
      </c>
      <c r="S6" s="61" t="str">
        <f>IFERROR(VLOOKUP(MID(N6,Q6,R6-Q6),[5]skilldef!$C:$D,2,FALSE),"-") &amp; " / " &amp; IFERROR(VLOOKUP(MID(N6,O6,P6-O6),[5]skilldef!$A:$B,2,FALSE),"-")</f>
        <v>- / -</v>
      </c>
      <c r="T6" s="46" t="str">
        <f t="shared" si="27"/>
        <v>none</v>
      </c>
      <c r="U6" s="61" t="e">
        <f t="shared" si="28"/>
        <v>#VALUE!</v>
      </c>
      <c r="V6" s="61">
        <f t="shared" si="29"/>
        <v>4</v>
      </c>
      <c r="W6" s="61" t="e">
        <f t="shared" si="30"/>
        <v>#VALUE!</v>
      </c>
      <c r="X6" s="61" t="e">
        <f t="shared" si="31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49"/>
      <c r="AB6" s="48"/>
    </row>
    <row r="7" spans="1:28" ht="34" customHeight="1" x14ac:dyDescent="0.15">
      <c r="A7" s="45">
        <v>13301606</v>
      </c>
      <c r="B7" s="45" t="s">
        <v>313</v>
      </c>
      <c r="C7" s="48">
        <v>1</v>
      </c>
      <c r="D7" s="48" t="s">
        <v>194</v>
      </c>
      <c r="E7" s="111" t="s">
        <v>268</v>
      </c>
      <c r="F7" s="112" t="s">
        <v>322</v>
      </c>
      <c r="G7" s="61" t="str">
        <f t="shared" si="16"/>
        <v>[effect:enhance_enemy, target:myself, turn:-1, status:attack, val:1.9, calc:mul, animation:enemy_enhance_attack]</v>
      </c>
      <c r="H7" s="61">
        <f t="shared" si="17"/>
        <v>9</v>
      </c>
      <c r="I7" s="61">
        <f t="shared" si="18"/>
        <v>22</v>
      </c>
      <c r="J7" s="61">
        <f t="shared" si="19"/>
        <v>31</v>
      </c>
      <c r="K7" s="61">
        <f t="shared" si="20"/>
        <v>37</v>
      </c>
      <c r="L7" s="61" t="str">
        <f>IFERROR(VLOOKUP(MID(G7,J7,K7-J7),[5]skilldef!$C:$D,2,FALSE),"-") &amp; " / " &amp; IFERROR(VLOOKUP(MID(G7,H7,I7-H7),[5]skilldef!$A:$B,2,FALSE),"-")</f>
        <v>自分自身に / ステータス強化</v>
      </c>
      <c r="M7" s="61" t="str">
        <f t="shared" si="21"/>
        <v>none</v>
      </c>
      <c r="N7" s="46" t="str">
        <f t="shared" si="22"/>
        <v>none</v>
      </c>
      <c r="O7" s="61" t="e">
        <f t="shared" si="23"/>
        <v>#VALUE!</v>
      </c>
      <c r="P7" s="61">
        <f t="shared" si="24"/>
        <v>4</v>
      </c>
      <c r="Q7" s="61" t="e">
        <f t="shared" si="25"/>
        <v>#VALUE!</v>
      </c>
      <c r="R7" s="61" t="e">
        <f t="shared" si="26"/>
        <v>#VALUE!</v>
      </c>
      <c r="S7" s="61" t="str">
        <f>IFERROR(VLOOKUP(MID(N7,Q7,R7-Q7),[5]skilldef!$C:$D,2,FALSE),"-") &amp; " / " &amp; IFERROR(VLOOKUP(MID(N7,O7,P7-O7),[5]skilldef!$A:$B,2,FALSE),"-")</f>
        <v>- / -</v>
      </c>
      <c r="T7" s="46" t="str">
        <f t="shared" si="27"/>
        <v>none</v>
      </c>
      <c r="U7" s="61" t="e">
        <f t="shared" si="28"/>
        <v>#VALUE!</v>
      </c>
      <c r="V7" s="61">
        <f t="shared" si="29"/>
        <v>4</v>
      </c>
      <c r="W7" s="61" t="e">
        <f t="shared" si="30"/>
        <v>#VALUE!</v>
      </c>
      <c r="X7" s="61" t="e">
        <f t="shared" si="31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49"/>
      <c r="AB7" s="48"/>
    </row>
    <row r="8" spans="1:28" ht="29" customHeight="1" x14ac:dyDescent="0.15">
      <c r="A8" s="45">
        <v>13301611</v>
      </c>
      <c r="B8" s="103" t="s">
        <v>306</v>
      </c>
      <c r="C8" s="48">
        <v>1</v>
      </c>
      <c r="D8" s="113" t="s">
        <v>194</v>
      </c>
      <c r="E8" s="114" t="s">
        <v>269</v>
      </c>
      <c r="F8" s="114" t="s">
        <v>270</v>
      </c>
      <c r="G8" s="61" t="str">
        <f t="shared" si="16"/>
        <v>[effect:dis_panel, target:block_green, turn:8, animation:enemy_dis_green]</v>
      </c>
      <c r="H8" s="61">
        <f t="shared" si="17"/>
        <v>9</v>
      </c>
      <c r="I8" s="61">
        <f t="shared" si="18"/>
        <v>18</v>
      </c>
      <c r="J8" s="61">
        <f t="shared" si="19"/>
        <v>27</v>
      </c>
      <c r="K8" s="61">
        <f t="shared" si="20"/>
        <v>38</v>
      </c>
      <c r="L8" s="61" t="str">
        <f>IFERROR(VLOOKUP(MID(G8,J8,K8-J8),[5]skilldef!$C:$D,2,FALSE),"-") &amp; " / " &amp; IFERROR(VLOOKUP(MID(G8,H8,I8-H8),[5]skilldef!$A:$B,2,FALSE),"-")</f>
        <v>緑パネルを / ディスパネル</v>
      </c>
      <c r="M8" s="61" t="str">
        <f t="shared" si="21"/>
        <v>[effect:enhance_enemy, target:enemy_all, turn:8, status:defense, val:15000, calc:add, animation:enemy_enhance_defense],[effect:enemy_message, val1:1.4, val2:2.2]</v>
      </c>
      <c r="N8" s="46" t="str">
        <f t="shared" si="22"/>
        <v>[effect:enhance_enemy, target:enemy_all, turn:8, status:defense, val:15000, calc:add, animation:enemy_enhance_defense],[effect:enemy_message, val1:1.4, val2:2.2]</v>
      </c>
      <c r="O8" s="61">
        <f t="shared" si="23"/>
        <v>9</v>
      </c>
      <c r="P8" s="61">
        <f t="shared" si="24"/>
        <v>22</v>
      </c>
      <c r="Q8" s="61">
        <f t="shared" si="25"/>
        <v>31</v>
      </c>
      <c r="R8" s="61">
        <f t="shared" si="26"/>
        <v>40</v>
      </c>
      <c r="S8" s="61" t="str">
        <f>IFERROR(VLOOKUP(MID(N8,Q8,R8-Q8),[5]skilldef!$C:$D,2,FALSE),"-") &amp; " / " &amp; IFERROR(VLOOKUP(MID(N8,O8,P8-O8),[5]skilldef!$A:$B,2,FALSE),"-")</f>
        <v>敵全体に / ステータス強化</v>
      </c>
      <c r="T8" s="46" t="str">
        <f t="shared" si="27"/>
        <v>[effect:enemy_message, val1:1.4, val2:2.2]</v>
      </c>
      <c r="U8" s="61">
        <f t="shared" si="28"/>
        <v>9</v>
      </c>
      <c r="V8" s="61">
        <f t="shared" si="29"/>
        <v>22</v>
      </c>
      <c r="W8" s="61" t="e">
        <f t="shared" si="30"/>
        <v>#VALUE!</v>
      </c>
      <c r="X8" s="61">
        <f t="shared" si="31"/>
        <v>32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49"/>
      <c r="AB8" s="48"/>
    </row>
    <row r="9" spans="1:28" ht="21" customHeight="1" x14ac:dyDescent="0.15">
      <c r="A9" s="45">
        <v>13301612</v>
      </c>
      <c r="B9" s="103" t="s">
        <v>316</v>
      </c>
      <c r="C9" s="48">
        <v>1</v>
      </c>
      <c r="D9" s="113" t="s">
        <v>194</v>
      </c>
      <c r="E9" s="114" t="s">
        <v>271</v>
      </c>
      <c r="F9" s="114" t="s">
        <v>272</v>
      </c>
      <c r="G9" s="61" t="str">
        <f t="shared" si="16"/>
        <v>[effect:damage_anti_color, target:unit_all, color:blue, val1:0.62, val2:0.12]</v>
      </c>
      <c r="H9" s="61">
        <f t="shared" si="17"/>
        <v>9</v>
      </c>
      <c r="I9" s="61">
        <f t="shared" si="18"/>
        <v>26</v>
      </c>
      <c r="J9" s="61">
        <f t="shared" si="19"/>
        <v>35</v>
      </c>
      <c r="K9" s="61">
        <f t="shared" si="20"/>
        <v>43</v>
      </c>
      <c r="L9" s="61" t="str">
        <f>IFERROR(VLOOKUP(MID(G9,J9,K9-J9),[5]skilldef!$C:$D,2,FALSE),"-") &amp; " / " &amp; IFERROR(VLOOKUP(MID(G9,H9,I9-H9),[5]skilldef!$A:$B,2,FALSE),"-")</f>
        <v>味方全体に / 属性キラー</v>
      </c>
      <c r="M9" s="61" t="str">
        <f t="shared" si="21"/>
        <v>none</v>
      </c>
      <c r="N9" s="46" t="str">
        <f t="shared" si="22"/>
        <v>none</v>
      </c>
      <c r="O9" s="61" t="e">
        <f t="shared" si="23"/>
        <v>#VALUE!</v>
      </c>
      <c r="P9" s="61">
        <f t="shared" si="24"/>
        <v>4</v>
      </c>
      <c r="Q9" s="61" t="e">
        <f t="shared" si="25"/>
        <v>#VALUE!</v>
      </c>
      <c r="R9" s="61" t="e">
        <f t="shared" si="26"/>
        <v>#VALUE!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 t="shared" si="27"/>
        <v>none</v>
      </c>
      <c r="U9" s="61" t="e">
        <f t="shared" si="28"/>
        <v>#VALUE!</v>
      </c>
      <c r="V9" s="61">
        <f t="shared" si="29"/>
        <v>4</v>
      </c>
      <c r="W9" s="61" t="e">
        <f t="shared" si="30"/>
        <v>#VALUE!</v>
      </c>
      <c r="X9" s="61" t="e">
        <f t="shared" si="31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49"/>
      <c r="AB9" s="48"/>
    </row>
    <row r="10" spans="1:28" ht="21" customHeight="1" x14ac:dyDescent="0.15">
      <c r="A10" s="45">
        <v>13301613</v>
      </c>
      <c r="B10" s="103" t="s">
        <v>303</v>
      </c>
      <c r="C10" s="48">
        <v>1</v>
      </c>
      <c r="D10" s="113" t="s">
        <v>273</v>
      </c>
      <c r="E10" s="114" t="s">
        <v>274</v>
      </c>
      <c r="F10" s="114" t="s">
        <v>275</v>
      </c>
      <c r="G10" s="61" t="str">
        <f t="shared" si="16"/>
        <v>[effect:break_attack_fix, target:unit_all, val:10, lowest_val:750, count:7, color:green, block01:block_yellow]</v>
      </c>
      <c r="H10" s="61">
        <f t="shared" si="17"/>
        <v>9</v>
      </c>
      <c r="I10" s="61">
        <f t="shared" si="18"/>
        <v>25</v>
      </c>
      <c r="J10" s="61">
        <f t="shared" si="19"/>
        <v>34</v>
      </c>
      <c r="K10" s="61">
        <f t="shared" si="20"/>
        <v>42</v>
      </c>
      <c r="L10" s="61" t="str">
        <f>IFERROR(VLOOKUP(MID(G10,J10,K10-J10),[5]skilldef!$C:$D,2,FALSE),"-") &amp; " / " &amp; IFERROR(VLOOKUP(MID(G10,H10,I10-H10),[5]skilldef!$A:$B,2,FALSE),"-")</f>
        <v>味方全体に / -</v>
      </c>
      <c r="M10" s="61" t="str">
        <f t="shared" si="21"/>
        <v>[effect:enemy_message, val1:1.4, val2:2]</v>
      </c>
      <c r="N10" s="46" t="str">
        <f t="shared" si="22"/>
        <v>[effect:enemy_message, val1:1.4, val2:2]</v>
      </c>
      <c r="O10" s="61">
        <f t="shared" si="23"/>
        <v>9</v>
      </c>
      <c r="P10" s="61">
        <f t="shared" si="24"/>
        <v>22</v>
      </c>
      <c r="Q10" s="61" t="e">
        <f t="shared" si="25"/>
        <v>#VALUE!</v>
      </c>
      <c r="R10" s="61">
        <f t="shared" si="26"/>
        <v>32</v>
      </c>
      <c r="S10" s="61" t="str">
        <f>IFERROR(VLOOKUP(MID(N10,Q10,R10-Q10),[5]skilldef!$C:$D,2,FALSE),"-") &amp; " / " &amp; IFERROR(VLOOKUP(MID(N10,O10,P10-O10),[5]skilldef!$A:$B,2,FALSE),"-")</f>
        <v>- / -</v>
      </c>
      <c r="T10" s="46" t="str">
        <f t="shared" si="27"/>
        <v>none</v>
      </c>
      <c r="U10" s="61" t="e">
        <f t="shared" si="28"/>
        <v>#VALUE!</v>
      </c>
      <c r="V10" s="61">
        <f t="shared" si="29"/>
        <v>4</v>
      </c>
      <c r="W10" s="61" t="e">
        <f t="shared" si="30"/>
        <v>#VALUE!</v>
      </c>
      <c r="X10" s="61" t="e">
        <f t="shared" si="31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49"/>
      <c r="AB10" s="48"/>
    </row>
    <row r="11" spans="1:28" ht="21" customHeight="1" x14ac:dyDescent="0.15">
      <c r="A11" s="45">
        <v>13301621</v>
      </c>
      <c r="B11" s="103" t="s">
        <v>304</v>
      </c>
      <c r="C11" s="48">
        <v>1</v>
      </c>
      <c r="D11" s="113" t="s">
        <v>194</v>
      </c>
      <c r="E11" s="102" t="s">
        <v>276</v>
      </c>
      <c r="F11" s="102" t="s">
        <v>277</v>
      </c>
      <c r="G11" s="61" t="str">
        <f t="shared" si="16"/>
        <v>[effect:break_attack_fix, target:unit_all, val:10, lowest_val:850, count:7, color:red, block01:block_green]</v>
      </c>
      <c r="H11" s="61">
        <f t="shared" si="17"/>
        <v>9</v>
      </c>
      <c r="I11" s="61">
        <f t="shared" si="18"/>
        <v>25</v>
      </c>
      <c r="J11" s="61">
        <f t="shared" si="19"/>
        <v>34</v>
      </c>
      <c r="K11" s="61">
        <f t="shared" si="20"/>
        <v>42</v>
      </c>
      <c r="L11" s="61" t="str">
        <f>IFERROR(VLOOKUP(MID(G11,J11,K11-J11),[5]skilldef!$C:$D,2,FALSE),"-") &amp; " / " &amp; IFERROR(VLOOKUP(MID(G11,H11,I11-H11),[5]skilldef!$A:$B,2,FALSE),"-")</f>
        <v>味方全体に / -</v>
      </c>
      <c r="M11" s="61" t="str">
        <f t="shared" si="21"/>
        <v>[effect:enemy_message, val1:1.4, val2:2]</v>
      </c>
      <c r="N11" s="46" t="str">
        <f t="shared" ref="N11:N15" si="32">IFERROR(LEFT(M11,FIND("],",M11)+S21),M11)</f>
        <v>[effect:enemy_message, val1:1.4, val2:2]</v>
      </c>
      <c r="O11" s="61">
        <f t="shared" si="23"/>
        <v>9</v>
      </c>
      <c r="P11" s="61">
        <f t="shared" si="24"/>
        <v>22</v>
      </c>
      <c r="Q11" s="61" t="e">
        <f t="shared" si="25"/>
        <v>#VALUE!</v>
      </c>
      <c r="R11" s="61">
        <f t="shared" si="26"/>
        <v>32</v>
      </c>
      <c r="S11" s="61" t="str">
        <f>IFERROR(VLOOKUP(MID(N11,Q11,R11-Q11),[5]skilldef!$C:$D,2,FALSE),"-") &amp; " / " &amp; IFERROR(VLOOKUP(MID(N11,O11,P11-O11),[5]skilldef!$A:$B,2,FALSE),"-")</f>
        <v>- / -</v>
      </c>
      <c r="T11" s="46" t="str">
        <f t="shared" si="27"/>
        <v>none</v>
      </c>
      <c r="U11" s="61" t="e">
        <f t="shared" si="28"/>
        <v>#VALUE!</v>
      </c>
      <c r="V11" s="61">
        <f t="shared" si="29"/>
        <v>4</v>
      </c>
      <c r="W11" s="61" t="e">
        <f t="shared" si="30"/>
        <v>#VALUE!</v>
      </c>
      <c r="X11" s="61" t="e">
        <f t="shared" si="31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8"/>
      <c r="AA11" s="49"/>
      <c r="AB11" s="48"/>
    </row>
    <row r="12" spans="1:28" ht="28" customHeight="1" x14ac:dyDescent="0.15">
      <c r="A12" s="45">
        <v>13301622</v>
      </c>
      <c r="B12" s="103" t="s">
        <v>305</v>
      </c>
      <c r="C12" s="48">
        <v>1</v>
      </c>
      <c r="D12" s="113" t="s">
        <v>194</v>
      </c>
      <c r="E12" s="102" t="s">
        <v>276</v>
      </c>
      <c r="F12" s="102" t="s">
        <v>277</v>
      </c>
      <c r="G12" s="61" t="str">
        <f t="shared" si="16"/>
        <v>[effect:break_attack_fix, target:unit_all, val:10, lowest_val:850, count:7, color:red, block01:block_green]</v>
      </c>
      <c r="H12" s="61">
        <f t="shared" si="17"/>
        <v>9</v>
      </c>
      <c r="I12" s="61">
        <f t="shared" si="18"/>
        <v>25</v>
      </c>
      <c r="J12" s="61">
        <f t="shared" si="19"/>
        <v>34</v>
      </c>
      <c r="K12" s="61">
        <f t="shared" si="20"/>
        <v>42</v>
      </c>
      <c r="L12" s="61" t="str">
        <f>IFERROR(VLOOKUP(MID(G12,J12,K12-J12),[5]skilldef!$C:$D,2,FALSE),"-") &amp; " / " &amp; IFERROR(VLOOKUP(MID(G12,H12,I12-H12),[5]skilldef!$A:$B,2,FALSE),"-")</f>
        <v>味方全体に / -</v>
      </c>
      <c r="M12" s="61" t="str">
        <f t="shared" si="21"/>
        <v>[effect:enemy_message, val1:1.4, val2:2.2]</v>
      </c>
      <c r="N12" s="46" t="str">
        <f t="shared" si="32"/>
        <v>[effect:enemy_message, val1:1.4, val2:2.2]</v>
      </c>
      <c r="O12" s="61">
        <f t="shared" si="23"/>
        <v>9</v>
      </c>
      <c r="P12" s="61">
        <f t="shared" si="24"/>
        <v>22</v>
      </c>
      <c r="Q12" s="61" t="e">
        <f t="shared" si="25"/>
        <v>#VALUE!</v>
      </c>
      <c r="R12" s="61">
        <f t="shared" si="26"/>
        <v>32</v>
      </c>
      <c r="S12" s="61" t="str">
        <f>IFERROR(VLOOKUP(MID(N12,Q12,R12-Q12),[5]skilldef!$C:$D,2,FALSE),"-") &amp; " / " &amp; IFERROR(VLOOKUP(MID(N12,O12,P12-O12),[5]skilldef!$A:$B,2,FALSE),"-")</f>
        <v>- / -</v>
      </c>
      <c r="T12" s="46" t="str">
        <f t="shared" si="27"/>
        <v>none</v>
      </c>
      <c r="U12" s="61" t="e">
        <f t="shared" si="28"/>
        <v>#VALUE!</v>
      </c>
      <c r="V12" s="61">
        <f t="shared" si="29"/>
        <v>4</v>
      </c>
      <c r="W12" s="61" t="e">
        <f t="shared" si="30"/>
        <v>#VALUE!</v>
      </c>
      <c r="X12" s="61" t="e">
        <f t="shared" si="31"/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8"/>
      <c r="AA12" s="49"/>
      <c r="AB12" s="48"/>
    </row>
    <row r="13" spans="1:28" ht="32" customHeight="1" x14ac:dyDescent="0.15">
      <c r="A13" s="45">
        <v>13301623</v>
      </c>
      <c r="B13" s="103" t="s">
        <v>314</v>
      </c>
      <c r="C13" s="48">
        <v>1</v>
      </c>
      <c r="D13" s="113" t="s">
        <v>194</v>
      </c>
      <c r="E13" s="102" t="s">
        <v>278</v>
      </c>
      <c r="F13" s="102" t="s">
        <v>320</v>
      </c>
      <c r="G13" s="61" t="str">
        <f t="shared" si="16"/>
        <v>[effect:enhance_enemy, target:myself, turn:-1, status:defense, val:20000, calc:add, animation:enemy_enhance_defense]</v>
      </c>
      <c r="H13" s="61">
        <f t="shared" si="17"/>
        <v>9</v>
      </c>
      <c r="I13" s="61">
        <f t="shared" si="18"/>
        <v>22</v>
      </c>
      <c r="J13" s="61">
        <f t="shared" si="19"/>
        <v>31</v>
      </c>
      <c r="K13" s="61">
        <f t="shared" si="20"/>
        <v>37</v>
      </c>
      <c r="L13" s="61" t="str">
        <f>IFERROR(VLOOKUP(MID(G13,J13,K13-J13),[5]skilldef!$C:$D,2,FALSE),"-") &amp; " / " &amp; IFERROR(VLOOKUP(MID(G13,H13,I13-H13),[5]skilldef!$A:$B,2,FALSE),"-")</f>
        <v>自分自身に / ステータス強化</v>
      </c>
      <c r="M13" s="61" t="str">
        <f t="shared" si="21"/>
        <v>[effect:degrade_unit, target:unit_all, turn:-1, status:attack, val:0.5, calc:mul],[effect:enemy_message, val1:1.4, val2:2.4]</v>
      </c>
      <c r="N13" s="46" t="str">
        <f t="shared" si="32"/>
        <v>[effect:degrade_unit, target:unit_all, turn:-1, status:attack, val:0.5, calc:mul],[effect:enemy_message, val1:1.4, val2:2.4]</v>
      </c>
      <c r="O13" s="61">
        <f t="shared" si="23"/>
        <v>9</v>
      </c>
      <c r="P13" s="61">
        <f t="shared" si="24"/>
        <v>21</v>
      </c>
      <c r="Q13" s="61">
        <f t="shared" si="25"/>
        <v>30</v>
      </c>
      <c r="R13" s="61">
        <f t="shared" si="26"/>
        <v>38</v>
      </c>
      <c r="S13" s="61" t="str">
        <f>IFERROR(VLOOKUP(MID(N13,Q13,R13-Q13),[5]skilldef!$C:$D,2,FALSE),"-") &amp; " / " &amp; IFERROR(VLOOKUP(MID(N13,O13,P13-O13),[5]skilldef!$A:$B,2,FALSE),"-")</f>
        <v>味方全体に / ステータスDOWN</v>
      </c>
      <c r="T13" s="46" t="str">
        <f t="shared" si="27"/>
        <v>[effect:enemy_message, val1:1.4, val2:2.4]</v>
      </c>
      <c r="U13" s="61">
        <f t="shared" si="28"/>
        <v>9</v>
      </c>
      <c r="V13" s="61">
        <f t="shared" si="29"/>
        <v>22</v>
      </c>
      <c r="W13" s="61" t="e">
        <f t="shared" si="30"/>
        <v>#VALUE!</v>
      </c>
      <c r="X13" s="61">
        <f t="shared" si="31"/>
        <v>32</v>
      </c>
      <c r="Y13" s="61" t="str">
        <f>IFERROR(VLOOKUP(MID(T13,W13,X13-W13),[5]skilldef!$C:$D,2,FALSE),"-") &amp; " / " &amp; IFERROR(VLOOKUP(MID(T13,U13,V13-U13),[5]skilldef!$A:$B,2,FALSE),"-")</f>
        <v>- / -</v>
      </c>
      <c r="Z13" s="48"/>
      <c r="AA13" s="49"/>
      <c r="AB13" s="48"/>
    </row>
    <row r="14" spans="1:28" ht="21" customHeight="1" x14ac:dyDescent="0.15">
      <c r="A14" s="45">
        <v>13301624</v>
      </c>
      <c r="B14" s="103" t="s">
        <v>279</v>
      </c>
      <c r="C14" s="48">
        <v>1</v>
      </c>
      <c r="D14" s="113" t="s">
        <v>194</v>
      </c>
      <c r="E14" s="102" t="s">
        <v>280</v>
      </c>
      <c r="F14" s="102" t="s">
        <v>281</v>
      </c>
      <c r="G14" s="61" t="str">
        <f t="shared" si="16"/>
        <v>[effect:spread, val:0.35]</v>
      </c>
      <c r="H14" s="61">
        <f t="shared" si="17"/>
        <v>9</v>
      </c>
      <c r="I14" s="61">
        <f t="shared" si="18"/>
        <v>15</v>
      </c>
      <c r="J14" s="61" t="e">
        <f t="shared" si="19"/>
        <v>#VALUE!</v>
      </c>
      <c r="K14" s="61" t="e">
        <f t="shared" si="20"/>
        <v>#VALUE!</v>
      </c>
      <c r="L14" s="61" t="str">
        <f>IFERROR(VLOOKUP(MID(G14,J14,K14-J14),[5]skilldef!$C:$D,2,FALSE),"-") &amp; " / " &amp; IFERROR(VLOOKUP(MID(G14,H14,I14-H14),[5]skilldef!$A:$B,2,FALSE),"-")</f>
        <v>- / 全体攻撃</v>
      </c>
      <c r="M14" s="61" t="str">
        <f t="shared" si="21"/>
        <v>[effect:spread, val:0.25],[effect:spread, val:0.2]</v>
      </c>
      <c r="N14" s="46" t="str">
        <f t="shared" si="32"/>
        <v>[effect:spread, val:0.25],[effect:spread, val:0.2]</v>
      </c>
      <c r="O14" s="61">
        <f t="shared" si="23"/>
        <v>9</v>
      </c>
      <c r="P14" s="61">
        <f t="shared" si="24"/>
        <v>15</v>
      </c>
      <c r="Q14" s="61" t="e">
        <f t="shared" si="25"/>
        <v>#VALUE!</v>
      </c>
      <c r="R14" s="61">
        <f t="shared" si="26"/>
        <v>26</v>
      </c>
      <c r="S14" s="61" t="str">
        <f>IFERROR(VLOOKUP(MID(N14,Q14,R14-Q14),[5]skilldef!$C:$D,2,FALSE),"-") &amp; " / " &amp; IFERROR(VLOOKUP(MID(N14,O14,P14-O14),[5]skilldef!$A:$B,2,FALSE),"-")</f>
        <v>- / 全体攻撃</v>
      </c>
      <c r="T14" s="46" t="str">
        <f t="shared" si="27"/>
        <v>[effect:spread, val:0.2]</v>
      </c>
      <c r="U14" s="61">
        <f t="shared" si="28"/>
        <v>9</v>
      </c>
      <c r="V14" s="61">
        <f t="shared" si="29"/>
        <v>15</v>
      </c>
      <c r="W14" s="61" t="e">
        <f t="shared" si="30"/>
        <v>#VALUE!</v>
      </c>
      <c r="X14" s="61" t="e">
        <f t="shared" si="31"/>
        <v>#VALUE!</v>
      </c>
      <c r="Y14" s="61" t="str">
        <f>IFERROR(VLOOKUP(MID(T14,W14,X14-W14),[5]skilldef!$C:$D,2,FALSE),"-") &amp; " / " &amp; IFERROR(VLOOKUP(MID(T14,U14,V14-U14),[5]skilldef!$A:$B,2,FALSE),"-")</f>
        <v>- / 全体攻撃</v>
      </c>
      <c r="Z14" s="48"/>
      <c r="AA14" s="49"/>
      <c r="AB14" s="48"/>
    </row>
    <row r="15" spans="1:28" ht="21" customHeight="1" x14ac:dyDescent="0.15">
      <c r="A15" s="45">
        <v>13301625</v>
      </c>
      <c r="B15" s="103" t="s">
        <v>282</v>
      </c>
      <c r="C15" s="48">
        <v>1</v>
      </c>
      <c r="D15" s="113" t="s">
        <v>194</v>
      </c>
      <c r="E15" s="102" t="s">
        <v>280</v>
      </c>
      <c r="F15" s="102" t="s">
        <v>281</v>
      </c>
      <c r="G15" s="61" t="str">
        <f t="shared" si="16"/>
        <v>[effect:spread, val:0.35]</v>
      </c>
      <c r="H15" s="61">
        <f t="shared" si="17"/>
        <v>9</v>
      </c>
      <c r="I15" s="61">
        <f t="shared" si="18"/>
        <v>15</v>
      </c>
      <c r="J15" s="61" t="e">
        <f t="shared" si="19"/>
        <v>#VALUE!</v>
      </c>
      <c r="K15" s="61" t="e">
        <f t="shared" si="20"/>
        <v>#VALUE!</v>
      </c>
      <c r="L15" s="61" t="str">
        <f>IFERROR(VLOOKUP(MID(G15,J15,K15-J15),[5]skilldef!$C:$D,2,FALSE),"-") &amp; " / " &amp; IFERROR(VLOOKUP(MID(G15,H15,I15-H15),[5]skilldef!$A:$B,2,FALSE),"-")</f>
        <v>- / 全体攻撃</v>
      </c>
      <c r="M15" s="61" t="str">
        <f t="shared" si="21"/>
        <v>[effect:spread, val:0.25],[effect:spread, val:0.2]</v>
      </c>
      <c r="N15" s="46" t="str">
        <f t="shared" si="32"/>
        <v>[effect:spread, val:0.25],[effect:spread, val:0.2]</v>
      </c>
      <c r="O15" s="61">
        <f t="shared" si="23"/>
        <v>9</v>
      </c>
      <c r="P15" s="61">
        <f t="shared" si="24"/>
        <v>15</v>
      </c>
      <c r="Q15" s="61" t="e">
        <f t="shared" si="25"/>
        <v>#VALUE!</v>
      </c>
      <c r="R15" s="61">
        <f t="shared" si="26"/>
        <v>26</v>
      </c>
      <c r="S15" s="61" t="str">
        <f>IFERROR(VLOOKUP(MID(N15,Q15,R15-Q15),[5]skilldef!$C:$D,2,FALSE),"-") &amp; " / " &amp; IFERROR(VLOOKUP(MID(N15,O15,P15-O15),[5]skilldef!$A:$B,2,FALSE),"-")</f>
        <v>- / 全体攻撃</v>
      </c>
      <c r="T15" s="46" t="str">
        <f t="shared" si="27"/>
        <v>[effect:spread, val:0.2]</v>
      </c>
      <c r="U15" s="61">
        <f t="shared" si="28"/>
        <v>9</v>
      </c>
      <c r="V15" s="61">
        <f t="shared" si="29"/>
        <v>15</v>
      </c>
      <c r="W15" s="61" t="e">
        <f t="shared" si="30"/>
        <v>#VALUE!</v>
      </c>
      <c r="X15" s="61" t="e">
        <f t="shared" si="31"/>
        <v>#VALUE!</v>
      </c>
      <c r="Y15" s="61" t="str">
        <f>IFERROR(VLOOKUP(MID(T15,W15,X15-W15),[5]skilldef!$C:$D,2,FALSE),"-") &amp; " / " &amp; IFERROR(VLOOKUP(MID(T15,U15,V15-U15),[5]skilldef!$A:$B,2,FALSE),"-")</f>
        <v>- / 全体攻撃</v>
      </c>
      <c r="Z15" s="48"/>
      <c r="AA15" s="49"/>
      <c r="AB15" s="48"/>
    </row>
    <row r="16" spans="1:28" ht="21" customHeight="1" x14ac:dyDescent="0.15">
      <c r="A16" s="45">
        <v>13301631</v>
      </c>
      <c r="B16" s="103" t="s">
        <v>307</v>
      </c>
      <c r="C16" s="48">
        <v>1</v>
      </c>
      <c r="D16" s="113" t="s">
        <v>194</v>
      </c>
      <c r="E16" s="105" t="s">
        <v>283</v>
      </c>
      <c r="F16" s="105" t="s">
        <v>284</v>
      </c>
      <c r="G16" s="61" t="str">
        <f t="shared" si="16"/>
        <v>[effect:crash_condition, target:unit_all, turn:-1, val:1, animation:enemy_crash_extend]</v>
      </c>
      <c r="H16" s="61">
        <f t="shared" si="17"/>
        <v>9</v>
      </c>
      <c r="I16" s="61">
        <f t="shared" si="18"/>
        <v>24</v>
      </c>
      <c r="J16" s="61">
        <f t="shared" si="19"/>
        <v>33</v>
      </c>
      <c r="K16" s="61">
        <f t="shared" si="20"/>
        <v>41</v>
      </c>
      <c r="L16" s="61" t="str">
        <f>IFERROR(VLOOKUP(MID(G16,J16,K16-J16),[5]skilldef!$C:$D,2,FALSE),"-") &amp; " / " &amp; IFERROR(VLOOKUP(MID(G16,H16,I16-H16),[5]skilldef!$A:$B,2,FALSE),"-")</f>
        <v>味方全体に / -</v>
      </c>
      <c r="M16" s="61" t="str">
        <f t="shared" si="21"/>
        <v>[effect:enhance_enemy, target:enemy_all, turn:8, status:defense, val:20000, calc:add, animation:enemy_enhance_defense],[effect:enemy_message, val1:1.4, val2:2.2]</v>
      </c>
      <c r="N16" s="46" t="str">
        <f>IFERROR(LEFT(M16,FIND("],",M16)+#REF!),M16)</f>
        <v>[effect:enhance_enemy, target:enemy_all, turn:8, status:defense, val:20000, calc:add, animation:enemy_enhance_defense],[effect:enemy_message, val1:1.4, val2:2.2]</v>
      </c>
      <c r="O16" s="61">
        <f t="shared" si="23"/>
        <v>9</v>
      </c>
      <c r="P16" s="61">
        <f t="shared" si="24"/>
        <v>22</v>
      </c>
      <c r="Q16" s="61">
        <f t="shared" si="25"/>
        <v>31</v>
      </c>
      <c r="R16" s="61">
        <f t="shared" si="26"/>
        <v>40</v>
      </c>
      <c r="S16" s="61" t="str">
        <f>IFERROR(VLOOKUP(MID(N16,Q16,R16-Q16),[5]skilldef!$C:$D,2,FALSE),"-") &amp; " / " &amp; IFERROR(VLOOKUP(MID(N16,O16,P16-O16),[5]skilldef!$A:$B,2,FALSE),"-")</f>
        <v>敵全体に / ステータス強化</v>
      </c>
      <c r="T16" s="46" t="str">
        <f t="shared" si="27"/>
        <v>[effect:enemy_message, val1:1.4, val2:2.2]</v>
      </c>
      <c r="U16" s="61">
        <f t="shared" si="28"/>
        <v>9</v>
      </c>
      <c r="V16" s="61">
        <f t="shared" si="29"/>
        <v>22</v>
      </c>
      <c r="W16" s="61" t="e">
        <f t="shared" si="30"/>
        <v>#VALUE!</v>
      </c>
      <c r="X16" s="61">
        <f t="shared" si="31"/>
        <v>32</v>
      </c>
      <c r="Y16" s="61" t="str">
        <f>IFERROR(VLOOKUP(MID(T16,W16,X16-W16),[5]skilldef!$C:$D,2,FALSE),"-") &amp; " / " &amp; IFERROR(VLOOKUP(MID(T16,U16,V16-U16),[5]skilldef!$A:$B,2,FALSE),"-")</f>
        <v>- / -</v>
      </c>
      <c r="Z16" s="48"/>
      <c r="AA16" s="49"/>
      <c r="AB16" s="48"/>
    </row>
    <row r="17" spans="1:28" ht="38" customHeight="1" x14ac:dyDescent="0.15">
      <c r="A17" s="45">
        <v>13301632</v>
      </c>
      <c r="B17" s="103" t="s">
        <v>317</v>
      </c>
      <c r="C17" s="48">
        <v>1</v>
      </c>
      <c r="D17" s="113" t="s">
        <v>273</v>
      </c>
      <c r="E17" s="105" t="s">
        <v>285</v>
      </c>
      <c r="F17" s="105" t="s">
        <v>321</v>
      </c>
      <c r="G17" s="61" t="str">
        <f t="shared" si="16"/>
        <v>[effect:damage_anti_color, target:unit_all, color:red, val1:0.62, val2:0.12]</v>
      </c>
      <c r="H17" s="61">
        <f t="shared" si="17"/>
        <v>9</v>
      </c>
      <c r="I17" s="61">
        <f t="shared" si="18"/>
        <v>26</v>
      </c>
      <c r="J17" s="61">
        <f t="shared" si="19"/>
        <v>35</v>
      </c>
      <c r="K17" s="61">
        <f t="shared" si="20"/>
        <v>43</v>
      </c>
      <c r="L17" s="61" t="str">
        <f>IFERROR(VLOOKUP(MID(G17,J17,K17-J17),[5]skilldef!$C:$D,2,FALSE),"-") &amp; " / " &amp; IFERROR(VLOOKUP(MID(G17,H17,I17-H17),[5]skilldef!$A:$B,2,FALSE),"-")</f>
        <v>味方全体に / 属性キラー</v>
      </c>
      <c r="M17" s="61" t="str">
        <f t="shared" si="21"/>
        <v>[effect:dis_panel, target:block_yellow, turn:8, animation:enemy_dis_yellow],[effect:enemy_message, val1:1.4, val2:2.4]</v>
      </c>
      <c r="N17" s="46" t="str">
        <f>IFERROR(LEFT(M17,FIND("],",M17)+#REF!),M17)</f>
        <v>[effect:dis_panel, target:block_yellow, turn:8, animation:enemy_dis_yellow],[effect:enemy_message, val1:1.4, val2:2.4]</v>
      </c>
      <c r="O17" s="61">
        <f t="shared" si="23"/>
        <v>9</v>
      </c>
      <c r="P17" s="61">
        <f t="shared" si="24"/>
        <v>18</v>
      </c>
      <c r="Q17" s="61">
        <f t="shared" si="25"/>
        <v>27</v>
      </c>
      <c r="R17" s="61">
        <f t="shared" si="26"/>
        <v>39</v>
      </c>
      <c r="S17" s="61" t="str">
        <f>IFERROR(VLOOKUP(MID(N17,Q17,R17-Q17),[5]skilldef!$C:$D,2,FALSE),"-") &amp; " / " &amp; IFERROR(VLOOKUP(MID(N17,O17,P17-O17),[5]skilldef!$A:$B,2,FALSE),"-")</f>
        <v>黄色パネルを / ディスパネル</v>
      </c>
      <c r="T17" s="46" t="str">
        <f t="shared" si="27"/>
        <v>[effect:enemy_message, val1:1.4, val2:2.4]</v>
      </c>
      <c r="U17" s="61">
        <f t="shared" si="28"/>
        <v>9</v>
      </c>
      <c r="V17" s="61">
        <f t="shared" si="29"/>
        <v>22</v>
      </c>
      <c r="W17" s="61" t="e">
        <f t="shared" si="30"/>
        <v>#VALUE!</v>
      </c>
      <c r="X17" s="61">
        <f t="shared" si="31"/>
        <v>32</v>
      </c>
      <c r="Y17" s="61" t="str">
        <f>IFERROR(VLOOKUP(MID(T17,W17,X17-W17),[5]skilldef!$C:$D,2,FALSE),"-") &amp; " / " &amp; IFERROR(VLOOKUP(MID(T17,U17,V17-U17),[5]skilldef!$A:$B,2,FALSE),"-")</f>
        <v>- / -</v>
      </c>
      <c r="Z17" s="48"/>
      <c r="AA17" s="49"/>
      <c r="AB17" s="48"/>
    </row>
    <row r="18" spans="1:28" ht="35" customHeight="1" x14ac:dyDescent="0.15">
      <c r="A18" s="45">
        <v>13301633</v>
      </c>
      <c r="B18" s="103" t="s">
        <v>308</v>
      </c>
      <c r="C18" s="48">
        <v>1</v>
      </c>
      <c r="D18" s="113" t="s">
        <v>194</v>
      </c>
      <c r="E18" s="105" t="s">
        <v>286</v>
      </c>
      <c r="F18" s="105" t="s">
        <v>324</v>
      </c>
      <c r="G18" s="61" t="str">
        <f t="shared" si="16"/>
        <v>[effect:break_attack_fix, target:unit_all, val:10, lowest_val:800, count:14, color:red, block01:block_green]</v>
      </c>
      <c r="H18" s="61">
        <f t="shared" si="17"/>
        <v>9</v>
      </c>
      <c r="I18" s="61">
        <f t="shared" si="18"/>
        <v>25</v>
      </c>
      <c r="J18" s="61">
        <f t="shared" si="19"/>
        <v>34</v>
      </c>
      <c r="K18" s="61">
        <f t="shared" si="20"/>
        <v>42</v>
      </c>
      <c r="L18" s="61" t="str">
        <f>IFERROR(VLOOKUP(MID(G18,J18,K18-J18),[5]skilldef!$C:$D,2,FALSE),"-") &amp; " / " &amp; IFERROR(VLOOKUP(MID(G18,H18,I18-H18),[5]skilldef!$A:$B,2,FALSE),"-")</f>
        <v>味方全体に / -</v>
      </c>
      <c r="M18" s="61" t="str">
        <f t="shared" si="21"/>
        <v>[effect:enhance_enemy, target:enemy_all, turn:5, status:defense, val:20000, calc:add, animation:enemy_enhance_defense],[effect:enemy_message, val1:1.4, val2:2.4]</v>
      </c>
      <c r="N18" s="46" t="str">
        <f>IFERROR(LEFT(M18,FIND("],",M18)+#REF!),M18)</f>
        <v>[effect:enhance_enemy, target:enemy_all, turn:5, status:defense, val:20000, calc:add, animation:enemy_enhance_defense],[effect:enemy_message, val1:1.4, val2:2.4]</v>
      </c>
      <c r="O18" s="61">
        <f t="shared" si="23"/>
        <v>9</v>
      </c>
      <c r="P18" s="61">
        <f t="shared" si="24"/>
        <v>22</v>
      </c>
      <c r="Q18" s="61">
        <f t="shared" si="25"/>
        <v>31</v>
      </c>
      <c r="R18" s="61">
        <f t="shared" si="26"/>
        <v>40</v>
      </c>
      <c r="S18" s="61" t="str">
        <f>IFERROR(VLOOKUP(MID(N18,Q18,R18-Q18),[5]skilldef!$C:$D,2,FALSE),"-") &amp; " / " &amp; IFERROR(VLOOKUP(MID(N18,O18,P18-O18),[5]skilldef!$A:$B,2,FALSE),"-")</f>
        <v>敵全体に / ステータス強化</v>
      </c>
      <c r="T18" s="46" t="str">
        <f t="shared" si="27"/>
        <v>[effect:enemy_message, val1:1.4, val2:2.4]</v>
      </c>
      <c r="U18" s="61">
        <f t="shared" si="28"/>
        <v>9</v>
      </c>
      <c r="V18" s="61">
        <f t="shared" si="29"/>
        <v>22</v>
      </c>
      <c r="W18" s="61" t="e">
        <f t="shared" si="30"/>
        <v>#VALUE!</v>
      </c>
      <c r="X18" s="61">
        <f t="shared" si="31"/>
        <v>32</v>
      </c>
      <c r="Y18" s="61" t="str">
        <f>IFERROR(VLOOKUP(MID(T18,W18,X18-W18),[5]skilldef!$C:$D,2,FALSE),"-") &amp; " / " &amp; IFERROR(VLOOKUP(MID(T18,U18,V18-U18),[5]skilldef!$A:$B,2,FALSE),"-")</f>
        <v>- / -</v>
      </c>
      <c r="Z18" s="48"/>
      <c r="AA18" s="49"/>
      <c r="AB18" s="48"/>
    </row>
    <row r="19" spans="1:28" ht="37" customHeight="1" x14ac:dyDescent="0.15">
      <c r="A19" s="45">
        <v>13301634</v>
      </c>
      <c r="B19" s="103" t="s">
        <v>310</v>
      </c>
      <c r="C19" s="48">
        <v>1</v>
      </c>
      <c r="D19" s="113" t="s">
        <v>194</v>
      </c>
      <c r="E19" s="105" t="s">
        <v>287</v>
      </c>
      <c r="F19" s="105" t="s">
        <v>288</v>
      </c>
      <c r="G19" s="61" t="str">
        <f t="shared" si="16"/>
        <v>[effect:break_attack_fix, target:unit_all, val:10, lowest_val:800, count:14, color:red, block01:block_green]</v>
      </c>
      <c r="H19" s="61">
        <f t="shared" si="17"/>
        <v>9</v>
      </c>
      <c r="I19" s="61">
        <f t="shared" si="18"/>
        <v>25</v>
      </c>
      <c r="J19" s="61">
        <f t="shared" si="19"/>
        <v>34</v>
      </c>
      <c r="K19" s="61">
        <f t="shared" si="20"/>
        <v>42</v>
      </c>
      <c r="L19" s="61" t="str">
        <f>IFERROR(VLOOKUP(MID(G19,J19,K19-J19),[5]skilldef!$C:$D,2,FALSE),"-") &amp; " / " &amp; IFERROR(VLOOKUP(MID(G19,H19,I19-H19),[5]skilldef!$A:$B,2,FALSE),"-")</f>
        <v>味方全体に / -</v>
      </c>
      <c r="M19" s="61" t="str">
        <f t="shared" si="21"/>
        <v>[effect:enemy_message, val1:1.4, val2:2]</v>
      </c>
      <c r="N19" s="46" t="str">
        <f>IFERROR(LEFT(M19,FIND("],",M19)+#REF!),M19)</f>
        <v>[effect:enemy_message, val1:1.4, val2:2]</v>
      </c>
      <c r="O19" s="61">
        <f t="shared" si="23"/>
        <v>9</v>
      </c>
      <c r="P19" s="61">
        <f t="shared" si="24"/>
        <v>22</v>
      </c>
      <c r="Q19" s="61" t="e">
        <f t="shared" si="25"/>
        <v>#VALUE!</v>
      </c>
      <c r="R19" s="61">
        <f t="shared" si="26"/>
        <v>32</v>
      </c>
      <c r="S19" s="61" t="str">
        <f>IFERROR(VLOOKUP(MID(N19,Q19,R19-Q19),[5]skilldef!$C:$D,2,FALSE),"-") &amp; " / " &amp; IFERROR(VLOOKUP(MID(N19,O19,P19-O19),[5]skilldef!$A:$B,2,FALSE),"-")</f>
        <v>- / -</v>
      </c>
      <c r="T19" s="46" t="str">
        <f t="shared" si="27"/>
        <v>none</v>
      </c>
      <c r="U19" s="61" t="e">
        <f t="shared" si="28"/>
        <v>#VALUE!</v>
      </c>
      <c r="V19" s="61">
        <f t="shared" si="29"/>
        <v>4</v>
      </c>
      <c r="W19" s="61" t="e">
        <f t="shared" si="30"/>
        <v>#VALUE!</v>
      </c>
      <c r="X19" s="61" t="e">
        <f t="shared" si="31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49"/>
      <c r="AB19" s="48"/>
    </row>
    <row r="20" spans="1:28" ht="35" customHeight="1" x14ac:dyDescent="0.15">
      <c r="A20" s="45">
        <v>13301635</v>
      </c>
      <c r="B20" s="103" t="s">
        <v>289</v>
      </c>
      <c r="C20" s="48">
        <v>1</v>
      </c>
      <c r="D20" s="113" t="s">
        <v>194</v>
      </c>
      <c r="E20" s="105" t="s">
        <v>290</v>
      </c>
      <c r="F20" s="105" t="s">
        <v>291</v>
      </c>
      <c r="G20" s="61" t="str">
        <f t="shared" si="16"/>
        <v>[effect:spread, val:0.3]</v>
      </c>
      <c r="H20" s="61">
        <f t="shared" si="17"/>
        <v>9</v>
      </c>
      <c r="I20" s="61">
        <f t="shared" si="18"/>
        <v>15</v>
      </c>
      <c r="J20" s="61" t="e">
        <f t="shared" si="19"/>
        <v>#VALUE!</v>
      </c>
      <c r="K20" s="61" t="e">
        <f t="shared" si="20"/>
        <v>#VALUE!</v>
      </c>
      <c r="L20" s="61" t="str">
        <f>IFERROR(VLOOKUP(MID(G20,J20,K20-J20),[5]skilldef!$C:$D,2,FALSE),"-") &amp; " / " &amp; IFERROR(VLOOKUP(MID(G20,H20,I20-H20),[5]skilldef!$A:$B,2,FALSE),"-")</f>
        <v>- / 全体攻撃</v>
      </c>
      <c r="M20" s="61" t="str">
        <f t="shared" si="21"/>
        <v>[effect:spread, val:0.2],[effect:spread, val:0.2]</v>
      </c>
      <c r="N20" s="46" t="str">
        <f>IFERROR(LEFT(M20,FIND("],",M20)+#REF!),M20)</f>
        <v>[effect:spread, val:0.2],[effect:spread, val:0.2]</v>
      </c>
      <c r="O20" s="61">
        <f t="shared" si="23"/>
        <v>9</v>
      </c>
      <c r="P20" s="61">
        <f t="shared" si="24"/>
        <v>15</v>
      </c>
      <c r="Q20" s="61" t="e">
        <f t="shared" si="25"/>
        <v>#VALUE!</v>
      </c>
      <c r="R20" s="61">
        <f t="shared" si="26"/>
        <v>25</v>
      </c>
      <c r="S20" s="61" t="str">
        <f>IFERROR(VLOOKUP(MID(N20,Q20,R20-Q20),[5]skilldef!$C:$D,2,FALSE),"-") &amp; " / " &amp; IFERROR(VLOOKUP(MID(N20,O20,P20-O20),[5]skilldef!$A:$B,2,FALSE),"-")</f>
        <v>- / 全体攻撃</v>
      </c>
      <c r="T20" s="46" t="str">
        <f t="shared" si="27"/>
        <v>[effect:spread, val:0.2]</v>
      </c>
      <c r="U20" s="61">
        <f t="shared" si="28"/>
        <v>9</v>
      </c>
      <c r="V20" s="61">
        <f t="shared" si="29"/>
        <v>15</v>
      </c>
      <c r="W20" s="61" t="e">
        <f t="shared" si="30"/>
        <v>#VALUE!</v>
      </c>
      <c r="X20" s="61" t="e">
        <f t="shared" si="31"/>
        <v>#VALUE!</v>
      </c>
      <c r="Y20" s="61" t="str">
        <f>IFERROR(VLOOKUP(MID(T20,W20,X20-W20),[5]skilldef!$C:$D,2,FALSE),"-") &amp; " / " &amp; IFERROR(VLOOKUP(MID(T20,U20,V20-U20),[5]skilldef!$A:$B,2,FALSE),"-")</f>
        <v>- / 全体攻撃</v>
      </c>
      <c r="Z20" s="48"/>
      <c r="AA20" s="49"/>
      <c r="AB20" s="48"/>
    </row>
    <row r="21" spans="1:28" ht="21" customHeight="1" x14ac:dyDescent="0.15">
      <c r="A21" s="45">
        <v>13301641</v>
      </c>
      <c r="B21" s="103" t="s">
        <v>309</v>
      </c>
      <c r="C21" s="48">
        <v>1</v>
      </c>
      <c r="D21" s="113" t="s">
        <v>292</v>
      </c>
      <c r="E21" s="115" t="s">
        <v>293</v>
      </c>
      <c r="F21" s="115" t="s">
        <v>294</v>
      </c>
      <c r="G21" s="61" t="str">
        <f t="shared" si="16"/>
        <v>[effect:break_attack_fix, target:unit_all, val:10, lowest_val:850, count:14, color:green, block01:block_yellow]</v>
      </c>
      <c r="H21" s="61">
        <f t="shared" si="17"/>
        <v>9</v>
      </c>
      <c r="I21" s="61">
        <f t="shared" si="18"/>
        <v>25</v>
      </c>
      <c r="J21" s="61">
        <f t="shared" si="19"/>
        <v>34</v>
      </c>
      <c r="K21" s="61">
        <f t="shared" si="20"/>
        <v>42</v>
      </c>
      <c r="L21" s="61" t="str">
        <f>IFERROR(VLOOKUP(MID(G21,J21,K21-J21),[5]skilldef!$C:$D,2,FALSE),"-") &amp; " / " &amp; IFERROR(VLOOKUP(MID(G21,H21,I21-H21),[5]skilldef!$A:$B,2,FALSE),"-")</f>
        <v>味方全体に / -</v>
      </c>
      <c r="M21" s="61" t="str">
        <f t="shared" si="21"/>
        <v>[effect:enemy_message, val1:1.4, val2:2]</v>
      </c>
      <c r="N21" s="46" t="str">
        <f>IFERROR(LEFT(M21,FIND("],",M21)+S26),M21)</f>
        <v>[effect:enemy_message, val1:1.4, val2:2]</v>
      </c>
      <c r="O21" s="61">
        <f t="shared" si="23"/>
        <v>9</v>
      </c>
      <c r="P21" s="61">
        <f t="shared" si="24"/>
        <v>22</v>
      </c>
      <c r="Q21" s="61" t="e">
        <f t="shared" si="25"/>
        <v>#VALUE!</v>
      </c>
      <c r="R21" s="61">
        <f t="shared" si="26"/>
        <v>32</v>
      </c>
      <c r="S21" s="61" t="str">
        <f>IFERROR(VLOOKUP(MID(N21,Q21,R21-Q21),[5]skilldef!$C:$D,2,FALSE),"-") &amp; " / " &amp; IFERROR(VLOOKUP(MID(N21,O21,P21-O21),[5]skilldef!$A:$B,2,FALSE),"-")</f>
        <v>- / -</v>
      </c>
      <c r="T21" s="46" t="str">
        <f t="shared" si="27"/>
        <v>none</v>
      </c>
      <c r="U21" s="61" t="e">
        <f t="shared" si="28"/>
        <v>#VALUE!</v>
      </c>
      <c r="V21" s="61">
        <f t="shared" si="29"/>
        <v>4</v>
      </c>
      <c r="W21" s="61" t="e">
        <f t="shared" si="30"/>
        <v>#VALUE!</v>
      </c>
      <c r="X21" s="61" t="e">
        <f t="shared" si="31"/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8"/>
      <c r="AA21" s="49"/>
      <c r="AB21" s="48"/>
    </row>
    <row r="22" spans="1:28" ht="29" customHeight="1" x14ac:dyDescent="0.15">
      <c r="A22" s="45">
        <v>13301642</v>
      </c>
      <c r="B22" s="103" t="s">
        <v>315</v>
      </c>
      <c r="C22" s="48">
        <v>1</v>
      </c>
      <c r="D22" s="113" t="s">
        <v>194</v>
      </c>
      <c r="E22" s="115" t="s">
        <v>327</v>
      </c>
      <c r="F22" s="115" t="s">
        <v>330</v>
      </c>
      <c r="G22" s="61" t="str">
        <f t="shared" si="16"/>
        <v>[effect:break_attack_fix, target:unit_all, val:10, lowest_val:850, count:14, color:green, block01:block_yellow]</v>
      </c>
      <c r="H22" s="61">
        <f t="shared" si="17"/>
        <v>9</v>
      </c>
      <c r="I22" s="61">
        <f t="shared" si="18"/>
        <v>25</v>
      </c>
      <c r="J22" s="61">
        <f t="shared" si="19"/>
        <v>34</v>
      </c>
      <c r="K22" s="61">
        <f t="shared" si="20"/>
        <v>42</v>
      </c>
      <c r="L22" s="61" t="str">
        <f>IFERROR(VLOOKUP(MID(G22,J22,K22-J22),[5]skilldef!$C:$D,2,FALSE),"-") &amp; " / " &amp; IFERROR(VLOOKUP(MID(G22,H22,I22-H22),[5]skilldef!$A:$B,2,FALSE),"-")</f>
        <v>味方全体に / -</v>
      </c>
      <c r="M22" s="61" t="str">
        <f t="shared" si="21"/>
        <v>[effect:degrade_unit, target:unit_all, turn:-1, status:attack, val:0.4, calc:mul],[effect:enemy_message, val1:1.4, val2:2]</v>
      </c>
      <c r="N22" s="46" t="str">
        <f>IFERROR(LEFT(M22,FIND("],",M22)+S27),M22)</f>
        <v>[effect:degrade_unit, target:unit_all, turn:-1, status:attack, val:0.4, calc:mul]</v>
      </c>
      <c r="O22" s="61">
        <f t="shared" si="23"/>
        <v>9</v>
      </c>
      <c r="P22" s="61">
        <f t="shared" si="24"/>
        <v>21</v>
      </c>
      <c r="Q22" s="61">
        <f t="shared" si="25"/>
        <v>30</v>
      </c>
      <c r="R22" s="61">
        <f t="shared" si="26"/>
        <v>38</v>
      </c>
      <c r="S22" s="61" t="str">
        <f>IFERROR(VLOOKUP(MID(N22,Q22,R22-Q22),[5]skilldef!$C:$D,2,FALSE),"-") &amp; " / " &amp; IFERROR(VLOOKUP(MID(N22,O22,P22-O22),[5]skilldef!$A:$B,2,FALSE),"-")</f>
        <v>味方全体に / ステータスDOWN</v>
      </c>
      <c r="T22" s="46" t="str">
        <f t="shared" si="27"/>
        <v>[effect:enemy_message, val1:1.4, val2:2]</v>
      </c>
      <c r="U22" s="61">
        <f t="shared" si="28"/>
        <v>9</v>
      </c>
      <c r="V22" s="61">
        <f t="shared" si="29"/>
        <v>22</v>
      </c>
      <c r="W22" s="61" t="e">
        <f t="shared" si="30"/>
        <v>#VALUE!</v>
      </c>
      <c r="X22" s="61">
        <f t="shared" si="31"/>
        <v>32</v>
      </c>
      <c r="Y22" s="61" t="str">
        <f>IFERROR(VLOOKUP(MID(T22,W22,X22-W22),[5]skilldef!$C:$D,2,FALSE),"-") &amp; " / " &amp; IFERROR(VLOOKUP(MID(T22,U22,V22-U22),[5]skilldef!$A:$B,2,FALSE),"-")</f>
        <v>- / -</v>
      </c>
      <c r="Z22" s="48"/>
      <c r="AA22" s="49"/>
      <c r="AB22" s="48"/>
    </row>
    <row r="23" spans="1:28" ht="36" customHeight="1" x14ac:dyDescent="0.15">
      <c r="A23" s="45">
        <v>13301643</v>
      </c>
      <c r="B23" s="103" t="s">
        <v>311</v>
      </c>
      <c r="C23" s="48">
        <v>1</v>
      </c>
      <c r="D23" s="113" t="s">
        <v>194</v>
      </c>
      <c r="E23" s="115" t="s">
        <v>295</v>
      </c>
      <c r="F23" s="115" t="s">
        <v>331</v>
      </c>
      <c r="G23" s="61" t="str">
        <f t="shared" si="16"/>
        <v>[effect:enhance_enemy, target:myself, turn:-1, status:defense, val:25000, calc:add, animation:enemy_enhance_defense]</v>
      </c>
      <c r="H23" s="61">
        <f t="shared" si="17"/>
        <v>9</v>
      </c>
      <c r="I23" s="61">
        <f t="shared" si="18"/>
        <v>22</v>
      </c>
      <c r="J23" s="61">
        <f t="shared" si="19"/>
        <v>31</v>
      </c>
      <c r="K23" s="61">
        <f t="shared" si="20"/>
        <v>37</v>
      </c>
      <c r="L23" s="61" t="str">
        <f>IFERROR(VLOOKUP(MID(G23,J23,K23-J23),[5]skilldef!$C:$D,2,FALSE),"-") &amp; " / " &amp; IFERROR(VLOOKUP(MID(G23,H23,I23-H23),[5]skilldef!$A:$B,2,FALSE),"-")</f>
        <v>自分自身に / ステータス強化</v>
      </c>
      <c r="M23" s="61" t="str">
        <f t="shared" si="21"/>
        <v>[effect:degrade_unit, target:unit_all, turn:-1, status:attack, val:0.50, calc:mul],[effect:enemy_message, val1:1.4, val2:2.4]</v>
      </c>
      <c r="N23" s="46" t="str">
        <f>IFERROR(LEFT(M23,FIND("],",M23)+S28),M23)</f>
        <v>[effect:degrade_unit, target:unit_all, turn:-1, status:attack, val:0.50, calc:mul]</v>
      </c>
      <c r="O23" s="61">
        <f t="shared" si="23"/>
        <v>9</v>
      </c>
      <c r="P23" s="61">
        <f t="shared" si="24"/>
        <v>21</v>
      </c>
      <c r="Q23" s="61">
        <f t="shared" si="25"/>
        <v>30</v>
      </c>
      <c r="R23" s="61">
        <f t="shared" si="26"/>
        <v>38</v>
      </c>
      <c r="S23" s="61" t="str">
        <f>IFERROR(VLOOKUP(MID(N23,Q23,R23-Q23),[5]skilldef!$C:$D,2,FALSE),"-") &amp; " / " &amp; IFERROR(VLOOKUP(MID(N23,O23,P23-O23),[5]skilldef!$A:$B,2,FALSE),"-")</f>
        <v>味方全体に / ステータスDOWN</v>
      </c>
      <c r="T23" s="46" t="str">
        <f t="shared" si="27"/>
        <v>[effect:enemy_message, val1:1.4, val2:2.4]</v>
      </c>
      <c r="U23" s="61">
        <f t="shared" si="28"/>
        <v>9</v>
      </c>
      <c r="V23" s="61">
        <f t="shared" si="29"/>
        <v>22</v>
      </c>
      <c r="W23" s="61" t="e">
        <f t="shared" si="30"/>
        <v>#VALUE!</v>
      </c>
      <c r="X23" s="61">
        <f t="shared" si="31"/>
        <v>32</v>
      </c>
      <c r="Y23" s="61" t="str">
        <f>IFERROR(VLOOKUP(MID(T23,W23,X23-W23),[5]skilldef!$C:$D,2,FALSE),"-") &amp; " / " &amp; IFERROR(VLOOKUP(MID(T23,U23,V23-U23),[5]skilldef!$A:$B,2,FALSE),"-")</f>
        <v>- / -</v>
      </c>
      <c r="Z23" s="48"/>
      <c r="AA23" s="49"/>
      <c r="AB23" s="48"/>
    </row>
    <row r="24" spans="1:28" ht="21" customHeight="1" x14ac:dyDescent="0.15">
      <c r="A24" s="45">
        <v>13301644</v>
      </c>
      <c r="B24" s="103" t="s">
        <v>296</v>
      </c>
      <c r="C24" s="48">
        <v>1</v>
      </c>
      <c r="D24" s="113" t="s">
        <v>194</v>
      </c>
      <c r="E24" s="115" t="s">
        <v>297</v>
      </c>
      <c r="F24" s="115" t="s">
        <v>281</v>
      </c>
      <c r="G24" s="61" t="str">
        <f t="shared" si="16"/>
        <v>[effect:spread, val:0.4]</v>
      </c>
      <c r="H24" s="61">
        <f t="shared" si="17"/>
        <v>9</v>
      </c>
      <c r="I24" s="61">
        <f t="shared" si="18"/>
        <v>15</v>
      </c>
      <c r="J24" s="61" t="e">
        <f t="shared" si="19"/>
        <v>#VALUE!</v>
      </c>
      <c r="K24" s="61" t="e">
        <f t="shared" si="20"/>
        <v>#VALUE!</v>
      </c>
      <c r="L24" s="61" t="str">
        <f>IFERROR(VLOOKUP(MID(G24,J24,K24-J24),[5]skilldef!$C:$D,2,FALSE),"-") &amp; " / " &amp; IFERROR(VLOOKUP(MID(G24,H24,I24-H24),[5]skilldef!$A:$B,2,FALSE),"-")</f>
        <v>- / 全体攻撃</v>
      </c>
      <c r="M24" s="61" t="str">
        <f t="shared" si="21"/>
        <v>[effect:spread, val:0.3],[effect:spread, val:0.2]</v>
      </c>
      <c r="N24" s="46" t="str">
        <f>IFERROR(LEFT(M24,FIND("],",M24)+S29),M24)</f>
        <v>[effect:spread, val:0.3]</v>
      </c>
      <c r="O24" s="61">
        <f t="shared" si="23"/>
        <v>9</v>
      </c>
      <c r="P24" s="61">
        <f t="shared" si="24"/>
        <v>15</v>
      </c>
      <c r="Q24" s="61" t="e">
        <f t="shared" si="25"/>
        <v>#VALUE!</v>
      </c>
      <c r="R24" s="61" t="e">
        <f t="shared" si="26"/>
        <v>#VALUE!</v>
      </c>
      <c r="S24" s="61" t="str">
        <f>IFERROR(VLOOKUP(MID(N24,Q24,R24-Q24),[5]skilldef!$C:$D,2,FALSE),"-") &amp; " / " &amp; IFERROR(VLOOKUP(MID(N24,O24,P24-O24),[5]skilldef!$A:$B,2,FALSE),"-")</f>
        <v>- / 全体攻撃</v>
      </c>
      <c r="T24" s="46" t="str">
        <f t="shared" si="27"/>
        <v>[effect:spread, val:0.2]</v>
      </c>
      <c r="U24" s="61">
        <f t="shared" si="28"/>
        <v>9</v>
      </c>
      <c r="V24" s="61">
        <f t="shared" si="29"/>
        <v>15</v>
      </c>
      <c r="W24" s="61" t="e">
        <f t="shared" si="30"/>
        <v>#VALUE!</v>
      </c>
      <c r="X24" s="61" t="e">
        <f t="shared" si="31"/>
        <v>#VALUE!</v>
      </c>
      <c r="Y24" s="61" t="str">
        <f>IFERROR(VLOOKUP(MID(T24,W24,X24-W24),[5]skilldef!$C:$D,2,FALSE),"-") &amp; " / " &amp; IFERROR(VLOOKUP(MID(T24,U24,V24-U24),[5]skilldef!$A:$B,2,FALSE),"-")</f>
        <v>- / 全体攻撃</v>
      </c>
      <c r="Z24" s="48"/>
      <c r="AA24" s="49"/>
      <c r="AB24" s="48"/>
    </row>
    <row r="25" spans="1:28" ht="21" customHeight="1" x14ac:dyDescent="0.15">
      <c r="A25" s="45">
        <v>13301645</v>
      </c>
      <c r="B25" s="103" t="s">
        <v>296</v>
      </c>
      <c r="C25" s="48">
        <v>1</v>
      </c>
      <c r="D25" s="113" t="s">
        <v>194</v>
      </c>
      <c r="E25" s="115" t="s">
        <v>297</v>
      </c>
      <c r="F25" s="115" t="s">
        <v>281</v>
      </c>
      <c r="G25" s="61" t="str">
        <f t="shared" si="16"/>
        <v>[effect:spread, val:0.4]</v>
      </c>
      <c r="H25" s="61">
        <f t="shared" si="17"/>
        <v>9</v>
      </c>
      <c r="I25" s="61">
        <f t="shared" si="18"/>
        <v>15</v>
      </c>
      <c r="J25" s="61" t="e">
        <f t="shared" si="19"/>
        <v>#VALUE!</v>
      </c>
      <c r="K25" s="61" t="e">
        <f t="shared" si="20"/>
        <v>#VALUE!</v>
      </c>
      <c r="L25" s="61" t="str">
        <f>IFERROR(VLOOKUP(MID(G25,J25,K25-J25),[5]skilldef!$C:$D,2,FALSE),"-") &amp; " / " &amp; IFERROR(VLOOKUP(MID(G25,H25,I25-H25),[5]skilldef!$A:$B,2,FALSE),"-")</f>
        <v>- / 全体攻撃</v>
      </c>
      <c r="M25" s="61" t="str">
        <f t="shared" si="21"/>
        <v>[effect:spread, val:0.3],[effect:spread, val:0.2]</v>
      </c>
      <c r="N25" s="46" t="str">
        <f>IFERROR(LEFT(M25,FIND("],",M25)+S30),M25)</f>
        <v>[effect:spread, val:0.3]</v>
      </c>
      <c r="O25" s="61">
        <f t="shared" si="23"/>
        <v>9</v>
      </c>
      <c r="P25" s="61">
        <f t="shared" si="24"/>
        <v>15</v>
      </c>
      <c r="Q25" s="61" t="e">
        <f t="shared" si="25"/>
        <v>#VALUE!</v>
      </c>
      <c r="R25" s="61" t="e">
        <f t="shared" si="26"/>
        <v>#VALUE!</v>
      </c>
      <c r="S25" s="61" t="str">
        <f>IFERROR(VLOOKUP(MID(N25,Q25,R25-Q25),[5]skilldef!$C:$D,2,FALSE),"-") &amp; " / " &amp; IFERROR(VLOOKUP(MID(N25,O25,P25-O25),[5]skilldef!$A:$B,2,FALSE),"-")</f>
        <v>- / 全体攻撃</v>
      </c>
      <c r="T25" s="46" t="str">
        <f t="shared" si="27"/>
        <v>[effect:spread, val:0.2]</v>
      </c>
      <c r="U25" s="61">
        <f t="shared" si="28"/>
        <v>9</v>
      </c>
      <c r="V25" s="61">
        <f t="shared" si="29"/>
        <v>15</v>
      </c>
      <c r="W25" s="61" t="e">
        <f t="shared" si="30"/>
        <v>#VALUE!</v>
      </c>
      <c r="X25" s="61" t="e">
        <f t="shared" si="31"/>
        <v>#VALUE!</v>
      </c>
      <c r="Y25" s="61" t="str">
        <f>IFERROR(VLOOKUP(MID(T25,W25,X25-W25),[5]skilldef!$C:$D,2,FALSE),"-") &amp; " / " &amp; IFERROR(VLOOKUP(MID(T25,U25,V25-U25),[5]skilldef!$A:$B,2,FALSE),"-")</f>
        <v>- / 全体攻撃</v>
      </c>
      <c r="Z25" s="48"/>
      <c r="AA25" s="49"/>
      <c r="AB25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6"/>
  <sheetViews>
    <sheetView showGridLines="0" zoomScale="150" zoomScaleNormal="150" zoomScalePageLayoutView="15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7.33203125" style="37" customWidth="1"/>
    <col min="2" max="2" width="9.5" style="47" bestFit="1" customWidth="1"/>
    <col min="3" max="3" width="9.6640625" style="47" customWidth="1"/>
    <col min="4" max="4" width="9" style="47" customWidth="1" outlineLevel="1"/>
    <col min="5" max="5" width="9.6640625" style="47" customWidth="1" outlineLevel="1"/>
    <col min="6" max="6" width="10.83203125" style="47" bestFit="1" customWidth="1"/>
    <col min="7" max="7" width="8.33203125" style="47" bestFit="1" customWidth="1" outlineLevel="1"/>
    <col min="8" max="8" width="12.83203125" style="47" outlineLevel="1"/>
    <col min="9" max="9" width="17.1640625" style="47" customWidth="1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13301601_13301601</v>
      </c>
      <c r="B2" s="45">
        <v>13301601</v>
      </c>
      <c r="C2" s="45">
        <v>13301601</v>
      </c>
      <c r="D2" s="44" t="e">
        <v>#VALUE!</v>
      </c>
      <c r="E2" s="44" t="e">
        <v>#VALUE!</v>
      </c>
      <c r="F2" s="45">
        <v>13301601</v>
      </c>
      <c r="G2" s="46" t="e">
        <v>#VALUE!</v>
      </c>
      <c r="H2" s="46" t="e">
        <v>#VALUE!</v>
      </c>
      <c r="I2" s="46" t="e">
        <v>#VALUE!</v>
      </c>
      <c r="J2" s="46" t="e">
        <v>#VALUE!</v>
      </c>
      <c r="K2" s="46" t="e">
        <v>#VALUE!</v>
      </c>
      <c r="L2" s="46" t="e">
        <v>#VALUE!</v>
      </c>
      <c r="M2" s="46" t="e">
        <v>#VALUE!</v>
      </c>
      <c r="N2" s="46" t="e">
        <v>#VALUE!</v>
      </c>
      <c r="O2" s="46" t="e">
        <v>#VALUE!</v>
      </c>
      <c r="P2" s="45"/>
      <c r="Q2" s="45"/>
      <c r="R2" s="45"/>
    </row>
    <row r="3" spans="1:18" ht="21" customHeight="1" x14ac:dyDescent="0.15">
      <c r="A3" s="37" t="str">
        <f t="shared" ref="A3:A8" si="1">B3&amp;"_"&amp;C3</f>
        <v>13301601_13301602</v>
      </c>
      <c r="B3" s="45">
        <v>13301601</v>
      </c>
      <c r="C3" s="45">
        <v>13301602</v>
      </c>
      <c r="D3" s="44" t="e">
        <v>#VALUE!</v>
      </c>
      <c r="E3" s="44" t="e">
        <v>#VALUE!</v>
      </c>
      <c r="F3" s="45">
        <v>13301602</v>
      </c>
      <c r="G3" s="46" t="e">
        <v>#VALUE!</v>
      </c>
      <c r="H3" s="46" t="e">
        <v>#VALUE!</v>
      </c>
      <c r="I3" s="46" t="e">
        <v>#VALUE!</v>
      </c>
      <c r="J3" s="46" t="e">
        <v>#VALUE!</v>
      </c>
      <c r="K3" s="46" t="e">
        <v>#VALUE!</v>
      </c>
      <c r="L3" s="46" t="e">
        <v>#VALUE!</v>
      </c>
      <c r="M3" s="46" t="e">
        <v>#VALUE!</v>
      </c>
      <c r="N3" s="46" t="e">
        <v>#VALUE!</v>
      </c>
      <c r="O3" s="46" t="e">
        <v>#VALUE!</v>
      </c>
      <c r="P3" s="45"/>
      <c r="Q3" s="45"/>
      <c r="R3" s="45"/>
    </row>
    <row r="4" spans="1:18" ht="21" customHeight="1" x14ac:dyDescent="0.15">
      <c r="A4" s="37" t="str">
        <f t="shared" si="1"/>
        <v>13301601_13301603</v>
      </c>
      <c r="B4" s="45">
        <v>13301601</v>
      </c>
      <c r="C4" s="45">
        <v>13301603</v>
      </c>
      <c r="D4" s="44" t="e">
        <v>#VALUE!</v>
      </c>
      <c r="E4" s="44" t="e">
        <v>#VALUE!</v>
      </c>
      <c r="F4" s="45">
        <v>13301603</v>
      </c>
      <c r="G4" s="46" t="e">
        <v>#VALUE!</v>
      </c>
      <c r="H4" s="46" t="e">
        <v>#VALUE!</v>
      </c>
      <c r="I4" s="46" t="e">
        <v>#VALUE!</v>
      </c>
      <c r="J4" s="46" t="e">
        <v>#VALUE!</v>
      </c>
      <c r="K4" s="46" t="e">
        <v>#VALUE!</v>
      </c>
      <c r="L4" s="46" t="e">
        <v>#VALUE!</v>
      </c>
      <c r="M4" s="46" t="e">
        <v>#VALUE!</v>
      </c>
      <c r="N4" s="46" t="e">
        <v>#VALUE!</v>
      </c>
      <c r="O4" s="46" t="e">
        <v>#VALUE!</v>
      </c>
      <c r="P4" s="45"/>
      <c r="Q4" s="45"/>
      <c r="R4" s="45"/>
    </row>
    <row r="5" spans="1:18" ht="21" customHeight="1" x14ac:dyDescent="0.15">
      <c r="A5" s="37" t="str">
        <f t="shared" si="1"/>
        <v>13301602_13301604</v>
      </c>
      <c r="B5" s="45">
        <v>13301602</v>
      </c>
      <c r="C5" s="45">
        <v>13301604</v>
      </c>
      <c r="D5" s="44" t="e">
        <v>#VALUE!</v>
      </c>
      <c r="E5" s="44" t="e">
        <v>#VALUE!</v>
      </c>
      <c r="F5" s="45">
        <v>13301604</v>
      </c>
      <c r="G5" s="46" t="e">
        <v>#VALUE!</v>
      </c>
      <c r="H5" s="46" t="e">
        <v>#VALUE!</v>
      </c>
      <c r="I5" s="46" t="e">
        <v>#VALUE!</v>
      </c>
      <c r="J5" s="46" t="e">
        <v>#VALUE!</v>
      </c>
      <c r="K5" s="46" t="e">
        <v>#VALUE!</v>
      </c>
      <c r="L5" s="46" t="e">
        <v>#VALUE!</v>
      </c>
      <c r="M5" s="46" t="e">
        <v>#VALUE!</v>
      </c>
      <c r="N5" s="46" t="e">
        <v>#VALUE!</v>
      </c>
      <c r="O5" s="46" t="e">
        <v>#VALUE!</v>
      </c>
      <c r="P5" s="45"/>
      <c r="Q5" s="45"/>
      <c r="R5" s="45"/>
    </row>
    <row r="6" spans="1:18" ht="21" customHeight="1" x14ac:dyDescent="0.15">
      <c r="A6" s="37" t="str">
        <f t="shared" si="1"/>
        <v>13301602_13301605</v>
      </c>
      <c r="B6" s="45">
        <v>13301602</v>
      </c>
      <c r="C6" s="45">
        <v>13301605</v>
      </c>
      <c r="D6" s="44" t="e">
        <v>#VALUE!</v>
      </c>
      <c r="E6" s="44" t="e">
        <v>#VALUE!</v>
      </c>
      <c r="F6" s="45">
        <v>13301605</v>
      </c>
      <c r="G6" s="46" t="e">
        <v>#VALUE!</v>
      </c>
      <c r="H6" s="46" t="e">
        <v>#VALUE!</v>
      </c>
      <c r="I6" s="46" t="e">
        <v>#VALUE!</v>
      </c>
      <c r="J6" s="46" t="e">
        <v>#VALUE!</v>
      </c>
      <c r="K6" s="46" t="e">
        <v>#VALUE!</v>
      </c>
      <c r="L6" s="46" t="e">
        <v>#VALUE!</v>
      </c>
      <c r="M6" s="46" t="e">
        <v>#VALUE!</v>
      </c>
      <c r="N6" s="46" t="e">
        <v>#VALUE!</v>
      </c>
      <c r="O6" s="46" t="e">
        <v>#VALUE!</v>
      </c>
      <c r="P6" s="45"/>
      <c r="Q6" s="45"/>
      <c r="R6" s="45"/>
    </row>
    <row r="7" spans="1:18" ht="21" customHeight="1" x14ac:dyDescent="0.15">
      <c r="A7" s="37" t="str">
        <f t="shared" si="1"/>
        <v>13301602_13301606</v>
      </c>
      <c r="B7" s="45">
        <v>13301602</v>
      </c>
      <c r="C7" s="45">
        <v>13301606</v>
      </c>
      <c r="D7" s="44" t="e">
        <v>#VALUE!</v>
      </c>
      <c r="E7" s="44" t="e">
        <v>#VALUE!</v>
      </c>
      <c r="F7" s="45">
        <v>13301606</v>
      </c>
      <c r="G7" s="46" t="e">
        <v>#VALUE!</v>
      </c>
      <c r="H7" s="46" t="e">
        <v>#VALUE!</v>
      </c>
      <c r="I7" s="46" t="e">
        <v>#VALUE!</v>
      </c>
      <c r="J7" s="46" t="e">
        <v>#VALUE!</v>
      </c>
      <c r="K7" s="46" t="e">
        <v>#VALUE!</v>
      </c>
      <c r="L7" s="46" t="e">
        <v>#VALUE!</v>
      </c>
      <c r="M7" s="46" t="e">
        <v>#VALUE!</v>
      </c>
      <c r="N7" s="46" t="e">
        <v>#VALUE!</v>
      </c>
      <c r="O7" s="46" t="e">
        <v>#VALUE!</v>
      </c>
      <c r="P7" s="45"/>
      <c r="Q7" s="45"/>
      <c r="R7" s="45"/>
    </row>
    <row r="8" spans="1:18" ht="21" customHeight="1" x14ac:dyDescent="0.15">
      <c r="A8" s="37" t="str">
        <f t="shared" si="1"/>
        <v>13301603_13301611</v>
      </c>
      <c r="B8" s="45">
        <v>13301603</v>
      </c>
      <c r="C8" s="45">
        <v>13301611</v>
      </c>
      <c r="D8" s="44" t="e">
        <v>#VALUE!</v>
      </c>
      <c r="E8" s="44" t="e">
        <v>#VALUE!</v>
      </c>
      <c r="F8" s="45">
        <v>13301611</v>
      </c>
      <c r="G8" s="46" t="e">
        <v>#VALUE!</v>
      </c>
      <c r="H8" s="46" t="e">
        <v>#VALUE!</v>
      </c>
      <c r="I8" s="46" t="e">
        <v>#VALUE!</v>
      </c>
      <c r="J8" s="46" t="e">
        <v>#VALUE!</v>
      </c>
      <c r="K8" s="46" t="e">
        <v>#VALUE!</v>
      </c>
      <c r="L8" s="46" t="e">
        <v>#VALUE!</v>
      </c>
      <c r="M8" s="46" t="e">
        <v>#VALUE!</v>
      </c>
      <c r="N8" s="46" t="e">
        <v>#VALUE!</v>
      </c>
      <c r="O8" s="46" t="e">
        <v>#VALUE!</v>
      </c>
      <c r="P8" s="45"/>
      <c r="Q8" s="45"/>
      <c r="R8" s="45"/>
    </row>
    <row r="9" spans="1:18" ht="21" customHeight="1" x14ac:dyDescent="0.15">
      <c r="A9" s="37" t="str">
        <f t="shared" ref="A9:A19" si="2">B9&amp;"_"&amp;C9</f>
        <v>13301603_13301612</v>
      </c>
      <c r="B9" s="45">
        <v>13301603</v>
      </c>
      <c r="C9" s="45">
        <v>13301612</v>
      </c>
      <c r="D9" s="44" t="e">
        <v>#VALUE!</v>
      </c>
      <c r="E9" s="44" t="e">
        <v>#VALUE!</v>
      </c>
      <c r="F9" s="45">
        <v>13301612</v>
      </c>
      <c r="G9" s="46" t="e">
        <v>#VALUE!</v>
      </c>
      <c r="H9" s="46" t="e">
        <v>#VALUE!</v>
      </c>
      <c r="I9" s="46" t="e">
        <v>#VALUE!</v>
      </c>
      <c r="J9" s="46" t="e">
        <v>#VALUE!</v>
      </c>
      <c r="K9" s="46" t="e">
        <v>#VALUE!</v>
      </c>
      <c r="L9" s="46" t="e">
        <v>#VALUE!</v>
      </c>
      <c r="M9" s="46" t="e">
        <v>#VALUE!</v>
      </c>
      <c r="N9" s="46" t="e">
        <v>#VALUE!</v>
      </c>
      <c r="O9" s="46" t="e">
        <v>#VALUE!</v>
      </c>
      <c r="P9" s="45"/>
      <c r="Q9" s="45"/>
      <c r="R9" s="45"/>
    </row>
    <row r="10" spans="1:18" ht="21" customHeight="1" x14ac:dyDescent="0.15">
      <c r="A10" s="37" t="str">
        <f t="shared" si="2"/>
        <v>13301603_13301613</v>
      </c>
      <c r="B10" s="45">
        <v>13301603</v>
      </c>
      <c r="C10" s="45">
        <v>13301613</v>
      </c>
      <c r="D10" s="44" t="e">
        <v>#VALUE!</v>
      </c>
      <c r="E10" s="44" t="e">
        <v>#VALUE!</v>
      </c>
      <c r="F10" s="45">
        <v>13301613</v>
      </c>
      <c r="G10" s="46" t="e">
        <v>#VALUE!</v>
      </c>
      <c r="H10" s="46" t="e">
        <v>#VALUE!</v>
      </c>
      <c r="I10" s="46" t="e">
        <v>#VALUE!</v>
      </c>
      <c r="J10" s="46" t="e">
        <v>#VALUE!</v>
      </c>
      <c r="K10" s="46" t="e">
        <v>#VALUE!</v>
      </c>
      <c r="L10" s="46" t="e">
        <v>#VALUE!</v>
      </c>
      <c r="M10" s="46" t="e">
        <v>#VALUE!</v>
      </c>
      <c r="N10" s="46" t="e">
        <v>#VALUE!</v>
      </c>
      <c r="O10" s="46" t="e">
        <v>#VALUE!</v>
      </c>
      <c r="P10" s="45"/>
      <c r="Q10" s="45"/>
      <c r="R10" s="45"/>
    </row>
    <row r="11" spans="1:18" ht="21" customHeight="1" x14ac:dyDescent="0.15">
      <c r="A11" s="37" t="str">
        <f t="shared" si="2"/>
        <v>13301604_13301621</v>
      </c>
      <c r="B11" s="45">
        <v>13301604</v>
      </c>
      <c r="C11" s="45">
        <v>13301621</v>
      </c>
      <c r="D11" s="44" t="e">
        <v>#VALUE!</v>
      </c>
      <c r="E11" s="44" t="e">
        <v>#VALUE!</v>
      </c>
      <c r="F11" s="45">
        <v>13301621</v>
      </c>
      <c r="G11" s="46" t="e">
        <v>#VALUE!</v>
      </c>
      <c r="H11" s="46" t="e">
        <v>#VALUE!</v>
      </c>
      <c r="I11" s="46" t="e">
        <v>#VALUE!</v>
      </c>
      <c r="J11" s="46" t="e">
        <v>#VALUE!</v>
      </c>
      <c r="K11" s="46" t="e">
        <v>#VALUE!</v>
      </c>
      <c r="L11" s="46" t="e">
        <v>#VALUE!</v>
      </c>
      <c r="M11" s="46" t="e">
        <v>#VALUE!</v>
      </c>
      <c r="N11" s="46" t="e">
        <v>#VALUE!</v>
      </c>
      <c r="O11" s="46" t="e">
        <v>#VALUE!</v>
      </c>
      <c r="P11" s="45"/>
      <c r="Q11" s="45"/>
      <c r="R11" s="45"/>
    </row>
    <row r="12" spans="1:18" ht="21" customHeight="1" x14ac:dyDescent="0.15">
      <c r="A12" s="37" t="str">
        <f t="shared" si="2"/>
        <v>13301604_13301622</v>
      </c>
      <c r="B12" s="45">
        <v>13301604</v>
      </c>
      <c r="C12" s="45">
        <v>13301622</v>
      </c>
      <c r="D12" s="44" t="e">
        <v>#VALUE!</v>
      </c>
      <c r="E12" s="44" t="e">
        <v>#VALUE!</v>
      </c>
      <c r="F12" s="45">
        <v>13301622</v>
      </c>
      <c r="G12" s="46" t="e">
        <v>#VALUE!</v>
      </c>
      <c r="H12" s="46" t="e">
        <v>#VALUE!</v>
      </c>
      <c r="I12" s="46" t="e">
        <v>#VALUE!</v>
      </c>
      <c r="J12" s="46" t="e">
        <v>#VALUE!</v>
      </c>
      <c r="K12" s="46" t="e">
        <v>#VALUE!</v>
      </c>
      <c r="L12" s="46" t="e">
        <v>#VALUE!</v>
      </c>
      <c r="M12" s="46" t="e">
        <v>#VALUE!</v>
      </c>
      <c r="N12" s="46" t="e">
        <v>#VALUE!</v>
      </c>
      <c r="O12" s="46" t="e">
        <v>#VALUE!</v>
      </c>
      <c r="P12" s="45"/>
      <c r="Q12" s="45"/>
      <c r="R12" s="45"/>
    </row>
    <row r="13" spans="1:18" ht="21" customHeight="1" x14ac:dyDescent="0.15">
      <c r="A13" s="37" t="str">
        <f t="shared" si="2"/>
        <v>13301604_13301623</v>
      </c>
      <c r="B13" s="45">
        <v>13301604</v>
      </c>
      <c r="C13" s="45">
        <v>13301623</v>
      </c>
      <c r="D13" s="44" t="e">
        <v>#VALUE!</v>
      </c>
      <c r="E13" s="44" t="e">
        <v>#VALUE!</v>
      </c>
      <c r="F13" s="45">
        <v>13301623</v>
      </c>
      <c r="G13" s="46" t="e">
        <v>#VALUE!</v>
      </c>
      <c r="H13" s="46" t="e">
        <v>#VALUE!</v>
      </c>
      <c r="I13" s="46" t="e">
        <v>#VALUE!</v>
      </c>
      <c r="J13" s="46" t="e">
        <v>#VALUE!</v>
      </c>
      <c r="K13" s="46" t="e">
        <v>#VALUE!</v>
      </c>
      <c r="L13" s="46" t="e">
        <v>#VALUE!</v>
      </c>
      <c r="M13" s="46" t="e">
        <v>#VALUE!</v>
      </c>
      <c r="N13" s="46" t="e">
        <v>#VALUE!</v>
      </c>
      <c r="O13" s="46" t="e">
        <v>#VALUE!</v>
      </c>
      <c r="P13" s="45"/>
      <c r="Q13" s="45"/>
      <c r="R13" s="45"/>
    </row>
    <row r="14" spans="1:18" ht="21" customHeight="1" x14ac:dyDescent="0.15">
      <c r="A14" s="37" t="str">
        <f t="shared" si="2"/>
        <v>13301604_13301624</v>
      </c>
      <c r="B14" s="45">
        <v>13301604</v>
      </c>
      <c r="C14" s="45">
        <v>13301624</v>
      </c>
      <c r="D14" s="44" t="e">
        <v>#VALUE!</v>
      </c>
      <c r="E14" s="44" t="e">
        <v>#VALUE!</v>
      </c>
      <c r="F14" s="45">
        <v>13301624</v>
      </c>
      <c r="G14" s="46" t="e">
        <v>#VALUE!</v>
      </c>
      <c r="H14" s="46" t="e">
        <v>#VALUE!</v>
      </c>
      <c r="I14" s="46" t="e">
        <v>#VALUE!</v>
      </c>
      <c r="J14" s="46" t="e">
        <v>#VALUE!</v>
      </c>
      <c r="K14" s="46" t="e">
        <v>#VALUE!</v>
      </c>
      <c r="L14" s="46" t="e">
        <v>#VALUE!</v>
      </c>
      <c r="M14" s="46" t="e">
        <v>#VALUE!</v>
      </c>
      <c r="N14" s="46" t="e">
        <v>#VALUE!</v>
      </c>
      <c r="O14" s="46" t="e">
        <v>#VALUE!</v>
      </c>
      <c r="P14" s="45"/>
      <c r="Q14" s="45"/>
      <c r="R14" s="45"/>
    </row>
    <row r="15" spans="1:18" ht="21" customHeight="1" x14ac:dyDescent="0.15">
      <c r="A15" s="37" t="str">
        <f t="shared" si="2"/>
        <v>13301604_13301625</v>
      </c>
      <c r="B15" s="45">
        <v>13301604</v>
      </c>
      <c r="C15" s="45">
        <v>13301625</v>
      </c>
      <c r="D15" s="44" t="e">
        <v>#VALUE!</v>
      </c>
      <c r="E15" s="44" t="e">
        <v>#VALUE!</v>
      </c>
      <c r="F15" s="45">
        <v>13301625</v>
      </c>
      <c r="G15" s="46" t="e">
        <v>#VALUE!</v>
      </c>
      <c r="H15" s="46" t="e">
        <v>#VALUE!</v>
      </c>
      <c r="I15" s="46" t="e">
        <v>#VALUE!</v>
      </c>
      <c r="J15" s="46" t="e">
        <v>#VALUE!</v>
      </c>
      <c r="K15" s="46" t="e">
        <v>#VALUE!</v>
      </c>
      <c r="L15" s="46" t="e">
        <v>#VALUE!</v>
      </c>
      <c r="M15" s="46" t="e">
        <v>#VALUE!</v>
      </c>
      <c r="N15" s="46" t="e">
        <v>#VALUE!</v>
      </c>
      <c r="O15" s="46" t="e">
        <v>#VALUE!</v>
      </c>
      <c r="P15" s="45"/>
      <c r="Q15" s="45"/>
      <c r="R15" s="45"/>
    </row>
    <row r="16" spans="1:18" ht="21" customHeight="1" x14ac:dyDescent="0.15">
      <c r="A16" s="37" t="str">
        <f t="shared" si="2"/>
        <v>13301605_13301631</v>
      </c>
      <c r="B16" s="45">
        <v>13301605</v>
      </c>
      <c r="C16" s="45">
        <v>13301631</v>
      </c>
      <c r="D16" s="44" t="e">
        <v>#VALUE!</v>
      </c>
      <c r="E16" s="44" t="e">
        <v>#VALUE!</v>
      </c>
      <c r="F16" s="45">
        <v>13301631</v>
      </c>
      <c r="G16" s="46" t="e">
        <v>#VALUE!</v>
      </c>
      <c r="H16" s="46" t="e">
        <v>#VALUE!</v>
      </c>
      <c r="I16" s="46" t="e">
        <v>#VALUE!</v>
      </c>
      <c r="J16" s="46" t="e">
        <v>#VALUE!</v>
      </c>
      <c r="K16" s="46" t="e">
        <v>#VALUE!</v>
      </c>
      <c r="L16" s="46" t="e">
        <v>#VALUE!</v>
      </c>
      <c r="M16" s="46" t="e">
        <v>#VALUE!</v>
      </c>
      <c r="N16" s="46" t="e">
        <v>#VALUE!</v>
      </c>
      <c r="O16" s="46" t="e">
        <v>#VALUE!</v>
      </c>
      <c r="P16" s="45"/>
      <c r="Q16" s="45"/>
      <c r="R16" s="45"/>
    </row>
    <row r="17" spans="1:18" ht="21" customHeight="1" x14ac:dyDescent="0.15">
      <c r="A17" s="37" t="str">
        <f t="shared" si="2"/>
        <v>13301605_13301632</v>
      </c>
      <c r="B17" s="45">
        <v>13301605</v>
      </c>
      <c r="C17" s="45">
        <v>13301632</v>
      </c>
      <c r="D17" s="44" t="e">
        <v>#VALUE!</v>
      </c>
      <c r="E17" s="44" t="e">
        <v>#VALUE!</v>
      </c>
      <c r="F17" s="45">
        <v>13301632</v>
      </c>
      <c r="G17" s="46" t="e">
        <v>#VALUE!</v>
      </c>
      <c r="H17" s="46" t="e">
        <v>#VALUE!</v>
      </c>
      <c r="I17" s="46" t="e">
        <v>#VALUE!</v>
      </c>
      <c r="J17" s="46" t="e">
        <v>#VALUE!</v>
      </c>
      <c r="K17" s="46" t="e">
        <v>#VALUE!</v>
      </c>
      <c r="L17" s="46" t="e">
        <v>#VALUE!</v>
      </c>
      <c r="M17" s="46" t="e">
        <v>#VALUE!</v>
      </c>
      <c r="N17" s="46" t="e">
        <v>#VALUE!</v>
      </c>
      <c r="O17" s="46" t="e">
        <v>#VALUE!</v>
      </c>
      <c r="P17" s="45"/>
      <c r="Q17" s="45"/>
      <c r="R17" s="45"/>
    </row>
    <row r="18" spans="1:18" ht="21" customHeight="1" x14ac:dyDescent="0.15">
      <c r="A18" s="37" t="str">
        <f t="shared" si="2"/>
        <v>13301605_13301633</v>
      </c>
      <c r="B18" s="45">
        <v>13301605</v>
      </c>
      <c r="C18" s="45">
        <v>13301633</v>
      </c>
      <c r="D18" s="44" t="e">
        <v>#VALUE!</v>
      </c>
      <c r="E18" s="44" t="e">
        <v>#VALUE!</v>
      </c>
      <c r="F18" s="45">
        <v>13301633</v>
      </c>
      <c r="G18" s="46" t="e">
        <v>#VALUE!</v>
      </c>
      <c r="H18" s="46" t="e">
        <v>#VALUE!</v>
      </c>
      <c r="I18" s="46" t="e">
        <v>#VALUE!</v>
      </c>
      <c r="J18" s="46" t="e">
        <v>#VALUE!</v>
      </c>
      <c r="K18" s="46" t="e">
        <v>#VALUE!</v>
      </c>
      <c r="L18" s="46" t="e">
        <v>#VALUE!</v>
      </c>
      <c r="M18" s="46" t="e">
        <v>#VALUE!</v>
      </c>
      <c r="N18" s="46" t="e">
        <v>#VALUE!</v>
      </c>
      <c r="O18" s="46" t="e">
        <v>#VALUE!</v>
      </c>
      <c r="P18" s="45"/>
      <c r="Q18" s="45"/>
      <c r="R18" s="45"/>
    </row>
    <row r="19" spans="1:18" ht="21" customHeight="1" x14ac:dyDescent="0.15">
      <c r="A19" s="37" t="str">
        <f t="shared" si="2"/>
        <v>13301605_13301634</v>
      </c>
      <c r="B19" s="45">
        <v>13301605</v>
      </c>
      <c r="C19" s="45">
        <v>13301634</v>
      </c>
      <c r="D19" s="44" t="e">
        <v>#VALUE!</v>
      </c>
      <c r="E19" s="44" t="e">
        <v>#VALUE!</v>
      </c>
      <c r="F19" s="45">
        <v>13301634</v>
      </c>
      <c r="G19" s="46" t="e">
        <v>#VALUE!</v>
      </c>
      <c r="H19" s="46" t="e">
        <v>#VALUE!</v>
      </c>
      <c r="I19" s="46" t="e">
        <v>#VALUE!</v>
      </c>
      <c r="J19" s="46" t="e">
        <v>#VALUE!</v>
      </c>
      <c r="K19" s="46" t="e">
        <v>#VALUE!</v>
      </c>
      <c r="L19" s="46" t="e">
        <v>#VALUE!</v>
      </c>
      <c r="M19" s="46" t="e">
        <v>#VALUE!</v>
      </c>
      <c r="N19" s="46" t="e">
        <v>#VALUE!</v>
      </c>
      <c r="O19" s="46" t="e">
        <v>#VALUE!</v>
      </c>
      <c r="P19" s="45"/>
      <c r="Q19" s="45"/>
      <c r="R19" s="45"/>
    </row>
    <row r="20" spans="1:18" ht="21" customHeight="1" x14ac:dyDescent="0.15">
      <c r="A20" s="37" t="str">
        <f t="shared" ref="A20" si="3">B20&amp;"_"&amp;C20</f>
        <v>13301605_13301635</v>
      </c>
      <c r="B20" s="45">
        <v>13301605</v>
      </c>
      <c r="C20" s="45">
        <v>13301635</v>
      </c>
      <c r="D20" s="44" t="e">
        <v>#VALUE!</v>
      </c>
      <c r="E20" s="44" t="e">
        <v>#VALUE!</v>
      </c>
      <c r="F20" s="45">
        <v>13301635</v>
      </c>
      <c r="G20" s="46" t="e">
        <v>#VALUE!</v>
      </c>
      <c r="H20" s="46" t="e">
        <v>#VALUE!</v>
      </c>
      <c r="I20" s="46" t="e">
        <v>#VALUE!</v>
      </c>
      <c r="J20" s="46" t="e">
        <v>#VALUE!</v>
      </c>
      <c r="K20" s="46" t="e">
        <v>#VALUE!</v>
      </c>
      <c r="L20" s="46" t="e">
        <v>#VALUE!</v>
      </c>
      <c r="M20" s="46" t="e">
        <v>#VALUE!</v>
      </c>
      <c r="N20" s="46" t="e">
        <v>#VALUE!</v>
      </c>
      <c r="O20" s="46" t="e">
        <v>#VALUE!</v>
      </c>
      <c r="P20" s="45"/>
      <c r="Q20" s="45"/>
      <c r="R20" s="45"/>
    </row>
    <row r="21" spans="1:18" ht="21" customHeight="1" x14ac:dyDescent="0.15">
      <c r="A21" s="37" t="str">
        <f t="shared" ref="A21" si="4">B21&amp;"_"&amp;C21</f>
        <v>13301606_13301641</v>
      </c>
      <c r="B21" s="45">
        <v>13301606</v>
      </c>
      <c r="C21" s="45">
        <v>13301641</v>
      </c>
      <c r="D21" s="44" t="e">
        <v>#VALUE!</v>
      </c>
      <c r="E21" s="44" t="e">
        <v>#VALUE!</v>
      </c>
      <c r="F21" s="45">
        <v>13301641</v>
      </c>
      <c r="G21" s="46" t="e">
        <v>#VALUE!</v>
      </c>
      <c r="H21" s="46" t="e">
        <v>#VALUE!</v>
      </c>
      <c r="I21" s="46" t="e">
        <v>#VALUE!</v>
      </c>
      <c r="J21" s="46" t="e">
        <v>#VALUE!</v>
      </c>
      <c r="K21" s="46" t="e">
        <v>#VALUE!</v>
      </c>
      <c r="L21" s="46" t="e">
        <v>#VALUE!</v>
      </c>
      <c r="M21" s="46" t="e">
        <v>#VALUE!</v>
      </c>
      <c r="N21" s="46" t="e">
        <v>#VALUE!</v>
      </c>
      <c r="O21" s="46" t="e">
        <v>#VALUE!</v>
      </c>
      <c r="P21" s="45"/>
      <c r="Q21" s="45"/>
      <c r="R21" s="45"/>
    </row>
    <row r="22" spans="1:18" ht="21" customHeight="1" x14ac:dyDescent="0.15">
      <c r="A22" s="37" t="str">
        <f t="shared" ref="A22" si="5">B22&amp;"_"&amp;C22</f>
        <v>13301606_13301642</v>
      </c>
      <c r="B22" s="45">
        <v>13301606</v>
      </c>
      <c r="C22" s="45">
        <v>13301642</v>
      </c>
      <c r="D22" s="44" t="e">
        <v>#VALUE!</v>
      </c>
      <c r="E22" s="44" t="e">
        <v>#VALUE!</v>
      </c>
      <c r="F22" s="45">
        <v>13301642</v>
      </c>
      <c r="G22" s="46" t="e">
        <v>#VALUE!</v>
      </c>
      <c r="H22" s="46" t="e">
        <v>#VALUE!</v>
      </c>
      <c r="I22" s="46" t="e">
        <v>#VALUE!</v>
      </c>
      <c r="J22" s="46" t="e">
        <v>#VALUE!</v>
      </c>
      <c r="K22" s="46" t="e">
        <v>#VALUE!</v>
      </c>
      <c r="L22" s="46" t="e">
        <v>#VALUE!</v>
      </c>
      <c r="M22" s="46" t="e">
        <v>#VALUE!</v>
      </c>
      <c r="N22" s="46" t="e">
        <v>#VALUE!</v>
      </c>
      <c r="O22" s="46" t="e">
        <v>#VALUE!</v>
      </c>
      <c r="P22" s="45"/>
      <c r="Q22" s="45"/>
      <c r="R22" s="45"/>
    </row>
    <row r="23" spans="1:18" ht="21" customHeight="1" x14ac:dyDescent="0.15">
      <c r="A23" s="37" t="str">
        <f t="shared" ref="A23" si="6">B23&amp;"_"&amp;C23</f>
        <v>13301606_13301643</v>
      </c>
      <c r="B23" s="45">
        <v>13301606</v>
      </c>
      <c r="C23" s="45">
        <v>13301643</v>
      </c>
      <c r="D23" s="44" t="e">
        <v>#VALUE!</v>
      </c>
      <c r="E23" s="44" t="e">
        <v>#VALUE!</v>
      </c>
      <c r="F23" s="45">
        <v>13301643</v>
      </c>
      <c r="G23" s="46" t="e">
        <v>#VALUE!</v>
      </c>
      <c r="H23" s="46" t="e">
        <v>#VALUE!</v>
      </c>
      <c r="I23" s="46" t="e">
        <v>#VALUE!</v>
      </c>
      <c r="J23" s="46" t="e">
        <v>#VALUE!</v>
      </c>
      <c r="K23" s="46" t="e">
        <v>#VALUE!</v>
      </c>
      <c r="L23" s="46" t="e">
        <v>#VALUE!</v>
      </c>
      <c r="M23" s="46" t="e">
        <v>#VALUE!</v>
      </c>
      <c r="N23" s="46" t="e">
        <v>#VALUE!</v>
      </c>
      <c r="O23" s="46" t="e">
        <v>#VALUE!</v>
      </c>
      <c r="P23" s="45"/>
      <c r="Q23" s="45"/>
      <c r="R23" s="45"/>
    </row>
    <row r="24" spans="1:18" ht="21" customHeight="1" x14ac:dyDescent="0.15">
      <c r="A24" s="37" t="str">
        <f t="shared" ref="A24:A25" si="7">B24&amp;"_"&amp;C24</f>
        <v>13301606_13301644</v>
      </c>
      <c r="B24" s="45">
        <v>13301606</v>
      </c>
      <c r="C24" s="45">
        <v>13301644</v>
      </c>
      <c r="D24" s="44" t="e">
        <v>#VALUE!</v>
      </c>
      <c r="E24" s="44" t="e">
        <v>#VALUE!</v>
      </c>
      <c r="F24" s="45">
        <v>13301644</v>
      </c>
      <c r="G24" s="46" t="e">
        <v>#VALUE!</v>
      </c>
      <c r="H24" s="46" t="e">
        <v>#VALUE!</v>
      </c>
      <c r="I24" s="46" t="e">
        <v>#VALUE!</v>
      </c>
      <c r="J24" s="46" t="e">
        <v>#VALUE!</v>
      </c>
      <c r="K24" s="46" t="e">
        <v>#VALUE!</v>
      </c>
      <c r="L24" s="46" t="e">
        <v>#VALUE!</v>
      </c>
      <c r="M24" s="46" t="e">
        <v>#VALUE!</v>
      </c>
      <c r="N24" s="46" t="e">
        <v>#VALUE!</v>
      </c>
      <c r="O24" s="46" t="e">
        <v>#VALUE!</v>
      </c>
      <c r="P24" s="45"/>
      <c r="Q24" s="45"/>
      <c r="R24" s="45"/>
    </row>
    <row r="25" spans="1:18" ht="21" customHeight="1" x14ac:dyDescent="0.15">
      <c r="A25" s="37" t="str">
        <f t="shared" si="7"/>
        <v>13301606_13301645</v>
      </c>
      <c r="B25" s="45">
        <v>13301606</v>
      </c>
      <c r="C25" s="45">
        <v>13301645</v>
      </c>
      <c r="D25" s="44" t="e">
        <v>#VALUE!</v>
      </c>
      <c r="E25" s="44" t="e">
        <v>#VALUE!</v>
      </c>
      <c r="F25" s="45">
        <v>13301645</v>
      </c>
      <c r="G25" s="46" t="e">
        <v>#VALUE!</v>
      </c>
      <c r="H25" s="46" t="e">
        <v>#VALUE!</v>
      </c>
      <c r="I25" s="46" t="e">
        <v>#VALUE!</v>
      </c>
      <c r="J25" s="46" t="e">
        <v>#VALUE!</v>
      </c>
      <c r="K25" s="46" t="e">
        <v>#VALUE!</v>
      </c>
      <c r="L25" s="46" t="e">
        <v>#VALUE!</v>
      </c>
      <c r="M25" s="46" t="e">
        <v>#VALUE!</v>
      </c>
      <c r="N25" s="46" t="e">
        <v>#VALUE!</v>
      </c>
      <c r="O25" s="46" t="e">
        <v>#VALUE!</v>
      </c>
      <c r="P25" s="45"/>
      <c r="Q25" s="45"/>
      <c r="R25" s="45"/>
    </row>
    <row r="26" spans="1:18" ht="21" customHeight="1" x14ac:dyDescent="0.15">
      <c r="A26" s="37" t="s">
        <v>261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5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0" t="s">
        <v>70</v>
      </c>
      <c r="G1" s="50" t="s">
        <v>71</v>
      </c>
      <c r="H1" s="40" t="s">
        <v>72</v>
      </c>
      <c r="I1" s="40" t="s">
        <v>73</v>
      </c>
      <c r="J1" s="40" t="s">
        <v>74</v>
      </c>
      <c r="K1" s="51" t="s">
        <v>87</v>
      </c>
    </row>
    <row r="2" spans="1:11" ht="21" customHeight="1" x14ac:dyDescent="0.15">
      <c r="A2" s="45">
        <v>13301601</v>
      </c>
      <c r="B2" s="45">
        <v>1</v>
      </c>
      <c r="C2" s="45" t="s">
        <v>88</v>
      </c>
      <c r="D2" s="45">
        <v>100</v>
      </c>
      <c r="E2" s="45" t="s">
        <v>88</v>
      </c>
      <c r="F2" s="45" t="s">
        <v>88</v>
      </c>
      <c r="G2" s="45">
        <v>1</v>
      </c>
      <c r="H2" s="45" t="s">
        <v>88</v>
      </c>
      <c r="I2" s="45" t="s">
        <v>88</v>
      </c>
      <c r="J2" s="46">
        <f t="shared" ref="J2" si="0">D2</f>
        <v>100</v>
      </c>
    </row>
    <row r="3" spans="1:11" ht="21" customHeight="1" x14ac:dyDescent="0.15">
      <c r="A3" s="45">
        <v>13301602</v>
      </c>
      <c r="B3" s="45">
        <v>0</v>
      </c>
      <c r="C3" s="45" t="s">
        <v>88</v>
      </c>
      <c r="D3" s="45">
        <v>100</v>
      </c>
      <c r="E3" s="45" t="s">
        <v>88</v>
      </c>
      <c r="F3" s="45" t="s">
        <v>88</v>
      </c>
      <c r="G3" s="45" t="s">
        <v>88</v>
      </c>
      <c r="H3" s="45" t="s">
        <v>88</v>
      </c>
      <c r="I3" s="45" t="s">
        <v>88</v>
      </c>
      <c r="J3" s="46">
        <f t="shared" ref="J3:J25" si="1">D3</f>
        <v>100</v>
      </c>
    </row>
    <row r="4" spans="1:11" ht="21" customHeight="1" x14ac:dyDescent="0.15">
      <c r="A4" s="45">
        <v>13301603</v>
      </c>
      <c r="B4" s="45">
        <v>0</v>
      </c>
      <c r="C4" s="45" t="s">
        <v>88</v>
      </c>
      <c r="D4" s="45">
        <v>100</v>
      </c>
      <c r="E4" s="45" t="s">
        <v>88</v>
      </c>
      <c r="F4" s="45" t="s">
        <v>88</v>
      </c>
      <c r="G4" s="45" t="s">
        <v>88</v>
      </c>
      <c r="H4" s="45">
        <v>3</v>
      </c>
      <c r="I4" s="45" t="s">
        <v>88</v>
      </c>
      <c r="J4" s="46">
        <f t="shared" si="1"/>
        <v>100</v>
      </c>
    </row>
    <row r="5" spans="1:11" ht="21" customHeight="1" x14ac:dyDescent="0.15">
      <c r="A5" s="45">
        <v>13301604</v>
      </c>
      <c r="B5" s="45">
        <v>1</v>
      </c>
      <c r="C5" s="45" t="s">
        <v>88</v>
      </c>
      <c r="D5" s="45">
        <v>100</v>
      </c>
      <c r="E5" s="45" t="s">
        <v>88</v>
      </c>
      <c r="F5" s="45" t="s">
        <v>88</v>
      </c>
      <c r="G5" s="45">
        <v>1</v>
      </c>
      <c r="H5" s="45" t="s">
        <v>88</v>
      </c>
      <c r="I5" s="45" t="s">
        <v>88</v>
      </c>
      <c r="J5" s="46">
        <f t="shared" si="1"/>
        <v>100</v>
      </c>
    </row>
    <row r="6" spans="1:11" ht="21" customHeight="1" x14ac:dyDescent="0.15">
      <c r="A6" s="45">
        <v>13301605</v>
      </c>
      <c r="B6" s="45">
        <v>0</v>
      </c>
      <c r="C6" s="45" t="s">
        <v>88</v>
      </c>
      <c r="D6" s="45">
        <v>100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6">
        <f t="shared" si="1"/>
        <v>100</v>
      </c>
    </row>
    <row r="7" spans="1:11" ht="21" customHeight="1" x14ac:dyDescent="0.15">
      <c r="A7" s="45">
        <v>13301606</v>
      </c>
      <c r="B7" s="45">
        <v>0</v>
      </c>
      <c r="C7" s="45" t="s">
        <v>88</v>
      </c>
      <c r="D7" s="45">
        <v>100</v>
      </c>
      <c r="E7" s="45" t="s">
        <v>88</v>
      </c>
      <c r="F7" s="45" t="s">
        <v>88</v>
      </c>
      <c r="G7" s="45" t="s">
        <v>88</v>
      </c>
      <c r="H7" s="45">
        <v>3</v>
      </c>
      <c r="I7" s="45" t="s">
        <v>88</v>
      </c>
      <c r="J7" s="46">
        <f t="shared" si="1"/>
        <v>100</v>
      </c>
    </row>
    <row r="8" spans="1:11" ht="21" customHeight="1" x14ac:dyDescent="0.15">
      <c r="A8" s="45">
        <v>13301611</v>
      </c>
      <c r="B8" s="109">
        <v>1</v>
      </c>
      <c r="C8" s="109">
        <v>100</v>
      </c>
      <c r="D8" s="109">
        <v>100</v>
      </c>
      <c r="E8" s="109" t="s">
        <v>88</v>
      </c>
      <c r="F8" s="109" t="s">
        <v>88</v>
      </c>
      <c r="G8" s="109">
        <v>1</v>
      </c>
      <c r="H8" s="109" t="s">
        <v>88</v>
      </c>
      <c r="I8" s="109" t="s">
        <v>88</v>
      </c>
      <c r="J8" s="46">
        <f t="shared" si="1"/>
        <v>100</v>
      </c>
    </row>
    <row r="9" spans="1:11" ht="21" customHeight="1" x14ac:dyDescent="0.15">
      <c r="A9" s="45">
        <v>13301612</v>
      </c>
      <c r="B9" s="109">
        <v>0</v>
      </c>
      <c r="C9" s="109">
        <v>90</v>
      </c>
      <c r="D9" s="109">
        <v>100</v>
      </c>
      <c r="E9" s="109" t="s">
        <v>88</v>
      </c>
      <c r="F9" s="109" t="s">
        <v>88</v>
      </c>
      <c r="G9" s="109">
        <v>1</v>
      </c>
      <c r="H9" s="109">
        <v>1</v>
      </c>
      <c r="I9" s="109" t="s">
        <v>88</v>
      </c>
      <c r="J9" s="46">
        <f t="shared" si="1"/>
        <v>100</v>
      </c>
    </row>
    <row r="10" spans="1:11" ht="21" customHeight="1" x14ac:dyDescent="0.15">
      <c r="A10" s="45">
        <v>13301613</v>
      </c>
      <c r="B10" s="109">
        <v>0</v>
      </c>
      <c r="C10" s="109">
        <v>80</v>
      </c>
      <c r="D10" s="109">
        <v>100</v>
      </c>
      <c r="E10" s="109" t="s">
        <v>88</v>
      </c>
      <c r="F10" s="109" t="s">
        <v>88</v>
      </c>
      <c r="G10" s="109" t="s">
        <v>88</v>
      </c>
      <c r="H10" s="109" t="s">
        <v>88</v>
      </c>
      <c r="I10" s="109" t="s">
        <v>88</v>
      </c>
      <c r="J10" s="46">
        <f t="shared" si="1"/>
        <v>100</v>
      </c>
    </row>
    <row r="11" spans="1:11" ht="21" customHeight="1" x14ac:dyDescent="0.15">
      <c r="A11" s="45">
        <v>13301621</v>
      </c>
      <c r="B11" s="101">
        <v>0</v>
      </c>
      <c r="C11" s="101">
        <v>100</v>
      </c>
      <c r="D11" s="101">
        <v>100</v>
      </c>
      <c r="E11" s="101" t="s">
        <v>88</v>
      </c>
      <c r="F11" s="101" t="s">
        <v>88</v>
      </c>
      <c r="G11" s="101">
        <v>1</v>
      </c>
      <c r="H11" s="101">
        <v>1</v>
      </c>
      <c r="I11" s="101" t="s">
        <v>88</v>
      </c>
      <c r="J11" s="46">
        <f t="shared" si="1"/>
        <v>100</v>
      </c>
    </row>
    <row r="12" spans="1:11" ht="21" customHeight="1" x14ac:dyDescent="0.15">
      <c r="A12" s="45">
        <v>13301622</v>
      </c>
      <c r="B12" s="101">
        <v>0</v>
      </c>
      <c r="C12" s="101">
        <v>90</v>
      </c>
      <c r="D12" s="101">
        <v>100</v>
      </c>
      <c r="E12" s="101" t="s">
        <v>88</v>
      </c>
      <c r="F12" s="101" t="s">
        <v>88</v>
      </c>
      <c r="G12" s="101">
        <v>1</v>
      </c>
      <c r="H12" s="101">
        <v>2</v>
      </c>
      <c r="I12" s="101" t="s">
        <v>88</v>
      </c>
      <c r="J12" s="46">
        <f t="shared" si="1"/>
        <v>100</v>
      </c>
    </row>
    <row r="13" spans="1:11" ht="21" customHeight="1" x14ac:dyDescent="0.15">
      <c r="A13" s="45">
        <v>13301623</v>
      </c>
      <c r="B13" s="101">
        <v>0</v>
      </c>
      <c r="C13" s="101">
        <v>80</v>
      </c>
      <c r="D13" s="101">
        <v>100</v>
      </c>
      <c r="E13" s="101" t="s">
        <v>88</v>
      </c>
      <c r="F13" s="101" t="s">
        <v>88</v>
      </c>
      <c r="G13" s="101">
        <v>1</v>
      </c>
      <c r="H13" s="101">
        <v>3</v>
      </c>
      <c r="I13" s="101" t="s">
        <v>88</v>
      </c>
      <c r="J13" s="46">
        <f t="shared" si="1"/>
        <v>100</v>
      </c>
    </row>
    <row r="14" spans="1:11" ht="21" customHeight="1" x14ac:dyDescent="0.15">
      <c r="A14" s="45">
        <v>13301624</v>
      </c>
      <c r="B14" s="101">
        <v>0</v>
      </c>
      <c r="C14" s="101">
        <v>70</v>
      </c>
      <c r="D14" s="101">
        <v>100</v>
      </c>
      <c r="E14" s="101" t="s">
        <v>88</v>
      </c>
      <c r="F14" s="101" t="s">
        <v>88</v>
      </c>
      <c r="G14" s="101">
        <v>1</v>
      </c>
      <c r="H14" s="101">
        <v>4</v>
      </c>
      <c r="I14" s="101" t="s">
        <v>88</v>
      </c>
      <c r="J14" s="46">
        <f t="shared" si="1"/>
        <v>100</v>
      </c>
    </row>
    <row r="15" spans="1:11" ht="21" customHeight="1" x14ac:dyDescent="0.15">
      <c r="A15" s="45">
        <v>13301625</v>
      </c>
      <c r="B15" s="101">
        <v>0</v>
      </c>
      <c r="C15" s="101">
        <v>60</v>
      </c>
      <c r="D15" s="101">
        <v>100</v>
      </c>
      <c r="E15" s="101" t="s">
        <v>88</v>
      </c>
      <c r="F15" s="101" t="s">
        <v>88</v>
      </c>
      <c r="G15" s="101">
        <v>1</v>
      </c>
      <c r="H15" s="101">
        <v>5</v>
      </c>
      <c r="I15" s="101" t="s">
        <v>88</v>
      </c>
      <c r="J15" s="46">
        <f t="shared" si="1"/>
        <v>100</v>
      </c>
    </row>
    <row r="16" spans="1:11" ht="21" customHeight="1" x14ac:dyDescent="0.15">
      <c r="A16" s="45">
        <v>13301631</v>
      </c>
      <c r="B16" s="104">
        <v>1</v>
      </c>
      <c r="C16" s="104">
        <v>100</v>
      </c>
      <c r="D16" s="104">
        <v>100</v>
      </c>
      <c r="E16" s="104" t="s">
        <v>88</v>
      </c>
      <c r="F16" s="104" t="s">
        <v>88</v>
      </c>
      <c r="G16" s="104">
        <v>1</v>
      </c>
      <c r="H16" s="104" t="s">
        <v>88</v>
      </c>
      <c r="I16" s="104" t="s">
        <v>88</v>
      </c>
      <c r="J16" s="46">
        <f t="shared" si="1"/>
        <v>100</v>
      </c>
    </row>
    <row r="17" spans="1:10" ht="21" customHeight="1" x14ac:dyDescent="0.15">
      <c r="A17" s="45">
        <v>13301632</v>
      </c>
      <c r="B17" s="104">
        <v>0</v>
      </c>
      <c r="C17" s="104">
        <v>90</v>
      </c>
      <c r="D17" s="104">
        <v>100</v>
      </c>
      <c r="E17" s="104" t="s">
        <v>88</v>
      </c>
      <c r="F17" s="104" t="s">
        <v>88</v>
      </c>
      <c r="G17" s="104">
        <v>1</v>
      </c>
      <c r="H17" s="104">
        <v>1</v>
      </c>
      <c r="I17" s="104" t="s">
        <v>88</v>
      </c>
      <c r="J17" s="46">
        <f t="shared" si="1"/>
        <v>100</v>
      </c>
    </row>
    <row r="18" spans="1:10" ht="21" customHeight="1" x14ac:dyDescent="0.15">
      <c r="A18" s="45">
        <v>13301633</v>
      </c>
      <c r="B18" s="104">
        <v>0</v>
      </c>
      <c r="C18" s="104">
        <v>80</v>
      </c>
      <c r="D18" s="104">
        <v>100</v>
      </c>
      <c r="E18" s="104" t="s">
        <v>88</v>
      </c>
      <c r="F18" s="104" t="s">
        <v>88</v>
      </c>
      <c r="G18" s="104">
        <v>1</v>
      </c>
      <c r="H18" s="104">
        <v>2</v>
      </c>
      <c r="I18" s="104" t="s">
        <v>88</v>
      </c>
      <c r="J18" s="46">
        <f t="shared" si="1"/>
        <v>100</v>
      </c>
    </row>
    <row r="19" spans="1:10" ht="21" customHeight="1" x14ac:dyDescent="0.15">
      <c r="A19" s="45">
        <v>13301634</v>
      </c>
      <c r="B19" s="104">
        <v>0</v>
      </c>
      <c r="C19" s="104">
        <v>70</v>
      </c>
      <c r="D19" s="104">
        <v>100</v>
      </c>
      <c r="E19" s="104" t="s">
        <v>88</v>
      </c>
      <c r="F19" s="104" t="s">
        <v>88</v>
      </c>
      <c r="G19" s="104" t="s">
        <v>88</v>
      </c>
      <c r="H19" s="104" t="s">
        <v>88</v>
      </c>
      <c r="I19" s="104" t="s">
        <v>88</v>
      </c>
      <c r="J19" s="46">
        <f t="shared" si="1"/>
        <v>100</v>
      </c>
    </row>
    <row r="20" spans="1:10" ht="21" customHeight="1" x14ac:dyDescent="0.15">
      <c r="A20" s="45">
        <v>13301635</v>
      </c>
      <c r="B20" s="104">
        <v>0</v>
      </c>
      <c r="C20" s="104">
        <v>60</v>
      </c>
      <c r="D20" s="104">
        <v>100</v>
      </c>
      <c r="E20" s="104" t="s">
        <v>88</v>
      </c>
      <c r="F20" s="104" t="s">
        <v>88</v>
      </c>
      <c r="G20" s="104">
        <v>1</v>
      </c>
      <c r="H20" s="104" t="s">
        <v>88</v>
      </c>
      <c r="I20" s="104">
        <v>322</v>
      </c>
      <c r="J20" s="46">
        <f t="shared" si="1"/>
        <v>100</v>
      </c>
    </row>
    <row r="21" spans="1:10" ht="21" customHeight="1" x14ac:dyDescent="0.15">
      <c r="A21" s="45">
        <v>13301641</v>
      </c>
      <c r="B21" s="110">
        <v>0</v>
      </c>
      <c r="C21" s="110">
        <v>10</v>
      </c>
      <c r="D21" s="110">
        <v>100</v>
      </c>
      <c r="E21" s="110" t="s">
        <v>88</v>
      </c>
      <c r="F21" s="110" t="s">
        <v>88</v>
      </c>
      <c r="G21" s="110">
        <v>1</v>
      </c>
      <c r="H21" s="110">
        <v>1</v>
      </c>
      <c r="I21" s="110" t="s">
        <v>88</v>
      </c>
      <c r="J21" s="46">
        <f t="shared" si="1"/>
        <v>100</v>
      </c>
    </row>
    <row r="22" spans="1:10" ht="21" customHeight="1" x14ac:dyDescent="0.15">
      <c r="A22" s="45">
        <v>13301642</v>
      </c>
      <c r="B22" s="110">
        <v>0</v>
      </c>
      <c r="C22" s="110">
        <v>9</v>
      </c>
      <c r="D22" s="110">
        <v>100</v>
      </c>
      <c r="E22" s="110" t="s">
        <v>88</v>
      </c>
      <c r="F22" s="110" t="s">
        <v>88</v>
      </c>
      <c r="G22" s="110">
        <v>1</v>
      </c>
      <c r="H22" s="110">
        <v>2</v>
      </c>
      <c r="I22" s="110" t="s">
        <v>88</v>
      </c>
      <c r="J22" s="46">
        <f t="shared" si="1"/>
        <v>100</v>
      </c>
    </row>
    <row r="23" spans="1:10" ht="21" customHeight="1" x14ac:dyDescent="0.15">
      <c r="A23" s="45">
        <v>13301643</v>
      </c>
      <c r="B23" s="110">
        <v>0</v>
      </c>
      <c r="C23" s="110">
        <v>8</v>
      </c>
      <c r="D23" s="110">
        <v>100</v>
      </c>
      <c r="E23" s="110" t="s">
        <v>88</v>
      </c>
      <c r="F23" s="110" t="s">
        <v>88</v>
      </c>
      <c r="G23" s="110">
        <v>1</v>
      </c>
      <c r="H23" s="110">
        <v>3</v>
      </c>
      <c r="I23" s="110" t="s">
        <v>88</v>
      </c>
      <c r="J23" s="46">
        <f t="shared" si="1"/>
        <v>100</v>
      </c>
    </row>
    <row r="24" spans="1:10" ht="21" customHeight="1" x14ac:dyDescent="0.15">
      <c r="A24" s="45">
        <v>13301644</v>
      </c>
      <c r="B24" s="110">
        <v>0</v>
      </c>
      <c r="C24" s="110">
        <v>7</v>
      </c>
      <c r="D24" s="110">
        <v>100</v>
      </c>
      <c r="E24" s="110" t="s">
        <v>88</v>
      </c>
      <c r="F24" s="110" t="s">
        <v>88</v>
      </c>
      <c r="G24" s="110">
        <v>1</v>
      </c>
      <c r="H24" s="110">
        <v>4</v>
      </c>
      <c r="I24" s="110" t="s">
        <v>88</v>
      </c>
      <c r="J24" s="46">
        <f t="shared" si="1"/>
        <v>100</v>
      </c>
    </row>
    <row r="25" spans="1:10" ht="21" customHeight="1" x14ac:dyDescent="0.15">
      <c r="A25" s="45">
        <v>13301645</v>
      </c>
      <c r="B25" s="110">
        <v>0</v>
      </c>
      <c r="C25" s="110">
        <v>6</v>
      </c>
      <c r="D25" s="110">
        <v>100</v>
      </c>
      <c r="E25" s="110" t="s">
        <v>88</v>
      </c>
      <c r="F25" s="110" t="s">
        <v>88</v>
      </c>
      <c r="G25" s="110">
        <v>1</v>
      </c>
      <c r="H25" s="110">
        <v>5</v>
      </c>
      <c r="I25" s="110" t="s">
        <v>88</v>
      </c>
      <c r="J25" s="46">
        <f t="shared" si="1"/>
        <v>100</v>
      </c>
    </row>
  </sheetData>
  <autoFilter ref="A1:G1"/>
  <phoneticPr fontId="5"/>
  <conditionalFormatting sqref="K3">
    <cfRule type="duplicateValues" dxfId="24" priority="30"/>
  </conditionalFormatting>
  <conditionalFormatting sqref="K4">
    <cfRule type="duplicateValues" dxfId="23" priority="29"/>
  </conditionalFormatting>
  <conditionalFormatting sqref="K5">
    <cfRule type="duplicateValues" dxfId="22" priority="28"/>
  </conditionalFormatting>
  <conditionalFormatting sqref="K6">
    <cfRule type="duplicateValues" dxfId="21" priority="27"/>
  </conditionalFormatting>
  <conditionalFormatting sqref="K7">
    <cfRule type="duplicateValues" dxfId="20" priority="26"/>
  </conditionalFormatting>
  <conditionalFormatting sqref="K8">
    <cfRule type="duplicateValues" dxfId="19" priority="25"/>
  </conditionalFormatting>
  <conditionalFormatting sqref="K9">
    <cfRule type="duplicateValues" dxfId="18" priority="24"/>
  </conditionalFormatting>
  <conditionalFormatting sqref="K10">
    <cfRule type="duplicateValues" dxfId="17" priority="23"/>
  </conditionalFormatting>
  <conditionalFormatting sqref="K11">
    <cfRule type="duplicateValues" dxfId="16" priority="22"/>
  </conditionalFormatting>
  <conditionalFormatting sqref="K12">
    <cfRule type="duplicateValues" dxfId="15" priority="21"/>
  </conditionalFormatting>
  <conditionalFormatting sqref="K13">
    <cfRule type="duplicateValues" dxfId="14" priority="20"/>
  </conditionalFormatting>
  <conditionalFormatting sqref="K14">
    <cfRule type="duplicateValues" dxfId="13" priority="19"/>
  </conditionalFormatting>
  <conditionalFormatting sqref="K15">
    <cfRule type="duplicateValues" dxfId="12" priority="18"/>
  </conditionalFormatting>
  <conditionalFormatting sqref="K16">
    <cfRule type="duplicateValues" dxfId="11" priority="17"/>
  </conditionalFormatting>
  <conditionalFormatting sqref="K17">
    <cfRule type="duplicateValues" dxfId="10" priority="16"/>
  </conditionalFormatting>
  <conditionalFormatting sqref="K18">
    <cfRule type="duplicateValues" dxfId="9" priority="15"/>
  </conditionalFormatting>
  <conditionalFormatting sqref="K19">
    <cfRule type="duplicateValues" dxfId="8" priority="14"/>
  </conditionalFormatting>
  <conditionalFormatting sqref="K23">
    <cfRule type="duplicateValues" dxfId="7" priority="11"/>
  </conditionalFormatting>
  <conditionalFormatting sqref="K24">
    <cfRule type="duplicateValues" dxfId="6" priority="10"/>
  </conditionalFormatting>
  <conditionalFormatting sqref="K25">
    <cfRule type="duplicateValues" dxfId="5" priority="9"/>
  </conditionalFormatting>
  <conditionalFormatting sqref="K22">
    <cfRule type="duplicateValues" dxfId="4" priority="33"/>
  </conditionalFormatting>
  <conditionalFormatting sqref="K21">
    <cfRule type="duplicateValues" dxfId="3" priority="3"/>
  </conditionalFormatting>
  <conditionalFormatting sqref="K20">
    <cfRule type="duplicateValues" dxfId="2" priority="2"/>
  </conditionalFormatting>
  <conditionalFormatting sqref="K26:K1048576 K1">
    <cfRule type="duplicateValues" dxfId="1" priority="34"/>
  </conditionalFormatting>
  <conditionalFormatting sqref="K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9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4">
        <v>13302</v>
      </c>
      <c r="B2" s="54">
        <v>9</v>
      </c>
      <c r="C2" s="68" t="str">
        <f>A2&amp; "_"&amp;B2</f>
        <v>13302_9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4">
        <v>1</v>
      </c>
      <c r="F2" s="54" t="s">
        <v>249</v>
      </c>
      <c r="G2" s="54">
        <v>123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20</v>
      </c>
      <c r="Q2" s="54" t="s">
        <v>166</v>
      </c>
      <c r="R2" s="54" t="s">
        <v>167</v>
      </c>
    </row>
    <row r="3" spans="1:18" x14ac:dyDescent="0.15">
      <c r="A3" s="54">
        <v>13302</v>
      </c>
      <c r="B3" s="54">
        <v>9</v>
      </c>
      <c r="C3" s="68" t="str">
        <f t="shared" ref="C3:C5" si="0">A3&amp; "_"&amp;B3</f>
        <v>13302_9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4">
        <v>2</v>
      </c>
      <c r="F3" s="54" t="s">
        <v>249</v>
      </c>
      <c r="G3" s="54">
        <v>609</v>
      </c>
      <c r="H3" s="54">
        <v>1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80</v>
      </c>
      <c r="Q3" s="54" t="s">
        <v>166</v>
      </c>
      <c r="R3" s="54" t="s">
        <v>167</v>
      </c>
    </row>
    <row r="4" spans="1:18" x14ac:dyDescent="0.15">
      <c r="A4" s="54">
        <v>13302</v>
      </c>
      <c r="B4" s="54">
        <v>9</v>
      </c>
      <c r="C4" s="68" t="str">
        <f t="shared" si="0"/>
        <v>13302_9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4">
        <v>3</v>
      </c>
      <c r="F4" s="54" t="s">
        <v>249</v>
      </c>
      <c r="G4" s="54">
        <v>613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120</v>
      </c>
      <c r="Q4" s="54" t="s">
        <v>166</v>
      </c>
      <c r="R4" s="54" t="s">
        <v>167</v>
      </c>
    </row>
    <row r="5" spans="1:18" x14ac:dyDescent="0.15">
      <c r="A5" s="54">
        <v>13302</v>
      </c>
      <c r="B5" s="54">
        <v>9</v>
      </c>
      <c r="C5" s="68" t="str">
        <f t="shared" si="0"/>
        <v>13302_9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4">
        <v>4</v>
      </c>
      <c r="F5" s="54" t="s">
        <v>249</v>
      </c>
      <c r="G5" s="54">
        <v>125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40</v>
      </c>
      <c r="Q5" s="54" t="s">
        <v>166</v>
      </c>
      <c r="R5" s="54" t="s">
        <v>167</v>
      </c>
    </row>
    <row r="6" spans="1:18" x14ac:dyDescent="0.15">
      <c r="A6" s="54">
        <v>13302</v>
      </c>
      <c r="B6" s="54">
        <v>9</v>
      </c>
      <c r="C6" s="68" t="str">
        <f t="shared" ref="C6" si="1">A6&amp; "_"&amp;B6</f>
        <v>13302_9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4">
        <v>5</v>
      </c>
      <c r="F6" s="54" t="s">
        <v>249</v>
      </c>
      <c r="G6" s="54">
        <v>610</v>
      </c>
      <c r="H6" s="54">
        <v>1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40</v>
      </c>
      <c r="Q6" s="54" t="s">
        <v>166</v>
      </c>
      <c r="R6" s="54" t="s">
        <v>167</v>
      </c>
    </row>
    <row r="7" spans="1:18" x14ac:dyDescent="0.15">
      <c r="A7" s="54">
        <v>13302</v>
      </c>
      <c r="B7" s="54">
        <v>9</v>
      </c>
      <c r="C7" s="68" t="str">
        <f t="shared" ref="C7:C9" si="2">A7&amp; "_"&amp;B7</f>
        <v>13302_9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4">
        <v>6</v>
      </c>
      <c r="F7" s="54" t="s">
        <v>250</v>
      </c>
      <c r="G7" s="54">
        <v>500</v>
      </c>
      <c r="H7" s="54" t="s">
        <v>251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370</v>
      </c>
      <c r="Q7" s="54" t="s">
        <v>166</v>
      </c>
      <c r="R7" s="54" t="s">
        <v>167</v>
      </c>
    </row>
    <row r="8" spans="1:18" x14ac:dyDescent="0.15">
      <c r="A8" s="54">
        <v>13302</v>
      </c>
      <c r="B8" s="54">
        <v>9</v>
      </c>
      <c r="C8" s="68" t="str">
        <f t="shared" si="2"/>
        <v>13302_9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4">
        <v>7</v>
      </c>
      <c r="F8" s="54" t="s">
        <v>249</v>
      </c>
      <c r="G8" s="54">
        <v>338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20</v>
      </c>
      <c r="Q8" s="54" t="s">
        <v>166</v>
      </c>
      <c r="R8" s="54" t="s">
        <v>167</v>
      </c>
    </row>
    <row r="9" spans="1:18" x14ac:dyDescent="0.15">
      <c r="A9" s="54">
        <v>13302</v>
      </c>
      <c r="B9" s="54">
        <v>9</v>
      </c>
      <c r="C9" s="68" t="str">
        <f t="shared" si="2"/>
        <v>13302_9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4">
        <v>8</v>
      </c>
      <c r="F9" s="54" t="s">
        <v>249</v>
      </c>
      <c r="G9" s="54">
        <v>339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310</v>
      </c>
      <c r="Q9" s="54" t="s">
        <v>166</v>
      </c>
      <c r="R9" s="54" t="s">
        <v>167</v>
      </c>
    </row>
  </sheetData>
  <phoneticPr fontId="5"/>
  <dataValidations count="1">
    <dataValidation type="list" allowBlank="1" showInputMessage="1" showErrorMessage="1" sqref="F2:F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184</v>
      </c>
      <c r="B1" s="70" t="s">
        <v>185</v>
      </c>
      <c r="C1" s="74" t="s">
        <v>186</v>
      </c>
      <c r="D1" s="74" t="s">
        <v>33</v>
      </c>
      <c r="E1" s="70" t="s">
        <v>187</v>
      </c>
      <c r="F1" s="74" t="s">
        <v>188</v>
      </c>
      <c r="G1" s="74" t="s">
        <v>33</v>
      </c>
      <c r="H1" s="70" t="s">
        <v>189</v>
      </c>
      <c r="I1" s="87" t="s">
        <v>191</v>
      </c>
      <c r="J1" s="76" t="s">
        <v>125</v>
      </c>
      <c r="K1" s="75" t="s">
        <v>183</v>
      </c>
      <c r="L1" s="88" t="s">
        <v>182</v>
      </c>
      <c r="M1" s="77" t="s">
        <v>192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9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3" t="s">
        <v>184</v>
      </c>
      <c r="B1" s="70" t="s">
        <v>148</v>
      </c>
      <c r="C1" s="74" t="s">
        <v>186</v>
      </c>
      <c r="D1" s="74" t="s">
        <v>33</v>
      </c>
      <c r="E1" s="70" t="s">
        <v>187</v>
      </c>
      <c r="F1" s="74" t="s">
        <v>18</v>
      </c>
      <c r="G1" s="74" t="s">
        <v>33</v>
      </c>
      <c r="H1" s="70" t="s">
        <v>189</v>
      </c>
      <c r="I1" s="85" t="s">
        <v>190</v>
      </c>
      <c r="J1" s="87" t="s">
        <v>191</v>
      </c>
      <c r="K1" s="76" t="s">
        <v>125</v>
      </c>
      <c r="L1" s="75" t="s">
        <v>183</v>
      </c>
      <c r="M1" s="88" t="s">
        <v>182</v>
      </c>
      <c r="N1" s="77" t="s">
        <v>192</v>
      </c>
    </row>
    <row r="2" spans="1:15" ht="70" x14ac:dyDescent="0.15">
      <c r="A2" s="78" t="s">
        <v>193</v>
      </c>
      <c r="B2" s="79">
        <v>13302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9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>
        <v>1</v>
      </c>
      <c r="I2" s="86">
        <f t="shared" ref="I2:I9" si="0">ROW()-1</f>
        <v>1</v>
      </c>
      <c r="J2" s="107">
        <v>13302600</v>
      </c>
      <c r="K2" s="81" t="s">
        <v>194</v>
      </c>
      <c r="L2" s="83" t="s">
        <v>195</v>
      </c>
      <c r="M2" s="108" t="s">
        <v>255</v>
      </c>
      <c r="N2" s="54" t="s">
        <v>196</v>
      </c>
      <c r="O2">
        <f>LEN(M2)</f>
        <v>61</v>
      </c>
    </row>
    <row r="3" spans="1:15" ht="56" x14ac:dyDescent="0.15">
      <c r="A3" s="78" t="s">
        <v>193</v>
      </c>
      <c r="B3" s="79">
        <v>13302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9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>
        <v>1</v>
      </c>
      <c r="I3" s="86">
        <f t="shared" si="0"/>
        <v>2</v>
      </c>
      <c r="J3" s="107">
        <v>13302601</v>
      </c>
      <c r="K3" s="81" t="s">
        <v>194</v>
      </c>
      <c r="L3" s="83" t="s">
        <v>195</v>
      </c>
      <c r="M3" s="108" t="s">
        <v>248</v>
      </c>
      <c r="N3" s="54" t="s">
        <v>196</v>
      </c>
      <c r="O3">
        <f t="shared" ref="O3:O5" si="1">LEN(M3)</f>
        <v>42</v>
      </c>
    </row>
    <row r="4" spans="1:15" ht="56" x14ac:dyDescent="0.15">
      <c r="A4" s="78" t="s">
        <v>193</v>
      </c>
      <c r="B4" s="79">
        <v>13302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1">
        <v>9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2">
        <v>2</v>
      </c>
      <c r="I4" s="86">
        <f t="shared" si="0"/>
        <v>3</v>
      </c>
      <c r="J4" s="107">
        <v>13302602</v>
      </c>
      <c r="K4" s="81" t="s">
        <v>194</v>
      </c>
      <c r="L4" s="83" t="s">
        <v>195</v>
      </c>
      <c r="M4" s="108" t="s">
        <v>256</v>
      </c>
      <c r="N4" s="54" t="s">
        <v>196</v>
      </c>
      <c r="O4">
        <f t="shared" si="1"/>
        <v>56</v>
      </c>
    </row>
    <row r="5" spans="1:15" ht="56" x14ac:dyDescent="0.15">
      <c r="A5" s="78" t="s">
        <v>193</v>
      </c>
      <c r="B5" s="79">
        <v>13302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1">
        <v>9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2">
        <v>2</v>
      </c>
      <c r="I5" s="86">
        <f t="shared" si="0"/>
        <v>4</v>
      </c>
      <c r="J5" s="107">
        <v>13302603</v>
      </c>
      <c r="K5" s="81" t="s">
        <v>194</v>
      </c>
      <c r="L5" s="83" t="s">
        <v>195</v>
      </c>
      <c r="M5" s="108" t="s">
        <v>257</v>
      </c>
      <c r="N5" s="54" t="s">
        <v>196</v>
      </c>
      <c r="O5">
        <f t="shared" si="1"/>
        <v>51</v>
      </c>
    </row>
    <row r="6" spans="1:15" ht="42" x14ac:dyDescent="0.15">
      <c r="A6" s="78" t="s">
        <v>193</v>
      </c>
      <c r="B6" s="79">
        <v>13302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1">
        <v>9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2">
        <v>2</v>
      </c>
      <c r="I6" s="86">
        <f t="shared" si="0"/>
        <v>5</v>
      </c>
      <c r="J6" s="107">
        <v>13302604</v>
      </c>
      <c r="K6" s="81" t="s">
        <v>194</v>
      </c>
      <c r="L6" s="83" t="s">
        <v>195</v>
      </c>
      <c r="M6" s="108" t="s">
        <v>326</v>
      </c>
      <c r="N6" s="54" t="s">
        <v>196</v>
      </c>
      <c r="O6">
        <f t="shared" ref="O6" si="2">LEN(M6)</f>
        <v>50</v>
      </c>
    </row>
    <row r="7" spans="1:15" ht="56" x14ac:dyDescent="0.15">
      <c r="A7" s="78" t="s">
        <v>193</v>
      </c>
      <c r="B7" s="79">
        <v>13302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1">
        <v>9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2">
        <v>3</v>
      </c>
      <c r="I7" s="86">
        <f t="shared" si="0"/>
        <v>6</v>
      </c>
      <c r="J7" s="107">
        <v>13302605</v>
      </c>
      <c r="K7" s="81" t="s">
        <v>194</v>
      </c>
      <c r="L7" s="83" t="s">
        <v>195</v>
      </c>
      <c r="M7" s="108" t="s">
        <v>256</v>
      </c>
      <c r="N7" s="54" t="s">
        <v>196</v>
      </c>
    </row>
    <row r="8" spans="1:15" ht="56" x14ac:dyDescent="0.15">
      <c r="A8" s="78" t="s">
        <v>193</v>
      </c>
      <c r="B8" s="79">
        <v>13302</v>
      </c>
      <c r="C8" s="80" t="str">
        <f ca="1">VLOOKUP($B8,OFFSET([2]quests!$A$1,0,0,COUNTA([2]quests!$A:$A),MATCH(C$1,[2]quests!$1:$1,0)-MATCH($B$1,[2]quests!$1:$1,0)+1),MATCH(C$1,[2]quests!$1:$1,0)-MATCH($B$1,[2]quests!$1:$1,0)+1,FALSE)</f>
        <v>タワーオブザクイーン -アヴァルシア-</v>
      </c>
      <c r="D8" s="80" t="str">
        <f ca="1">VLOOKUP($B8,OFFSET([2]quests!$A$1,0,0,COUNTA([2]quests!$A:$A),MATCH(D$1,[2]quests!$1:$1,0)-MATCH($B$1,[2]quests!$1:$1,0)+1),MATCH(D$1,[2]quests!$1:$1,0)-MATCH($B$1,[2]quests!$1:$1,0)+1,FALSE)</f>
        <v>タワーオブザクイーン1本目</v>
      </c>
      <c r="E8" s="81">
        <v>9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タワーオブザクイーン1本目</v>
      </c>
      <c r="H8" s="82">
        <v>3</v>
      </c>
      <c r="I8" s="86">
        <f t="shared" si="0"/>
        <v>7</v>
      </c>
      <c r="J8" s="107">
        <v>13302606</v>
      </c>
      <c r="K8" s="81" t="s">
        <v>258</v>
      </c>
      <c r="L8" s="83" t="s">
        <v>195</v>
      </c>
      <c r="M8" s="108" t="s">
        <v>259</v>
      </c>
      <c r="N8" s="54" t="s">
        <v>260</v>
      </c>
    </row>
    <row r="9" spans="1:15" ht="42" x14ac:dyDescent="0.15">
      <c r="A9" s="78" t="s">
        <v>193</v>
      </c>
      <c r="B9" s="79">
        <v>13302</v>
      </c>
      <c r="C9" s="80" t="str">
        <f ca="1">VLOOKUP($B9,OFFSET([2]quests!$A$1,0,0,COUNTA([2]quests!$A:$A),MATCH(C$1,[2]quests!$1:$1,0)-MATCH($B$1,[2]quests!$1:$1,0)+1),MATCH(C$1,[2]quests!$1:$1,0)-MATCH($B$1,[2]quests!$1:$1,0)+1,FALSE)</f>
        <v>タワーオブザクイーン -アヴァルシア-</v>
      </c>
      <c r="D9" s="80" t="str">
        <f ca="1">VLOOKUP($B9,OFFSET([2]quests!$A$1,0,0,COUNTA([2]quests!$A:$A),MATCH(D$1,[2]quests!$1:$1,0)-MATCH($B$1,[2]quests!$1:$1,0)+1),MATCH(D$1,[2]quests!$1:$1,0)-MATCH($B$1,[2]quests!$1:$1,0)+1,FALSE)</f>
        <v>タワーオブザクイーン1本目</v>
      </c>
      <c r="E9" s="81">
        <v>9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タワーオブザクイーン1本目</v>
      </c>
      <c r="H9" s="82">
        <v>3</v>
      </c>
      <c r="I9" s="86">
        <f t="shared" si="0"/>
        <v>8</v>
      </c>
      <c r="J9" s="107">
        <v>13302607</v>
      </c>
      <c r="K9" s="81" t="s">
        <v>258</v>
      </c>
      <c r="L9" s="83" t="s">
        <v>195</v>
      </c>
      <c r="M9" s="108" t="s">
        <v>325</v>
      </c>
      <c r="N9" s="54" t="s">
        <v>260</v>
      </c>
    </row>
  </sheetData>
  <phoneticPr fontId="5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.5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208</v>
      </c>
      <c r="B1" s="91" t="s">
        <v>209</v>
      </c>
      <c r="C1" s="74" t="s">
        <v>210</v>
      </c>
      <c r="D1" s="74" t="s">
        <v>33</v>
      </c>
      <c r="E1" s="91" t="s">
        <v>211</v>
      </c>
      <c r="F1" s="74" t="s">
        <v>212</v>
      </c>
      <c r="G1" s="74" t="s">
        <v>33</v>
      </c>
      <c r="H1" s="91" t="s">
        <v>213</v>
      </c>
      <c r="I1" s="91" t="s">
        <v>214</v>
      </c>
      <c r="J1" s="91" t="s">
        <v>215</v>
      </c>
      <c r="K1" s="70" t="s">
        <v>216</v>
      </c>
      <c r="L1" s="70" t="s">
        <v>217</v>
      </c>
      <c r="M1" s="70" t="s">
        <v>154</v>
      </c>
      <c r="N1" s="74" t="s">
        <v>16</v>
      </c>
      <c r="O1" s="70" t="s">
        <v>218</v>
      </c>
      <c r="P1" s="70" t="s">
        <v>56</v>
      </c>
      <c r="Q1" s="70" t="s">
        <v>219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220</v>
      </c>
      <c r="X1" s="70" t="s">
        <v>221</v>
      </c>
    </row>
    <row r="2" spans="1:24" x14ac:dyDescent="0.15">
      <c r="A2" s="92" t="str">
        <f>B2&amp;"_"&amp;E2&amp;"_"&amp;H2&amp;"_"&amp;I2&amp;"_"&amp;J2</f>
        <v>13302_9_singleonly_clear_1</v>
      </c>
      <c r="B2" s="79">
        <v>13302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9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 t="s">
        <v>254</v>
      </c>
      <c r="I2" s="81" t="s">
        <v>222</v>
      </c>
      <c r="J2" s="81">
        <v>1</v>
      </c>
      <c r="K2" s="81">
        <v>570</v>
      </c>
      <c r="L2" s="81" t="s">
        <v>252</v>
      </c>
      <c r="M2" s="81">
        <v>20000</v>
      </c>
      <c r="N2" s="93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 t="s">
        <v>88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223</v>
      </c>
      <c r="X2" s="95" t="s">
        <v>224</v>
      </c>
    </row>
    <row r="3" spans="1:24" x14ac:dyDescent="0.15">
      <c r="A3" s="92" t="str">
        <f>B3&amp;"_"&amp;E3&amp;"_"&amp;H3&amp;"_"&amp;I3&amp;"_"&amp;J3</f>
        <v>13302_9_singleonly_clear_2</v>
      </c>
      <c r="B3" s="79">
        <v>13302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9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9階 コスト28以下ヒューマン限定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 t="s">
        <v>254</v>
      </c>
      <c r="I3" s="81" t="s">
        <v>222</v>
      </c>
      <c r="J3" s="81">
        <v>2</v>
      </c>
      <c r="K3" s="81">
        <v>430</v>
      </c>
      <c r="L3" s="81" t="s">
        <v>253</v>
      </c>
      <c r="M3" s="81">
        <v>55000</v>
      </c>
      <c r="N3" s="93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 t="s">
        <v>88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223</v>
      </c>
      <c r="X3" s="95" t="s">
        <v>224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2016-12-07T11:10:46Z</dcterms:modified>
</cp:coreProperties>
</file>