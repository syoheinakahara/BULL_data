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1220" yWindow="960" windowWidth="31680" windowHeight="1034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2" l="1"/>
  <c r="G3" i="22"/>
  <c r="F3" i="22"/>
  <c r="D3" i="22"/>
  <c r="C3" i="22"/>
  <c r="A3" i="22"/>
  <c r="N2" i="22"/>
  <c r="G2" i="22"/>
  <c r="F2" i="22"/>
  <c r="D2" i="22"/>
  <c r="C2" i="22"/>
  <c r="A2" i="22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J33" i="11"/>
  <c r="O32" i="9"/>
  <c r="N32" i="9"/>
  <c r="M32" i="9"/>
  <c r="L32" i="9"/>
  <c r="K32" i="9"/>
  <c r="J32" i="9"/>
  <c r="I32" i="9"/>
  <c r="H32" i="9"/>
  <c r="G32" i="9"/>
  <c r="E32" i="9"/>
  <c r="D32" i="9"/>
  <c r="A32" i="9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Y2" i="7"/>
  <c r="AC8" i="1"/>
  <c r="J32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J31" i="11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Y7" i="7"/>
  <c r="W7" i="7"/>
  <c r="U7" i="7"/>
  <c r="R7" i="7"/>
  <c r="Q7" i="7"/>
  <c r="P7" i="7"/>
  <c r="O7" i="7"/>
  <c r="N7" i="7"/>
  <c r="H7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7" i="7"/>
  <c r="I7" i="7"/>
  <c r="D7" i="7"/>
  <c r="F7" i="7"/>
  <c r="E7" i="7"/>
  <c r="A7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AC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9" i="2"/>
  <c r="E9" i="2"/>
  <c r="D9" i="2"/>
  <c r="H2" i="1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2" i="1"/>
  <c r="T2" i="1"/>
  <c r="E13" i="16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E2" i="9"/>
  <c r="D2" i="9"/>
  <c r="E9" i="16"/>
  <c r="X2" i="1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<sst xmlns="http://schemas.openxmlformats.org/spreadsheetml/2006/main" count="795" uniqueCount="352">
  <si>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</si>
  <si>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</si>
  <si>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</si>
  <si>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</si>
  <si>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</si>
  <si>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</si>
  <si>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</si>
  <si>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</si>
  <si>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</si>
  <si>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</si>
  <si>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</si>
  <si>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</si>
  <si>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</si>
  <si>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</si>
  <si>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</si>
  <si>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</si>
  <si>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</si>
  <si>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</si>
  <si>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</si>
  <si>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</si>
  <si>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</si>
  <si>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</si>
  <si>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</si>
  <si>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</si>
  <si>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</si>
  <si>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</si>
  <si>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</si>
  <si>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</si>
  <si>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</si>
  <si>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</si>
  <si>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</si>
  <si>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</si>
  <si>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</si>
  <si>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</si>
  <si>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</si>
  <si>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</si>
  <si>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</si>
  <si>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</si>
  <si>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</si>
  <si>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</si>
  <si>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</si>
  <si>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</si>
  <si>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</si>
  <si>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</si>
  <si>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</si>
  <si>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</si>
  <si>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</si>
  <si>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</si>
  <si>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</si>
  <si>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</si>
  <si>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</si>
  <si>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</si>
  <si>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</si>
  <si>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</si>
  <si>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</si>
  <si>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</si>
  <si>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</si>
  <si>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</si>
  <si>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</si>
  <si>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</si>
  <si>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</si>
  <si>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</si>
  <si>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</si>
  <si>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</si>
  <si>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</si>
  <si>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</si>
  <si>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</si>
  <si>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</si>
  <si>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</si>
  <si>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</si>
  <si>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</si>
  <si>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</si>
  <si>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</si>
  <si>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</si>
  <si>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</si>
  <si>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</si>
  <si>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</si>
  <si>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</si>
  <si>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</si>
  <si>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</si>
  <si>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</si>
  <si>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</si>
  <si>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</si>
  <si>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</si>
  <si>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</si>
  <si>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</si>
  <si>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</si>
  <si>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</si>
  <si>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</si>
  <si>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</si>
  <si>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</si>
  <si>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</si>
  <si>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</si>
  <si>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</si>
  <si>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</si>
  <si>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</si>
  <si>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</si>
  <si>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</si>
  <si>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</si>
  <si>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</si>
  <si>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</si>
  <si>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</si>
  <si>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</si>
  <si>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</si>
  <si>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</si>
  <si>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</si>
  <si>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</si>
  <si>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</si>
  <si>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</si>
  <si>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</si>
  <si>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</si>
  <si>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</si>
  <si>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</si>
  <si>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</si>
  <si>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</si>
  <si>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</si>
  <si>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</si>
  <si>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</si>
  <si>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</si>
  <si>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</si>
  <si>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</si>
  <si>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</si>
  <si>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</si>
  <si>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</si>
  <si>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</si>
  <si>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</si>
  <si>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</si>
  <si>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</si>
  <si>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</si>
  <si>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</si>
  <si>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</si>
  <si>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</si>
  <si>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</si>
  <si>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</si>
  <si>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</si>
  <si>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</si>
  <si>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</si>
  <si>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</si>
  <si>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</si>
  <si>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</si>
  <si>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</si>
  <si>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</si>
  <si>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</si>
  <si>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</si>
  <si>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</si>
  <si>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</si>
  <si>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</si>
  <si>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</si>
  <si>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</si>
  <si>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</si>
  <si>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</si>
  <si>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</si>
  <si>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</si>
  <si>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</si>
  <si>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</si>
  <si>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</si>
  <si>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</si>
  <si>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</si>
  <si>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</si>
  <si>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</si>
  <si>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</si>
  <si>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</si>
  <si>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</si>
  <si>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</si>
  <si>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</si>
  <si>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</si>
  <si>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</si>
  <si>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</si>
  <si>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</si>
  <si>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</si>
  <si>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</si>
  <si>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</si>
  <si>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</si>
  <si>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</si>
  <si>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</si>
  <si>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</si>
  <si>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</si>
  <si>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</si>
  <si>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</si>
  <si>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</si>
  <si>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</si>
  <si>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</si>
  <si>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</si>
  <si>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</si>
  <si>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</si>
  <si>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</si>
  <si>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</si>
  <si>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</si>
  <si>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</si>
  <si>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</si>
  <si>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</si>
  <si>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</si>
  <si>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</si>
  <si>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</si>
  <si>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</si>
  <si>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</si>
  <si>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</si>
  <si>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</si>
  <si>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</si>
  <si>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</si>
  <si>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</si>
  <si>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</si>
  <si>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</si>
  <si>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</si>
  <si>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</si>
  <si>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</si>
  <si>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</si>
  <si>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</si>
  <si>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</si>
  <si>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</si>
  <si>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</si>
  <si>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</si>
  <si>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</si>
  <si>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</si>
  <si>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</si>
  <si>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</si>
  <si>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</si>
  <si>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</si>
  <si>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</si>
  <si>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</si>
  <si>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</si>
  <si>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</si>
  <si>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</si>
  <si>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</si>
  <si>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</si>
  <si>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</si>
  <si>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</si>
  <si>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</si>
  <si>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</si>
  <si>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</si>
  <si>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</si>
  <si>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</si>
  <si>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</si>
  <si>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</si>
  <si>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</si>
  <si>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</si>
  <si>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</si>
  <si>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</si>
  <si>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</si>
  <si>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</si>
  <si>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</si>
  <si>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</si>
  <si>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</si>
  <si>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</si>
  <si>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</si>
  <si>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</si>
  <si>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</si>
  <si>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  <phoneticPr fontId="5"/>
  </si>
  <si>
    <t>old</t>
    <phoneticPr fontId="5"/>
  </si>
  <si>
    <t>old</t>
    <phoneticPr fontId="5"/>
  </si>
  <si>
    <t>[effect:nothing]</t>
    <phoneticPr fontId="5"/>
  </si>
  <si>
    <t>逃走</t>
    <rPh sb="0" eb="2">
      <t>ト</t>
    </rPh>
    <phoneticPr fontId="5"/>
  </si>
  <si>
    <t>何もしない</t>
    <rPh sb="0" eb="1">
      <t>ナニ</t>
    </rPh>
    <phoneticPr fontId="5"/>
  </si>
  <si>
    <t>状態異常耐性</t>
    <rPh sb="0" eb="6">
      <t>ｊｙ</t>
    </rPh>
    <phoneticPr fontId="5"/>
  </si>
  <si>
    <t>null</t>
    <phoneticPr fontId="5"/>
  </si>
  <si>
    <t>null</t>
    <phoneticPr fontId="5"/>
  </si>
  <si>
    <t>[effect:suicide, val:1, dead_type:escape]</t>
    <phoneticPr fontId="5"/>
  </si>
  <si>
    <t>[effect:damage_anti_color, target:unit_all, color:blue, val1:0.4, val2:0.2]</t>
    <phoneticPr fontId="5"/>
  </si>
  <si>
    <t>[effect:damage_anti_color, target:unit_all, color:blue, val1:0.4, val2:0.2]</t>
    <phoneticPr fontId="5"/>
  </si>
  <si>
    <t>[effect:enhance_enemy, target:enemy_blue, turn:-1, status:attack, val:0.3, animation:enemy_enhance_attack],[effect:freq_turn, target:enemy_blue, turn:2, val:1, animation:enemy_freq_turn]</t>
    <phoneticPr fontId="5"/>
  </si>
  <si>
    <t>[effect:enhance_enemy, target:myself, turn:-1, status:attack, val:0.3, animation:enemy_enhance_attack]</t>
    <phoneticPr fontId="5"/>
  </si>
  <si>
    <t>[effect:enemy_counter, target:myself, invoke_condition:unit_all, counter_target:attacker, turn:1, val:0.3, animation:enemy_counter]</t>
    <phoneticPr fontId="5"/>
  </si>
  <si>
    <t>[effect:fix_speed, target:myself, turn:1],[effect:tolerance, target:myself, turn:-1, count:-1, tolerance_effect:all, animation:enemy_tolerance]</t>
    <phoneticPr fontId="5"/>
  </si>
  <si>
    <t>[effect:fix_speed, target:myself, turn:2],[effect:tolerance, target:myself, turn:-1, count:-1, tolerance_effect:all, animation:enemy_tolerance]</t>
    <phoneticPr fontId="5"/>
  </si>
  <si>
    <t>[effect:virus, target:unit_all, turn:-1, rate:1, val:0.05, animation:enemy_virus],[effect:suicide, val:1, dead_type:escape]</t>
    <phoneticPr fontId="5"/>
  </si>
  <si>
    <t>old</t>
    <phoneticPr fontId="5"/>
  </si>
  <si>
    <t>[effect:damage_anti_abnormal, target:unit_one, target_effect01:virus, val1:1.4, val2:1.0]</t>
    <phoneticPr fontId="5"/>
  </si>
  <si>
    <t>[effect:damage_anti_abnormal, target:unit_one, target_effect01:virus, val1:1.3, val2:0.8]</t>
    <phoneticPr fontId="5"/>
  </si>
  <si>
    <t>[effect:fix_speed, target:myself, turn:1],[effect:tolerance, target:myself, turn:-1, count:-1, tolerance_effect:all, animation:enemy_tolerance]</t>
    <phoneticPr fontId="5"/>
  </si>
  <si>
    <t>[effect:virus, target:unit_all, turn:-1, rate:1, val:0.1, animation:enemy_virus]</t>
    <phoneticPr fontId="5"/>
  </si>
  <si>
    <t>[effect:virus, target:unit_all, turn:-1, rate:1, val:0.11, animation:enemy_virus]</t>
    <phoneticPr fontId="5"/>
  </si>
  <si>
    <t>[effect:virus, target:unit_one, turn:2, rate:1, val:0.5, animation:enemy_virus]</t>
    <phoneticPr fontId="5"/>
  </si>
  <si>
    <t>ストールはガイルの攻撃力をUPさせます
ガイルのウィルス状態キラーは強力なので
気をつけましょう</t>
    <phoneticPr fontId="5"/>
  </si>
  <si>
    <t>3ゲージ目のカスケードはお邪魔パネル生成
とウィルスを同時に使って攻撃してきます
どちらの対策も万全にして挑みましょう</t>
    <phoneticPr fontId="5"/>
  </si>
  <si>
    <t>カスケードの動機</t>
    <phoneticPr fontId="5"/>
  </si>
  <si>
    <t>カスケードの流儀</t>
    <phoneticPr fontId="5"/>
  </si>
  <si>
    <t>再犯の可能性</t>
    <phoneticPr fontId="5"/>
  </si>
  <si>
    <t>カスケードは施設は破壊するものの人的な
被害は出ないようにしているようです
そこには彼なりの流儀があるようです</t>
    <phoneticPr fontId="5"/>
  </si>
  <si>
    <t>カスケードは完全に快楽目的なので
今回だけで懲りることはないでしょう
彼を止められるのはアナタだけです</t>
    <phoneticPr fontId="5"/>
  </si>
  <si>
    <t>カスケードは美しいものに対し抑えきれない
破壊衝動を持っているようです</t>
    <phoneticPr fontId="5"/>
  </si>
  <si>
    <t>old</t>
  </si>
  <si>
    <t>old</t>
    <phoneticPr fontId="7"/>
  </si>
  <si>
    <t>フェルニゲシュはお邪魔パネルを生成し
それを吸収して強力な攻撃をしてきます
お邪魔ブレイクのアビリティを使いましょう</t>
    <rPh sb="52" eb="53">
      <t>ツカイマｓｙ</t>
    </rPh>
    <phoneticPr fontId="5"/>
  </si>
  <si>
    <t>2ゲージ目のカスケードはお邪魔パネル生成
とお邪魔パネル吸収攻撃を行います
お邪魔ブレイクのアビリティを使いましょう</t>
    <rPh sb="52" eb="53">
      <t>ツカ</t>
    </rPh>
    <phoneticPr fontId="5"/>
  </si>
  <si>
    <t>1ゲージ目のカスケードはウィルスと
ウィルス状態キラーで攻撃を行います
ウィルス無効のアビリティを使いましょう</t>
    <rPh sb="49" eb="50">
      <t>ツカ</t>
    </rPh>
    <phoneticPr fontId="5"/>
  </si>
  <si>
    <t>[effect:fix_speed, target:myself, turn:1],[effect:sleep, target:unit_all, turn:2, rate:1, calc_type:target_all],[effect:hungup, target:unit_all, turn:2, rate:1]</t>
    <phoneticPr fontId="5"/>
  </si>
  <si>
    <t>2ターンスリープ＆スキルバインド</t>
    <phoneticPr fontId="5"/>
  </si>
  <si>
    <t>解除するまでウィルス</t>
    <rPh sb="0" eb="2">
      <t>カイジョｓ</t>
    </rPh>
    <phoneticPr fontId="5"/>
  </si>
  <si>
    <t>お邪魔パネル5個生成</t>
    <rPh sb="7" eb="8">
      <t>コ</t>
    </rPh>
    <rPh sb="8" eb="10">
      <t>セ</t>
    </rPh>
    <phoneticPr fontId="5"/>
  </si>
  <si>
    <t>青属性のユニットに大ダメージの全体攻撃</t>
    <rPh sb="0" eb="1">
      <t>ア</t>
    </rPh>
    <rPh sb="1" eb="3">
      <t>ゾクセ</t>
    </rPh>
    <rPh sb="9" eb="10">
      <t>ダ</t>
    </rPh>
    <rPh sb="15" eb="19">
      <t>ゼｎ</t>
    </rPh>
    <phoneticPr fontId="5"/>
  </si>
  <si>
    <t>青属性のエネミーの行動頻度＆攻撃力UP</t>
    <rPh sb="0" eb="3">
      <t>ア</t>
    </rPh>
    <rPh sb="9" eb="13">
      <t>コウド</t>
    </rPh>
    <rPh sb="14" eb="17">
      <t>コウゲｋ</t>
    </rPh>
    <phoneticPr fontId="5"/>
  </si>
  <si>
    <t>自身の攻撃力UP</t>
    <rPh sb="0" eb="2">
      <t>ジシｎ</t>
    </rPh>
    <rPh sb="3" eb="6">
      <t>コウゲｋ</t>
    </rPh>
    <phoneticPr fontId="5"/>
  </si>
  <si>
    <t>ウィルス状態のユニットに大ダメージ</t>
    <rPh sb="4" eb="6">
      <t>ジョ</t>
    </rPh>
    <rPh sb="12" eb="13">
      <t>ダ</t>
    </rPh>
    <phoneticPr fontId="5"/>
  </si>
  <si>
    <t>ウィルス状態のユニットに大ダメージ</t>
    <phoneticPr fontId="5"/>
  </si>
  <si>
    <t>お邪魔パネル5個生成
＋2ターンウィルス</t>
    <phoneticPr fontId="5"/>
  </si>
  <si>
    <t>お邪魔パネル8個生成
＋1ターンウィルス</t>
    <phoneticPr fontId="5"/>
  </si>
  <si>
    <t>お邪魔パネル8個生成
＋2ターンウィルス</t>
    <rPh sb="7" eb="8">
      <t>コ</t>
    </rPh>
    <rPh sb="8" eb="10">
      <t>セ</t>
    </rPh>
    <phoneticPr fontId="5"/>
  </si>
  <si>
    <t>1ターンカウンター</t>
    <phoneticPr fontId="5"/>
  </si>
  <si>
    <t>[effect:enhance_enemy, target:myself, turn:-1, status:attack, val:1.6, animation:enemy_enhance_attack]</t>
    <phoneticPr fontId="5"/>
  </si>
  <si>
    <t>[effect:enemy_message, val1:1.2, val2:1.2]</t>
    <phoneticPr fontId="5"/>
  </si>
  <si>
    <t>今回はこれくらいにしといてやるよ</t>
    <rPh sb="0" eb="2">
      <t>コンカ</t>
    </rPh>
    <phoneticPr fontId="5"/>
  </si>
  <si>
    <t>じゃあな…</t>
    <phoneticPr fontId="5"/>
  </si>
  <si>
    <t>ご質問をどうぞ</t>
    <phoneticPr fontId="5"/>
  </si>
  <si>
    <t>よく来たな！</t>
    <phoneticPr fontId="5"/>
  </si>
  <si>
    <t>さあ、歓迎してやるよ！</t>
    <rPh sb="3" eb="5">
      <t>カンゲ</t>
    </rPh>
    <phoneticPr fontId="5"/>
  </si>
  <si>
    <t>ハハッ、追いついてみな！</t>
    <rPh sb="4" eb="5">
      <t>オイツ</t>
    </rPh>
    <phoneticPr fontId="5"/>
  </si>
  <si>
    <t>ブルー・ターミネーション</t>
    <phoneticPr fontId="5"/>
  </si>
  <si>
    <t>チャフ・グレネード</t>
    <phoneticPr fontId="5"/>
  </si>
  <si>
    <t>ブルー・メディテーション</t>
    <phoneticPr fontId="5"/>
  </si>
  <si>
    <t>メディテーション</t>
    <phoneticPr fontId="5"/>
  </si>
  <si>
    <t>リモート・ハック</t>
    <phoneticPr fontId="5"/>
  </si>
  <si>
    <t>お前を消す方法</t>
    <rPh sb="3" eb="4">
      <t>ケｓ</t>
    </rPh>
    <phoneticPr fontId="5"/>
  </si>
  <si>
    <t>よくここまで来たな！</t>
    <rPh sb="6" eb="7">
      <t>キｔ</t>
    </rPh>
    <phoneticPr fontId="5"/>
  </si>
  <si>
    <t>やるじゃないか、褒めてやるよ！</t>
    <rPh sb="8" eb="9">
      <t>ホｍ</t>
    </rPh>
    <phoneticPr fontId="5"/>
  </si>
  <si>
    <t>ジャミング・ハック・ファイブ</t>
    <phoneticPr fontId="5"/>
  </si>
  <si>
    <t>ジャミング・ハック・エイト</t>
    <phoneticPr fontId="5"/>
  </si>
  <si>
    <t>本気で相手をしようか！</t>
    <rPh sb="0" eb="2">
      <t>ホｎ</t>
    </rPh>
    <rPh sb="3" eb="5">
      <t>ア</t>
    </rPh>
    <phoneticPr fontId="5"/>
  </si>
  <si>
    <t>リミット・ブレイク</t>
    <phoneticPr fontId="5"/>
  </si>
  <si>
    <t xml:space="preserve"> bit</t>
  </si>
  <si>
    <t xml:space="preserve"> null</t>
  </si>
  <si>
    <t xml:space="preserve"> 2015-03-27 00:00:00</t>
  </si>
  <si>
    <t xml:space="preserve"> 2970-01-01 09:00:00</t>
  </si>
  <si>
    <t xml:space="preserve"> link</t>
  </si>
  <si>
    <t xml:space="preserve"> unit</t>
  </si>
  <si>
    <t>everyone</t>
    <phoneticPr fontId="5"/>
  </si>
  <si>
    <t>no_continue</t>
    <phoneticPr fontId="5"/>
  </si>
  <si>
    <t>unit</t>
    <phoneticPr fontId="5"/>
  </si>
  <si>
    <t>2016-5-27 0:00:00</t>
    <phoneticPr fontId="5"/>
  </si>
  <si>
    <t>2970-01-01 09:00:00</t>
    <phoneticPr fontId="5"/>
  </si>
  <si>
    <t>old</t>
    <phoneticPr fontId="7"/>
  </si>
  <si>
    <t>full_member</t>
  </si>
  <si>
    <t>単体に2ターンウィルス</t>
    <rPh sb="0" eb="2">
      <t>タンタ</t>
    </rPh>
    <phoneticPr fontId="5"/>
  </si>
  <si>
    <t>レジストリ・ブレイク</t>
    <phoneticPr fontId="5"/>
  </si>
  <si>
    <t>ステルス・カウンター</t>
    <phoneticPr fontId="5"/>
  </si>
  <si>
    <t>フォール・ナイトメア</t>
    <phoneticPr fontId="5"/>
  </si>
  <si>
    <t>ブレイク・ナイトメア</t>
    <phoneticPr fontId="5"/>
  </si>
  <si>
    <t>エスケープ・ナイトメア</t>
    <phoneticPr fontId="5"/>
  </si>
  <si>
    <t>エスケープ・ジャミング・ハック</t>
    <phoneticPr fontId="5"/>
  </si>
  <si>
    <t>ジャミング・フィールド</t>
    <phoneticPr fontId="5"/>
  </si>
  <si>
    <t>ジャミング・フィールド</t>
    <phoneticPr fontId="5"/>
  </si>
  <si>
    <t>[effect:break_attack_fix, target:unit_one, val:1200, lowest_val:1000, count:-1, color:yellow, block01:jammer]</t>
    <phoneticPr fontId="5"/>
  </si>
  <si>
    <t>[effect:break_attack_fix, target:unit_one, val:1000, lowest_val:1000, count:-1, color:yellow, block01:jammer]</t>
    <phoneticPr fontId="5"/>
  </si>
  <si>
    <t>お邪魔パネルを吸収して全体攻撃</t>
    <rPh sb="7" eb="9">
      <t>キュウシュ</t>
    </rPh>
    <rPh sb="11" eb="13">
      <t>ゼｎ</t>
    </rPh>
    <rPh sb="13" eb="15">
      <t>コウゲｋ</t>
    </rPh>
    <phoneticPr fontId="5"/>
  </si>
  <si>
    <t>お邪魔パネルを吸収して単体攻撃</t>
    <rPh sb="7" eb="9">
      <t>キュウシュ</t>
    </rPh>
    <rPh sb="11" eb="13">
      <t>タンタ</t>
    </rPh>
    <rPh sb="13" eb="15">
      <t>コウゲｋ</t>
    </rPh>
    <phoneticPr fontId="5"/>
  </si>
  <si>
    <t>[effect:break_attack, target:unit_all, val:0.05, lowest_val:1000, count:-1, color:yellow, block01:jammer]</t>
    <phoneticPr fontId="5"/>
  </si>
  <si>
    <t>HPを消費して全体にウィルス</t>
    <phoneticPr fontId="5"/>
  </si>
  <si>
    <t>HPを消費してお邪魔パネル20個生成</t>
    <phoneticPr fontId="5"/>
  </si>
  <si>
    <t>[effect:force_change_block, new_block:jammer, target:block_all, ignore01:block_positive, ignore02:block_negative, count:5, val:0, animation:change_block]</t>
  </si>
  <si>
    <t>[effect:force_change_block, new_block:jammer, target:block_all, ignore01:block_positive, ignore02:block_negative, count:5, val:0, animation:change_block],[effect:virus, target:unit_all, turn:2, rate:1, val:0.05, animation:enemy_virus]</t>
  </si>
  <si>
    <t>[effect:force_change_block, new_block:jammer, target:block_all, ignore01:block_positive, ignore02:block_negative, count:8, val:0, animation:change_block],[effect:virus, target:unit_all, turn:1, rate:1, val:0.1, animation:enemy_virus]</t>
  </si>
  <si>
    <t>[effect:force_change_block, new_block:jammer, target:block_all, ignore01:block_positive, ignore02:block_negative, count:20, val:0, animation:change_block],[effect:suicide, val:1, dead_type:escape]</t>
  </si>
  <si>
    <t>[effect:force_change_block, new_block:jammer, target:block_all, ignore01:block_positive, ignore02:block_negative, count:8, val:0, animation:change_block],[effect:virus, target:unit_all, turn:2, rate:1, val:0.5, animation:enemy_virus]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</si>
</sst>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38" fontId="16" fillId="0" borderId="7" xfId="628" applyFont="1" applyFill="1" applyBorder="1" applyAlignment="1">
      <alignment wrapText="1"/>
    </xf>
    <xf numFmtId="0" fontId="0" fillId="0" borderId="0" xfId="0" applyBorder="1"/>
    <xf numFmtId="0" fontId="14" fillId="7" borderId="7" xfId="614" applyFont="1" applyFill="1" applyBorder="1" applyAlignment="1">
      <alignment horizontal="center" vertical="center"/>
    </xf>
    <xf numFmtId="0" fontId="16" fillId="13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48001</v>
          </cell>
        </row>
        <row r="238">
          <cell r="A238">
            <v>48002</v>
          </cell>
        </row>
        <row r="239">
          <cell r="A239">
            <v>48003</v>
          </cell>
        </row>
        <row r="240">
          <cell r="A240">
            <v>48004</v>
          </cell>
        </row>
        <row r="241">
          <cell r="A241">
            <v>48005</v>
          </cell>
        </row>
        <row r="242">
          <cell r="A242">
            <v>48006</v>
          </cell>
        </row>
        <row r="243">
          <cell r="A243">
            <v>48007</v>
          </cell>
        </row>
        <row r="244">
          <cell r="A244">
            <v>48008</v>
          </cell>
        </row>
        <row r="245">
          <cell r="A245">
            <v>48009</v>
          </cell>
        </row>
        <row r="246">
          <cell r="A246">
            <v>48010</v>
          </cell>
        </row>
        <row r="247">
          <cell r="A247">
            <v>48011</v>
          </cell>
        </row>
        <row r="248">
          <cell r="A248">
            <v>48012</v>
          </cell>
        </row>
        <row r="249">
          <cell r="A249">
            <v>48501</v>
          </cell>
        </row>
        <row r="250">
          <cell r="A250">
            <v>48502</v>
          </cell>
        </row>
        <row r="251">
          <cell r="A251">
            <v>48701</v>
          </cell>
        </row>
        <row r="252">
          <cell r="A252">
            <v>41001</v>
          </cell>
        </row>
        <row r="253">
          <cell r="A253">
            <v>41002</v>
          </cell>
        </row>
        <row r="254">
          <cell r="A254">
            <v>41003</v>
          </cell>
        </row>
        <row r="255">
          <cell r="A255">
            <v>41004</v>
          </cell>
        </row>
        <row r="256">
          <cell r="A256">
            <v>41005</v>
          </cell>
        </row>
        <row r="257">
          <cell r="A257">
            <v>41006</v>
          </cell>
        </row>
        <row r="258">
          <cell r="A258">
            <v>41007</v>
          </cell>
        </row>
        <row r="259">
          <cell r="A259">
            <v>41008</v>
          </cell>
        </row>
        <row r="260">
          <cell r="A260">
            <v>41009</v>
          </cell>
        </row>
        <row r="261">
          <cell r="A261">
            <v>41010</v>
          </cell>
        </row>
        <row r="262">
          <cell r="A262">
            <v>41011</v>
          </cell>
        </row>
        <row r="263">
          <cell r="A263">
            <v>41012</v>
          </cell>
        </row>
        <row r="264">
          <cell r="A264">
            <v>41013</v>
          </cell>
        </row>
        <row r="265">
          <cell r="A265">
            <v>41014</v>
          </cell>
        </row>
        <row r="266">
          <cell r="A266">
            <v>41015</v>
          </cell>
        </row>
        <row r="267">
          <cell r="A267">
            <v>47001</v>
          </cell>
        </row>
        <row r="268">
          <cell r="A268">
            <v>47002</v>
          </cell>
        </row>
        <row r="269">
          <cell r="A269">
            <v>47003</v>
          </cell>
        </row>
        <row r="270">
          <cell r="A270">
            <v>47004</v>
          </cell>
        </row>
        <row r="271">
          <cell r="A271">
            <v>47005</v>
          </cell>
        </row>
        <row r="272">
          <cell r="A272">
            <v>47006</v>
          </cell>
        </row>
        <row r="273">
          <cell r="A273">
            <v>47007</v>
          </cell>
        </row>
        <row r="274">
          <cell r="A274">
            <v>47008</v>
          </cell>
        </row>
        <row r="275">
          <cell r="A275">
            <v>47009</v>
          </cell>
        </row>
        <row r="276">
          <cell r="A276">
            <v>47010</v>
          </cell>
        </row>
        <row r="277">
          <cell r="A277">
            <v>47011</v>
          </cell>
        </row>
        <row r="278">
          <cell r="A278">
            <v>47012</v>
          </cell>
        </row>
        <row r="279">
          <cell r="A279">
            <v>49001</v>
          </cell>
        </row>
        <row r="280">
          <cell r="A280">
            <v>49002</v>
          </cell>
        </row>
        <row r="281">
          <cell r="A281">
            <v>49003</v>
          </cell>
        </row>
        <row r="282">
          <cell r="A282">
            <v>49004</v>
          </cell>
        </row>
        <row r="283">
          <cell r="A283">
            <v>49005</v>
          </cell>
        </row>
        <row r="284">
          <cell r="A284">
            <v>49006</v>
          </cell>
        </row>
        <row r="285">
          <cell r="A285">
            <v>49007</v>
          </cell>
        </row>
        <row r="286">
          <cell r="A286">
            <v>49008</v>
          </cell>
        </row>
        <row r="287">
          <cell r="A287">
            <v>49009</v>
          </cell>
        </row>
        <row r="288">
          <cell r="A288">
            <v>49010</v>
          </cell>
        </row>
        <row r="289">
          <cell r="A289">
            <v>49011</v>
          </cell>
        </row>
        <row r="290">
          <cell r="A290">
            <v>49012</v>
          </cell>
        </row>
        <row r="291">
          <cell r="A291">
            <v>49013</v>
          </cell>
        </row>
        <row r="292">
          <cell r="A292">
            <v>49014</v>
          </cell>
        </row>
        <row r="293">
          <cell r="A293">
            <v>49015</v>
          </cell>
        </row>
        <row r="294">
          <cell r="A294">
            <v>50001</v>
          </cell>
        </row>
        <row r="295">
          <cell r="A295">
            <v>50002</v>
          </cell>
        </row>
        <row r="296">
          <cell r="A296">
            <v>50003</v>
          </cell>
        </row>
        <row r="297">
          <cell r="A297">
            <v>50004</v>
          </cell>
        </row>
        <row r="298">
          <cell r="A298">
            <v>50005</v>
          </cell>
        </row>
        <row r="299">
          <cell r="A299">
            <v>50006</v>
          </cell>
        </row>
        <row r="300">
          <cell r="A300">
            <v>50007</v>
          </cell>
        </row>
        <row r="301">
          <cell r="A301">
            <v>50008</v>
          </cell>
        </row>
        <row r="302">
          <cell r="A302">
            <v>50009</v>
          </cell>
        </row>
        <row r="303">
          <cell r="A303">
            <v>50010</v>
          </cell>
        </row>
        <row r="304">
          <cell r="A304">
            <v>50011</v>
          </cell>
        </row>
        <row r="305">
          <cell r="A305">
            <v>50012</v>
          </cell>
        </row>
        <row r="306">
          <cell r="A306">
            <v>50013</v>
          </cell>
        </row>
        <row r="307">
          <cell r="A307">
            <v>50014</v>
          </cell>
        </row>
        <row r="308">
          <cell r="A308">
            <v>50015</v>
          </cell>
        </row>
        <row r="309">
          <cell r="A309">
            <v>51001</v>
          </cell>
        </row>
        <row r="310">
          <cell r="A310">
            <v>51002</v>
          </cell>
        </row>
        <row r="311">
          <cell r="A311">
            <v>58001</v>
          </cell>
        </row>
        <row r="312">
          <cell r="A312">
            <v>59001</v>
          </cell>
        </row>
        <row r="313">
          <cell r="A313">
            <v>59002</v>
          </cell>
        </row>
        <row r="314">
          <cell r="A314">
            <v>60001</v>
          </cell>
        </row>
        <row r="315">
          <cell r="A315">
            <v>60002</v>
          </cell>
        </row>
        <row r="316">
          <cell r="A316">
            <v>60003</v>
          </cell>
        </row>
        <row r="317">
          <cell r="A317">
            <v>60004</v>
          </cell>
        </row>
        <row r="318">
          <cell r="A318">
            <v>60005</v>
          </cell>
        </row>
        <row r="319">
          <cell r="A319">
            <v>60006</v>
          </cell>
        </row>
        <row r="320">
          <cell r="A320">
            <v>60007</v>
          </cell>
        </row>
        <row r="321">
          <cell r="A321">
            <v>60010</v>
          </cell>
        </row>
        <row r="322">
          <cell r="A322">
            <v>60011</v>
          </cell>
        </row>
        <row r="323">
          <cell r="A323">
            <v>61011</v>
          </cell>
        </row>
        <row r="324">
          <cell r="A324">
            <v>60012</v>
          </cell>
        </row>
        <row r="325">
          <cell r="A325">
            <v>60013</v>
          </cell>
        </row>
        <row r="326">
          <cell r="A326">
            <v>60014</v>
          </cell>
        </row>
        <row r="327">
          <cell r="A327">
            <v>60015</v>
          </cell>
        </row>
        <row r="328">
          <cell r="A328">
            <v>60016</v>
          </cell>
        </row>
        <row r="329">
          <cell r="A329">
            <v>60017</v>
          </cell>
        </row>
        <row r="330">
          <cell r="A330">
            <v>60018</v>
          </cell>
        </row>
        <row r="331">
          <cell r="A331">
            <v>60019</v>
          </cell>
        </row>
        <row r="332">
          <cell r="A332">
            <v>60020</v>
          </cell>
        </row>
        <row r="333">
          <cell r="A333">
            <v>60025</v>
          </cell>
        </row>
        <row r="334">
          <cell r="A334">
            <v>60026</v>
          </cell>
        </row>
        <row r="335">
          <cell r="A335">
            <v>60027</v>
          </cell>
        </row>
        <row r="336">
          <cell r="A336">
            <v>60028</v>
          </cell>
        </row>
        <row r="337">
          <cell r="A337">
            <v>65525</v>
          </cell>
        </row>
        <row r="338">
          <cell r="A338">
            <v>65526</v>
          </cell>
        </row>
        <row r="339">
          <cell r="A339">
            <v>65527</v>
          </cell>
        </row>
        <row r="340">
          <cell r="A340">
            <v>65528</v>
          </cell>
        </row>
        <row r="341">
          <cell r="A341">
            <v>65529</v>
          </cell>
        </row>
        <row r="342">
          <cell r="A342">
            <v>65530</v>
          </cell>
        </row>
        <row r="343">
          <cell r="A343">
            <v>65531</v>
          </cell>
        </row>
        <row r="344">
          <cell r="A344">
            <v>65532</v>
          </cell>
        </row>
        <row r="345">
          <cell r="A345">
            <v>65533</v>
          </cell>
        </row>
        <row r="346">
          <cell r="A346">
            <v>65534</v>
          </cell>
        </row>
        <row r="347">
          <cell r="A347">
            <v>65535</v>
          </cell>
        </row>
        <row r="348">
          <cell r="A348">
            <v>60021</v>
          </cell>
        </row>
        <row r="349">
          <cell r="A349">
            <v>60022</v>
          </cell>
        </row>
        <row r="350">
          <cell r="A350">
            <v>60023</v>
          </cell>
        </row>
        <row r="351">
          <cell r="A35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41001_1</v>
          </cell>
        </row>
        <row r="794">
          <cell r="A794" t="str">
            <v>41001_2</v>
          </cell>
        </row>
        <row r="795">
          <cell r="A795" t="str">
            <v>41001_3</v>
          </cell>
        </row>
        <row r="796">
          <cell r="A796" t="str">
            <v>41002_1</v>
          </cell>
        </row>
        <row r="797">
          <cell r="A797" t="str">
            <v>41002_2</v>
          </cell>
        </row>
        <row r="798">
          <cell r="A798" t="str">
            <v>41002_3</v>
          </cell>
        </row>
        <row r="799">
          <cell r="A799" t="str">
            <v>41003_1</v>
          </cell>
        </row>
        <row r="800">
          <cell r="A800" t="str">
            <v>41003_2</v>
          </cell>
        </row>
        <row r="801">
          <cell r="A801" t="str">
            <v>41003_3</v>
          </cell>
        </row>
        <row r="802">
          <cell r="A802" t="str">
            <v>41004_1</v>
          </cell>
        </row>
        <row r="803">
          <cell r="A803" t="str">
            <v>41004_2</v>
          </cell>
        </row>
        <row r="804">
          <cell r="A804" t="str">
            <v>41004_3</v>
          </cell>
        </row>
        <row r="805">
          <cell r="A805" t="str">
            <v>41005_1</v>
          </cell>
        </row>
        <row r="806">
          <cell r="A806" t="str">
            <v>41005_2</v>
          </cell>
        </row>
        <row r="807">
          <cell r="A807" t="str">
            <v>41005_3</v>
          </cell>
        </row>
        <row r="808">
          <cell r="A808" t="str">
            <v>41006_1</v>
          </cell>
        </row>
        <row r="809">
          <cell r="A809" t="str">
            <v>41006_2</v>
          </cell>
        </row>
        <row r="810">
          <cell r="A810" t="str">
            <v>41006_3</v>
          </cell>
        </row>
        <row r="811">
          <cell r="A811" t="str">
            <v>41007_1</v>
          </cell>
        </row>
        <row r="812">
          <cell r="A812" t="str">
            <v>41007_2</v>
          </cell>
        </row>
        <row r="813">
          <cell r="A813" t="str">
            <v>41007_3</v>
          </cell>
        </row>
        <row r="814">
          <cell r="A814" t="str">
            <v>41008_1</v>
          </cell>
        </row>
        <row r="815">
          <cell r="A815" t="str">
            <v>41008_2</v>
          </cell>
        </row>
        <row r="816">
          <cell r="A816" t="str">
            <v>41008_3</v>
          </cell>
        </row>
        <row r="817">
          <cell r="A817" t="str">
            <v>41009_1</v>
          </cell>
        </row>
        <row r="818">
          <cell r="A818" t="str">
            <v>41009_2</v>
          </cell>
        </row>
        <row r="819">
          <cell r="A819" t="str">
            <v>41009_3</v>
          </cell>
        </row>
        <row r="820">
          <cell r="A820" t="str">
            <v>41010_1</v>
          </cell>
        </row>
        <row r="821">
          <cell r="A821" t="str">
            <v>41010_2</v>
          </cell>
        </row>
        <row r="822">
          <cell r="A822" t="str">
            <v>41010_3</v>
          </cell>
        </row>
        <row r="823">
          <cell r="A823" t="str">
            <v>41011_1</v>
          </cell>
        </row>
        <row r="824">
          <cell r="A824" t="str">
            <v>41011_2</v>
          </cell>
        </row>
        <row r="825">
          <cell r="A825" t="str">
            <v>41012_1</v>
          </cell>
        </row>
        <row r="826">
          <cell r="A826" t="str">
            <v>41012_2</v>
          </cell>
        </row>
        <row r="827">
          <cell r="A827" t="str">
            <v>41013_1</v>
          </cell>
        </row>
        <row r="828">
          <cell r="A828" t="str">
            <v>41013_2</v>
          </cell>
        </row>
        <row r="829">
          <cell r="A829" t="str">
            <v>41014_1</v>
          </cell>
        </row>
        <row r="830">
          <cell r="A830" t="str">
            <v>41014_2</v>
          </cell>
        </row>
        <row r="831">
          <cell r="A831" t="str">
            <v>41015_1</v>
          </cell>
        </row>
        <row r="832">
          <cell r="A832" t="str">
            <v>41015_2</v>
          </cell>
        </row>
        <row r="833">
          <cell r="A833" t="str">
            <v>47001_1</v>
          </cell>
        </row>
        <row r="834">
          <cell r="A834" t="str">
            <v>47001_2</v>
          </cell>
        </row>
        <row r="835">
          <cell r="A835" t="str">
            <v>47002_1</v>
          </cell>
        </row>
        <row r="836">
          <cell r="A836" t="str">
            <v>47002_2</v>
          </cell>
        </row>
        <row r="837">
          <cell r="A837" t="str">
            <v>47003_1</v>
          </cell>
        </row>
        <row r="838">
          <cell r="A838" t="str">
            <v>47003_2</v>
          </cell>
        </row>
        <row r="839">
          <cell r="A839" t="str">
            <v>47003_3</v>
          </cell>
        </row>
        <row r="840">
          <cell r="A840" t="str">
            <v>47003_4</v>
          </cell>
        </row>
        <row r="841">
          <cell r="A841" t="str">
            <v>47004_1</v>
          </cell>
        </row>
        <row r="842">
          <cell r="A842" t="str">
            <v>47004_2</v>
          </cell>
        </row>
        <row r="843">
          <cell r="A843" t="str">
            <v>47004_3</v>
          </cell>
        </row>
        <row r="844">
          <cell r="A844" t="str">
            <v>47004_4</v>
          </cell>
        </row>
        <row r="845">
          <cell r="A845" t="str">
            <v>47005_1</v>
          </cell>
        </row>
        <row r="846">
          <cell r="A846" t="str">
            <v>47006_1</v>
          </cell>
        </row>
        <row r="847">
          <cell r="A847" t="str">
            <v>47006_2</v>
          </cell>
        </row>
        <row r="848">
          <cell r="A848" t="str">
            <v>47007_1</v>
          </cell>
        </row>
        <row r="849">
          <cell r="A849" t="str">
            <v>47007_2</v>
          </cell>
        </row>
        <row r="850">
          <cell r="A850" t="str">
            <v>47008_1</v>
          </cell>
        </row>
        <row r="851">
          <cell r="A851" t="str">
            <v>47008_2</v>
          </cell>
        </row>
        <row r="852">
          <cell r="A852" t="str">
            <v>47009_1</v>
          </cell>
        </row>
        <row r="853">
          <cell r="A853" t="str">
            <v>47009_2</v>
          </cell>
        </row>
        <row r="854">
          <cell r="A854" t="str">
            <v>47010_1</v>
          </cell>
        </row>
        <row r="855">
          <cell r="A855" t="str">
            <v>47010_2</v>
          </cell>
        </row>
        <row r="856">
          <cell r="A856" t="str">
            <v>47011_1</v>
          </cell>
        </row>
        <row r="857">
          <cell r="A857" t="str">
            <v>47012_1</v>
          </cell>
        </row>
        <row r="858">
          <cell r="A858" t="str">
            <v>47012_2</v>
          </cell>
        </row>
        <row r="859">
          <cell r="A859" t="str">
            <v>48001_1</v>
          </cell>
        </row>
        <row r="860">
          <cell r="A860" t="str">
            <v>48002_1</v>
          </cell>
        </row>
        <row r="861">
          <cell r="A861" t="str">
            <v>48002_2</v>
          </cell>
        </row>
        <row r="862">
          <cell r="A862" t="str">
            <v>48002_3</v>
          </cell>
        </row>
        <row r="863">
          <cell r="A863" t="str">
            <v>48003_1</v>
          </cell>
        </row>
        <row r="864">
          <cell r="A864" t="str">
            <v>48003_2</v>
          </cell>
        </row>
        <row r="865">
          <cell r="A865" t="str">
            <v>48004_1</v>
          </cell>
        </row>
        <row r="866">
          <cell r="A866" t="str">
            <v>48004_2</v>
          </cell>
        </row>
        <row r="867">
          <cell r="A867" t="str">
            <v>48005_1</v>
          </cell>
        </row>
        <row r="868">
          <cell r="A868" t="str">
            <v>48005_2</v>
          </cell>
        </row>
        <row r="869">
          <cell r="A869" t="str">
            <v>48006_1</v>
          </cell>
        </row>
        <row r="870">
          <cell r="A870" t="str">
            <v>48006_2</v>
          </cell>
        </row>
        <row r="871">
          <cell r="A871" t="str">
            <v>48007_1</v>
          </cell>
        </row>
        <row r="872">
          <cell r="A872" t="str">
            <v>48007_2</v>
          </cell>
        </row>
        <row r="873">
          <cell r="A873" t="str">
            <v>48008_1</v>
          </cell>
        </row>
        <row r="874">
          <cell r="A874" t="str">
            <v>48008_2</v>
          </cell>
        </row>
        <row r="875">
          <cell r="A875" t="str">
            <v>48009_1</v>
          </cell>
        </row>
        <row r="876">
          <cell r="A876" t="str">
            <v>48009_2</v>
          </cell>
        </row>
        <row r="877">
          <cell r="A877" t="str">
            <v>48010_1</v>
          </cell>
        </row>
        <row r="878">
          <cell r="A878" t="str">
            <v>48011_1</v>
          </cell>
        </row>
        <row r="879">
          <cell r="A879" t="str">
            <v>48011_2</v>
          </cell>
        </row>
        <row r="880">
          <cell r="A880" t="str">
            <v>48012_1</v>
          </cell>
        </row>
        <row r="881">
          <cell r="A881" t="str">
            <v>48012_2</v>
          </cell>
        </row>
        <row r="882">
          <cell r="A882" t="str">
            <v>48501_1</v>
          </cell>
        </row>
        <row r="883">
          <cell r="A883" t="str">
            <v>48501_2</v>
          </cell>
        </row>
        <row r="884">
          <cell r="A884" t="str">
            <v>48502_1</v>
          </cell>
        </row>
        <row r="885">
          <cell r="A885" t="str">
            <v>48502_2</v>
          </cell>
        </row>
        <row r="886">
          <cell r="A886" t="str">
            <v>48701_1</v>
          </cell>
        </row>
        <row r="887">
          <cell r="A887" t="str">
            <v>48701_2</v>
          </cell>
        </row>
        <row r="888">
          <cell r="A888" t="str">
            <v>49001_1</v>
          </cell>
        </row>
        <row r="889">
          <cell r="A889" t="str">
            <v>49002_1</v>
          </cell>
        </row>
        <row r="890">
          <cell r="A890" t="str">
            <v>49002_2</v>
          </cell>
        </row>
        <row r="891">
          <cell r="A891" t="str">
            <v>49003_1</v>
          </cell>
        </row>
        <row r="892">
          <cell r="A892" t="str">
            <v>49003_2</v>
          </cell>
        </row>
        <row r="893">
          <cell r="A893" t="str">
            <v>49004_1</v>
          </cell>
        </row>
        <row r="894">
          <cell r="A894" t="str">
            <v>49004_2</v>
          </cell>
        </row>
        <row r="895">
          <cell r="A895" t="str">
            <v>49004_3</v>
          </cell>
        </row>
        <row r="896">
          <cell r="A896" t="str">
            <v>49005_1</v>
          </cell>
        </row>
        <row r="897">
          <cell r="A897" t="str">
            <v>49006_1</v>
          </cell>
        </row>
        <row r="898">
          <cell r="A898" t="str">
            <v>49006_2</v>
          </cell>
        </row>
        <row r="899">
          <cell r="A899" t="str">
            <v>49007_1</v>
          </cell>
        </row>
        <row r="900">
          <cell r="A900" t="str">
            <v>49007_2</v>
          </cell>
        </row>
        <row r="901">
          <cell r="A901" t="str">
            <v>49007_3</v>
          </cell>
        </row>
        <row r="902">
          <cell r="A902" t="str">
            <v>49008_1</v>
          </cell>
        </row>
        <row r="903">
          <cell r="A903" t="str">
            <v>49009_1</v>
          </cell>
        </row>
        <row r="904">
          <cell r="A904" t="str">
            <v>49010_1</v>
          </cell>
        </row>
        <row r="905">
          <cell r="A905" t="str">
            <v>49011_1</v>
          </cell>
        </row>
        <row r="906">
          <cell r="A906" t="str">
            <v>49012_1</v>
          </cell>
        </row>
        <row r="907">
          <cell r="A907" t="str">
            <v>49013_1</v>
          </cell>
        </row>
        <row r="908">
          <cell r="A908" t="str">
            <v>49014_1</v>
          </cell>
        </row>
        <row r="909">
          <cell r="A909" t="str">
            <v>49014_2</v>
          </cell>
        </row>
        <row r="910">
          <cell r="A910" t="str">
            <v>49015_1</v>
          </cell>
        </row>
        <row r="911">
          <cell r="A911" t="str">
            <v>49015_2</v>
          </cell>
        </row>
        <row r="912">
          <cell r="A912" t="str">
            <v>49015_3</v>
          </cell>
        </row>
        <row r="913">
          <cell r="A913" t="str">
            <v>50001_1</v>
          </cell>
        </row>
        <row r="914">
          <cell r="A914" t="str">
            <v>50002_1</v>
          </cell>
        </row>
        <row r="915">
          <cell r="A915" t="str">
            <v>50003_1</v>
          </cell>
        </row>
        <row r="916">
          <cell r="A916" t="str">
            <v>50004_1</v>
          </cell>
        </row>
        <row r="917">
          <cell r="A917" t="str">
            <v>50005_1</v>
          </cell>
        </row>
        <row r="918">
          <cell r="A918" t="str">
            <v>50006_1</v>
          </cell>
        </row>
        <row r="919">
          <cell r="A919" t="str">
            <v>50007_1</v>
          </cell>
        </row>
        <row r="920">
          <cell r="A920" t="str">
            <v>50008_1</v>
          </cell>
        </row>
        <row r="921">
          <cell r="A921" t="str">
            <v>50009_1</v>
          </cell>
        </row>
        <row r="922">
          <cell r="A922" t="str">
            <v>50010_1</v>
          </cell>
        </row>
        <row r="923">
          <cell r="A923" t="str">
            <v>50011_1</v>
          </cell>
        </row>
        <row r="924">
          <cell r="A924" t="str">
            <v>50012_1</v>
          </cell>
        </row>
        <row r="925">
          <cell r="A925" t="str">
            <v>50013_1</v>
          </cell>
        </row>
        <row r="926">
          <cell r="A926" t="str">
            <v>50014_1</v>
          </cell>
        </row>
        <row r="927">
          <cell r="A927" t="str">
            <v>50015_1</v>
          </cell>
        </row>
        <row r="928">
          <cell r="A928" t="str">
            <v>51001_1</v>
          </cell>
        </row>
        <row r="929">
          <cell r="A929" t="str">
            <v>51002_1</v>
          </cell>
        </row>
        <row r="930">
          <cell r="A930" t="str">
            <v>58001_1</v>
          </cell>
        </row>
        <row r="931">
          <cell r="A931" t="str">
            <v>59001_1</v>
          </cell>
        </row>
        <row r="932">
          <cell r="A932" t="str">
            <v>59002_1</v>
          </cell>
        </row>
        <row r="933">
          <cell r="A933" t="str">
            <v>60001_1</v>
          </cell>
        </row>
        <row r="934">
          <cell r="A934" t="str">
            <v>60002_1</v>
          </cell>
        </row>
        <row r="935">
          <cell r="A935" t="str">
            <v>60002_2</v>
          </cell>
        </row>
        <row r="936">
          <cell r="A936" t="str">
            <v>60003_1</v>
          </cell>
        </row>
        <row r="937">
          <cell r="A937" t="str">
            <v>60003_2</v>
          </cell>
        </row>
        <row r="938">
          <cell r="A938" t="str">
            <v>60003_3</v>
          </cell>
        </row>
        <row r="939">
          <cell r="A939" t="str">
            <v>60004_1</v>
          </cell>
        </row>
        <row r="940">
          <cell r="A940" t="str">
            <v>60005_1</v>
          </cell>
        </row>
        <row r="941">
          <cell r="A941" t="str">
            <v>60006_1</v>
          </cell>
        </row>
        <row r="942">
          <cell r="A942" t="str">
            <v>60006_2</v>
          </cell>
        </row>
        <row r="943">
          <cell r="A943" t="str">
            <v>60006_3</v>
          </cell>
        </row>
        <row r="944">
          <cell r="A944" t="str">
            <v>60007_1</v>
          </cell>
        </row>
        <row r="945">
          <cell r="A945" t="str">
            <v>60007_2</v>
          </cell>
        </row>
        <row r="946">
          <cell r="A946" t="str">
            <v>60007_3</v>
          </cell>
        </row>
        <row r="947">
          <cell r="A947" t="str">
            <v>60010_1</v>
          </cell>
        </row>
        <row r="948">
          <cell r="A948" t="str">
            <v>60011_1</v>
          </cell>
        </row>
        <row r="949">
          <cell r="A949" t="str">
            <v>60011_2</v>
          </cell>
        </row>
        <row r="950">
          <cell r="A950" t="str">
            <v>60012_1</v>
          </cell>
        </row>
        <row r="951">
          <cell r="A951" t="str">
            <v>60013_1</v>
          </cell>
        </row>
        <row r="952">
          <cell r="A952" t="str">
            <v>60013_2</v>
          </cell>
        </row>
        <row r="953">
          <cell r="A953" t="str">
            <v>60013_3</v>
          </cell>
        </row>
        <row r="954">
          <cell r="A954" t="str">
            <v>60014_1</v>
          </cell>
        </row>
        <row r="955">
          <cell r="A955" t="str">
            <v>60015_1</v>
          </cell>
        </row>
        <row r="956">
          <cell r="A956" t="str">
            <v>60016_1</v>
          </cell>
        </row>
        <row r="957">
          <cell r="A957" t="str">
            <v>60017_1</v>
          </cell>
        </row>
        <row r="958">
          <cell r="A958" t="str">
            <v>60018_1</v>
          </cell>
        </row>
        <row r="959">
          <cell r="A959" t="str">
            <v>60019_1</v>
          </cell>
        </row>
        <row r="960">
          <cell r="A960" t="str">
            <v>60020_1</v>
          </cell>
        </row>
        <row r="961">
          <cell r="A961" t="str">
            <v>60021_3</v>
          </cell>
        </row>
        <row r="962">
          <cell r="A962" t="str">
            <v>60022_3</v>
          </cell>
        </row>
        <row r="963">
          <cell r="A963" t="str">
            <v>60023_3</v>
          </cell>
        </row>
        <row r="964">
          <cell r="A964" t="str">
            <v>60024_3</v>
          </cell>
        </row>
        <row r="965">
          <cell r="A965" t="str">
            <v>60025_1</v>
          </cell>
        </row>
        <row r="966">
          <cell r="A966" t="str">
            <v>60026_1</v>
          </cell>
        </row>
        <row r="967">
          <cell r="A967" t="str">
            <v>61011_1</v>
          </cell>
        </row>
        <row r="968">
          <cell r="A968" t="str">
            <v>60027_1</v>
          </cell>
        </row>
        <row r="969">
          <cell r="A969" t="str">
            <v>60028_1</v>
          </cell>
        </row>
        <row r="970">
          <cell r="A970" t="str">
            <v>65525_1</v>
          </cell>
        </row>
        <row r="971">
          <cell r="A971" t="str">
            <v>65526_1</v>
          </cell>
        </row>
        <row r="972">
          <cell r="A972" t="str">
            <v>65526_2</v>
          </cell>
        </row>
        <row r="973">
          <cell r="A973" t="str">
            <v>65527_1</v>
          </cell>
        </row>
        <row r="974">
          <cell r="A974" t="str">
            <v>65528_1</v>
          </cell>
        </row>
        <row r="975">
          <cell r="A975" t="str">
            <v>65529_1</v>
          </cell>
        </row>
        <row r="976">
          <cell r="A976" t="str">
            <v>65530_1</v>
          </cell>
        </row>
        <row r="977">
          <cell r="A977" t="str">
            <v>65531_1</v>
          </cell>
        </row>
        <row r="978">
          <cell r="A978" t="str">
            <v>65531_2</v>
          </cell>
        </row>
        <row r="979">
          <cell r="A979" t="str">
            <v>65532_1</v>
          </cell>
        </row>
        <row r="980">
          <cell r="A980" t="str">
            <v>65532_2</v>
          </cell>
        </row>
        <row r="981">
          <cell r="A981" t="str">
            <v>65533_1</v>
          </cell>
        </row>
        <row r="982">
          <cell r="A982" t="str">
            <v>65533_2</v>
          </cell>
        </row>
        <row r="983">
          <cell r="A983" t="str">
            <v>65534_1</v>
          </cell>
        </row>
        <row r="984">
          <cell r="A984" t="str">
            <v>65534_2</v>
          </cell>
        </row>
        <row r="985">
          <cell r="A985" t="str">
            <v>65535_1</v>
          </cell>
        </row>
        <row r="986">
          <cell r="A986" t="str">
            <v>65535_2</v>
          </cell>
        </row>
        <row r="987">
          <cell r="A987" t="str">
            <v>65535_3</v>
          </cell>
        </row>
        <row r="988">
          <cell r="A988" t="str">
            <v>65535_4</v>
          </cell>
        </row>
        <row r="989">
          <cell r="A989" t="str">
            <v>65535_5</v>
          </cell>
        </row>
        <row r="990">
          <cell r="A990" t="str">
            <v>65535_6</v>
          </cell>
        </row>
        <row r="991">
          <cell r="A991" t="str">
            <v>65535_7</v>
          </cell>
        </row>
        <row r="992">
          <cell r="A992" t="str">
            <v>65535_8</v>
          </cell>
        </row>
        <row r="993">
          <cell r="A993" t="str">
            <v>65535_9</v>
          </cell>
        </row>
        <row r="994">
          <cell r="A99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1375</v>
          </cell>
        </row>
        <row r="1337">
          <cell r="A1337">
            <v>1376</v>
          </cell>
        </row>
        <row r="1338">
          <cell r="A1338">
            <v>1379</v>
          </cell>
        </row>
        <row r="1339">
          <cell r="A1339">
            <v>1380</v>
          </cell>
        </row>
        <row r="1340">
          <cell r="A1340">
            <v>1407</v>
          </cell>
        </row>
        <row r="1341">
          <cell r="A1341">
            <v>1408</v>
          </cell>
        </row>
        <row r="1342">
          <cell r="A1342">
            <v>1409</v>
          </cell>
        </row>
        <row r="1343">
          <cell r="A1343">
            <v>1410</v>
          </cell>
        </row>
        <row r="1344">
          <cell r="A1344">
            <v>1431</v>
          </cell>
        </row>
        <row r="1345">
          <cell r="A1345">
            <v>1432</v>
          </cell>
        </row>
        <row r="1346">
          <cell r="A1346">
            <v>1466</v>
          </cell>
        </row>
        <row r="1347">
          <cell r="A1347">
            <v>1467</v>
          </cell>
        </row>
        <row r="1348">
          <cell r="A1348">
            <v>1468</v>
          </cell>
        </row>
        <row r="1349">
          <cell r="A1349">
            <v>1469</v>
          </cell>
        </row>
        <row r="1350">
          <cell r="A1350">
            <v>1470</v>
          </cell>
        </row>
        <row r="1351">
          <cell r="A1351">
            <v>1471</v>
          </cell>
        </row>
        <row r="1352">
          <cell r="A1352">
            <v>1495</v>
          </cell>
        </row>
        <row r="1353">
          <cell r="A1353">
            <v>1496</v>
          </cell>
        </row>
        <row r="1354">
          <cell r="A1354">
            <v>1497</v>
          </cell>
        </row>
        <row r="1355">
          <cell r="A1355">
            <v>1498</v>
          </cell>
        </row>
        <row r="1356">
          <cell r="A1356">
            <v>1499</v>
          </cell>
        </row>
        <row r="1357">
          <cell r="A1357">
            <v>1500</v>
          </cell>
        </row>
        <row r="1358">
          <cell r="A1358">
            <v>1501</v>
          </cell>
        </row>
        <row r="1359">
          <cell r="A1359">
            <v>1502</v>
          </cell>
        </row>
        <row r="1360">
          <cell r="A1360">
            <v>1503</v>
          </cell>
        </row>
        <row r="1361">
          <cell r="A1361">
            <v>1504</v>
          </cell>
        </row>
        <row r="1362">
          <cell r="A1362">
            <v>1505</v>
          </cell>
        </row>
        <row r="1363">
          <cell r="A1363">
            <v>1506</v>
          </cell>
        </row>
        <row r="1364">
          <cell r="A1364">
            <v>1507</v>
          </cell>
        </row>
        <row r="1365">
          <cell r="A1365">
            <v>1508</v>
          </cell>
        </row>
        <row r="1366">
          <cell r="A1366">
            <v>1509</v>
          </cell>
        </row>
        <row r="1367">
          <cell r="A1367">
            <v>1510</v>
          </cell>
        </row>
        <row r="1368">
          <cell r="A1368">
            <v>1511</v>
          </cell>
        </row>
        <row r="1369">
          <cell r="A1369">
            <v>1512</v>
          </cell>
        </row>
        <row r="1370">
          <cell r="A1370">
            <v>1523</v>
          </cell>
        </row>
        <row r="1371">
          <cell r="A1371">
            <v>1524</v>
          </cell>
        </row>
        <row r="1372">
          <cell r="A1372">
            <v>1525</v>
          </cell>
        </row>
        <row r="1373">
          <cell r="A1373">
            <v>1526</v>
          </cell>
        </row>
        <row r="1374">
          <cell r="A1374">
            <v>5001</v>
          </cell>
        </row>
        <row r="1375">
          <cell r="A1375">
            <v>5002</v>
          </cell>
        </row>
        <row r="1376">
          <cell r="A1376">
            <v>5003</v>
          </cell>
        </row>
        <row r="1377">
          <cell r="A1377">
            <v>5004</v>
          </cell>
        </row>
        <row r="1378">
          <cell r="A1378">
            <v>5005</v>
          </cell>
        </row>
        <row r="1379">
          <cell r="A1379">
            <v>5006</v>
          </cell>
        </row>
        <row r="1380">
          <cell r="A1380">
            <v>5007</v>
          </cell>
        </row>
        <row r="1381">
          <cell r="A1381">
            <v>5008</v>
          </cell>
        </row>
        <row r="1382">
          <cell r="A1382">
            <v>6001</v>
          </cell>
        </row>
        <row r="1383">
          <cell r="A1383">
            <v>6002</v>
          </cell>
        </row>
        <row r="1384">
          <cell r="A1384">
            <v>6003</v>
          </cell>
        </row>
        <row r="1385">
          <cell r="A1385">
            <v>6004</v>
          </cell>
        </row>
        <row r="1386">
          <cell r="A1386">
            <v>6005</v>
          </cell>
        </row>
        <row r="1387">
          <cell r="A1387">
            <v>6006</v>
          </cell>
        </row>
        <row r="1388">
          <cell r="A1388">
            <v>6007</v>
          </cell>
        </row>
        <row r="1389">
          <cell r="A1389">
            <v>6008</v>
          </cell>
        </row>
        <row r="1390">
          <cell r="A1390">
            <v>6009</v>
          </cell>
        </row>
        <row r="1391">
          <cell r="A1391">
            <v>6010</v>
          </cell>
        </row>
        <row r="1392">
          <cell r="A1392">
            <v>6011</v>
          </cell>
        </row>
        <row r="1393">
          <cell r="A1393">
            <v>6012</v>
          </cell>
        </row>
        <row r="1394">
          <cell r="A1394">
            <v>6013</v>
          </cell>
        </row>
        <row r="1395">
          <cell r="A1395">
            <v>6014</v>
          </cell>
        </row>
        <row r="1396">
          <cell r="A1396">
            <v>6015</v>
          </cell>
        </row>
        <row r="1397">
          <cell r="A1397">
            <v>6016</v>
          </cell>
        </row>
        <row r="1398">
          <cell r="A1398">
            <v>6017</v>
          </cell>
        </row>
        <row r="1399">
          <cell r="A1399">
            <v>6018</v>
          </cell>
        </row>
        <row r="1400">
          <cell r="A1400">
            <v>6019</v>
          </cell>
        </row>
        <row r="1401">
          <cell r="A1401">
            <v>6020</v>
          </cell>
        </row>
        <row r="1402">
          <cell r="A1402">
            <v>8001</v>
          </cell>
        </row>
        <row r="1403">
          <cell r="A1403">
            <v>8002</v>
          </cell>
        </row>
        <row r="1404">
          <cell r="A1404">
            <v>8003</v>
          </cell>
        </row>
        <row r="1405">
          <cell r="A1405">
            <v>8004</v>
          </cell>
        </row>
        <row r="1406">
          <cell r="A1406">
            <v>8005</v>
          </cell>
        </row>
        <row r="1407">
          <cell r="A1407">
            <v>8006</v>
          </cell>
        </row>
        <row r="1408">
          <cell r="A1408">
            <v>8007</v>
          </cell>
        </row>
        <row r="1409">
          <cell r="A1409">
            <v>8008</v>
          </cell>
        </row>
        <row r="1410">
          <cell r="A1410">
            <v>8009</v>
          </cell>
        </row>
        <row r="1411">
          <cell r="A1411">
            <v>8010</v>
          </cell>
        </row>
        <row r="1412">
          <cell r="A1412">
            <v>8011</v>
          </cell>
        </row>
        <row r="1413">
          <cell r="A1413">
            <v>8012</v>
          </cell>
        </row>
        <row r="1414">
          <cell r="A1414">
            <v>8013</v>
          </cell>
        </row>
        <row r="1415">
          <cell r="A1415">
            <v>8014</v>
          </cell>
        </row>
        <row r="1416">
          <cell r="A1416">
            <v>8015</v>
          </cell>
        </row>
        <row r="1417">
          <cell r="A1417">
            <v>8016</v>
          </cell>
        </row>
        <row r="1418">
          <cell r="A1418">
            <v>8017</v>
          </cell>
        </row>
        <row r="1419">
          <cell r="A1419">
            <v>8018</v>
          </cell>
        </row>
        <row r="1420">
          <cell r="A1420">
            <v>8019</v>
          </cell>
        </row>
        <row r="1421">
          <cell r="A1421">
            <v>8020</v>
          </cell>
        </row>
        <row r="1422">
          <cell r="A1422">
            <v>8021</v>
          </cell>
        </row>
        <row r="1423">
          <cell r="A1423">
            <v>8022</v>
          </cell>
        </row>
        <row r="1424">
          <cell r="A1424">
            <v>8023</v>
          </cell>
        </row>
        <row r="1425">
          <cell r="A1425">
            <v>8024</v>
          </cell>
        </row>
        <row r="1426">
          <cell r="A1426">
            <v>8025</v>
          </cell>
        </row>
        <row r="1427">
          <cell r="A1427">
            <v>8026</v>
          </cell>
        </row>
        <row r="1428">
          <cell r="A1428">
            <v>8027</v>
          </cell>
        </row>
        <row r="1429">
          <cell r="A1429">
            <v>8028</v>
          </cell>
        </row>
        <row r="1430">
          <cell r="A1430">
            <v>8029</v>
          </cell>
        </row>
        <row r="1431">
          <cell r="A1431">
            <v>8030</v>
          </cell>
        </row>
        <row r="1432">
          <cell r="A1432">
            <v>8031</v>
          </cell>
        </row>
        <row r="1433">
          <cell r="A1433">
            <v>8032</v>
          </cell>
        </row>
        <row r="1434">
          <cell r="A1434">
            <v>8033</v>
          </cell>
        </row>
        <row r="1435">
          <cell r="A1435">
            <v>8034</v>
          </cell>
        </row>
        <row r="1436">
          <cell r="A1436">
            <v>8035</v>
          </cell>
        </row>
        <row r="1437">
          <cell r="A1437">
            <v>8036</v>
          </cell>
        </row>
        <row r="1438">
          <cell r="A1438">
            <v>8037</v>
          </cell>
        </row>
        <row r="1439">
          <cell r="A1439">
            <v>8038</v>
          </cell>
        </row>
        <row r="1440">
          <cell r="A1440">
            <v>8039</v>
          </cell>
        </row>
        <row r="1441">
          <cell r="A1441">
            <v>8040</v>
          </cell>
        </row>
        <row r="1442">
          <cell r="A1442">
            <v>8041</v>
          </cell>
        </row>
        <row r="1443">
          <cell r="A1443">
            <v>8042</v>
          </cell>
        </row>
        <row r="1444">
          <cell r="A1444">
            <v>8043</v>
          </cell>
        </row>
        <row r="1445">
          <cell r="A1445">
            <v>8044</v>
          </cell>
        </row>
        <row r="1446">
          <cell r="A1446">
            <v>8045</v>
          </cell>
        </row>
        <row r="1447">
          <cell r="A1447">
            <v>8046</v>
          </cell>
        </row>
        <row r="1448">
          <cell r="A1448">
            <v>8047</v>
          </cell>
        </row>
        <row r="1449">
          <cell r="A1449">
            <v>8048</v>
          </cell>
        </row>
        <row r="1450">
          <cell r="A1450">
            <v>8049</v>
          </cell>
        </row>
        <row r="1451">
          <cell r="A1451">
            <v>8050</v>
          </cell>
        </row>
        <row r="1452">
          <cell r="A1452">
            <v>8051</v>
          </cell>
        </row>
        <row r="1453">
          <cell r="A1453">
            <v>8052</v>
          </cell>
        </row>
        <row r="1454">
          <cell r="A1454">
            <v>8053</v>
          </cell>
        </row>
        <row r="1455">
          <cell r="A1455">
            <v>8054</v>
          </cell>
        </row>
        <row r="1456">
          <cell r="A1456">
            <v>8055</v>
          </cell>
        </row>
        <row r="1457">
          <cell r="A1457">
            <v>8056</v>
          </cell>
        </row>
        <row r="1458">
          <cell r="A1458">
            <v>8057</v>
          </cell>
        </row>
        <row r="1459">
          <cell r="A1459">
            <v>8058</v>
          </cell>
        </row>
        <row r="1460">
          <cell r="A1460">
            <v>8059</v>
          </cell>
        </row>
        <row r="1461">
          <cell r="A1461">
            <v>8060</v>
          </cell>
        </row>
        <row r="1462">
          <cell r="A1462">
            <v>8061</v>
          </cell>
        </row>
        <row r="1463">
          <cell r="A1463">
            <v>8062</v>
          </cell>
        </row>
        <row r="1464">
          <cell r="A1464">
            <v>8063</v>
          </cell>
        </row>
        <row r="1465">
          <cell r="A1465">
            <v>8064</v>
          </cell>
        </row>
        <row r="1466">
          <cell r="A1466">
            <v>8065</v>
          </cell>
        </row>
        <row r="1467">
          <cell r="A1467">
            <v>8066</v>
          </cell>
        </row>
        <row r="1468">
          <cell r="A1468">
            <v>8067</v>
          </cell>
        </row>
        <row r="1469">
          <cell r="A1469">
            <v>8068</v>
          </cell>
        </row>
        <row r="1470">
          <cell r="A1470">
            <v>8069</v>
          </cell>
        </row>
        <row r="1471">
          <cell r="A1471">
            <v>8070</v>
          </cell>
        </row>
        <row r="1472">
          <cell r="A1472">
            <v>8071</v>
          </cell>
        </row>
        <row r="1473">
          <cell r="A1473">
            <v>8072</v>
          </cell>
        </row>
        <row r="1474">
          <cell r="A1474">
            <v>8073</v>
          </cell>
        </row>
        <row r="1475">
          <cell r="A1475">
            <v>8074</v>
          </cell>
        </row>
        <row r="1476">
          <cell r="A1476">
            <v>8077</v>
          </cell>
        </row>
        <row r="1477">
          <cell r="A1477">
            <v>8078</v>
          </cell>
        </row>
        <row r="1478">
          <cell r="A1478">
            <v>8079</v>
          </cell>
        </row>
        <row r="1479">
          <cell r="A1479">
            <v>8080</v>
          </cell>
        </row>
        <row r="1480">
          <cell r="A1480">
            <v>8081</v>
          </cell>
        </row>
        <row r="1481">
          <cell r="A1481">
            <v>8082</v>
          </cell>
        </row>
        <row r="1482">
          <cell r="A1482">
            <v>8083</v>
          </cell>
        </row>
        <row r="1483">
          <cell r="A1483">
            <v>8084</v>
          </cell>
        </row>
        <row r="1484">
          <cell r="A1484">
            <v>8087</v>
          </cell>
        </row>
        <row r="1485">
          <cell r="A1485">
            <v>8088</v>
          </cell>
        </row>
        <row r="1486">
          <cell r="A1486">
            <v>8089</v>
          </cell>
        </row>
        <row r="1487">
          <cell r="A1487">
            <v>8090</v>
          </cell>
        </row>
        <row r="1488">
          <cell r="A1488">
            <v>8095</v>
          </cell>
        </row>
        <row r="1489">
          <cell r="A1489">
            <v>8096</v>
          </cell>
        </row>
        <row r="1490">
          <cell r="A1490">
            <v>8097</v>
          </cell>
        </row>
        <row r="1491">
          <cell r="A1491">
            <v>8098</v>
          </cell>
        </row>
        <row r="1492">
          <cell r="A1492">
            <v>8099</v>
          </cell>
        </row>
        <row r="1493">
          <cell r="A1493">
            <v>8100</v>
          </cell>
        </row>
        <row r="1494">
          <cell r="A1494">
            <v>8101</v>
          </cell>
        </row>
        <row r="1495">
          <cell r="A1495">
            <v>8102</v>
          </cell>
        </row>
        <row r="1496">
          <cell r="A1496">
            <v>9001</v>
          </cell>
        </row>
        <row r="1497">
          <cell r="A1497">
            <v>9002</v>
          </cell>
        </row>
        <row r="1498">
          <cell r="A1498">
            <v>9003</v>
          </cell>
        </row>
        <row r="1499">
          <cell r="A1499">
            <v>9004</v>
          </cell>
        </row>
        <row r="1500">
          <cell r="A1500">
            <v>9005</v>
          </cell>
        </row>
        <row r="1501">
          <cell r="A1501">
            <v>9006</v>
          </cell>
        </row>
        <row r="1502">
          <cell r="A1502">
            <v>9007</v>
          </cell>
        </row>
        <row r="1503">
          <cell r="A1503">
            <v>9008</v>
          </cell>
        </row>
        <row r="1504">
          <cell r="A1504">
            <v>10101</v>
          </cell>
        </row>
        <row r="1505">
          <cell r="A1505">
            <v>10102</v>
          </cell>
        </row>
        <row r="1506">
          <cell r="A1506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8087</v>
          </cell>
        </row>
        <row r="1614">
          <cell r="A1614">
            <v>8088</v>
          </cell>
        </row>
        <row r="1615">
          <cell r="A1615">
            <v>8089</v>
          </cell>
        </row>
        <row r="1616">
          <cell r="A1616">
            <v>8090</v>
          </cell>
        </row>
        <row r="1617">
          <cell r="A1617">
            <v>8095</v>
          </cell>
        </row>
        <row r="1618">
          <cell r="A1618">
            <v>8096</v>
          </cell>
        </row>
        <row r="1619">
          <cell r="A1619">
            <v>8097</v>
          </cell>
        </row>
        <row r="1620">
          <cell r="A1620">
            <v>8098</v>
          </cell>
        </row>
        <row r="1621">
          <cell r="A1621">
            <v>8099</v>
          </cell>
        </row>
        <row r="1622">
          <cell r="A1622">
            <v>8100</v>
          </cell>
        </row>
        <row r="1623">
          <cell r="A1623">
            <v>8101</v>
          </cell>
        </row>
        <row r="1624">
          <cell r="A1624">
            <v>8102</v>
          </cell>
        </row>
        <row r="1625">
          <cell r="A1625">
            <v>9001</v>
          </cell>
        </row>
        <row r="1626">
          <cell r="A1626">
            <v>9002</v>
          </cell>
        </row>
        <row r="1627">
          <cell r="A1627">
            <v>9003</v>
          </cell>
        </row>
        <row r="1628">
          <cell r="A1628">
            <v>9004</v>
          </cell>
        </row>
        <row r="1629">
          <cell r="A1629">
            <v>9005</v>
          </cell>
        </row>
        <row r="1630">
          <cell r="A1630">
            <v>9006</v>
          </cell>
        </row>
        <row r="1631">
          <cell r="A1631">
            <v>9007</v>
          </cell>
        </row>
        <row r="1632">
          <cell r="A1632">
            <v>9008</v>
          </cell>
        </row>
        <row r="1633">
          <cell r="A1633">
            <v>10001</v>
          </cell>
        </row>
        <row r="1634">
          <cell r="A1634">
            <v>10002</v>
          </cell>
        </row>
        <row r="1635">
          <cell r="A1635">
            <v>10003</v>
          </cell>
        </row>
        <row r="1636">
          <cell r="A1636">
            <v>10004</v>
          </cell>
        </row>
        <row r="1637">
          <cell r="A1637">
            <v>10005</v>
          </cell>
        </row>
        <row r="1638">
          <cell r="A1638">
            <v>10006</v>
          </cell>
        </row>
        <row r="1639">
          <cell r="A1639">
            <v>10007</v>
          </cell>
        </row>
        <row r="1640">
          <cell r="A1640">
            <v>10008</v>
          </cell>
        </row>
        <row r="1641">
          <cell r="A1641">
            <v>10009</v>
          </cell>
        </row>
        <row r="1642">
          <cell r="A1642">
            <v>10010</v>
          </cell>
        </row>
        <row r="1643">
          <cell r="A1643">
            <v>10011</v>
          </cell>
        </row>
        <row r="1644">
          <cell r="A1644">
            <v>10012</v>
          </cell>
        </row>
        <row r="1645">
          <cell r="A1645">
            <v>10013</v>
          </cell>
        </row>
        <row r="1646">
          <cell r="A1646">
            <v>10014</v>
          </cell>
        </row>
        <row r="1647">
          <cell r="A1647">
            <v>10015</v>
          </cell>
        </row>
        <row r="1648">
          <cell r="A1648">
            <v>10016</v>
          </cell>
        </row>
        <row r="1649">
          <cell r="A1649">
            <v>10017</v>
          </cell>
        </row>
        <row r="1650">
          <cell r="A1650">
            <v>10018</v>
          </cell>
        </row>
        <row r="1651">
          <cell r="A1651">
            <v>10019</v>
          </cell>
        </row>
        <row r="1652">
          <cell r="A1652">
            <v>10020</v>
          </cell>
        </row>
        <row r="1653">
          <cell r="A1653">
            <v>10021</v>
          </cell>
        </row>
        <row r="1654">
          <cell r="A1654">
            <v>10022</v>
          </cell>
        </row>
        <row r="1655">
          <cell r="A1655">
            <v>10023</v>
          </cell>
        </row>
        <row r="1656">
          <cell r="A1656">
            <v>10024</v>
          </cell>
        </row>
        <row r="1657">
          <cell r="A1657">
            <v>10025</v>
          </cell>
        </row>
        <row r="1658">
          <cell r="A1658">
            <v>10026</v>
          </cell>
        </row>
        <row r="1659">
          <cell r="A1659">
            <v>10027</v>
          </cell>
        </row>
        <row r="1660">
          <cell r="A1660">
            <v>10028</v>
          </cell>
        </row>
        <row r="1661">
          <cell r="A1661">
            <v>10029</v>
          </cell>
        </row>
        <row r="1662">
          <cell r="A1662">
            <v>10030</v>
          </cell>
        </row>
        <row r="1663">
          <cell r="A1663">
            <v>10031</v>
          </cell>
        </row>
        <row r="1664">
          <cell r="A1664">
            <v>10032</v>
          </cell>
        </row>
        <row r="1665">
          <cell r="A1665">
            <v>10033</v>
          </cell>
        </row>
        <row r="1666">
          <cell r="A1666">
            <v>10034</v>
          </cell>
        </row>
        <row r="1667">
          <cell r="A1667">
            <v>10035</v>
          </cell>
        </row>
        <row r="1668">
          <cell r="A1668">
            <v>10036</v>
          </cell>
        </row>
        <row r="1669">
          <cell r="A1669">
            <v>10037</v>
          </cell>
        </row>
        <row r="1670">
          <cell r="A1670">
            <v>10038</v>
          </cell>
        </row>
        <row r="1671">
          <cell r="A1671">
            <v>10039</v>
          </cell>
        </row>
        <row r="1672">
          <cell r="A1672">
            <v>10040</v>
          </cell>
        </row>
        <row r="1673">
          <cell r="A1673">
            <v>10041</v>
          </cell>
        </row>
        <row r="1674">
          <cell r="A1674">
            <v>10042</v>
          </cell>
        </row>
        <row r="1675">
          <cell r="A1675">
            <v>10043</v>
          </cell>
        </row>
        <row r="1676">
          <cell r="A1676">
            <v>10044</v>
          </cell>
        </row>
        <row r="1677">
          <cell r="A1677">
            <v>10045</v>
          </cell>
        </row>
        <row r="1678">
          <cell r="A1678">
            <v>10046</v>
          </cell>
        </row>
        <row r="1679">
          <cell r="A1679">
            <v>10047</v>
          </cell>
        </row>
        <row r="1680">
          <cell r="A1680">
            <v>10048</v>
          </cell>
        </row>
        <row r="1681">
          <cell r="A1681">
            <v>10049</v>
          </cell>
        </row>
        <row r="1682">
          <cell r="A1682">
            <v>10050</v>
          </cell>
        </row>
        <row r="1683">
          <cell r="A1683">
            <v>10051</v>
          </cell>
        </row>
        <row r="1684">
          <cell r="A1684">
            <v>10052</v>
          </cell>
        </row>
        <row r="1685">
          <cell r="A1685">
            <v>10053</v>
          </cell>
        </row>
        <row r="1686">
          <cell r="A1686">
            <v>10054</v>
          </cell>
        </row>
        <row r="1687">
          <cell r="A1687">
            <v>10055</v>
          </cell>
        </row>
        <row r="1688">
          <cell r="A1688">
            <v>10056</v>
          </cell>
        </row>
        <row r="1689">
          <cell r="A1689">
            <v>10057</v>
          </cell>
        </row>
        <row r="1690">
          <cell r="A1690">
            <v>10058</v>
          </cell>
        </row>
        <row r="1691">
          <cell r="A1691">
            <v>10059</v>
          </cell>
        </row>
        <row r="1692">
          <cell r="A1692">
            <v>10060</v>
          </cell>
        </row>
        <row r="1693">
          <cell r="A1693">
            <v>10061</v>
          </cell>
        </row>
        <row r="1694">
          <cell r="A1694">
            <v>10062</v>
          </cell>
        </row>
        <row r="1695">
          <cell r="A1695">
            <v>10063</v>
          </cell>
        </row>
        <row r="1696">
          <cell r="A1696">
            <v>10064</v>
          </cell>
        </row>
        <row r="1697">
          <cell r="A1697">
            <v>10065</v>
          </cell>
        </row>
        <row r="1698">
          <cell r="A1698">
            <v>10066</v>
          </cell>
        </row>
        <row r="1699">
          <cell r="A1699">
            <v>10067</v>
          </cell>
        </row>
        <row r="1700">
          <cell r="A1700">
            <v>10068</v>
          </cell>
        </row>
        <row r="1701">
          <cell r="A1701">
            <v>10069</v>
          </cell>
        </row>
        <row r="1702">
          <cell r="A1702">
            <v>10070</v>
          </cell>
        </row>
        <row r="1703">
          <cell r="A1703">
            <v>10071</v>
          </cell>
        </row>
        <row r="1704">
          <cell r="A1704">
            <v>10072</v>
          </cell>
        </row>
        <row r="1705">
          <cell r="A1705">
            <v>10073</v>
          </cell>
        </row>
        <row r="1706">
          <cell r="A1706">
            <v>10074</v>
          </cell>
        </row>
        <row r="1707">
          <cell r="A1707">
            <v>10075</v>
          </cell>
        </row>
        <row r="1708">
          <cell r="A1708">
            <v>10076</v>
          </cell>
        </row>
        <row r="1709">
          <cell r="A1709">
            <v>10077</v>
          </cell>
        </row>
        <row r="1710">
          <cell r="A1710">
            <v>10078</v>
          </cell>
        </row>
        <row r="1711">
          <cell r="A1711">
            <v>10079</v>
          </cell>
        </row>
        <row r="1712">
          <cell r="A1712">
            <v>10080</v>
          </cell>
        </row>
        <row r="1713">
          <cell r="A1713">
            <v>10081</v>
          </cell>
        </row>
        <row r="1714">
          <cell r="A1714">
            <v>10082</v>
          </cell>
        </row>
        <row r="1715">
          <cell r="A1715">
            <v>10083</v>
          </cell>
        </row>
        <row r="1716">
          <cell r="A1716">
            <v>10084</v>
          </cell>
        </row>
        <row r="1717">
          <cell r="A1717">
            <v>10085</v>
          </cell>
        </row>
        <row r="1718">
          <cell r="A1718">
            <v>10086</v>
          </cell>
        </row>
        <row r="1719">
          <cell r="A1719">
            <v>10087</v>
          </cell>
        </row>
        <row r="1720">
          <cell r="A1720">
            <v>10088</v>
          </cell>
        </row>
        <row r="1721">
          <cell r="A1721">
            <v>10089</v>
          </cell>
        </row>
        <row r="1722">
          <cell r="A1722">
            <v>10090</v>
          </cell>
        </row>
        <row r="1723">
          <cell r="A1723">
            <v>10101</v>
          </cell>
        </row>
        <row r="1724">
          <cell r="A1724">
            <v>10102</v>
          </cell>
        </row>
        <row r="1725">
          <cell r="A172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F12" sqref="F1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248</v>
      </c>
      <c r="B2" s="57" t="s">
        <v>107</v>
      </c>
      <c r="C2" s="62">
        <v>40029</v>
      </c>
      <c r="D2" s="57" t="s">
        <v>108</v>
      </c>
      <c r="E2" s="56" t="str">
        <f>B2&amp;C2&amp;D2</f>
        <v>floors_40029.tmp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249</v>
      </c>
      <c r="B3" s="57" t="s">
        <v>110</v>
      </c>
      <c r="C3" s="62">
        <v>40029</v>
      </c>
      <c r="D3" s="57" t="s">
        <v>108</v>
      </c>
      <c r="E3" s="56" t="str">
        <f>B3&amp;C3&amp;D3</f>
        <v>enemy_habitats_40029.tmp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176</v>
      </c>
    </row>
    <row r="4" spans="1:30" x14ac:dyDescent="0.15">
      <c r="A4" s="61" t="s">
        <v>247</v>
      </c>
      <c r="B4" s="57" t="s">
        <v>112</v>
      </c>
      <c r="C4" s="62">
        <v>40029</v>
      </c>
      <c r="D4" s="57" t="s">
        <v>108</v>
      </c>
      <c r="E4" s="56" t="str">
        <f>B4&amp;C4&amp;D4</f>
        <v>enemy_habitat_S_40029.tmp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265</v>
      </c>
      <c r="B5" s="57" t="s">
        <v>114</v>
      </c>
      <c r="C5" s="62">
        <v>40029</v>
      </c>
      <c r="D5" s="57" t="s">
        <v>108</v>
      </c>
      <c r="E5" s="56" t="str">
        <f>B5&amp;C5&amp;D5</f>
        <v>enemy_skill_sets_40029.tmp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248</v>
      </c>
      <c r="B6" s="57" t="s">
        <v>116</v>
      </c>
      <c r="C6" s="62">
        <v>40029</v>
      </c>
      <c r="D6" s="57" t="s">
        <v>117</v>
      </c>
      <c r="E6" s="56" t="str">
        <f t="shared" ref="E6:E10" si="0">B6&amp;C6&amp;D6</f>
        <v>enemy_skills_tmp_40029.tmp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248</v>
      </c>
      <c r="B7" s="57" t="s">
        <v>118</v>
      </c>
      <c r="C7" s="62">
        <v>40029</v>
      </c>
      <c r="D7" s="57" t="s">
        <v>108</v>
      </c>
      <c r="E7" s="56" t="str">
        <f>B7&amp;C7&amp;D7</f>
        <v>enemy_skills_i18n_40029.tmp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248</v>
      </c>
      <c r="B8" s="57" t="s">
        <v>120</v>
      </c>
      <c r="C8" s="62">
        <v>40029</v>
      </c>
      <c r="D8" s="57" t="s">
        <v>121</v>
      </c>
      <c r="E8" s="56" t="str">
        <f t="shared" si="0"/>
        <v>enemy_skill_triggers_40029.tmp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247</v>
      </c>
      <c r="B9" s="66" t="s">
        <v>175</v>
      </c>
      <c r="C9" s="62">
        <v>40029</v>
      </c>
      <c r="D9" s="66" t="s">
        <v>169</v>
      </c>
      <c r="E9" s="67" t="str">
        <f t="shared" si="0"/>
        <v>stage_bug_bonuses_40029.tmp</v>
      </c>
      <c r="F9" s="66" t="s">
        <v>170</v>
      </c>
      <c r="G9" s="64" t="s">
        <v>151</v>
      </c>
      <c r="H9" s="64" t="s">
        <v>171</v>
      </c>
      <c r="I9" s="64" t="s">
        <v>172</v>
      </c>
      <c r="J9" s="65" t="s">
        <v>173</v>
      </c>
      <c r="K9" s="64" t="s">
        <v>174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280</v>
      </c>
      <c r="B10" s="66" t="s">
        <v>199</v>
      </c>
      <c r="C10" s="62">
        <v>40029</v>
      </c>
      <c r="D10" s="66" t="s">
        <v>178</v>
      </c>
      <c r="E10" s="67" t="str">
        <f t="shared" si="0"/>
        <v>stage_hints_data_c_40029.tmp</v>
      </c>
      <c r="F10" s="66" t="s">
        <v>207</v>
      </c>
      <c r="G10" s="72" t="s">
        <v>179</v>
      </c>
      <c r="H10" s="72" t="s">
        <v>171</v>
      </c>
      <c r="I10" s="73" t="s">
        <v>180</v>
      </c>
      <c r="J10" s="65" t="s">
        <v>181</v>
      </c>
      <c r="K10" s="65" t="s">
        <v>182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4" customFormat="1" x14ac:dyDescent="0.15">
      <c r="A11" s="61" t="s">
        <v>280</v>
      </c>
      <c r="B11" s="66" t="s">
        <v>200</v>
      </c>
      <c r="C11" s="62">
        <v>40029</v>
      </c>
      <c r="D11" s="66" t="s">
        <v>169</v>
      </c>
      <c r="E11" s="67" t="str">
        <f t="shared" ref="E11:E13" si="1">B11&amp;C11&amp;D11</f>
        <v>stage_hints_data_f_40029.tmp</v>
      </c>
      <c r="F11" s="66" t="s">
        <v>208</v>
      </c>
      <c r="G11" s="72" t="s">
        <v>179</v>
      </c>
      <c r="H11" s="72" t="s">
        <v>171</v>
      </c>
      <c r="I11" s="73" t="s">
        <v>180</v>
      </c>
      <c r="J11" s="65" t="s">
        <v>181</v>
      </c>
      <c r="K11" s="65" t="s">
        <v>182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4" customFormat="1" x14ac:dyDescent="0.15">
      <c r="A12" s="66" t="s">
        <v>281</v>
      </c>
      <c r="B12" s="66" t="s">
        <v>201</v>
      </c>
      <c r="C12" s="62">
        <v>40029</v>
      </c>
      <c r="D12" s="66" t="s">
        <v>169</v>
      </c>
      <c r="E12" s="67" t="str">
        <f t="shared" si="1"/>
        <v>stage_hints_i18n_40029.tmp</v>
      </c>
      <c r="F12" s="66" t="s">
        <v>209</v>
      </c>
      <c r="G12" s="73" t="s">
        <v>202</v>
      </c>
      <c r="H12" s="92" t="s">
        <v>203</v>
      </c>
      <c r="I12" s="72" t="s">
        <v>204</v>
      </c>
      <c r="J12" s="100" t="s">
        <v>205</v>
      </c>
      <c r="K12" s="65" t="s">
        <v>206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4" customFormat="1" x14ac:dyDescent="0.15">
      <c r="A13" s="66" t="s">
        <v>329</v>
      </c>
      <c r="B13" s="66" t="s">
        <v>244</v>
      </c>
      <c r="C13" s="62">
        <v>40029</v>
      </c>
      <c r="D13" s="66" t="s">
        <v>225</v>
      </c>
      <c r="E13" s="67" t="str">
        <f t="shared" si="1"/>
        <v>stage_bonuses_40029.tmp</v>
      </c>
      <c r="F13" s="66" t="s">
        <v>224</v>
      </c>
      <c r="G13" s="72" t="s">
        <v>226</v>
      </c>
      <c r="H13" s="72" t="s">
        <v>227</v>
      </c>
      <c r="I13" s="72" t="s">
        <v>228</v>
      </c>
      <c r="J13" s="72" t="s">
        <v>229</v>
      </c>
      <c r="K13" s="72" t="s">
        <v>230</v>
      </c>
      <c r="L13" s="72" t="s">
        <v>231</v>
      </c>
      <c r="M13" s="72" t="s">
        <v>232</v>
      </c>
      <c r="N13" s="72" t="s">
        <v>233</v>
      </c>
      <c r="O13" s="72" t="s">
        <v>234</v>
      </c>
      <c r="P13" s="72" t="s">
        <v>235</v>
      </c>
      <c r="Q13" s="72" t="s">
        <v>236</v>
      </c>
      <c r="R13" s="72" t="s">
        <v>237</v>
      </c>
      <c r="S13" s="72" t="s">
        <v>238</v>
      </c>
      <c r="T13" s="72" t="s">
        <v>239</v>
      </c>
      <c r="U13" s="72" t="s">
        <v>240</v>
      </c>
      <c r="V13" s="72" t="s">
        <v>241</v>
      </c>
      <c r="W13" s="72" t="s">
        <v>242</v>
      </c>
      <c r="X13" s="72" t="s">
        <v>243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D14" sqref="D1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2" customHeight="1" x14ac:dyDescent="0.15">
      <c r="A2" s="16" t="str">
        <f>G2&amp;"-"&amp;I2</f>
        <v>40029_1-1</v>
      </c>
      <c r="B2" s="16" t="str">
        <f>IF(COUNTIF(enemy_habitats!$H:$H,A2),"OK","NG")</f>
        <v>OK</v>
      </c>
      <c r="C2" s="7">
        <v>40029</v>
      </c>
      <c r="D2" s="11" t="str">
        <f ca="1">VLOOKUP($C2,OFFSET([2]quests!$A$1,0,0,COUNTA([2]quests!$A:$A),MATCH(D$1,[2]quests!$1:$1,0)-MATCH($C$1,[2]quests!$1:$1,0)+1),MATCH(D$1,[2]quests!$1:$1,0)-MATCH($C$1,[2]quests!$1:$1,0)+1,FALSE)</f>
        <v>カスケード襲来！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降臨29</v>
      </c>
      <c r="F2" s="21">
        <v>1</v>
      </c>
      <c r="G2" s="23" t="str">
        <f>C2&amp;"_"&amp;F2</f>
        <v>40029_1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【超絶級】カスケード襲来</v>
      </c>
      <c r="I2" s="21">
        <v>1</v>
      </c>
      <c r="J2" s="12">
        <v>25</v>
      </c>
      <c r="K2" s="12">
        <v>25</v>
      </c>
    </row>
    <row r="3" spans="1:11" ht="22" customHeight="1" x14ac:dyDescent="0.15">
      <c r="A3" s="16" t="str">
        <f t="shared" ref="A3:A5" si="0">G3&amp;"-"&amp;I3</f>
        <v>40029_1-2</v>
      </c>
      <c r="B3" s="16" t="str">
        <f>IF(COUNTIF(enemy_habitats!$H:$H,A3),"OK","NG")</f>
        <v>OK</v>
      </c>
      <c r="C3" s="7">
        <v>40029</v>
      </c>
      <c r="D3" s="11" t="str">
        <f ca="1">VLOOKUP($C3,OFFSET([2]quests!$A$1,0,0,COUNTA([2]quests!$A:$A),MATCH(D$1,[2]quests!$1:$1,0)-MATCH($C$1,[2]quests!$1:$1,0)+1),MATCH(D$1,[2]quests!$1:$1,0)-MATCH($C$1,[2]quests!$1:$1,0)+1,FALSE)</f>
        <v>カスケード襲来！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降臨29</v>
      </c>
      <c r="F3" s="21">
        <v>1</v>
      </c>
      <c r="G3" s="23" t="str">
        <f t="shared" ref="G3:G5" si="1">C3&amp;"_"&amp;F3</f>
        <v>40029_1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【超絶級】カスケード襲来</v>
      </c>
      <c r="I3" s="21">
        <v>2</v>
      </c>
      <c r="J3" s="12">
        <v>30</v>
      </c>
      <c r="K3" s="12">
        <v>30</v>
      </c>
    </row>
    <row r="4" spans="1:11" ht="22" customHeight="1" x14ac:dyDescent="0.15">
      <c r="A4" s="16" t="str">
        <f t="shared" si="0"/>
        <v>40029_1-3</v>
      </c>
      <c r="B4" s="16" t="str">
        <f>IF(COUNTIF(enemy_habitats!$H:$H,A4),"OK","NG")</f>
        <v>OK</v>
      </c>
      <c r="C4" s="7">
        <v>40029</v>
      </c>
      <c r="D4" s="11" t="str">
        <f ca="1">VLOOKUP($C4,OFFSET([2]quests!$A$1,0,0,COUNTA([2]quests!$A:$A),MATCH(D$1,[2]quests!$1:$1,0)-MATCH($C$1,[2]quests!$1:$1,0)+1),MATCH(D$1,[2]quests!$1:$1,0)-MATCH($C$1,[2]quests!$1:$1,0)+1,FALSE)</f>
        <v>カスケード襲来！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降臨29</v>
      </c>
      <c r="F4" s="21">
        <v>1</v>
      </c>
      <c r="G4" s="23" t="str">
        <f t="shared" si="1"/>
        <v>40029_1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【超絶級】カスケード襲来</v>
      </c>
      <c r="I4" s="21">
        <v>3</v>
      </c>
      <c r="J4" s="12">
        <v>60</v>
      </c>
      <c r="K4" s="12">
        <v>60</v>
      </c>
    </row>
    <row r="5" spans="1:11" ht="22" customHeight="1" x14ac:dyDescent="0.15">
      <c r="A5" s="16" t="str">
        <f t="shared" si="0"/>
        <v>40029_1-4</v>
      </c>
      <c r="B5" s="16" t="str">
        <f>IF(COUNTIF(enemy_habitats!$H:$H,A5),"OK","NG")</f>
        <v>OK</v>
      </c>
      <c r="C5" s="7">
        <v>40029</v>
      </c>
      <c r="D5" s="11" t="str">
        <f ca="1">VLOOKUP($C5,OFFSET([2]quests!$A$1,0,0,COUNTA([2]quests!$A:$A),MATCH(D$1,[2]quests!$1:$1,0)-MATCH($C$1,[2]quests!$1:$1,0)+1),MATCH(D$1,[2]quests!$1:$1,0)-MATCH($C$1,[2]quests!$1:$1,0)+1,FALSE)</f>
        <v>カスケード襲来！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降臨29</v>
      </c>
      <c r="F5" s="21">
        <v>1</v>
      </c>
      <c r="G5" s="23" t="str">
        <f t="shared" si="1"/>
        <v>40029_1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【超絶級】カスケード襲来</v>
      </c>
      <c r="I5" s="21">
        <v>4</v>
      </c>
      <c r="J5" s="12">
        <v>25</v>
      </c>
      <c r="K5" s="12">
        <v>25</v>
      </c>
    </row>
    <row r="6" spans="1:11" ht="21" customHeight="1" x14ac:dyDescent="0.15">
      <c r="A6" s="16" t="str">
        <f>G6&amp;"-"&amp;I6</f>
        <v>40029_2-1</v>
      </c>
      <c r="B6" s="16" t="str">
        <f>IF(COUNTIF(enemy_habitats!$H:$H,A6),"OK","NG")</f>
        <v>OK</v>
      </c>
      <c r="C6" s="7">
        <v>40029</v>
      </c>
      <c r="D6" s="11" t="str">
        <f ca="1">VLOOKUP($C6,OFFSET([2]quests!$A$1,0,0,COUNTA([2]quests!$A:$A),MATCH(D$1,[2]quests!$1:$1,0)-MATCH($C$1,[2]quests!$1:$1,0)+1),MATCH(D$1,[2]quests!$1:$1,0)-MATCH($C$1,[2]quests!$1:$1,0)+1,FALSE)</f>
        <v>カスケード襲来！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降臨29</v>
      </c>
      <c r="F6" s="21">
        <v>2</v>
      </c>
      <c r="G6" s="23" t="str">
        <f>C6&amp;"_"&amp;F6</f>
        <v>40029_2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【ウィザード級】カスケード襲来</v>
      </c>
      <c r="I6" s="21">
        <v>1</v>
      </c>
      <c r="J6" s="12">
        <v>25</v>
      </c>
      <c r="K6" s="12">
        <v>25</v>
      </c>
    </row>
    <row r="7" spans="1:11" ht="21" customHeight="1" x14ac:dyDescent="0.15">
      <c r="A7" s="16" t="str">
        <f t="shared" ref="A7:A9" si="2">G7&amp;"-"&amp;I7</f>
        <v>40029_2-2</v>
      </c>
      <c r="B7" s="16" t="str">
        <f>IF(COUNTIF(enemy_habitats!$H:$H,A7),"OK","NG")</f>
        <v>OK</v>
      </c>
      <c r="C7" s="7">
        <v>40029</v>
      </c>
      <c r="D7" s="11" t="str">
        <f ca="1">VLOOKUP($C7,OFFSET([2]quests!$A$1,0,0,COUNTA([2]quests!$A:$A),MATCH(D$1,[2]quests!$1:$1,0)-MATCH($C$1,[2]quests!$1:$1,0)+1),MATCH(D$1,[2]quests!$1:$1,0)-MATCH($C$1,[2]quests!$1:$1,0)+1,FALSE)</f>
        <v>カスケード襲来！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降臨29</v>
      </c>
      <c r="F7" s="21">
        <v>2</v>
      </c>
      <c r="G7" s="23" t="str">
        <f t="shared" ref="G7:G9" si="3">C7&amp;"_"&amp;F7</f>
        <v>40029_2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【ウィザード級】カスケード襲来</v>
      </c>
      <c r="I7" s="21">
        <v>2</v>
      </c>
      <c r="J7" s="12">
        <v>30</v>
      </c>
      <c r="K7" s="12">
        <v>30</v>
      </c>
    </row>
    <row r="8" spans="1:11" ht="21" customHeight="1" x14ac:dyDescent="0.15">
      <c r="A8" s="16" t="str">
        <f t="shared" si="2"/>
        <v>40029_2-3</v>
      </c>
      <c r="B8" s="16" t="str">
        <f>IF(COUNTIF(enemy_habitats!$H:$H,A8),"OK","NG")</f>
        <v>OK</v>
      </c>
      <c r="C8" s="7">
        <v>40029</v>
      </c>
      <c r="D8" s="11" t="str">
        <f ca="1">VLOOKUP($C8,OFFSET([2]quests!$A$1,0,0,COUNTA([2]quests!$A:$A),MATCH(D$1,[2]quests!$1:$1,0)-MATCH($C$1,[2]quests!$1:$1,0)+1),MATCH(D$1,[2]quests!$1:$1,0)-MATCH($C$1,[2]quests!$1:$1,0)+1,FALSE)</f>
        <v>カスケード襲来！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降臨29</v>
      </c>
      <c r="F8" s="21">
        <v>2</v>
      </c>
      <c r="G8" s="23" t="str">
        <f t="shared" si="3"/>
        <v>40029_2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【ウィザード級】カスケード襲来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40029_2-4</v>
      </c>
      <c r="B9" s="16" t="str">
        <f>IF(COUNTIF(enemy_habitats!$H:$H,A9),"OK","NG")</f>
        <v>OK</v>
      </c>
      <c r="C9" s="7">
        <v>40029</v>
      </c>
      <c r="D9" s="11" t="str">
        <f ca="1">VLOOKUP($C9,OFFSET([2]quests!$A$1,0,0,COUNTA([2]quests!$A:$A),MATCH(D$1,[2]quests!$1:$1,0)-MATCH($C$1,[2]quests!$1:$1,0)+1),MATCH(D$1,[2]quests!$1:$1,0)-MATCH($C$1,[2]quests!$1:$1,0)+1,FALSE)</f>
        <v>カスケード襲来！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降臨29</v>
      </c>
      <c r="F9" s="21">
        <v>2</v>
      </c>
      <c r="G9" s="23" t="str">
        <f t="shared" si="3"/>
        <v>40029_2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【ウィザード級】カスケード襲来</v>
      </c>
      <c r="I9" s="21">
        <v>4</v>
      </c>
      <c r="J9" s="12">
        <v>25</v>
      </c>
      <c r="K9" s="12">
        <v>25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1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R6" sqref="R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245</v>
      </c>
      <c r="U1" s="26" t="s">
        <v>50</v>
      </c>
      <c r="V1" s="101" t="s">
        <v>246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177</v>
      </c>
    </row>
    <row r="2" spans="1:42" ht="21" customHeight="1" x14ac:dyDescent="0.15">
      <c r="A2" s="16" t="str">
        <f>B2&amp;"_"&amp;C2&amp;"-"&amp;G2&amp;"/"&amp;L2&amp;"&lt;lv"&amp;R2&amp;"&gt;s"&amp;AC2</f>
        <v>40029_1-1/780&lt;lv40&gt;s1</v>
      </c>
      <c r="B2" s="22">
        <v>40029</v>
      </c>
      <c r="C2" s="21">
        <v>1</v>
      </c>
      <c r="D2" s="2" t="str">
        <f>B2&amp;"_"&amp;C2</f>
        <v>40029_1</v>
      </c>
      <c r="E2" s="4" t="str">
        <f ca="1">VLOOKUP($B2,OFFSET([2]quests!$A$1,0,0,COUNTA([2]quests!$A:$A),MATCH(E$1,[2]quests!$1:$1,0)-MATCH($B$1,[2]quests!$1:$1,0)+1),MATCH(E$1,[2]quests!$1:$1,0)-MATCH($B$1,[2]quests!$1:$1,0)+1,FALSE)</f>
        <v>カスケード襲来！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【超絶級】カスケード襲来</v>
      </c>
      <c r="G2" s="21">
        <v>1</v>
      </c>
      <c r="H2" s="15" t="str">
        <f>B2&amp;"_"&amp;C2&amp;"-"&amp;G2</f>
        <v>40029_1-1</v>
      </c>
      <c r="I2" s="4">
        <f ca="1">VLOOKUP($H2,OFFSET(floors!$A$1,0,0,COUNTA(floors!$A:$A),MATCH(I$1,floors!$1:$1,0)-MATCH($H$1,floors!$1:$1,0)+1),MATCH(I$1,floors!$1:$1,0)-MATCH($H$1,floors!$1:$1,0)+1,FALSE)</f>
        <v>25</v>
      </c>
      <c r="J2" s="4">
        <f ca="1">VLOOKUP($H2,OFFSET(floors!$A$1,0,0,COUNTA(floors!$A:$A),MATCH(J$1,floors!$1:$1,0)-MATCH($H$1,floors!$1:$1,0)+1),MATCH(J$1,floors!$1:$1,0)-MATCH($H$1,floors!$1:$1,0)+1,FALSE)</f>
        <v>25</v>
      </c>
      <c r="K2" s="38" t="s">
        <v>53</v>
      </c>
      <c r="L2" s="20">
        <v>780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カスケード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40</v>
      </c>
      <c r="S2" s="25">
        <v>3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186675</v>
      </c>
      <c r="U2" s="25">
        <v>1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4119</v>
      </c>
      <c r="W2" s="5">
        <v>10000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7">
        <v>40029100</v>
      </c>
      <c r="Z2" s="6">
        <v>1</v>
      </c>
      <c r="AA2" s="6">
        <v>100</v>
      </c>
      <c r="AB2" s="6">
        <v>1</v>
      </c>
      <c r="AC2" s="17">
        <v>1</v>
      </c>
      <c r="AD2" s="24">
        <f>L2</f>
        <v>780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カスケード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" s="7">
        <v>1</v>
      </c>
      <c r="AI2" s="24">
        <f ca="1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 ca="1">B3&amp;"_"&amp;C3&amp;"-"&amp;G3&amp;"/"&amp;L3&amp;"&lt;lv"&amp;R3&amp;"&gt;s"&amp;AC3</f>
        <v>40029_1-2/285&lt;lv40&gt;s2</v>
      </c>
      <c r="B3" s="22">
        <v>40029</v>
      </c>
      <c r="C3" s="21">
        <v>1</v>
      </c>
      <c r="D3" s="2" t="str">
        <f>B3&amp;"_"&amp;C3</f>
        <v>40029_1</v>
      </c>
      <c r="E3" s="4" t="str">
        <f ca="1">VLOOKUP($B3,OFFSET([2]quests!$A$1,0,0,COUNTA([2]quests!$A:$A),MATCH(E$1,[2]quests!$1:$1,0)-MATCH($B$1,[2]quests!$1:$1,0)+1),MATCH(E$1,[2]quests!$1:$1,0)-MATCH($B$1,[2]quests!$1:$1,0)+1,FALSE)</f>
        <v>カスケード襲来！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【超絶級】カスケード襲来</v>
      </c>
      <c r="G3" s="21">
        <v>2</v>
      </c>
      <c r="H3" s="15" t="str">
        <f>B3&amp;"_"&amp;C3&amp;"-"&amp;G3</f>
        <v>40029_1-2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>
        <v>1</v>
      </c>
      <c r="L3" s="20">
        <v>285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フェルニゲシュ・オーバードライヴ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DropWizW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dragon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40</v>
      </c>
      <c r="S3" s="25">
        <v>1.5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82081.5</v>
      </c>
      <c r="U3" s="25">
        <v>1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4208</v>
      </c>
      <c r="W3" s="5">
        <v>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3" s="47">
        <v>40029101</v>
      </c>
      <c r="Z3" s="6">
        <v>1</v>
      </c>
      <c r="AA3" s="6">
        <v>100</v>
      </c>
      <c r="AB3" s="6">
        <v>1</v>
      </c>
      <c r="AC3" s="17">
        <f ca="1">VLOOKUP($L3,OFFSET([3]enemies!$A$1,0,0,COUNTA([3]enemies!$A:$A),MATCH(AC$1,[3]enemies!$1:$1,0)-MATCH($L$1,[3]enemies!$1:$1,0)+1),MATCH(AC$1,[3]enemies!$1:$1,0)-MATCH($L$1,[3]enemies!$1:$1,0)+1,FALSE)</f>
        <v>2</v>
      </c>
      <c r="AD3" s="24">
        <f>L3</f>
        <v>285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フェルニゲシュ・オーバードライヴ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3" s="7">
        <v>1</v>
      </c>
      <c r="AI3" s="24">
        <f ca="1">AF3</f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 t="shared" ref="A4:A5" si="0">B4&amp;"_"&amp;C4&amp;"-"&amp;G4&amp;"/"&amp;L4&amp;"&lt;lv"&amp;R4&amp;"&gt;s"&amp;AC4</f>
        <v>40029_1-3/70&lt;lv40&gt;s2</v>
      </c>
      <c r="B4" s="22">
        <v>40029</v>
      </c>
      <c r="C4" s="21">
        <v>1</v>
      </c>
      <c r="D4" s="2" t="str">
        <f t="shared" ref="D4:D5" si="1">B4&amp;"_"&amp;C4</f>
        <v>40029_1</v>
      </c>
      <c r="E4" s="4" t="str">
        <f ca="1">VLOOKUP($B4,OFFSET([2]quests!$A$1,0,0,COUNTA([2]quests!$A:$A),MATCH(E$1,[2]quests!$1:$1,0)-MATCH($B$1,[2]quests!$1:$1,0)+1),MATCH(E$1,[2]quests!$1:$1,0)-MATCH($B$1,[2]quests!$1:$1,0)+1,FALSE)</f>
        <v>カスケード襲来！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【超絶級】カスケード襲来</v>
      </c>
      <c r="G4" s="21">
        <v>3</v>
      </c>
      <c r="H4" s="15" t="str">
        <f t="shared" ref="H4:H5" si="2">B4&amp;"_"&amp;C4&amp;"-"&amp;G4</f>
        <v>40029_1-3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70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自由の思想家 ストール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40</v>
      </c>
      <c r="S4" s="25">
        <v>1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79792</v>
      </c>
      <c r="U4" s="25">
        <v>0.8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3084.8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7">
        <v>40029103</v>
      </c>
      <c r="Z4" s="6">
        <v>0</v>
      </c>
      <c r="AA4" s="6">
        <v>100</v>
      </c>
      <c r="AB4" s="6">
        <v>1</v>
      </c>
      <c r="AC4" s="17">
        <v>2</v>
      </c>
      <c r="AD4" s="24">
        <f t="shared" ref="AD4:AD5" si="3">L4</f>
        <v>70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自由の思想家 ストール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Drop1S</v>
      </c>
      <c r="AH4" s="7">
        <v>1</v>
      </c>
      <c r="AI4" s="24">
        <f t="shared" ref="AI4:AI5" ca="1" si="4">AF4</f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si="0"/>
        <v>40029_1-3/37&lt;lv40&gt;s2</v>
      </c>
      <c r="B5" s="22">
        <v>40029</v>
      </c>
      <c r="C5" s="21">
        <v>1</v>
      </c>
      <c r="D5" s="2" t="str">
        <f t="shared" si="1"/>
        <v>40029_1</v>
      </c>
      <c r="E5" s="4" t="str">
        <f ca="1">VLOOKUP($B5,OFFSET([2]quests!$A$1,0,0,COUNTA([2]quests!$A:$A),MATCH(E$1,[2]quests!$1:$1,0)-MATCH($B$1,[2]quests!$1:$1,0)+1),MATCH(E$1,[2]quests!$1:$1,0)-MATCH($B$1,[2]quests!$1:$1,0)+1,FALSE)</f>
        <v>カスケード襲来！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【超絶級】カスケード襲来</v>
      </c>
      <c r="G5" s="21">
        <v>3</v>
      </c>
      <c r="H5" s="15" t="str">
        <f t="shared" si="2"/>
        <v>40029_1-3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37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ガイル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40</v>
      </c>
      <c r="S5" s="25">
        <v>4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33200</v>
      </c>
      <c r="U5" s="25">
        <v>1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2684</v>
      </c>
      <c r="W5" s="5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47">
        <v>40029104</v>
      </c>
      <c r="Z5" s="6">
        <v>2</v>
      </c>
      <c r="AA5" s="6">
        <v>100</v>
      </c>
      <c r="AB5" s="6">
        <v>0</v>
      </c>
      <c r="AC5" s="17">
        <v>2</v>
      </c>
      <c r="AD5" s="24">
        <f t="shared" si="3"/>
        <v>37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ガイル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Drop1S</v>
      </c>
      <c r="AH5" s="7">
        <v>1</v>
      </c>
      <c r="AI5" s="24">
        <f t="shared" ca="1" si="4"/>
        <v>2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x14ac:dyDescent="0.15">
      <c r="A6" s="16" t="str">
        <f>B6&amp;"_"&amp;C6&amp;"-"&amp;G6&amp;"/"&amp;L6&amp;"&lt;lv"&amp;R6&amp;"&gt;s"&amp;AC6</f>
        <v>40029_1-4/780&lt;lv40&gt;s2</v>
      </c>
      <c r="B6" s="22">
        <v>40029</v>
      </c>
      <c r="C6" s="21">
        <v>1</v>
      </c>
      <c r="D6" s="2" t="str">
        <f>B6&amp;"_"&amp;C6</f>
        <v>40029_1</v>
      </c>
      <c r="E6" s="4" t="str">
        <f ca="1">VLOOKUP($B6,OFFSET([2]quests!$A$1,0,0,COUNTA([2]quests!$A:$A),MATCH(E$1,[2]quests!$1:$1,0)-MATCH($B$1,[2]quests!$1:$1,0)+1),MATCH(E$1,[2]quests!$1:$1,0)-MATCH($B$1,[2]quests!$1:$1,0)+1,FALSE)</f>
        <v>カスケード襲来！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【超絶級】カスケード襲来</v>
      </c>
      <c r="G6" s="21">
        <v>4</v>
      </c>
      <c r="H6" s="15" t="str">
        <f>B6&amp;"_"&amp;C6&amp;"-"&amp;G6</f>
        <v>40029_1-4</v>
      </c>
      <c r="I6" s="4">
        <f ca="1">VLOOKUP($H6,OFFSET(floors!$A$1,0,0,COUNTA(floors!$A:$A),MATCH(I$1,floors!$1:$1,0)-MATCH($H$1,floors!$1:$1,0)+1),MATCH(I$1,floors!$1:$1,0)-MATCH($H$1,floors!$1:$1,0)+1,FALSE)</f>
        <v>25</v>
      </c>
      <c r="J6" s="4">
        <f ca="1">VLOOKUP($H6,OFFSET(floors!$A$1,0,0,COUNTA(floors!$A:$A),MATCH(J$1,floors!$1:$1,0)-MATCH($H$1,floors!$1:$1,0)+1),MATCH(J$1,floors!$1:$1,0)-MATCH($H$1,floors!$1:$1,0)+1,FALSE)</f>
        <v>25</v>
      </c>
      <c r="K6" s="38">
        <v>2</v>
      </c>
      <c r="L6" s="20">
        <v>780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カスケード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40</v>
      </c>
      <c r="S6" s="25">
        <v>5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311125</v>
      </c>
      <c r="U6" s="25">
        <v>1.3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5354.7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47">
        <v>40029105</v>
      </c>
      <c r="Z6" s="6">
        <v>1</v>
      </c>
      <c r="AA6" s="6">
        <v>100</v>
      </c>
      <c r="AB6" s="6">
        <v>1</v>
      </c>
      <c r="AC6" s="17">
        <v>2</v>
      </c>
      <c r="AD6" s="24">
        <f>L6</f>
        <v>780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カスケード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7">
        <v>1</v>
      </c>
      <c r="AI6" s="24">
        <f ca="1">AF6</f>
        <v>5</v>
      </c>
      <c r="AJ6" s="8">
        <v>15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6" t="str">
        <f>B7&amp;"_"&amp;C7&amp;"-"&amp;G7&amp;"/"&amp;L7&amp;"&lt;lv"&amp;R7&amp;"&gt;s"&amp;AC7</f>
        <v>40029_2-1/780&lt;lv60&gt;s1</v>
      </c>
      <c r="B7" s="22">
        <v>40029</v>
      </c>
      <c r="C7" s="21">
        <v>2</v>
      </c>
      <c r="D7" s="2" t="str">
        <f>B7&amp;"_"&amp;C7</f>
        <v>40029_2</v>
      </c>
      <c r="E7" s="4" t="str">
        <f ca="1">VLOOKUP($B7,OFFSET([2]quests!$A$1,0,0,COUNTA([2]quests!$A:$A),MATCH(E$1,[2]quests!$1:$1,0)-MATCH($B$1,[2]quests!$1:$1,0)+1),MATCH(E$1,[2]quests!$1:$1,0)-MATCH($B$1,[2]quests!$1:$1,0)+1,FALSE)</f>
        <v>カスケード襲来！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【ウィザード級】カスケード襲来</v>
      </c>
      <c r="G7" s="21">
        <v>1</v>
      </c>
      <c r="H7" s="15" t="str">
        <f>B7&amp;"_"&amp;C7&amp;"-"&amp;G7</f>
        <v>40029_2-1</v>
      </c>
      <c r="I7" s="4">
        <f ca="1">VLOOKUP($H7,OFFSET(floors!$A$1,0,0,COUNTA(floors!$A:$A),MATCH(I$1,floors!$1:$1,0)-MATCH($H$1,floors!$1:$1,0)+1),MATCH(I$1,floors!$1:$1,0)-MATCH($H$1,floors!$1:$1,0)+1,FALSE)</f>
        <v>25</v>
      </c>
      <c r="J7" s="4">
        <f ca="1">VLOOKUP($H7,OFFSET(floors!$A$1,0,0,COUNTA(floors!$A:$A),MATCH(J$1,floors!$1:$1,0)-MATCH($H$1,floors!$1:$1,0)+1),MATCH(J$1,floors!$1:$1,0)-MATCH($H$1,floors!$1:$1,0)+1,FALSE)</f>
        <v>25</v>
      </c>
      <c r="K7" s="38" t="s">
        <v>53</v>
      </c>
      <c r="L7" s="20">
        <v>780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カスケード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60</v>
      </c>
      <c r="S7" s="25">
        <v>3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276639</v>
      </c>
      <c r="U7" s="25">
        <v>1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6105</v>
      </c>
      <c r="W7" s="5">
        <v>10000</v>
      </c>
      <c r="X7" s="4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47">
        <v>40029100</v>
      </c>
      <c r="Z7" s="6">
        <v>1</v>
      </c>
      <c r="AA7" s="6">
        <v>100</v>
      </c>
      <c r="AB7" s="6">
        <v>1</v>
      </c>
      <c r="AC7" s="17">
        <v>1</v>
      </c>
      <c r="AD7" s="24">
        <f>L7</f>
        <v>780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カスケード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4">
        <f ca="1">AF7</f>
        <v>5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  <row r="8" spans="1:42" ht="21" customHeight="1" x14ac:dyDescent="0.15">
      <c r="A8" s="16" t="str">
        <f ca="1">B8&amp;"_"&amp;C8&amp;"-"&amp;G8&amp;"/"&amp;L8&amp;"&lt;lv"&amp;R8&amp;"&gt;s"&amp;AC8</f>
        <v>40029_2-2/285&lt;lv60&gt;s2</v>
      </c>
      <c r="B8" s="22">
        <v>40029</v>
      </c>
      <c r="C8" s="21">
        <v>2</v>
      </c>
      <c r="D8" s="2" t="str">
        <f>B8&amp;"_"&amp;C8</f>
        <v>40029_2</v>
      </c>
      <c r="E8" s="4" t="str">
        <f ca="1">VLOOKUP($B8,OFFSET([2]quests!$A$1,0,0,COUNTA([2]quests!$A:$A),MATCH(E$1,[2]quests!$1:$1,0)-MATCH($B$1,[2]quests!$1:$1,0)+1),MATCH(E$1,[2]quests!$1:$1,0)-MATCH($B$1,[2]quests!$1:$1,0)+1,FALSE)</f>
        <v>カスケード襲来！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【ウィザード級】カスケード襲来</v>
      </c>
      <c r="G8" s="21">
        <v>2</v>
      </c>
      <c r="H8" s="15" t="str">
        <f>B8&amp;"_"&amp;C8&amp;"-"&amp;G8</f>
        <v>40029_2-2</v>
      </c>
      <c r="I8" s="4">
        <f ca="1">VLOOKUP($H8,OFFSET(floors!$A$1,0,0,COUNTA(floors!$A:$A),MATCH(I$1,floors!$1:$1,0)-MATCH($H$1,floors!$1:$1,0)+1),MATCH(I$1,floors!$1:$1,0)-MATCH($H$1,floors!$1:$1,0)+1,FALSE)</f>
        <v>30</v>
      </c>
      <c r="J8" s="4">
        <f ca="1">VLOOKUP($H8,OFFSET(floors!$A$1,0,0,COUNTA(floors!$A:$A),MATCH(J$1,floors!$1:$1,0)-MATCH($H$1,floors!$1:$1,0)+1),MATCH(J$1,floors!$1:$1,0)-MATCH($H$1,floors!$1:$1,0)+1,FALSE)</f>
        <v>30</v>
      </c>
      <c r="K8" s="38">
        <v>3</v>
      </c>
      <c r="L8" s="20">
        <v>285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フェルニゲシュ・オーバードライヴ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dragon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60</v>
      </c>
      <c r="S8" s="25">
        <v>1.5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121639.5</v>
      </c>
      <c r="U8" s="25">
        <v>1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6235</v>
      </c>
      <c r="W8" s="5">
        <v>0</v>
      </c>
      <c r="X8" s="4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47">
        <v>40029101</v>
      </c>
      <c r="Z8" s="6">
        <v>1</v>
      </c>
      <c r="AA8" s="6">
        <v>100</v>
      </c>
      <c r="AB8" s="6">
        <v>1</v>
      </c>
      <c r="AC8" s="17">
        <f ca="1">VLOOKUP($L8,OFFSET([3]enemies!$A$1,0,0,COUNTA([3]enemies!$A:$A),MATCH(AC$1,[3]enemies!$1:$1,0)-MATCH($L$1,[3]enemies!$1:$1,0)+1),MATCH(AC$1,[3]enemies!$1:$1,0)-MATCH($L$1,[3]enemies!$1:$1,0)+1,FALSE)</f>
        <v>2</v>
      </c>
      <c r="AD8" s="24">
        <f>L8</f>
        <v>285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フェルニゲシュ・オーバードライヴ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8" s="7">
        <v>1</v>
      </c>
      <c r="AI8" s="24">
        <f ca="1">AF8</f>
        <v>4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8">
        <v>1</v>
      </c>
    </row>
    <row r="9" spans="1:42" ht="21" customHeight="1" x14ac:dyDescent="0.15">
      <c r="A9" s="16" t="str">
        <f t="shared" ref="A9:A10" si="5">B9&amp;"_"&amp;C9&amp;"-"&amp;G9&amp;"/"&amp;L9&amp;"&lt;lv"&amp;R9&amp;"&gt;s"&amp;AC9</f>
        <v>40029_2-3/70&lt;lv60&gt;s2</v>
      </c>
      <c r="B9" s="22">
        <v>40029</v>
      </c>
      <c r="C9" s="21">
        <v>2</v>
      </c>
      <c r="D9" s="2" t="str">
        <f t="shared" ref="D9:D10" si="6">B9&amp;"_"&amp;C9</f>
        <v>40029_2</v>
      </c>
      <c r="E9" s="4" t="str">
        <f ca="1">VLOOKUP($B9,OFFSET([2]quests!$A$1,0,0,COUNTA([2]quests!$A:$A),MATCH(E$1,[2]quests!$1:$1,0)-MATCH($B$1,[2]quests!$1:$1,0)+1),MATCH(E$1,[2]quests!$1:$1,0)-MATCH($B$1,[2]quests!$1:$1,0)+1,FALSE)</f>
        <v>カスケード襲来！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【ウィザード級】カスケード襲来</v>
      </c>
      <c r="G9" s="21">
        <v>3</v>
      </c>
      <c r="H9" s="15" t="str">
        <f t="shared" ref="H9:H10" si="7">B9&amp;"_"&amp;C9&amp;"-"&amp;G9</f>
        <v>40029_2-3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70</v>
      </c>
      <c r="M9" s="17" t="str">
        <f ca="1">VLOOKUP($L9,OFFSET([3]enemies!$A$1,0,0,COUNTA([3]enemies!$A:$A),MATCH(M$1,[3]enemies!$1:$1,0)-MATCH($L$1,[3]enemies!$1:$1,0)+1),MATCH(M$1,[3]enemies!$1:$1,0)-MATCH($L$1,[3]enemies!$1:$1,0)+1,FALSE)</f>
        <v>自由の思想家 ストール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60</v>
      </c>
      <c r="S9" s="25">
        <v>1</v>
      </c>
      <c r="T9" s="10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118246</v>
      </c>
      <c r="U9" s="25">
        <v>0.8</v>
      </c>
      <c r="V9" s="10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4571.2</v>
      </c>
      <c r="W9" s="5">
        <v>0</v>
      </c>
      <c r="X9" s="4" t="e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9" s="47">
        <v>40029103</v>
      </c>
      <c r="Z9" s="6">
        <v>0</v>
      </c>
      <c r="AA9" s="6">
        <v>100</v>
      </c>
      <c r="AB9" s="6">
        <v>1</v>
      </c>
      <c r="AC9" s="17">
        <v>2</v>
      </c>
      <c r="AD9" s="24">
        <f t="shared" ref="AD9:AD10" si="8">L9</f>
        <v>70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自由の思想家 ストール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7">
        <v>1</v>
      </c>
      <c r="AI9" s="24">
        <f t="shared" ref="AI9:AI10" ca="1" si="9">AF9</f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8">
        <v>1</v>
      </c>
    </row>
    <row r="10" spans="1:42" ht="21" customHeight="1" x14ac:dyDescent="0.15">
      <c r="A10" s="16" t="str">
        <f t="shared" si="5"/>
        <v>40029_2-3/37&lt;lv60&gt;s2</v>
      </c>
      <c r="B10" s="22">
        <v>40029</v>
      </c>
      <c r="C10" s="21">
        <v>2</v>
      </c>
      <c r="D10" s="2" t="str">
        <f t="shared" si="6"/>
        <v>40029_2</v>
      </c>
      <c r="E10" s="4" t="str">
        <f ca="1">VLOOKUP($B10,OFFSET([2]quests!$A$1,0,0,COUNTA([2]quests!$A:$A),MATCH(E$1,[2]quests!$1:$1,0)-MATCH($B$1,[2]quests!$1:$1,0)+1),MATCH(E$1,[2]quests!$1:$1,0)-MATCH($B$1,[2]quests!$1:$1,0)+1,FALSE)</f>
        <v>カスケード襲来！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【ウィザード級】カスケード襲来</v>
      </c>
      <c r="G10" s="21">
        <v>3</v>
      </c>
      <c r="H10" s="15" t="str">
        <f t="shared" si="7"/>
        <v>40029_2-3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37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ガイル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60</v>
      </c>
      <c r="S10" s="25">
        <v>4</v>
      </c>
      <c r="T10" s="10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49200</v>
      </c>
      <c r="U10" s="25">
        <v>1</v>
      </c>
      <c r="V10" s="10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3978</v>
      </c>
      <c r="W10" s="5">
        <v>0</v>
      </c>
      <c r="X10" s="4" t="e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0" s="47">
        <v>40029104</v>
      </c>
      <c r="Z10" s="6">
        <v>2</v>
      </c>
      <c r="AA10" s="6">
        <v>100</v>
      </c>
      <c r="AB10" s="6">
        <v>0</v>
      </c>
      <c r="AC10" s="17">
        <v>2</v>
      </c>
      <c r="AD10" s="24">
        <f t="shared" si="8"/>
        <v>37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ガイル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Drop1S</v>
      </c>
      <c r="AH10" s="7">
        <v>1</v>
      </c>
      <c r="AI10" s="24">
        <f t="shared" ca="1" si="9"/>
        <v>2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8">
        <v>1</v>
      </c>
    </row>
    <row r="11" spans="1:42" ht="21" customHeight="1" x14ac:dyDescent="0.15">
      <c r="A11" s="16" t="str">
        <f>B11&amp;"_"&amp;C11&amp;"-"&amp;G11&amp;"/"&amp;L11&amp;"&lt;lv"&amp;R11&amp;"&gt;s"&amp;AC11</f>
        <v>40029_2-4/780&lt;lv60&gt;s2</v>
      </c>
      <c r="B11" s="22">
        <v>40029</v>
      </c>
      <c r="C11" s="21">
        <v>2</v>
      </c>
      <c r="D11" s="2" t="str">
        <f>B11&amp;"_"&amp;C11</f>
        <v>40029_2</v>
      </c>
      <c r="E11" s="4" t="str">
        <f ca="1">VLOOKUP($B11,OFFSET([2]quests!$A$1,0,0,COUNTA([2]quests!$A:$A),MATCH(E$1,[2]quests!$1:$1,0)-MATCH($B$1,[2]quests!$1:$1,0)+1),MATCH(E$1,[2]quests!$1:$1,0)-MATCH($B$1,[2]quests!$1:$1,0)+1,FALSE)</f>
        <v>カスケード襲来！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【ウィザード級】カスケード襲来</v>
      </c>
      <c r="G11" s="21">
        <v>4</v>
      </c>
      <c r="H11" s="15" t="str">
        <f>B11&amp;"_"&amp;C11&amp;"-"&amp;G11</f>
        <v>40029_2-4</v>
      </c>
      <c r="I11" s="4">
        <f ca="1">VLOOKUP($H11,OFFSET(floors!$A$1,0,0,COUNTA(floors!$A:$A),MATCH(I$1,floors!$1:$1,0)-MATCH($H$1,floors!$1:$1,0)+1),MATCH(I$1,floors!$1:$1,0)-MATCH($H$1,floors!$1:$1,0)+1,FALSE)</f>
        <v>25</v>
      </c>
      <c r="J11" s="4">
        <f ca="1">VLOOKUP($H11,OFFSET(floors!$A$1,0,0,COUNTA(floors!$A:$A),MATCH(J$1,floors!$1:$1,0)-MATCH($H$1,floors!$1:$1,0)+1),MATCH(J$1,floors!$1:$1,0)-MATCH($H$1,floors!$1:$1,0)+1,FALSE)</f>
        <v>25</v>
      </c>
      <c r="K11" s="38">
        <v>4</v>
      </c>
      <c r="L11" s="20">
        <v>780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カスケード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60</v>
      </c>
      <c r="S11" s="25">
        <v>5</v>
      </c>
      <c r="T11" s="10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461065</v>
      </c>
      <c r="U11" s="25">
        <v>1.3</v>
      </c>
      <c r="V11" s="10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7936.5</v>
      </c>
      <c r="W11" s="5">
        <v>0</v>
      </c>
      <c r="X11" s="4" t="e">
        <f ca="1">VLOOKUP($Y11,OFFSET([5]enemy_skill_sets!$B$1,0,0,COUNTA([5]enemy_skill_sets!$B:$B),MATCH(M$1,[5]enemy_skill_sets!$1:$1,0)-MATCH($Y$1,[5]enemy_skill_sets!$1:$1,0)+2),MATCH(M$1,[5]enemy_skill_sets!$1:$1,0)-MATCH($Y$1,[5]enemy_skill_sets!$1:$1,0)+2,FALSE)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1" s="47">
        <v>40029105</v>
      </c>
      <c r="Z11" s="6">
        <v>1</v>
      </c>
      <c r="AA11" s="6">
        <v>100</v>
      </c>
      <c r="AB11" s="6">
        <v>1</v>
      </c>
      <c r="AC11" s="17">
        <v>2</v>
      </c>
      <c r="AD11" s="24">
        <f>L11</f>
        <v>780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カスケード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7">
        <v>1</v>
      </c>
      <c r="AI11" s="24">
        <f ca="1">AF11</f>
        <v>5</v>
      </c>
      <c r="AJ11" s="8">
        <v>30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W23" sqref="W2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245</v>
      </c>
      <c r="V1" s="26" t="s">
        <v>50</v>
      </c>
      <c r="W1" s="101" t="s">
        <v>246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 t="shared" ref="A2:A7" si="0">B2&amp;"_"&amp;C2&amp;"-"&amp;G2&amp;"/"&amp;M2&amp;"&lt;lv"&amp;S2&amp;"&gt;sq"&amp;K2&amp;"st"&amp;L2</f>
        <v>40029_1-2/618&lt;lv40&gt;sq1st2</v>
      </c>
      <c r="B2" s="22">
        <v>40029</v>
      </c>
      <c r="C2" s="21">
        <v>1</v>
      </c>
      <c r="D2" s="2" t="str">
        <f t="shared" ref="D2:D7" si="1">B2&amp;"_"&amp;C2</f>
        <v>40029_1</v>
      </c>
      <c r="E2" s="4" t="str">
        <f ca="1">VLOOKUP($B2,OFFSET([2]quests!$A$1,0,0,COUNTA([2]quests!$A:$A),MATCH(E$1,[2]quests!$1:$1,0)-MATCH($B$1,[2]quests!$1:$1,0)+1),MATCH(E$1,[2]quests!$1:$1,0)-MATCH($B$1,[2]quests!$1:$1,0)+1,FALSE)</f>
        <v>カスケード襲来！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【超絶級】カスケード襲来</v>
      </c>
      <c r="G2" s="21">
        <v>2</v>
      </c>
      <c r="H2" s="15" t="str">
        <f t="shared" ref="H2:H7" si="2">B2&amp;"_"&amp;C2&amp;"-"&amp;G2</f>
        <v>40029_1-2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>
        <v>1</v>
      </c>
      <c r="L2" s="38">
        <v>2</v>
      </c>
      <c r="M2" s="20">
        <v>618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フェルニゲシュ・オメガドライブ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40</v>
      </c>
      <c r="T2" s="25">
        <v>1.5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107338.5</v>
      </c>
      <c r="V2" s="25">
        <v>1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4531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7">
        <v>40029102</v>
      </c>
      <c r="AA2" s="69">
        <v>1</v>
      </c>
    </row>
    <row r="3" spans="1:27" ht="21" customHeight="1" x14ac:dyDescent="0.15">
      <c r="A3" s="16" t="str">
        <f t="shared" si="0"/>
        <v>40029_1-4/781&lt;lv40&gt;sq2st2</v>
      </c>
      <c r="B3" s="22">
        <v>40029</v>
      </c>
      <c r="C3" s="21">
        <v>1</v>
      </c>
      <c r="D3" s="2" t="str">
        <f t="shared" si="1"/>
        <v>40029_1</v>
      </c>
      <c r="E3" s="4" t="str">
        <f ca="1">VLOOKUP($B3,OFFSET([2]quests!$A$1,0,0,COUNTA([2]quests!$A:$A),MATCH(E$1,[2]quests!$1:$1,0)-MATCH($B$1,[2]quests!$1:$1,0)+1),MATCH(E$1,[2]quests!$1:$1,0)-MATCH($B$1,[2]quests!$1:$1,0)+1,FALSE)</f>
        <v>カスケード襲来！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【超絶級】カスケード襲来</v>
      </c>
      <c r="G3" s="21">
        <v>4</v>
      </c>
      <c r="H3" s="15" t="str">
        <f t="shared" si="2"/>
        <v>40029_1-4</v>
      </c>
      <c r="I3" s="4">
        <f ca="1">VLOOKUP($H3,OFFSET(floors!$A$1,0,0,COUNTA(floors!$A:$A),MATCH(I$1,floors!$1:$1,0)-MATCH($H$1,floors!$1:$1,0)+1),MATCH(I$1,floors!$1:$1,0)-MATCH($H$1,floors!$1:$1,0)+1,FALSE)</f>
        <v>25</v>
      </c>
      <c r="J3" s="4">
        <f ca="1">VLOOKUP($H3,OFFSET(floors!$A$1,0,0,COUNTA(floors!$A:$A),MATCH(J$1,floors!$1:$1,0)-MATCH($H$1,floors!$1:$1,0)+1),MATCH(J$1,floors!$1:$1,0)-MATCH($H$1,floors!$1:$1,0)+1,FALSE)</f>
        <v>25</v>
      </c>
      <c r="K3" s="38">
        <v>2</v>
      </c>
      <c r="L3" s="38">
        <v>2</v>
      </c>
      <c r="M3" s="20">
        <v>781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崩落の大瀑布 カスケード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40</v>
      </c>
      <c r="T3" s="25">
        <v>5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311125</v>
      </c>
      <c r="V3" s="25">
        <v>1.4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5766.5999999999995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7">
        <v>40029106</v>
      </c>
      <c r="AA3" s="69">
        <v>1</v>
      </c>
    </row>
    <row r="4" spans="1:27" ht="21" customHeight="1" x14ac:dyDescent="0.15">
      <c r="A4" s="16" t="str">
        <f t="shared" si="0"/>
        <v>40029_1-4/781&lt;lv40&gt;sq2st3</v>
      </c>
      <c r="B4" s="22">
        <v>40029</v>
      </c>
      <c r="C4" s="21">
        <v>1</v>
      </c>
      <c r="D4" s="2" t="str">
        <f t="shared" si="1"/>
        <v>40029_1</v>
      </c>
      <c r="E4" s="4" t="str">
        <f ca="1">VLOOKUP($B4,OFFSET([2]quests!$A$1,0,0,COUNTA([2]quests!$A:$A),MATCH(E$1,[2]quests!$1:$1,0)-MATCH($B$1,[2]quests!$1:$1,0)+1),MATCH(E$1,[2]quests!$1:$1,0)-MATCH($B$1,[2]quests!$1:$1,0)+1,FALSE)</f>
        <v>カスケード襲来！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【超絶級】カスケード襲来</v>
      </c>
      <c r="G4" s="21">
        <v>4</v>
      </c>
      <c r="H4" s="15" t="str">
        <f t="shared" si="2"/>
        <v>40029_1-4</v>
      </c>
      <c r="I4" s="4">
        <f ca="1">VLOOKUP($H4,OFFSET(floors!$A$1,0,0,COUNTA(floors!$A:$A),MATCH(I$1,floors!$1:$1,0)-MATCH($H$1,floors!$1:$1,0)+1),MATCH(I$1,floors!$1:$1,0)-MATCH($H$1,floors!$1:$1,0)+1,FALSE)</f>
        <v>25</v>
      </c>
      <c r="J4" s="4">
        <f ca="1">VLOOKUP($H4,OFFSET(floors!$A$1,0,0,COUNTA(floors!$A:$A),MATCH(J$1,floors!$1:$1,0)-MATCH($H$1,floors!$1:$1,0)+1),MATCH(J$1,floors!$1:$1,0)-MATCH($H$1,floors!$1:$1,0)+1,FALSE)</f>
        <v>25</v>
      </c>
      <c r="K4" s="38">
        <v>2</v>
      </c>
      <c r="L4" s="38">
        <v>3</v>
      </c>
      <c r="M4" s="20">
        <v>781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崩落の大瀑布 カスケード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40</v>
      </c>
      <c r="T4" s="25">
        <v>5</v>
      </c>
      <c r="U4" s="10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311125</v>
      </c>
      <c r="V4" s="25">
        <v>1.6</v>
      </c>
      <c r="W4" s="10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6590.4000000000005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7">
        <v>40029107</v>
      </c>
      <c r="AA4" s="69">
        <v>1</v>
      </c>
    </row>
    <row r="5" spans="1:27" ht="21" customHeight="1" x14ac:dyDescent="0.15">
      <c r="A5" s="16" t="str">
        <f t="shared" si="0"/>
        <v>40029_2-2/618&lt;lv60&gt;sq3st2</v>
      </c>
      <c r="B5" s="22">
        <v>40029</v>
      </c>
      <c r="C5" s="21">
        <v>2</v>
      </c>
      <c r="D5" s="2" t="str">
        <f t="shared" si="1"/>
        <v>40029_2</v>
      </c>
      <c r="E5" s="4" t="str">
        <f ca="1">VLOOKUP($B5,OFFSET([2]quests!$A$1,0,0,COUNTA([2]quests!$A:$A),MATCH(E$1,[2]quests!$1:$1,0)-MATCH($B$1,[2]quests!$1:$1,0)+1),MATCH(E$1,[2]quests!$1:$1,0)-MATCH($B$1,[2]quests!$1:$1,0)+1,FALSE)</f>
        <v>カスケード襲来！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【ウィザード級】カスケード襲来</v>
      </c>
      <c r="G5" s="21">
        <v>2</v>
      </c>
      <c r="H5" s="15" t="str">
        <f t="shared" si="2"/>
        <v>40029_2-2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8">
        <v>3</v>
      </c>
      <c r="L5" s="38">
        <v>2</v>
      </c>
      <c r="M5" s="20">
        <v>618</v>
      </c>
      <c r="N5" s="17" t="str">
        <f ca="1">VLOOKUP($M5,OFFSET([3]enemies!$A$1,0,0,COUNTA([3]enemies!$A:$A),MATCH(N$1,[3]enemies!$1:$1,0)-MATCH($M$1,[3]enemies!$1:$1,0)+1),MATCH(N$1,[3]enemies!$1:$1,0)-MATCH($M$1,[3]enemies!$1:$1,0)+1,FALSE)</f>
        <v>フェルニゲシュ・オメガドライブ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DropWizN</v>
      </c>
      <c r="Q5" s="17" t="str">
        <f ca="1">VLOOKUP($M5,OFFSET([3]enemies!$A$1,0,0,COUNTA([3]enemies!$A:$A),MATCH(Q$1,[3]enemies!$1:$1,0)-MATCH($M$1,[3]enemies!$1:$1,0)+1),MATCH(Q$1,[3]enemies!$1:$1,0)-MATCH($M$1,[3]enemies!$1:$1,0)+1,FALSE)</f>
        <v>dragon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25">
        <v>1.5</v>
      </c>
      <c r="U5" s="10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159067.5</v>
      </c>
      <c r="V5" s="25">
        <v>1</v>
      </c>
      <c r="W5" s="10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6715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47">
        <v>40029102</v>
      </c>
      <c r="AA5" s="69">
        <v>1</v>
      </c>
    </row>
    <row r="6" spans="1:27" ht="21" customHeight="1" x14ac:dyDescent="0.15">
      <c r="A6" s="16" t="str">
        <f t="shared" si="0"/>
        <v>40029_2-4/781&lt;lv60&gt;sq4st2</v>
      </c>
      <c r="B6" s="22">
        <v>40029</v>
      </c>
      <c r="C6" s="21">
        <v>2</v>
      </c>
      <c r="D6" s="2" t="str">
        <f t="shared" si="1"/>
        <v>40029_2</v>
      </c>
      <c r="E6" s="4" t="str">
        <f ca="1">VLOOKUP($B6,OFFSET([2]quests!$A$1,0,0,COUNTA([2]quests!$A:$A),MATCH(E$1,[2]quests!$1:$1,0)-MATCH($B$1,[2]quests!$1:$1,0)+1),MATCH(E$1,[2]quests!$1:$1,0)-MATCH($B$1,[2]quests!$1:$1,0)+1,FALSE)</f>
        <v>カスケード襲来！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【ウィザード級】カスケード襲来</v>
      </c>
      <c r="G6" s="21">
        <v>4</v>
      </c>
      <c r="H6" s="15" t="str">
        <f t="shared" si="2"/>
        <v>40029_2-4</v>
      </c>
      <c r="I6" s="4">
        <f ca="1">VLOOKUP($H6,OFFSET(floors!$A$1,0,0,COUNTA(floors!$A:$A),MATCH(I$1,floors!$1:$1,0)-MATCH($H$1,floors!$1:$1,0)+1),MATCH(I$1,floors!$1:$1,0)-MATCH($H$1,floors!$1:$1,0)+1,FALSE)</f>
        <v>25</v>
      </c>
      <c r="J6" s="4">
        <f ca="1">VLOOKUP($H6,OFFSET(floors!$A$1,0,0,COUNTA(floors!$A:$A),MATCH(J$1,floors!$1:$1,0)-MATCH($H$1,floors!$1:$1,0)+1),MATCH(J$1,floors!$1:$1,0)-MATCH($H$1,floors!$1:$1,0)+1,FALSE)</f>
        <v>25</v>
      </c>
      <c r="K6" s="38">
        <v>4</v>
      </c>
      <c r="L6" s="38">
        <v>2</v>
      </c>
      <c r="M6" s="20">
        <v>781</v>
      </c>
      <c r="N6" s="17" t="str">
        <f ca="1">VLOOKUP($M6,OFFSET([3]enemies!$A$1,0,0,COUNTA([3]enemies!$A:$A),MATCH(N$1,[3]enemies!$1:$1,0)-MATCH($M$1,[3]enemies!$1:$1,0)+1),MATCH(N$1,[3]enemies!$1:$1,0)-MATCH($M$1,[3]enemies!$1:$1,0)+1,FALSE)</f>
        <v>崩落の大瀑布 カスケード</v>
      </c>
      <c r="O6" s="17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unknown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60</v>
      </c>
      <c r="T6" s="25">
        <v>5</v>
      </c>
      <c r="U6" s="102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461065</v>
      </c>
      <c r="V6" s="25">
        <v>1.4</v>
      </c>
      <c r="W6" s="102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8547</v>
      </c>
      <c r="X6" s="5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47">
        <v>40029106</v>
      </c>
      <c r="AA6" s="69">
        <v>1</v>
      </c>
    </row>
    <row r="7" spans="1:27" ht="21" customHeight="1" x14ac:dyDescent="0.15">
      <c r="A7" s="16" t="str">
        <f t="shared" si="0"/>
        <v>40029_2-4/781&lt;lv60&gt;sq4st3</v>
      </c>
      <c r="B7" s="22">
        <v>40029</v>
      </c>
      <c r="C7" s="21">
        <v>2</v>
      </c>
      <c r="D7" s="2" t="str">
        <f t="shared" si="1"/>
        <v>40029_2</v>
      </c>
      <c r="E7" s="4" t="str">
        <f ca="1">VLOOKUP($B7,OFFSET([2]quests!$A$1,0,0,COUNTA([2]quests!$A:$A),MATCH(E$1,[2]quests!$1:$1,0)-MATCH($B$1,[2]quests!$1:$1,0)+1),MATCH(E$1,[2]quests!$1:$1,0)-MATCH($B$1,[2]quests!$1:$1,0)+1,FALSE)</f>
        <v>カスケード襲来！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【ウィザード級】カスケード襲来</v>
      </c>
      <c r="G7" s="21">
        <v>4</v>
      </c>
      <c r="H7" s="15" t="str">
        <f t="shared" si="2"/>
        <v>40029_2-4</v>
      </c>
      <c r="I7" s="4">
        <f ca="1">VLOOKUP($H7,OFFSET(floors!$A$1,0,0,COUNTA(floors!$A:$A),MATCH(I$1,floors!$1:$1,0)-MATCH($H$1,floors!$1:$1,0)+1),MATCH(I$1,floors!$1:$1,0)-MATCH($H$1,floors!$1:$1,0)+1,FALSE)</f>
        <v>25</v>
      </c>
      <c r="J7" s="4">
        <f ca="1">VLOOKUP($H7,OFFSET(floors!$A$1,0,0,COUNTA(floors!$A:$A),MATCH(J$1,floors!$1:$1,0)-MATCH($H$1,floors!$1:$1,0)+1),MATCH(J$1,floors!$1:$1,0)-MATCH($H$1,floors!$1:$1,0)+1,FALSE)</f>
        <v>25</v>
      </c>
      <c r="K7" s="38">
        <v>4</v>
      </c>
      <c r="L7" s="38">
        <v>3</v>
      </c>
      <c r="M7" s="20">
        <v>781</v>
      </c>
      <c r="N7" s="17" t="str">
        <f ca="1">VLOOKUP($M7,OFFSET([3]enemies!$A$1,0,0,COUNTA([3]enemies!$A:$A),MATCH(N$1,[3]enemies!$1:$1,0)-MATCH($M$1,[3]enemies!$1:$1,0)+1),MATCH(N$1,[3]enemies!$1:$1,0)-MATCH($M$1,[3]enemies!$1:$1,0)+1,FALSE)</f>
        <v>崩落の大瀑布 カスケード</v>
      </c>
      <c r="O7" s="17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unknown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60</v>
      </c>
      <c r="T7" s="25">
        <v>5</v>
      </c>
      <c r="U7" s="102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461065</v>
      </c>
      <c r="V7" s="25">
        <v>1.6</v>
      </c>
      <c r="W7" s="102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9768</v>
      </c>
      <c r="X7" s="5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47">
        <v>40029107</v>
      </c>
      <c r="AA7" s="69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2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32" sqref="E3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40029100_40029100</v>
      </c>
      <c r="B2" s="47">
        <v>40029100</v>
      </c>
      <c r="C2" s="47">
        <v>40029100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よく来たな！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2ターンスリープ＆スキルバインド</v>
      </c>
      <c r="F2" s="47">
        <v>40029100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31" si="1">B3&amp;"_"&amp;C3</f>
        <v>40029100_40029101</v>
      </c>
      <c r="B3" s="47">
        <v>40029100</v>
      </c>
      <c r="C3" s="47">
        <v>40029101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さあ、歓迎してやるよ！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解除するまでウィルス</v>
      </c>
      <c r="F3" s="47">
        <v>40029101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40029100_40029102</v>
      </c>
      <c r="B4" s="47">
        <v>40029100</v>
      </c>
      <c r="C4" s="47">
        <v>40029102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ハハッ、追いついてみな！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逃走</v>
      </c>
      <c r="F4" s="47">
        <v>40029102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40029101_40029105</v>
      </c>
      <c r="B5" s="47">
        <v>40029101</v>
      </c>
      <c r="C5" s="47">
        <v>40029105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ジャミング・フィールド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お邪魔パネル5個生成</v>
      </c>
      <c r="F5" s="47">
        <v>40029105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7"/>
      <c r="Q5" s="47"/>
      <c r="R5" s="47"/>
    </row>
    <row r="6" spans="1:18" ht="21" customHeight="1" x14ac:dyDescent="0.15">
      <c r="A6" s="39" t="str">
        <f t="shared" si="1"/>
        <v>40029101_40029106</v>
      </c>
      <c r="B6" s="47">
        <v>40029101</v>
      </c>
      <c r="C6" s="47">
        <v>40029106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チャフ・グレネード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お邪魔パネルを吸収して単体攻撃</v>
      </c>
      <c r="F6" s="47">
        <v>40029106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40029101_40029107</v>
      </c>
      <c r="B7" s="47">
        <v>40029101</v>
      </c>
      <c r="C7" s="47">
        <v>40029107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ブルー・ターミネーション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青属性のユニットに大ダメージの全体攻撃</v>
      </c>
      <c r="F7" s="47">
        <v>40029107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7" s="47"/>
      <c r="Q7" s="47"/>
      <c r="R7" s="47"/>
    </row>
    <row r="8" spans="1:18" ht="21" customHeight="1" x14ac:dyDescent="0.15">
      <c r="A8" s="39" t="str">
        <f t="shared" si="1"/>
        <v>40029102_40029110</v>
      </c>
      <c r="B8" s="47">
        <v>40029102</v>
      </c>
      <c r="C8" s="47">
        <v>40029110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ジャミング・フィールド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お邪魔パネル5個生成</v>
      </c>
      <c r="F8" s="47">
        <v>40029110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" s="47"/>
      <c r="Q8" s="47"/>
      <c r="R8" s="47"/>
    </row>
    <row r="9" spans="1:18" ht="21" customHeight="1" x14ac:dyDescent="0.15">
      <c r="A9" s="39" t="str">
        <f t="shared" si="1"/>
        <v>40029102_40029111</v>
      </c>
      <c r="B9" s="47">
        <v>40029102</v>
      </c>
      <c r="C9" s="47">
        <v>40029111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チャフ・グレネード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お邪魔パネルを吸収して単体攻撃</v>
      </c>
      <c r="F9" s="47">
        <v>40029111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40029102_40029112</v>
      </c>
      <c r="B10" s="47">
        <v>40029102</v>
      </c>
      <c r="C10" s="47">
        <v>40029112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ブルー・ターミネーション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青属性のユニットに大ダメージの全体攻撃</v>
      </c>
      <c r="F10" s="47">
        <v>40029112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" s="47"/>
      <c r="Q10" s="47"/>
      <c r="R10" s="47"/>
    </row>
    <row r="11" spans="1:18" ht="21" customHeight="1" x14ac:dyDescent="0.15">
      <c r="A11" s="39" t="str">
        <f t="shared" si="1"/>
        <v>40029103_40029115</v>
      </c>
      <c r="B11" s="47">
        <v>40029103</v>
      </c>
      <c r="C11" s="47">
        <v>40029115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リモート・ハック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解除するまでウィルス</v>
      </c>
      <c r="F11" s="47">
        <v>40029115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40029103_40029116</v>
      </c>
      <c r="B12" s="47">
        <v>40029103</v>
      </c>
      <c r="C12" s="47">
        <v>40029116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ブルー・メディテーション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青属性のエネミーの行動頻度＆攻撃力UP</v>
      </c>
      <c r="F12" s="47">
        <v>40029116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2" s="47"/>
      <c r="Q12" s="47"/>
      <c r="R12" s="47"/>
    </row>
    <row r="13" spans="1:18" ht="21" customHeight="1" x14ac:dyDescent="0.15">
      <c r="A13" s="39" t="str">
        <f t="shared" si="1"/>
        <v>40029103_40029117</v>
      </c>
      <c r="B13" s="47">
        <v>40029103</v>
      </c>
      <c r="C13" s="47">
        <v>40029117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メディテーション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13" s="47">
        <v>40029117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37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40029104_40029120</v>
      </c>
      <c r="B14" s="47">
        <v>40029104</v>
      </c>
      <c r="C14" s="47">
        <v>40029120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お前を消す方法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14" s="47">
        <v>40029120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4" s="47"/>
      <c r="Q14" s="47"/>
      <c r="R14" s="47"/>
    </row>
    <row r="15" spans="1:18" ht="21" customHeight="1" x14ac:dyDescent="0.15">
      <c r="A15" s="39" t="str">
        <f t="shared" si="1"/>
        <v>40029104_40029121</v>
      </c>
      <c r="B15" s="47">
        <v>40029104</v>
      </c>
      <c r="C15" s="47">
        <v>40029121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ご質問をどうぞ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何もしない</v>
      </c>
      <c r="F15" s="47">
        <v>40029121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40029105_40029125</v>
      </c>
      <c r="B16" s="47">
        <v>40029105</v>
      </c>
      <c r="C16" s="47">
        <v>40029125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よくここまで来たな！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6" s="47">
        <v>40029125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40029105_40029126</v>
      </c>
      <c r="B17" s="47">
        <v>40029105</v>
      </c>
      <c r="C17" s="47">
        <v>40029126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フォール・ナイトメア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単体に2ターンウィルス</v>
      </c>
      <c r="F17" s="47">
        <v>40029126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7" s="47"/>
      <c r="Q17" s="47"/>
      <c r="R17" s="47"/>
    </row>
    <row r="18" spans="1:18" ht="21" customHeight="1" x14ac:dyDescent="0.15">
      <c r="A18" s="39" t="str">
        <f t="shared" si="1"/>
        <v>40029105_40029127</v>
      </c>
      <c r="B18" s="47">
        <v>40029105</v>
      </c>
      <c r="C18" s="47">
        <v>40029127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ブレイク・ナイトメア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18" s="47">
        <v>40029127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40029105_40029128</v>
      </c>
      <c r="B19" s="47">
        <v>40029105</v>
      </c>
      <c r="C19" s="47">
        <v>40029128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エスケープ・ナイトメア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HPを消費して全体にウィルス</v>
      </c>
      <c r="F19" s="47">
        <v>40029128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40029106_40029130</v>
      </c>
      <c r="B20" s="47">
        <v>40029106</v>
      </c>
      <c r="C20" s="47">
        <v>40029130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やるじゃないか、褒めてやるよ！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0" s="47">
        <v>40029130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40029106_40029131</v>
      </c>
      <c r="B21" s="47">
        <v>40029106</v>
      </c>
      <c r="C21" s="47">
        <v>40029131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ジャミング・ハック・ファイブ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お邪魔パネル5個生成_x000D_＋2ターンウィルス</v>
      </c>
      <c r="F21" s="47">
        <v>40029131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" s="47"/>
      <c r="Q21" s="47"/>
      <c r="R21" s="47"/>
    </row>
    <row r="22" spans="1:18" ht="21" customHeight="1" x14ac:dyDescent="0.15">
      <c r="A22" s="39" t="str">
        <f t="shared" si="1"/>
        <v>40029106_40029132</v>
      </c>
      <c r="B22" s="47">
        <v>40029106</v>
      </c>
      <c r="C22" s="47">
        <v>40029132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ジャミング・ハック・エイト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お邪魔パネル8個生成_x000D_＋1ターンウィルス</v>
      </c>
      <c r="F22" s="47">
        <v>40029132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7"/>
      <c r="Q22" s="47"/>
      <c r="R22" s="47"/>
    </row>
    <row r="23" spans="1:18" ht="21" customHeight="1" x14ac:dyDescent="0.15">
      <c r="A23" s="39" t="str">
        <f t="shared" si="1"/>
        <v>40029106_40029133</v>
      </c>
      <c r="B23" s="47">
        <v>40029106</v>
      </c>
      <c r="C23" s="47">
        <v>40029133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レジストリ・ブレイク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23" s="47">
        <v>40029133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40029106_40029134</v>
      </c>
      <c r="B24" s="47">
        <v>40029106</v>
      </c>
      <c r="C24" s="47">
        <v>40029134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エスケープ・ジャミング・ハック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HPを消費してお邪魔パネル20個生成</v>
      </c>
      <c r="F24" s="47">
        <v>40029134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40029107_40029135</v>
      </c>
      <c r="B25" s="47">
        <v>40029107</v>
      </c>
      <c r="C25" s="47">
        <v>40029135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本気で相手をしようか！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5" s="47">
        <v>40029135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40029107_40029136</v>
      </c>
      <c r="B26" s="47">
        <v>40029107</v>
      </c>
      <c r="C26" s="47">
        <v>40029136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レジストリ・ブレイク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26" s="47">
        <v>40029136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40029107_40029137</v>
      </c>
      <c r="B27" s="47">
        <v>40029107</v>
      </c>
      <c r="C27" s="47">
        <v>40029137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ジャミング・ハック・エイト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お邪魔パネル8個生成_x000D_＋2ターンウィルス</v>
      </c>
      <c r="F27" s="47">
        <v>40029137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7" s="47"/>
      <c r="Q27" s="47"/>
      <c r="R27" s="47"/>
    </row>
    <row r="28" spans="1:18" ht="21" customHeight="1" x14ac:dyDescent="0.15">
      <c r="A28" s="39" t="str">
        <f t="shared" si="1"/>
        <v>40029107_40029138</v>
      </c>
      <c r="B28" s="47">
        <v>40029107</v>
      </c>
      <c r="C28" s="47">
        <v>40029138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レジストリ・ブレイク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28" s="47">
        <v>40029138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40029107_40029139</v>
      </c>
      <c r="B29" s="47">
        <v>40029107</v>
      </c>
      <c r="C29" s="47">
        <v>40029139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ステルス・カウンター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1ターンカウンター</v>
      </c>
      <c r="F29" s="47">
        <v>40029139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40029107_40029140</v>
      </c>
      <c r="B30" s="47">
        <v>40029107</v>
      </c>
      <c r="C30" s="47">
        <v>40029140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ステルス・カウンター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1ターンカウンター</v>
      </c>
      <c r="F30" s="47">
        <v>40029140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"/>
        <v>40029107_40029142</v>
      </c>
      <c r="B31" s="47">
        <v>40029107</v>
      </c>
      <c r="C31" s="47">
        <v>40029142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リミット・ブレイク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31" s="47">
        <v>40029142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ref="A32" si="2">B32&amp;"_"&amp;C32</f>
        <v>40029107_40029143</v>
      </c>
      <c r="B32" s="47">
        <v>40029107</v>
      </c>
      <c r="C32" s="47">
        <v>40029143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今回はこれくらいにしといてやるよ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じゃあな…</v>
      </c>
      <c r="F32" s="47">
        <v>40029143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3"/>
  <sheetViews>
    <sheetView showGridLines="0" tabSelected="1" zoomScale="75" zoomScaleNormal="75" zoomScalePageLayoutView="75" workbookViewId="0">
      <pane ySplit="1" topLeftCell="A12" activePane="bottomLeft" state="frozenSplit"/>
      <selection pane="bottomLeft" activeCell="B27" sqref="B27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40029100</v>
      </c>
      <c r="B2" s="47" t="s">
        <v>285</v>
      </c>
      <c r="C2" s="50">
        <v>3</v>
      </c>
      <c r="D2" s="50" t="s">
        <v>128</v>
      </c>
      <c r="E2" s="51" t="s">
        <v>303</v>
      </c>
      <c r="F2" s="51" t="s">
        <v>286</v>
      </c>
      <c r="G2" s="63" t="str">
        <f>IFERROR(LEFT(B2,FIND("],",B2)),B2)</f>
        <v>[effect:fix_speed, target:myself, turn:1]</v>
      </c>
      <c r="H2" s="63">
        <f>FIND("effect:",G2)+7</f>
        <v>9</v>
      </c>
      <c r="I2" s="63">
        <f>IFERROR(FIND(",",G2),LEN(G2))</f>
        <v>18</v>
      </c>
      <c r="J2" s="63">
        <f>FIND("target:",G2)+7</f>
        <v>27</v>
      </c>
      <c r="K2" s="63">
        <f>FIND(",",G2,I2+1)</f>
        <v>33</v>
      </c>
      <c r="L2" s="63" t="str">
        <f>IFERROR(VLOOKUP(MID(G2,J2,K2-J2),[6]skilldef!$C:$D,2,FALSE),"-") &amp; " / " &amp; IFERROR(VLOOKUP(MID(G2,H2,I2-H2),[6]skilldef!$A:$B,2,FALSE),"-")</f>
        <v>自分自身に / 行動値設定</v>
      </c>
      <c r="M2" s="63" t="str">
        <f>IFERROR(RIGHT(B2,LEN(B2)-FIND("],",B2)-1),"none")</f>
        <v>[effect:sleep, target:unit_all, turn:2, rate:1, calc_type:target_all],[effect:hungup, target:unit_all, turn:2, rate:1]</v>
      </c>
      <c r="N2" s="48" t="str">
        <f t="shared" ref="N2:N9" si="0">IFERROR(LEFT(M2,FIND("],",M2)+S8),M2)</f>
        <v>[effect:sleep, target:unit_all, turn:2, rate:1, calc_type:target_all],[effect:hungup, target:unit_all, turn:2, rate:1]</v>
      </c>
      <c r="O2" s="63">
        <f>FIND("effect:",N2)+7</f>
        <v>9</v>
      </c>
      <c r="P2" s="63">
        <f>IFERROR(FIND(",",N2),LEN(N2))</f>
        <v>14</v>
      </c>
      <c r="Q2" s="63">
        <f>FIND("target:",N2)+7</f>
        <v>23</v>
      </c>
      <c r="R2" s="63">
        <f>FIND(",",N2,P2+1)</f>
        <v>31</v>
      </c>
      <c r="S2" s="63" t="str">
        <f>IFERROR(VLOOKUP(MID(N2,Q2,R2-Q2),[6]skilldef!$C:$D,2,FALSE),"-") &amp; " / " &amp; IFERROR(VLOOKUP(MID(N2,O2,P2-O2),[6]skilldef!$A:$B,2,FALSE),"-")</f>
        <v>味方全体に / スリープ</v>
      </c>
      <c r="T2" s="48" t="str">
        <f>IFERROR(RIGHT(M2,LEN(M2)-FIND("],",M2)-1),"none")</f>
        <v>[effect:hungup, target:unit_all, turn:2, rate:1]</v>
      </c>
      <c r="U2" s="63">
        <f>FIND("effect:",T2)+7</f>
        <v>9</v>
      </c>
      <c r="V2" s="63">
        <f>IFERROR(FIND(",",T2),LEN(T2))</f>
        <v>15</v>
      </c>
      <c r="W2" s="63">
        <f>FIND("target:",T2)+7</f>
        <v>24</v>
      </c>
      <c r="X2" s="63">
        <f>FIND(",",T2,V2+1)</f>
        <v>32</v>
      </c>
      <c r="Y2" s="63" t="str">
        <f>IFERROR(VLOOKUP(MID(T2,W2,X2-W2),[6]skilldef!$C:$D,2,FALSE),"-") &amp; " / " &amp; IFERROR(VLOOKUP(MID(T2,U2,V2-U2),[6]skilldef!$A:$B,2,FALSE),"-")</f>
        <v>味方全体に / ハングアップ</v>
      </c>
      <c r="Z2" s="50"/>
      <c r="AA2" s="52"/>
      <c r="AB2" s="50"/>
    </row>
    <row r="3" spans="1:28" ht="21" customHeight="1" x14ac:dyDescent="0.15">
      <c r="A3" s="47">
        <v>40029101</v>
      </c>
      <c r="B3" s="47" t="s">
        <v>269</v>
      </c>
      <c r="C3" s="50">
        <v>3</v>
      </c>
      <c r="D3" s="50" t="s">
        <v>128</v>
      </c>
      <c r="E3" s="51" t="s">
        <v>304</v>
      </c>
      <c r="F3" s="51" t="s">
        <v>287</v>
      </c>
      <c r="G3" s="63" t="str">
        <f t="shared" ref="G3:G17" si="1">IFERROR(LEFT(B3,FIND("],",B3)),B3)</f>
        <v>[effect:virus, target:unit_all, turn:-1, rate:1, val:0.1, animation:enemy_virus]</v>
      </c>
      <c r="H3" s="63">
        <f t="shared" ref="H3:H32" si="2">FIND("effect:",G3)+7</f>
        <v>9</v>
      </c>
      <c r="I3" s="63">
        <f t="shared" ref="I3:I17" si="3">IFERROR(FIND(",",G3),LEN(G3))</f>
        <v>14</v>
      </c>
      <c r="J3" s="63">
        <f t="shared" ref="J3:J17" si="4">FIND("target:",G3)+7</f>
        <v>23</v>
      </c>
      <c r="K3" s="63">
        <f t="shared" ref="K3:K17" si="5">FIND(",",G3,I3+1)</f>
        <v>31</v>
      </c>
      <c r="L3" s="63" t="str">
        <f>IFERROR(VLOOKUP(MID(G3,J3,K3-J3),[6]skilldef!$C:$D,2,FALSE),"-") &amp; " / " &amp; IFERROR(VLOOKUP(MID(G3,H3,I3-H3),[6]skilldef!$A:$B,2,FALSE),"-")</f>
        <v>味方全体に / ウィルス</v>
      </c>
      <c r="M3" s="63" t="str">
        <f t="shared" ref="M3:M17" si="6">IFERROR(RIGHT(B3,LEN(B3)-FIND("],",B3)-1),"none")</f>
        <v>none</v>
      </c>
      <c r="N3" s="48" t="str">
        <f t="shared" si="0"/>
        <v>none</v>
      </c>
      <c r="O3" s="63" t="e">
        <f t="shared" ref="O3:O32" si="7">FIND("effect:",N3)+7</f>
        <v>#VALUE!</v>
      </c>
      <c r="P3" s="63">
        <f t="shared" ref="P3:P17" si="8">IFERROR(FIND(",",N3),LEN(N3))</f>
        <v>4</v>
      </c>
      <c r="Q3" s="63" t="e">
        <f t="shared" ref="Q3:Q17" si="9">FIND("target:",N3)+7</f>
        <v>#VALUE!</v>
      </c>
      <c r="R3" s="63" t="e">
        <f t="shared" ref="R3:R17" si="10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17" si="11">IFERROR(RIGHT(M3,LEN(M3)-FIND("],",M3)-1),"none")</f>
        <v>none</v>
      </c>
      <c r="U3" s="63" t="e">
        <f t="shared" ref="U3:U32" si="12">FIND("effect:",T3)+7</f>
        <v>#VALUE!</v>
      </c>
      <c r="V3" s="63">
        <f t="shared" ref="V3:V17" si="13">IFERROR(FIND(",",T3),LEN(T3))</f>
        <v>4</v>
      </c>
      <c r="W3" s="63" t="e">
        <f t="shared" ref="W3:W17" si="14">FIND("target:",T3)+7</f>
        <v>#VALUE!</v>
      </c>
      <c r="X3" s="63" t="e">
        <f t="shared" ref="X3:X17" si="15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40029102</v>
      </c>
      <c r="B4" s="47" t="s">
        <v>256</v>
      </c>
      <c r="C4" s="50">
        <v>3</v>
      </c>
      <c r="D4" s="50" t="s">
        <v>128</v>
      </c>
      <c r="E4" s="51" t="s">
        <v>305</v>
      </c>
      <c r="F4" s="51" t="s">
        <v>251</v>
      </c>
      <c r="G4" s="63" t="str">
        <f t="shared" si="1"/>
        <v>[effect:suicide, val:1, dead_type:escape]</v>
      </c>
      <c r="H4" s="63">
        <f t="shared" si="2"/>
        <v>9</v>
      </c>
      <c r="I4" s="63">
        <f t="shared" si="3"/>
        <v>16</v>
      </c>
      <c r="J4" s="63" t="e">
        <f t="shared" si="4"/>
        <v>#VALUE!</v>
      </c>
      <c r="K4" s="63">
        <f t="shared" si="5"/>
        <v>23</v>
      </c>
      <c r="L4" s="63" t="str">
        <f>IFERROR(VLOOKUP(MID(G4,J4,K4-J4),[6]skilldef!$C:$D,2,FALSE),"-") &amp; " / " &amp; IFERROR(VLOOKUP(MID(G4,H4,I4-H4),[6]skilldef!$A:$B,2,FALSE),"-")</f>
        <v>- / -</v>
      </c>
      <c r="M4" s="63" t="str">
        <f t="shared" si="6"/>
        <v>none</v>
      </c>
      <c r="N4" s="48" t="str">
        <f t="shared" si="0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40029105</v>
      </c>
      <c r="B5" s="47" t="s">
        <v>347</v>
      </c>
      <c r="C5" s="50">
        <v>3</v>
      </c>
      <c r="D5" s="50" t="s">
        <v>128</v>
      </c>
      <c r="E5" s="51" t="s">
        <v>338</v>
      </c>
      <c r="F5" s="51" t="s">
        <v>288</v>
      </c>
      <c r="G5" s="63" t="str">
        <f t="shared" si="1"/>
        <v>[effect:force_change_block, new_block:jammer, target:block_all, ignore01:block_positive, ignore02:block_negative, count:5, val:0, animation:change_block]</v>
      </c>
      <c r="H5" s="63">
        <f t="shared" si="2"/>
        <v>9</v>
      </c>
      <c r="I5" s="63">
        <f t="shared" si="3"/>
        <v>27</v>
      </c>
      <c r="J5" s="63">
        <f t="shared" si="4"/>
        <v>54</v>
      </c>
      <c r="K5" s="63">
        <f t="shared" si="5"/>
        <v>45</v>
      </c>
      <c r="L5" s="63" t="str">
        <f>IFERROR(VLOOKUP(MID(G5,J5,K5-J5),[6]skilldef!$C:$D,2,FALSE),"-") &amp; " / " &amp; IFERROR(VLOOKUP(MID(G5,H5,I5-H5),[6]skilldef!$A:$B,2,FALSE),"-")</f>
        <v>- / -</v>
      </c>
      <c r="M5" s="63" t="str">
        <f t="shared" si="6"/>
        <v>none</v>
      </c>
      <c r="N5" s="48" t="str">
        <f t="shared" si="0"/>
        <v>none</v>
      </c>
      <c r="O5" s="63" t="e">
        <f t="shared" si="7"/>
        <v>#VALUE!</v>
      </c>
      <c r="P5" s="63">
        <f t="shared" si="8"/>
        <v>4</v>
      </c>
      <c r="Q5" s="63" t="e">
        <f t="shared" si="9"/>
        <v>#VALUE!</v>
      </c>
      <c r="R5" s="63" t="e">
        <f t="shared" si="10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40029106</v>
      </c>
      <c r="B6" s="107" t="s">
        <v>341</v>
      </c>
      <c r="C6" s="50">
        <v>3</v>
      </c>
      <c r="D6" s="50" t="s">
        <v>128</v>
      </c>
      <c r="E6" s="51" t="s">
        <v>307</v>
      </c>
      <c r="F6" s="51" t="s">
        <v>343</v>
      </c>
      <c r="G6" s="63" t="str">
        <f t="shared" si="1"/>
        <v>[effect:break_attack_fix, target:unit_one, val:1000, lowest_val:1000, count:-1, color:yellow, block01:jammer]</v>
      </c>
      <c r="H6" s="63">
        <f t="shared" si="2"/>
        <v>9</v>
      </c>
      <c r="I6" s="63">
        <f t="shared" si="3"/>
        <v>25</v>
      </c>
      <c r="J6" s="63">
        <f t="shared" si="4"/>
        <v>34</v>
      </c>
      <c r="K6" s="63">
        <f t="shared" si="5"/>
        <v>42</v>
      </c>
      <c r="L6" s="63" t="str">
        <f>IFERROR(VLOOKUP(MID(G6,J6,K6-J6),[6]skilldef!$C:$D,2,FALSE),"-") &amp; " / " &amp; IFERROR(VLOOKUP(MID(G6,H6,I6-H6),[6]skilldef!$A:$B,2,FALSE),"-")</f>
        <v>味方単体に / -</v>
      </c>
      <c r="M6" s="63" t="str">
        <f t="shared" si="6"/>
        <v>none</v>
      </c>
      <c r="N6" s="48" t="str">
        <f t="shared" si="0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40029107</v>
      </c>
      <c r="B7" s="47" t="s">
        <v>257</v>
      </c>
      <c r="C7" s="50">
        <v>3</v>
      </c>
      <c r="D7" s="50" t="s">
        <v>128</v>
      </c>
      <c r="E7" s="51" t="s">
        <v>306</v>
      </c>
      <c r="F7" s="51" t="s">
        <v>289</v>
      </c>
      <c r="G7" s="63" t="str">
        <f t="shared" si="1"/>
        <v>[effect:damage_anti_color, target:unit_all, color:blue, val1:0.4, val2:0.2]</v>
      </c>
      <c r="H7" s="63">
        <f t="shared" si="2"/>
        <v>9</v>
      </c>
      <c r="I7" s="63">
        <f t="shared" si="3"/>
        <v>26</v>
      </c>
      <c r="J7" s="63">
        <f t="shared" si="4"/>
        <v>35</v>
      </c>
      <c r="K7" s="63">
        <f t="shared" si="5"/>
        <v>43</v>
      </c>
      <c r="L7" s="63" t="str">
        <f>IFERROR(VLOOKUP(MID(G7,J7,K7-J7),[6]skilldef!$C:$D,2,FALSE),"-") &amp; " / " &amp; IFERROR(VLOOKUP(MID(G7,H7,I7-H7),[6]skilldef!$A:$B,2,FALSE),"-")</f>
        <v>味方全体に / 属性キラー</v>
      </c>
      <c r="M7" s="63" t="str">
        <f t="shared" si="6"/>
        <v>none</v>
      </c>
      <c r="N7" s="48" t="str">
        <f t="shared" si="0"/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40029110</v>
      </c>
      <c r="B8" s="47" t="s">
        <v>347</v>
      </c>
      <c r="C8" s="50">
        <v>3</v>
      </c>
      <c r="D8" s="50" t="s">
        <v>128</v>
      </c>
      <c r="E8" s="51" t="s">
        <v>339</v>
      </c>
      <c r="F8" s="51" t="s">
        <v>288</v>
      </c>
      <c r="G8" s="63" t="str">
        <f t="shared" si="1"/>
        <v>[effect:force_change_block, new_block:jammer, target:block_all, ignore01:block_positive, ignore02:block_negative, count:5, val:0, animation:change_block]</v>
      </c>
      <c r="H8" s="63">
        <f t="shared" si="2"/>
        <v>9</v>
      </c>
      <c r="I8" s="63">
        <f t="shared" si="3"/>
        <v>27</v>
      </c>
      <c r="J8" s="63">
        <f t="shared" si="4"/>
        <v>54</v>
      </c>
      <c r="K8" s="63">
        <f t="shared" si="5"/>
        <v>45</v>
      </c>
      <c r="L8" s="63" t="str">
        <f>IFERROR(VLOOKUP(MID(G8,J8,K8-J8),[6]skilldef!$C:$D,2,FALSE),"-") &amp; " / " &amp; IFERROR(VLOOKUP(MID(G8,H8,I8-H8),[6]skilldef!$A:$B,2,FALSE),"-")</f>
        <v>- / -</v>
      </c>
      <c r="M8" s="63" t="str">
        <f t="shared" si="6"/>
        <v>none</v>
      </c>
      <c r="N8" s="48" t="str">
        <f t="shared" si="0"/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40029111</v>
      </c>
      <c r="B9" s="107" t="s">
        <v>340</v>
      </c>
      <c r="C9" s="50">
        <v>3</v>
      </c>
      <c r="D9" s="50" t="s">
        <v>128</v>
      </c>
      <c r="E9" s="51" t="s">
        <v>307</v>
      </c>
      <c r="F9" s="51" t="s">
        <v>343</v>
      </c>
      <c r="G9" s="63" t="str">
        <f t="shared" si="1"/>
        <v>[effect:break_attack_fix, target:unit_one, val:1200, lowest_val:1000, count:-1, color:yellow, block01:jammer]</v>
      </c>
      <c r="H9" s="63">
        <f t="shared" si="2"/>
        <v>9</v>
      </c>
      <c r="I9" s="63">
        <f t="shared" si="3"/>
        <v>25</v>
      </c>
      <c r="J9" s="63">
        <f t="shared" si="4"/>
        <v>34</v>
      </c>
      <c r="K9" s="63">
        <f t="shared" si="5"/>
        <v>42</v>
      </c>
      <c r="L9" s="63" t="str">
        <f>IFERROR(VLOOKUP(MID(G9,J9,K9-J9),[6]skilldef!$C:$D,2,FALSE),"-") &amp; " / " &amp; IFERROR(VLOOKUP(MID(G9,H9,I9-H9),[6]skilldef!$A:$B,2,FALSE),"-")</f>
        <v>味方単体に / -</v>
      </c>
      <c r="M9" s="63" t="str">
        <f t="shared" si="6"/>
        <v>none</v>
      </c>
      <c r="N9" s="48" t="str">
        <f t="shared" si="0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40029112</v>
      </c>
      <c r="B10" s="47" t="s">
        <v>258</v>
      </c>
      <c r="C10" s="50">
        <v>3</v>
      </c>
      <c r="D10" s="50" t="s">
        <v>128</v>
      </c>
      <c r="E10" s="51" t="s">
        <v>306</v>
      </c>
      <c r="F10" s="51" t="s">
        <v>289</v>
      </c>
      <c r="G10" s="63" t="str">
        <f t="shared" si="1"/>
        <v>[effect:damage_anti_color, target:unit_all, color:blue, val1:0.4, val2:0.2]</v>
      </c>
      <c r="H10" s="63">
        <f t="shared" si="2"/>
        <v>9</v>
      </c>
      <c r="I10" s="63">
        <f t="shared" si="3"/>
        <v>26</v>
      </c>
      <c r="J10" s="63">
        <f t="shared" si="4"/>
        <v>35</v>
      </c>
      <c r="K10" s="63">
        <f t="shared" si="5"/>
        <v>43</v>
      </c>
      <c r="L10" s="63" t="str">
        <f>IFERROR(VLOOKUP(MID(G10,J10,K10-J10),[6]skilldef!$C:$D,2,FALSE),"-") &amp; " / " &amp; IFERROR(VLOOKUP(MID(G10,H10,I10-H10),[6]skilldef!$A:$B,2,FALSE),"-")</f>
        <v>味方全体に / 属性キラー</v>
      </c>
      <c r="M10" s="63" t="str">
        <f t="shared" si="6"/>
        <v>none</v>
      </c>
      <c r="N10" s="48" t="str">
        <f>IFERROR(LEFT(M10,FIND("],",M10)+#REF!),M10)</f>
        <v>none</v>
      </c>
      <c r="O10" s="63" t="e">
        <f t="shared" si="7"/>
        <v>#VALUE!</v>
      </c>
      <c r="P10" s="63">
        <f t="shared" si="8"/>
        <v>4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40029115</v>
      </c>
      <c r="B11" s="47" t="s">
        <v>270</v>
      </c>
      <c r="C11" s="50">
        <v>3</v>
      </c>
      <c r="D11" s="50" t="s">
        <v>128</v>
      </c>
      <c r="E11" s="51" t="s">
        <v>310</v>
      </c>
      <c r="F11" s="51" t="s">
        <v>287</v>
      </c>
      <c r="G11" s="63" t="str">
        <f t="shared" si="1"/>
        <v>[effect:virus, target:unit_all, turn:-1, rate:1, val:0.11, animation:enemy_virus]</v>
      </c>
      <c r="H11" s="63">
        <f t="shared" si="2"/>
        <v>9</v>
      </c>
      <c r="I11" s="63">
        <f t="shared" si="3"/>
        <v>14</v>
      </c>
      <c r="J11" s="63">
        <f t="shared" si="4"/>
        <v>23</v>
      </c>
      <c r="K11" s="63">
        <f t="shared" si="5"/>
        <v>31</v>
      </c>
      <c r="L11" s="63" t="str">
        <f>IFERROR(VLOOKUP(MID(G11,J11,K11-J11),[6]skilldef!$C:$D,2,FALSE),"-") &amp; " / " &amp; IFERROR(VLOOKUP(MID(G11,H11,I11-H11),[6]skilldef!$A:$B,2,FALSE),"-")</f>
        <v>味方全体に / ウィルス</v>
      </c>
      <c r="M11" s="63" t="str">
        <f t="shared" si="6"/>
        <v>none</v>
      </c>
      <c r="N11" s="48" t="str">
        <f>IFERROR(LEFT(M11,FIND("],",M11)+S16),M11)</f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40029116</v>
      </c>
      <c r="B12" s="47" t="s">
        <v>259</v>
      </c>
      <c r="C12" s="50">
        <v>3</v>
      </c>
      <c r="D12" s="50" t="s">
        <v>128</v>
      </c>
      <c r="E12" s="51" t="s">
        <v>308</v>
      </c>
      <c r="F12" s="51" t="s">
        <v>290</v>
      </c>
      <c r="G12" s="63" t="str">
        <f t="shared" si="1"/>
        <v>[effect:enhance_enemy, target:enemy_blue, turn:-1, status:attack, val:0.3, animation:enemy_enhance_attack]</v>
      </c>
      <c r="H12" s="63">
        <f t="shared" si="2"/>
        <v>9</v>
      </c>
      <c r="I12" s="63">
        <f t="shared" si="3"/>
        <v>22</v>
      </c>
      <c r="J12" s="63">
        <f t="shared" si="4"/>
        <v>31</v>
      </c>
      <c r="K12" s="63">
        <f t="shared" si="5"/>
        <v>41</v>
      </c>
      <c r="L12" s="63" t="str">
        <f>IFERROR(VLOOKUP(MID(G12,J12,K12-J12),[6]skilldef!$C:$D,2,FALSE),"-") &amp; " / " &amp; IFERROR(VLOOKUP(MID(G12,H12,I12-H12),[6]skilldef!$A:$B,2,FALSE),"-")</f>
        <v>青の敵に / ステータス強化</v>
      </c>
      <c r="M12" s="63" t="str">
        <f t="shared" si="6"/>
        <v>[effect:freq_turn, target:enemy_blue, turn:2, val:1, animation:enemy_freq_turn]</v>
      </c>
      <c r="N12" s="48" t="str">
        <f>IFERROR(LEFT(M12,FIND("],",M12)+S17),M12)</f>
        <v>[effect:freq_turn, target:enemy_blue, turn:2, val:1, animation:enemy_freq_turn]</v>
      </c>
      <c r="O12" s="63">
        <f t="shared" si="7"/>
        <v>9</v>
      </c>
      <c r="P12" s="63">
        <f t="shared" si="8"/>
        <v>18</v>
      </c>
      <c r="Q12" s="63">
        <f t="shared" si="9"/>
        <v>27</v>
      </c>
      <c r="R12" s="63">
        <f t="shared" si="10"/>
        <v>37</v>
      </c>
      <c r="S12" s="63" t="str">
        <f>IFERROR(VLOOKUP(MID(N12,Q12,R12-Q12),[6]skilldef!$C:$D,2,FALSE),"-") &amp; " / " &amp; IFERROR(VLOOKUP(MID(N12,O12,P12-O12),[6]skilldef!$A:$B,2,FALSE),"-")</f>
        <v>青の敵に / 攻撃頻度がUP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40029117</v>
      </c>
      <c r="B13" s="47" t="s">
        <v>260</v>
      </c>
      <c r="C13" s="50">
        <v>3</v>
      </c>
      <c r="D13" s="50" t="s">
        <v>128</v>
      </c>
      <c r="E13" s="51" t="s">
        <v>309</v>
      </c>
      <c r="F13" s="51" t="s">
        <v>291</v>
      </c>
      <c r="G13" s="63" t="str">
        <f t="shared" si="1"/>
        <v>[effect:enhance_enemy, target:myself, turn:-1, status:attack, val:0.3, animation:enemy_enhance_attack]</v>
      </c>
      <c r="H13" s="63">
        <f t="shared" si="2"/>
        <v>9</v>
      </c>
      <c r="I13" s="63">
        <f t="shared" si="3"/>
        <v>22</v>
      </c>
      <c r="J13" s="63">
        <f t="shared" si="4"/>
        <v>31</v>
      </c>
      <c r="K13" s="63">
        <f t="shared" si="5"/>
        <v>37</v>
      </c>
      <c r="L13" s="63" t="str">
        <f>IFERROR(VLOOKUP(MID(G13,J13,K13-J13),[6]skilldef!$C:$D,2,FALSE),"-") &amp; " / " &amp; IFERROR(VLOOKUP(MID(G13,H13,I13-H13),[6]skilldef!$A:$B,2,FALSE),"-")</f>
        <v>自分自身に / ステータス強化</v>
      </c>
      <c r="M13" s="63" t="str">
        <f t="shared" si="6"/>
        <v>none</v>
      </c>
      <c r="N13" s="48" t="str">
        <f>IFERROR(LEFT(M13,FIND("],",M13)+S18),M13)</f>
        <v>none</v>
      </c>
      <c r="O13" s="63" t="e">
        <f t="shared" si="7"/>
        <v>#VALUE!</v>
      </c>
      <c r="P13" s="63">
        <f t="shared" si="8"/>
        <v>4</v>
      </c>
      <c r="Q13" s="63" t="e">
        <f t="shared" si="9"/>
        <v>#VALUE!</v>
      </c>
      <c r="R13" s="63" t="e">
        <f t="shared" si="10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40029120</v>
      </c>
      <c r="B14" s="47" t="s">
        <v>266</v>
      </c>
      <c r="C14" s="50">
        <v>3</v>
      </c>
      <c r="D14" s="50" t="s">
        <v>128</v>
      </c>
      <c r="E14" s="51" t="s">
        <v>311</v>
      </c>
      <c r="F14" s="51" t="s">
        <v>292</v>
      </c>
      <c r="G14" s="63" t="str">
        <f t="shared" si="1"/>
        <v>[effect:damage_anti_abnormal, target:unit_one, target_effect01:virus, val1:1.4, val2:1.0]</v>
      </c>
      <c r="H14" s="63">
        <f t="shared" si="2"/>
        <v>9</v>
      </c>
      <c r="I14" s="63">
        <f t="shared" si="3"/>
        <v>29</v>
      </c>
      <c r="J14" s="63">
        <f t="shared" si="4"/>
        <v>38</v>
      </c>
      <c r="K14" s="63">
        <f t="shared" si="5"/>
        <v>46</v>
      </c>
      <c r="L14" s="63" t="str">
        <f>IFERROR(VLOOKUP(MID(G14,J14,K14-J14),[6]skilldef!$C:$D,2,FALSE),"-") &amp; " / " &amp; IFERROR(VLOOKUP(MID(G14,H14,I14-H14),[6]skilldef!$A:$B,2,FALSE),"-")</f>
        <v>味方単体に / -</v>
      </c>
      <c r="M14" s="63" t="str">
        <f t="shared" si="6"/>
        <v>none</v>
      </c>
      <c r="N14" s="48" t="str">
        <f>IFERROR(LEFT(M14,FIND("],",M14)+S20),M14)</f>
        <v>none</v>
      </c>
      <c r="O14" s="63" t="e">
        <f t="shared" si="7"/>
        <v>#VALUE!</v>
      </c>
      <c r="P14" s="63">
        <f t="shared" si="8"/>
        <v>4</v>
      </c>
      <c r="Q14" s="63" t="e">
        <f t="shared" si="9"/>
        <v>#VALUE!</v>
      </c>
      <c r="R14" s="63" t="e">
        <f t="shared" si="10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40029121</v>
      </c>
      <c r="B15" s="47" t="s">
        <v>250</v>
      </c>
      <c r="C15" s="50">
        <v>3</v>
      </c>
      <c r="D15" s="50" t="s">
        <v>128</v>
      </c>
      <c r="E15" s="51" t="s">
        <v>302</v>
      </c>
      <c r="F15" s="51" t="s">
        <v>252</v>
      </c>
      <c r="G15" s="63" t="str">
        <f t="shared" si="1"/>
        <v>[effect:nothing]</v>
      </c>
      <c r="H15" s="63">
        <f t="shared" si="2"/>
        <v>9</v>
      </c>
      <c r="I15" s="63">
        <f t="shared" si="3"/>
        <v>16</v>
      </c>
      <c r="J15" s="63" t="e">
        <f t="shared" si="4"/>
        <v>#VALUE!</v>
      </c>
      <c r="K15" s="63" t="e">
        <f t="shared" si="5"/>
        <v>#VALUE!</v>
      </c>
      <c r="L15" s="63" t="str">
        <f>IFERROR(VLOOKUP(MID(G15,J15,K15-J15),[6]skilldef!$C:$D,2,FALSE),"-") &amp; " / " &amp; IFERROR(VLOOKUP(MID(G15,H15,I15-H15),[6]skilldef!$A:$B,2,FALSE),"-")</f>
        <v>- / 何もしない</v>
      </c>
      <c r="M15" s="63" t="str">
        <f t="shared" si="6"/>
        <v>none</v>
      </c>
      <c r="N15" s="48" t="str">
        <f>IFERROR(LEFT(M15,FIND("],",M15)+S21),M15)</f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40029125</v>
      </c>
      <c r="B16" s="47" t="s">
        <v>263</v>
      </c>
      <c r="C16" s="50">
        <v>3</v>
      </c>
      <c r="D16" s="50" t="s">
        <v>128</v>
      </c>
      <c r="E16" s="51" t="s">
        <v>312</v>
      </c>
      <c r="F16" s="51" t="s">
        <v>253</v>
      </c>
      <c r="G16" s="63" t="str">
        <f t="shared" si="1"/>
        <v>[effect:fix_speed, target:myself, turn:2]</v>
      </c>
      <c r="H16" s="63">
        <f t="shared" si="2"/>
        <v>9</v>
      </c>
      <c r="I16" s="63">
        <f t="shared" si="3"/>
        <v>18</v>
      </c>
      <c r="J16" s="63">
        <f t="shared" si="4"/>
        <v>27</v>
      </c>
      <c r="K16" s="63">
        <f t="shared" si="5"/>
        <v>33</v>
      </c>
      <c r="L16" s="63" t="str">
        <f>IFERROR(VLOOKUP(MID(G16,J16,K16-J16),[6]skilldef!$C:$D,2,FALSE),"-") &amp; " / " &amp; IFERROR(VLOOKUP(MID(G16,H16,I16-H16),[6]skilldef!$A:$B,2,FALSE),"-")</f>
        <v>自分自身に / 行動値設定</v>
      </c>
      <c r="M16" s="63" t="str">
        <f t="shared" si="6"/>
        <v>[effect:tolerance, target:myself, turn:-1, count:-1, tolerance_effect:all, animation:enemy_tolerance]</v>
      </c>
      <c r="N16" s="48" t="str">
        <f>IFERROR(LEFT(M16,FIND("],",M16)+S25),M16)</f>
        <v>[effect:tolerance, target:myself, turn:-1, count:-1, tolerance_effect:all, animation:enemy_tolerance]</v>
      </c>
      <c r="O16" s="63">
        <f t="shared" si="7"/>
        <v>9</v>
      </c>
      <c r="P16" s="63">
        <f t="shared" si="8"/>
        <v>18</v>
      </c>
      <c r="Q16" s="63">
        <f t="shared" si="9"/>
        <v>27</v>
      </c>
      <c r="R16" s="63">
        <f t="shared" si="10"/>
        <v>33</v>
      </c>
      <c r="S16" s="63" t="str">
        <f>IFERROR(VLOOKUP(MID(N16,Q16,R16-Q16),[6]skilldef!$C:$D,2,FALSE),"-") &amp; " / " &amp; IFERROR(VLOOKUP(MID(N16,O16,P16-O16),[6]skilldef!$A:$B,2,FALSE),"-")</f>
        <v>自分自身に / 状態異常耐性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40029126</v>
      </c>
      <c r="B17" s="47" t="s">
        <v>271</v>
      </c>
      <c r="C17" s="50">
        <v>3</v>
      </c>
      <c r="D17" s="50" t="s">
        <v>128</v>
      </c>
      <c r="E17" s="51" t="s">
        <v>334</v>
      </c>
      <c r="F17" s="51" t="s">
        <v>331</v>
      </c>
      <c r="G17" s="63" t="str">
        <f t="shared" si="1"/>
        <v>[effect:virus, target:unit_one, turn:2, rate:1, val:0.5, animation:enemy_virus]</v>
      </c>
      <c r="H17" s="63">
        <f t="shared" si="2"/>
        <v>9</v>
      </c>
      <c r="I17" s="63">
        <f t="shared" si="3"/>
        <v>14</v>
      </c>
      <c r="J17" s="63">
        <f t="shared" si="4"/>
        <v>23</v>
      </c>
      <c r="K17" s="63">
        <f t="shared" si="5"/>
        <v>31</v>
      </c>
      <c r="L17" s="63" t="str">
        <f>IFERROR(VLOOKUP(MID(G17,J17,K17-J17),[6]skilldef!$C:$D,2,FALSE),"-") &amp; " / " &amp; IFERROR(VLOOKUP(MID(G17,H17,I17-H17),[6]skilldef!$A:$B,2,FALSE),"-")</f>
        <v>味方単体に / ウィルス</v>
      </c>
      <c r="M17" s="63" t="str">
        <f t="shared" si="6"/>
        <v>none</v>
      </c>
      <c r="N17" s="48" t="str">
        <f>IFERROR(LEFT(M17,FIND("],",M17)+S26),M17)</f>
        <v>none</v>
      </c>
      <c r="O17" s="63" t="e">
        <f t="shared" si="7"/>
        <v>#VALUE!</v>
      </c>
      <c r="P17" s="63">
        <f t="shared" si="8"/>
        <v>4</v>
      </c>
      <c r="Q17" s="63" t="e">
        <f t="shared" si="9"/>
        <v>#VALUE!</v>
      </c>
      <c r="R17" s="63" t="e">
        <f t="shared" si="10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40029127</v>
      </c>
      <c r="B18" s="47" t="s">
        <v>267</v>
      </c>
      <c r="C18" s="50">
        <v>3</v>
      </c>
      <c r="D18" s="50" t="s">
        <v>128</v>
      </c>
      <c r="E18" s="51" t="s">
        <v>335</v>
      </c>
      <c r="F18" s="51" t="s">
        <v>293</v>
      </c>
      <c r="G18" s="63" t="str">
        <f t="shared" ref="G18:G32" si="16">IFERROR(LEFT(B18,FIND("],",B18)),B18)</f>
        <v>[effect:damage_anti_abnormal, target:unit_one, target_effect01:virus, val1:1.3, val2:0.8]</v>
      </c>
      <c r="H18" s="63">
        <f t="shared" si="2"/>
        <v>9</v>
      </c>
      <c r="I18" s="63">
        <f t="shared" ref="I18:I32" si="17">IFERROR(FIND(",",G18),LEN(G18))</f>
        <v>29</v>
      </c>
      <c r="J18" s="63">
        <f t="shared" ref="J18:J32" si="18">FIND("target:",G18)+7</f>
        <v>38</v>
      </c>
      <c r="K18" s="63">
        <f t="shared" ref="K18:K32" si="19">FIND(",",G18,I18+1)</f>
        <v>46</v>
      </c>
      <c r="L18" s="63" t="str">
        <f>IFERROR(VLOOKUP(MID(G18,J18,K18-J18),[6]skilldef!$C:$D,2,FALSE),"-") &amp; " / " &amp; IFERROR(VLOOKUP(MID(G18,H18,I18-H18),[6]skilldef!$A:$B,2,FALSE),"-")</f>
        <v>味方単体に / -</v>
      </c>
      <c r="M18" s="63" t="str">
        <f t="shared" ref="M18:M32" si="20">IFERROR(RIGHT(B18,LEN(B18)-FIND("],",B18)-1),"none")</f>
        <v>none</v>
      </c>
      <c r="N18" s="48" t="str">
        <f>IFERROR(LEFT(M18,FIND("],",M18)+S27),M18)</f>
        <v>none</v>
      </c>
      <c r="O18" s="63" t="e">
        <f t="shared" si="7"/>
        <v>#VALUE!</v>
      </c>
      <c r="P18" s="63">
        <f t="shared" ref="P18:P32" si="21">IFERROR(FIND(",",N18),LEN(N18))</f>
        <v>4</v>
      </c>
      <c r="Q18" s="63" t="e">
        <f t="shared" ref="Q18:Q32" si="22">FIND("target:",N18)+7</f>
        <v>#VALUE!</v>
      </c>
      <c r="R18" s="63" t="e">
        <f t="shared" ref="R18:R32" si="23">FIND(",",N18,P18+1)</f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ref="T18:T32" si="24">IFERROR(RIGHT(M18,LEN(M18)-FIND("],",M18)-1),"none")</f>
        <v>none</v>
      </c>
      <c r="U18" s="63" t="e">
        <f t="shared" si="12"/>
        <v>#VALUE!</v>
      </c>
      <c r="V18" s="63">
        <f t="shared" ref="V18:V32" si="25">IFERROR(FIND(",",T18),LEN(T18))</f>
        <v>4</v>
      </c>
      <c r="W18" s="63" t="e">
        <f t="shared" ref="W18:W32" si="26">FIND("target:",T18)+7</f>
        <v>#VALUE!</v>
      </c>
      <c r="X18" s="63" t="e">
        <f t="shared" ref="X18:X32" si="27">FIND(",",T18,V18+1)</f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40029128</v>
      </c>
      <c r="B19" s="47" t="s">
        <v>264</v>
      </c>
      <c r="C19" s="50">
        <v>3</v>
      </c>
      <c r="D19" s="50" t="s">
        <v>128</v>
      </c>
      <c r="E19" s="51" t="s">
        <v>336</v>
      </c>
      <c r="F19" s="51" t="s">
        <v>345</v>
      </c>
      <c r="G19" s="63" t="str">
        <f t="shared" si="16"/>
        <v>[effect:virus, target:unit_all, turn:-1, rate:1, val:0.05, animation:enemy_virus]</v>
      </c>
      <c r="H19" s="63">
        <f t="shared" si="2"/>
        <v>9</v>
      </c>
      <c r="I19" s="63">
        <f t="shared" si="17"/>
        <v>14</v>
      </c>
      <c r="J19" s="63">
        <f t="shared" si="18"/>
        <v>23</v>
      </c>
      <c r="K19" s="63">
        <f t="shared" si="19"/>
        <v>31</v>
      </c>
      <c r="L19" s="63" t="str">
        <f>IFERROR(VLOOKUP(MID(G19,J19,K19-J19),[6]skilldef!$C:$D,2,FALSE),"-") &amp; " / " &amp; IFERROR(VLOOKUP(MID(G19,H19,I19-H19),[6]skilldef!$A:$B,2,FALSE),"-")</f>
        <v>味方全体に / ウィルス</v>
      </c>
      <c r="M19" s="63" t="str">
        <f t="shared" si="20"/>
        <v>[effect:suicide, val:1, dead_type:escape]</v>
      </c>
      <c r="N19" s="48" t="str">
        <f>IFERROR(LEFT(M19,FIND("],",M19)+S28),M19)</f>
        <v>[effect:suicide, val:1, dead_type:escape]</v>
      </c>
      <c r="O19" s="63">
        <f t="shared" si="7"/>
        <v>9</v>
      </c>
      <c r="P19" s="63">
        <f t="shared" si="21"/>
        <v>16</v>
      </c>
      <c r="Q19" s="63" t="e">
        <f t="shared" si="22"/>
        <v>#VALUE!</v>
      </c>
      <c r="R19" s="63">
        <f t="shared" si="23"/>
        <v>23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24"/>
        <v>none</v>
      </c>
      <c r="U19" s="63" t="e">
        <f t="shared" si="12"/>
        <v>#VALUE!</v>
      </c>
      <c r="V19" s="63">
        <f t="shared" si="25"/>
        <v>4</v>
      </c>
      <c r="W19" s="63" t="e">
        <f t="shared" si="26"/>
        <v>#VALUE!</v>
      </c>
      <c r="X19" s="63" t="e">
        <f t="shared" si="27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40029130</v>
      </c>
      <c r="B20" s="47" t="s">
        <v>268</v>
      </c>
      <c r="C20" s="50">
        <v>3</v>
      </c>
      <c r="D20" s="50" t="s">
        <v>128</v>
      </c>
      <c r="E20" s="51" t="s">
        <v>313</v>
      </c>
      <c r="F20" s="51" t="s">
        <v>253</v>
      </c>
      <c r="G20" s="63" t="str">
        <f t="shared" si="16"/>
        <v>[effect:fix_speed, target:myself, turn:1]</v>
      </c>
      <c r="H20" s="63">
        <f t="shared" si="2"/>
        <v>9</v>
      </c>
      <c r="I20" s="63">
        <f t="shared" si="17"/>
        <v>18</v>
      </c>
      <c r="J20" s="63">
        <f t="shared" si="18"/>
        <v>27</v>
      </c>
      <c r="K20" s="63">
        <f t="shared" si="19"/>
        <v>33</v>
      </c>
      <c r="L20" s="63" t="str">
        <f>IFERROR(VLOOKUP(MID(G20,J20,K20-J20),[6]skilldef!$C:$D,2,FALSE),"-") &amp; " / " &amp; IFERROR(VLOOKUP(MID(G20,H20,I20-H20),[6]skilldef!$A:$B,2,FALSE),"-")</f>
        <v>自分自身に / 行動値設定</v>
      </c>
      <c r="M20" s="63" t="str">
        <f t="shared" si="20"/>
        <v>[effect:tolerance, target:myself, turn:-1, count:-1, tolerance_effect:all, animation:enemy_tolerance]</v>
      </c>
      <c r="N20" s="48" t="str">
        <f t="shared" ref="N20:N22" si="28">IFERROR(LEFT(M20,FIND("],",M20)+S30),M20)</f>
        <v>[effect:tolerance, target:myself, turn:-1, count:-1, tolerance_effect:all, animation:enemy_tolerance]</v>
      </c>
      <c r="O20" s="63">
        <f t="shared" si="7"/>
        <v>9</v>
      </c>
      <c r="P20" s="63">
        <f t="shared" si="21"/>
        <v>18</v>
      </c>
      <c r="Q20" s="63">
        <f t="shared" si="22"/>
        <v>27</v>
      </c>
      <c r="R20" s="63">
        <f t="shared" si="23"/>
        <v>33</v>
      </c>
      <c r="S20" s="63" t="str">
        <f>IFERROR(VLOOKUP(MID(N20,Q20,R20-Q20),[6]skilldef!$C:$D,2,FALSE),"-") &amp; " / " &amp; IFERROR(VLOOKUP(MID(N20,O20,P20-O20),[6]skilldef!$A:$B,2,FALSE),"-")</f>
        <v>自分自身に / 状態異常耐性</v>
      </c>
      <c r="T20" s="48" t="str">
        <f t="shared" si="24"/>
        <v>none</v>
      </c>
      <c r="U20" s="63" t="e">
        <f t="shared" si="12"/>
        <v>#VALUE!</v>
      </c>
      <c r="V20" s="63">
        <f t="shared" si="25"/>
        <v>4</v>
      </c>
      <c r="W20" s="63" t="e">
        <f t="shared" si="26"/>
        <v>#VALUE!</v>
      </c>
      <c r="X20" s="63" t="e">
        <f t="shared" si="27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40029131</v>
      </c>
      <c r="B21" s="47" t="s">
        <v>348</v>
      </c>
      <c r="C21" s="50">
        <v>3</v>
      </c>
      <c r="D21" s="50" t="s">
        <v>128</v>
      </c>
      <c r="E21" s="51" t="s">
        <v>314</v>
      </c>
      <c r="F21" s="51" t="s">
        <v>294</v>
      </c>
      <c r="G21" s="63" t="str">
        <f t="shared" si="16"/>
        <v>[effect:force_change_block, new_block:jammer, target:block_all, ignore01:block_positive, ignore02:block_negative, count:5, val:0, animation:change_block]</v>
      </c>
      <c r="H21" s="63">
        <f t="shared" si="2"/>
        <v>9</v>
      </c>
      <c r="I21" s="63">
        <f t="shared" si="17"/>
        <v>27</v>
      </c>
      <c r="J21" s="63">
        <f t="shared" si="18"/>
        <v>54</v>
      </c>
      <c r="K21" s="63">
        <f t="shared" si="19"/>
        <v>45</v>
      </c>
      <c r="L21" s="63" t="str">
        <f>IFERROR(VLOOKUP(MID(G21,J21,K21-J21),[6]skilldef!$C:$D,2,FALSE),"-") &amp; " / " &amp; IFERROR(VLOOKUP(MID(G21,H21,I21-H21),[6]skilldef!$A:$B,2,FALSE),"-")</f>
        <v>- / -</v>
      </c>
      <c r="M21" s="63" t="str">
        <f t="shared" si="20"/>
        <v>[effect:virus, target:unit_all, turn:2, rate:1, val:0.05, animation:enemy_virus]</v>
      </c>
      <c r="N21" s="48" t="str">
        <f t="shared" si="28"/>
        <v>[effect:virus, target:unit_all, turn:2, rate:1, val:0.05, animation:enemy_virus]</v>
      </c>
      <c r="O21" s="63">
        <f t="shared" si="7"/>
        <v>9</v>
      </c>
      <c r="P21" s="63">
        <f t="shared" si="21"/>
        <v>14</v>
      </c>
      <c r="Q21" s="63">
        <f t="shared" si="22"/>
        <v>23</v>
      </c>
      <c r="R21" s="63">
        <f t="shared" si="23"/>
        <v>31</v>
      </c>
      <c r="S21" s="63" t="str">
        <f>IFERROR(VLOOKUP(MID(N21,Q21,R21-Q21),[6]skilldef!$C:$D,2,FALSE),"-") &amp; " / " &amp; IFERROR(VLOOKUP(MID(N21,O21,P21-O21),[6]skilldef!$A:$B,2,FALSE),"-")</f>
        <v>味方全体に / ウィルス</v>
      </c>
      <c r="T21" s="48" t="str">
        <f t="shared" si="24"/>
        <v>none</v>
      </c>
      <c r="U21" s="63" t="e">
        <f t="shared" si="12"/>
        <v>#VALUE!</v>
      </c>
      <c r="V21" s="63">
        <f t="shared" si="25"/>
        <v>4</v>
      </c>
      <c r="W21" s="63" t="e">
        <f t="shared" si="26"/>
        <v>#VALUE!</v>
      </c>
      <c r="X21" s="63" t="e">
        <f t="shared" si="27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40029132</v>
      </c>
      <c r="B22" s="47" t="s">
        <v>349</v>
      </c>
      <c r="C22" s="50">
        <v>3</v>
      </c>
      <c r="D22" s="50" t="s">
        <v>128</v>
      </c>
      <c r="E22" s="51" t="s">
        <v>315</v>
      </c>
      <c r="F22" s="51" t="s">
        <v>295</v>
      </c>
      <c r="G22" s="63" t="str">
        <f t="shared" si="16"/>
        <v>[effect:force_change_block, new_block:jammer, target:block_all, ignore01:block_positive, ignore02:block_negative, count:8, val:0, animation:change_block]</v>
      </c>
      <c r="H22" s="63">
        <f t="shared" si="2"/>
        <v>9</v>
      </c>
      <c r="I22" s="63">
        <f t="shared" si="17"/>
        <v>27</v>
      </c>
      <c r="J22" s="63">
        <f t="shared" si="18"/>
        <v>54</v>
      </c>
      <c r="K22" s="63">
        <f t="shared" si="19"/>
        <v>45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20"/>
        <v>[effect:virus, target:unit_all, turn:1, rate:1, val:0.1, animation:enemy_virus]</v>
      </c>
      <c r="N22" s="48" t="str">
        <f t="shared" si="28"/>
        <v>[effect:virus, target:unit_all, turn:1, rate:1, val:0.1, animation:enemy_virus]</v>
      </c>
      <c r="O22" s="63">
        <f t="shared" si="7"/>
        <v>9</v>
      </c>
      <c r="P22" s="63">
        <f t="shared" si="21"/>
        <v>14</v>
      </c>
      <c r="Q22" s="63">
        <f t="shared" si="22"/>
        <v>23</v>
      </c>
      <c r="R22" s="63">
        <f t="shared" si="23"/>
        <v>31</v>
      </c>
      <c r="S22" s="63" t="str">
        <f>IFERROR(VLOOKUP(MID(N22,Q22,R22-Q22),[6]skilldef!$C:$D,2,FALSE),"-") &amp; " / " &amp; IFERROR(VLOOKUP(MID(N22,O22,P22-O22),[6]skilldef!$A:$B,2,FALSE),"-")</f>
        <v>味方全体に / ウィルス</v>
      </c>
      <c r="T22" s="48" t="str">
        <f t="shared" si="24"/>
        <v>none</v>
      </c>
      <c r="U22" s="63" t="e">
        <f t="shared" si="12"/>
        <v>#VALUE!</v>
      </c>
      <c r="V22" s="63">
        <f t="shared" si="25"/>
        <v>4</v>
      </c>
      <c r="W22" s="63" t="e">
        <f t="shared" si="26"/>
        <v>#VALUE!</v>
      </c>
      <c r="X22" s="63" t="e">
        <f t="shared" si="27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40029133</v>
      </c>
      <c r="B23" s="107" t="s">
        <v>344</v>
      </c>
      <c r="C23" s="50">
        <v>3</v>
      </c>
      <c r="D23" s="50" t="s">
        <v>128</v>
      </c>
      <c r="E23" s="51" t="s">
        <v>332</v>
      </c>
      <c r="F23" s="51" t="s">
        <v>342</v>
      </c>
      <c r="G23" s="63" t="str">
        <f t="shared" si="16"/>
        <v>[effect:break_attack, target:unit_all, val:0.05, lowest_val:1000, count:-1, color:yellow, block01:jammer]</v>
      </c>
      <c r="H23" s="63">
        <f t="shared" si="2"/>
        <v>9</v>
      </c>
      <c r="I23" s="63">
        <f t="shared" si="17"/>
        <v>21</v>
      </c>
      <c r="J23" s="63">
        <f t="shared" si="18"/>
        <v>30</v>
      </c>
      <c r="K23" s="63">
        <f t="shared" si="19"/>
        <v>38</v>
      </c>
      <c r="L23" s="63" t="str">
        <f>IFERROR(VLOOKUP(MID(G23,J23,K23-J23),[6]skilldef!$C:$D,2,FALSE),"-") &amp; " / " &amp; IFERROR(VLOOKUP(MID(G23,H23,I23-H23),[6]skilldef!$A:$B,2,FALSE),"-")</f>
        <v>味方全体に / -</v>
      </c>
      <c r="M23" s="63" t="str">
        <f t="shared" si="20"/>
        <v>none</v>
      </c>
      <c r="N23" s="48" t="str">
        <f>IFERROR(LEFT(M23,FIND("],",M23)+#REF!),M23)</f>
        <v>none</v>
      </c>
      <c r="O23" s="63" t="e">
        <f t="shared" si="7"/>
        <v>#VALUE!</v>
      </c>
      <c r="P23" s="63">
        <f t="shared" si="21"/>
        <v>4</v>
      </c>
      <c r="Q23" s="63" t="e">
        <f t="shared" si="22"/>
        <v>#VALUE!</v>
      </c>
      <c r="R23" s="63" t="e">
        <f t="shared" si="23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24"/>
        <v>none</v>
      </c>
      <c r="U23" s="63" t="e">
        <f t="shared" si="12"/>
        <v>#VALUE!</v>
      </c>
      <c r="V23" s="63">
        <f t="shared" si="25"/>
        <v>4</v>
      </c>
      <c r="W23" s="63" t="e">
        <f t="shared" si="26"/>
        <v>#VALUE!</v>
      </c>
      <c r="X23" s="63" t="e">
        <f t="shared" si="27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40029134</v>
      </c>
      <c r="B24" s="47" t="s">
        <v>350</v>
      </c>
      <c r="C24" s="50">
        <v>3</v>
      </c>
      <c r="D24" s="50" t="s">
        <v>128</v>
      </c>
      <c r="E24" s="51" t="s">
        <v>337</v>
      </c>
      <c r="F24" s="51" t="s">
        <v>346</v>
      </c>
      <c r="G24" s="63" t="str">
        <f t="shared" si="16"/>
        <v>[effect:force_change_block, new_block:jammer, target:block_all, ignore01:block_positive, ignore02:block_negative, count:20, val:0, animation:change_block]</v>
      </c>
      <c r="H24" s="63">
        <f t="shared" si="2"/>
        <v>9</v>
      </c>
      <c r="I24" s="63">
        <f t="shared" si="17"/>
        <v>27</v>
      </c>
      <c r="J24" s="63">
        <f t="shared" si="18"/>
        <v>54</v>
      </c>
      <c r="K24" s="63">
        <f t="shared" si="19"/>
        <v>45</v>
      </c>
      <c r="L24" s="63" t="str">
        <f>IFERROR(VLOOKUP(MID(G24,J24,K24-J24),[6]skilldef!$C:$D,2,FALSE),"-") &amp; " / " &amp; IFERROR(VLOOKUP(MID(G24,H24,I24-H24),[6]skilldef!$A:$B,2,FALSE),"-")</f>
        <v>- / -</v>
      </c>
      <c r="M24" s="63" t="str">
        <f t="shared" si="20"/>
        <v>[effect:suicide, val:1, dead_type:escape]</v>
      </c>
      <c r="N24" s="48" t="str">
        <f>IFERROR(LEFT(M24,FIND("],",M24)+#REF!),M24)</f>
        <v>[effect:suicide, val:1, dead_type:escape]</v>
      </c>
      <c r="O24" s="63">
        <f t="shared" si="7"/>
        <v>9</v>
      </c>
      <c r="P24" s="63">
        <f t="shared" si="21"/>
        <v>16</v>
      </c>
      <c r="Q24" s="63" t="e">
        <f t="shared" si="22"/>
        <v>#VALUE!</v>
      </c>
      <c r="R24" s="63">
        <f t="shared" si="23"/>
        <v>23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24"/>
        <v>none</v>
      </c>
      <c r="U24" s="63" t="e">
        <f t="shared" si="12"/>
        <v>#VALUE!</v>
      </c>
      <c r="V24" s="63">
        <f t="shared" si="25"/>
        <v>4</v>
      </c>
      <c r="W24" s="63" t="e">
        <f t="shared" si="26"/>
        <v>#VALUE!</v>
      </c>
      <c r="X24" s="63" t="e">
        <f t="shared" si="27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40029135</v>
      </c>
      <c r="B25" s="47" t="s">
        <v>262</v>
      </c>
      <c r="C25" s="50">
        <v>3</v>
      </c>
      <c r="D25" s="50" t="s">
        <v>128</v>
      </c>
      <c r="E25" s="51" t="s">
        <v>316</v>
      </c>
      <c r="F25" s="51" t="s">
        <v>253</v>
      </c>
      <c r="G25" s="63" t="str">
        <f t="shared" si="16"/>
        <v>[effect:fix_speed, target:myself, turn:1]</v>
      </c>
      <c r="H25" s="63">
        <f t="shared" si="2"/>
        <v>9</v>
      </c>
      <c r="I25" s="63">
        <f t="shared" si="17"/>
        <v>18</v>
      </c>
      <c r="J25" s="63">
        <f t="shared" si="18"/>
        <v>27</v>
      </c>
      <c r="K25" s="63">
        <f t="shared" si="19"/>
        <v>33</v>
      </c>
      <c r="L25" s="63" t="str">
        <f>IFERROR(VLOOKUP(MID(G25,J25,K25-J25),[6]skilldef!$C:$D,2,FALSE),"-") &amp; " / " &amp; IFERROR(VLOOKUP(MID(G25,H25,I25-H25),[6]skilldef!$A:$B,2,FALSE),"-")</f>
        <v>自分自身に / 行動値設定</v>
      </c>
      <c r="M25" s="63" t="str">
        <f t="shared" si="20"/>
        <v>[effect:tolerance, target:myself, turn:-1, count:-1, tolerance_effect:all, animation:enemy_tolerance]</v>
      </c>
      <c r="N25" s="48" t="str">
        <f>IFERROR(LEFT(M25,FIND("],",M25)+#REF!),M25)</f>
        <v>[effect:tolerance, target:myself, turn:-1, count:-1, tolerance_effect:all, animation:enemy_tolerance]</v>
      </c>
      <c r="O25" s="63">
        <f t="shared" si="7"/>
        <v>9</v>
      </c>
      <c r="P25" s="63">
        <f t="shared" si="21"/>
        <v>18</v>
      </c>
      <c r="Q25" s="63">
        <f t="shared" si="22"/>
        <v>27</v>
      </c>
      <c r="R25" s="63">
        <f t="shared" si="23"/>
        <v>33</v>
      </c>
      <c r="S25" s="63" t="str">
        <f>IFERROR(VLOOKUP(MID(N25,Q25,R25-Q25),[6]skilldef!$C:$D,2,FALSE),"-") &amp; " / " &amp; IFERROR(VLOOKUP(MID(N25,O25,P25-O25),[6]skilldef!$A:$B,2,FALSE),"-")</f>
        <v>自分自身に / 状態異常耐性</v>
      </c>
      <c r="T25" s="48" t="str">
        <f t="shared" si="24"/>
        <v>none</v>
      </c>
      <c r="U25" s="63" t="e">
        <f t="shared" si="12"/>
        <v>#VALUE!</v>
      </c>
      <c r="V25" s="63">
        <f t="shared" si="25"/>
        <v>4</v>
      </c>
      <c r="W25" s="63" t="e">
        <f t="shared" si="26"/>
        <v>#VALUE!</v>
      </c>
      <c r="X25" s="63" t="e">
        <f t="shared" si="27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40029136</v>
      </c>
      <c r="B26" s="107" t="s">
        <v>344</v>
      </c>
      <c r="C26" s="50">
        <v>3</v>
      </c>
      <c r="D26" s="50" t="s">
        <v>128</v>
      </c>
      <c r="E26" s="51" t="s">
        <v>332</v>
      </c>
      <c r="F26" s="51" t="s">
        <v>342</v>
      </c>
      <c r="G26" s="63" t="str">
        <f t="shared" si="16"/>
        <v>[effect:break_attack, target:unit_all, val:0.05, lowest_val:1000, count:-1, color:yellow, block01:jammer]</v>
      </c>
      <c r="H26" s="63">
        <f t="shared" si="2"/>
        <v>9</v>
      </c>
      <c r="I26" s="63">
        <f t="shared" si="17"/>
        <v>21</v>
      </c>
      <c r="J26" s="63">
        <f t="shared" si="18"/>
        <v>30</v>
      </c>
      <c r="K26" s="63">
        <f t="shared" si="19"/>
        <v>38</v>
      </c>
      <c r="L26" s="63" t="str">
        <f>IFERROR(VLOOKUP(MID(G26,J26,K26-J26),[6]skilldef!$C:$D,2,FALSE),"-") &amp; " / " &amp; IFERROR(VLOOKUP(MID(G26,H26,I26-H26),[6]skilldef!$A:$B,2,FALSE),"-")</f>
        <v>味方全体に / -</v>
      </c>
      <c r="M26" s="63" t="str">
        <f t="shared" si="20"/>
        <v>none</v>
      </c>
      <c r="N26" s="48" t="str">
        <f>IFERROR(LEFT(M26,FIND("],",M26)+#REF!),M26)</f>
        <v>none</v>
      </c>
      <c r="O26" s="63" t="e">
        <f t="shared" si="7"/>
        <v>#VALUE!</v>
      </c>
      <c r="P26" s="63">
        <f t="shared" si="21"/>
        <v>4</v>
      </c>
      <c r="Q26" s="63" t="e">
        <f t="shared" si="22"/>
        <v>#VALUE!</v>
      </c>
      <c r="R26" s="63" t="e">
        <f t="shared" si="23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24"/>
        <v>none</v>
      </c>
      <c r="U26" s="63" t="e">
        <f t="shared" si="12"/>
        <v>#VALUE!</v>
      </c>
      <c r="V26" s="63">
        <f t="shared" si="25"/>
        <v>4</v>
      </c>
      <c r="W26" s="63" t="e">
        <f t="shared" si="26"/>
        <v>#VALUE!</v>
      </c>
      <c r="X26" s="63" t="e">
        <f t="shared" si="27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40029137</v>
      </c>
      <c r="B27" s="47" t="s">
        <v>351</v>
      </c>
      <c r="C27" s="50">
        <v>3</v>
      </c>
      <c r="D27" s="50" t="s">
        <v>128</v>
      </c>
      <c r="E27" s="51" t="s">
        <v>315</v>
      </c>
      <c r="F27" s="51" t="s">
        <v>296</v>
      </c>
      <c r="G27" s="63" t="str">
        <f t="shared" si="16"/>
        <v>[effect:force_change_block, new_block:jammer, target:block_all, ignore01:block_positive, ignore02:block_negative, count:8, val:0, animation:change_block]</v>
      </c>
      <c r="H27" s="63">
        <f t="shared" si="2"/>
        <v>9</v>
      </c>
      <c r="I27" s="63">
        <f t="shared" si="17"/>
        <v>27</v>
      </c>
      <c r="J27" s="63">
        <f t="shared" si="18"/>
        <v>54</v>
      </c>
      <c r="K27" s="63">
        <f t="shared" si="19"/>
        <v>45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20"/>
        <v>[effect:virus, target:unit_all, turn:2, rate:1, val:0.5, animation:enemy_virus]</v>
      </c>
      <c r="N27" s="48" t="str">
        <f>IFERROR(LEFT(M27,FIND("],",M27)+#REF!),M27)</f>
        <v>[effect:virus, target:unit_all, turn:2, rate:1, val:0.5, animation:enemy_virus]</v>
      </c>
      <c r="O27" s="63">
        <f t="shared" si="7"/>
        <v>9</v>
      </c>
      <c r="P27" s="63">
        <f t="shared" si="21"/>
        <v>14</v>
      </c>
      <c r="Q27" s="63">
        <f t="shared" si="22"/>
        <v>23</v>
      </c>
      <c r="R27" s="63">
        <f t="shared" si="23"/>
        <v>31</v>
      </c>
      <c r="S27" s="63" t="str">
        <f>IFERROR(VLOOKUP(MID(N27,Q27,R27-Q27),[6]skilldef!$C:$D,2,FALSE),"-") &amp; " / " &amp; IFERROR(VLOOKUP(MID(N27,O27,P27-O27),[6]skilldef!$A:$B,2,FALSE),"-")</f>
        <v>味方全体に / ウィルス</v>
      </c>
      <c r="T27" s="48" t="str">
        <f t="shared" si="24"/>
        <v>none</v>
      </c>
      <c r="U27" s="63" t="e">
        <f t="shared" si="12"/>
        <v>#VALUE!</v>
      </c>
      <c r="V27" s="63">
        <f t="shared" si="25"/>
        <v>4</v>
      </c>
      <c r="W27" s="63" t="e">
        <f t="shared" si="26"/>
        <v>#VALUE!</v>
      </c>
      <c r="X27" s="63" t="e">
        <f t="shared" si="27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40029138</v>
      </c>
      <c r="B28" s="107" t="s">
        <v>344</v>
      </c>
      <c r="C28" s="50">
        <v>3</v>
      </c>
      <c r="D28" s="50" t="s">
        <v>128</v>
      </c>
      <c r="E28" s="51" t="s">
        <v>332</v>
      </c>
      <c r="F28" s="51" t="s">
        <v>342</v>
      </c>
      <c r="G28" s="63" t="str">
        <f t="shared" si="16"/>
        <v>[effect:break_attack, target:unit_all, val:0.05, lowest_val:1000, count:-1, color:yellow, block01:jammer]</v>
      </c>
      <c r="H28" s="63">
        <f t="shared" si="2"/>
        <v>9</v>
      </c>
      <c r="I28" s="63">
        <f t="shared" si="17"/>
        <v>21</v>
      </c>
      <c r="J28" s="63">
        <f t="shared" si="18"/>
        <v>30</v>
      </c>
      <c r="K28" s="63">
        <f t="shared" si="19"/>
        <v>38</v>
      </c>
      <c r="L28" s="63" t="str">
        <f>IFERROR(VLOOKUP(MID(G28,J28,K28-J28),[6]skilldef!$C:$D,2,FALSE),"-") &amp; " / " &amp; IFERROR(VLOOKUP(MID(G28,H28,I28-H28),[6]skilldef!$A:$B,2,FALSE),"-")</f>
        <v>味方全体に / -</v>
      </c>
      <c r="M28" s="63" t="str">
        <f t="shared" si="20"/>
        <v>none</v>
      </c>
      <c r="N28" s="48" t="str">
        <f>IFERROR(LEFT(M28,FIND("],",M28)+#REF!),M28)</f>
        <v>none</v>
      </c>
      <c r="O28" s="63" t="e">
        <f t="shared" si="7"/>
        <v>#VALUE!</v>
      </c>
      <c r="P28" s="63">
        <f t="shared" si="21"/>
        <v>4</v>
      </c>
      <c r="Q28" s="63" t="e">
        <f t="shared" si="22"/>
        <v>#VALUE!</v>
      </c>
      <c r="R28" s="63" t="e">
        <f t="shared" si="23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24"/>
        <v>none</v>
      </c>
      <c r="U28" s="63" t="e">
        <f t="shared" si="12"/>
        <v>#VALUE!</v>
      </c>
      <c r="V28" s="63">
        <f t="shared" si="25"/>
        <v>4</v>
      </c>
      <c r="W28" s="63" t="e">
        <f t="shared" si="26"/>
        <v>#VALUE!</v>
      </c>
      <c r="X28" s="63" t="e">
        <f t="shared" si="27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40029139</v>
      </c>
      <c r="B29" s="47" t="s">
        <v>261</v>
      </c>
      <c r="C29" s="50">
        <v>3</v>
      </c>
      <c r="D29" s="50" t="s">
        <v>128</v>
      </c>
      <c r="E29" s="51" t="s">
        <v>333</v>
      </c>
      <c r="F29" s="51" t="s">
        <v>297</v>
      </c>
      <c r="G29" s="63" t="str">
        <f t="shared" si="16"/>
        <v>[effect:enemy_counter, target:myself, invoke_condition:unit_all, counter_target:attacker, turn:1, val:0.3, animation:enemy_counter]</v>
      </c>
      <c r="H29" s="63">
        <f t="shared" si="2"/>
        <v>9</v>
      </c>
      <c r="I29" s="63">
        <f t="shared" si="17"/>
        <v>22</v>
      </c>
      <c r="J29" s="63">
        <f t="shared" si="18"/>
        <v>31</v>
      </c>
      <c r="K29" s="63">
        <f t="shared" si="19"/>
        <v>37</v>
      </c>
      <c r="L29" s="63" t="str">
        <f>IFERROR(VLOOKUP(MID(G29,J29,K29-J29),[6]skilldef!$C:$D,2,FALSE),"-") &amp; " / " &amp; IFERROR(VLOOKUP(MID(G29,H29,I29-H29),[6]skilldef!$A:$B,2,FALSE),"-")</f>
        <v>自分自身に / カウンター</v>
      </c>
      <c r="M29" s="63" t="str">
        <f t="shared" si="20"/>
        <v>none</v>
      </c>
      <c r="N29" s="48" t="str">
        <f>IFERROR(LEFT(M29,FIND("],",M29)+#REF!),M29)</f>
        <v>none</v>
      </c>
      <c r="O29" s="63" t="e">
        <f t="shared" si="7"/>
        <v>#VALUE!</v>
      </c>
      <c r="P29" s="63">
        <f t="shared" si="21"/>
        <v>4</v>
      </c>
      <c r="Q29" s="63" t="e">
        <f t="shared" si="22"/>
        <v>#VALUE!</v>
      </c>
      <c r="R29" s="63" t="e">
        <f t="shared" si="23"/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24"/>
        <v>none</v>
      </c>
      <c r="U29" s="63" t="e">
        <f t="shared" si="12"/>
        <v>#VALUE!</v>
      </c>
      <c r="V29" s="63">
        <f t="shared" si="25"/>
        <v>4</v>
      </c>
      <c r="W29" s="63" t="e">
        <f t="shared" si="26"/>
        <v>#VALUE!</v>
      </c>
      <c r="X29" s="63" t="e">
        <f t="shared" si="27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40029140</v>
      </c>
      <c r="B30" s="47" t="s">
        <v>261</v>
      </c>
      <c r="C30" s="50">
        <v>3</v>
      </c>
      <c r="D30" s="50" t="s">
        <v>128</v>
      </c>
      <c r="E30" s="51" t="s">
        <v>333</v>
      </c>
      <c r="F30" s="51" t="s">
        <v>297</v>
      </c>
      <c r="G30" s="63" t="str">
        <f t="shared" si="16"/>
        <v>[effect:enemy_counter, target:myself, invoke_condition:unit_all, counter_target:attacker, turn:1, val:0.3, animation:enemy_counter]</v>
      </c>
      <c r="H30" s="63">
        <f t="shared" si="2"/>
        <v>9</v>
      </c>
      <c r="I30" s="63">
        <f t="shared" si="17"/>
        <v>22</v>
      </c>
      <c r="J30" s="63">
        <f t="shared" si="18"/>
        <v>31</v>
      </c>
      <c r="K30" s="63">
        <f t="shared" si="19"/>
        <v>37</v>
      </c>
      <c r="L30" s="63" t="str">
        <f>IFERROR(VLOOKUP(MID(G30,J30,K30-J30),[6]skilldef!$C:$D,2,FALSE),"-") &amp; " / " &amp; IFERROR(VLOOKUP(MID(G30,H30,I30-H30),[6]skilldef!$A:$B,2,FALSE),"-")</f>
        <v>自分自身に / カウンター</v>
      </c>
      <c r="M30" s="63" t="str">
        <f t="shared" si="20"/>
        <v>none</v>
      </c>
      <c r="N30" s="48" t="str">
        <f>IFERROR(LEFT(M30,FIND("],",M30)+#REF!),M30)</f>
        <v>none</v>
      </c>
      <c r="O30" s="63" t="e">
        <f t="shared" si="7"/>
        <v>#VALUE!</v>
      </c>
      <c r="P30" s="63">
        <f t="shared" si="21"/>
        <v>4</v>
      </c>
      <c r="Q30" s="63" t="e">
        <f t="shared" si="22"/>
        <v>#VALUE!</v>
      </c>
      <c r="R30" s="63" t="e">
        <f t="shared" si="23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24"/>
        <v>none</v>
      </c>
      <c r="U30" s="63" t="e">
        <f t="shared" si="12"/>
        <v>#VALUE!</v>
      </c>
      <c r="V30" s="63">
        <f t="shared" si="25"/>
        <v>4</v>
      </c>
      <c r="W30" s="63" t="e">
        <f t="shared" si="26"/>
        <v>#VALUE!</v>
      </c>
      <c r="X30" s="63" t="e">
        <f t="shared" si="27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40029141</v>
      </c>
      <c r="B31" s="47" t="s">
        <v>261</v>
      </c>
      <c r="C31" s="50">
        <v>3</v>
      </c>
      <c r="D31" s="50" t="s">
        <v>128</v>
      </c>
      <c r="E31" s="51" t="s">
        <v>333</v>
      </c>
      <c r="F31" s="51" t="s">
        <v>297</v>
      </c>
      <c r="G31" s="63" t="str">
        <f t="shared" si="16"/>
        <v>[effect:enemy_counter, target:myself, invoke_condition:unit_all, counter_target:attacker, turn:1, val:0.3, animation:enemy_counter]</v>
      </c>
      <c r="H31" s="63">
        <f t="shared" si="2"/>
        <v>9</v>
      </c>
      <c r="I31" s="63">
        <f t="shared" si="17"/>
        <v>22</v>
      </c>
      <c r="J31" s="63">
        <f t="shared" si="18"/>
        <v>31</v>
      </c>
      <c r="K31" s="63">
        <f t="shared" si="19"/>
        <v>37</v>
      </c>
      <c r="L31" s="63" t="str">
        <f>IFERROR(VLOOKUP(MID(G31,J31,K31-J31),[6]skilldef!$C:$D,2,FALSE),"-") &amp; " / " &amp; IFERROR(VLOOKUP(MID(G31,H31,I31-H31),[6]skilldef!$A:$B,2,FALSE),"-")</f>
        <v>自分自身に / カウンター</v>
      </c>
      <c r="M31" s="63" t="str">
        <f t="shared" si="20"/>
        <v>none</v>
      </c>
      <c r="N31" s="48" t="str">
        <f>IFERROR(LEFT(M31,FIND("],",M31)+#REF!),M31)</f>
        <v>none</v>
      </c>
      <c r="O31" s="63" t="e">
        <f t="shared" si="7"/>
        <v>#VALUE!</v>
      </c>
      <c r="P31" s="63">
        <f t="shared" si="21"/>
        <v>4</v>
      </c>
      <c r="Q31" s="63" t="e">
        <f t="shared" si="22"/>
        <v>#VALUE!</v>
      </c>
      <c r="R31" s="63" t="e">
        <f t="shared" si="23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24"/>
        <v>none</v>
      </c>
      <c r="U31" s="63" t="e">
        <f t="shared" si="12"/>
        <v>#VALUE!</v>
      </c>
      <c r="V31" s="63">
        <f t="shared" si="25"/>
        <v>4</v>
      </c>
      <c r="W31" s="63" t="e">
        <f t="shared" si="26"/>
        <v>#VALUE!</v>
      </c>
      <c r="X31" s="63" t="e">
        <f t="shared" si="27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47">
        <v>40029142</v>
      </c>
      <c r="B32" s="47" t="s">
        <v>298</v>
      </c>
      <c r="C32" s="50">
        <v>3</v>
      </c>
      <c r="D32" s="50" t="s">
        <v>128</v>
      </c>
      <c r="E32" s="51" t="s">
        <v>317</v>
      </c>
      <c r="F32" s="51" t="s">
        <v>291</v>
      </c>
      <c r="G32" s="63" t="str">
        <f t="shared" si="16"/>
        <v>[effect:enhance_enemy, target:myself, turn:-1, status:attack, val:1.6, animation:enemy_enhance_attack]</v>
      </c>
      <c r="H32" s="63">
        <f t="shared" si="2"/>
        <v>9</v>
      </c>
      <c r="I32" s="63">
        <f t="shared" si="17"/>
        <v>22</v>
      </c>
      <c r="J32" s="63">
        <f t="shared" si="18"/>
        <v>31</v>
      </c>
      <c r="K32" s="63">
        <f t="shared" si="19"/>
        <v>37</v>
      </c>
      <c r="L32" s="63" t="str">
        <f>IFERROR(VLOOKUP(MID(G32,J32,K32-J32),[6]skilldef!$C:$D,2,FALSE),"-") &amp; " / " &amp; IFERROR(VLOOKUP(MID(G32,H32,I32-H32),[6]skilldef!$A:$B,2,FALSE),"-")</f>
        <v>自分自身に / ステータス強化</v>
      </c>
      <c r="M32" s="63" t="str">
        <f t="shared" si="20"/>
        <v>none</v>
      </c>
      <c r="N32" s="48" t="str">
        <f>IFERROR(LEFT(M32,FIND("],",M32)+#REF!),M32)</f>
        <v>none</v>
      </c>
      <c r="O32" s="63" t="e">
        <f t="shared" si="7"/>
        <v>#VALUE!</v>
      </c>
      <c r="P32" s="63">
        <f t="shared" si="21"/>
        <v>4</v>
      </c>
      <c r="Q32" s="63" t="e">
        <f t="shared" si="22"/>
        <v>#VALUE!</v>
      </c>
      <c r="R32" s="63" t="e">
        <f t="shared" si="23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24"/>
        <v>none</v>
      </c>
      <c r="U32" s="63" t="e">
        <f t="shared" si="12"/>
        <v>#VALUE!</v>
      </c>
      <c r="V32" s="63">
        <f t="shared" si="25"/>
        <v>4</v>
      </c>
      <c r="W32" s="63" t="e">
        <f t="shared" si="26"/>
        <v>#VALUE!</v>
      </c>
      <c r="X32" s="63" t="e">
        <f t="shared" si="27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47">
        <v>40029143</v>
      </c>
      <c r="B33" s="47" t="s">
        <v>299</v>
      </c>
      <c r="C33" s="50">
        <v>3</v>
      </c>
      <c r="D33" s="50" t="s">
        <v>128</v>
      </c>
      <c r="E33" s="51" t="s">
        <v>300</v>
      </c>
      <c r="F33" s="51" t="s">
        <v>301</v>
      </c>
      <c r="G33" s="63" t="str">
        <f t="shared" ref="G33" si="29">IFERROR(LEFT(B33,FIND("],",B33)),B33)</f>
        <v>[effect:enemy_message, val1:1.2, val2:1.2]</v>
      </c>
      <c r="H33" s="63">
        <f t="shared" ref="H33" si="30">FIND("effect:",G33)+7</f>
        <v>9</v>
      </c>
      <c r="I33" s="63">
        <f t="shared" ref="I33" si="31">IFERROR(FIND(",",G33),LEN(G33))</f>
        <v>22</v>
      </c>
      <c r="J33" s="63" t="e">
        <f t="shared" ref="J33" si="32">FIND("target:",G33)+7</f>
        <v>#VALUE!</v>
      </c>
      <c r="K33" s="63">
        <f t="shared" ref="K33" si="33">FIND(",",G33,I33+1)</f>
        <v>32</v>
      </c>
      <c r="L33" s="63" t="str">
        <f>IFERROR(VLOOKUP(MID(G33,J33,K33-J33),[6]skilldef!$C:$D,2,FALSE),"-") &amp; " / " &amp; IFERROR(VLOOKUP(MID(G33,H33,I33-H33),[6]skilldef!$A:$B,2,FALSE),"-")</f>
        <v>- / -</v>
      </c>
      <c r="M33" s="63" t="str">
        <f t="shared" ref="M33" si="34">IFERROR(RIGHT(B33,LEN(B33)-FIND("],",B33)-1),"none")</f>
        <v>none</v>
      </c>
      <c r="N33" s="48" t="str">
        <f>IFERROR(LEFT(M33,FIND("],",M33)+#REF!),M33)</f>
        <v>none</v>
      </c>
      <c r="O33" s="63" t="e">
        <f t="shared" ref="O33" si="35">FIND("effect:",N33)+7</f>
        <v>#VALUE!</v>
      </c>
      <c r="P33" s="63">
        <f t="shared" ref="P33" si="36">IFERROR(FIND(",",N33),LEN(N33))</f>
        <v>4</v>
      </c>
      <c r="Q33" s="63" t="e">
        <f t="shared" ref="Q33" si="37">FIND("target:",N33)+7</f>
        <v>#VALUE!</v>
      </c>
      <c r="R33" s="63" t="e">
        <f t="shared" ref="R33" si="38">FIND(",",N33,P33+1)</f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ref="T33" si="39">IFERROR(RIGHT(M33,LEN(M33)-FIND("],",M33)-1),"none")</f>
        <v>none</v>
      </c>
      <c r="U33" s="63" t="e">
        <f t="shared" ref="U33" si="40">FIND("effect:",T33)+7</f>
        <v>#VALUE!</v>
      </c>
      <c r="V33" s="63">
        <f t="shared" ref="V33" si="41">IFERROR(FIND(",",T33),LEN(T33))</f>
        <v>4</v>
      </c>
      <c r="W33" s="63" t="e">
        <f t="shared" ref="W33" si="42">FIND("target:",T33)+7</f>
        <v>#VALUE!</v>
      </c>
      <c r="X33" s="63" t="e">
        <f t="shared" ref="X33" si="43">FIND(",",T33,V33+1)</f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3"/>
  <sheetViews>
    <sheetView showGridLines="0" zoomScale="75" zoomScaleNormal="75" zoomScalePageLayoutView="75" workbookViewId="0">
      <pane ySplit="1" topLeftCell="A28" activePane="bottomLeft" state="frozenSplit"/>
      <selection pane="bottomLeft" activeCell="F36" sqref="F36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40029100</v>
      </c>
      <c r="B2" s="47">
        <v>1</v>
      </c>
      <c r="C2" s="47" t="s">
        <v>89</v>
      </c>
      <c r="D2" s="47">
        <v>100</v>
      </c>
      <c r="E2" s="47" t="s">
        <v>89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40029101</v>
      </c>
      <c r="B3" s="47">
        <v>0</v>
      </c>
      <c r="C3" s="47" t="s">
        <v>89</v>
      </c>
      <c r="D3" s="47">
        <v>100</v>
      </c>
      <c r="E3" s="47" t="s">
        <v>89</v>
      </c>
      <c r="F3" s="47" t="s">
        <v>90</v>
      </c>
      <c r="G3" s="47">
        <v>1</v>
      </c>
      <c r="H3" s="47">
        <v>1</v>
      </c>
      <c r="I3" s="47" t="s">
        <v>90</v>
      </c>
      <c r="J3" s="48">
        <f t="shared" ref="J3:J32" si="1">D3</f>
        <v>100</v>
      </c>
    </row>
    <row r="4" spans="1:11" ht="21" customHeight="1" x14ac:dyDescent="0.15">
      <c r="A4" s="47">
        <v>40029102</v>
      </c>
      <c r="B4" s="47">
        <v>0</v>
      </c>
      <c r="C4" s="47" t="s">
        <v>89</v>
      </c>
      <c r="D4" s="47">
        <v>100</v>
      </c>
      <c r="E4" s="47" t="s">
        <v>89</v>
      </c>
      <c r="F4" s="47" t="s">
        <v>90</v>
      </c>
      <c r="G4" s="47">
        <v>1</v>
      </c>
      <c r="H4" s="47">
        <v>2</v>
      </c>
      <c r="I4" s="47" t="s">
        <v>90</v>
      </c>
      <c r="J4" s="48">
        <f t="shared" si="1"/>
        <v>100</v>
      </c>
    </row>
    <row r="5" spans="1:11" ht="21" customHeight="1" x14ac:dyDescent="0.15">
      <c r="A5" s="47">
        <v>40029105</v>
      </c>
      <c r="B5" s="47">
        <v>0</v>
      </c>
      <c r="C5" s="47">
        <v>100</v>
      </c>
      <c r="D5" s="47">
        <v>50</v>
      </c>
      <c r="E5" s="47" t="s">
        <v>89</v>
      </c>
      <c r="F5" s="47" t="s">
        <v>90</v>
      </c>
      <c r="G5" s="47" t="s">
        <v>90</v>
      </c>
      <c r="H5" s="47" t="s">
        <v>90</v>
      </c>
      <c r="I5" s="47" t="s">
        <v>90</v>
      </c>
      <c r="J5" s="48">
        <f t="shared" si="1"/>
        <v>50</v>
      </c>
    </row>
    <row r="6" spans="1:11" ht="21" customHeight="1" x14ac:dyDescent="0.15">
      <c r="A6" s="47">
        <v>40029106</v>
      </c>
      <c r="B6" s="47">
        <v>0</v>
      </c>
      <c r="C6" s="47" t="s">
        <v>89</v>
      </c>
      <c r="D6" s="47">
        <v>100</v>
      </c>
      <c r="E6" s="47" t="s">
        <v>89</v>
      </c>
      <c r="F6" s="47" t="s">
        <v>90</v>
      </c>
      <c r="G6" s="47" t="s">
        <v>90</v>
      </c>
      <c r="H6" s="47">
        <v>3</v>
      </c>
      <c r="I6" s="47" t="s">
        <v>90</v>
      </c>
      <c r="J6" s="48">
        <f t="shared" si="1"/>
        <v>100</v>
      </c>
    </row>
    <row r="7" spans="1:11" ht="21" customHeight="1" x14ac:dyDescent="0.15">
      <c r="A7" s="47">
        <v>40029107</v>
      </c>
      <c r="B7" s="47">
        <v>0</v>
      </c>
      <c r="C7" s="47">
        <v>50</v>
      </c>
      <c r="D7" s="47">
        <v>30</v>
      </c>
      <c r="E7" s="47" t="s">
        <v>89</v>
      </c>
      <c r="F7" s="47" t="s">
        <v>90</v>
      </c>
      <c r="G7" s="47" t="s">
        <v>90</v>
      </c>
      <c r="H7" s="47" t="s">
        <v>90</v>
      </c>
      <c r="I7" s="47" t="s">
        <v>90</v>
      </c>
      <c r="J7" s="48">
        <f t="shared" si="1"/>
        <v>30</v>
      </c>
    </row>
    <row r="8" spans="1:11" ht="21" customHeight="1" x14ac:dyDescent="0.15">
      <c r="A8" s="47">
        <v>40029110</v>
      </c>
      <c r="B8" s="47">
        <v>0</v>
      </c>
      <c r="C8" s="47">
        <v>100</v>
      </c>
      <c r="D8" s="47">
        <v>50</v>
      </c>
      <c r="E8" s="47" t="s">
        <v>89</v>
      </c>
      <c r="F8" s="47" t="s">
        <v>90</v>
      </c>
      <c r="G8" s="47" t="s">
        <v>90</v>
      </c>
      <c r="H8" s="47" t="s">
        <v>90</v>
      </c>
      <c r="I8" s="47" t="s">
        <v>90</v>
      </c>
      <c r="J8" s="48">
        <f t="shared" si="1"/>
        <v>50</v>
      </c>
    </row>
    <row r="9" spans="1:11" ht="21" customHeight="1" x14ac:dyDescent="0.15">
      <c r="A9" s="47">
        <v>40029111</v>
      </c>
      <c r="B9" s="47">
        <v>0</v>
      </c>
      <c r="C9" s="47" t="s">
        <v>53</v>
      </c>
      <c r="D9" s="47">
        <v>100</v>
      </c>
      <c r="E9" s="47" t="s">
        <v>89</v>
      </c>
      <c r="F9" s="47" t="s">
        <v>90</v>
      </c>
      <c r="G9" s="47" t="s">
        <v>90</v>
      </c>
      <c r="H9" s="47">
        <v>3</v>
      </c>
      <c r="I9" s="47" t="s">
        <v>90</v>
      </c>
      <c r="J9" s="48">
        <f t="shared" si="1"/>
        <v>100</v>
      </c>
    </row>
    <row r="10" spans="1:11" ht="21" customHeight="1" x14ac:dyDescent="0.15">
      <c r="A10" s="47">
        <v>40029112</v>
      </c>
      <c r="B10" s="47">
        <v>0</v>
      </c>
      <c r="C10" s="47">
        <v>50</v>
      </c>
      <c r="D10" s="47">
        <v>30</v>
      </c>
      <c r="E10" s="47" t="s">
        <v>89</v>
      </c>
      <c r="F10" s="47" t="s">
        <v>90</v>
      </c>
      <c r="G10" s="47" t="s">
        <v>90</v>
      </c>
      <c r="H10" s="47" t="s">
        <v>90</v>
      </c>
      <c r="I10" s="47" t="s">
        <v>90</v>
      </c>
      <c r="J10" s="48">
        <f t="shared" si="1"/>
        <v>30</v>
      </c>
    </row>
    <row r="11" spans="1:11" ht="21" customHeight="1" x14ac:dyDescent="0.15">
      <c r="A11" s="47">
        <v>40029115</v>
      </c>
      <c r="B11" s="47">
        <v>1</v>
      </c>
      <c r="C11" s="47" t="s">
        <v>254</v>
      </c>
      <c r="D11" s="47">
        <v>100</v>
      </c>
      <c r="E11" s="47" t="s">
        <v>89</v>
      </c>
      <c r="F11" s="47" t="s">
        <v>90</v>
      </c>
      <c r="G11" s="47">
        <v>1</v>
      </c>
      <c r="H11" s="47" t="s">
        <v>90</v>
      </c>
      <c r="I11" s="47" t="s">
        <v>90</v>
      </c>
      <c r="J11" s="48">
        <f t="shared" si="1"/>
        <v>100</v>
      </c>
    </row>
    <row r="12" spans="1:11" ht="21" customHeight="1" x14ac:dyDescent="0.15">
      <c r="A12" s="47">
        <v>40029116</v>
      </c>
      <c r="B12" s="47">
        <v>0</v>
      </c>
      <c r="C12" s="47" t="s">
        <v>89</v>
      </c>
      <c r="D12" s="47">
        <v>30</v>
      </c>
      <c r="E12" s="47" t="s">
        <v>89</v>
      </c>
      <c r="F12" s="47" t="s">
        <v>90</v>
      </c>
      <c r="G12" s="47">
        <v>2</v>
      </c>
      <c r="H12" s="47" t="s">
        <v>90</v>
      </c>
      <c r="I12" s="47" t="s">
        <v>90</v>
      </c>
      <c r="J12" s="48">
        <f t="shared" si="1"/>
        <v>30</v>
      </c>
    </row>
    <row r="13" spans="1:11" ht="21" customHeight="1" x14ac:dyDescent="0.15">
      <c r="A13" s="47">
        <v>40029117</v>
      </c>
      <c r="B13" s="47">
        <v>0</v>
      </c>
      <c r="C13" s="47" t="s">
        <v>89</v>
      </c>
      <c r="D13" s="47">
        <v>100</v>
      </c>
      <c r="E13" s="47" t="s">
        <v>89</v>
      </c>
      <c r="F13" s="47" t="s">
        <v>90</v>
      </c>
      <c r="G13" s="47">
        <v>1</v>
      </c>
      <c r="H13" s="47" t="s">
        <v>90</v>
      </c>
      <c r="I13" s="47">
        <v>37</v>
      </c>
      <c r="J13" s="48">
        <f t="shared" si="1"/>
        <v>100</v>
      </c>
    </row>
    <row r="14" spans="1:11" ht="21" customHeight="1" x14ac:dyDescent="0.15">
      <c r="A14" s="47">
        <v>40029120</v>
      </c>
      <c r="B14" s="47">
        <v>0</v>
      </c>
      <c r="C14" s="47" t="s">
        <v>89</v>
      </c>
      <c r="D14" s="47">
        <v>80</v>
      </c>
      <c r="E14" s="47" t="s">
        <v>89</v>
      </c>
      <c r="F14" s="47" t="s">
        <v>90</v>
      </c>
      <c r="G14" s="47" t="s">
        <v>90</v>
      </c>
      <c r="H14" s="47" t="s">
        <v>90</v>
      </c>
      <c r="I14" s="47" t="s">
        <v>90</v>
      </c>
      <c r="J14" s="48">
        <f t="shared" si="1"/>
        <v>80</v>
      </c>
    </row>
    <row r="15" spans="1:11" ht="21" customHeight="1" x14ac:dyDescent="0.15">
      <c r="A15" s="47">
        <v>40029121</v>
      </c>
      <c r="B15" s="47">
        <v>0</v>
      </c>
      <c r="C15" s="47" t="s">
        <v>89</v>
      </c>
      <c r="D15" s="47">
        <v>100</v>
      </c>
      <c r="E15" s="47" t="s">
        <v>89</v>
      </c>
      <c r="F15" s="47" t="s">
        <v>90</v>
      </c>
      <c r="G15" s="47" t="s">
        <v>90</v>
      </c>
      <c r="H15" s="47" t="s">
        <v>90</v>
      </c>
      <c r="I15" s="47" t="s">
        <v>90</v>
      </c>
      <c r="J15" s="48">
        <f t="shared" si="1"/>
        <v>100</v>
      </c>
    </row>
    <row r="16" spans="1:11" ht="21" customHeight="1" x14ac:dyDescent="0.15">
      <c r="A16" s="47">
        <v>40029125</v>
      </c>
      <c r="B16" s="47">
        <v>1</v>
      </c>
      <c r="C16" s="47" t="s">
        <v>89</v>
      </c>
      <c r="D16" s="47">
        <v>100</v>
      </c>
      <c r="E16" s="47" t="s">
        <v>89</v>
      </c>
      <c r="F16" s="47" t="s">
        <v>90</v>
      </c>
      <c r="G16" s="47">
        <v>1</v>
      </c>
      <c r="H16" s="47" t="s">
        <v>90</v>
      </c>
      <c r="I16" s="47" t="s">
        <v>90</v>
      </c>
      <c r="J16" s="48">
        <f t="shared" si="1"/>
        <v>100</v>
      </c>
    </row>
    <row r="17" spans="1:10" ht="21" customHeight="1" x14ac:dyDescent="0.15">
      <c r="A17" s="47">
        <v>40029126</v>
      </c>
      <c r="B17" s="47">
        <v>0</v>
      </c>
      <c r="C17" s="47" t="s">
        <v>89</v>
      </c>
      <c r="D17" s="47">
        <v>50</v>
      </c>
      <c r="E17" s="47" t="s">
        <v>89</v>
      </c>
      <c r="F17" s="47" t="s">
        <v>90</v>
      </c>
      <c r="G17" s="47" t="s">
        <v>90</v>
      </c>
      <c r="H17" s="47" t="s">
        <v>90</v>
      </c>
      <c r="I17" s="47" t="s">
        <v>90</v>
      </c>
      <c r="J17" s="48">
        <f t="shared" si="1"/>
        <v>50</v>
      </c>
    </row>
    <row r="18" spans="1:10" ht="21" customHeight="1" x14ac:dyDescent="0.15">
      <c r="A18" s="47">
        <v>40029127</v>
      </c>
      <c r="B18" s="47">
        <v>0</v>
      </c>
      <c r="C18" s="47" t="s">
        <v>89</v>
      </c>
      <c r="D18" s="47">
        <v>100</v>
      </c>
      <c r="E18" s="47" t="s">
        <v>89</v>
      </c>
      <c r="F18" s="47" t="s">
        <v>90</v>
      </c>
      <c r="G18" s="47" t="s">
        <v>90</v>
      </c>
      <c r="H18" s="47">
        <v>3</v>
      </c>
      <c r="I18" s="47" t="s">
        <v>90</v>
      </c>
      <c r="J18" s="48">
        <f t="shared" si="1"/>
        <v>100</v>
      </c>
    </row>
    <row r="19" spans="1:10" ht="21" customHeight="1" x14ac:dyDescent="0.15">
      <c r="A19" s="47">
        <v>40029128</v>
      </c>
      <c r="B19" s="47">
        <v>0</v>
      </c>
      <c r="C19" s="47">
        <v>100</v>
      </c>
      <c r="D19" s="47">
        <v>100</v>
      </c>
      <c r="E19" s="47">
        <v>10</v>
      </c>
      <c r="F19" s="47" t="s">
        <v>90</v>
      </c>
      <c r="G19" s="47">
        <v>1</v>
      </c>
      <c r="H19" s="47" t="s">
        <v>90</v>
      </c>
      <c r="I19" s="47" t="s">
        <v>90</v>
      </c>
      <c r="J19" s="48">
        <f t="shared" si="1"/>
        <v>100</v>
      </c>
    </row>
    <row r="20" spans="1:10" ht="21" customHeight="1" x14ac:dyDescent="0.15">
      <c r="A20" s="47">
        <v>40029130</v>
      </c>
      <c r="B20" s="47">
        <v>1</v>
      </c>
      <c r="C20" s="47" t="s">
        <v>89</v>
      </c>
      <c r="D20" s="47">
        <v>100</v>
      </c>
      <c r="E20" s="47" t="s">
        <v>89</v>
      </c>
      <c r="F20" s="47" t="s">
        <v>90</v>
      </c>
      <c r="G20" s="47">
        <v>1</v>
      </c>
      <c r="H20" s="47" t="s">
        <v>90</v>
      </c>
      <c r="I20" s="47" t="s">
        <v>90</v>
      </c>
      <c r="J20" s="48">
        <f t="shared" si="1"/>
        <v>100</v>
      </c>
    </row>
    <row r="21" spans="1:10" ht="21" customHeight="1" x14ac:dyDescent="0.15">
      <c r="A21" s="47">
        <v>40029131</v>
      </c>
      <c r="B21" s="47">
        <v>0</v>
      </c>
      <c r="C21" s="47">
        <v>100</v>
      </c>
      <c r="D21" s="47">
        <v>50</v>
      </c>
      <c r="E21" s="47" t="s">
        <v>89</v>
      </c>
      <c r="F21" s="47" t="s">
        <v>90</v>
      </c>
      <c r="G21" s="47" t="s">
        <v>90</v>
      </c>
      <c r="H21" s="47" t="s">
        <v>90</v>
      </c>
      <c r="I21" s="47" t="s">
        <v>90</v>
      </c>
      <c r="J21" s="48">
        <f t="shared" si="1"/>
        <v>50</v>
      </c>
    </row>
    <row r="22" spans="1:10" ht="21" customHeight="1" x14ac:dyDescent="0.15">
      <c r="A22" s="47">
        <v>40029132</v>
      </c>
      <c r="B22" s="47">
        <v>0</v>
      </c>
      <c r="C22" s="47">
        <v>100</v>
      </c>
      <c r="D22" s="47">
        <v>50</v>
      </c>
      <c r="E22" s="47" t="s">
        <v>89</v>
      </c>
      <c r="F22" s="47" t="s">
        <v>90</v>
      </c>
      <c r="G22" s="47" t="s">
        <v>90</v>
      </c>
      <c r="H22" s="47" t="s">
        <v>90</v>
      </c>
      <c r="I22" s="47" t="s">
        <v>90</v>
      </c>
      <c r="J22" s="48">
        <f t="shared" si="1"/>
        <v>50</v>
      </c>
    </row>
    <row r="23" spans="1:10" ht="21" customHeight="1" x14ac:dyDescent="0.15">
      <c r="A23" s="47">
        <v>40029133</v>
      </c>
      <c r="B23" s="47">
        <v>0</v>
      </c>
      <c r="C23" s="47" t="s">
        <v>255</v>
      </c>
      <c r="D23" s="47">
        <v>100</v>
      </c>
      <c r="E23" s="47" t="s">
        <v>89</v>
      </c>
      <c r="F23" s="47" t="s">
        <v>90</v>
      </c>
      <c r="G23" s="47" t="s">
        <v>90</v>
      </c>
      <c r="H23" s="47">
        <v>2</v>
      </c>
      <c r="I23" s="47" t="s">
        <v>90</v>
      </c>
      <c r="J23" s="48">
        <f t="shared" si="1"/>
        <v>100</v>
      </c>
    </row>
    <row r="24" spans="1:10" ht="21" customHeight="1" x14ac:dyDescent="0.15">
      <c r="A24" s="47">
        <v>40029134</v>
      </c>
      <c r="B24" s="47">
        <v>0</v>
      </c>
      <c r="C24" s="47">
        <v>120</v>
      </c>
      <c r="D24" s="47">
        <v>100</v>
      </c>
      <c r="E24" s="47">
        <v>10</v>
      </c>
      <c r="F24" s="47" t="s">
        <v>90</v>
      </c>
      <c r="G24" s="47">
        <v>1</v>
      </c>
      <c r="H24" s="47" t="s">
        <v>90</v>
      </c>
      <c r="I24" s="47" t="s">
        <v>90</v>
      </c>
      <c r="J24" s="48">
        <f t="shared" si="1"/>
        <v>100</v>
      </c>
    </row>
    <row r="25" spans="1:10" ht="21" customHeight="1" x14ac:dyDescent="0.15">
      <c r="A25" s="47">
        <v>40029135</v>
      </c>
      <c r="B25" s="47">
        <v>1</v>
      </c>
      <c r="C25" s="47" t="s">
        <v>89</v>
      </c>
      <c r="D25" s="47">
        <v>100</v>
      </c>
      <c r="E25" s="47" t="s">
        <v>89</v>
      </c>
      <c r="F25" s="47" t="s">
        <v>90</v>
      </c>
      <c r="G25" s="47">
        <v>1</v>
      </c>
      <c r="H25" s="47" t="s">
        <v>90</v>
      </c>
      <c r="I25" s="47" t="s">
        <v>90</v>
      </c>
      <c r="J25" s="48">
        <f t="shared" si="1"/>
        <v>100</v>
      </c>
    </row>
    <row r="26" spans="1:10" ht="21" customHeight="1" x14ac:dyDescent="0.15">
      <c r="A26" s="47">
        <v>40029136</v>
      </c>
      <c r="B26" s="47">
        <v>0</v>
      </c>
      <c r="C26" s="47">
        <v>100</v>
      </c>
      <c r="D26" s="47">
        <v>100</v>
      </c>
      <c r="E26" s="47" t="s">
        <v>89</v>
      </c>
      <c r="F26" s="47" t="s">
        <v>90</v>
      </c>
      <c r="G26" s="47">
        <v>1</v>
      </c>
      <c r="H26" s="47" t="s">
        <v>90</v>
      </c>
      <c r="I26" s="47" t="s">
        <v>90</v>
      </c>
      <c r="J26" s="48">
        <f t="shared" si="1"/>
        <v>100</v>
      </c>
    </row>
    <row r="27" spans="1:10" ht="21" customHeight="1" x14ac:dyDescent="0.15">
      <c r="A27" s="47">
        <v>40029137</v>
      </c>
      <c r="B27" s="47">
        <v>0</v>
      </c>
      <c r="C27" s="47" t="s">
        <v>89</v>
      </c>
      <c r="D27" s="47">
        <v>60</v>
      </c>
      <c r="E27" s="47" t="s">
        <v>89</v>
      </c>
      <c r="F27" s="47" t="s">
        <v>90</v>
      </c>
      <c r="G27" s="47" t="s">
        <v>90</v>
      </c>
      <c r="H27" s="47" t="s">
        <v>90</v>
      </c>
      <c r="I27" s="47" t="s">
        <v>90</v>
      </c>
      <c r="J27" s="48">
        <f t="shared" si="1"/>
        <v>60</v>
      </c>
    </row>
    <row r="28" spans="1:10" ht="21" customHeight="1" x14ac:dyDescent="0.15">
      <c r="A28" s="47">
        <v>40029138</v>
      </c>
      <c r="B28" s="47">
        <v>0</v>
      </c>
      <c r="C28" s="47" t="s">
        <v>89</v>
      </c>
      <c r="D28" s="47">
        <v>100</v>
      </c>
      <c r="E28" s="47" t="s">
        <v>89</v>
      </c>
      <c r="F28" s="47" t="s">
        <v>90</v>
      </c>
      <c r="G28" s="47" t="s">
        <v>90</v>
      </c>
      <c r="H28" s="47">
        <v>4</v>
      </c>
      <c r="I28" s="47" t="s">
        <v>90</v>
      </c>
      <c r="J28" s="48">
        <f t="shared" si="1"/>
        <v>100</v>
      </c>
    </row>
    <row r="29" spans="1:10" ht="21" customHeight="1" x14ac:dyDescent="0.15">
      <c r="A29" s="47">
        <v>40029139</v>
      </c>
      <c r="B29" s="47">
        <v>0</v>
      </c>
      <c r="C29" s="47">
        <v>100</v>
      </c>
      <c r="D29" s="47">
        <v>100</v>
      </c>
      <c r="E29" s="47">
        <v>75</v>
      </c>
      <c r="F29" s="47" t="s">
        <v>90</v>
      </c>
      <c r="G29" s="47">
        <v>1</v>
      </c>
      <c r="H29" s="47" t="s">
        <v>90</v>
      </c>
      <c r="I29" s="47" t="s">
        <v>90</v>
      </c>
      <c r="J29" s="48">
        <f t="shared" si="1"/>
        <v>100</v>
      </c>
    </row>
    <row r="30" spans="1:10" ht="21" customHeight="1" x14ac:dyDescent="0.15">
      <c r="A30" s="47">
        <v>40029140</v>
      </c>
      <c r="B30" s="47">
        <v>0</v>
      </c>
      <c r="C30" s="47">
        <v>100</v>
      </c>
      <c r="D30" s="47">
        <v>100</v>
      </c>
      <c r="E30" s="47">
        <v>50</v>
      </c>
      <c r="F30" s="47" t="s">
        <v>90</v>
      </c>
      <c r="G30" s="47">
        <v>1</v>
      </c>
      <c r="H30" s="47" t="s">
        <v>90</v>
      </c>
      <c r="I30" s="47" t="s">
        <v>90</v>
      </c>
      <c r="J30" s="48">
        <f t="shared" si="1"/>
        <v>100</v>
      </c>
    </row>
    <row r="31" spans="1:10" ht="21" customHeight="1" x14ac:dyDescent="0.15">
      <c r="A31" s="47">
        <v>40029141</v>
      </c>
      <c r="B31" s="47">
        <v>0</v>
      </c>
      <c r="C31" s="47">
        <v>100</v>
      </c>
      <c r="D31" s="47">
        <v>100</v>
      </c>
      <c r="E31" s="47">
        <v>25</v>
      </c>
      <c r="F31" s="47" t="s">
        <v>90</v>
      </c>
      <c r="G31" s="47">
        <v>1</v>
      </c>
      <c r="H31" s="47" t="s">
        <v>90</v>
      </c>
      <c r="I31" s="47" t="s">
        <v>90</v>
      </c>
      <c r="J31" s="48">
        <f t="shared" si="1"/>
        <v>100</v>
      </c>
    </row>
    <row r="32" spans="1:10" ht="21" customHeight="1" x14ac:dyDescent="0.15">
      <c r="A32" s="47">
        <v>40029142</v>
      </c>
      <c r="B32" s="47">
        <v>0</v>
      </c>
      <c r="C32" s="47">
        <v>110</v>
      </c>
      <c r="D32" s="47">
        <v>100</v>
      </c>
      <c r="E32" s="47">
        <v>30</v>
      </c>
      <c r="F32" s="47" t="s">
        <v>90</v>
      </c>
      <c r="G32" s="47">
        <v>1</v>
      </c>
      <c r="H32" s="47" t="s">
        <v>90</v>
      </c>
      <c r="I32" s="47" t="s">
        <v>90</v>
      </c>
      <c r="J32" s="48">
        <f t="shared" si="1"/>
        <v>100</v>
      </c>
    </row>
    <row r="33" spans="1:10" ht="21" customHeight="1" x14ac:dyDescent="0.15">
      <c r="A33" s="47">
        <v>40029143</v>
      </c>
      <c r="B33" s="47">
        <v>0</v>
      </c>
      <c r="C33" s="47">
        <v>120</v>
      </c>
      <c r="D33" s="47">
        <v>100</v>
      </c>
      <c r="E33" s="47" t="s">
        <v>53</v>
      </c>
      <c r="F33" s="47" t="s">
        <v>90</v>
      </c>
      <c r="G33" s="47">
        <v>0</v>
      </c>
      <c r="H33" s="47" t="s">
        <v>90</v>
      </c>
      <c r="I33" s="47">
        <v>0</v>
      </c>
      <c r="J33" s="48">
        <f t="shared" ref="J33" si="2">D33</f>
        <v>100</v>
      </c>
    </row>
  </sheetData>
  <autoFilter ref="A1:G1"/>
  <phoneticPr fontId="5"/>
  <conditionalFormatting sqref="K33:K1048576 K1:K2">
    <cfRule type="duplicateValues" dxfId="1" priority="2"/>
  </conditionalFormatting>
  <conditionalFormatting sqref="K3:K32">
    <cfRule type="duplicateValues" dxfId="0" priority="18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P11" sqref="P11"/>
    </sheetView>
  </sheetViews>
  <sheetFormatPr baseColWidth="12" defaultRowHeight="15" x14ac:dyDescent="0.15"/>
  <cols>
    <col min="1" max="16" width="12.83203125" style="105"/>
    <col min="17" max="18" width="19" style="105" bestFit="1" customWidth="1"/>
    <col min="19" max="16384" width="12.83203125" style="105"/>
  </cols>
  <sheetData>
    <row r="1" spans="1:18" x14ac:dyDescent="0.15">
      <c r="A1" s="64" t="s">
        <v>151</v>
      </c>
      <c r="B1" s="64" t="s">
        <v>152</v>
      </c>
      <c r="C1" s="106" t="s">
        <v>153</v>
      </c>
      <c r="D1" s="71" t="s">
        <v>154</v>
      </c>
      <c r="E1" s="65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7">
        <v>40029</v>
      </c>
      <c r="B2" s="57">
        <v>1</v>
      </c>
      <c r="C2" s="70" t="str">
        <f t="shared" ref="C2:C18" si="0">A2&amp; "_"&amp;B2</f>
        <v>40029_1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318</v>
      </c>
      <c r="G2" s="57">
        <v>40000</v>
      </c>
      <c r="H2" s="57" t="s">
        <v>319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150</v>
      </c>
      <c r="Q2" s="57" t="s">
        <v>320</v>
      </c>
      <c r="R2" s="57" t="s">
        <v>321</v>
      </c>
    </row>
    <row r="3" spans="1:18" x14ac:dyDescent="0.15">
      <c r="A3" s="57">
        <v>40029</v>
      </c>
      <c r="B3" s="57">
        <v>1</v>
      </c>
      <c r="C3" s="70" t="str">
        <f t="shared" si="0"/>
        <v>40029_1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322</v>
      </c>
      <c r="G3" s="57">
        <v>30</v>
      </c>
      <c r="H3" s="57" t="s">
        <v>319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320</v>
      </c>
      <c r="R3" s="57" t="s">
        <v>321</v>
      </c>
    </row>
    <row r="4" spans="1:18" x14ac:dyDescent="0.15">
      <c r="A4" s="57">
        <v>40029</v>
      </c>
      <c r="B4" s="57">
        <v>1</v>
      </c>
      <c r="C4" s="70" t="str">
        <f t="shared" si="0"/>
        <v>40029_1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323</v>
      </c>
      <c r="G4" s="57">
        <v>345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28</v>
      </c>
      <c r="Q4" s="57" t="s">
        <v>320</v>
      </c>
      <c r="R4" s="57" t="s">
        <v>321</v>
      </c>
    </row>
    <row r="5" spans="1:18" x14ac:dyDescent="0.15">
      <c r="A5" s="57">
        <v>40029</v>
      </c>
      <c r="B5" s="57">
        <v>1</v>
      </c>
      <c r="C5" s="70" t="str">
        <f t="shared" si="0"/>
        <v>40029_1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323</v>
      </c>
      <c r="G5" s="57">
        <v>346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112</v>
      </c>
      <c r="Q5" s="57" t="s">
        <v>320</v>
      </c>
      <c r="R5" s="57" t="s">
        <v>321</v>
      </c>
    </row>
    <row r="6" spans="1:18" x14ac:dyDescent="0.15">
      <c r="A6" s="57">
        <v>40029</v>
      </c>
      <c r="B6" s="57">
        <v>1</v>
      </c>
      <c r="C6" s="70" t="str">
        <f t="shared" si="0"/>
        <v>40029_1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323</v>
      </c>
      <c r="G6" s="57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100</v>
      </c>
      <c r="Q6" s="57" t="s">
        <v>320</v>
      </c>
      <c r="R6" s="57" t="s">
        <v>321</v>
      </c>
    </row>
    <row r="7" spans="1:18" x14ac:dyDescent="0.15">
      <c r="A7" s="57">
        <v>40029</v>
      </c>
      <c r="B7" s="57">
        <v>1</v>
      </c>
      <c r="C7" s="70" t="str">
        <f t="shared" si="0"/>
        <v>40029_1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323</v>
      </c>
      <c r="G7" s="57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100</v>
      </c>
      <c r="Q7" s="57" t="s">
        <v>320</v>
      </c>
      <c r="R7" s="57" t="s">
        <v>321</v>
      </c>
    </row>
    <row r="8" spans="1:18" x14ac:dyDescent="0.15">
      <c r="A8" s="57">
        <v>40029</v>
      </c>
      <c r="B8" s="57">
        <v>1</v>
      </c>
      <c r="C8" s="70" t="str">
        <f t="shared" si="0"/>
        <v>40029_1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323</v>
      </c>
      <c r="G8" s="57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100</v>
      </c>
      <c r="Q8" s="57" t="s">
        <v>320</v>
      </c>
      <c r="R8" s="57" t="s">
        <v>321</v>
      </c>
    </row>
    <row r="9" spans="1:18" x14ac:dyDescent="0.15">
      <c r="A9" s="57">
        <v>40029</v>
      </c>
      <c r="B9" s="57">
        <v>1</v>
      </c>
      <c r="C9" s="70" t="str">
        <f t="shared" si="0"/>
        <v>40029_1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323</v>
      </c>
      <c r="G9" s="57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320</v>
      </c>
      <c r="R9" s="57" t="s">
        <v>321</v>
      </c>
    </row>
    <row r="10" spans="1:18" x14ac:dyDescent="0.15">
      <c r="A10" s="57">
        <v>40029</v>
      </c>
      <c r="B10" s="57">
        <v>1</v>
      </c>
      <c r="C10" s="70" t="str">
        <f t="shared" si="0"/>
        <v>40029_1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323</v>
      </c>
      <c r="G10" s="57">
        <v>354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150</v>
      </c>
      <c r="Q10" s="57" t="s">
        <v>320</v>
      </c>
      <c r="R10" s="57" t="s">
        <v>321</v>
      </c>
    </row>
    <row r="11" spans="1:18" x14ac:dyDescent="0.15">
      <c r="A11" s="57">
        <v>40029</v>
      </c>
      <c r="B11" s="57">
        <v>1</v>
      </c>
      <c r="C11" s="70" t="str">
        <f t="shared" si="0"/>
        <v>40029_1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323</v>
      </c>
      <c r="G11" s="57">
        <v>780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100</v>
      </c>
      <c r="Q11" s="57" t="s">
        <v>320</v>
      </c>
      <c r="R11" s="57" t="s">
        <v>321</v>
      </c>
    </row>
    <row r="12" spans="1:18" x14ac:dyDescent="0.15">
      <c r="A12" s="57">
        <v>40029</v>
      </c>
      <c r="B12" s="57">
        <v>2</v>
      </c>
      <c r="C12" s="70" t="str">
        <f t="shared" si="0"/>
        <v>40029_2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323</v>
      </c>
      <c r="G12" s="57">
        <v>346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50</v>
      </c>
      <c r="Q12" s="57" t="s">
        <v>320</v>
      </c>
      <c r="R12" s="57" t="s">
        <v>321</v>
      </c>
    </row>
    <row r="13" spans="1:18" x14ac:dyDescent="0.15">
      <c r="A13" s="57">
        <v>40029</v>
      </c>
      <c r="B13" s="57">
        <v>2</v>
      </c>
      <c r="C13" s="70" t="str">
        <f t="shared" si="0"/>
        <v>40029_2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323</v>
      </c>
      <c r="G13" s="57">
        <v>607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100</v>
      </c>
      <c r="Q13" s="57" t="s">
        <v>320</v>
      </c>
      <c r="R13" s="57" t="s">
        <v>321</v>
      </c>
    </row>
    <row r="14" spans="1:18" x14ac:dyDescent="0.15">
      <c r="A14" s="57">
        <v>40029</v>
      </c>
      <c r="B14" s="57">
        <v>2</v>
      </c>
      <c r="C14" s="70" t="str">
        <f t="shared" si="0"/>
        <v>40029_2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323</v>
      </c>
      <c r="G14" s="57">
        <v>608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100</v>
      </c>
      <c r="Q14" s="57" t="s">
        <v>320</v>
      </c>
      <c r="R14" s="57" t="s">
        <v>321</v>
      </c>
    </row>
    <row r="15" spans="1:18" x14ac:dyDescent="0.15">
      <c r="A15" s="57">
        <v>40029</v>
      </c>
      <c r="B15" s="57">
        <v>2</v>
      </c>
      <c r="C15" s="70" t="str">
        <f t="shared" si="0"/>
        <v>40029_2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323</v>
      </c>
      <c r="G15" s="57">
        <v>609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100</v>
      </c>
      <c r="Q15" s="57" t="s">
        <v>320</v>
      </c>
      <c r="R15" s="57" t="s">
        <v>321</v>
      </c>
    </row>
    <row r="16" spans="1:18" x14ac:dyDescent="0.15">
      <c r="A16" s="57">
        <v>40029</v>
      </c>
      <c r="B16" s="57">
        <v>2</v>
      </c>
      <c r="C16" s="70" t="str">
        <f t="shared" si="0"/>
        <v>40029_2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15</v>
      </c>
      <c r="F16" s="57" t="s">
        <v>323</v>
      </c>
      <c r="G16" s="57">
        <v>125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30</v>
      </c>
      <c r="Q16" s="57" t="s">
        <v>320</v>
      </c>
      <c r="R16" s="57" t="s">
        <v>321</v>
      </c>
    </row>
    <row r="17" spans="1:18" x14ac:dyDescent="0.15">
      <c r="A17" s="57">
        <v>40029</v>
      </c>
      <c r="B17" s="57">
        <v>2</v>
      </c>
      <c r="C17" s="70" t="str">
        <f t="shared" si="0"/>
        <v>40029_2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16</v>
      </c>
      <c r="F17" s="57" t="s">
        <v>323</v>
      </c>
      <c r="G17" s="57">
        <v>780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500</v>
      </c>
      <c r="Q17" s="57" t="s">
        <v>320</v>
      </c>
      <c r="R17" s="57" t="s">
        <v>321</v>
      </c>
    </row>
    <row r="18" spans="1:18" x14ac:dyDescent="0.15">
      <c r="A18" s="57">
        <v>40029</v>
      </c>
      <c r="B18" s="57">
        <v>2</v>
      </c>
      <c r="C18" s="70" t="str">
        <f t="shared" si="0"/>
        <v>40029_2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17</v>
      </c>
      <c r="F18" s="57" t="s">
        <v>323</v>
      </c>
      <c r="G18" s="57">
        <v>354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120</v>
      </c>
      <c r="Q18" s="57" t="s">
        <v>320</v>
      </c>
      <c r="R18" s="57" t="s">
        <v>321</v>
      </c>
    </row>
  </sheetData>
  <phoneticPr fontId="5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13" sqref="L13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185</v>
      </c>
      <c r="B1" s="72" t="s">
        <v>186</v>
      </c>
      <c r="C1" s="76" t="s">
        <v>187</v>
      </c>
      <c r="D1" s="76" t="s">
        <v>33</v>
      </c>
      <c r="E1" s="72" t="s">
        <v>188</v>
      </c>
      <c r="F1" s="76" t="s">
        <v>189</v>
      </c>
      <c r="G1" s="76" t="s">
        <v>33</v>
      </c>
      <c r="H1" s="72" t="s">
        <v>190</v>
      </c>
      <c r="I1" s="90" t="s">
        <v>192</v>
      </c>
      <c r="J1" s="78" t="s">
        <v>127</v>
      </c>
      <c r="K1" s="77" t="s">
        <v>184</v>
      </c>
      <c r="L1" s="91" t="s">
        <v>183</v>
      </c>
      <c r="M1" s="79" t="s">
        <v>193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7"/>
  <sheetViews>
    <sheetView showGridLines="0" workbookViewId="0">
      <pane ySplit="1" topLeftCell="A8" activePane="bottomLeft" state="frozen"/>
      <selection pane="bottomLeft" activeCell="M6" sqref="M6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185</v>
      </c>
      <c r="B1" s="72" t="s">
        <v>151</v>
      </c>
      <c r="C1" s="76" t="s">
        <v>187</v>
      </c>
      <c r="D1" s="76" t="s">
        <v>33</v>
      </c>
      <c r="E1" s="72" t="s">
        <v>188</v>
      </c>
      <c r="F1" s="76" t="s">
        <v>18</v>
      </c>
      <c r="G1" s="76" t="s">
        <v>33</v>
      </c>
      <c r="H1" s="72" t="s">
        <v>190</v>
      </c>
      <c r="I1" s="88" t="s">
        <v>191</v>
      </c>
      <c r="J1" s="90" t="s">
        <v>192</v>
      </c>
      <c r="K1" s="78" t="s">
        <v>127</v>
      </c>
      <c r="L1" s="77" t="s">
        <v>184</v>
      </c>
      <c r="M1" s="91" t="s">
        <v>183</v>
      </c>
      <c r="N1" s="79" t="s">
        <v>193</v>
      </c>
    </row>
    <row r="2" spans="1:14" ht="42" x14ac:dyDescent="0.15">
      <c r="A2" s="80" t="s">
        <v>194</v>
      </c>
      <c r="B2" s="81">
        <f>floors!$C$2</f>
        <v>40029</v>
      </c>
      <c r="C2" s="82" t="str">
        <f ca="1">VLOOKUP($B2,OFFSET([2]quests!$A$1,0,0,COUNTA([2]quests!$A:$A),MATCH(C$1,[2]quests!$1:$1,0)-MATCH($B$1,[2]quests!$1:$1,0)+1),MATCH(C$1,[2]quests!$1:$1,0)-MATCH($B$1,[2]quests!$1:$1,0)+1,FALSE)</f>
        <v>カスケード襲来！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降臨29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【超絶級】カスケード襲来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降臨29</v>
      </c>
      <c r="H2" s="84">
        <v>2</v>
      </c>
      <c r="I2" s="89">
        <f>ROW()-1</f>
        <v>1</v>
      </c>
      <c r="J2" s="85" t="str">
        <f>B2&amp;TEXT(I2,"00")</f>
        <v>4002901</v>
      </c>
      <c r="K2" s="83" t="s">
        <v>195</v>
      </c>
      <c r="L2" s="86" t="s">
        <v>196</v>
      </c>
      <c r="M2" s="104" t="s">
        <v>282</v>
      </c>
      <c r="N2" s="57" t="s">
        <v>197</v>
      </c>
    </row>
    <row r="3" spans="1:14" ht="42" x14ac:dyDescent="0.15">
      <c r="A3" s="80" t="s">
        <v>194</v>
      </c>
      <c r="B3" s="81">
        <f>floors!$C$2</f>
        <v>40029</v>
      </c>
      <c r="C3" s="82" t="str">
        <f ca="1">VLOOKUP($B3,OFFSET([2]quests!$A$1,0,0,COUNTA([2]quests!$A:$A),MATCH(C$1,[2]quests!$1:$1,0)-MATCH($B$1,[2]quests!$1:$1,0)+1),MATCH(C$1,[2]quests!$1:$1,0)-MATCH($B$1,[2]quests!$1:$1,0)+1,FALSE)</f>
        <v>カスケード襲来！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降臨29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【超絶級】カスケード襲来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降臨29</v>
      </c>
      <c r="H3" s="84">
        <v>3</v>
      </c>
      <c r="I3" s="89">
        <f t="shared" ref="I3:I17" si="0">ROW()-1</f>
        <v>2</v>
      </c>
      <c r="J3" s="85" t="str">
        <f t="shared" ref="J3:J9" si="1">B3&amp;TEXT(I3,"00")</f>
        <v>4002902</v>
      </c>
      <c r="K3" s="83" t="s">
        <v>195</v>
      </c>
      <c r="L3" s="86" t="s">
        <v>196</v>
      </c>
      <c r="M3" s="104" t="s">
        <v>272</v>
      </c>
      <c r="N3" s="57" t="s">
        <v>197</v>
      </c>
    </row>
    <row r="4" spans="1:14" ht="42" x14ac:dyDescent="0.15">
      <c r="A4" s="80" t="s">
        <v>194</v>
      </c>
      <c r="B4" s="81">
        <f>floors!$C$2</f>
        <v>40029</v>
      </c>
      <c r="C4" s="82" t="str">
        <f ca="1">VLOOKUP($B4,OFFSET([2]quests!$A$1,0,0,COUNTA([2]quests!$A:$A),MATCH(C$1,[2]quests!$1:$1,0)-MATCH($B$1,[2]quests!$1:$1,0)+1),MATCH(C$1,[2]quests!$1:$1,0)-MATCH($B$1,[2]quests!$1:$1,0)+1,FALSE)</f>
        <v>カスケード襲来！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降臨29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【超絶級】カスケード襲来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降臨29</v>
      </c>
      <c r="H4" s="84">
        <v>4</v>
      </c>
      <c r="I4" s="89">
        <f t="shared" si="0"/>
        <v>3</v>
      </c>
      <c r="J4" s="85" t="str">
        <f t="shared" si="1"/>
        <v>4002903</v>
      </c>
      <c r="K4" s="83" t="s">
        <v>195</v>
      </c>
      <c r="L4" s="86" t="s">
        <v>196</v>
      </c>
      <c r="M4" s="104" t="s">
        <v>284</v>
      </c>
      <c r="N4" s="57" t="s">
        <v>197</v>
      </c>
    </row>
    <row r="5" spans="1:14" ht="42" x14ac:dyDescent="0.15">
      <c r="A5" s="80" t="s">
        <v>194</v>
      </c>
      <c r="B5" s="81">
        <f>floors!$C$2</f>
        <v>40029</v>
      </c>
      <c r="C5" s="82" t="str">
        <f ca="1">VLOOKUP($B5,OFFSET([2]quests!$A$1,0,0,COUNTA([2]quests!$A:$A),MATCH(C$1,[2]quests!$1:$1,0)-MATCH($B$1,[2]quests!$1:$1,0)+1),MATCH(C$1,[2]quests!$1:$1,0)-MATCH($B$1,[2]quests!$1:$1,0)+1,FALSE)</f>
        <v>カスケード襲来！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降臨29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【超絶級】カスケード襲来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降臨29</v>
      </c>
      <c r="H5" s="84">
        <v>4</v>
      </c>
      <c r="I5" s="89">
        <f t="shared" si="0"/>
        <v>4</v>
      </c>
      <c r="J5" s="85" t="str">
        <f t="shared" si="1"/>
        <v>4002904</v>
      </c>
      <c r="K5" s="83" t="s">
        <v>195</v>
      </c>
      <c r="L5" s="86" t="s">
        <v>196</v>
      </c>
      <c r="M5" s="104" t="s">
        <v>283</v>
      </c>
      <c r="N5" s="57" t="s">
        <v>197</v>
      </c>
    </row>
    <row r="6" spans="1:14" ht="42" x14ac:dyDescent="0.15">
      <c r="A6" s="80" t="s">
        <v>194</v>
      </c>
      <c r="B6" s="81">
        <f>floors!$C$2</f>
        <v>40029</v>
      </c>
      <c r="C6" s="82" t="str">
        <f ca="1">VLOOKUP($B6,OFFSET([2]quests!$A$1,0,0,COUNTA([2]quests!$A:$A),MATCH(C$1,[2]quests!$1:$1,0)-MATCH($B$1,[2]quests!$1:$1,0)+1),MATCH(C$1,[2]quests!$1:$1,0)-MATCH($B$1,[2]quests!$1:$1,0)+1,FALSE)</f>
        <v>カスケード襲来！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降臨29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【超絶級】カスケード襲来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降臨29</v>
      </c>
      <c r="H6" s="84">
        <v>4</v>
      </c>
      <c r="I6" s="89">
        <f t="shared" si="0"/>
        <v>5</v>
      </c>
      <c r="J6" s="85" t="str">
        <f t="shared" si="1"/>
        <v>4002905</v>
      </c>
      <c r="K6" s="83" t="s">
        <v>195</v>
      </c>
      <c r="L6" s="86" t="s">
        <v>196</v>
      </c>
      <c r="M6" s="104" t="s">
        <v>273</v>
      </c>
      <c r="N6" s="57" t="s">
        <v>197</v>
      </c>
    </row>
    <row r="7" spans="1:14" ht="28" x14ac:dyDescent="0.15">
      <c r="A7" s="80" t="s">
        <v>198</v>
      </c>
      <c r="B7" s="81">
        <f>floors!$C$2</f>
        <v>40029</v>
      </c>
      <c r="C7" s="82" t="str">
        <f ca="1">VLOOKUP($B7,OFFSET([2]quests!$A$1,0,0,COUNTA([2]quests!$A:$A),MATCH(C$1,[2]quests!$1:$1,0)-MATCH($B$1,[2]quests!$1:$1,0)+1),MATCH(C$1,[2]quests!$1:$1,0)-MATCH($B$1,[2]quests!$1:$1,0)+1,FALSE)</f>
        <v>カスケード襲来！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降臨29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【超絶級】カスケード襲来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降臨29</v>
      </c>
      <c r="H7" s="84">
        <v>0</v>
      </c>
      <c r="I7" s="89">
        <f t="shared" si="0"/>
        <v>6</v>
      </c>
      <c r="J7" s="85" t="str">
        <f t="shared" si="1"/>
        <v>4002906</v>
      </c>
      <c r="K7" s="83" t="s">
        <v>195</v>
      </c>
      <c r="L7" s="86" t="s">
        <v>274</v>
      </c>
      <c r="M7" s="104" t="s">
        <v>279</v>
      </c>
      <c r="N7" s="57" t="s">
        <v>197</v>
      </c>
    </row>
    <row r="8" spans="1:14" ht="42" x14ac:dyDescent="0.15">
      <c r="A8" s="80" t="s">
        <v>198</v>
      </c>
      <c r="B8" s="81">
        <f>floors!$C$2</f>
        <v>40029</v>
      </c>
      <c r="C8" s="82" t="str">
        <f ca="1">VLOOKUP($B8,OFFSET([2]quests!$A$1,0,0,COUNTA([2]quests!$A:$A),MATCH(C$1,[2]quests!$1:$1,0)-MATCH($B$1,[2]quests!$1:$1,0)+1),MATCH(C$1,[2]quests!$1:$1,0)-MATCH($B$1,[2]quests!$1:$1,0)+1,FALSE)</f>
        <v>カスケード襲来！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降臨29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【超絶級】カスケード襲来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降臨29</v>
      </c>
      <c r="H8" s="84">
        <v>0</v>
      </c>
      <c r="I8" s="89">
        <f t="shared" si="0"/>
        <v>7</v>
      </c>
      <c r="J8" s="85" t="str">
        <f t="shared" si="1"/>
        <v>4002907</v>
      </c>
      <c r="K8" s="83" t="s">
        <v>195</v>
      </c>
      <c r="L8" s="86" t="s">
        <v>275</v>
      </c>
      <c r="M8" s="104" t="s">
        <v>277</v>
      </c>
      <c r="N8" s="57" t="s">
        <v>197</v>
      </c>
    </row>
    <row r="9" spans="1:14" ht="42" x14ac:dyDescent="0.15">
      <c r="A9" s="80" t="s">
        <v>198</v>
      </c>
      <c r="B9" s="81">
        <f>floors!$C$2</f>
        <v>40029</v>
      </c>
      <c r="C9" s="82" t="str">
        <f ca="1">VLOOKUP($B9,OFFSET([2]quests!$A$1,0,0,COUNTA([2]quests!$A:$A),MATCH(C$1,[2]quests!$1:$1,0)-MATCH($B$1,[2]quests!$1:$1,0)+1),MATCH(C$1,[2]quests!$1:$1,0)-MATCH($B$1,[2]quests!$1:$1,0)+1,FALSE)</f>
        <v>カスケード襲来！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降臨29</v>
      </c>
      <c r="E9" s="83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【超絶級】カスケード襲来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降臨29</v>
      </c>
      <c r="H9" s="84">
        <v>0</v>
      </c>
      <c r="I9" s="89">
        <f t="shared" si="0"/>
        <v>8</v>
      </c>
      <c r="J9" s="85" t="str">
        <f t="shared" si="1"/>
        <v>4002908</v>
      </c>
      <c r="K9" s="83" t="s">
        <v>195</v>
      </c>
      <c r="L9" s="86" t="s">
        <v>276</v>
      </c>
      <c r="M9" s="104" t="s">
        <v>278</v>
      </c>
      <c r="N9" s="57" t="s">
        <v>197</v>
      </c>
    </row>
    <row r="10" spans="1:14" ht="42" x14ac:dyDescent="0.15">
      <c r="A10" s="80" t="s">
        <v>194</v>
      </c>
      <c r="B10" s="81">
        <f>floors!$C$2</f>
        <v>40029</v>
      </c>
      <c r="C10" s="82" t="str">
        <f ca="1">VLOOKUP($B10,OFFSET([2]quests!$A$1,0,0,COUNTA([2]quests!$A:$A),MATCH(C$1,[2]quests!$1:$1,0)-MATCH($B$1,[2]quests!$1:$1,0)+1),MATCH(C$1,[2]quests!$1:$1,0)-MATCH($B$1,[2]quests!$1:$1,0)+1,FALSE)</f>
        <v>カスケード襲来！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降臨29</v>
      </c>
      <c r="E10" s="83">
        <v>2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【ウィザード級】カスケード襲来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降臨29</v>
      </c>
      <c r="H10" s="84">
        <v>2</v>
      </c>
      <c r="I10" s="89">
        <f>ROW()-1</f>
        <v>9</v>
      </c>
      <c r="J10" s="85" t="str">
        <f>B10&amp;TEXT(I10,"00")</f>
        <v>4002909</v>
      </c>
      <c r="K10" s="83" t="s">
        <v>195</v>
      </c>
      <c r="L10" s="86" t="s">
        <v>196</v>
      </c>
      <c r="M10" s="104" t="s">
        <v>282</v>
      </c>
      <c r="N10" s="57" t="s">
        <v>197</v>
      </c>
    </row>
    <row r="11" spans="1:14" ht="42" x14ac:dyDescent="0.15">
      <c r="A11" s="80" t="s">
        <v>194</v>
      </c>
      <c r="B11" s="81">
        <f>floors!$C$2</f>
        <v>40029</v>
      </c>
      <c r="C11" s="82" t="str">
        <f ca="1">VLOOKUP($B11,OFFSET([2]quests!$A$1,0,0,COUNTA([2]quests!$A:$A),MATCH(C$1,[2]quests!$1:$1,0)-MATCH($B$1,[2]quests!$1:$1,0)+1),MATCH(C$1,[2]quests!$1:$1,0)-MATCH($B$1,[2]quests!$1:$1,0)+1,FALSE)</f>
        <v>カスケード襲来！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降臨29</v>
      </c>
      <c r="E11" s="83">
        <v>2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【ウィザード級】カスケード襲来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降臨29</v>
      </c>
      <c r="H11" s="84">
        <v>3</v>
      </c>
      <c r="I11" s="89">
        <f t="shared" si="0"/>
        <v>10</v>
      </c>
      <c r="J11" s="85" t="str">
        <f t="shared" ref="J11:J17" si="2">B11&amp;TEXT(I11,"00")</f>
        <v>4002910</v>
      </c>
      <c r="K11" s="83" t="s">
        <v>195</v>
      </c>
      <c r="L11" s="86" t="s">
        <v>196</v>
      </c>
      <c r="M11" s="104" t="s">
        <v>272</v>
      </c>
      <c r="N11" s="57" t="s">
        <v>197</v>
      </c>
    </row>
    <row r="12" spans="1:14" ht="42" x14ac:dyDescent="0.15">
      <c r="A12" s="80" t="s">
        <v>194</v>
      </c>
      <c r="B12" s="81">
        <f>floors!$C$2</f>
        <v>40029</v>
      </c>
      <c r="C12" s="82" t="str">
        <f ca="1">VLOOKUP($B12,OFFSET([2]quests!$A$1,0,0,COUNTA([2]quests!$A:$A),MATCH(C$1,[2]quests!$1:$1,0)-MATCH($B$1,[2]quests!$1:$1,0)+1),MATCH(C$1,[2]quests!$1:$1,0)-MATCH($B$1,[2]quests!$1:$1,0)+1,FALSE)</f>
        <v>カスケード襲来！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降臨29</v>
      </c>
      <c r="E12" s="83">
        <v>2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【ウィザード級】カスケード襲来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降臨29</v>
      </c>
      <c r="H12" s="84">
        <v>4</v>
      </c>
      <c r="I12" s="89">
        <f t="shared" si="0"/>
        <v>11</v>
      </c>
      <c r="J12" s="85" t="str">
        <f t="shared" si="2"/>
        <v>4002911</v>
      </c>
      <c r="K12" s="83" t="s">
        <v>195</v>
      </c>
      <c r="L12" s="86" t="s">
        <v>196</v>
      </c>
      <c r="M12" s="104" t="s">
        <v>284</v>
      </c>
      <c r="N12" s="57" t="s">
        <v>197</v>
      </c>
    </row>
    <row r="13" spans="1:14" ht="42" x14ac:dyDescent="0.15">
      <c r="A13" s="80" t="s">
        <v>194</v>
      </c>
      <c r="B13" s="81">
        <f>floors!$C$2</f>
        <v>40029</v>
      </c>
      <c r="C13" s="82" t="str">
        <f ca="1">VLOOKUP($B13,OFFSET([2]quests!$A$1,0,0,COUNTA([2]quests!$A:$A),MATCH(C$1,[2]quests!$1:$1,0)-MATCH($B$1,[2]quests!$1:$1,0)+1),MATCH(C$1,[2]quests!$1:$1,0)-MATCH($B$1,[2]quests!$1:$1,0)+1,FALSE)</f>
        <v>カスケード襲来！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降臨29</v>
      </c>
      <c r="E13" s="83">
        <v>2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【ウィザード級】カスケード襲来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降臨29</v>
      </c>
      <c r="H13" s="84">
        <v>4</v>
      </c>
      <c r="I13" s="89">
        <f t="shared" si="0"/>
        <v>12</v>
      </c>
      <c r="J13" s="85" t="str">
        <f t="shared" si="2"/>
        <v>4002912</v>
      </c>
      <c r="K13" s="83" t="s">
        <v>195</v>
      </c>
      <c r="L13" s="86" t="s">
        <v>196</v>
      </c>
      <c r="M13" s="104" t="s">
        <v>283</v>
      </c>
      <c r="N13" s="57" t="s">
        <v>197</v>
      </c>
    </row>
    <row r="14" spans="1:14" ht="42" x14ac:dyDescent="0.15">
      <c r="A14" s="80" t="s">
        <v>194</v>
      </c>
      <c r="B14" s="81">
        <f>floors!$C$2</f>
        <v>40029</v>
      </c>
      <c r="C14" s="82" t="str">
        <f ca="1">VLOOKUP($B14,OFFSET([2]quests!$A$1,0,0,COUNTA([2]quests!$A:$A),MATCH(C$1,[2]quests!$1:$1,0)-MATCH($B$1,[2]quests!$1:$1,0)+1),MATCH(C$1,[2]quests!$1:$1,0)-MATCH($B$1,[2]quests!$1:$1,0)+1,FALSE)</f>
        <v>カスケード襲来！</v>
      </c>
      <c r="D14" s="82" t="str">
        <f ca="1">VLOOKUP($B14,OFFSET([2]quests!$A$1,0,0,COUNTA([2]quests!$A:$A),MATCH(D$1,[2]quests!$1:$1,0)-MATCH($B$1,[2]quests!$1:$1,0)+1),MATCH(D$1,[2]quests!$1:$1,0)-MATCH($B$1,[2]quests!$1:$1,0)+1,FALSE)</f>
        <v>降臨29</v>
      </c>
      <c r="E14" s="83">
        <v>2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【ウィザード級】カスケード襲来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降臨29</v>
      </c>
      <c r="H14" s="84">
        <v>4</v>
      </c>
      <c r="I14" s="89">
        <f t="shared" si="0"/>
        <v>13</v>
      </c>
      <c r="J14" s="85" t="str">
        <f t="shared" si="2"/>
        <v>4002913</v>
      </c>
      <c r="K14" s="83" t="s">
        <v>195</v>
      </c>
      <c r="L14" s="86" t="s">
        <v>196</v>
      </c>
      <c r="M14" s="104" t="s">
        <v>273</v>
      </c>
      <c r="N14" s="57" t="s">
        <v>197</v>
      </c>
    </row>
    <row r="15" spans="1:14" ht="28" x14ac:dyDescent="0.15">
      <c r="A15" s="80" t="s">
        <v>198</v>
      </c>
      <c r="B15" s="81">
        <f>floors!$C$2</f>
        <v>40029</v>
      </c>
      <c r="C15" s="82" t="str">
        <f ca="1">VLOOKUP($B15,OFFSET([2]quests!$A$1,0,0,COUNTA([2]quests!$A:$A),MATCH(C$1,[2]quests!$1:$1,0)-MATCH($B$1,[2]quests!$1:$1,0)+1),MATCH(C$1,[2]quests!$1:$1,0)-MATCH($B$1,[2]quests!$1:$1,0)+1,FALSE)</f>
        <v>カスケード襲来！</v>
      </c>
      <c r="D15" s="82" t="str">
        <f ca="1">VLOOKUP($B15,OFFSET([2]quests!$A$1,0,0,COUNTA([2]quests!$A:$A),MATCH(D$1,[2]quests!$1:$1,0)-MATCH($B$1,[2]quests!$1:$1,0)+1),MATCH(D$1,[2]quests!$1:$1,0)-MATCH($B$1,[2]quests!$1:$1,0)+1,FALSE)</f>
        <v>降臨29</v>
      </c>
      <c r="E15" s="83">
        <v>2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【ウィザード級】カスケード襲来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降臨29</v>
      </c>
      <c r="H15" s="84">
        <v>0</v>
      </c>
      <c r="I15" s="89">
        <f t="shared" si="0"/>
        <v>14</v>
      </c>
      <c r="J15" s="85" t="str">
        <f t="shared" si="2"/>
        <v>4002914</v>
      </c>
      <c r="K15" s="83" t="s">
        <v>195</v>
      </c>
      <c r="L15" s="86" t="s">
        <v>274</v>
      </c>
      <c r="M15" s="104" t="s">
        <v>279</v>
      </c>
      <c r="N15" s="57" t="s">
        <v>197</v>
      </c>
    </row>
    <row r="16" spans="1:14" ht="42" x14ac:dyDescent="0.15">
      <c r="A16" s="80" t="s">
        <v>198</v>
      </c>
      <c r="B16" s="81">
        <f>floors!$C$2</f>
        <v>40029</v>
      </c>
      <c r="C16" s="82" t="str">
        <f ca="1">VLOOKUP($B16,OFFSET([2]quests!$A$1,0,0,COUNTA([2]quests!$A:$A),MATCH(C$1,[2]quests!$1:$1,0)-MATCH($B$1,[2]quests!$1:$1,0)+1),MATCH(C$1,[2]quests!$1:$1,0)-MATCH($B$1,[2]quests!$1:$1,0)+1,FALSE)</f>
        <v>カスケード襲来！</v>
      </c>
      <c r="D16" s="82" t="str">
        <f ca="1">VLOOKUP($B16,OFFSET([2]quests!$A$1,0,0,COUNTA([2]quests!$A:$A),MATCH(D$1,[2]quests!$1:$1,0)-MATCH($B$1,[2]quests!$1:$1,0)+1),MATCH(D$1,[2]quests!$1:$1,0)-MATCH($B$1,[2]quests!$1:$1,0)+1,FALSE)</f>
        <v>降臨29</v>
      </c>
      <c r="E16" s="83">
        <v>2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【ウィザード級】カスケード襲来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降臨29</v>
      </c>
      <c r="H16" s="84">
        <v>0</v>
      </c>
      <c r="I16" s="89">
        <f t="shared" si="0"/>
        <v>15</v>
      </c>
      <c r="J16" s="85" t="str">
        <f t="shared" si="2"/>
        <v>4002915</v>
      </c>
      <c r="K16" s="83" t="s">
        <v>195</v>
      </c>
      <c r="L16" s="86" t="s">
        <v>275</v>
      </c>
      <c r="M16" s="104" t="s">
        <v>277</v>
      </c>
      <c r="N16" s="57" t="s">
        <v>197</v>
      </c>
    </row>
    <row r="17" spans="1:14" ht="42" x14ac:dyDescent="0.15">
      <c r="A17" s="80" t="s">
        <v>198</v>
      </c>
      <c r="B17" s="81">
        <f>floors!$C$2</f>
        <v>40029</v>
      </c>
      <c r="C17" s="82" t="str">
        <f ca="1">VLOOKUP($B17,OFFSET([2]quests!$A$1,0,0,COUNTA([2]quests!$A:$A),MATCH(C$1,[2]quests!$1:$1,0)-MATCH($B$1,[2]quests!$1:$1,0)+1),MATCH(C$1,[2]quests!$1:$1,0)-MATCH($B$1,[2]quests!$1:$1,0)+1,FALSE)</f>
        <v>カスケード襲来！</v>
      </c>
      <c r="D17" s="82" t="str">
        <f ca="1">VLOOKUP($B17,OFFSET([2]quests!$A$1,0,0,COUNTA([2]quests!$A:$A),MATCH(D$1,[2]quests!$1:$1,0)-MATCH($B$1,[2]quests!$1:$1,0)+1),MATCH(D$1,[2]quests!$1:$1,0)-MATCH($B$1,[2]quests!$1:$1,0)+1,FALSE)</f>
        <v>降臨29</v>
      </c>
      <c r="E17" s="83">
        <v>2</v>
      </c>
      <c r="F17" s="82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【ウィザード級】カスケード襲来</v>
      </c>
      <c r="G17" s="82" t="str">
        <f ca="1">VLOOKUP($B17&amp;"_"&amp;$E17,OFFSET([2]stages!$A$1,0,0,COUNTA([2]stages!$A:$A),MATCH(G$1,[2]stages!$2:$2,0)-MATCH("temp_stage",[2]stages!$2:$2,0)+1),MATCH(G$1,[2]stages!$2:$2,0)-MATCH("temp_stage",[2]stages!$2:$2,0)+1,FALSE)</f>
        <v>降臨29</v>
      </c>
      <c r="H17" s="84">
        <v>0</v>
      </c>
      <c r="I17" s="89">
        <f t="shared" si="0"/>
        <v>16</v>
      </c>
      <c r="J17" s="85" t="str">
        <f t="shared" si="2"/>
        <v>4002916</v>
      </c>
      <c r="K17" s="83" t="s">
        <v>195</v>
      </c>
      <c r="L17" s="86" t="s">
        <v>276</v>
      </c>
      <c r="M17" s="104" t="s">
        <v>278</v>
      </c>
      <c r="N17" s="57" t="s">
        <v>197</v>
      </c>
    </row>
  </sheetData>
  <phoneticPr fontId="5"/>
  <dataValidations count="1">
    <dataValidation type="list" allowBlank="1" showInputMessage="1" showErrorMessage="1" sqref="A2:A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G8" sqref="G8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210</v>
      </c>
      <c r="B1" s="94" t="s">
        <v>211</v>
      </c>
      <c r="C1" s="76" t="s">
        <v>212</v>
      </c>
      <c r="D1" s="76" t="s">
        <v>33</v>
      </c>
      <c r="E1" s="94" t="s">
        <v>213</v>
      </c>
      <c r="F1" s="76" t="s">
        <v>214</v>
      </c>
      <c r="G1" s="76" t="s">
        <v>33</v>
      </c>
      <c r="H1" s="94" t="s">
        <v>215</v>
      </c>
      <c r="I1" s="94" t="s">
        <v>216</v>
      </c>
      <c r="J1" s="94" t="s">
        <v>217</v>
      </c>
      <c r="K1" s="72" t="s">
        <v>218</v>
      </c>
      <c r="L1" s="72" t="s">
        <v>219</v>
      </c>
      <c r="M1" s="72" t="s">
        <v>157</v>
      </c>
      <c r="N1" s="76" t="s">
        <v>16</v>
      </c>
      <c r="O1" s="72" t="s">
        <v>220</v>
      </c>
      <c r="P1" s="72" t="s">
        <v>57</v>
      </c>
      <c r="Q1" s="72" t="s">
        <v>221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222</v>
      </c>
      <c r="X1" s="72" t="s">
        <v>223</v>
      </c>
    </row>
    <row r="2" spans="1:24" x14ac:dyDescent="0.15">
      <c r="A2" s="95" t="str">
        <f>B2&amp;"_"&amp;E2&amp;"_"&amp;H2&amp;"_"&amp;I2&amp;"_"&amp;J2</f>
        <v>40029_2_everyone_no_continue_1</v>
      </c>
      <c r="B2" s="81">
        <v>40029</v>
      </c>
      <c r="C2" s="82" t="str">
        <f ca="1">VLOOKUP($B2,OFFSET([2]quests!$A$1,0,0,COUNTA([2]quests!$A:$A),MATCH(C$1,[2]quests!$1:$1,0)-MATCH($B$1,[2]quests!$1:$1,0)+1),MATCH(C$1,[2]quests!$1:$1,0)-MATCH($B$1,[2]quests!$1:$1,0)+1,FALSE)</f>
        <v>カスケード襲来！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降臨29</v>
      </c>
      <c r="E2" s="83">
        <v>2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【ウィザード級】カスケード襲来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降臨29</v>
      </c>
      <c r="H2" s="84" t="s">
        <v>324</v>
      </c>
      <c r="I2" s="83" t="s">
        <v>325</v>
      </c>
      <c r="J2" s="83">
        <v>1</v>
      </c>
      <c r="K2" s="83">
        <v>100</v>
      </c>
      <c r="L2" s="83" t="s">
        <v>326</v>
      </c>
      <c r="M2" s="83">
        <v>780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カスケード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7" t="s">
        <v>327</v>
      </c>
      <c r="X2" s="98" t="s">
        <v>328</v>
      </c>
    </row>
    <row r="3" spans="1:24" x14ac:dyDescent="0.15">
      <c r="A3" s="95" t="str">
        <f>B3&amp;"_"&amp;E3&amp;"_"&amp;H3&amp;"_"&amp;I3&amp;"_"&amp;J3</f>
        <v>40029_2_everyone_full_member_1</v>
      </c>
      <c r="B3" s="81">
        <v>40029</v>
      </c>
      <c r="C3" s="82" t="str">
        <f ca="1">VLOOKUP($B3,OFFSET([2]quests!$A$1,0,0,COUNTA([2]quests!$A:$A),MATCH(C$1,[2]quests!$1:$1,0)-MATCH($B$1,[2]quests!$1:$1,0)+1),MATCH(C$1,[2]quests!$1:$1,0)-MATCH($B$1,[2]quests!$1:$1,0)+1,FALSE)</f>
        <v>カスケード襲来！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降臨29</v>
      </c>
      <c r="E3" s="83">
        <v>2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【ウィザード級】カスケード襲来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降臨29</v>
      </c>
      <c r="H3" s="84" t="s">
        <v>324</v>
      </c>
      <c r="I3" s="83" t="s">
        <v>330</v>
      </c>
      <c r="J3" s="83">
        <v>1</v>
      </c>
      <c r="K3" s="83">
        <v>100</v>
      </c>
      <c r="L3" s="83" t="s">
        <v>326</v>
      </c>
      <c r="M3" s="83">
        <v>780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カスケード</v>
      </c>
      <c r="O3" s="83">
        <v>1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97" t="s">
        <v>327</v>
      </c>
      <c r="X3" s="98" t="s">
        <v>328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2017-03-28T01:51:42Z</dcterms:modified>
</cp:coreProperties>
</file>