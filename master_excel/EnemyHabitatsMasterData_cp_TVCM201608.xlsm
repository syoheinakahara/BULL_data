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oshizawa/Projects/BULL/Repository/BULL_data/master_excel/"/>
    </mc:Choice>
  </mc:AlternateContent>
  <bookViews>
    <workbookView xWindow="240" yWindow="1360" windowWidth="26380" windowHeight="1628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stage_hints" sheetId="21" r:id="rId8"/>
  </sheets>
  <externalReferences>
    <externalReference r:id="rId9"/>
    <externalReference r:id="rId10"/>
    <externalReference r:id="rId11"/>
    <externalReference r:id="rId12"/>
    <externalReference r:id="rId13"/>
  </externalReferences>
  <definedNames>
    <definedName name="_xlnm._FilterDatabase" localSheetId="3" hidden="1">enemy_habitat_S!$B$1:$AA$2</definedName>
    <definedName name="_xlnm._FilterDatabase" localSheetId="2" hidden="1">enemy_habitats!$B$1:$AJ$3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7" hidden="1">stage_hints!$B$1:$M$2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" i="21" l="1"/>
  <c r="B5" i="21"/>
  <c r="I5" i="21"/>
  <c r="J5" i="21"/>
  <c r="G5" i="21"/>
  <c r="F5" i="21"/>
  <c r="D5" i="21"/>
  <c r="C5" i="21"/>
  <c r="M3" i="21"/>
  <c r="L3" i="21"/>
  <c r="O4" i="21"/>
  <c r="B4" i="21"/>
  <c r="I4" i="21"/>
  <c r="J4" i="21"/>
  <c r="G4" i="21"/>
  <c r="F4" i="21"/>
  <c r="D4" i="21"/>
  <c r="C4" i="21"/>
  <c r="O3" i="21"/>
  <c r="B3" i="21"/>
  <c r="I3" i="21"/>
  <c r="J3" i="21"/>
  <c r="G3" i="21"/>
  <c r="F3" i="21"/>
  <c r="D3" i="21"/>
  <c r="C3" i="21"/>
  <c r="J10" i="11"/>
  <c r="O7" i="9"/>
  <c r="N7" i="9"/>
  <c r="M7" i="9"/>
  <c r="L7" i="9"/>
  <c r="K7" i="9"/>
  <c r="J7" i="9"/>
  <c r="I7" i="9"/>
  <c r="H7" i="9"/>
  <c r="G7" i="9"/>
  <c r="E7" i="9"/>
  <c r="D7" i="9"/>
  <c r="A7" i="9"/>
  <c r="J9" i="11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J7" i="11"/>
  <c r="O31" i="9"/>
  <c r="N31" i="9"/>
  <c r="M31" i="9"/>
  <c r="L31" i="9"/>
  <c r="K31" i="9"/>
  <c r="J31" i="9"/>
  <c r="I31" i="9"/>
  <c r="H31" i="9"/>
  <c r="G31" i="9"/>
  <c r="E31" i="9"/>
  <c r="D31" i="9"/>
  <c r="A31" i="9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J8" i="11"/>
  <c r="O2" i="21"/>
  <c r="J3" i="11"/>
  <c r="O39" i="9"/>
  <c r="N39" i="9"/>
  <c r="M39" i="9"/>
  <c r="L39" i="9"/>
  <c r="K39" i="9"/>
  <c r="J39" i="9"/>
  <c r="I39" i="9"/>
  <c r="H39" i="9"/>
  <c r="G39" i="9"/>
  <c r="E39" i="9"/>
  <c r="D39" i="9"/>
  <c r="A39" i="9"/>
  <c r="O37" i="9"/>
  <c r="N37" i="9"/>
  <c r="M37" i="9"/>
  <c r="L37" i="9"/>
  <c r="K37" i="9"/>
  <c r="J37" i="9"/>
  <c r="I37" i="9"/>
  <c r="H37" i="9"/>
  <c r="G37" i="9"/>
  <c r="E37" i="9"/>
  <c r="D37" i="9"/>
  <c r="A37" i="9"/>
  <c r="AA7" i="7"/>
  <c r="E38" i="9"/>
  <c r="Y7" i="7"/>
  <c r="W7" i="7"/>
  <c r="U7" i="7"/>
  <c r="R7" i="7"/>
  <c r="Q7" i="7"/>
  <c r="P7" i="7"/>
  <c r="O7" i="7"/>
  <c r="N7" i="7"/>
  <c r="H7" i="7"/>
  <c r="J7" i="7"/>
  <c r="I7" i="7"/>
  <c r="D7" i="7"/>
  <c r="F7" i="7"/>
  <c r="E7" i="7"/>
  <c r="A7" i="7"/>
  <c r="AA6" i="7"/>
  <c r="E36" i="9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J2" i="11"/>
  <c r="O21" i="9"/>
  <c r="N21" i="9"/>
  <c r="M21" i="9"/>
  <c r="L21" i="9"/>
  <c r="K21" i="9"/>
  <c r="J21" i="9"/>
  <c r="I21" i="9"/>
  <c r="H21" i="9"/>
  <c r="G21" i="9"/>
  <c r="E21" i="9"/>
  <c r="D21" i="9"/>
  <c r="A21" i="9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AD7" i="1"/>
  <c r="AF7" i="1"/>
  <c r="AI7" i="1"/>
  <c r="AG7" i="1"/>
  <c r="AE7" i="1"/>
  <c r="AC7" i="1"/>
  <c r="E11" i="9"/>
  <c r="X7" i="1"/>
  <c r="V7" i="1"/>
  <c r="T7" i="1"/>
  <c r="Q7" i="1"/>
  <c r="P7" i="1"/>
  <c r="O7" i="1"/>
  <c r="N7" i="1"/>
  <c r="M7" i="1"/>
  <c r="H7" i="1"/>
  <c r="G4" i="2"/>
  <c r="A4" i="2"/>
  <c r="G5" i="2"/>
  <c r="A5" i="2"/>
  <c r="G2" i="2"/>
  <c r="A2" i="2"/>
  <c r="G3" i="2"/>
  <c r="A3" i="2"/>
  <c r="G6" i="2"/>
  <c r="A6" i="2"/>
  <c r="J7" i="1"/>
  <c r="I7" i="1"/>
  <c r="D7" i="1"/>
  <c r="F7" i="1"/>
  <c r="E7" i="1"/>
  <c r="A7" i="1"/>
  <c r="AD6" i="1"/>
  <c r="AF6" i="1"/>
  <c r="AI6" i="1"/>
  <c r="AG6" i="1"/>
  <c r="AE6" i="1"/>
  <c r="AC6" i="1"/>
  <c r="E15" i="9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H4" i="2"/>
  <c r="E4" i="2"/>
  <c r="D4" i="2"/>
  <c r="H8" i="1"/>
  <c r="H2" i="1"/>
  <c r="H3" i="1"/>
  <c r="H4" i="1"/>
  <c r="H5" i="1"/>
  <c r="H9" i="1"/>
  <c r="B4" i="2"/>
  <c r="O38" i="9"/>
  <c r="N38" i="9"/>
  <c r="M38" i="9"/>
  <c r="L38" i="9"/>
  <c r="K38" i="9"/>
  <c r="J38" i="9"/>
  <c r="I38" i="9"/>
  <c r="H38" i="9"/>
  <c r="G38" i="9"/>
  <c r="D38" i="9"/>
  <c r="A38" i="9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O36" i="9"/>
  <c r="N36" i="9"/>
  <c r="M36" i="9"/>
  <c r="L36" i="9"/>
  <c r="K36" i="9"/>
  <c r="J36" i="9"/>
  <c r="I36" i="9"/>
  <c r="H36" i="9"/>
  <c r="G36" i="9"/>
  <c r="D36" i="9"/>
  <c r="A36" i="9"/>
  <c r="J4" i="11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AD9" i="1"/>
  <c r="AF9" i="1"/>
  <c r="AI9" i="1"/>
  <c r="AG9" i="1"/>
  <c r="AE9" i="1"/>
  <c r="AC9" i="1"/>
  <c r="X9" i="1"/>
  <c r="V9" i="1"/>
  <c r="T9" i="1"/>
  <c r="Q9" i="1"/>
  <c r="P9" i="1"/>
  <c r="O9" i="1"/>
  <c r="N9" i="1"/>
  <c r="M9" i="1"/>
  <c r="J9" i="1"/>
  <c r="I9" i="1"/>
  <c r="D9" i="1"/>
  <c r="F9" i="1"/>
  <c r="E9" i="1"/>
  <c r="A9" i="1"/>
  <c r="H6" i="2"/>
  <c r="E6" i="2"/>
  <c r="D6" i="2"/>
  <c r="B6" i="2"/>
  <c r="O29" i="9"/>
  <c r="N29" i="9"/>
  <c r="M29" i="9"/>
  <c r="L29" i="9"/>
  <c r="K29" i="9"/>
  <c r="J29" i="9"/>
  <c r="I29" i="9"/>
  <c r="H29" i="9"/>
  <c r="G29" i="9"/>
  <c r="E29" i="9"/>
  <c r="D29" i="9"/>
  <c r="A29" i="9"/>
  <c r="O27" i="9"/>
  <c r="N27" i="9"/>
  <c r="M27" i="9"/>
  <c r="L27" i="9"/>
  <c r="K27" i="9"/>
  <c r="J27" i="9"/>
  <c r="I27" i="9"/>
  <c r="H27" i="9"/>
  <c r="G27" i="9"/>
  <c r="E27" i="9"/>
  <c r="D27" i="9"/>
  <c r="A27" i="9"/>
  <c r="O32" i="9"/>
  <c r="N32" i="9"/>
  <c r="M32" i="9"/>
  <c r="L32" i="9"/>
  <c r="K32" i="9"/>
  <c r="J32" i="9"/>
  <c r="I32" i="9"/>
  <c r="H32" i="9"/>
  <c r="G32" i="9"/>
  <c r="E32" i="9"/>
  <c r="D32" i="9"/>
  <c r="A32" i="9"/>
  <c r="O30" i="9"/>
  <c r="N30" i="9"/>
  <c r="M30" i="9"/>
  <c r="L30" i="9"/>
  <c r="K30" i="9"/>
  <c r="J30" i="9"/>
  <c r="I30" i="9"/>
  <c r="H30" i="9"/>
  <c r="G30" i="9"/>
  <c r="E30" i="9"/>
  <c r="D30" i="9"/>
  <c r="A30" i="9"/>
  <c r="O28" i="9"/>
  <c r="N28" i="9"/>
  <c r="M28" i="9"/>
  <c r="L28" i="9"/>
  <c r="K28" i="9"/>
  <c r="J28" i="9"/>
  <c r="I28" i="9"/>
  <c r="H28" i="9"/>
  <c r="G28" i="9"/>
  <c r="E28" i="9"/>
  <c r="D28" i="9"/>
  <c r="A28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J6" i="11"/>
  <c r="J5" i="11"/>
  <c r="O20" i="9"/>
  <c r="N20" i="9"/>
  <c r="M20" i="9"/>
  <c r="L20" i="9"/>
  <c r="K20" i="9"/>
  <c r="J20" i="9"/>
  <c r="I20" i="9"/>
  <c r="H20" i="9"/>
  <c r="G20" i="9"/>
  <c r="E20" i="9"/>
  <c r="D20" i="9"/>
  <c r="A20" i="9"/>
  <c r="O18" i="9"/>
  <c r="N18" i="9"/>
  <c r="M18" i="9"/>
  <c r="L18" i="9"/>
  <c r="K18" i="9"/>
  <c r="J18" i="9"/>
  <c r="I18" i="9"/>
  <c r="H18" i="9"/>
  <c r="G18" i="9"/>
  <c r="E18" i="9"/>
  <c r="D18" i="9"/>
  <c r="A18" i="9"/>
  <c r="O19" i="9"/>
  <c r="N19" i="9"/>
  <c r="M19" i="9"/>
  <c r="L19" i="9"/>
  <c r="K19" i="9"/>
  <c r="J19" i="9"/>
  <c r="I19" i="9"/>
  <c r="H19" i="9"/>
  <c r="G19" i="9"/>
  <c r="E19" i="9"/>
  <c r="D19" i="9"/>
  <c r="A19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O15" i="9"/>
  <c r="N15" i="9"/>
  <c r="M15" i="9"/>
  <c r="L15" i="9"/>
  <c r="K15" i="9"/>
  <c r="J15" i="9"/>
  <c r="I15" i="9"/>
  <c r="H15" i="9"/>
  <c r="G15" i="9"/>
  <c r="D15" i="9"/>
  <c r="A15" i="9"/>
  <c r="O11" i="9"/>
  <c r="N11" i="9"/>
  <c r="M11" i="9"/>
  <c r="L11" i="9"/>
  <c r="K11" i="9"/>
  <c r="J11" i="9"/>
  <c r="I11" i="9"/>
  <c r="H11" i="9"/>
  <c r="G11" i="9"/>
  <c r="D11" i="9"/>
  <c r="A11" i="9"/>
  <c r="Y5" i="7"/>
  <c r="Y4" i="7"/>
  <c r="Y3" i="7"/>
  <c r="Y2" i="7"/>
  <c r="E4" i="9"/>
  <c r="O4" i="9"/>
  <c r="N4" i="9"/>
  <c r="M4" i="9"/>
  <c r="L4" i="9"/>
  <c r="K4" i="9"/>
  <c r="J4" i="9"/>
  <c r="I4" i="9"/>
  <c r="H4" i="9"/>
  <c r="G4" i="9"/>
  <c r="D4" i="9"/>
  <c r="A4" i="9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J11" i="11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O8" i="9"/>
  <c r="N8" i="9"/>
  <c r="M8" i="9"/>
  <c r="L8" i="9"/>
  <c r="K8" i="9"/>
  <c r="J8" i="9"/>
  <c r="I8" i="9"/>
  <c r="H8" i="9"/>
  <c r="G8" i="9"/>
  <c r="E8" i="9"/>
  <c r="D8" i="9"/>
  <c r="A8" i="9"/>
  <c r="O3" i="9"/>
  <c r="N3" i="9"/>
  <c r="M3" i="9"/>
  <c r="L3" i="9"/>
  <c r="K3" i="9"/>
  <c r="J3" i="9"/>
  <c r="I3" i="9"/>
  <c r="H3" i="9"/>
  <c r="G3" i="9"/>
  <c r="E3" i="9"/>
  <c r="D3" i="9"/>
  <c r="A3" i="9"/>
  <c r="AA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E2" i="9"/>
  <c r="X8" i="1"/>
  <c r="X5" i="1"/>
  <c r="X4" i="1"/>
  <c r="X3" i="1"/>
  <c r="AA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AA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8" i="1"/>
  <c r="AF8" i="1"/>
  <c r="AI8" i="1"/>
  <c r="AG8" i="1"/>
  <c r="AE8" i="1"/>
  <c r="AC8" i="1"/>
  <c r="V8" i="1"/>
  <c r="T8" i="1"/>
  <c r="Q8" i="1"/>
  <c r="P8" i="1"/>
  <c r="O8" i="1"/>
  <c r="N8" i="1"/>
  <c r="M8" i="1"/>
  <c r="J8" i="1"/>
  <c r="I8" i="1"/>
  <c r="D8" i="1"/>
  <c r="F8" i="1"/>
  <c r="E8" i="1"/>
  <c r="A8" i="1"/>
  <c r="AD4" i="1"/>
  <c r="AF4" i="1"/>
  <c r="AI4" i="1"/>
  <c r="AG4" i="1"/>
  <c r="AE4" i="1"/>
  <c r="AC4" i="1"/>
  <c r="V4" i="1"/>
  <c r="T4" i="1"/>
  <c r="Q4" i="1"/>
  <c r="P4" i="1"/>
  <c r="O4" i="1"/>
  <c r="N4" i="1"/>
  <c r="M4" i="1"/>
  <c r="J4" i="1"/>
  <c r="I4" i="1"/>
  <c r="D4" i="1"/>
  <c r="F4" i="1"/>
  <c r="E4" i="1"/>
  <c r="A4" i="1"/>
  <c r="AD5" i="1"/>
  <c r="AF5" i="1"/>
  <c r="AI5" i="1"/>
  <c r="AG5" i="1"/>
  <c r="AE5" i="1"/>
  <c r="AC5" i="1"/>
  <c r="V5" i="1"/>
  <c r="T5" i="1"/>
  <c r="Q5" i="1"/>
  <c r="P5" i="1"/>
  <c r="O5" i="1"/>
  <c r="N5" i="1"/>
  <c r="M5" i="1"/>
  <c r="J5" i="1"/>
  <c r="I5" i="1"/>
  <c r="D5" i="1"/>
  <c r="F5" i="1"/>
  <c r="E5" i="1"/>
  <c r="A5" i="1"/>
  <c r="H5" i="2"/>
  <c r="E5" i="2"/>
  <c r="D5" i="2"/>
  <c r="B5" i="2"/>
  <c r="H3" i="2"/>
  <c r="E3" i="2"/>
  <c r="D3" i="2"/>
  <c r="B3" i="2"/>
  <c r="W2" i="7"/>
  <c r="U2" i="7"/>
  <c r="V2" i="1"/>
  <c r="V3" i="1"/>
  <c r="T2" i="1"/>
  <c r="T3" i="1"/>
  <c r="C10" i="16"/>
  <c r="B2" i="21"/>
  <c r="I2" i="21"/>
  <c r="J2" i="21"/>
  <c r="G2" i="21"/>
  <c r="F2" i="21"/>
  <c r="D2" i="21"/>
  <c r="C2" i="21"/>
  <c r="E10" i="16"/>
  <c r="C9" i="16"/>
  <c r="E9" i="16"/>
  <c r="O2" i="9"/>
  <c r="N2" i="9"/>
  <c r="M2" i="9"/>
  <c r="L2" i="9"/>
  <c r="K2" i="9"/>
  <c r="J2" i="9"/>
  <c r="I2" i="9"/>
  <c r="H2" i="9"/>
  <c r="G2" i="9"/>
  <c r="D2" i="9"/>
  <c r="AA2" i="7"/>
  <c r="C4" i="16"/>
  <c r="C5" i="16"/>
  <c r="C6" i="16"/>
  <c r="C7" i="16"/>
  <c r="C8" i="16"/>
  <c r="C3" i="16"/>
  <c r="R2" i="7"/>
  <c r="Q2" i="7"/>
  <c r="P2" i="7"/>
  <c r="O2" i="7"/>
  <c r="N2" i="7"/>
  <c r="AD2" i="1"/>
  <c r="AG2" i="1"/>
  <c r="AF2" i="1"/>
  <c r="AE2" i="1"/>
  <c r="AD3" i="1"/>
  <c r="AG3" i="1"/>
  <c r="AF3" i="1"/>
  <c r="AE3" i="1"/>
  <c r="AC2" i="1"/>
  <c r="AC3" i="1"/>
  <c r="X2" i="1"/>
  <c r="Q2" i="1"/>
  <c r="P2" i="1"/>
  <c r="O2" i="1"/>
  <c r="N2" i="1"/>
  <c r="M2" i="1"/>
  <c r="Q3" i="1"/>
  <c r="P3" i="1"/>
  <c r="O3" i="1"/>
  <c r="N3" i="1"/>
  <c r="M3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3" i="1"/>
  <c r="H2" i="7"/>
  <c r="J2" i="7"/>
  <c r="E8" i="16"/>
  <c r="E7" i="16"/>
  <c r="E6" i="16"/>
  <c r="E5" i="16"/>
  <c r="E4" i="16"/>
  <c r="E3" i="16"/>
  <c r="E2" i="16"/>
  <c r="A2" i="1"/>
  <c r="A3" i="1"/>
  <c r="AI2" i="1"/>
  <c r="A2" i="9"/>
  <c r="J2" i="1"/>
  <c r="I2" i="1"/>
  <c r="D2" i="1"/>
  <c r="F2" i="1"/>
  <c r="E2" i="1"/>
  <c r="A2" i="7"/>
  <c r="I2" i="7"/>
  <c r="D2" i="7"/>
  <c r="F2" i="7"/>
  <c r="E2" i="7"/>
  <c r="J3" i="1"/>
  <c r="I3" i="1"/>
  <c r="D2" i="2"/>
  <c r="E2" i="2"/>
  <c r="H2" i="2"/>
  <c r="D3" i="1"/>
  <c r="E3" i="1"/>
  <c r="F3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sharedStrings.xml><?xml version="1.0" encoding="utf-8"?>
<sst xmlns="http://schemas.openxmlformats.org/spreadsheetml/2006/main" count="469" uniqueCount="287">
  <si>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</si>
  <si>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</si>
  <si>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</si>
  <si>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</si>
  <si>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</si>
  <si>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</si>
  <si>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</si>
  <si>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</si>
  <si>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</si>
  <si>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</si>
  <si>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</si>
  <si>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</si>
  <si>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</si>
  <si>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</si>
  <si>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</si>
  <si>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</si>
  <si>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</si>
  <si>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</si>
  <si>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</si>
  <si>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</si>
  <si>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</si>
  <si>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</si>
  <si>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</si>
  <si>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</si>
  <si>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</si>
  <si>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</si>
  <si>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</si>
  <si>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</si>
  <si>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</si>
  <si>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</si>
  <si>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</si>
  <si>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</si>
  <si>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</si>
  <si>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</si>
  <si>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</si>
  <si>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</si>
  <si>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</si>
  <si>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</si>
  <si>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</si>
  <si>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</si>
  <si>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</si>
  <si>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</si>
  <si>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</si>
  <si>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</si>
  <si>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</si>
  <si>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</si>
  <si>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</si>
  <si>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</si>
  <si>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</si>
  <si>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</si>
  <si>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</si>
  <si>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</si>
  <si>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</si>
  <si>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</si>
  <si>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</si>
  <si>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</si>
  <si>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</si>
  <si>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</si>
  <si>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</si>
  <si>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</si>
  <si>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</si>
  <si>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</si>
  <si>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</si>
  <si>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</si>
  <si>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</si>
  <si>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</si>
  <si>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</si>
  <si>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</si>
  <si>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</si>
  <si>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</si>
  <si>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</si>
  <si>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</si>
  <si>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</si>
  <si>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</si>
  <si>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</si>
  <si>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</si>
  <si>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</si>
  <si>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</si>
  <si>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</si>
  <si>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</si>
  <si>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</si>
  <si>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</si>
  <si>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</si>
  <si>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</si>
  <si>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</si>
  <si>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</si>
  <si>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</si>
  <si>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</si>
  <si>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</si>
  <si>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</si>
  <si>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</si>
  <si>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</si>
  <si>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</si>
  <si>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</si>
  <si>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</si>
  <si>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</si>
  <si>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</si>
  <si>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</si>
  <si>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</si>
  <si>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</si>
  <si>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</si>
  <si>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</si>
  <si>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</si>
  <si>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</si>
  <si>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</si>
  <si>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</si>
  <si>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</si>
  <si>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</si>
  <si>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</si>
  <si>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</si>
  <si>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</si>
  <si>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</si>
  <si>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</si>
  <si>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</si>
  <si>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</si>
  <si>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</si>
  <si>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</si>
  <si>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</si>
  <si>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</si>
  <si>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</si>
  <si>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</si>
  <si>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</si>
  <si>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</si>
  <si>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</si>
  <si>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</si>
  <si>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</si>
  <si>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</si>
  <si>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</si>
  <si>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</si>
  <si>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</si>
  <si>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</si>
  <si>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</si>
  <si>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</si>
  <si>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</si>
  <si>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</si>
  <si>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</si>
  <si>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</si>
  <si>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</si>
  <si>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</si>
  <si>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</si>
  <si>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</si>
  <si>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</si>
  <si>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</si>
  <si>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</si>
  <si>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</si>
  <si>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</si>
  <si>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</si>
  <si>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</si>
  <si>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</si>
  <si>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</si>
  <si>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</si>
  <si>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</si>
  <si>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</si>
  <si>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stage_id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</si>
  <si>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</si>
  <si>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</si>
  <si>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</si>
  <si>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</si>
  <si>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</si>
  <si>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</si>
  <si>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</si>
  <si>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</si>
  <si>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</si>
  <si>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</si>
  <si>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name</t>
    <phoneticPr fontId="5"/>
  </si>
  <si>
    <t>stage_id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</si>
  <si>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</si>
  <si>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</si>
  <si>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</si>
  <si>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</si>
  <si>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</si>
  <si>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</si>
  <si>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</si>
  <si>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</si>
  <si>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</si>
  <si>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</si>
  <si>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</si>
  <si>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</si>
  <si>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</si>
  <si>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</si>
  <si>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t>hp</t>
    <phoneticPr fontId="5"/>
  </si>
  <si>
    <t>attack</t>
    <phoneticPr fontId="5"/>
  </si>
  <si>
    <t>cm1608</t>
    <phoneticPr fontId="5"/>
  </si>
  <si>
    <t>old</t>
    <phoneticPr fontId="5"/>
  </si>
  <si>
    <t>old</t>
    <phoneticPr fontId="5"/>
  </si>
  <si>
    <t>old</t>
    <phoneticPr fontId="5"/>
  </si>
  <si>
    <t>old</t>
    <phoneticPr fontId="5"/>
  </si>
  <si>
    <t>null</t>
    <phoneticPr fontId="5"/>
  </si>
  <si>
    <t>null</t>
    <phoneticPr fontId="5"/>
  </si>
  <si>
    <t>解析結果、出たわ</t>
    <phoneticPr fontId="5"/>
  </si>
  <si>
    <t>ラグランジュは 空を見上げてつぶやいた</t>
    <phoneticPr fontId="5"/>
  </si>
  <si>
    <t>null</t>
    <phoneticPr fontId="5"/>
  </si>
  <si>
    <t>ドキドキ</t>
    <phoneticPr fontId="5"/>
  </si>
  <si>
    <t>メビウスは 星占いの結果を待ちわびている</t>
    <phoneticPr fontId="5"/>
  </si>
  <si>
    <t>[effect:enemy_message, val1:1.8, val2:2.5]</t>
    <phoneticPr fontId="5"/>
  </si>
  <si>
    <t>ここから先は 予測不能よ</t>
    <phoneticPr fontId="5"/>
  </si>
  <si>
    <t>あなたの想い…</t>
    <phoneticPr fontId="5"/>
  </si>
  <si>
    <t>[effect:enemy_message, val1:1.8, val2:2.2][effect:fix_speed, target:myself, turn:2]</t>
    <phoneticPr fontId="5"/>
  </si>
  <si>
    <t>[effect:enemy_message, val1:1.8, val2:2.5][effect:suicide, val:1, dead_type:escape, target:myself]</t>
    <phoneticPr fontId="5"/>
  </si>
  <si>
    <t>相手にちゃんと伝わるわ</t>
    <phoneticPr fontId="5"/>
  </si>
  <si>
    <t>ほんとですか…！</t>
    <phoneticPr fontId="5"/>
  </si>
  <si>
    <t>私…頑張ってみますね</t>
    <phoneticPr fontId="5"/>
  </si>
  <si>
    <t>メビウスは 後ろから声をかけた</t>
    <phoneticPr fontId="5"/>
  </si>
  <si>
    <t>よ、よう、メビウス</t>
    <phoneticPr fontId="5"/>
  </si>
  <si>
    <t>い、いいけど、なんだよ？</t>
    <phoneticPr fontId="5"/>
  </si>
  <si>
    <t>プロメテウスは ドキドキしている</t>
    <phoneticPr fontId="5"/>
  </si>
  <si>
    <t>あ、あんまり近づくと
勘違いするぞ…？</t>
    <phoneticPr fontId="5"/>
  </si>
  <si>
    <t>オ、オセ…
違うんだ！</t>
    <phoneticPr fontId="5"/>
  </si>
  <si>
    <t>勘違いしないでくれー！</t>
    <phoneticPr fontId="5"/>
  </si>
  <si>
    <t>……プロメテウスの……</t>
    <phoneticPr fontId="5"/>
  </si>
  <si>
    <t>おバカー！</t>
    <phoneticPr fontId="5"/>
  </si>
  <si>
    <t>※無言</t>
    <phoneticPr fontId="5"/>
  </si>
  <si>
    <t>はにかみながら つぶやいた</t>
    <phoneticPr fontId="5"/>
  </si>
  <si>
    <t>プロメテウスに近づいてゆく</t>
    <phoneticPr fontId="5"/>
  </si>
  <si>
    <t>プロメテウスは ドキッとした</t>
    <phoneticPr fontId="5"/>
  </si>
  <si>
    <t>心を決めて走っていった</t>
    <phoneticPr fontId="5"/>
  </si>
  <si>
    <t>オセが 割って入ってきた！</t>
    <phoneticPr fontId="5"/>
  </si>
  <si>
    <t>[effect:nothing]</t>
    <phoneticPr fontId="5"/>
  </si>
  <si>
    <t>[effect:fix_speed, target:myself, turn:2]</t>
    <phoneticPr fontId="5"/>
  </si>
  <si>
    <t>[effect:fix_speed, target:myself, turn:1][effect:force_change_block, new_block:block_heart, target:block_all, ignore01:block_heart, count:3, val:0]</t>
    <phoneticPr fontId="5"/>
  </si>
  <si>
    <t>[effect:force_change_block, new_block:block_heart, target:block_all, ignore01:block_heart, count:5, val:0]</t>
    <phoneticPr fontId="5"/>
  </si>
  <si>
    <t>[effect:enemy_message, val1:1.8, val2:2.5][effect:fix_speed, target:myself, turn:1][effect:fix_speed, target:enemy_red, turn:1]</t>
    <phoneticPr fontId="5"/>
  </si>
  <si>
    <t>[effect:enemy_message, val1:0, val2:0][effect:suicide, val:1, dead_type:escape, target:myself]</t>
    <phoneticPr fontId="5"/>
  </si>
  <si>
    <t>どう勘違いするのかしら…？</t>
    <phoneticPr fontId="5"/>
  </si>
  <si>
    <t>[effect:enemy_message, val1:2.8, val2:1.8][effect:suicide, val:1, dead_type:suicide, target:enemy_all, animation:enemy_suicide]</t>
    <phoneticPr fontId="5"/>
  </si>
  <si>
    <t>ラグランジュさん ありがとうございます</t>
    <phoneticPr fontId="5"/>
  </si>
  <si>
    <t>[effect:enemy_message, val1:2.5, val2:2.2][effect:force_change_block, new_block:block_heart, target:block_all, ignore01:block_heart, count:10, val:0][effect:suicide, val:1, dead_type:escape, target:enemy_blue]</t>
    <phoneticPr fontId="5"/>
  </si>
  <si>
    <t>メビウスは アナタを探していたようだ</t>
    <phoneticPr fontId="5"/>
  </si>
  <si>
    <t>星占いで 嬉しい結果が出たんです</t>
    <phoneticPr fontId="5"/>
  </si>
  <si>
    <t>聞いてくれますか…？</t>
    <phoneticPr fontId="5"/>
  </si>
  <si>
    <t>ここに いらっしゃったのですね！</t>
    <phoneticPr fontId="5"/>
  </si>
  <si>
    <t>メビウスは アナタに近づいてきた</t>
    <phoneticPr fontId="5"/>
  </si>
  <si>
    <t>よっ！</t>
    <phoneticPr fontId="5"/>
  </si>
  <si>
    <t>[effect:enemy_message, val1:1.8, val2:2.5][effect:fix_speed, target:myself, turn:1][effect:force_change_block, new_block:block_heart, target:block_all, ignore01:block_heart, count:3, val:0]</t>
    <phoneticPr fontId="5"/>
  </si>
  <si>
    <t>ねぇ、宿題おしえてくんない？</t>
    <phoneticPr fontId="5"/>
  </si>
  <si>
    <t>[effect:enemy_message, val1:1.8, val2:0][effect:suicide, val:1, dead_type:escape, target:myself]</t>
    <phoneticPr fontId="5"/>
  </si>
  <si>
    <t>メビウスが アナタに声をかけてきた</t>
    <phoneticPr fontId="5"/>
  </si>
  <si>
    <t>[effect:fix_speed, target:myself, turn:1][effect:change_panel_ratio, turn:1, block_type:heal, val:0][effect:force_change_block, new_block:time_bomb, target:block_heart, color:block_heart, count:0, val:0.03, min_time_count:1, max_time_count:1]</t>
    <phoneticPr fontId="5"/>
  </si>
  <si>
    <t>…[player_name]さん！</t>
    <phoneticPr fontId="5"/>
  </si>
  <si>
    <t>え…？ あんまり近づくと 勘違いしちゃう…？</t>
    <phoneticPr fontId="5"/>
  </si>
  <si>
    <t>（た、ためてー）</t>
    <phoneticPr fontId="5"/>
  </si>
  <si>
    <t>[effect:enemy_message, val1:1.8, val2:1.8][effect:force_change_block, new_block:block_heart, target:block_all, ignore01:block_heart, count:3, val:0]</t>
    <phoneticPr fontId="5"/>
  </si>
  <si>
    <t>あの…少し いいですか？</t>
    <phoneticPr fontId="5"/>
  </si>
  <si>
    <t>私…お聞きしたいことが</t>
    <phoneticPr fontId="5"/>
  </si>
  <si>
    <t>ラグランジュなりに 応援しているようだ</t>
    <phoneticPr fontId="5"/>
  </si>
  <si>
    <t>[effect:enemy_message, val1:2.5, val2:3][effect:suicide, val:1, dead_type:escape, target:myself]</t>
    <phoneticPr fontId="5"/>
  </si>
  <si>
    <t>[effect:enemy_message, val1:2.2, val2:2]</t>
    <phoneticPr fontId="5"/>
  </si>
  <si>
    <t>メビウスは さらに近づいてきた</t>
    <phoneticPr fontId="5"/>
  </si>
  <si>
    <t>あ、プロメテウスさん</t>
    <phoneticPr fontId="5"/>
  </si>
  <si>
    <t>（オレには オセがいるんだからな！）</t>
    <phoneticPr fontId="5"/>
  </si>
  <si>
    <t>[effect:enemy_message, val1:1.8, val2:2.5]</t>
    <phoneticPr fontId="5"/>
  </si>
  <si>
    <t>[effect:enemy_message, val1:1.8, val2:2.5][effect:fix_speed, target:enemy_all, turn:1]</t>
    <phoneticPr fontId="5"/>
  </si>
  <si>
    <t>あ、Usagiさん</t>
    <phoneticPr fontId="5"/>
  </si>
  <si>
    <t>Usagiさん、ありがとうございます！</t>
    <phoneticPr fontId="5"/>
  </si>
  <si>
    <t>メビウスは お礼もそこそこに駆けていった</t>
    <phoneticPr fontId="5"/>
  </si>
  <si>
    <t>[effect:enemy_message, val1:1.8, val2:2.5][effect:suicide, val:1, dead_type:escape, target:myself]</t>
    <phoneticPr fontId="5"/>
  </si>
  <si>
    <t>私、ある人を 探しているのですが…</t>
    <phoneticPr fontId="5"/>
  </si>
  <si>
    <t>[effect:enemy_message, val1:1.8, val2:0][effect:suicide, val:1, dead_type:escape, target:myself]</t>
    <phoneticPr fontId="5"/>
  </si>
  <si>
    <t>[effect:ability_lock, target:unit_all, turn:-1][effect:hungup, target:unit_all, turn:-1, rate:1][effect:enemy_message, val1:1.8, val2:2.5][effect:fix_speed, target:myself, turn:1][effect:change_panel_ratio, turn:3, block_type:heal, val:0]</t>
    <phoneticPr fontId="5"/>
  </si>
  <si>
    <t>…勘違いじゃないよ。</t>
    <phoneticPr fontId="5"/>
  </si>
  <si>
    <t>…勘違いじゃないよ。</t>
    <phoneticPr fontId="5"/>
  </si>
  <si>
    <t>その人なら すぐそこですよ</t>
    <phoneticPr fontId="5"/>
  </si>
  <si>
    <t>グッドラックです</t>
    <phoneticPr fontId="5"/>
  </si>
  <si>
    <t>UsagiChan はミミをこちらに折り曲げた</t>
    <phoneticPr fontId="5"/>
  </si>
  <si>
    <t>[effect:ability_lock, target:unit_all, turn:-1][effect:hungup, target:unit_all, turn:-1, rate:1][effect:enemy_message, val1:1.8, val2:2][effect:fix_speed, target:myself, turn:1][effect:force_change_block, new_block:block_heart, target:block_all, ignore01:block_heart, count:3, val:0][effect:change_panel_ratio, turn:-1, block_type:heal, val:1][effect:change_panel_ratio, turn:-1, block_type:red, val:0][effect:change_panel_ratio, turn:-1, block_type:blue, val:0][effect:change_panel_ratio, turn:-1, block_type:yellow, val:0][effect:change_panel_ratio, turn:-1, block_type:green, val:0]</t>
    <phoneticPr fontId="5"/>
  </si>
  <si>
    <t>[effect:enemy_message, val1:2.8, val2:1.8][effect:force_change_block, new_block:block_heart, target:block_all, ignore01:block_heart, count:3, val:0][effect:fix_speed, target:myself, turn:1]</t>
    <phoneticPr fontId="5"/>
  </si>
  <si>
    <t>[effect:enemy_message, val1:2, val2:0][effect:suicide, val:1, dead_type:escape, target:myself][effect:force_change_block, new_block:block_heart, target:block_all, count:0, val:0]</t>
    <phoneticPr fontId="5"/>
  </si>
  <si>
    <t>メビウスは アナタを まっすぐ見つめている</t>
    <phoneticPr fontId="5"/>
  </si>
  <si>
    <t>[effect:enemy_message, val1:2, val2:2.5][effect:fix_speed, target:myself, turn:1][effect:suicide, val:0.75, dead_type:escape, target:myself][effect:enemy_message, val1:2.4, val2:0][effect:force_change_block, new_block:crack_bomb, color:block_heart, target:block_heart, count:0, val:0][effect:force_change_block, new_block:block_heart, target:block_all, ignore01:crack_bomb, count:0, val:0][effect:degrade_unit, target:unit_all, turn:1, status:action, val:2, calc:add][effect:change_panel_ratio, turn:-1, block_type:heal, val:0][effect:change_panel_ratio, turn:-1, block_type:red, val:0.25][effect:change_panel_ratio, turn:-1, block_type:blue, val:0.25][effect:change_panel_ratio, turn:-1, block_type:yellow, val:0.25][effect:change_panel_ratio, turn:-1, block_type:green, val:0.25]</t>
    <phoneticPr fontId="5"/>
  </si>
  <si>
    <t>テレビCM第2弾 全国47都道府県で放送中！</t>
    <phoneticPr fontId="5"/>
  </si>
  <si>
    <t>stage_hints_data_</t>
    <phoneticPr fontId="5"/>
  </si>
  <si>
    <t>stage_hints</t>
    <phoneticPr fontId="5"/>
  </si>
  <si>
    <t>…[player_name]さん！</t>
    <phoneticPr fontId="5"/>
  </si>
  <si>
    <t>[effect:enemy_message, val1:2.2, val2:2][effect:force_change_block, new_block:block_heart, target:block_all, ignore01:block_heart, count:3, val:0]</t>
    <phoneticPr fontId="5"/>
  </si>
  <si>
    <t>[effect:fix_speed, target:myself, turn:1][effect:force_change_block, new_block:block_heart, target:block_all, ignore01:block_heart, count:3, val:0]</t>
    <phoneticPr fontId="5"/>
  </si>
  <si>
    <t>[effect:enemy_message, val1:1.8, val2:2.5][effect:fix_speed, target:myself, turn:1][effect:change_panel_ratio, turn:-1, block_type:heal, val:0.2][effect:force_change_block, new_block:block_heart, target:block_all, ignore01:block_heart, count:3, val:0]</t>
    <phoneticPr fontId="5"/>
  </si>
  <si>
    <t>[effect:enemy_message, val1:1.8, val2:2.2][effect:suicide, val:1, dead_type:escape, target:myself]</t>
    <phoneticPr fontId="5"/>
  </si>
  <si>
    <t>燃え尽きなさい</t>
    <phoneticPr fontId="5"/>
  </si>
  <si>
    <t>これが エントロピーの最大</t>
    <phoneticPr fontId="5"/>
  </si>
  <si>
    <t>未知の領域…覚悟はいい？</t>
    <phoneticPr fontId="5"/>
  </si>
  <si>
    <t>[effect:enemy_message, val1:3, val2:2][effect:fix_speed, target:myself, turn:1][effect:force_change_block, new_block:crack_bomb, target:block_heart, color:block_red, count:0, val:0][effect:degrade_unit, target:unit_all, turn:1, status:action, val:2, calc:add][effect:suicide, val:0.8, dead_type:escape, target:myself]</t>
    <phoneticPr fontId="5"/>
  </si>
  <si>
    <t>オセのヤキモチに ご用心！</t>
    <phoneticPr fontId="5"/>
  </si>
  <si>
    <t>負けパターン 見つけちゃいましたね
プロメテウスが ドキドキする分
オセの心に 火がつきます
ハートを消すといいでしょう</t>
    <phoneticPr fontId="5"/>
  </si>
  <si>
    <t>ためて、ためて、一気にブッ快感！</t>
    <phoneticPr fontId="5"/>
  </si>
  <si>
    <t>クラフィのテレビCM第2弾
ご覧いただけましたか？
「期待感篇」と「世界観篇」
2種類のバージョンを ぜひお楽しみ下さい</t>
    <phoneticPr fontId="5"/>
  </si>
  <si>
    <t>クラフィのテレビCM第2弾
その放送を記念した特別クエスト
メビウスのハートをためると
最後にいいコトが あるかもしれません</t>
    <phoneticPr fontId="5"/>
  </si>
  <si>
    <t>まぶしい笑顔を 向けている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</si>
</sst>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9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176" fontId="4" fillId="0" borderId="9" xfId="0" applyNumberFormat="1" applyFont="1" applyFill="1" applyBorder="1" applyAlignment="1">
      <alignment horizontal="center" vertical="center"/>
    </xf>
    <xf numFmtId="0" fontId="16" fillId="32" borderId="7" xfId="0" applyFont="1" applyFill="1" applyBorder="1" applyAlignment="1">
      <alignment horizontal="center"/>
    </xf>
    <xf numFmtId="56" fontId="16" fillId="32" borderId="7" xfId="0" applyNumberFormat="1" applyFont="1" applyFill="1" applyBorder="1" applyAlignment="1">
      <alignment horizontal="center"/>
    </xf>
    <xf numFmtId="38" fontId="16" fillId="0" borderId="7" xfId="628" applyFont="1" applyFill="1" applyBorder="1" applyAlignment="1">
      <alignment wrapText="1"/>
    </xf>
    <xf numFmtId="0" fontId="31" fillId="3" borderId="7" xfId="0" applyFont="1" applyFill="1" applyBorder="1"/>
    <xf numFmtId="0" fontId="31" fillId="0" borderId="7" xfId="0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3.xml"/><Relationship Id="rId12" Type="http://schemas.openxmlformats.org/officeDocument/2006/relationships/externalLink" Target="externalLinks/externalLink4.xml"/><Relationship Id="rId13" Type="http://schemas.openxmlformats.org/officeDocument/2006/relationships/externalLink" Target="externalLinks/externalLink5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11207</v>
          </cell>
        </row>
        <row r="67">
          <cell r="A67">
            <v>11208</v>
          </cell>
        </row>
        <row r="68">
          <cell r="A68">
            <v>11209</v>
          </cell>
        </row>
        <row r="69">
          <cell r="A69">
            <v>11210</v>
          </cell>
        </row>
        <row r="70">
          <cell r="A70">
            <v>11211</v>
          </cell>
        </row>
        <row r="71">
          <cell r="A71">
            <v>11212</v>
          </cell>
        </row>
        <row r="72">
          <cell r="A72">
            <v>11213</v>
          </cell>
        </row>
        <row r="73">
          <cell r="A73">
            <v>11214</v>
          </cell>
        </row>
        <row r="74">
          <cell r="A74">
            <v>11215</v>
          </cell>
        </row>
        <row r="75">
          <cell r="A75">
            <v>11216</v>
          </cell>
        </row>
        <row r="76">
          <cell r="A76">
            <v>11217</v>
          </cell>
        </row>
        <row r="77">
          <cell r="A77">
            <v>11218</v>
          </cell>
        </row>
        <row r="78">
          <cell r="A78">
            <v>11219</v>
          </cell>
        </row>
        <row r="79">
          <cell r="A79">
            <v>11220</v>
          </cell>
        </row>
        <row r="80">
          <cell r="A80">
            <v>11221</v>
          </cell>
        </row>
        <row r="81">
          <cell r="A81">
            <v>11224</v>
          </cell>
        </row>
        <row r="82">
          <cell r="A82">
            <v>11225</v>
          </cell>
        </row>
        <row r="83">
          <cell r="A83">
            <v>11226</v>
          </cell>
        </row>
        <row r="84">
          <cell r="A84">
            <v>11227</v>
          </cell>
        </row>
        <row r="85">
          <cell r="A85">
            <v>12001</v>
          </cell>
        </row>
        <row r="86">
          <cell r="A86">
            <v>12002</v>
          </cell>
        </row>
        <row r="87">
          <cell r="A87">
            <v>12003</v>
          </cell>
        </row>
        <row r="88">
          <cell r="A88">
            <v>12004</v>
          </cell>
        </row>
        <row r="89">
          <cell r="A89">
            <v>13001</v>
          </cell>
        </row>
        <row r="90">
          <cell r="A90">
            <v>13101</v>
          </cell>
        </row>
        <row r="91">
          <cell r="A91">
            <v>14001</v>
          </cell>
        </row>
        <row r="92">
          <cell r="A92">
            <v>14002</v>
          </cell>
        </row>
        <row r="93">
          <cell r="A93">
            <v>14003</v>
          </cell>
        </row>
        <row r="94">
          <cell r="A94">
            <v>14004</v>
          </cell>
        </row>
        <row r="95">
          <cell r="A95">
            <v>14005</v>
          </cell>
        </row>
        <row r="96">
          <cell r="A96">
            <v>14006</v>
          </cell>
        </row>
        <row r="97">
          <cell r="A97">
            <v>15027</v>
          </cell>
        </row>
        <row r="98">
          <cell r="A98">
            <v>15028</v>
          </cell>
        </row>
        <row r="99">
          <cell r="A99">
            <v>15029</v>
          </cell>
        </row>
        <row r="100">
          <cell r="A100">
            <v>15030</v>
          </cell>
        </row>
        <row r="101">
          <cell r="A101">
            <v>15031</v>
          </cell>
        </row>
        <row r="102">
          <cell r="A102">
            <v>20001</v>
          </cell>
        </row>
        <row r="103">
          <cell r="A103">
            <v>20002</v>
          </cell>
        </row>
        <row r="104">
          <cell r="A104">
            <v>20003</v>
          </cell>
        </row>
        <row r="105">
          <cell r="A105">
            <v>20004</v>
          </cell>
        </row>
        <row r="106">
          <cell r="A106">
            <v>20005</v>
          </cell>
        </row>
        <row r="107">
          <cell r="A107">
            <v>20006</v>
          </cell>
        </row>
        <row r="108">
          <cell r="A108">
            <v>20007</v>
          </cell>
        </row>
        <row r="109">
          <cell r="A109">
            <v>20008</v>
          </cell>
        </row>
        <row r="110">
          <cell r="A110">
            <v>20009</v>
          </cell>
        </row>
        <row r="111">
          <cell r="A111">
            <v>20010</v>
          </cell>
        </row>
        <row r="112">
          <cell r="A112">
            <v>20011</v>
          </cell>
        </row>
        <row r="113">
          <cell r="A113">
            <v>20012</v>
          </cell>
        </row>
        <row r="114">
          <cell r="A114">
            <v>20013</v>
          </cell>
        </row>
        <row r="115">
          <cell r="A115">
            <v>20014</v>
          </cell>
        </row>
        <row r="116">
          <cell r="A116">
            <v>20015</v>
          </cell>
        </row>
        <row r="117">
          <cell r="A117">
            <v>20016</v>
          </cell>
        </row>
        <row r="118">
          <cell r="A118">
            <v>20017</v>
          </cell>
        </row>
        <row r="119">
          <cell r="A119">
            <v>20018</v>
          </cell>
        </row>
        <row r="120">
          <cell r="A120">
            <v>20019</v>
          </cell>
        </row>
        <row r="121">
          <cell r="A121">
            <v>20020</v>
          </cell>
        </row>
        <row r="122">
          <cell r="A122">
            <v>30001</v>
          </cell>
        </row>
        <row r="123">
          <cell r="A123">
            <v>30002</v>
          </cell>
        </row>
        <row r="124">
          <cell r="A124">
            <v>30003</v>
          </cell>
        </row>
        <row r="125">
          <cell r="A125">
            <v>30004</v>
          </cell>
        </row>
        <row r="126">
          <cell r="A126">
            <v>30005</v>
          </cell>
        </row>
        <row r="127">
          <cell r="A127">
            <v>30006</v>
          </cell>
        </row>
        <row r="128">
          <cell r="A128">
            <v>30007</v>
          </cell>
        </row>
        <row r="129">
          <cell r="A129">
            <v>30008</v>
          </cell>
        </row>
        <row r="130">
          <cell r="A130">
            <v>30009</v>
          </cell>
        </row>
        <row r="131">
          <cell r="A131">
            <v>30010</v>
          </cell>
        </row>
        <row r="132">
          <cell r="A132">
            <v>30011</v>
          </cell>
        </row>
        <row r="133">
          <cell r="A133">
            <v>30012</v>
          </cell>
        </row>
        <row r="134">
          <cell r="A134">
            <v>30013</v>
          </cell>
        </row>
        <row r="135">
          <cell r="A135">
            <v>30014</v>
          </cell>
        </row>
        <row r="136">
          <cell r="A136">
            <v>30015</v>
          </cell>
        </row>
        <row r="137">
          <cell r="A137">
            <v>30016</v>
          </cell>
        </row>
        <row r="138">
          <cell r="A138">
            <v>30017</v>
          </cell>
        </row>
        <row r="139">
          <cell r="A139">
            <v>30018</v>
          </cell>
        </row>
        <row r="140">
          <cell r="A140">
            <v>30019</v>
          </cell>
        </row>
        <row r="141">
          <cell r="A141">
            <v>30020</v>
          </cell>
        </row>
        <row r="142">
          <cell r="A142">
            <v>30021</v>
          </cell>
        </row>
        <row r="143">
          <cell r="A143">
            <v>30022</v>
          </cell>
        </row>
        <row r="144">
          <cell r="A144">
            <v>30023</v>
          </cell>
        </row>
        <row r="145">
          <cell r="A145">
            <v>30024</v>
          </cell>
        </row>
        <row r="146">
          <cell r="A146">
            <v>30025</v>
          </cell>
        </row>
        <row r="147">
          <cell r="A147">
            <v>30026</v>
          </cell>
        </row>
        <row r="148">
          <cell r="A148">
            <v>30027</v>
          </cell>
        </row>
        <row r="149">
          <cell r="A149">
            <v>30028</v>
          </cell>
        </row>
        <row r="150">
          <cell r="A150">
            <v>30029</v>
          </cell>
        </row>
        <row r="151">
          <cell r="A151">
            <v>30030</v>
          </cell>
        </row>
        <row r="152">
          <cell r="A152">
            <v>30031</v>
          </cell>
        </row>
        <row r="153">
          <cell r="A153">
            <v>30032</v>
          </cell>
        </row>
        <row r="154">
          <cell r="A154">
            <v>30033</v>
          </cell>
        </row>
        <row r="155">
          <cell r="A155">
            <v>30034</v>
          </cell>
        </row>
        <row r="156">
          <cell r="A156">
            <v>30035</v>
          </cell>
        </row>
        <row r="157">
          <cell r="A157">
            <v>30036</v>
          </cell>
        </row>
        <row r="158">
          <cell r="A158">
            <v>30037</v>
          </cell>
        </row>
        <row r="159">
          <cell r="A159">
            <v>30038</v>
          </cell>
        </row>
        <row r="160">
          <cell r="A160">
            <v>30039</v>
          </cell>
        </row>
        <row r="161">
          <cell r="A161">
            <v>30040</v>
          </cell>
        </row>
        <row r="162">
          <cell r="A162">
            <v>39001</v>
          </cell>
        </row>
        <row r="163">
          <cell r="A163">
            <v>39002</v>
          </cell>
        </row>
        <row r="164">
          <cell r="A164">
            <v>39003</v>
          </cell>
        </row>
        <row r="165">
          <cell r="A165">
            <v>39004</v>
          </cell>
        </row>
        <row r="166">
          <cell r="A166">
            <v>39005</v>
          </cell>
        </row>
        <row r="167">
          <cell r="A167">
            <v>39006</v>
          </cell>
        </row>
        <row r="168">
          <cell r="A168">
            <v>39007</v>
          </cell>
        </row>
        <row r="169">
          <cell r="A169">
            <v>40001</v>
          </cell>
        </row>
        <row r="170">
          <cell r="A170">
            <v>40002</v>
          </cell>
        </row>
        <row r="171">
          <cell r="A171">
            <v>40003</v>
          </cell>
        </row>
        <row r="172">
          <cell r="A172">
            <v>40004</v>
          </cell>
        </row>
        <row r="173">
          <cell r="A173">
            <v>40005</v>
          </cell>
        </row>
        <row r="174">
          <cell r="A174">
            <v>40006</v>
          </cell>
        </row>
        <row r="175">
          <cell r="A175">
            <v>40007</v>
          </cell>
        </row>
        <row r="176">
          <cell r="A176">
            <v>40008</v>
          </cell>
        </row>
        <row r="177">
          <cell r="A177">
            <v>40009</v>
          </cell>
        </row>
        <row r="178">
          <cell r="A178">
            <v>40010</v>
          </cell>
        </row>
        <row r="179">
          <cell r="A179">
            <v>40011</v>
          </cell>
        </row>
        <row r="180">
          <cell r="A180">
            <v>40012</v>
          </cell>
        </row>
        <row r="181">
          <cell r="A181">
            <v>40013</v>
          </cell>
        </row>
        <row r="182">
          <cell r="A182">
            <v>40014</v>
          </cell>
        </row>
        <row r="183">
          <cell r="A183">
            <v>40015</v>
          </cell>
        </row>
        <row r="184">
          <cell r="A184">
            <v>40016</v>
          </cell>
        </row>
        <row r="185">
          <cell r="A185">
            <v>40017</v>
          </cell>
        </row>
        <row r="186">
          <cell r="A186">
            <v>40018</v>
          </cell>
        </row>
        <row r="187">
          <cell r="A187">
            <v>40019</v>
          </cell>
        </row>
        <row r="188">
          <cell r="A188">
            <v>40021</v>
          </cell>
        </row>
        <row r="189">
          <cell r="A189">
            <v>40022</v>
          </cell>
        </row>
        <row r="190">
          <cell r="A190">
            <v>40023</v>
          </cell>
        </row>
        <row r="191">
          <cell r="A191">
            <v>40024</v>
          </cell>
        </row>
        <row r="192">
          <cell r="A192">
            <v>40025</v>
          </cell>
        </row>
        <row r="193">
          <cell r="A193">
            <v>48001</v>
          </cell>
        </row>
        <row r="194">
          <cell r="A194">
            <v>48002</v>
          </cell>
        </row>
        <row r="195">
          <cell r="A195">
            <v>48003</v>
          </cell>
        </row>
        <row r="196">
          <cell r="A196">
            <v>48004</v>
          </cell>
        </row>
        <row r="197">
          <cell r="A197">
            <v>48005</v>
          </cell>
        </row>
        <row r="198">
          <cell r="A198">
            <v>48006</v>
          </cell>
        </row>
        <row r="199">
          <cell r="A199">
            <v>41001</v>
          </cell>
        </row>
        <row r="200">
          <cell r="A200">
            <v>41002</v>
          </cell>
        </row>
        <row r="201">
          <cell r="A201">
            <v>41003</v>
          </cell>
        </row>
        <row r="202">
          <cell r="A202">
            <v>41004</v>
          </cell>
        </row>
        <row r="203">
          <cell r="A203">
            <v>41005</v>
          </cell>
        </row>
        <row r="204">
          <cell r="A204">
            <v>41006</v>
          </cell>
        </row>
        <row r="205">
          <cell r="A205">
            <v>41007</v>
          </cell>
        </row>
        <row r="206">
          <cell r="A206">
            <v>41008</v>
          </cell>
        </row>
        <row r="207">
          <cell r="A207">
            <v>41009</v>
          </cell>
        </row>
        <row r="208">
          <cell r="A208">
            <v>41010</v>
          </cell>
        </row>
        <row r="209">
          <cell r="A209">
            <v>41011</v>
          </cell>
        </row>
        <row r="210">
          <cell r="A210">
            <v>41012</v>
          </cell>
        </row>
        <row r="211">
          <cell r="A211">
            <v>41013</v>
          </cell>
        </row>
        <row r="212">
          <cell r="A212">
            <v>41014</v>
          </cell>
        </row>
        <row r="213">
          <cell r="A213">
            <v>41015</v>
          </cell>
        </row>
        <row r="214">
          <cell r="A214">
            <v>47001</v>
          </cell>
        </row>
        <row r="215">
          <cell r="A215">
            <v>47002</v>
          </cell>
        </row>
        <row r="216">
          <cell r="A216">
            <v>49001</v>
          </cell>
        </row>
        <row r="217">
          <cell r="A217">
            <v>49002</v>
          </cell>
        </row>
        <row r="218">
          <cell r="A218">
            <v>49003</v>
          </cell>
        </row>
        <row r="219">
          <cell r="A219">
            <v>49004</v>
          </cell>
        </row>
        <row r="220">
          <cell r="A220">
            <v>49005</v>
          </cell>
        </row>
        <row r="221">
          <cell r="A221">
            <v>49006</v>
          </cell>
        </row>
        <row r="222">
          <cell r="A222">
            <v>49007</v>
          </cell>
        </row>
        <row r="223">
          <cell r="A223">
            <v>50001</v>
          </cell>
        </row>
        <row r="224">
          <cell r="A224">
            <v>50002</v>
          </cell>
        </row>
        <row r="225">
          <cell r="A225">
            <v>50003</v>
          </cell>
        </row>
        <row r="226">
          <cell r="A226">
            <v>50004</v>
          </cell>
        </row>
        <row r="227">
          <cell r="A227">
            <v>50005</v>
          </cell>
        </row>
        <row r="228">
          <cell r="A228">
            <v>50006</v>
          </cell>
        </row>
        <row r="229">
          <cell r="A229">
            <v>50007</v>
          </cell>
        </row>
        <row r="230">
          <cell r="A230">
            <v>51001</v>
          </cell>
        </row>
        <row r="231">
          <cell r="A231">
            <v>51002</v>
          </cell>
        </row>
        <row r="232">
          <cell r="A232">
            <v>60001</v>
          </cell>
        </row>
        <row r="233">
          <cell r="A233">
            <v>60002</v>
          </cell>
        </row>
        <row r="234">
          <cell r="A234">
            <v>60003</v>
          </cell>
        </row>
        <row r="235">
          <cell r="A235">
            <v>60004</v>
          </cell>
        </row>
        <row r="236">
          <cell r="A236">
            <v>60005</v>
          </cell>
        </row>
        <row r="237">
          <cell r="A237">
            <v>60006</v>
          </cell>
        </row>
        <row r="238">
          <cell r="A238">
            <v>60007</v>
          </cell>
        </row>
        <row r="239">
          <cell r="A239">
            <v>60010</v>
          </cell>
        </row>
        <row r="240">
          <cell r="A240">
            <v>60011</v>
          </cell>
        </row>
        <row r="241">
          <cell r="A241">
            <v>61011</v>
          </cell>
        </row>
        <row r="242">
          <cell r="A242">
            <v>60012</v>
          </cell>
        </row>
        <row r="243">
          <cell r="A243">
            <v>60013</v>
          </cell>
        </row>
        <row r="244">
          <cell r="A244">
            <v>60014</v>
          </cell>
        </row>
        <row r="245">
          <cell r="A245">
            <v>65533</v>
          </cell>
        </row>
        <row r="246">
          <cell r="A246">
            <v>65534</v>
          </cell>
        </row>
        <row r="247">
          <cell r="A247">
            <v>65535</v>
          </cell>
        </row>
        <row r="248">
          <cell r="A248">
            <v>60021</v>
          </cell>
        </row>
        <row r="249">
          <cell r="A249">
            <v>60022</v>
          </cell>
        </row>
        <row r="250">
          <cell r="A250">
            <v>60023</v>
          </cell>
        </row>
        <row r="251">
          <cell r="A25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11017_1</v>
          </cell>
        </row>
        <row r="265">
          <cell r="A265" t="str">
            <v>11207_1</v>
          </cell>
        </row>
        <row r="266">
          <cell r="A266" t="str">
            <v>11207_2</v>
          </cell>
        </row>
        <row r="267">
          <cell r="A267" t="str">
            <v>11208_1</v>
          </cell>
        </row>
        <row r="268">
          <cell r="A268" t="str">
            <v>11208_2</v>
          </cell>
        </row>
        <row r="269">
          <cell r="A269" t="str">
            <v>11209_1</v>
          </cell>
        </row>
        <row r="270">
          <cell r="A270" t="str">
            <v>11209_2</v>
          </cell>
        </row>
        <row r="271">
          <cell r="A271" t="str">
            <v>11212_1</v>
          </cell>
        </row>
        <row r="272">
          <cell r="A272" t="str">
            <v>11213_1</v>
          </cell>
        </row>
        <row r="273">
          <cell r="A273" t="str">
            <v>11214_1</v>
          </cell>
        </row>
        <row r="274">
          <cell r="A274" t="str">
            <v>11214_2</v>
          </cell>
        </row>
        <row r="275">
          <cell r="A275" t="str">
            <v>11214_3</v>
          </cell>
        </row>
        <row r="276">
          <cell r="A276" t="str">
            <v>11215_1</v>
          </cell>
        </row>
        <row r="277">
          <cell r="A277" t="str">
            <v>11216_1</v>
          </cell>
        </row>
        <row r="278">
          <cell r="A278" t="str">
            <v>11217_1</v>
          </cell>
        </row>
        <row r="279">
          <cell r="A279" t="str">
            <v>11218_1</v>
          </cell>
        </row>
        <row r="280">
          <cell r="A280" t="str">
            <v>11219_1</v>
          </cell>
        </row>
        <row r="281">
          <cell r="A281" t="str">
            <v>11220_1</v>
          </cell>
        </row>
        <row r="282">
          <cell r="A282" t="str">
            <v>11221_1</v>
          </cell>
        </row>
        <row r="283">
          <cell r="A283" t="str">
            <v>11224_1</v>
          </cell>
        </row>
        <row r="284">
          <cell r="A284" t="str">
            <v>11225_1</v>
          </cell>
        </row>
        <row r="285">
          <cell r="A285" t="str">
            <v>11226_1</v>
          </cell>
        </row>
        <row r="286">
          <cell r="A286" t="str">
            <v>11226_2</v>
          </cell>
        </row>
        <row r="287">
          <cell r="A287" t="str">
            <v>11226_3</v>
          </cell>
        </row>
        <row r="288">
          <cell r="A288" t="str">
            <v>11226_4</v>
          </cell>
        </row>
        <row r="289">
          <cell r="A289" t="str">
            <v>11226_5</v>
          </cell>
        </row>
        <row r="290">
          <cell r="A290" t="str">
            <v>11226_6</v>
          </cell>
        </row>
        <row r="291">
          <cell r="A291" t="str">
            <v>11226_7</v>
          </cell>
        </row>
        <row r="292">
          <cell r="A292" t="str">
            <v>11226_8</v>
          </cell>
        </row>
        <row r="293">
          <cell r="A293" t="str">
            <v>11227_1</v>
          </cell>
        </row>
        <row r="294">
          <cell r="A294" t="str">
            <v>11227_2</v>
          </cell>
        </row>
        <row r="295">
          <cell r="A295" t="str">
            <v>12001_1</v>
          </cell>
        </row>
        <row r="296">
          <cell r="A296" t="str">
            <v>12001_2</v>
          </cell>
        </row>
        <row r="297">
          <cell r="A297" t="str">
            <v>12001_3</v>
          </cell>
        </row>
        <row r="298">
          <cell r="A298" t="str">
            <v>12002_1</v>
          </cell>
        </row>
        <row r="299">
          <cell r="A299" t="str">
            <v>12002_2</v>
          </cell>
        </row>
        <row r="300">
          <cell r="A300" t="str">
            <v>12003_1</v>
          </cell>
        </row>
        <row r="301">
          <cell r="A301" t="str">
            <v>12003_2</v>
          </cell>
        </row>
        <row r="302">
          <cell r="A302" t="str">
            <v>12003_3</v>
          </cell>
        </row>
        <row r="303">
          <cell r="A303" t="str">
            <v>12003_4</v>
          </cell>
        </row>
        <row r="304">
          <cell r="A304" t="str">
            <v>12004_1</v>
          </cell>
        </row>
        <row r="305">
          <cell r="A305" t="str">
            <v>13001_1</v>
          </cell>
        </row>
        <row r="306">
          <cell r="A306" t="str">
            <v>13001_2</v>
          </cell>
        </row>
        <row r="307">
          <cell r="A307" t="str">
            <v>13001_3</v>
          </cell>
        </row>
        <row r="308">
          <cell r="A308" t="str">
            <v>13001_4</v>
          </cell>
        </row>
        <row r="309">
          <cell r="A309" t="str">
            <v>13001_5</v>
          </cell>
        </row>
        <row r="310">
          <cell r="A310" t="str">
            <v>13001_6</v>
          </cell>
        </row>
        <row r="311">
          <cell r="A311" t="str">
            <v>13001_7</v>
          </cell>
        </row>
        <row r="312">
          <cell r="A312" t="str">
            <v>13001_8</v>
          </cell>
        </row>
        <row r="313">
          <cell r="A313" t="str">
            <v>13001_9</v>
          </cell>
        </row>
        <row r="314">
          <cell r="A314" t="str">
            <v>13001_10</v>
          </cell>
        </row>
        <row r="315">
          <cell r="A315" t="str">
            <v>13001_11</v>
          </cell>
        </row>
        <row r="316">
          <cell r="A316" t="str">
            <v>13001_12</v>
          </cell>
        </row>
        <row r="317">
          <cell r="A317" t="str">
            <v>13001_13</v>
          </cell>
        </row>
        <row r="318">
          <cell r="A318" t="str">
            <v>13001_14</v>
          </cell>
        </row>
        <row r="319">
          <cell r="A319" t="str">
            <v>13001_15</v>
          </cell>
        </row>
        <row r="320">
          <cell r="A320" t="str">
            <v>13001_16</v>
          </cell>
        </row>
        <row r="321">
          <cell r="A321" t="str">
            <v>13001_17</v>
          </cell>
        </row>
        <row r="322">
          <cell r="A322" t="str">
            <v>13001_18</v>
          </cell>
        </row>
        <row r="323">
          <cell r="A323" t="str">
            <v>13001_19</v>
          </cell>
        </row>
        <row r="324">
          <cell r="A324" t="str">
            <v>13001_20</v>
          </cell>
        </row>
        <row r="325">
          <cell r="A325" t="str">
            <v>13001_21</v>
          </cell>
        </row>
        <row r="326">
          <cell r="A326" t="str">
            <v>13001_22</v>
          </cell>
        </row>
        <row r="327">
          <cell r="A327" t="str">
            <v>13001_23</v>
          </cell>
        </row>
        <row r="328">
          <cell r="A328" t="str">
            <v>13001_24</v>
          </cell>
        </row>
        <row r="329">
          <cell r="A329" t="str">
            <v>13001_25</v>
          </cell>
        </row>
        <row r="330">
          <cell r="A330" t="str">
            <v>13101_1</v>
          </cell>
        </row>
        <row r="331">
          <cell r="A331" t="str">
            <v>13101_2</v>
          </cell>
        </row>
        <row r="332">
          <cell r="A332" t="str">
            <v>13101_3</v>
          </cell>
        </row>
        <row r="333">
          <cell r="A333" t="str">
            <v>13101_4</v>
          </cell>
        </row>
        <row r="334">
          <cell r="A334" t="str">
            <v>13101_5</v>
          </cell>
        </row>
        <row r="335">
          <cell r="A335" t="str">
            <v>13101_6</v>
          </cell>
        </row>
        <row r="336">
          <cell r="A336" t="str">
            <v>13101_7</v>
          </cell>
        </row>
        <row r="337">
          <cell r="A337" t="str">
            <v>13101_8</v>
          </cell>
        </row>
        <row r="338">
          <cell r="A338" t="str">
            <v>13101_9</v>
          </cell>
        </row>
        <row r="339">
          <cell r="A339" t="str">
            <v>13101_10</v>
          </cell>
        </row>
        <row r="340">
          <cell r="A340" t="str">
            <v>13101_11</v>
          </cell>
        </row>
        <row r="341">
          <cell r="A341" t="str">
            <v>13101_12</v>
          </cell>
        </row>
        <row r="342">
          <cell r="A342" t="str">
            <v>13101_13</v>
          </cell>
        </row>
        <row r="343">
          <cell r="A343" t="str">
            <v>13101_14</v>
          </cell>
        </row>
        <row r="344">
          <cell r="A344" t="str">
            <v>13101_15</v>
          </cell>
        </row>
        <row r="345">
          <cell r="A345" t="str">
            <v>13101_16</v>
          </cell>
        </row>
        <row r="346">
          <cell r="A346" t="str">
            <v>13101_17</v>
          </cell>
        </row>
        <row r="347">
          <cell r="A347" t="str">
            <v>13101_18</v>
          </cell>
        </row>
        <row r="348">
          <cell r="A348" t="str">
            <v>13101_19</v>
          </cell>
        </row>
        <row r="349">
          <cell r="A349" t="str">
            <v>13101_20</v>
          </cell>
        </row>
        <row r="350">
          <cell r="A350" t="str">
            <v>13101_21</v>
          </cell>
        </row>
        <row r="351">
          <cell r="A351" t="str">
            <v>13101_22</v>
          </cell>
        </row>
        <row r="352">
          <cell r="A352" t="str">
            <v>13101_23</v>
          </cell>
        </row>
        <row r="353">
          <cell r="A353" t="str">
            <v>13101_24</v>
          </cell>
        </row>
        <row r="354">
          <cell r="A354" t="str">
            <v>13101_25</v>
          </cell>
        </row>
        <row r="355">
          <cell r="A355" t="str">
            <v>14001_1</v>
          </cell>
        </row>
        <row r="356">
          <cell r="A356" t="str">
            <v>14001_2</v>
          </cell>
        </row>
        <row r="357">
          <cell r="A357" t="str">
            <v>14001_3</v>
          </cell>
        </row>
        <row r="358">
          <cell r="A358" t="str">
            <v>14001_4</v>
          </cell>
        </row>
        <row r="359">
          <cell r="A359" t="str">
            <v>14001_5</v>
          </cell>
        </row>
        <row r="360">
          <cell r="A360" t="str">
            <v>14001_6</v>
          </cell>
        </row>
        <row r="361">
          <cell r="A361" t="str">
            <v>14001_7</v>
          </cell>
        </row>
        <row r="362">
          <cell r="A362" t="str">
            <v>14001_8</v>
          </cell>
        </row>
        <row r="363">
          <cell r="A363" t="str">
            <v>14002_1</v>
          </cell>
        </row>
        <row r="364">
          <cell r="A364" t="str">
            <v>14002_2</v>
          </cell>
        </row>
        <row r="365">
          <cell r="A365" t="str">
            <v>14003_1</v>
          </cell>
        </row>
        <row r="366">
          <cell r="A366" t="str">
            <v>14003_2</v>
          </cell>
        </row>
        <row r="367">
          <cell r="A367" t="str">
            <v>14003_3</v>
          </cell>
        </row>
        <row r="368">
          <cell r="A368" t="str">
            <v>14003_4</v>
          </cell>
        </row>
        <row r="369">
          <cell r="A369" t="str">
            <v>14004_1</v>
          </cell>
        </row>
        <row r="370">
          <cell r="A370" t="str">
            <v>14004_2</v>
          </cell>
        </row>
        <row r="371">
          <cell r="A371" t="str">
            <v>14004_3</v>
          </cell>
        </row>
        <row r="372">
          <cell r="A372" t="str">
            <v>14004_4</v>
          </cell>
        </row>
        <row r="373">
          <cell r="A373" t="str">
            <v>14005_1</v>
          </cell>
        </row>
        <row r="374">
          <cell r="A374" t="str">
            <v>14006_1</v>
          </cell>
        </row>
        <row r="375">
          <cell r="A375" t="str">
            <v>15027_1</v>
          </cell>
        </row>
        <row r="376">
          <cell r="A376" t="str">
            <v>15027_2</v>
          </cell>
        </row>
        <row r="377">
          <cell r="A377" t="str">
            <v>15027_3</v>
          </cell>
        </row>
        <row r="378">
          <cell r="A378" t="str">
            <v>15027_4</v>
          </cell>
        </row>
        <row r="379">
          <cell r="A379" t="str">
            <v>15028_1</v>
          </cell>
        </row>
        <row r="380">
          <cell r="A380" t="str">
            <v>15028_2</v>
          </cell>
        </row>
        <row r="381">
          <cell r="A381" t="str">
            <v>15028_3</v>
          </cell>
        </row>
        <row r="382">
          <cell r="A382" t="str">
            <v>15028_4</v>
          </cell>
        </row>
        <row r="383">
          <cell r="A383" t="str">
            <v>15029_1</v>
          </cell>
        </row>
        <row r="384">
          <cell r="A384" t="str">
            <v>15029_2</v>
          </cell>
        </row>
        <row r="385">
          <cell r="A385" t="str">
            <v>15029_3</v>
          </cell>
        </row>
        <row r="386">
          <cell r="A386" t="str">
            <v>15029_4</v>
          </cell>
        </row>
        <row r="387">
          <cell r="A387" t="str">
            <v>15030_1</v>
          </cell>
        </row>
        <row r="388">
          <cell r="A388" t="str">
            <v>15030_2</v>
          </cell>
        </row>
        <row r="389">
          <cell r="A389" t="str">
            <v>15030_3</v>
          </cell>
        </row>
        <row r="390">
          <cell r="A390" t="str">
            <v>15030_4</v>
          </cell>
        </row>
        <row r="391">
          <cell r="A391" t="str">
            <v>15031_1</v>
          </cell>
        </row>
        <row r="392">
          <cell r="A392" t="str">
            <v>15031_2</v>
          </cell>
        </row>
        <row r="393">
          <cell r="A393" t="str">
            <v>15031_3</v>
          </cell>
        </row>
        <row r="394">
          <cell r="A394" t="str">
            <v>15031_4</v>
          </cell>
        </row>
        <row r="395">
          <cell r="A395" t="str">
            <v>20001_1</v>
          </cell>
        </row>
        <row r="396">
          <cell r="A396" t="str">
            <v>20001_2</v>
          </cell>
        </row>
        <row r="397">
          <cell r="A397" t="str">
            <v>20001_3</v>
          </cell>
        </row>
        <row r="398">
          <cell r="A398" t="str">
            <v>20002_1</v>
          </cell>
        </row>
        <row r="399">
          <cell r="A399" t="str">
            <v>20002_2</v>
          </cell>
        </row>
        <row r="400">
          <cell r="A400" t="str">
            <v>20002_3</v>
          </cell>
        </row>
        <row r="401">
          <cell r="A401" t="str">
            <v>20003_1</v>
          </cell>
        </row>
        <row r="402">
          <cell r="A402" t="str">
            <v>20003_2</v>
          </cell>
        </row>
        <row r="403">
          <cell r="A403" t="str">
            <v>20003_3</v>
          </cell>
        </row>
        <row r="404">
          <cell r="A404" t="str">
            <v>20004_1</v>
          </cell>
        </row>
        <row r="405">
          <cell r="A405" t="str">
            <v>20004_2</v>
          </cell>
        </row>
        <row r="406">
          <cell r="A406" t="str">
            <v>20004_3</v>
          </cell>
        </row>
        <row r="407">
          <cell r="A407" t="str">
            <v>20005_1</v>
          </cell>
        </row>
        <row r="408">
          <cell r="A408" t="str">
            <v>20005_2</v>
          </cell>
        </row>
        <row r="409">
          <cell r="A409" t="str">
            <v>20005_3</v>
          </cell>
        </row>
        <row r="410">
          <cell r="A410" t="str">
            <v>20006_1</v>
          </cell>
        </row>
        <row r="411">
          <cell r="A411" t="str">
            <v>20006_2</v>
          </cell>
        </row>
        <row r="412">
          <cell r="A412" t="str">
            <v>20006_3</v>
          </cell>
        </row>
        <row r="413">
          <cell r="A413" t="str">
            <v>20007_1</v>
          </cell>
        </row>
        <row r="414">
          <cell r="A414" t="str">
            <v>20007_2</v>
          </cell>
        </row>
        <row r="415">
          <cell r="A415" t="str">
            <v>20007_3</v>
          </cell>
        </row>
        <row r="416">
          <cell r="A416" t="str">
            <v>20008_1</v>
          </cell>
        </row>
        <row r="417">
          <cell r="A417" t="str">
            <v>20008_2</v>
          </cell>
        </row>
        <row r="418">
          <cell r="A418" t="str">
            <v>20008_3</v>
          </cell>
        </row>
        <row r="419">
          <cell r="A419" t="str">
            <v>20009_1</v>
          </cell>
        </row>
        <row r="420">
          <cell r="A420" t="str">
            <v>20009_2</v>
          </cell>
        </row>
        <row r="421">
          <cell r="A421" t="str">
            <v>20009_3</v>
          </cell>
        </row>
        <row r="422">
          <cell r="A422" t="str">
            <v>20010_1</v>
          </cell>
        </row>
        <row r="423">
          <cell r="A423" t="str">
            <v>20010_2</v>
          </cell>
        </row>
        <row r="424">
          <cell r="A424" t="str">
            <v>20010_3</v>
          </cell>
        </row>
        <row r="425">
          <cell r="A425" t="str">
            <v>20011_1</v>
          </cell>
        </row>
        <row r="426">
          <cell r="A426" t="str">
            <v>20011_2</v>
          </cell>
        </row>
        <row r="427">
          <cell r="A427" t="str">
            <v>20011_3</v>
          </cell>
        </row>
        <row r="428">
          <cell r="A428" t="str">
            <v>20012_1</v>
          </cell>
        </row>
        <row r="429">
          <cell r="A429" t="str">
            <v>20012_2</v>
          </cell>
        </row>
        <row r="430">
          <cell r="A430" t="str">
            <v>20012_3</v>
          </cell>
        </row>
        <row r="431">
          <cell r="A431" t="str">
            <v>20013_1</v>
          </cell>
        </row>
        <row r="432">
          <cell r="A432" t="str">
            <v>20013_2</v>
          </cell>
        </row>
        <row r="433">
          <cell r="A433" t="str">
            <v>20013_3</v>
          </cell>
        </row>
        <row r="434">
          <cell r="A434" t="str">
            <v>20014_1</v>
          </cell>
        </row>
        <row r="435">
          <cell r="A435" t="str">
            <v>20014_2</v>
          </cell>
        </row>
        <row r="436">
          <cell r="A436" t="str">
            <v>20014_3</v>
          </cell>
        </row>
        <row r="437">
          <cell r="A437" t="str">
            <v>20015_1</v>
          </cell>
        </row>
        <row r="438">
          <cell r="A438" t="str">
            <v>20015_2</v>
          </cell>
        </row>
        <row r="439">
          <cell r="A439" t="str">
            <v>20015_3</v>
          </cell>
        </row>
        <row r="440">
          <cell r="A440" t="str">
            <v>20016_1</v>
          </cell>
        </row>
        <row r="441">
          <cell r="A441" t="str">
            <v>20016_2</v>
          </cell>
        </row>
        <row r="442">
          <cell r="A442" t="str">
            <v>20016_3</v>
          </cell>
        </row>
        <row r="443">
          <cell r="A443" t="str">
            <v>20017_1</v>
          </cell>
        </row>
        <row r="444">
          <cell r="A444" t="str">
            <v>20017_2</v>
          </cell>
        </row>
        <row r="445">
          <cell r="A445" t="str">
            <v>20017_3</v>
          </cell>
        </row>
        <row r="446">
          <cell r="A446" t="str">
            <v>20018_1</v>
          </cell>
        </row>
        <row r="447">
          <cell r="A447" t="str">
            <v>20018_2</v>
          </cell>
        </row>
        <row r="448">
          <cell r="A448" t="str">
            <v>20018_3</v>
          </cell>
        </row>
        <row r="449">
          <cell r="A449" t="str">
            <v>20019_1</v>
          </cell>
        </row>
        <row r="450">
          <cell r="A450" t="str">
            <v>20019_2</v>
          </cell>
        </row>
        <row r="451">
          <cell r="A451" t="str">
            <v>20019_3</v>
          </cell>
        </row>
        <row r="452">
          <cell r="A452" t="str">
            <v>20020_1</v>
          </cell>
        </row>
        <row r="453">
          <cell r="A453" t="str">
            <v>20020_2</v>
          </cell>
        </row>
        <row r="454">
          <cell r="A454" t="str">
            <v>20020_3</v>
          </cell>
        </row>
        <row r="455">
          <cell r="A455" t="str">
            <v>30001_1</v>
          </cell>
        </row>
        <row r="456">
          <cell r="A456" t="str">
            <v>30001_2</v>
          </cell>
        </row>
        <row r="457">
          <cell r="A457" t="str">
            <v>30001_3</v>
          </cell>
        </row>
        <row r="458">
          <cell r="A458" t="str">
            <v>30002_1</v>
          </cell>
        </row>
        <row r="459">
          <cell r="A459" t="str">
            <v>30002_2</v>
          </cell>
        </row>
        <row r="460">
          <cell r="A460" t="str">
            <v>30002_3</v>
          </cell>
        </row>
        <row r="461">
          <cell r="A461" t="str">
            <v>30003_1</v>
          </cell>
        </row>
        <row r="462">
          <cell r="A462" t="str">
            <v>30003_2</v>
          </cell>
        </row>
        <row r="463">
          <cell r="A463" t="str">
            <v>30003_3</v>
          </cell>
        </row>
        <row r="464">
          <cell r="A464" t="str">
            <v>30004_1</v>
          </cell>
        </row>
        <row r="465">
          <cell r="A465" t="str">
            <v>30004_2</v>
          </cell>
        </row>
        <row r="466">
          <cell r="A466" t="str">
            <v>30004_3</v>
          </cell>
        </row>
        <row r="467">
          <cell r="A467" t="str">
            <v>30005_1</v>
          </cell>
        </row>
        <row r="468">
          <cell r="A468" t="str">
            <v>30005_2</v>
          </cell>
        </row>
        <row r="469">
          <cell r="A469" t="str">
            <v>30005_3</v>
          </cell>
        </row>
        <row r="470">
          <cell r="A470" t="str">
            <v>30006_1</v>
          </cell>
        </row>
        <row r="471">
          <cell r="A471" t="str">
            <v>30006_2</v>
          </cell>
        </row>
        <row r="472">
          <cell r="A472" t="str">
            <v>30006_3</v>
          </cell>
        </row>
        <row r="473">
          <cell r="A473" t="str">
            <v>30007_1</v>
          </cell>
        </row>
        <row r="474">
          <cell r="A474" t="str">
            <v>30007_2</v>
          </cell>
        </row>
        <row r="475">
          <cell r="A475" t="str">
            <v>30007_3</v>
          </cell>
        </row>
        <row r="476">
          <cell r="A476" t="str">
            <v>30008_1</v>
          </cell>
        </row>
        <row r="477">
          <cell r="A477" t="str">
            <v>30008_2</v>
          </cell>
        </row>
        <row r="478">
          <cell r="A478" t="str">
            <v>30008_3</v>
          </cell>
        </row>
        <row r="479">
          <cell r="A479" t="str">
            <v>30009_3</v>
          </cell>
        </row>
        <row r="480">
          <cell r="A480" t="str">
            <v>30009_1</v>
          </cell>
        </row>
        <row r="481">
          <cell r="A481" t="str">
            <v>30009_2</v>
          </cell>
        </row>
        <row r="482">
          <cell r="A482" t="str">
            <v>30010_1</v>
          </cell>
        </row>
        <row r="483">
          <cell r="A483" t="str">
            <v>30010_2</v>
          </cell>
        </row>
        <row r="484">
          <cell r="A484" t="str">
            <v>30010_3</v>
          </cell>
        </row>
        <row r="485">
          <cell r="A485" t="str">
            <v>30011_1</v>
          </cell>
        </row>
        <row r="486">
          <cell r="A486" t="str">
            <v>30011_2</v>
          </cell>
        </row>
        <row r="487">
          <cell r="A487" t="str">
            <v>30011_3</v>
          </cell>
        </row>
        <row r="488">
          <cell r="A488" t="str">
            <v>30012_1</v>
          </cell>
        </row>
        <row r="489">
          <cell r="A489" t="str">
            <v>30012_2</v>
          </cell>
        </row>
        <row r="490">
          <cell r="A490" t="str">
            <v>30012_3</v>
          </cell>
        </row>
        <row r="491">
          <cell r="A491" t="str">
            <v>30013_1</v>
          </cell>
        </row>
        <row r="492">
          <cell r="A492" t="str">
            <v>30013_2</v>
          </cell>
        </row>
        <row r="493">
          <cell r="A493" t="str">
            <v>30014_1</v>
          </cell>
        </row>
        <row r="494">
          <cell r="A494" t="str">
            <v>30014_2</v>
          </cell>
        </row>
        <row r="495">
          <cell r="A495" t="str">
            <v>30015_1</v>
          </cell>
        </row>
        <row r="496">
          <cell r="A496" t="str">
            <v>30015_2</v>
          </cell>
        </row>
        <row r="497">
          <cell r="A497" t="str">
            <v>30016_1</v>
          </cell>
        </row>
        <row r="498">
          <cell r="A498" t="str">
            <v>30016_2</v>
          </cell>
        </row>
        <row r="499">
          <cell r="A499" t="str">
            <v>30017_1</v>
          </cell>
        </row>
        <row r="500">
          <cell r="A500" t="str">
            <v>30017_2</v>
          </cell>
        </row>
        <row r="501">
          <cell r="A501" t="str">
            <v>30018_1</v>
          </cell>
        </row>
        <row r="502">
          <cell r="A502" t="str">
            <v>30018_2</v>
          </cell>
        </row>
        <row r="503">
          <cell r="A503" t="str">
            <v>30019_1</v>
          </cell>
        </row>
        <row r="504">
          <cell r="A504" t="str">
            <v>30019_2</v>
          </cell>
        </row>
        <row r="505">
          <cell r="A505" t="str">
            <v>30020_1</v>
          </cell>
        </row>
        <row r="506">
          <cell r="A506" t="str">
            <v>30020_2</v>
          </cell>
        </row>
        <row r="507">
          <cell r="A507" t="str">
            <v>30021_1</v>
          </cell>
        </row>
        <row r="508">
          <cell r="A508" t="str">
            <v>30021_2</v>
          </cell>
        </row>
        <row r="509">
          <cell r="A509" t="str">
            <v>30021_3</v>
          </cell>
        </row>
        <row r="510">
          <cell r="A510" t="str">
            <v>30022_1</v>
          </cell>
        </row>
        <row r="511">
          <cell r="A511" t="str">
            <v>30022_2</v>
          </cell>
        </row>
        <row r="512">
          <cell r="A512" t="str">
            <v>30023_1</v>
          </cell>
        </row>
        <row r="513">
          <cell r="A513" t="str">
            <v>30023_2</v>
          </cell>
        </row>
        <row r="514">
          <cell r="A514" t="str">
            <v>30023_3</v>
          </cell>
        </row>
        <row r="515">
          <cell r="A515" t="str">
            <v>30024_1</v>
          </cell>
        </row>
        <row r="516">
          <cell r="A516" t="str">
            <v>30024_2</v>
          </cell>
        </row>
        <row r="517">
          <cell r="A517" t="str">
            <v>30024_3</v>
          </cell>
        </row>
        <row r="518">
          <cell r="A518" t="str">
            <v>30025_1</v>
          </cell>
        </row>
        <row r="519">
          <cell r="A519" t="str">
            <v>30025_2</v>
          </cell>
        </row>
        <row r="520">
          <cell r="A520" t="str">
            <v>30025_3</v>
          </cell>
        </row>
        <row r="521">
          <cell r="A521" t="str">
            <v>30026_1</v>
          </cell>
        </row>
        <row r="522">
          <cell r="A522" t="str">
            <v>30026_2</v>
          </cell>
        </row>
        <row r="523">
          <cell r="A523" t="str">
            <v>30026_3</v>
          </cell>
        </row>
        <row r="524">
          <cell r="A524" t="str">
            <v>30027_1</v>
          </cell>
        </row>
        <row r="525">
          <cell r="A525" t="str">
            <v>30027_2</v>
          </cell>
        </row>
        <row r="526">
          <cell r="A526" t="str">
            <v>30027_3</v>
          </cell>
        </row>
        <row r="527">
          <cell r="A527" t="str">
            <v>30028_1</v>
          </cell>
        </row>
        <row r="528">
          <cell r="A528" t="str">
            <v>30028_2</v>
          </cell>
        </row>
        <row r="529">
          <cell r="A529" t="str">
            <v>30028_3</v>
          </cell>
        </row>
        <row r="530">
          <cell r="A530" t="str">
            <v>30029_1</v>
          </cell>
        </row>
        <row r="531">
          <cell r="A531" t="str">
            <v>30029_2</v>
          </cell>
        </row>
        <row r="532">
          <cell r="A532" t="str">
            <v>30029_3</v>
          </cell>
        </row>
        <row r="533">
          <cell r="A533" t="str">
            <v>30030_1</v>
          </cell>
        </row>
        <row r="534">
          <cell r="A534" t="str">
            <v>30030_2</v>
          </cell>
        </row>
        <row r="535">
          <cell r="A535" t="str">
            <v>30030_3</v>
          </cell>
        </row>
        <row r="536">
          <cell r="A536" t="str">
            <v>30031_1</v>
          </cell>
        </row>
        <row r="537">
          <cell r="A537" t="str">
            <v>30031_2</v>
          </cell>
        </row>
        <row r="538">
          <cell r="A538" t="str">
            <v>30031_3</v>
          </cell>
        </row>
        <row r="539">
          <cell r="A539" t="str">
            <v>30032_1</v>
          </cell>
        </row>
        <row r="540">
          <cell r="A540" t="str">
            <v>30032_2</v>
          </cell>
        </row>
        <row r="541">
          <cell r="A541" t="str">
            <v>30032_3</v>
          </cell>
        </row>
        <row r="542">
          <cell r="A542" t="str">
            <v>30033_1</v>
          </cell>
        </row>
        <row r="543">
          <cell r="A543" t="str">
            <v>30033_2</v>
          </cell>
        </row>
        <row r="544">
          <cell r="A544" t="str">
            <v>30033_3</v>
          </cell>
        </row>
        <row r="545">
          <cell r="A545" t="str">
            <v>30034_1</v>
          </cell>
        </row>
        <row r="546">
          <cell r="A546" t="str">
            <v>30034_2</v>
          </cell>
        </row>
        <row r="547">
          <cell r="A547" t="str">
            <v>30034_3</v>
          </cell>
        </row>
        <row r="548">
          <cell r="A548" t="str">
            <v>30035_1</v>
          </cell>
        </row>
        <row r="549">
          <cell r="A549" t="str">
            <v>30035_2</v>
          </cell>
        </row>
        <row r="550">
          <cell r="A550" t="str">
            <v>30035_3</v>
          </cell>
        </row>
        <row r="551">
          <cell r="A551" t="str">
            <v>30036_1</v>
          </cell>
        </row>
        <row r="552">
          <cell r="A552" t="str">
            <v>30036_2</v>
          </cell>
        </row>
        <row r="553">
          <cell r="A553" t="str">
            <v>30036_3</v>
          </cell>
        </row>
        <row r="554">
          <cell r="A554" t="str">
            <v>30037_1</v>
          </cell>
        </row>
        <row r="555">
          <cell r="A555" t="str">
            <v>30037_2</v>
          </cell>
        </row>
        <row r="556">
          <cell r="A556" t="str">
            <v>30037_3</v>
          </cell>
        </row>
        <row r="557">
          <cell r="A557" t="str">
            <v>30038_1</v>
          </cell>
        </row>
        <row r="558">
          <cell r="A558" t="str">
            <v>30038_2</v>
          </cell>
        </row>
        <row r="559">
          <cell r="A559" t="str">
            <v>30038_3</v>
          </cell>
        </row>
        <row r="560">
          <cell r="A560" t="str">
            <v>30039_1</v>
          </cell>
        </row>
        <row r="561">
          <cell r="A561" t="str">
            <v>30039_2</v>
          </cell>
        </row>
        <row r="562">
          <cell r="A562" t="str">
            <v>30039_3</v>
          </cell>
        </row>
        <row r="563">
          <cell r="A563" t="str">
            <v>30040_1</v>
          </cell>
        </row>
        <row r="564">
          <cell r="A564" t="str">
            <v>30040_2</v>
          </cell>
        </row>
        <row r="565">
          <cell r="A565" t="str">
            <v>30040_3</v>
          </cell>
        </row>
        <row r="566">
          <cell r="A566" t="str">
            <v>39001_1</v>
          </cell>
        </row>
        <row r="567">
          <cell r="A567" t="str">
            <v>39001_2</v>
          </cell>
        </row>
        <row r="568">
          <cell r="A568" t="str">
            <v>39001_3</v>
          </cell>
        </row>
        <row r="569">
          <cell r="A569" t="str">
            <v>39001_4</v>
          </cell>
        </row>
        <row r="570">
          <cell r="A570" t="str">
            <v>39001_5</v>
          </cell>
        </row>
        <row r="571">
          <cell r="A571" t="str">
            <v>39002_1</v>
          </cell>
        </row>
        <row r="572">
          <cell r="A572" t="str">
            <v>39002_2</v>
          </cell>
        </row>
        <row r="573">
          <cell r="A573" t="str">
            <v>39002_3</v>
          </cell>
        </row>
        <row r="574">
          <cell r="A574" t="str">
            <v>39002_4</v>
          </cell>
        </row>
        <row r="575">
          <cell r="A575" t="str">
            <v>39003_1</v>
          </cell>
        </row>
        <row r="576">
          <cell r="A576" t="str">
            <v>39003_2</v>
          </cell>
        </row>
        <row r="577">
          <cell r="A577" t="str">
            <v>39003_3</v>
          </cell>
        </row>
        <row r="578">
          <cell r="A578" t="str">
            <v>39003_4</v>
          </cell>
        </row>
        <row r="579">
          <cell r="A579" t="str">
            <v>39004_1</v>
          </cell>
        </row>
        <row r="580">
          <cell r="A580" t="str">
            <v>39004_2</v>
          </cell>
        </row>
        <row r="581">
          <cell r="A581" t="str">
            <v>39004_3</v>
          </cell>
        </row>
        <row r="582">
          <cell r="A582" t="str">
            <v>39004_4</v>
          </cell>
        </row>
        <row r="583">
          <cell r="A583" t="str">
            <v>39005_1</v>
          </cell>
        </row>
        <row r="584">
          <cell r="A584" t="str">
            <v>39005_2</v>
          </cell>
        </row>
        <row r="585">
          <cell r="A585" t="str">
            <v>39005_3</v>
          </cell>
        </row>
        <row r="586">
          <cell r="A586" t="str">
            <v>39005_4</v>
          </cell>
        </row>
        <row r="587">
          <cell r="A587" t="str">
            <v>39005_5</v>
          </cell>
        </row>
        <row r="588">
          <cell r="A588" t="str">
            <v>39006_1</v>
          </cell>
        </row>
        <row r="589">
          <cell r="A589" t="str">
            <v>39006_2</v>
          </cell>
        </row>
        <row r="590">
          <cell r="A590" t="str">
            <v>39006_3</v>
          </cell>
        </row>
        <row r="591">
          <cell r="A591" t="str">
            <v>39006_4</v>
          </cell>
        </row>
        <row r="592">
          <cell r="A592" t="str">
            <v>39007_1</v>
          </cell>
        </row>
        <row r="593">
          <cell r="A593" t="str">
            <v>39007_2</v>
          </cell>
        </row>
        <row r="594">
          <cell r="A594" t="str">
            <v>39007_3</v>
          </cell>
        </row>
        <row r="595">
          <cell r="A595" t="str">
            <v>39007_4</v>
          </cell>
        </row>
        <row r="596">
          <cell r="A596" t="str">
            <v>40001_1</v>
          </cell>
        </row>
        <row r="597">
          <cell r="A597" t="str">
            <v>40002_1</v>
          </cell>
        </row>
        <row r="598">
          <cell r="A598" t="str">
            <v>40002_2</v>
          </cell>
        </row>
        <row r="599">
          <cell r="A599" t="str">
            <v>40002_3</v>
          </cell>
        </row>
        <row r="600">
          <cell r="A600" t="str">
            <v>40003_1</v>
          </cell>
        </row>
        <row r="601">
          <cell r="A601" t="str">
            <v>40004_1</v>
          </cell>
        </row>
        <row r="602">
          <cell r="A602" t="str">
            <v>40005_1</v>
          </cell>
        </row>
        <row r="603">
          <cell r="A603" t="str">
            <v>40006_1</v>
          </cell>
        </row>
        <row r="604">
          <cell r="A604" t="str">
            <v>40007_1</v>
          </cell>
        </row>
        <row r="605">
          <cell r="A605" t="str">
            <v>40008_1</v>
          </cell>
        </row>
        <row r="606">
          <cell r="A606" t="str">
            <v>40009_1</v>
          </cell>
        </row>
        <row r="607">
          <cell r="A607" t="str">
            <v>40010_1</v>
          </cell>
        </row>
        <row r="608">
          <cell r="A608" t="str">
            <v>40011_1</v>
          </cell>
        </row>
        <row r="609">
          <cell r="A609" t="str">
            <v>40012_1</v>
          </cell>
        </row>
        <row r="610">
          <cell r="A610" t="str">
            <v>40013_1</v>
          </cell>
        </row>
        <row r="611">
          <cell r="A611" t="str">
            <v>40014_1</v>
          </cell>
        </row>
        <row r="612">
          <cell r="A612" t="str">
            <v>40015_1</v>
          </cell>
        </row>
        <row r="613">
          <cell r="A613" t="str">
            <v>40016_1</v>
          </cell>
        </row>
        <row r="614">
          <cell r="A614" t="str">
            <v>40016_2</v>
          </cell>
        </row>
        <row r="615">
          <cell r="A615" t="str">
            <v>40017_1</v>
          </cell>
        </row>
        <row r="616">
          <cell r="A616" t="str">
            <v>40017_2</v>
          </cell>
        </row>
        <row r="617">
          <cell r="A617" t="str">
            <v>40017_3</v>
          </cell>
        </row>
        <row r="618">
          <cell r="A618" t="str">
            <v>40018_1</v>
          </cell>
        </row>
        <row r="619">
          <cell r="A619" t="str">
            <v>40018_2</v>
          </cell>
        </row>
        <row r="620">
          <cell r="A620" t="str">
            <v>40018_3</v>
          </cell>
        </row>
        <row r="621">
          <cell r="A621" t="str">
            <v>40019_1</v>
          </cell>
        </row>
        <row r="622">
          <cell r="A622" t="str">
            <v>40019_2</v>
          </cell>
        </row>
        <row r="623">
          <cell r="A623" t="str">
            <v>40019_3</v>
          </cell>
        </row>
        <row r="624">
          <cell r="A624" t="str">
            <v>40021_1</v>
          </cell>
        </row>
        <row r="625">
          <cell r="A625" t="str">
            <v>40021_2</v>
          </cell>
        </row>
        <row r="626">
          <cell r="A626" t="str">
            <v>40022_1</v>
          </cell>
        </row>
        <row r="627">
          <cell r="A627" t="str">
            <v>40022_2</v>
          </cell>
        </row>
        <row r="628">
          <cell r="A628" t="str">
            <v>40023_1</v>
          </cell>
        </row>
        <row r="629">
          <cell r="A629" t="str">
            <v>40023_2</v>
          </cell>
        </row>
        <row r="630">
          <cell r="A630" t="str">
            <v>40024_1</v>
          </cell>
        </row>
        <row r="631">
          <cell r="A631" t="str">
            <v>40024_2</v>
          </cell>
        </row>
        <row r="632">
          <cell r="A632" t="str">
            <v>40025_1</v>
          </cell>
        </row>
        <row r="633">
          <cell r="A633" t="str">
            <v>40025_2</v>
          </cell>
        </row>
        <row r="634">
          <cell r="A634" t="str">
            <v>48001_1</v>
          </cell>
        </row>
        <row r="635">
          <cell r="A635" t="str">
            <v>48002_1</v>
          </cell>
        </row>
        <row r="636">
          <cell r="A636" t="str">
            <v>48002_2</v>
          </cell>
        </row>
        <row r="637">
          <cell r="A637" t="str">
            <v>48002_3</v>
          </cell>
        </row>
        <row r="638">
          <cell r="A638" t="str">
            <v>48003_1</v>
          </cell>
        </row>
        <row r="639">
          <cell r="A639" t="str">
            <v>48003_2</v>
          </cell>
        </row>
        <row r="640">
          <cell r="A640" t="str">
            <v>48003_3</v>
          </cell>
        </row>
        <row r="641">
          <cell r="A641" t="str">
            <v>48004_1</v>
          </cell>
        </row>
        <row r="642">
          <cell r="A642" t="str">
            <v>48004_2</v>
          </cell>
        </row>
        <row r="643">
          <cell r="A643" t="str">
            <v>48005_1</v>
          </cell>
        </row>
        <row r="644">
          <cell r="A644" t="str">
            <v>48005_2</v>
          </cell>
        </row>
        <row r="645">
          <cell r="A645" t="str">
            <v>48006_1</v>
          </cell>
        </row>
        <row r="646">
          <cell r="A646" t="str">
            <v>48006_2</v>
          </cell>
        </row>
        <row r="647">
          <cell r="A647" t="str">
            <v>41001_1</v>
          </cell>
        </row>
        <row r="648">
          <cell r="A648" t="str">
            <v>41001_2</v>
          </cell>
        </row>
        <row r="649">
          <cell r="A649" t="str">
            <v>41001_3</v>
          </cell>
        </row>
        <row r="650">
          <cell r="A650" t="str">
            <v>41002_1</v>
          </cell>
        </row>
        <row r="651">
          <cell r="A651" t="str">
            <v>41002_2</v>
          </cell>
        </row>
        <row r="652">
          <cell r="A652" t="str">
            <v>41002_3</v>
          </cell>
        </row>
        <row r="653">
          <cell r="A653" t="str">
            <v>41003_1</v>
          </cell>
        </row>
        <row r="654">
          <cell r="A654" t="str">
            <v>41003_2</v>
          </cell>
        </row>
        <row r="655">
          <cell r="A655" t="str">
            <v>41003_3</v>
          </cell>
        </row>
        <row r="656">
          <cell r="A656" t="str">
            <v>41004_1</v>
          </cell>
        </row>
        <row r="657">
          <cell r="A657" t="str">
            <v>41004_2</v>
          </cell>
        </row>
        <row r="658">
          <cell r="A658" t="str">
            <v>41004_3</v>
          </cell>
        </row>
        <row r="659">
          <cell r="A659" t="str">
            <v>41005_1</v>
          </cell>
        </row>
        <row r="660">
          <cell r="A660" t="str">
            <v>41005_2</v>
          </cell>
        </row>
        <row r="661">
          <cell r="A661" t="str">
            <v>41005_3</v>
          </cell>
        </row>
        <row r="662">
          <cell r="A662" t="str">
            <v>41006_1</v>
          </cell>
        </row>
        <row r="663">
          <cell r="A663" t="str">
            <v>41006_2</v>
          </cell>
        </row>
        <row r="664">
          <cell r="A664" t="str">
            <v>41006_3</v>
          </cell>
        </row>
        <row r="665">
          <cell r="A665" t="str">
            <v>41007_1</v>
          </cell>
        </row>
        <row r="666">
          <cell r="A666" t="str">
            <v>41007_2</v>
          </cell>
        </row>
        <row r="667">
          <cell r="A667" t="str">
            <v>41007_3</v>
          </cell>
        </row>
        <row r="668">
          <cell r="A668" t="str">
            <v>41008_1</v>
          </cell>
        </row>
        <row r="669">
          <cell r="A669" t="str">
            <v>41008_2</v>
          </cell>
        </row>
        <row r="670">
          <cell r="A670" t="str">
            <v>41008_3</v>
          </cell>
        </row>
        <row r="671">
          <cell r="A671" t="str">
            <v>41009_1</v>
          </cell>
        </row>
        <row r="672">
          <cell r="A672" t="str">
            <v>41009_2</v>
          </cell>
        </row>
        <row r="673">
          <cell r="A673" t="str">
            <v>41009_3</v>
          </cell>
        </row>
        <row r="674">
          <cell r="A674" t="str">
            <v>41010_1</v>
          </cell>
        </row>
        <row r="675">
          <cell r="A675" t="str">
            <v>41010_2</v>
          </cell>
        </row>
        <row r="676">
          <cell r="A676" t="str">
            <v>41010_3</v>
          </cell>
        </row>
        <row r="677">
          <cell r="A677" t="str">
            <v>41011_1</v>
          </cell>
        </row>
        <row r="678">
          <cell r="A678" t="str">
            <v>41011_2</v>
          </cell>
        </row>
        <row r="679">
          <cell r="A679" t="str">
            <v>41012_1</v>
          </cell>
        </row>
        <row r="680">
          <cell r="A680" t="str">
            <v>41012_2</v>
          </cell>
        </row>
        <row r="681">
          <cell r="A681" t="str">
            <v>41013_1</v>
          </cell>
        </row>
        <row r="682">
          <cell r="A682" t="str">
            <v>41013_2</v>
          </cell>
        </row>
        <row r="683">
          <cell r="A683" t="str">
            <v>41014_1</v>
          </cell>
        </row>
        <row r="684">
          <cell r="A684" t="str">
            <v>41014_2</v>
          </cell>
        </row>
        <row r="685">
          <cell r="A685" t="str">
            <v>41015_1</v>
          </cell>
        </row>
        <row r="686">
          <cell r="A686" t="str">
            <v>41015_2</v>
          </cell>
        </row>
        <row r="687">
          <cell r="A687" t="str">
            <v>47001_1</v>
          </cell>
        </row>
        <row r="688">
          <cell r="A688" t="str">
            <v>47001_2</v>
          </cell>
        </row>
        <row r="689">
          <cell r="A689" t="str">
            <v>47002_1</v>
          </cell>
        </row>
        <row r="690">
          <cell r="A690" t="str">
            <v>47002_2</v>
          </cell>
        </row>
        <row r="691">
          <cell r="A691" t="str">
            <v>49001_1</v>
          </cell>
        </row>
        <row r="692">
          <cell r="A692" t="str">
            <v>49002_1</v>
          </cell>
        </row>
        <row r="693">
          <cell r="A693" t="str">
            <v>49002_2</v>
          </cell>
        </row>
        <row r="694">
          <cell r="A694" t="str">
            <v>49003_1</v>
          </cell>
        </row>
        <row r="695">
          <cell r="A695" t="str">
            <v>49003_2</v>
          </cell>
        </row>
        <row r="696">
          <cell r="A696" t="str">
            <v>49004_1</v>
          </cell>
        </row>
        <row r="697">
          <cell r="A697" t="str">
            <v>49004_2</v>
          </cell>
        </row>
        <row r="698">
          <cell r="A698" t="str">
            <v>49004_3</v>
          </cell>
        </row>
        <row r="699">
          <cell r="A699" t="str">
            <v>49005_1</v>
          </cell>
        </row>
        <row r="700">
          <cell r="A700" t="str">
            <v>49006_1</v>
          </cell>
        </row>
        <row r="701">
          <cell r="A701" t="str">
            <v>49006_2</v>
          </cell>
        </row>
        <row r="702">
          <cell r="A702" t="str">
            <v>49007_1</v>
          </cell>
        </row>
        <row r="703">
          <cell r="A703" t="str">
            <v>49007_2</v>
          </cell>
        </row>
        <row r="704">
          <cell r="A704" t="str">
            <v>49007_3</v>
          </cell>
        </row>
        <row r="705">
          <cell r="A705" t="str">
            <v>50001_1</v>
          </cell>
        </row>
        <row r="706">
          <cell r="A706" t="str">
            <v>50002_1</v>
          </cell>
        </row>
        <row r="707">
          <cell r="A707" t="str">
            <v>50003_1</v>
          </cell>
        </row>
        <row r="708">
          <cell r="A708" t="str">
            <v>50004_1</v>
          </cell>
        </row>
        <row r="709">
          <cell r="A709" t="str">
            <v>50005_1</v>
          </cell>
        </row>
        <row r="710">
          <cell r="A710" t="str">
            <v>50006_1</v>
          </cell>
        </row>
        <row r="711">
          <cell r="A711" t="str">
            <v>50007_1</v>
          </cell>
        </row>
        <row r="712">
          <cell r="A712" t="str">
            <v>51001_1</v>
          </cell>
        </row>
        <row r="713">
          <cell r="A713" t="str">
            <v>51002_1</v>
          </cell>
        </row>
        <row r="714">
          <cell r="A714" t="str">
            <v>60001_1</v>
          </cell>
        </row>
        <row r="715">
          <cell r="A715" t="str">
            <v>60002_1</v>
          </cell>
        </row>
        <row r="716">
          <cell r="A716" t="str">
            <v>60002_2</v>
          </cell>
        </row>
        <row r="717">
          <cell r="A717" t="str">
            <v>60003_1</v>
          </cell>
        </row>
        <row r="718">
          <cell r="A718" t="str">
            <v>60003_2</v>
          </cell>
        </row>
        <row r="719">
          <cell r="A719" t="str">
            <v>60003_3</v>
          </cell>
        </row>
        <row r="720">
          <cell r="A720" t="str">
            <v>60004_1</v>
          </cell>
        </row>
        <row r="721">
          <cell r="A721" t="str">
            <v>60005_1</v>
          </cell>
        </row>
        <row r="722">
          <cell r="A722" t="str">
            <v>60006_1</v>
          </cell>
        </row>
        <row r="723">
          <cell r="A723" t="str">
            <v>60006_2</v>
          </cell>
        </row>
        <row r="724">
          <cell r="A724" t="str">
            <v>60006_3</v>
          </cell>
        </row>
        <row r="725">
          <cell r="A725" t="str">
            <v>60007_1</v>
          </cell>
        </row>
        <row r="726">
          <cell r="A726" t="str">
            <v>60007_2</v>
          </cell>
        </row>
        <row r="727">
          <cell r="A727" t="str">
            <v>60007_3</v>
          </cell>
        </row>
        <row r="728">
          <cell r="A728" t="str">
            <v>60010_1</v>
          </cell>
        </row>
        <row r="729">
          <cell r="A729" t="str">
            <v>60011_1</v>
          </cell>
        </row>
        <row r="730">
          <cell r="A730" t="str">
            <v>60011_2</v>
          </cell>
        </row>
        <row r="731">
          <cell r="A731" t="str">
            <v>61011_1</v>
          </cell>
        </row>
        <row r="732">
          <cell r="A732" t="str">
            <v>60012_1</v>
          </cell>
        </row>
        <row r="733">
          <cell r="A733" t="str">
            <v>60013_1</v>
          </cell>
        </row>
        <row r="734">
          <cell r="A734" t="str">
            <v>60013_2</v>
          </cell>
        </row>
        <row r="735">
          <cell r="A735" t="str">
            <v>60013_3</v>
          </cell>
        </row>
        <row r="736">
          <cell r="A736" t="str">
            <v>60014_1</v>
          </cell>
        </row>
        <row r="737">
          <cell r="A737" t="str">
            <v>65533_1</v>
          </cell>
        </row>
        <row r="738">
          <cell r="A738" t="str">
            <v>65533_2</v>
          </cell>
        </row>
        <row r="739">
          <cell r="A739" t="str">
            <v>65534_1</v>
          </cell>
        </row>
        <row r="740">
          <cell r="A740" t="str">
            <v>65535_1</v>
          </cell>
        </row>
        <row r="741">
          <cell r="A741" t="str">
            <v>65535_2</v>
          </cell>
        </row>
        <row r="742">
          <cell r="A742" t="str">
            <v>65535_3</v>
          </cell>
        </row>
        <row r="743">
          <cell r="A743" t="str">
            <v>65535_4</v>
          </cell>
        </row>
        <row r="744">
          <cell r="A744" t="str">
            <v>65535_5</v>
          </cell>
        </row>
        <row r="745">
          <cell r="A745" t="str">
            <v>65535_6</v>
          </cell>
        </row>
        <row r="746">
          <cell r="A746" t="str">
            <v>65535_7</v>
          </cell>
        </row>
        <row r="747">
          <cell r="A747" t="str">
            <v>65535_8</v>
          </cell>
        </row>
        <row r="748">
          <cell r="A748" t="str">
            <v>60021_3</v>
          </cell>
        </row>
        <row r="749">
          <cell r="A749" t="str">
            <v>60022_3</v>
          </cell>
        </row>
        <row r="750">
          <cell r="A750" t="str">
            <v>60023_3</v>
          </cell>
        </row>
        <row r="751">
          <cell r="A751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6001</v>
          </cell>
        </row>
        <row r="1131">
          <cell r="A1131">
            <v>6002</v>
          </cell>
        </row>
        <row r="1132">
          <cell r="A1132">
            <v>6003</v>
          </cell>
        </row>
        <row r="1133">
          <cell r="A1133">
            <v>6004</v>
          </cell>
        </row>
        <row r="1134">
          <cell r="A1134">
            <v>6005</v>
          </cell>
        </row>
        <row r="1135">
          <cell r="A1135">
            <v>6006</v>
          </cell>
        </row>
        <row r="1136">
          <cell r="A1136">
            <v>6007</v>
          </cell>
        </row>
        <row r="1137">
          <cell r="A1137">
            <v>6008</v>
          </cell>
        </row>
        <row r="1138">
          <cell r="A1138">
            <v>6009</v>
          </cell>
        </row>
        <row r="1139">
          <cell r="A1139">
            <v>6010</v>
          </cell>
        </row>
        <row r="1140">
          <cell r="A1140">
            <v>6011</v>
          </cell>
        </row>
        <row r="1141">
          <cell r="A1141">
            <v>6012</v>
          </cell>
        </row>
        <row r="1142">
          <cell r="A1142">
            <v>6013</v>
          </cell>
        </row>
        <row r="1143">
          <cell r="A1143">
            <v>6014</v>
          </cell>
        </row>
        <row r="1144">
          <cell r="A1144">
            <v>6015</v>
          </cell>
        </row>
        <row r="1145">
          <cell r="A1145">
            <v>6016</v>
          </cell>
        </row>
        <row r="1146">
          <cell r="A1146">
            <v>6017</v>
          </cell>
        </row>
        <row r="1147">
          <cell r="A1147">
            <v>6018</v>
          </cell>
        </row>
        <row r="1148">
          <cell r="A1148">
            <v>6019</v>
          </cell>
        </row>
        <row r="1149">
          <cell r="A1149">
            <v>6020</v>
          </cell>
        </row>
        <row r="1150">
          <cell r="A1150">
            <v>8001</v>
          </cell>
        </row>
        <row r="1151">
          <cell r="A1151">
            <v>8002</v>
          </cell>
        </row>
        <row r="1152">
          <cell r="A1152">
            <v>8003</v>
          </cell>
        </row>
        <row r="1153">
          <cell r="A1153">
            <v>8004</v>
          </cell>
        </row>
        <row r="1154">
          <cell r="A1154">
            <v>8005</v>
          </cell>
        </row>
        <row r="1155">
          <cell r="A1155">
            <v>8006</v>
          </cell>
        </row>
        <row r="1156">
          <cell r="A1156">
            <v>8007</v>
          </cell>
        </row>
        <row r="1157">
          <cell r="A1157">
            <v>8008</v>
          </cell>
        </row>
        <row r="1158">
          <cell r="A1158">
            <v>8009</v>
          </cell>
        </row>
        <row r="1159">
          <cell r="A1159">
            <v>8010</v>
          </cell>
        </row>
        <row r="1160">
          <cell r="A1160">
            <v>8011</v>
          </cell>
        </row>
        <row r="1161">
          <cell r="A1161">
            <v>8012</v>
          </cell>
        </row>
        <row r="1162">
          <cell r="A1162">
            <v>8013</v>
          </cell>
        </row>
        <row r="1163">
          <cell r="A1163">
            <v>8014</v>
          </cell>
        </row>
        <row r="1164">
          <cell r="A1164">
            <v>8015</v>
          </cell>
        </row>
        <row r="1165">
          <cell r="A1165">
            <v>8016</v>
          </cell>
        </row>
        <row r="1166">
          <cell r="A1166">
            <v>8017</v>
          </cell>
        </row>
        <row r="1167">
          <cell r="A1167">
            <v>8018</v>
          </cell>
        </row>
        <row r="1168">
          <cell r="A1168">
            <v>8019</v>
          </cell>
        </row>
        <row r="1169">
          <cell r="A1169">
            <v>8020</v>
          </cell>
        </row>
        <row r="1170">
          <cell r="A1170">
            <v>8021</v>
          </cell>
        </row>
        <row r="1171">
          <cell r="A1171">
            <v>8022</v>
          </cell>
        </row>
        <row r="1172">
          <cell r="A1172">
            <v>8023</v>
          </cell>
        </row>
        <row r="1173">
          <cell r="A1173">
            <v>8024</v>
          </cell>
        </row>
        <row r="1174">
          <cell r="A1174">
            <v>8025</v>
          </cell>
        </row>
        <row r="1175">
          <cell r="A1175">
            <v>8026</v>
          </cell>
        </row>
        <row r="1176">
          <cell r="A1176">
            <v>8027</v>
          </cell>
        </row>
        <row r="1177">
          <cell r="A1177">
            <v>8028</v>
          </cell>
        </row>
        <row r="1178">
          <cell r="A1178">
            <v>8029</v>
          </cell>
        </row>
        <row r="1179">
          <cell r="A1179">
            <v>8030</v>
          </cell>
        </row>
        <row r="1180">
          <cell r="A1180">
            <v>8031</v>
          </cell>
        </row>
        <row r="1181">
          <cell r="A1181">
            <v>8032</v>
          </cell>
        </row>
        <row r="1182">
          <cell r="A1182">
            <v>8033</v>
          </cell>
        </row>
        <row r="1183">
          <cell r="A1183">
            <v>8034</v>
          </cell>
        </row>
        <row r="1184">
          <cell r="A1184">
            <v>8035</v>
          </cell>
        </row>
        <row r="1185">
          <cell r="A1185">
            <v>8036</v>
          </cell>
        </row>
        <row r="1186">
          <cell r="A1186">
            <v>8037</v>
          </cell>
        </row>
        <row r="1187">
          <cell r="A1187">
            <v>8038</v>
          </cell>
        </row>
        <row r="1188">
          <cell r="A1188">
            <v>8039</v>
          </cell>
        </row>
        <row r="1189">
          <cell r="A1189">
            <v>8040</v>
          </cell>
        </row>
        <row r="1190">
          <cell r="A1190">
            <v>8041</v>
          </cell>
        </row>
        <row r="1191">
          <cell r="A1191">
            <v>8042</v>
          </cell>
        </row>
        <row r="1192">
          <cell r="A1192">
            <v>8043</v>
          </cell>
        </row>
        <row r="1193">
          <cell r="A1193">
            <v>8044</v>
          </cell>
        </row>
        <row r="1194">
          <cell r="A1194">
            <v>8045</v>
          </cell>
        </row>
        <row r="1195">
          <cell r="A1195">
            <v>8046</v>
          </cell>
        </row>
        <row r="1196">
          <cell r="A1196">
            <v>8047</v>
          </cell>
        </row>
        <row r="1197">
          <cell r="A1197">
            <v>8048</v>
          </cell>
        </row>
        <row r="1198">
          <cell r="A1198">
            <v>8049</v>
          </cell>
        </row>
        <row r="1199">
          <cell r="A1199">
            <v>8050</v>
          </cell>
        </row>
        <row r="1200">
          <cell r="A1200">
            <v>8051</v>
          </cell>
        </row>
        <row r="1201">
          <cell r="A1201">
            <v>8052</v>
          </cell>
        </row>
        <row r="1202">
          <cell r="A1202">
            <v>8053</v>
          </cell>
        </row>
        <row r="1203">
          <cell r="A1203">
            <v>8054</v>
          </cell>
        </row>
        <row r="1204">
          <cell r="A1204">
            <v>8055</v>
          </cell>
        </row>
        <row r="1205">
          <cell r="A1205">
            <v>8056</v>
          </cell>
        </row>
        <row r="1206">
          <cell r="A1206">
            <v>8057</v>
          </cell>
        </row>
        <row r="1207">
          <cell r="A1207">
            <v>8058</v>
          </cell>
        </row>
        <row r="1208">
          <cell r="A1208">
            <v>8059</v>
          </cell>
        </row>
        <row r="1209">
          <cell r="A1209">
            <v>8060</v>
          </cell>
        </row>
        <row r="1210">
          <cell r="A1210">
            <v>8061</v>
          </cell>
        </row>
        <row r="1211">
          <cell r="A1211">
            <v>8062</v>
          </cell>
        </row>
        <row r="1212">
          <cell r="A1212">
            <v>8063</v>
          </cell>
        </row>
        <row r="1213">
          <cell r="A1213">
            <v>8064</v>
          </cell>
        </row>
        <row r="1214">
          <cell r="A1214">
            <v>8065</v>
          </cell>
        </row>
        <row r="1215">
          <cell r="A1215">
            <v>8066</v>
          </cell>
        </row>
        <row r="1216">
          <cell r="A1216">
            <v>8067</v>
          </cell>
        </row>
        <row r="1217">
          <cell r="A1217">
            <v>8068</v>
          </cell>
        </row>
        <row r="1218">
          <cell r="A1218">
            <v>8069</v>
          </cell>
        </row>
        <row r="1219">
          <cell r="A1219">
            <v>8070</v>
          </cell>
        </row>
        <row r="1220">
          <cell r="A1220">
            <v>8071</v>
          </cell>
        </row>
        <row r="1221">
          <cell r="A1221">
            <v>8072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6001</v>
          </cell>
        </row>
        <row r="1131">
          <cell r="A1131">
            <v>6002</v>
          </cell>
        </row>
        <row r="1132">
          <cell r="A1132">
            <v>6003</v>
          </cell>
        </row>
        <row r="1133">
          <cell r="A1133">
            <v>6004</v>
          </cell>
        </row>
        <row r="1134">
          <cell r="A1134">
            <v>6005</v>
          </cell>
        </row>
        <row r="1135">
          <cell r="A1135">
            <v>6006</v>
          </cell>
        </row>
        <row r="1136">
          <cell r="A1136">
            <v>6007</v>
          </cell>
        </row>
        <row r="1137">
          <cell r="A1137">
            <v>6008</v>
          </cell>
        </row>
        <row r="1138">
          <cell r="A1138">
            <v>6009</v>
          </cell>
        </row>
        <row r="1139">
          <cell r="A1139">
            <v>6010</v>
          </cell>
        </row>
        <row r="1140">
          <cell r="A1140">
            <v>6011</v>
          </cell>
        </row>
        <row r="1141">
          <cell r="A1141">
            <v>6012</v>
          </cell>
        </row>
        <row r="1142">
          <cell r="A1142">
            <v>6013</v>
          </cell>
        </row>
        <row r="1143">
          <cell r="A1143">
            <v>6014</v>
          </cell>
        </row>
        <row r="1144">
          <cell r="A1144">
            <v>6015</v>
          </cell>
        </row>
        <row r="1145">
          <cell r="A1145">
            <v>6016</v>
          </cell>
        </row>
        <row r="1146">
          <cell r="A1146">
            <v>6017</v>
          </cell>
        </row>
        <row r="1147">
          <cell r="A1147">
            <v>6018</v>
          </cell>
        </row>
        <row r="1148">
          <cell r="A1148">
            <v>6019</v>
          </cell>
        </row>
        <row r="1149">
          <cell r="A1149">
            <v>6020</v>
          </cell>
        </row>
        <row r="1150">
          <cell r="A1150">
            <v>8001</v>
          </cell>
        </row>
        <row r="1151">
          <cell r="A1151">
            <v>8002</v>
          </cell>
        </row>
        <row r="1152">
          <cell r="A1152">
            <v>8003</v>
          </cell>
        </row>
        <row r="1153">
          <cell r="A1153">
            <v>8004</v>
          </cell>
        </row>
        <row r="1154">
          <cell r="A1154">
            <v>8005</v>
          </cell>
        </row>
        <row r="1155">
          <cell r="A1155">
            <v>8006</v>
          </cell>
        </row>
        <row r="1156">
          <cell r="A1156">
            <v>8007</v>
          </cell>
        </row>
        <row r="1157">
          <cell r="A1157">
            <v>8008</v>
          </cell>
        </row>
        <row r="1158">
          <cell r="A1158">
            <v>8009</v>
          </cell>
        </row>
        <row r="1159">
          <cell r="A1159">
            <v>8010</v>
          </cell>
        </row>
        <row r="1160">
          <cell r="A1160">
            <v>8011</v>
          </cell>
        </row>
        <row r="1161">
          <cell r="A1161">
            <v>8012</v>
          </cell>
        </row>
        <row r="1162">
          <cell r="A1162">
            <v>8013</v>
          </cell>
        </row>
        <row r="1163">
          <cell r="A1163">
            <v>8014</v>
          </cell>
        </row>
        <row r="1164">
          <cell r="A1164">
            <v>8015</v>
          </cell>
        </row>
        <row r="1165">
          <cell r="A1165">
            <v>8016</v>
          </cell>
        </row>
        <row r="1166">
          <cell r="A1166">
            <v>8017</v>
          </cell>
        </row>
        <row r="1167">
          <cell r="A1167">
            <v>8018</v>
          </cell>
        </row>
        <row r="1168">
          <cell r="A1168">
            <v>8019</v>
          </cell>
        </row>
        <row r="1169">
          <cell r="A1169">
            <v>8020</v>
          </cell>
        </row>
        <row r="1170">
          <cell r="A1170">
            <v>8021</v>
          </cell>
        </row>
        <row r="1171">
          <cell r="A1171">
            <v>8022</v>
          </cell>
        </row>
        <row r="1172">
          <cell r="A1172">
            <v>8023</v>
          </cell>
        </row>
        <row r="1173">
          <cell r="A1173">
            <v>8024</v>
          </cell>
        </row>
        <row r="1174">
          <cell r="A1174">
            <v>8025</v>
          </cell>
        </row>
        <row r="1175">
          <cell r="A1175">
            <v>8026</v>
          </cell>
        </row>
        <row r="1176">
          <cell r="A1176">
            <v>8027</v>
          </cell>
        </row>
        <row r="1177">
          <cell r="A1177">
            <v>8028</v>
          </cell>
        </row>
        <row r="1178">
          <cell r="A1178">
            <v>8029</v>
          </cell>
        </row>
        <row r="1179">
          <cell r="A1179">
            <v>8030</v>
          </cell>
        </row>
        <row r="1180">
          <cell r="A1180">
            <v>8031</v>
          </cell>
        </row>
        <row r="1181">
          <cell r="A1181">
            <v>8032</v>
          </cell>
        </row>
        <row r="1182">
          <cell r="A1182">
            <v>8033</v>
          </cell>
        </row>
        <row r="1183">
          <cell r="A1183">
            <v>8034</v>
          </cell>
        </row>
        <row r="1184">
          <cell r="A1184">
            <v>8035</v>
          </cell>
        </row>
        <row r="1185">
          <cell r="A1185">
            <v>8036</v>
          </cell>
        </row>
        <row r="1186">
          <cell r="A1186">
            <v>8037</v>
          </cell>
        </row>
        <row r="1187">
          <cell r="A1187">
            <v>8038</v>
          </cell>
        </row>
        <row r="1188">
          <cell r="A1188">
            <v>8039</v>
          </cell>
        </row>
        <row r="1189">
          <cell r="A1189">
            <v>8040</v>
          </cell>
        </row>
        <row r="1190">
          <cell r="A1190">
            <v>8041</v>
          </cell>
        </row>
        <row r="1191">
          <cell r="A1191">
            <v>8042</v>
          </cell>
        </row>
        <row r="1192">
          <cell r="A1192">
            <v>8043</v>
          </cell>
        </row>
        <row r="1193">
          <cell r="A1193">
            <v>8044</v>
          </cell>
        </row>
        <row r="1194">
          <cell r="A1194">
            <v>8045</v>
          </cell>
        </row>
        <row r="1195">
          <cell r="A1195">
            <v>8046</v>
          </cell>
        </row>
        <row r="1196">
          <cell r="A1196">
            <v>8047</v>
          </cell>
        </row>
        <row r="1197">
          <cell r="A1197">
            <v>8048</v>
          </cell>
        </row>
        <row r="1198">
          <cell r="A1198">
            <v>8049</v>
          </cell>
        </row>
        <row r="1199">
          <cell r="A1199">
            <v>8050</v>
          </cell>
        </row>
        <row r="1200">
          <cell r="A1200">
            <v>8051</v>
          </cell>
        </row>
        <row r="1201">
          <cell r="A1201">
            <v>8052</v>
          </cell>
        </row>
        <row r="1202">
          <cell r="A1202">
            <v>8053</v>
          </cell>
        </row>
        <row r="1203">
          <cell r="A1203">
            <v>8054</v>
          </cell>
        </row>
        <row r="1204">
          <cell r="A1204">
            <v>8055</v>
          </cell>
        </row>
        <row r="1205">
          <cell r="A1205">
            <v>8056</v>
          </cell>
        </row>
        <row r="1206">
          <cell r="A1206">
            <v>8057</v>
          </cell>
        </row>
        <row r="1207">
          <cell r="A1207">
            <v>8058</v>
          </cell>
        </row>
        <row r="1208">
          <cell r="A1208">
            <v>8059</v>
          </cell>
        </row>
        <row r="1209">
          <cell r="A1209">
            <v>8060</v>
          </cell>
        </row>
        <row r="1210">
          <cell r="A1210">
            <v>8061</v>
          </cell>
        </row>
        <row r="1211">
          <cell r="A1211">
            <v>8062</v>
          </cell>
        </row>
        <row r="1212">
          <cell r="A1212">
            <v>8063</v>
          </cell>
        </row>
        <row r="1213">
          <cell r="A1213">
            <v>8064</v>
          </cell>
        </row>
        <row r="1214">
          <cell r="A1214">
            <v>8065</v>
          </cell>
        </row>
        <row r="1215">
          <cell r="A1215">
            <v>8066</v>
          </cell>
        </row>
        <row r="1216">
          <cell r="A1216">
            <v>8067</v>
          </cell>
        </row>
        <row r="1217">
          <cell r="A1217">
            <v>8068</v>
          </cell>
        </row>
        <row r="1218">
          <cell r="A1218">
            <v>8069</v>
          </cell>
        </row>
        <row r="1219">
          <cell r="A1219">
            <v>8070</v>
          </cell>
        </row>
        <row r="1220">
          <cell r="A1220">
            <v>8071</v>
          </cell>
        </row>
        <row r="1221">
          <cell r="A1221">
            <v>8072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0"/>
  <sheetViews>
    <sheetView workbookViewId="0">
      <selection activeCell="A10" sqref="A10"/>
    </sheetView>
  </sheetViews>
  <sheetFormatPr baseColWidth="12" defaultRowHeight="15" x14ac:dyDescent="0.15"/>
  <cols>
    <col min="2" max="2" width="23.1640625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183</v>
      </c>
      <c r="B2" s="57" t="s">
        <v>107</v>
      </c>
      <c r="C2" s="63" t="s">
        <v>182</v>
      </c>
      <c r="D2" s="57" t="s">
        <v>108</v>
      </c>
      <c r="E2" s="56" t="str">
        <f>B2&amp;C2&amp;D2</f>
        <v>floors_cm1608.tmp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184</v>
      </c>
      <c r="B3" s="57" t="s">
        <v>110</v>
      </c>
      <c r="C3" s="63" t="str">
        <f>C$2</f>
        <v>cm1608</v>
      </c>
      <c r="D3" s="57" t="s">
        <v>108</v>
      </c>
      <c r="E3" s="56" t="str">
        <f>B3&amp;C3&amp;D3</f>
        <v>enemy_habitats_cm1608.tmp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154</v>
      </c>
    </row>
    <row r="4" spans="1:30" x14ac:dyDescent="0.15">
      <c r="A4" s="61" t="s">
        <v>184</v>
      </c>
      <c r="B4" s="57" t="s">
        <v>112</v>
      </c>
      <c r="C4" s="63" t="str">
        <f t="shared" ref="C4:C10" si="0">C$2</f>
        <v>cm1608</v>
      </c>
      <c r="D4" s="57" t="s">
        <v>108</v>
      </c>
      <c r="E4" s="56" t="str">
        <f>B4&amp;C4&amp;D4</f>
        <v>enemy_habitat_S_cm1608.tmp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185</v>
      </c>
      <c r="B5" s="57" t="s">
        <v>114</v>
      </c>
      <c r="C5" s="63" t="str">
        <f t="shared" si="0"/>
        <v>cm1608</v>
      </c>
      <c r="D5" s="57" t="s">
        <v>108</v>
      </c>
      <c r="E5" s="56" t="str">
        <f>B5&amp;C5&amp;D5</f>
        <v>enemy_skill_sets_cm1608.tmp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184</v>
      </c>
      <c r="B6" s="57" t="s">
        <v>116</v>
      </c>
      <c r="C6" s="63" t="str">
        <f t="shared" si="0"/>
        <v>cm1608</v>
      </c>
      <c r="D6" s="57" t="s">
        <v>117</v>
      </c>
      <c r="E6" s="56" t="str">
        <f t="shared" ref="E6:E9" si="1">B6&amp;C6&amp;D6</f>
        <v>enemy_skills_tmp_cm1608.tmp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186</v>
      </c>
      <c r="B7" s="57" t="s">
        <v>118</v>
      </c>
      <c r="C7" s="63" t="str">
        <f t="shared" si="0"/>
        <v>cm1608</v>
      </c>
      <c r="D7" s="57" t="s">
        <v>108</v>
      </c>
      <c r="E7" s="56" t="str">
        <f>B7&amp;C7&amp;D7</f>
        <v>enemy_skills_i18n_cm1608.tmp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184</v>
      </c>
      <c r="B8" s="57" t="s">
        <v>120</v>
      </c>
      <c r="C8" s="63" t="str">
        <f t="shared" si="0"/>
        <v>cm1608</v>
      </c>
      <c r="D8" s="57" t="s">
        <v>121</v>
      </c>
      <c r="E8" s="56" t="str">
        <f t="shared" si="1"/>
        <v>enemy_skill_triggers_cm1608.tmp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s="72" customFormat="1" x14ac:dyDescent="0.15">
      <c r="A9" s="61" t="s">
        <v>183</v>
      </c>
      <c r="B9" s="66" t="s">
        <v>270</v>
      </c>
      <c r="C9" s="63" t="str">
        <f>C$2</f>
        <v>cm1608</v>
      </c>
      <c r="D9" s="66" t="s">
        <v>156</v>
      </c>
      <c r="E9" s="67" t="str">
        <f t="shared" si="1"/>
        <v>stage_hints_data_cm1608.tmp</v>
      </c>
      <c r="F9" s="66" t="s">
        <v>271</v>
      </c>
      <c r="G9" s="70" t="s">
        <v>157</v>
      </c>
      <c r="H9" s="70" t="s">
        <v>153</v>
      </c>
      <c r="I9" s="71" t="s">
        <v>158</v>
      </c>
      <c r="J9" s="65" t="s">
        <v>159</v>
      </c>
      <c r="K9" s="65" t="s">
        <v>160</v>
      </c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</row>
    <row r="10" spans="1:30" s="72" customFormat="1" x14ac:dyDescent="0.15">
      <c r="A10" s="61" t="s">
        <v>183</v>
      </c>
      <c r="B10" s="66" t="s">
        <v>174</v>
      </c>
      <c r="C10" s="63" t="str">
        <f t="shared" si="0"/>
        <v>cm1608</v>
      </c>
      <c r="D10" s="66" t="s">
        <v>152</v>
      </c>
      <c r="E10" s="67" t="str">
        <f t="shared" ref="E10" si="2">B10&amp;C10&amp;D10</f>
        <v>stage_hints_i18n_cm1608.tmp</v>
      </c>
      <c r="F10" s="66" t="s">
        <v>271</v>
      </c>
      <c r="G10" s="71" t="s">
        <v>175</v>
      </c>
      <c r="H10" s="87" t="s">
        <v>176</v>
      </c>
      <c r="I10" s="70" t="s">
        <v>177</v>
      </c>
      <c r="J10" s="89" t="s">
        <v>178</v>
      </c>
      <c r="K10" s="65" t="s">
        <v>179</v>
      </c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</row>
  </sheetData>
  <phoneticPr fontId="5"/>
  <dataValidations count="1">
    <dataValidation type="list" allowBlank="1" showInputMessage="1" showErrorMessage="1" sqref="A2:A10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"/>
  <sheetViews>
    <sheetView showGridLines="0" workbookViewId="0">
      <pane ySplit="1" topLeftCell="A2" activePane="bottomLeft" state="frozen"/>
      <selection activeCell="V2" sqref="V2:X34"/>
      <selection pane="bottomLeft" activeCell="F5" sqref="F5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11227_1-1</v>
      </c>
      <c r="B2" s="16" t="str">
        <f>IF(COUNTIF(enemy_habitats!$H:$H,A2),"OK","NG")</f>
        <v>OK</v>
      </c>
      <c r="C2" s="7">
        <v>11227</v>
      </c>
      <c r="D2" s="11" t="str">
        <f ca="1">VLOOKUP($C2,OFFSET([2]quests!$A$1,0,0,COUNTA([2]quests!$A:$A),MATCH(D$1,[2]quests!$1:$1,0)-MATCH($C$1,[2]quests!$1:$1,0)+1),MATCH(D$1,[2]quests!$1:$1,0)-MATCH($C$1,[2]quests!$1:$1,0)+1,FALSE)</f>
        <v>TVCM第2弾放送記念★特別クエスト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TVCM第2弾放送記念★特別クエスト</v>
      </c>
      <c r="F2" s="21">
        <v>1</v>
      </c>
      <c r="G2" s="23" t="str">
        <f>C2&amp;"_"&amp;F2</f>
        <v>11227_1</v>
      </c>
      <c r="H2" s="15" t="str">
        <f ca="1">VLOOKUP($G2,OFFSET([2]stages!$A$1,0,0,COUNTA([2]stages!$A:$A),MATCH(H$1,[2]stages!$2:$2,0)-MATCH($G$1,[2]stages!$2:$2,0)+1),MATCH(H$1,[2]stages!$2:$2,0)-MATCH($G$1,[2]stages!$2:$2,0)+1,FALSE)</f>
        <v>【ALICE日常編】…勘違いじゃないよ。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11227_1-2</v>
      </c>
      <c r="B3" s="16" t="str">
        <f>IF(COUNTIF(enemy_habitats!$H:$H,A3),"OK","NG")</f>
        <v>OK</v>
      </c>
      <c r="C3" s="7">
        <v>11227</v>
      </c>
      <c r="D3" s="11" t="str">
        <f ca="1">VLOOKUP($C3,OFFSET([2]quests!$A$1,0,0,COUNTA([2]quests!$A:$A),MATCH(D$1,[2]quests!$1:$1,0)-MATCH($C$1,[2]quests!$1:$1,0)+1),MATCH(D$1,[2]quests!$1:$1,0)-MATCH($C$1,[2]quests!$1:$1,0)+1,FALSE)</f>
        <v>TVCM第2弾放送記念★特別クエスト</v>
      </c>
      <c r="E3" s="18" t="str">
        <f ca="1">VLOOKUP($C3,OFFSET([2]quests!$A$1,0,0,COUNTA([2]quests!$A:$A),MATCH(E$1,[2]quests!$1:$1,0)-MATCH($C$1,[2]quests!$1:$1,0)+1),MATCH(E$1,[2]quests!$1:$1,0)-MATCH($C$1,[2]quests!$1:$1,0)+1,FALSE)</f>
        <v>TVCM第2弾放送記念★特別クエスト</v>
      </c>
      <c r="F3" s="21">
        <v>1</v>
      </c>
      <c r="G3" s="23" t="str">
        <f>C3&amp;"_"&amp;F3</f>
        <v>11227_1</v>
      </c>
      <c r="H3" s="15" t="str">
        <f ca="1">VLOOKUP($G3,OFFSET([2]stages!$A$1,0,0,COUNTA([2]stages!$A:$A),MATCH(H$1,[2]stages!$2:$2,0)-MATCH($G$1,[2]stages!$2:$2,0)+1),MATCH(H$1,[2]stages!$2:$2,0)-MATCH($G$1,[2]stages!$2:$2,0)+1,FALSE)</f>
        <v>【ALICE日常編】…勘違いじゃないよ。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11227_1-3</v>
      </c>
      <c r="B4" s="16" t="str">
        <f>IF(COUNTIF(enemy_habitats!$H:$H,A4),"OK","NG")</f>
        <v>OK</v>
      </c>
      <c r="C4" s="7">
        <v>11227</v>
      </c>
      <c r="D4" s="11" t="str">
        <f ca="1">VLOOKUP($C4,OFFSET([2]quests!$A$1,0,0,COUNTA([2]quests!$A:$A),MATCH(D$1,[2]quests!$1:$1,0)-MATCH($C$1,[2]quests!$1:$1,0)+1),MATCH(D$1,[2]quests!$1:$1,0)-MATCH($C$1,[2]quests!$1:$1,0)+1,FALSE)</f>
        <v>TVCM第2弾放送記念★特別クエスト</v>
      </c>
      <c r="E4" s="18" t="str">
        <f ca="1">VLOOKUP($C4,OFFSET([2]quests!$A$1,0,0,COUNTA([2]quests!$A:$A),MATCH(E$1,[2]quests!$1:$1,0)-MATCH($C$1,[2]quests!$1:$1,0)+1),MATCH(E$1,[2]quests!$1:$1,0)-MATCH($C$1,[2]quests!$1:$1,0)+1,FALSE)</f>
        <v>TVCM第2弾放送記念★特別クエスト</v>
      </c>
      <c r="F4" s="21">
        <v>1</v>
      </c>
      <c r="G4" s="23" t="str">
        <f>C4&amp;"_"&amp;F4</f>
        <v>11227_1</v>
      </c>
      <c r="H4" s="15" t="str">
        <f ca="1">VLOOKUP($G4,OFFSET([2]stages!$A$1,0,0,COUNTA([2]stages!$A:$A),MATCH(H$1,[2]stages!$2:$2,0)-MATCH($G$1,[2]stages!$2:$2,0)+1),MATCH(H$1,[2]stages!$2:$2,0)-MATCH($G$1,[2]stages!$2:$2,0)+1,FALSE)</f>
        <v>【ALICE日常編】…勘違いじゃないよ。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>G5&amp;"-"&amp;I5</f>
        <v>11227_1-4</v>
      </c>
      <c r="B5" s="16" t="str">
        <f>IF(COUNTIF(enemy_habitats!$H:$H,A5),"OK","NG")</f>
        <v>OK</v>
      </c>
      <c r="C5" s="7">
        <v>11227</v>
      </c>
      <c r="D5" s="11" t="str">
        <f ca="1">VLOOKUP($C5,OFFSET([2]quests!$A$1,0,0,COUNTA([2]quests!$A:$A),MATCH(D$1,[2]quests!$1:$1,0)-MATCH($C$1,[2]quests!$1:$1,0)+1),MATCH(D$1,[2]quests!$1:$1,0)-MATCH($C$1,[2]quests!$1:$1,0)+1,FALSE)</f>
        <v>TVCM第2弾放送記念★特別クエスト</v>
      </c>
      <c r="E5" s="18" t="str">
        <f ca="1">VLOOKUP($C5,OFFSET([2]quests!$A$1,0,0,COUNTA([2]quests!$A:$A),MATCH(E$1,[2]quests!$1:$1,0)-MATCH($C$1,[2]quests!$1:$1,0)+1),MATCH(E$1,[2]quests!$1:$1,0)-MATCH($C$1,[2]quests!$1:$1,0)+1,FALSE)</f>
        <v>TVCM第2弾放送記念★特別クエスト</v>
      </c>
      <c r="F5" s="21">
        <v>1</v>
      </c>
      <c r="G5" s="23" t="str">
        <f>C5&amp;"_"&amp;F5</f>
        <v>11227_1</v>
      </c>
      <c r="H5" s="15" t="str">
        <f ca="1">VLOOKUP($G5,OFFSET([2]stages!$A$1,0,0,COUNTA([2]stages!$A:$A),MATCH(H$1,[2]stages!$2:$2,0)-MATCH($G$1,[2]stages!$2:$2,0)+1),MATCH(H$1,[2]stages!$2:$2,0)-MATCH($G$1,[2]stages!$2:$2,0)+1,FALSE)</f>
        <v>【ALICE日常編】…勘違いじゃないよ。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>G6&amp;"-"&amp;I6</f>
        <v>11227_2-1</v>
      </c>
      <c r="B6" s="16" t="str">
        <f>IF(COUNTIF(enemy_habitats!$H:$H,A6),"OK","NG")</f>
        <v>OK</v>
      </c>
      <c r="C6" s="7">
        <v>11227</v>
      </c>
      <c r="D6" s="11" t="str">
        <f ca="1">VLOOKUP($C6,OFFSET([2]quests!$A$1,0,0,COUNTA([2]quests!$A:$A),MATCH(D$1,[2]quests!$1:$1,0)-MATCH($C$1,[2]quests!$1:$1,0)+1),MATCH(D$1,[2]quests!$1:$1,0)-MATCH($C$1,[2]quests!$1:$1,0)+1,FALSE)</f>
        <v>TVCM第2弾放送記念★特別クエスト</v>
      </c>
      <c r="E6" s="18" t="str">
        <f ca="1">VLOOKUP($C6,OFFSET([2]quests!$A$1,0,0,COUNTA([2]quests!$A:$A),MATCH(E$1,[2]quests!$1:$1,0)-MATCH($C$1,[2]quests!$1:$1,0)+1),MATCH(E$1,[2]quests!$1:$1,0)-MATCH($C$1,[2]quests!$1:$1,0)+1,FALSE)</f>
        <v>TVCM第2弾放送記念★特別クエスト</v>
      </c>
      <c r="F6" s="21">
        <v>2</v>
      </c>
      <c r="G6" s="23" t="str">
        <f>C6&amp;"_"&amp;F6</f>
        <v>11227_2</v>
      </c>
      <c r="H6" s="15" t="str">
        <f ca="1">VLOOKUP($G6,OFFSET([2]stages!$A$1,0,0,COUNTA([2]stages!$A:$A),MATCH(H$1,[2]stages!$2:$2,0)-MATCH($G$1,[2]stages!$2:$2,0)+1),MATCH(H$1,[2]stages!$2:$2,0)-MATCH($G$1,[2]stages!$2:$2,0)+1,FALSE)</f>
        <v>…勘違いじゃないよ。</v>
      </c>
      <c r="I6" s="21">
        <v>1</v>
      </c>
      <c r="J6" s="12">
        <v>60</v>
      </c>
      <c r="K6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9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Y9" sqref="Y9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92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9.1640625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90" t="s">
        <v>180</v>
      </c>
      <c r="U1" s="26" t="s">
        <v>50</v>
      </c>
      <c r="V1" s="90" t="s">
        <v>181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155</v>
      </c>
    </row>
    <row r="2" spans="1:42" ht="21" customHeight="1" x14ac:dyDescent="0.15">
      <c r="A2" s="16" t="str">
        <f t="shared" ref="A2:A9" ca="1" si="0">B2&amp;"_"&amp;C2&amp;"-"&amp;G2&amp;"/"&amp;L2&amp;"&lt;lv"&amp;R2&amp;"&gt;s"&amp;AC2</f>
        <v>11227_1-1/484&lt;lv1&gt;s3</v>
      </c>
      <c r="B2" s="93">
        <v>11227</v>
      </c>
      <c r="C2" s="21">
        <v>1</v>
      </c>
      <c r="D2" s="2" t="str">
        <f t="shared" ref="D2:D9" si="1">B2&amp;"_"&amp;C2</f>
        <v>11227_1</v>
      </c>
      <c r="E2" s="4" t="str">
        <f ca="1">VLOOKUP($B2,OFFSET([2]quests!$A$1,0,0,COUNTA([2]quests!$A:$A),MATCH(E$1,[2]quests!$1:$1,0)-MATCH($B$1,[2]quests!$1:$1,0)+1),MATCH(E$1,[2]quests!$1:$1,0)-MATCH($B$1,[2]quests!$1:$1,0)+1,FALSE)</f>
        <v>TVCM第2弾放送記念★特別クエスト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【ALICE日常編】…勘違いじゃないよ。</v>
      </c>
      <c r="G2" s="21">
        <v>1</v>
      </c>
      <c r="H2" s="15" t="str">
        <f t="shared" ref="H2:H9" si="2">B2&amp;"_"&amp;C2&amp;"-"&amp;G2</f>
        <v>11227_1-1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187</v>
      </c>
      <c r="L2" s="21">
        <v>484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ラグランジュ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PremiumSSS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1</v>
      </c>
      <c r="S2" s="25">
        <v>1</v>
      </c>
      <c r="T2" s="91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2750</v>
      </c>
      <c r="U2" s="25">
        <v>1</v>
      </c>
      <c r="V2" s="91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230</v>
      </c>
      <c r="W2" s="5">
        <v>65535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ラグランジュは 空を見上げてつぶやいた</v>
      </c>
      <c r="Y2" s="62">
        <v>11227000</v>
      </c>
      <c r="Z2" s="6">
        <v>1</v>
      </c>
      <c r="AA2" s="6">
        <v>0</v>
      </c>
      <c r="AB2" s="6">
        <v>2</v>
      </c>
      <c r="AC2" s="17">
        <f ca="1">VLOOKUP($L2,OFFSET([3]enemies!$A$1,0,0,COUNTA([3]enemies!$A:$A),MATCH(AC$1,[3]enemies!$1:$1,0)-MATCH($L$1,[3]enemies!$1:$1,0)+1),MATCH(AC$1,[3]enemies!$1:$1,0)-MATCH($L$1,[3]enemies!$1:$1,0)+1,FALSE)</f>
        <v>3</v>
      </c>
      <c r="AD2" s="24">
        <f t="shared" ref="AD2:AD9" si="3">L2</f>
        <v>484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ラグランジュ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2" s="7">
        <v>1</v>
      </c>
      <c r="AI2" s="24">
        <f t="shared" ref="AI2:AI9" ca="1" si="4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 t="shared" ca="1" si="0"/>
        <v>11227_1-1/619&lt;lv1&gt;s3</v>
      </c>
      <c r="B3" s="22">
        <v>11227</v>
      </c>
      <c r="C3" s="21">
        <v>1</v>
      </c>
      <c r="D3" s="2" t="str">
        <f t="shared" si="1"/>
        <v>11227_1</v>
      </c>
      <c r="E3" s="4" t="str">
        <f ca="1">VLOOKUP($B3,OFFSET([2]quests!$A$1,0,0,COUNTA([2]quests!$A:$A),MATCH(E$1,[2]quests!$1:$1,0)-MATCH($B$1,[2]quests!$1:$1,0)+1),MATCH(E$1,[2]quests!$1:$1,0)-MATCH($B$1,[2]quests!$1:$1,0)+1,FALSE)</f>
        <v>TVCM第2弾放送記念★特別クエスト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【ALICE日常編】…勘違いじゃないよ。</v>
      </c>
      <c r="G3" s="21">
        <v>1</v>
      </c>
      <c r="H3" s="15" t="str">
        <f t="shared" si="2"/>
        <v>11227_1-1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1">
        <v>619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メビウス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PremiumSSS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1</v>
      </c>
      <c r="S3" s="25">
        <v>1</v>
      </c>
      <c r="T3" s="91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3055</v>
      </c>
      <c r="U3" s="25">
        <v>1</v>
      </c>
      <c r="V3" s="91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246</v>
      </c>
      <c r="W3" s="5">
        <v>65535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メビウスは 星占いの結果を待ちわびている</v>
      </c>
      <c r="Y3" s="62">
        <v>11227100</v>
      </c>
      <c r="Z3" s="6">
        <v>1</v>
      </c>
      <c r="AA3" s="6">
        <v>0</v>
      </c>
      <c r="AB3" s="6">
        <v>1</v>
      </c>
      <c r="AC3" s="17">
        <f ca="1">VLOOKUP($L3,OFFSET([3]enemies!$A$1,0,0,COUNTA([3]enemies!$A:$A),MATCH(AC$1,[3]enemies!$1:$1,0)-MATCH($L$1,[3]enemies!$1:$1,0)+1),MATCH(AC$1,[3]enemies!$1:$1,0)-MATCH($L$1,[3]enemies!$1:$1,0)+1,FALSE)</f>
        <v>3</v>
      </c>
      <c r="AD3" s="24">
        <f t="shared" si="3"/>
        <v>619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メビウス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3" s="7">
        <v>1</v>
      </c>
      <c r="AI3" s="24">
        <f t="shared" ca="1" si="4"/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6" t="str">
        <f t="shared" ca="1" si="0"/>
        <v>11227_1-2/203&lt;lv1&gt;s3</v>
      </c>
      <c r="B4" s="93">
        <v>11227</v>
      </c>
      <c r="C4" s="21">
        <v>1</v>
      </c>
      <c r="D4" s="2" t="str">
        <f t="shared" si="1"/>
        <v>11227_1</v>
      </c>
      <c r="E4" s="4" t="str">
        <f ca="1">VLOOKUP($B4,OFFSET([2]quests!$A$1,0,0,COUNTA([2]quests!$A:$A),MATCH(E$1,[2]quests!$1:$1,0)-MATCH($B$1,[2]quests!$1:$1,0)+1),MATCH(E$1,[2]quests!$1:$1,0)-MATCH($B$1,[2]quests!$1:$1,0)+1,FALSE)</f>
        <v>TVCM第2弾放送記念★特別クエスト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【ALICE日常編】…勘違いじゃないよ。</v>
      </c>
      <c r="G4" s="21">
        <v>2</v>
      </c>
      <c r="H4" s="15" t="str">
        <f t="shared" si="2"/>
        <v>11227_1-2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188</v>
      </c>
      <c r="L4" s="21">
        <v>203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焔神 プロメテウス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god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1</v>
      </c>
      <c r="S4" s="25">
        <v>0.4</v>
      </c>
      <c r="T4" s="91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2714.4</v>
      </c>
      <c r="U4" s="25">
        <v>1</v>
      </c>
      <c r="V4" s="91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172</v>
      </c>
      <c r="W4" s="5">
        <v>65535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プロメテウスは ドキッとした</v>
      </c>
      <c r="Y4" s="62">
        <v>11227300</v>
      </c>
      <c r="Z4" s="6">
        <v>1</v>
      </c>
      <c r="AA4" s="6">
        <v>0</v>
      </c>
      <c r="AB4" s="6">
        <v>2</v>
      </c>
      <c r="AC4" s="17">
        <f ca="1">VLOOKUP($L4,OFFSET([3]enemies!$A$1,0,0,COUNTA([3]enemies!$A:$A),MATCH(AC$1,[3]enemies!$1:$1,0)-MATCH($L$1,[3]enemies!$1:$1,0)+1),MATCH(AC$1,[3]enemies!$1:$1,0)-MATCH($L$1,[3]enemies!$1:$1,0)+1,FALSE)</f>
        <v>3</v>
      </c>
      <c r="AD4" s="24">
        <f t="shared" si="3"/>
        <v>203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焔神 プロメテウス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4" s="7">
        <v>1</v>
      </c>
      <c r="AI4" s="24">
        <f t="shared" ca="1" si="4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6" t="str">
        <f t="shared" ca="1" si="0"/>
        <v>11227_1-2/619&lt;lv1&gt;s3</v>
      </c>
      <c r="B5" s="22">
        <v>11227</v>
      </c>
      <c r="C5" s="21">
        <v>1</v>
      </c>
      <c r="D5" s="2" t="str">
        <f t="shared" si="1"/>
        <v>11227_1</v>
      </c>
      <c r="E5" s="4" t="str">
        <f ca="1">VLOOKUP($B5,OFFSET([2]quests!$A$1,0,0,COUNTA([2]quests!$A:$A),MATCH(E$1,[2]quests!$1:$1,0)-MATCH($B$1,[2]quests!$1:$1,0)+1),MATCH(E$1,[2]quests!$1:$1,0)-MATCH($B$1,[2]quests!$1:$1,0)+1,FALSE)</f>
        <v>TVCM第2弾放送記念★特別クエスト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【ALICE日常編】…勘違いじゃないよ。</v>
      </c>
      <c r="G5" s="21">
        <v>2</v>
      </c>
      <c r="H5" s="15" t="str">
        <f t="shared" si="2"/>
        <v>11227_1-2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21">
        <v>619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メビウス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PremiumSSS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1</v>
      </c>
      <c r="S5" s="25">
        <v>1</v>
      </c>
      <c r="T5" s="91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3055</v>
      </c>
      <c r="U5" s="25">
        <v>1</v>
      </c>
      <c r="V5" s="91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246</v>
      </c>
      <c r="W5" s="5">
        <v>65535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メビウスは 後ろから声をかけた</v>
      </c>
      <c r="Y5" s="62">
        <v>11227200</v>
      </c>
      <c r="Z5" s="6">
        <v>1</v>
      </c>
      <c r="AA5" s="6">
        <v>0</v>
      </c>
      <c r="AB5" s="6">
        <v>1</v>
      </c>
      <c r="AC5" s="17">
        <f ca="1">VLOOKUP($L5,OFFSET([3]enemies!$A$1,0,0,COUNTA([3]enemies!$A:$A),MATCH(AC$1,[3]enemies!$1:$1,0)-MATCH($L$1,[3]enemies!$1:$1,0)+1),MATCH(AC$1,[3]enemies!$1:$1,0)-MATCH($L$1,[3]enemies!$1:$1,0)+1,FALSE)</f>
        <v>3</v>
      </c>
      <c r="AD5" s="24">
        <f t="shared" si="3"/>
        <v>619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メビウス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5" s="7">
        <v>1</v>
      </c>
      <c r="AI5" s="24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  <row r="6" spans="1:42" ht="21" customHeight="1" x14ac:dyDescent="0.15">
      <c r="A6" s="16" t="str">
        <f t="shared" ca="1" si="0"/>
        <v>11227_1-3/330&lt;lv1&gt;s2</v>
      </c>
      <c r="B6" s="93">
        <v>11227</v>
      </c>
      <c r="C6" s="21">
        <v>1</v>
      </c>
      <c r="D6" s="2" t="str">
        <f t="shared" si="1"/>
        <v>11227_1</v>
      </c>
      <c r="E6" s="4" t="str">
        <f ca="1">VLOOKUP($B6,OFFSET([2]quests!$A$1,0,0,COUNTA([2]quests!$A:$A),MATCH(E$1,[2]quests!$1:$1,0)-MATCH($B$1,[2]quests!$1:$1,0)+1),MATCH(E$1,[2]quests!$1:$1,0)-MATCH($B$1,[2]quests!$1:$1,0)+1,FALSE)</f>
        <v>TVCM第2弾放送記念★特別クエスト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【ALICE日常編】…勘違いじゃないよ。</v>
      </c>
      <c r="G6" s="21">
        <v>3</v>
      </c>
      <c r="H6" s="15" t="str">
        <f t="shared" si="2"/>
        <v>11227_1-3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89</v>
      </c>
      <c r="L6" s="21">
        <v>330</v>
      </c>
      <c r="M6" s="17" t="str">
        <f ca="1">VLOOKUP($L6,OFFSET([3]enemies!$A$1,0,0,COUNTA([3]enemies!$A:$A),MATCH(M$1,[3]enemies!$1:$1,0)-MATCH($L$1,[3]enemies!$1:$1,0)+1),MATCH(M$1,[3]enemies!$1:$1,0)-MATCH($L$1,[3]enemies!$1:$1,0)+1,FALSE)</f>
        <v>UsagiChan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machine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1</v>
      </c>
      <c r="S6" s="25">
        <v>0.4</v>
      </c>
      <c r="T6" s="91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1700</v>
      </c>
      <c r="U6" s="25">
        <v>1</v>
      </c>
      <c r="V6" s="91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268</v>
      </c>
      <c r="W6" s="5">
        <v>65535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UsagiChan はミミをこちらに折り曲げた</v>
      </c>
      <c r="Y6" s="62">
        <v>11227800</v>
      </c>
      <c r="Z6" s="6">
        <v>1</v>
      </c>
      <c r="AA6" s="6">
        <v>0</v>
      </c>
      <c r="AB6" s="6">
        <v>2</v>
      </c>
      <c r="AC6" s="17">
        <f ca="1">VLOOKUP($L6,OFFSET([3]enemies!$A$1,0,0,COUNTA([3]enemies!$A:$A),MATCH(AC$1,[3]enemies!$1:$1,0)-MATCH($L$1,[3]enemies!$1:$1,0)+1),MATCH(AC$1,[3]enemies!$1:$1,0)-MATCH($L$1,[3]enemies!$1:$1,0)+1,FALSE)</f>
        <v>2</v>
      </c>
      <c r="AD6" s="24">
        <f t="shared" si="3"/>
        <v>330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UsagiChan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DropWizSSS</v>
      </c>
      <c r="AH6" s="7">
        <v>1</v>
      </c>
      <c r="AI6" s="24">
        <f t="shared" ca="1" si="4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8">
        <v>1</v>
      </c>
    </row>
    <row r="7" spans="1:42" ht="21" customHeight="1" x14ac:dyDescent="0.15">
      <c r="A7" s="16" t="str">
        <f t="shared" ca="1" si="0"/>
        <v>11227_1-3/619&lt;lv1&gt;s3</v>
      </c>
      <c r="B7" s="22">
        <v>11227</v>
      </c>
      <c r="C7" s="21">
        <v>1</v>
      </c>
      <c r="D7" s="2" t="str">
        <f t="shared" si="1"/>
        <v>11227_1</v>
      </c>
      <c r="E7" s="4" t="str">
        <f ca="1">VLOOKUP($B7,OFFSET([2]quests!$A$1,0,0,COUNTA([2]quests!$A:$A),MATCH(E$1,[2]quests!$1:$1,0)-MATCH($B$1,[2]quests!$1:$1,0)+1),MATCH(E$1,[2]quests!$1:$1,0)-MATCH($B$1,[2]quests!$1:$1,0)+1,FALSE)</f>
        <v>TVCM第2弾放送記念★特別クエスト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【ALICE日常編】…勘違いじゃないよ。</v>
      </c>
      <c r="G7" s="21">
        <v>3</v>
      </c>
      <c r="H7" s="15" t="str">
        <f t="shared" si="2"/>
        <v>11227_1-3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89</v>
      </c>
      <c r="L7" s="21">
        <v>619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メビウス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PremiumSSS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1</v>
      </c>
      <c r="S7" s="25">
        <v>1</v>
      </c>
      <c r="T7" s="91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3055</v>
      </c>
      <c r="U7" s="25">
        <v>1</v>
      </c>
      <c r="V7" s="91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246</v>
      </c>
      <c r="W7" s="5">
        <v>65535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私、ある人を 探しているのですが…</v>
      </c>
      <c r="Y7" s="62">
        <v>11227700</v>
      </c>
      <c r="Z7" s="6">
        <v>1</v>
      </c>
      <c r="AA7" s="6">
        <v>0</v>
      </c>
      <c r="AB7" s="6">
        <v>1</v>
      </c>
      <c r="AC7" s="17">
        <f ca="1">VLOOKUP($L7,OFFSET([3]enemies!$A$1,0,0,COUNTA([3]enemies!$A:$A),MATCH(AC$1,[3]enemies!$1:$1,0)-MATCH($L$1,[3]enemies!$1:$1,0)+1),MATCH(AC$1,[3]enemies!$1:$1,0)-MATCH($L$1,[3]enemies!$1:$1,0)+1,FALSE)</f>
        <v>3</v>
      </c>
      <c r="AD7" s="24">
        <f t="shared" si="3"/>
        <v>619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メビウス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7" s="7">
        <v>1</v>
      </c>
      <c r="AI7" s="24">
        <f t="shared" ca="1" si="4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8">
        <v>1</v>
      </c>
    </row>
    <row r="8" spans="1:42" ht="21" customHeight="1" x14ac:dyDescent="0.15">
      <c r="A8" s="16" t="str">
        <f t="shared" ca="1" si="0"/>
        <v>11227_1-4/619&lt;lv1&gt;s3</v>
      </c>
      <c r="B8" s="22">
        <v>11227</v>
      </c>
      <c r="C8" s="21">
        <v>1</v>
      </c>
      <c r="D8" s="2" t="str">
        <f t="shared" si="1"/>
        <v>11227_1</v>
      </c>
      <c r="E8" s="4" t="str">
        <f ca="1">VLOOKUP($B8,OFFSET([2]quests!$A$1,0,0,COUNTA([2]quests!$A:$A),MATCH(E$1,[2]quests!$1:$1,0)-MATCH($B$1,[2]quests!$1:$1,0)+1),MATCH(E$1,[2]quests!$1:$1,0)-MATCH($B$1,[2]quests!$1:$1,0)+1,FALSE)</f>
        <v>TVCM第2弾放送記念★特別クエスト</v>
      </c>
      <c r="F8" s="4" t="str">
        <f ca="1">VLOOKUP($D8,OFFSET([2]stages!$A$1,0,0,COUNTA([2]stages!$A:$A),MATCH(F$1,[2]stages!$2:$2,0)-MATCH($D$1,[2]stages!$2:$2,0)+1),MATCH(F$1,[2]stages!$2:$2,0)-MATCH($D$1,[2]stages!$2:$2,0)+1,FALSE)</f>
        <v>【ALICE日常編】…勘違いじゃないよ。</v>
      </c>
      <c r="G8" s="21">
        <v>4</v>
      </c>
      <c r="H8" s="15" t="str">
        <f t="shared" si="2"/>
        <v>11227_1-4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21">
        <v>619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メビウス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PremiumSSS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1</v>
      </c>
      <c r="S8" s="25">
        <v>1</v>
      </c>
      <c r="T8" s="91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3055</v>
      </c>
      <c r="U8" s="25">
        <v>1</v>
      </c>
      <c r="V8" s="91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246</v>
      </c>
      <c r="W8" s="5">
        <v>65535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メビウスは アナタを探していたようだ</v>
      </c>
      <c r="Y8" s="62">
        <v>11227500</v>
      </c>
      <c r="Z8" s="6">
        <v>1</v>
      </c>
      <c r="AA8" s="6">
        <v>0</v>
      </c>
      <c r="AB8" s="6">
        <v>1</v>
      </c>
      <c r="AC8" s="17">
        <f ca="1">VLOOKUP($L8,OFFSET([3]enemies!$A$1,0,0,COUNTA([3]enemies!$A:$A),MATCH(AC$1,[3]enemies!$1:$1,0)-MATCH($L$1,[3]enemies!$1:$1,0)+1),MATCH(AC$1,[3]enemies!$1:$1,0)-MATCH($L$1,[3]enemies!$1:$1,0)+1,FALSE)</f>
        <v>3</v>
      </c>
      <c r="AD8" s="24">
        <f t="shared" si="3"/>
        <v>619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メビウス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8" s="7">
        <v>1</v>
      </c>
      <c r="AI8" s="24">
        <f t="shared" ca="1" si="4"/>
        <v>4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8">
        <v>1</v>
      </c>
    </row>
    <row r="9" spans="1:42" ht="21" customHeight="1" x14ac:dyDescent="0.15">
      <c r="A9" s="16" t="str">
        <f t="shared" ca="1" si="0"/>
        <v>11227_2-1/619&lt;lv1&gt;s3</v>
      </c>
      <c r="B9" s="22">
        <v>11227</v>
      </c>
      <c r="C9" s="21">
        <v>2</v>
      </c>
      <c r="D9" s="2" t="str">
        <f t="shared" si="1"/>
        <v>11227_2</v>
      </c>
      <c r="E9" s="4" t="str">
        <f ca="1">VLOOKUP($B9,OFFSET([2]quests!$A$1,0,0,COUNTA([2]quests!$A:$A),MATCH(E$1,[2]quests!$1:$1,0)-MATCH($B$1,[2]quests!$1:$1,0)+1),MATCH(E$1,[2]quests!$1:$1,0)-MATCH($B$1,[2]quests!$1:$1,0)+1,FALSE)</f>
        <v>TVCM第2弾放送記念★特別クエスト</v>
      </c>
      <c r="F9" s="4" t="str">
        <f ca="1">VLOOKUP($D9,OFFSET([2]stages!$A$1,0,0,COUNTA([2]stages!$A:$A),MATCH(F$1,[2]stages!$2:$2,0)-MATCH($D$1,[2]stages!$2:$2,0)+1),MATCH(F$1,[2]stages!$2:$2,0)-MATCH($D$1,[2]stages!$2:$2,0)+1,FALSE)</f>
        <v>…勘違いじゃないよ。</v>
      </c>
      <c r="G9" s="21">
        <v>1</v>
      </c>
      <c r="H9" s="15" t="str">
        <f t="shared" si="2"/>
        <v>11227_2-1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21">
        <v>619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メビウス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PremiumSSS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1</v>
      </c>
      <c r="S9" s="25">
        <v>1</v>
      </c>
      <c r="T9" s="91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3055</v>
      </c>
      <c r="U9" s="25">
        <v>1</v>
      </c>
      <c r="V9" s="91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246</v>
      </c>
      <c r="W9" s="5">
        <v>65535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メビウスが アナタに声をかけてきた</v>
      </c>
      <c r="Y9" s="62">
        <v>11227600</v>
      </c>
      <c r="Z9" s="6">
        <v>1</v>
      </c>
      <c r="AA9" s="6">
        <v>0</v>
      </c>
      <c r="AB9" s="6">
        <v>1</v>
      </c>
      <c r="AC9" s="17">
        <f ca="1">VLOOKUP($L9,OFFSET([3]enemies!$A$1,0,0,COUNTA([3]enemies!$A:$A),MATCH(AC$1,[3]enemies!$1:$1,0)-MATCH($L$1,[3]enemies!$1:$1,0)+1),MATCH(AC$1,[3]enemies!$1:$1,0)-MATCH($L$1,[3]enemies!$1:$1,0)+1,FALSE)</f>
        <v>3</v>
      </c>
      <c r="AD9" s="24">
        <f t="shared" si="3"/>
        <v>619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メビウス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9" s="7">
        <v>1</v>
      </c>
      <c r="AI9" s="24">
        <f t="shared" ca="1" si="4"/>
        <v>4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8">
        <v>1</v>
      </c>
    </row>
  </sheetData>
  <sheetProtection selectLockedCells="1" selectUnlockedCells="1"/>
  <autoFilter ref="B1:AJ3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Z6" sqref="Z6:Z7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90" t="s">
        <v>180</v>
      </c>
      <c r="V1" s="26" t="s">
        <v>50</v>
      </c>
      <c r="W1" s="90" t="s">
        <v>181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11227_1-2/621&lt;lv1&gt;sq1st2</v>
      </c>
      <c r="B2" s="22">
        <v>11227</v>
      </c>
      <c r="C2" s="21">
        <v>1</v>
      </c>
      <c r="D2" s="2" t="str">
        <f>B2&amp;"_"&amp;C2</f>
        <v>11227_1</v>
      </c>
      <c r="E2" s="4" t="str">
        <f ca="1">VLOOKUP($B2,OFFSET([2]quests!$A$1,0,0,COUNTA([2]quests!$A:$A),MATCH(E$1,[2]quests!$1:$1,0)-MATCH($B$1,[2]quests!$1:$1,0)+1),MATCH(E$1,[2]quests!$1:$1,0)-MATCH($B$1,[2]quests!$1:$1,0)+1,FALSE)</f>
        <v>TVCM第2弾放送記念★特別クエスト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【ALICE日常編】…勘違いじゃないよ。</v>
      </c>
      <c r="G2" s="21">
        <v>2</v>
      </c>
      <c r="H2" s="15" t="str">
        <f>B2&amp;"_"&amp;C2&amp;"-"&amp;G2</f>
        <v>11227_1-2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621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終わりなき奇跡 メビウス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1</v>
      </c>
      <c r="T2" s="25">
        <v>1</v>
      </c>
      <c r="U2" s="91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3995</v>
      </c>
      <c r="V2" s="25">
        <v>1</v>
      </c>
      <c r="W2" s="91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265</v>
      </c>
      <c r="X2" s="5">
        <v>65535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プロメテウスに近づいてゆく</v>
      </c>
      <c r="Z2" s="47">
        <v>11227201</v>
      </c>
      <c r="AA2" s="69">
        <f ca="1">VLOOKUP($M2,OFFSET([3]enemies!$A$1,0,0,COUNTA([3]enemies!$A:$A),MATCH(AA$1,[3]enemies!$1:$1,0)-MATCH($M$1,[3]enemies!$1:$1,0)+1),MATCH(AA$1,[3]enemies!$1:$1,0)-MATCH($M$1,[3]enemies!$1:$1,0)+1,FALSE)</f>
        <v>3</v>
      </c>
    </row>
    <row r="3" spans="1:27" ht="21" customHeight="1" x14ac:dyDescent="0.15">
      <c r="A3" s="16" t="str">
        <f>B3&amp;"_"&amp;C3&amp;"-"&amp;G3&amp;"/"&amp;M3&amp;"&lt;lv"&amp;S3&amp;"&gt;sq"&amp;K3&amp;"st"&amp;L3</f>
        <v>11227_1-2/1056&lt;lv1&gt;sq1st3</v>
      </c>
      <c r="B3" s="22">
        <v>11227</v>
      </c>
      <c r="C3" s="21">
        <v>1</v>
      </c>
      <c r="D3" s="2" t="str">
        <f>B3&amp;"_"&amp;C3</f>
        <v>11227_1</v>
      </c>
      <c r="E3" s="4" t="str">
        <f ca="1">VLOOKUP($B3,OFFSET([2]quests!$A$1,0,0,COUNTA([2]quests!$A:$A),MATCH(E$1,[2]quests!$1:$1,0)-MATCH($B$1,[2]quests!$1:$1,0)+1),MATCH(E$1,[2]quests!$1:$1,0)-MATCH($B$1,[2]quests!$1:$1,0)+1,FALSE)</f>
        <v>TVCM第2弾放送記念★特別クエスト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【ALICE日常編】…勘違いじゃないよ。</v>
      </c>
      <c r="G3" s="21">
        <v>2</v>
      </c>
      <c r="H3" s="15" t="str">
        <f>B3&amp;"_"&amp;C3&amp;"-"&amp;G3</f>
        <v>11227_1-2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3</v>
      </c>
      <c r="M3" s="20">
        <v>1056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神解の預欺皇 オセ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demon</v>
      </c>
      <c r="R3" s="17">
        <f ca="1">VLOOKUP($M3,OFFSET([3]enemies!$A$1,0,0,COUNTA([3]enemies!$A:$A),MATCH(R$1,[3]enemies!$1:$1,0)-MATCH($M$1,[3]enemies!$1:$1,0)+1),MATCH(R$1,[3]enemies!$1:$1,0)-MATCH($M$1,[3]enemies!$1:$1,0)+1,FALSE)</f>
        <v>30</v>
      </c>
      <c r="S3" s="5">
        <v>1</v>
      </c>
      <c r="T3" s="25">
        <v>1</v>
      </c>
      <c r="U3" s="91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4335</v>
      </c>
      <c r="V3" s="25">
        <v>1</v>
      </c>
      <c r="W3" s="91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356</v>
      </c>
      <c r="X3" s="5">
        <v>65535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オセが 割って入ってきた！</v>
      </c>
      <c r="Z3" s="47">
        <v>11227400</v>
      </c>
      <c r="AA3" s="69">
        <f ca="1">VLOOKUP($M3,OFFSET([3]enemies!$A$1,0,0,COUNTA([3]enemies!$A:$A),MATCH(AA$1,[3]enemies!$1:$1,0)-MATCH($M$1,[3]enemies!$1:$1,0)+1),MATCH(AA$1,[3]enemies!$1:$1,0)-MATCH($M$1,[3]enemies!$1:$1,0)+1,FALSE)</f>
        <v>3</v>
      </c>
    </row>
    <row r="4" spans="1:27" ht="21" customHeight="1" x14ac:dyDescent="0.15">
      <c r="A4" s="16" t="str">
        <f>B4&amp;"_"&amp;C4&amp;"-"&amp;G4&amp;"/"&amp;M4&amp;"&lt;lv"&amp;S4&amp;"&gt;sq"&amp;K4&amp;"st"&amp;L4</f>
        <v>11227_1-4/621&lt;lv1&gt;sq1st2</v>
      </c>
      <c r="B4" s="22">
        <v>11227</v>
      </c>
      <c r="C4" s="21">
        <v>1</v>
      </c>
      <c r="D4" s="2" t="str">
        <f>B4&amp;"_"&amp;C4</f>
        <v>11227_1</v>
      </c>
      <c r="E4" s="4" t="str">
        <f ca="1">VLOOKUP($B4,OFFSET([2]quests!$A$1,0,0,COUNTA([2]quests!$A:$A),MATCH(E$1,[2]quests!$1:$1,0)-MATCH($B$1,[2]quests!$1:$1,0)+1),MATCH(E$1,[2]quests!$1:$1,0)-MATCH($B$1,[2]quests!$1:$1,0)+1,FALSE)</f>
        <v>TVCM第2弾放送記念★特別クエスト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【ALICE日常編】…勘違いじゃないよ。</v>
      </c>
      <c r="G4" s="21">
        <v>4</v>
      </c>
      <c r="H4" s="15" t="str">
        <f>B4&amp;"_"&amp;C4&amp;"-"&amp;G4</f>
        <v>11227_1-4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38">
        <v>2</v>
      </c>
      <c r="M4" s="20">
        <v>621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終わりなき奇跡 メビウス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30</v>
      </c>
      <c r="S4" s="5">
        <v>1</v>
      </c>
      <c r="T4" s="25">
        <v>1</v>
      </c>
      <c r="U4" s="91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3995</v>
      </c>
      <c r="V4" s="25">
        <v>1</v>
      </c>
      <c r="W4" s="91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265</v>
      </c>
      <c r="X4" s="5">
        <v>65535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メビウスは アナタに近づいてきた</v>
      </c>
      <c r="Z4" s="47">
        <v>11227501</v>
      </c>
      <c r="AA4" s="69">
        <f ca="1">VLOOKUP($M4,OFFSET([3]enemies!$A$1,0,0,COUNTA([3]enemies!$A:$A),MATCH(AA$1,[3]enemies!$1:$1,0)-MATCH($M$1,[3]enemies!$1:$1,0)+1),MATCH(AA$1,[3]enemies!$1:$1,0)-MATCH($M$1,[3]enemies!$1:$1,0)+1,FALSE)</f>
        <v>3</v>
      </c>
    </row>
    <row r="5" spans="1:27" ht="21" customHeight="1" x14ac:dyDescent="0.15">
      <c r="A5" s="16" t="str">
        <f>B5&amp;"_"&amp;C5&amp;"-"&amp;G5&amp;"/"&amp;M5&amp;"&lt;lv"&amp;S5&amp;"&gt;sq"&amp;K5&amp;"st"&amp;L5</f>
        <v>11227_1-4/621&lt;lv1&gt;sq1st3</v>
      </c>
      <c r="B5" s="22">
        <v>11227</v>
      </c>
      <c r="C5" s="21">
        <v>1</v>
      </c>
      <c r="D5" s="2" t="str">
        <f>B5&amp;"_"&amp;C5</f>
        <v>11227_1</v>
      </c>
      <c r="E5" s="4" t="str">
        <f ca="1">VLOOKUP($B5,OFFSET([2]quests!$A$1,0,0,COUNTA([2]quests!$A:$A),MATCH(E$1,[2]quests!$1:$1,0)-MATCH($B$1,[2]quests!$1:$1,0)+1),MATCH(E$1,[2]quests!$1:$1,0)-MATCH($B$1,[2]quests!$1:$1,0)+1,FALSE)</f>
        <v>TVCM第2弾放送記念★特別クエスト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【ALICE日常編】…勘違いじゃないよ。</v>
      </c>
      <c r="G5" s="21">
        <v>4</v>
      </c>
      <c r="H5" s="15" t="str">
        <f>B5&amp;"_"&amp;C5&amp;"-"&amp;G5</f>
        <v>11227_1-4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38">
        <v>3</v>
      </c>
      <c r="M5" s="20">
        <v>621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終わりなき奇跡 メビウス</v>
      </c>
      <c r="O5" s="17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30</v>
      </c>
      <c r="S5" s="5">
        <v>1</v>
      </c>
      <c r="T5" s="25">
        <v>0.1</v>
      </c>
      <c r="U5" s="91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399.5</v>
      </c>
      <c r="V5" s="25">
        <v>1</v>
      </c>
      <c r="W5" s="91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265</v>
      </c>
      <c r="X5" s="5">
        <v>65535</v>
      </c>
      <c r="Y5" s="4" t="str">
        <f ca="1">VLOOKUP($Z5,OFFSET(enemy_skill_sets!$B$1,0,0,COUNTA(enemy_skill_sets!$B:$B),MATCH(N$1,enemy_skill_sets!$1:$1,0)-MATCH($Z$1,enemy_skill_sets!$1:$1,0)+2),MATCH(N$1,enemy_skill_sets!$1:$1,0)-MATCH($Z$1,enemy_skill_sets!$1:$1,0)+2,FALSE)</f>
        <v>メビウスは さらに近づいてきた</v>
      </c>
      <c r="Z5" s="47">
        <v>11227502</v>
      </c>
      <c r="AA5" s="69">
        <f ca="1">VLOOKUP($M5,OFFSET([3]enemies!$A$1,0,0,COUNTA([3]enemies!$A:$A),MATCH(AA$1,[3]enemies!$1:$1,0)-MATCH($M$1,[3]enemies!$1:$1,0)+1),MATCH(AA$1,[3]enemies!$1:$1,0)-MATCH($M$1,[3]enemies!$1:$1,0)+1,FALSE)</f>
        <v>3</v>
      </c>
    </row>
    <row r="6" spans="1:27" ht="21" customHeight="1" x14ac:dyDescent="0.15">
      <c r="A6" s="16" t="str">
        <f>B6&amp;"_"&amp;C6&amp;"-"&amp;G6&amp;"/"&amp;M6&amp;"&lt;lv"&amp;S6&amp;"&gt;sq"&amp;K6&amp;"st"&amp;L6</f>
        <v>11227_2-1/620&lt;lv1&gt;sq1st2</v>
      </c>
      <c r="B6" s="22">
        <v>11227</v>
      </c>
      <c r="C6" s="21">
        <v>2</v>
      </c>
      <c r="D6" s="2" t="str">
        <f>B6&amp;"_"&amp;C6</f>
        <v>11227_2</v>
      </c>
      <c r="E6" s="4" t="str">
        <f ca="1">VLOOKUP($B6,OFFSET([2]quests!$A$1,0,0,COUNTA([2]quests!$A:$A),MATCH(E$1,[2]quests!$1:$1,0)-MATCH($B$1,[2]quests!$1:$1,0)+1),MATCH(E$1,[2]quests!$1:$1,0)-MATCH($B$1,[2]quests!$1:$1,0)+1,FALSE)</f>
        <v>TVCM第2弾放送記念★特別クエスト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…勘違いじゃないよ。</v>
      </c>
      <c r="G6" s="21">
        <v>1</v>
      </c>
      <c r="H6" s="15" t="str">
        <f>B6&amp;"_"&amp;C6&amp;"-"&amp;G6</f>
        <v>11227_2-1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38">
        <v>2</v>
      </c>
      <c r="M6" s="20">
        <v>620</v>
      </c>
      <c r="N6" s="17" t="str">
        <f ca="1">VLOOKUP($M6,OFFSET([3]enemies!$A$1,0,0,COUNTA([3]enemies!$A:$A),MATCH(N$1,[3]enemies!$1:$1,0)-MATCH($M$1,[3]enemies!$1:$1,0)+1),MATCH(N$1,[3]enemies!$1:$1,0)-MATCH($M$1,[3]enemies!$1:$1,0)+1,FALSE)</f>
        <v>奇跡の調和 メビウス</v>
      </c>
      <c r="O6" s="17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PremiumSSS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7">
        <f ca="1">VLOOKUP($M6,OFFSET([3]enemies!$A$1,0,0,COUNTA([3]enemies!$A:$A),MATCH(R$1,[3]enemies!$1:$1,0)-MATCH($M$1,[3]enemies!$1:$1,0)+1),MATCH(R$1,[3]enemies!$1:$1,0)-MATCH($M$1,[3]enemies!$1:$1,0)+1,FALSE)</f>
        <v>30</v>
      </c>
      <c r="S6" s="5">
        <v>1</v>
      </c>
      <c r="T6" s="25">
        <v>1</v>
      </c>
      <c r="U6" s="91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3995</v>
      </c>
      <c r="V6" s="25">
        <v>1</v>
      </c>
      <c r="W6" s="91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265</v>
      </c>
      <c r="X6" s="5">
        <v>65535</v>
      </c>
      <c r="Y6" s="4" t="str">
        <f ca="1">VLOOKUP($Z6,OFFSET(enemy_skill_sets!$B$1,0,0,COUNTA(enemy_skill_sets!$B:$B),MATCH(N$1,enemy_skill_sets!$1:$1,0)-MATCH($Z$1,enemy_skill_sets!$1:$1,0)+2),MATCH(N$1,enemy_skill_sets!$1:$1,0)-MATCH($Z$1,enemy_skill_sets!$1:$1,0)+2,FALSE)</f>
        <v>（た、ためてー）</v>
      </c>
      <c r="Z6" s="62">
        <v>11227601</v>
      </c>
      <c r="AA6" s="69">
        <f ca="1">VLOOKUP($M6,OFFSET([3]enemies!$A$1,0,0,COUNTA([3]enemies!$A:$A),MATCH(AA$1,[3]enemies!$1:$1,0)-MATCH($M$1,[3]enemies!$1:$1,0)+1),MATCH(AA$1,[3]enemies!$1:$1,0)-MATCH($M$1,[3]enemies!$1:$1,0)+1,FALSE)</f>
        <v>3</v>
      </c>
    </row>
    <row r="7" spans="1:27" ht="21" customHeight="1" x14ac:dyDescent="0.15">
      <c r="A7" s="16" t="str">
        <f>B7&amp;"_"&amp;C7&amp;"-"&amp;G7&amp;"/"&amp;M7&amp;"&lt;lv"&amp;S7&amp;"&gt;sq"&amp;K7&amp;"st"&amp;L7</f>
        <v>11227_2-1/621&lt;lv1&gt;sq1st3</v>
      </c>
      <c r="B7" s="22">
        <v>11227</v>
      </c>
      <c r="C7" s="21">
        <v>2</v>
      </c>
      <c r="D7" s="2" t="str">
        <f>B7&amp;"_"&amp;C7</f>
        <v>11227_2</v>
      </c>
      <c r="E7" s="4" t="str">
        <f ca="1">VLOOKUP($B7,OFFSET([2]quests!$A$1,0,0,COUNTA([2]quests!$A:$A),MATCH(E$1,[2]quests!$1:$1,0)-MATCH($B$1,[2]quests!$1:$1,0)+1),MATCH(E$1,[2]quests!$1:$1,0)-MATCH($B$1,[2]quests!$1:$1,0)+1,FALSE)</f>
        <v>TVCM第2弾放送記念★特別クエスト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…勘違いじゃないよ。</v>
      </c>
      <c r="G7" s="21">
        <v>1</v>
      </c>
      <c r="H7" s="15" t="str">
        <f>B7&amp;"_"&amp;C7&amp;"-"&amp;G7</f>
        <v>11227_2-1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38">
        <v>3</v>
      </c>
      <c r="M7" s="20">
        <v>621</v>
      </c>
      <c r="N7" s="17" t="str">
        <f ca="1">VLOOKUP($M7,OFFSET([3]enemies!$A$1,0,0,COUNTA([3]enemies!$A:$A),MATCH(N$1,[3]enemies!$1:$1,0)-MATCH($M$1,[3]enemies!$1:$1,0)+1),MATCH(N$1,[3]enemies!$1:$1,0)-MATCH($M$1,[3]enemies!$1:$1,0)+1,FALSE)</f>
        <v>終わりなき奇跡 メビウス</v>
      </c>
      <c r="O7" s="17" t="str">
        <f ca="1">VLOOKUP($M7,OFFSET([3]enemies!$A$1,0,0,COUNTA([3]enemies!$A:$A),MATCH(O$1,[3]enemies!$1:$1,0)-MATCH($M$1,[3]enemies!$1:$1,0)+1),MATCH(O$1,[3]enemies!$1:$1,0)-MATCH($M$1,[3]enemies!$1:$1,0)+1,FALSE)</f>
        <v>blue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PremiumSSS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7">
        <f ca="1">VLOOKUP($M7,OFFSET([3]enemies!$A$1,0,0,COUNTA([3]enemies!$A:$A),MATCH(R$1,[3]enemies!$1:$1,0)-MATCH($M$1,[3]enemies!$1:$1,0)+1),MATCH(R$1,[3]enemies!$1:$1,0)-MATCH($M$1,[3]enemies!$1:$1,0)+1,FALSE)</f>
        <v>30</v>
      </c>
      <c r="S7" s="5">
        <v>1</v>
      </c>
      <c r="T7" s="25">
        <v>0.1</v>
      </c>
      <c r="U7" s="91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399.5</v>
      </c>
      <c r="V7" s="25">
        <v>1</v>
      </c>
      <c r="W7" s="91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265</v>
      </c>
      <c r="X7" s="5">
        <v>65535</v>
      </c>
      <c r="Y7" s="4" t="str">
        <f ca="1">VLOOKUP($Z7,OFFSET(enemy_skill_sets!$B$1,0,0,COUNTA(enemy_skill_sets!$B:$B),MATCH(N$1,enemy_skill_sets!$1:$1,0)-MATCH($Z$1,enemy_skill_sets!$1:$1,0)+2),MATCH(N$1,enemy_skill_sets!$1:$1,0)-MATCH($Z$1,enemy_skill_sets!$1:$1,0)+2,FALSE)</f>
        <v>メビウスは アナタを まっすぐ見つめている</v>
      </c>
      <c r="Z7" s="62">
        <v>11227602</v>
      </c>
      <c r="AA7" s="69">
        <f ca="1">VLOOKUP($M7,OFFSET([3]enemies!$A$1,0,0,COUNTA([3]enemies!$A:$A),MATCH(AA$1,[3]enemies!$1:$1,0)-MATCH($M$1,[3]enemies!$1:$1,0)+1),MATCH(AA$1,[3]enemies!$1:$1,0)-MATCH($M$1,[3]enemies!$1:$1,0)+1,FALSE)</f>
        <v>3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9"/>
  <sheetViews>
    <sheetView showGridLines="0" workbookViewId="0">
      <pane xSplit="5" ySplit="1" topLeftCell="F14" activePane="bottomRight" state="frozen"/>
      <selection pane="topRight"/>
      <selection pane="bottomLeft"/>
      <selection pane="bottomRight" activeCell="F32" sqref="F3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11227000_11227000</v>
      </c>
      <c r="B2" s="47">
        <v>11227000</v>
      </c>
      <c r="C2" s="47">
        <v>11227000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解析結果、出たわ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ラグランジュは 空を見上げてつぶやいた</v>
      </c>
      <c r="F2" s="47">
        <v>11227000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2" s="47"/>
      <c r="Q2" s="47"/>
      <c r="R2" s="47"/>
    </row>
    <row r="3" spans="1:18" ht="21" customHeight="1" x14ac:dyDescent="0.15">
      <c r="A3" s="39" t="str">
        <f t="shared" ref="A3:A8" si="1">B3&amp;"_"&amp;C3</f>
        <v>11227000_11227001</v>
      </c>
      <c r="B3" s="47">
        <v>11227000</v>
      </c>
      <c r="C3" s="47">
        <v>11227001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あなたの想い…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相手にちゃんと伝わるわ</v>
      </c>
      <c r="F3" s="47">
        <v>11227001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11227000_11227002</v>
      </c>
      <c r="B4" s="47">
        <v>11227000</v>
      </c>
      <c r="C4" s="47">
        <v>11227002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燃え尽きなさい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ラグランジュなりに 応援しているようだ</v>
      </c>
      <c r="F4" s="47">
        <v>11227619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619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" s="47"/>
      <c r="Q4" s="47"/>
      <c r="R4" s="47"/>
    </row>
    <row r="5" spans="1:18" ht="21" customHeight="1" x14ac:dyDescent="0.15">
      <c r="A5" s="39" t="str">
        <f t="shared" ref="A5:A6" si="2">B5&amp;"_"&amp;C5</f>
        <v>11227000_11227003</v>
      </c>
      <c r="B5" s="47">
        <v>11227000</v>
      </c>
      <c r="C5" s="47">
        <v>11227003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これが エントロピーの最大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ラグランジュなりに 応援しているようだ</v>
      </c>
      <c r="F5" s="47">
        <v>11227619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619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" s="47"/>
      <c r="Q5" s="47"/>
      <c r="R5" s="47"/>
    </row>
    <row r="6" spans="1:18" ht="21" customHeight="1" x14ac:dyDescent="0.15">
      <c r="A6" s="39" t="str">
        <f t="shared" si="2"/>
        <v>11227000_11227005</v>
      </c>
      <c r="B6" s="47">
        <v>11227000</v>
      </c>
      <c r="C6" s="47">
        <v>11227005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ここから先は 予測不能よ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ラグランジュなりに 応援しているようだ</v>
      </c>
      <c r="F6" s="47">
        <v>11227619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619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" s="47"/>
      <c r="Q6" s="47"/>
      <c r="R6" s="47"/>
    </row>
    <row r="7" spans="1:18" ht="21" customHeight="1" x14ac:dyDescent="0.15">
      <c r="A7" s="39" t="str">
        <f t="shared" ref="A7" si="3">B7&amp;"_"&amp;C7</f>
        <v>11227000_11227004</v>
      </c>
      <c r="B7" s="47">
        <v>11227000</v>
      </c>
      <c r="C7" s="47">
        <v>11227004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未知の領域…覚悟はいい？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ラグランジュなりに 応援しているようだ</v>
      </c>
      <c r="F7" s="47">
        <v>11227620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619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11227100_11227100</v>
      </c>
      <c r="B8" s="47">
        <v>11227100</v>
      </c>
      <c r="C8" s="47">
        <v>11227100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ドキドキ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メビウスは 星占いの結果を待ちわびている</v>
      </c>
      <c r="F8" s="47">
        <v>11227000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8" s="47"/>
      <c r="Q8" s="47"/>
      <c r="R8" s="47"/>
    </row>
    <row r="9" spans="1:18" ht="21" customHeight="1" x14ac:dyDescent="0.15">
      <c r="A9" s="39" t="str">
        <f t="shared" ref="A9" si="4">B9&amp;"_"&amp;C9</f>
        <v>11227100_11227101</v>
      </c>
      <c r="B9" s="47">
        <v>11227100</v>
      </c>
      <c r="C9" s="47">
        <v>11227101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ほんとですか…！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ラグランジュさん ありがとうございます</v>
      </c>
      <c r="F9" s="47">
        <v>11227001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ref="A10:A15" si="5">B10&amp;"_"&amp;C10</f>
        <v>11227100_11227102</v>
      </c>
      <c r="B10" s="47">
        <v>11227100</v>
      </c>
      <c r="C10" s="47">
        <v>11227102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私…頑張ってみますね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心を決めて走っていった</v>
      </c>
      <c r="F10" s="47">
        <v>11227002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5"/>
        <v>11227200_11227200</v>
      </c>
      <c r="B11" s="47">
        <v>11227200</v>
      </c>
      <c r="C11" s="47">
        <v>11227200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あ、プロメテウスさん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メビウスは 後ろから声をかけた</v>
      </c>
      <c r="F11" s="47">
        <v>11227000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11" s="47"/>
      <c r="Q11" s="47"/>
      <c r="R11" s="47"/>
    </row>
    <row r="12" spans="1:18" ht="21" customHeight="1" x14ac:dyDescent="0.15">
      <c r="A12" s="39" t="str">
        <f t="shared" ref="A12" si="6">B12&amp;"_"&amp;C12</f>
        <v>11227200_11227201</v>
      </c>
      <c r="B12" s="47">
        <v>11227200</v>
      </c>
      <c r="C12" s="47">
        <v>11227201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あの…少し いいですか？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はにかみながら つぶやいた</v>
      </c>
      <c r="F12" s="47">
        <v>11227001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ref="A13" si="7">B13&amp;"_"&amp;C13</f>
        <v>11227200_11227202</v>
      </c>
      <c r="B13" s="47">
        <v>11227200</v>
      </c>
      <c r="C13" s="47">
        <v>11227202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※無言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※無言</v>
      </c>
      <c r="F13" s="47">
        <v>11227002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ref="A14" si="8">B14&amp;"_"&amp;C14</f>
        <v>11227201_11227203</v>
      </c>
      <c r="B14" s="47">
        <v>11227201</v>
      </c>
      <c r="C14" s="47">
        <v>11227203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私…お聞きしたいことが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プロメテウスに近づいてゆく</v>
      </c>
      <c r="F14" s="47">
        <v>11227000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14" s="47"/>
      <c r="Q14" s="47"/>
      <c r="R14" s="47"/>
    </row>
    <row r="15" spans="1:18" ht="21" customHeight="1" x14ac:dyDescent="0.15">
      <c r="A15" s="39" t="str">
        <f t="shared" si="5"/>
        <v>11227300_11227300</v>
      </c>
      <c r="B15" s="47">
        <v>11227300</v>
      </c>
      <c r="C15" s="47">
        <v>11227300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よ、よう、メビウス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プロメテウスは ドキッとした</v>
      </c>
      <c r="F15" s="47">
        <v>11227001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ref="A16" si="9">B16&amp;"_"&amp;C16</f>
        <v>11227300_11227301</v>
      </c>
      <c r="B16" s="47">
        <v>11227300</v>
      </c>
      <c r="C16" s="47">
        <v>11227301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い、いいけど、なんだよ？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プロメテウスは ドキドキしている</v>
      </c>
      <c r="F16" s="47">
        <v>11227002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ref="A17:A19" si="10">B17&amp;"_"&amp;C17</f>
        <v>11227300_11227302</v>
      </c>
      <c r="B17" s="47">
        <v>11227300</v>
      </c>
      <c r="C17" s="47">
        <v>11227302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あ、あんまり近づくと_x000D_勘違いするぞ…？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（オレには オセがいるんだからな！）</v>
      </c>
      <c r="F17" s="47">
        <v>11227003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ref="A18" si="11">B18&amp;"_"&amp;C18</f>
        <v>11227300_11227303</v>
      </c>
      <c r="B18" s="47">
        <v>11227300</v>
      </c>
      <c r="C18" s="47">
        <v>11227303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オ、オセ…_x000D_違うんだ！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勘違いしないでくれー！</v>
      </c>
      <c r="F18" s="47">
        <v>11227004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0"/>
        <v>11227400_11227400</v>
      </c>
      <c r="B19" s="47">
        <v>11227400</v>
      </c>
      <c r="C19" s="47">
        <v>11227400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どう勘違いするのかしら…？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オセが 割って入ってきた！</v>
      </c>
      <c r="F19" s="47">
        <v>11227000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19" s="47"/>
      <c r="Q19" s="47"/>
      <c r="R19" s="47"/>
    </row>
    <row r="20" spans="1:18" ht="21" customHeight="1" x14ac:dyDescent="0.15">
      <c r="A20" s="39" t="str">
        <f t="shared" ref="A20:A30" si="12">B20&amp;"_"&amp;C20</f>
        <v>11227400_11227401</v>
      </c>
      <c r="B20" s="47">
        <v>11227400</v>
      </c>
      <c r="C20" s="47">
        <v>11227401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……プロメテウスの……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おバカー！</v>
      </c>
      <c r="F20" s="47">
        <v>11227001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2"/>
        <v>11227700_11227700</v>
      </c>
      <c r="B21" s="47">
        <v>11227700</v>
      </c>
      <c r="C21" s="47">
        <v>11227700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あ、Usagiさん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私、ある人を 探しているのですが…</v>
      </c>
      <c r="F21" s="47">
        <v>11227000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21" s="47"/>
      <c r="Q21" s="47"/>
      <c r="R21" s="47"/>
    </row>
    <row r="22" spans="1:18" ht="21" customHeight="1" x14ac:dyDescent="0.15">
      <c r="A22" s="39" t="str">
        <f t="shared" si="12"/>
        <v>11227700_11227701</v>
      </c>
      <c r="B22" s="47">
        <v>11227700</v>
      </c>
      <c r="C22" s="47">
        <v>11227701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Usagiさん、ありがとうございます！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メビウスは お礼もそこそこに駆けていった</v>
      </c>
      <c r="F22" s="47">
        <v>11227001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2"/>
        <v>11227800_11227800</v>
      </c>
      <c r="B23" s="47">
        <v>11227800</v>
      </c>
      <c r="C23" s="47">
        <v>11227800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その人なら すぐそこですよ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UsagiChan はミミをこちらに折り曲げた</v>
      </c>
      <c r="F23" s="47">
        <v>11227001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2"/>
        <v>11227800_11227801</v>
      </c>
      <c r="B24" s="47">
        <v>11227800</v>
      </c>
      <c r="C24" s="47">
        <v>11227801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グッドラックです</v>
      </c>
      <c r="E24" s="46">
        <f ca="1">VLOOKUP($C24,OFFSET(enemy_skills!$A$1,0,0,COUNTA(enemy_skills!$A:$A),MATCH(E$1,enemy_skills!$1:$1,0)-MATCH("enemy_skill_id",enemy_skills!$1:$1,0)+1),MATCH(E$1,enemy_skills!$1:$1,0)-MATCH("enemy_skill_id",enemy_skills!$1:$1,0)+1,FALSE)</f>
        <v>0</v>
      </c>
      <c r="F24" s="47">
        <v>11227620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619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2"/>
        <v>11227500_11227500</v>
      </c>
      <c r="B25" s="47">
        <v>11227500</v>
      </c>
      <c r="C25" s="47">
        <v>11227500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ここに いらっしゃったのですね！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メビウスは アナタを探していたようだ</v>
      </c>
      <c r="F25" s="47">
        <v>11227000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25" s="47"/>
      <c r="Q25" s="47"/>
      <c r="R25" s="47"/>
    </row>
    <row r="26" spans="1:18" ht="21" customHeight="1" x14ac:dyDescent="0.15">
      <c r="A26" s="39" t="str">
        <f t="shared" si="12"/>
        <v>11227500_11227501</v>
      </c>
      <c r="B26" s="47">
        <v>11227500</v>
      </c>
      <c r="C26" s="47">
        <v>11227501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星占いで 嬉しい結果が出たんです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まぶしい笑顔を 向けてきた</v>
      </c>
      <c r="F26" s="47">
        <v>11227001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ref="A27" si="13">B27&amp;"_"&amp;C27</f>
        <v>11227500_11227202</v>
      </c>
      <c r="B27" s="47">
        <v>11227500</v>
      </c>
      <c r="C27" s="47">
        <v>11227202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※無言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※無言</v>
      </c>
      <c r="F27" s="47">
        <v>11227002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2"/>
        <v>11227501_11227502</v>
      </c>
      <c r="B28" s="47">
        <v>11227501</v>
      </c>
      <c r="C28" s="47">
        <v>11227502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聞いてくれますか…？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メビウスは アナタに近づいてきた</v>
      </c>
      <c r="F28" s="47">
        <v>11227000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28" s="47"/>
      <c r="Q28" s="47"/>
      <c r="R28" s="47"/>
    </row>
    <row r="29" spans="1:18" ht="21" customHeight="1" x14ac:dyDescent="0.15">
      <c r="A29" s="39" t="str">
        <f t="shared" ref="A29" si="14">B29&amp;"_"&amp;C29</f>
        <v>11227501_11227202</v>
      </c>
      <c r="B29" s="47">
        <v>11227501</v>
      </c>
      <c r="C29" s="47">
        <v>11227202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※無言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※無言</v>
      </c>
      <c r="F29" s="47">
        <v>11227001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2"/>
        <v>11227502_11227503</v>
      </c>
      <c r="B30" s="47">
        <v>11227502</v>
      </c>
      <c r="C30" s="47">
        <v>11227503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え…？ あんまり近づくと 勘違いしちゃう…？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メビウスは さらに近づいてきた</v>
      </c>
      <c r="F30" s="47">
        <v>11227000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30" s="47"/>
      <c r="Q30" s="47"/>
      <c r="R30" s="47"/>
    </row>
    <row r="31" spans="1:18" ht="21" customHeight="1" x14ac:dyDescent="0.15">
      <c r="A31" s="39" t="str">
        <f t="shared" ref="A31" si="15">B31&amp;"_"&amp;C31</f>
        <v>11227502_11227505</v>
      </c>
      <c r="B31" s="47">
        <v>11227502</v>
      </c>
      <c r="C31" s="47">
        <v>11227505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…勘違いじゃないよ。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…[player_name]さん！</v>
      </c>
      <c r="F31" s="47">
        <v>11227010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10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ref="A32:A36" si="16">B32&amp;"_"&amp;C32</f>
        <v>11227502_11227504</v>
      </c>
      <c r="B32" s="47">
        <v>11227502</v>
      </c>
      <c r="C32" s="47">
        <v>11227504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…勘違いじゃないよ。</v>
      </c>
      <c r="E32" s="46">
        <f ca="1">VLOOKUP($C32,OFFSET(enemy_skills!$A$1,0,0,COUNTA(enemy_skills!$A:$A),MATCH(E$1,enemy_skills!$1:$1,0)-MATCH("enemy_skill_id",enemy_skills!$1:$1,0)+1),MATCH(E$1,enemy_skills!$1:$1,0)-MATCH("enemy_skill_id",enemy_skills!$1:$1,0)+1,FALSE)</f>
        <v>0</v>
      </c>
      <c r="F32" s="47">
        <v>11227099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16"/>
        <v>11227600_11227600</v>
      </c>
      <c r="B33" s="47">
        <v>11227600</v>
      </c>
      <c r="C33" s="47">
        <v>11227600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よっ！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メビウスが アナタに声をかけてきた</v>
      </c>
      <c r="F33" s="47">
        <v>11227000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33" s="47"/>
      <c r="Q33" s="47"/>
      <c r="R33" s="47"/>
    </row>
    <row r="34" spans="1:18" ht="21" customHeight="1" x14ac:dyDescent="0.15">
      <c r="A34" s="39" t="str">
        <f t="shared" si="16"/>
        <v>11227600_11227601</v>
      </c>
      <c r="B34" s="47">
        <v>11227600</v>
      </c>
      <c r="C34" s="47">
        <v>11227601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ねぇ、宿題おしえてくんない？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（た、ためてー）</v>
      </c>
      <c r="F34" s="47">
        <v>11227001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16"/>
        <v>11227600_11227602</v>
      </c>
      <c r="B35" s="47">
        <v>11227600</v>
      </c>
      <c r="C35" s="47">
        <v>11227602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※無言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※無言</v>
      </c>
      <c r="F35" s="47">
        <v>11227002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16"/>
        <v>11227601_11227603</v>
      </c>
      <c r="B36" s="47">
        <v>11227601</v>
      </c>
      <c r="C36" s="47">
        <v>11227603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え…？ あんまり近づくと 勘違いしちゃう…？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（た、ためてー）</v>
      </c>
      <c r="F36" s="47">
        <v>11227000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36" s="47"/>
      <c r="Q36" s="47"/>
      <c r="R36" s="47"/>
    </row>
    <row r="37" spans="1:18" ht="21" customHeight="1" x14ac:dyDescent="0.15">
      <c r="A37" s="39" t="str">
        <f t="shared" ref="A37" si="17">B37&amp;"_"&amp;C37</f>
        <v>11227601_11227604</v>
      </c>
      <c r="B37" s="47">
        <v>11227601</v>
      </c>
      <c r="C37" s="47">
        <v>11227604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※無言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※無言</v>
      </c>
      <c r="F37" s="47">
        <v>11227001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ref="A38" si="18">B38&amp;"_"&amp;C38</f>
        <v>11227602_11227605</v>
      </c>
      <c r="B38" s="47">
        <v>11227602</v>
      </c>
      <c r="C38" s="47">
        <v>11227605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…勘違いじゃないよ。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メビウスは アナタを まっすぐ見つめている</v>
      </c>
      <c r="F38" s="47">
        <v>11227000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38" s="47"/>
      <c r="Q38" s="47"/>
      <c r="R38" s="47"/>
    </row>
    <row r="39" spans="1:18" ht="21" customHeight="1" x14ac:dyDescent="0.15">
      <c r="A39" s="39" t="str">
        <f t="shared" ref="A39" si="19">B39&amp;"_"&amp;C39</f>
        <v>11227602_11227606</v>
      </c>
      <c r="B39" s="47">
        <v>11227602</v>
      </c>
      <c r="C39" s="47">
        <v>11227606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…[player_name]さん！</v>
      </c>
      <c r="E39" s="46">
        <f ca="1">VLOOKUP($C39,OFFSET(enemy_skills!$A$1,0,0,COUNTA(enemy_skills!$A:$A),MATCH(E$1,enemy_skills!$1:$1,0)-MATCH("enemy_skill_id",enemy_skills!$1:$1,0)+1),MATCH(E$1,enemy_skills!$1:$1,0)-MATCH("enemy_skill_id",enemy_skills!$1:$1,0)+1,FALSE)</f>
        <v>0</v>
      </c>
      <c r="F39" s="47">
        <v>11227001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7"/>
  <sheetViews>
    <sheetView showGridLines="0" tabSelected="1" zoomScale="75" zoomScaleNormal="75" zoomScalePageLayoutView="75" workbookViewId="0">
      <pane ySplit="1" topLeftCell="A7" activePane="bottomLeft" state="frozenSplit"/>
      <selection pane="bottomLeft" activeCell="F27" sqref="F27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39.6640625" style="49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11227000</v>
      </c>
      <c r="B2" s="47" t="s">
        <v>258</v>
      </c>
      <c r="C2" s="50">
        <v>3</v>
      </c>
      <c r="D2" s="50" t="s">
        <v>128</v>
      </c>
      <c r="E2" s="51" t="s">
        <v>189</v>
      </c>
      <c r="F2" s="51" t="s">
        <v>190</v>
      </c>
      <c r="G2" s="64" t="str">
        <f t="shared" ref="G2:G29" si="0">IFERROR(LEFT(B2,FIND("],",B2)),B2)</f>
        <v>[effect:ability_lock, target:unit_all, turn:-1][effect:hungup, target:unit_all, turn:-1, rate:1][effect:enemy_message, val1:1.8, val2:2.5][effect:fix_speed, target:myself, turn:1][effect:change_panel_ratio, turn:3, block_type:heal, val:0]</v>
      </c>
      <c r="H2" s="64">
        <f t="shared" ref="H2:H37" si="1">FIND("effect:",G2)+7</f>
        <v>9</v>
      </c>
      <c r="I2" s="64">
        <f t="shared" ref="I2:I29" si="2">IFERROR(FIND(",",G2),LEN(G2))</f>
        <v>21</v>
      </c>
      <c r="J2" s="64">
        <f t="shared" ref="J2:J29" si="3">FIND("target:",G2)+7</f>
        <v>30</v>
      </c>
      <c r="K2" s="64">
        <f t="shared" ref="K2:K29" si="4">FIND(",",G2,I2+1)</f>
        <v>38</v>
      </c>
      <c r="L2" s="64" t="str">
        <f>IFERROR(VLOOKUP(MID(G2,J2,K2-J2),[5]skilldef!$C:$D,2,FALSE),"-") &amp; " / " &amp; IFERROR(VLOOKUP(MID(G2,H2,I2-H2),[5]skilldef!$A:$B,2,FALSE),"-")</f>
        <v>味方全体に / -</v>
      </c>
      <c r="M2" s="64" t="str">
        <f t="shared" ref="M2:M29" si="5">IFERROR(RIGHT(B2,LEN(B2)-FIND("],",B2)-1),"none")</f>
        <v>none</v>
      </c>
      <c r="N2" s="48" t="str">
        <f>IFERROR(LEFT(M2,FIND("],",M2)+S47),M2)</f>
        <v>none</v>
      </c>
      <c r="O2" s="64" t="e">
        <f t="shared" ref="O2:O37" si="6">FIND("effect:",N2)+7</f>
        <v>#VALUE!</v>
      </c>
      <c r="P2" s="64">
        <f t="shared" ref="P2:P29" si="7">IFERROR(FIND(",",N2),LEN(N2))</f>
        <v>4</v>
      </c>
      <c r="Q2" s="64" t="e">
        <f t="shared" ref="Q2:Q29" si="8">FIND("target:",N2)+7</f>
        <v>#VALUE!</v>
      </c>
      <c r="R2" s="64" t="e">
        <f t="shared" ref="R2:R29" si="9">FIND(",",N2,P2+1)</f>
        <v>#VALUE!</v>
      </c>
      <c r="S2" s="64" t="str">
        <f>IFERROR(VLOOKUP(MID(N2,Q2,R2-Q2),[5]skilldef!$C:$D,2,FALSE),"-") &amp; " / " &amp; IFERROR(VLOOKUP(MID(N2,O2,P2-O2),[5]skilldef!$A:$B,2,FALSE),"-")</f>
        <v>- / -</v>
      </c>
      <c r="T2" s="48" t="str">
        <f t="shared" ref="T2:T29" si="10">IFERROR(RIGHT(M2,LEN(M2)-FIND("],",M2)-1),"none")</f>
        <v>none</v>
      </c>
      <c r="U2" s="64" t="e">
        <f t="shared" ref="U2:U37" si="11">FIND("effect:",T2)+7</f>
        <v>#VALUE!</v>
      </c>
      <c r="V2" s="64">
        <f t="shared" ref="V2:V29" si="12">IFERROR(FIND(",",T2),LEN(T2))</f>
        <v>4</v>
      </c>
      <c r="W2" s="64" t="e">
        <f t="shared" ref="W2:W29" si="13">FIND("target:",T2)+7</f>
        <v>#VALUE!</v>
      </c>
      <c r="X2" s="64" t="e">
        <f t="shared" ref="X2:X29" si="14">FIND(",",T2,V2+1)</f>
        <v>#VALUE!</v>
      </c>
      <c r="Y2" s="64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47">
        <v>11227001</v>
      </c>
      <c r="B3" s="47" t="s">
        <v>197</v>
      </c>
      <c r="C3" s="50">
        <v>3</v>
      </c>
      <c r="D3" s="50" t="s">
        <v>128</v>
      </c>
      <c r="E3" s="51" t="s">
        <v>196</v>
      </c>
      <c r="F3" s="51" t="s">
        <v>199</v>
      </c>
      <c r="G3" s="64" t="str">
        <f t="shared" si="0"/>
        <v>[effect:enemy_message, val1:1.8, val2:2.2][effect:fix_speed, target:myself, turn:2]</v>
      </c>
      <c r="H3" s="64">
        <f t="shared" si="1"/>
        <v>9</v>
      </c>
      <c r="I3" s="64">
        <f t="shared" si="2"/>
        <v>22</v>
      </c>
      <c r="J3" s="64">
        <f t="shared" si="3"/>
        <v>69</v>
      </c>
      <c r="K3" s="64">
        <f t="shared" si="4"/>
        <v>32</v>
      </c>
      <c r="L3" s="64" t="str">
        <f>IFERROR(VLOOKUP(MID(G3,J3,K3-J3),[5]skilldef!$C:$D,2,FALSE),"-") &amp; " / " &amp; IFERROR(VLOOKUP(MID(G3,H3,I3-H3),[5]skilldef!$A:$B,2,FALSE),"-")</f>
        <v>- / -</v>
      </c>
      <c r="M3" s="64" t="str">
        <f t="shared" si="5"/>
        <v>none</v>
      </c>
      <c r="N3" s="48" t="str">
        <f>IFERROR(LEFT(M3,FIND("],",M3)+S48),M3)</f>
        <v>none</v>
      </c>
      <c r="O3" s="64" t="e">
        <f t="shared" si="6"/>
        <v>#VALUE!</v>
      </c>
      <c r="P3" s="64">
        <f t="shared" si="7"/>
        <v>4</v>
      </c>
      <c r="Q3" s="64" t="e">
        <f t="shared" si="8"/>
        <v>#VALUE!</v>
      </c>
      <c r="R3" s="64" t="e">
        <f t="shared" si="9"/>
        <v>#VALUE!</v>
      </c>
      <c r="S3" s="64" t="str">
        <f>IFERROR(VLOOKUP(MID(N3,Q3,R3-Q3),[5]skilldef!$C:$D,2,FALSE),"-") &amp; " / " &amp; IFERROR(VLOOKUP(MID(N3,O3,P3-O3),[5]skilldef!$A:$B,2,FALSE),"-")</f>
        <v>- / -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47">
        <v>11227002</v>
      </c>
      <c r="B4" s="47" t="s">
        <v>245</v>
      </c>
      <c r="C4" s="50">
        <v>3</v>
      </c>
      <c r="D4" s="50" t="s">
        <v>128</v>
      </c>
      <c r="E4" s="51" t="s">
        <v>277</v>
      </c>
      <c r="F4" s="51" t="s">
        <v>244</v>
      </c>
      <c r="G4" s="64" t="str">
        <f t="shared" si="0"/>
        <v>[effect:enemy_message, val1:2.5, val2:3][effect:suicide, val:1, dead_type:escape, target:myself]</v>
      </c>
      <c r="H4" s="64">
        <f t="shared" si="1"/>
        <v>9</v>
      </c>
      <c r="I4" s="64">
        <f t="shared" si="2"/>
        <v>22</v>
      </c>
      <c r="J4" s="64">
        <f t="shared" si="3"/>
        <v>90</v>
      </c>
      <c r="K4" s="64">
        <f t="shared" si="4"/>
        <v>32</v>
      </c>
      <c r="L4" s="64" t="str">
        <f>IFERROR(VLOOKUP(MID(G4,J4,K4-J4),[5]skilldef!$C:$D,2,FALSE),"-") &amp; " / " &amp; IFERROR(VLOOKUP(MID(G4,H4,I4-H4),[5]skilldef!$A:$B,2,FALSE),"-")</f>
        <v>- / -</v>
      </c>
      <c r="M4" s="64" t="str">
        <f t="shared" si="5"/>
        <v>none</v>
      </c>
      <c r="N4" s="48" t="str">
        <f>IFERROR(LEFT(M4,FIND("],",M4)+S49),M4)</f>
        <v>none</v>
      </c>
      <c r="O4" s="64" t="e">
        <f t="shared" si="6"/>
        <v>#VALUE!</v>
      </c>
      <c r="P4" s="64">
        <f t="shared" si="7"/>
        <v>4</v>
      </c>
      <c r="Q4" s="64" t="e">
        <f t="shared" si="8"/>
        <v>#VALUE!</v>
      </c>
      <c r="R4" s="64" t="e">
        <f t="shared" si="9"/>
        <v>#VALUE!</v>
      </c>
      <c r="S4" s="64" t="str">
        <f>IFERROR(VLOOKUP(MID(N4,Q4,R4-Q4),[5]skilldef!$C:$D,2,FALSE),"-") &amp; " / " &amp; IFERROR(VLOOKUP(MID(N4,O4,P4-O4),[5]skilldef!$A:$B,2,FALSE),"-")</f>
        <v>- / -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47">
        <v>11227003</v>
      </c>
      <c r="B5" s="47" t="s">
        <v>245</v>
      </c>
      <c r="C5" s="50">
        <v>3</v>
      </c>
      <c r="D5" s="50" t="s">
        <v>128</v>
      </c>
      <c r="E5" s="51" t="s">
        <v>278</v>
      </c>
      <c r="F5" s="51" t="s">
        <v>244</v>
      </c>
      <c r="G5" s="64" t="str">
        <f t="shared" ref="G5:G6" si="15">IFERROR(LEFT(B5,FIND("],",B5)),B5)</f>
        <v>[effect:enemy_message, val1:2.5, val2:3][effect:suicide, val:1, dead_type:escape, target:myself]</v>
      </c>
      <c r="H5" s="64">
        <f t="shared" ref="H5:H6" si="16">FIND("effect:",G5)+7</f>
        <v>9</v>
      </c>
      <c r="I5" s="64">
        <f t="shared" ref="I5:I6" si="17">IFERROR(FIND(",",G5),LEN(G5))</f>
        <v>22</v>
      </c>
      <c r="J5" s="64">
        <f t="shared" ref="J5:J6" si="18">FIND("target:",G5)+7</f>
        <v>90</v>
      </c>
      <c r="K5" s="64">
        <f t="shared" ref="K5:K6" si="19">FIND(",",G5,I5+1)</f>
        <v>32</v>
      </c>
      <c r="L5" s="64" t="str">
        <f>IFERROR(VLOOKUP(MID(G5,J5,K5-J5),[5]skilldef!$C:$D,2,FALSE),"-") &amp; " / " &amp; IFERROR(VLOOKUP(MID(G5,H5,I5-H5),[5]skilldef!$A:$B,2,FALSE),"-")</f>
        <v>- / -</v>
      </c>
      <c r="M5" s="64" t="str">
        <f t="shared" ref="M5:M6" si="20">IFERROR(RIGHT(B5,LEN(B5)-FIND("],",B5)-1),"none")</f>
        <v>none</v>
      </c>
      <c r="N5" s="48" t="str">
        <f>IFERROR(LEFT(M5,FIND("],",M5)+S50),M5)</f>
        <v>none</v>
      </c>
      <c r="O5" s="64" t="e">
        <f t="shared" ref="O5:O6" si="21">FIND("effect:",N5)+7</f>
        <v>#VALUE!</v>
      </c>
      <c r="P5" s="64">
        <f t="shared" ref="P5:P6" si="22">IFERROR(FIND(",",N5),LEN(N5))</f>
        <v>4</v>
      </c>
      <c r="Q5" s="64" t="e">
        <f t="shared" ref="Q5:Q6" si="23">FIND("target:",N5)+7</f>
        <v>#VALUE!</v>
      </c>
      <c r="R5" s="64" t="e">
        <f t="shared" ref="R5:R6" si="24">FIND(",",N5,P5+1)</f>
        <v>#VALUE!</v>
      </c>
      <c r="S5" s="64" t="str">
        <f>IFERROR(VLOOKUP(MID(N5,Q5,R5-Q5),[5]skilldef!$C:$D,2,FALSE),"-") &amp; " / " &amp; IFERROR(VLOOKUP(MID(N5,O5,P5-O5),[5]skilldef!$A:$B,2,FALSE),"-")</f>
        <v>- / -</v>
      </c>
      <c r="T5" s="48" t="str">
        <f t="shared" ref="T5:T6" si="25">IFERROR(RIGHT(M5,LEN(M5)-FIND("],",M5)-1),"none")</f>
        <v>none</v>
      </c>
      <c r="U5" s="64" t="e">
        <f t="shared" ref="U5:U6" si="26">FIND("effect:",T5)+7</f>
        <v>#VALUE!</v>
      </c>
      <c r="V5" s="64">
        <f t="shared" ref="V5:V6" si="27">IFERROR(FIND(",",T5),LEN(T5))</f>
        <v>4</v>
      </c>
      <c r="W5" s="64" t="e">
        <f t="shared" ref="W5:W6" si="28">FIND("target:",T5)+7</f>
        <v>#VALUE!</v>
      </c>
      <c r="X5" s="64" t="e">
        <f t="shared" ref="X5:X6" si="29">FIND(",",T5,V5+1)</f>
        <v>#VALUE!</v>
      </c>
      <c r="Y5" s="64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47">
        <v>11227004</v>
      </c>
      <c r="B6" s="47" t="s">
        <v>245</v>
      </c>
      <c r="C6" s="50">
        <v>3</v>
      </c>
      <c r="D6" s="50" t="s">
        <v>128</v>
      </c>
      <c r="E6" s="51" t="s">
        <v>279</v>
      </c>
      <c r="F6" s="51" t="s">
        <v>244</v>
      </c>
      <c r="G6" s="64" t="str">
        <f t="shared" si="15"/>
        <v>[effect:enemy_message, val1:2.5, val2:3][effect:suicide, val:1, dead_type:escape, target:myself]</v>
      </c>
      <c r="H6" s="64">
        <f t="shared" si="16"/>
        <v>9</v>
      </c>
      <c r="I6" s="64">
        <f t="shared" si="17"/>
        <v>22</v>
      </c>
      <c r="J6" s="64">
        <f t="shared" si="18"/>
        <v>90</v>
      </c>
      <c r="K6" s="64">
        <f t="shared" si="19"/>
        <v>32</v>
      </c>
      <c r="L6" s="64" t="str">
        <f>IFERROR(VLOOKUP(MID(G6,J6,K6-J6),[5]skilldef!$C:$D,2,FALSE),"-") &amp; " / " &amp; IFERROR(VLOOKUP(MID(G6,H6,I6-H6),[5]skilldef!$A:$B,2,FALSE),"-")</f>
        <v>- / -</v>
      </c>
      <c r="M6" s="64" t="str">
        <f t="shared" si="20"/>
        <v>none</v>
      </c>
      <c r="N6" s="48" t="str">
        <f>IFERROR(LEFT(M6,FIND("],",M6)+S51),M6)</f>
        <v>none</v>
      </c>
      <c r="O6" s="64" t="e">
        <f t="shared" si="21"/>
        <v>#VALUE!</v>
      </c>
      <c r="P6" s="64">
        <f t="shared" si="22"/>
        <v>4</v>
      </c>
      <c r="Q6" s="64" t="e">
        <f t="shared" si="23"/>
        <v>#VALUE!</v>
      </c>
      <c r="R6" s="64" t="e">
        <f t="shared" si="24"/>
        <v>#VALUE!</v>
      </c>
      <c r="S6" s="64" t="str">
        <f>IFERROR(VLOOKUP(MID(N6,Q6,R6-Q6),[5]skilldef!$C:$D,2,FALSE),"-") &amp; " / " &amp; IFERROR(VLOOKUP(MID(N6,O6,P6-O6),[5]skilldef!$A:$B,2,FALSE),"-")</f>
        <v>- / -</v>
      </c>
      <c r="T6" s="48" t="str">
        <f t="shared" si="25"/>
        <v>none</v>
      </c>
      <c r="U6" s="64" t="e">
        <f t="shared" si="26"/>
        <v>#VALUE!</v>
      </c>
      <c r="V6" s="64">
        <f t="shared" si="27"/>
        <v>4</v>
      </c>
      <c r="W6" s="64" t="e">
        <f t="shared" si="28"/>
        <v>#VALUE!</v>
      </c>
      <c r="X6" s="64" t="e">
        <f t="shared" si="29"/>
        <v>#VALUE!</v>
      </c>
      <c r="Y6" s="64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47">
        <v>11227005</v>
      </c>
      <c r="B7" s="47" t="s">
        <v>245</v>
      </c>
      <c r="C7" s="50">
        <v>3</v>
      </c>
      <c r="D7" s="50" t="s">
        <v>128</v>
      </c>
      <c r="E7" s="51" t="s">
        <v>195</v>
      </c>
      <c r="F7" s="51" t="s">
        <v>244</v>
      </c>
      <c r="G7" s="64" t="str">
        <f t="shared" ref="G7" si="30">IFERROR(LEFT(B7,FIND("],",B7)),B7)</f>
        <v>[effect:enemy_message, val1:2.5, val2:3][effect:suicide, val:1, dead_type:escape, target:myself]</v>
      </c>
      <c r="H7" s="64">
        <f t="shared" ref="H7" si="31">FIND("effect:",G7)+7</f>
        <v>9</v>
      </c>
      <c r="I7" s="64">
        <f t="shared" ref="I7" si="32">IFERROR(FIND(",",G7),LEN(G7))</f>
        <v>22</v>
      </c>
      <c r="J7" s="64">
        <f t="shared" ref="J7" si="33">FIND("target:",G7)+7</f>
        <v>90</v>
      </c>
      <c r="K7" s="64">
        <f t="shared" ref="K7" si="34">FIND(",",G7,I7+1)</f>
        <v>32</v>
      </c>
      <c r="L7" s="64" t="str">
        <f>IFERROR(VLOOKUP(MID(G7,J7,K7-J7),[5]skilldef!$C:$D,2,FALSE),"-") &amp; " / " &amp; IFERROR(VLOOKUP(MID(G7,H7,I7-H7),[5]skilldef!$A:$B,2,FALSE),"-")</f>
        <v>- / -</v>
      </c>
      <c r="M7" s="64" t="str">
        <f t="shared" ref="M7" si="35">IFERROR(RIGHT(B7,LEN(B7)-FIND("],",B7)-1),"none")</f>
        <v>none</v>
      </c>
      <c r="N7" s="48" t="str">
        <f>IFERROR(LEFT(M7,FIND("],",M7)+S52),M7)</f>
        <v>none</v>
      </c>
      <c r="O7" s="64" t="e">
        <f t="shared" ref="O7" si="36">FIND("effect:",N7)+7</f>
        <v>#VALUE!</v>
      </c>
      <c r="P7" s="64">
        <f t="shared" ref="P7" si="37">IFERROR(FIND(",",N7),LEN(N7))</f>
        <v>4</v>
      </c>
      <c r="Q7" s="64" t="e">
        <f t="shared" ref="Q7" si="38">FIND("target:",N7)+7</f>
        <v>#VALUE!</v>
      </c>
      <c r="R7" s="64" t="e">
        <f t="shared" ref="R7" si="39">FIND(",",N7,P7+1)</f>
        <v>#VALUE!</v>
      </c>
      <c r="S7" s="64" t="str">
        <f>IFERROR(VLOOKUP(MID(N7,Q7,R7-Q7),[5]skilldef!$C:$D,2,FALSE),"-") &amp; " / " &amp; IFERROR(VLOOKUP(MID(N7,O7,P7-O7),[5]skilldef!$A:$B,2,FALSE),"-")</f>
        <v>- / -</v>
      </c>
      <c r="T7" s="48" t="str">
        <f t="shared" ref="T7" si="40">IFERROR(RIGHT(M7,LEN(M7)-FIND("],",M7)-1),"none")</f>
        <v>none</v>
      </c>
      <c r="U7" s="64" t="e">
        <f t="shared" ref="U7" si="41">FIND("effect:",T7)+7</f>
        <v>#VALUE!</v>
      </c>
      <c r="V7" s="64">
        <f t="shared" ref="V7" si="42">IFERROR(FIND(",",T7),LEN(T7))</f>
        <v>4</v>
      </c>
      <c r="W7" s="64" t="e">
        <f t="shared" ref="W7" si="43">FIND("target:",T7)+7</f>
        <v>#VALUE!</v>
      </c>
      <c r="X7" s="64" t="e">
        <f t="shared" ref="X7" si="44">FIND(",",T7,V7+1)</f>
        <v>#VALUE!</v>
      </c>
      <c r="Y7" s="64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11227100</v>
      </c>
      <c r="B8" s="47" t="s">
        <v>233</v>
      </c>
      <c r="C8" s="50">
        <v>3</v>
      </c>
      <c r="D8" s="50" t="s">
        <v>128</v>
      </c>
      <c r="E8" s="51" t="s">
        <v>192</v>
      </c>
      <c r="F8" s="51" t="s">
        <v>193</v>
      </c>
      <c r="G8" s="64" t="str">
        <f t="shared" si="0"/>
        <v>[effect:enemy_message, val1:1.8, val2:2.5][effect:fix_speed, target:myself, turn:1][effect:force_change_block, new_block:block_heart, target:block_all, ignore01:block_heart, count:3, val:0]</v>
      </c>
      <c r="H8" s="64">
        <f t="shared" si="1"/>
        <v>9</v>
      </c>
      <c r="I8" s="64">
        <f t="shared" si="2"/>
        <v>22</v>
      </c>
      <c r="J8" s="64">
        <f t="shared" si="3"/>
        <v>69</v>
      </c>
      <c r="K8" s="64">
        <f t="shared" si="4"/>
        <v>32</v>
      </c>
      <c r="L8" s="64" t="str">
        <f>IFERROR(VLOOKUP(MID(G8,J8,K8-J8),[5]skilldef!$C:$D,2,FALSE),"-") &amp; " / " &amp; IFERROR(VLOOKUP(MID(G8,H8,I8-H8),[5]skilldef!$A:$B,2,FALSE),"-")</f>
        <v>- / -</v>
      </c>
      <c r="M8" s="64" t="str">
        <f t="shared" si="5"/>
        <v>none</v>
      </c>
      <c r="N8" s="48" t="str">
        <f>IFERROR(LEFT(M8,FIND("],",M8)+S48),M8)</f>
        <v>none</v>
      </c>
      <c r="O8" s="64" t="e">
        <f t="shared" si="6"/>
        <v>#VALUE!</v>
      </c>
      <c r="P8" s="64">
        <f t="shared" si="7"/>
        <v>4</v>
      </c>
      <c r="Q8" s="64" t="e">
        <f t="shared" si="8"/>
        <v>#VALUE!</v>
      </c>
      <c r="R8" s="64" t="e">
        <f t="shared" si="9"/>
        <v>#VALUE!</v>
      </c>
      <c r="S8" s="64" t="str">
        <f>IFERROR(VLOOKUP(MID(N8,Q8,R8-Q8),[5]skilldef!$C:$D,2,FALSE),"-") &amp; " / " &amp; IFERROR(VLOOKUP(MID(N8,O8,P8-O8),[5]skilldef!$A:$B,2,FALSE),"-")</f>
        <v>- / -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11227101</v>
      </c>
      <c r="B9" s="47" t="s">
        <v>194</v>
      </c>
      <c r="C9" s="50">
        <v>3</v>
      </c>
      <c r="D9" s="50" t="s">
        <v>128</v>
      </c>
      <c r="E9" s="51" t="s">
        <v>200</v>
      </c>
      <c r="F9" s="51" t="s">
        <v>225</v>
      </c>
      <c r="G9" s="64" t="str">
        <f t="shared" si="0"/>
        <v>[effect:enemy_message, val1:1.8, val2:2.5]</v>
      </c>
      <c r="H9" s="64">
        <f t="shared" si="1"/>
        <v>9</v>
      </c>
      <c r="I9" s="64">
        <f t="shared" si="2"/>
        <v>22</v>
      </c>
      <c r="J9" s="64" t="e">
        <f t="shared" si="3"/>
        <v>#VALUE!</v>
      </c>
      <c r="K9" s="64">
        <f t="shared" si="4"/>
        <v>32</v>
      </c>
      <c r="L9" s="64" t="str">
        <f>IFERROR(VLOOKUP(MID(G9,J9,K9-J9),[5]skilldef!$C:$D,2,FALSE),"-") &amp; " / " &amp; IFERROR(VLOOKUP(MID(G9,H9,I9-H9),[5]skilldef!$A:$B,2,FALSE),"-")</f>
        <v>- / -</v>
      </c>
      <c r="M9" s="64" t="str">
        <f t="shared" si="5"/>
        <v>none</v>
      </c>
      <c r="N9" s="48" t="str">
        <f>IFERROR(LEFT(M9,FIND("],",M9)+S49),M9)</f>
        <v>none</v>
      </c>
      <c r="O9" s="64" t="e">
        <f t="shared" si="6"/>
        <v>#VALUE!</v>
      </c>
      <c r="P9" s="64">
        <f t="shared" si="7"/>
        <v>4</v>
      </c>
      <c r="Q9" s="64" t="e">
        <f t="shared" si="8"/>
        <v>#VALUE!</v>
      </c>
      <c r="R9" s="64" t="e">
        <f t="shared" si="9"/>
        <v>#VALUE!</v>
      </c>
      <c r="S9" s="64" t="str">
        <f>IFERROR(VLOOKUP(MID(N9,Q9,R9-Q9),[5]skilldef!$C:$D,2,FALSE),"-") &amp; " / " &amp; IFERROR(VLOOKUP(MID(N9,O9,P9-O9),[5]skilldef!$A:$B,2,FALSE),"-")</f>
        <v>- / -</v>
      </c>
      <c r="T9" s="48" t="str">
        <f t="shared" si="10"/>
        <v>none</v>
      </c>
      <c r="U9" s="64" t="e">
        <f t="shared" si="11"/>
        <v>#VALUE!</v>
      </c>
      <c r="V9" s="64">
        <f t="shared" si="12"/>
        <v>4</v>
      </c>
      <c r="W9" s="64" t="e">
        <f t="shared" si="13"/>
        <v>#VALUE!</v>
      </c>
      <c r="X9" s="64" t="e">
        <f t="shared" si="14"/>
        <v>#VALUE!</v>
      </c>
      <c r="Y9" s="64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47">
        <v>11227102</v>
      </c>
      <c r="B10" s="47" t="s">
        <v>198</v>
      </c>
      <c r="C10" s="50">
        <v>3</v>
      </c>
      <c r="D10" s="50" t="s">
        <v>128</v>
      </c>
      <c r="E10" s="51" t="s">
        <v>201</v>
      </c>
      <c r="F10" s="51" t="s">
        <v>215</v>
      </c>
      <c r="G10" s="64" t="str">
        <f t="shared" si="0"/>
        <v>[effect:enemy_message, val1:1.8, val2:2.5][effect:suicide, val:1, dead_type:escape, target:myself]</v>
      </c>
      <c r="H10" s="64">
        <f t="shared" si="1"/>
        <v>9</v>
      </c>
      <c r="I10" s="64">
        <f t="shared" si="2"/>
        <v>22</v>
      </c>
      <c r="J10" s="64">
        <f t="shared" si="3"/>
        <v>92</v>
      </c>
      <c r="K10" s="64">
        <f t="shared" si="4"/>
        <v>32</v>
      </c>
      <c r="L10" s="64" t="str">
        <f>IFERROR(VLOOKUP(MID(G10,J10,K10-J10),[5]skilldef!$C:$D,2,FALSE),"-") &amp; " / " &amp; IFERROR(VLOOKUP(MID(G10,H10,I10-H10),[5]skilldef!$A:$B,2,FALSE),"-")</f>
        <v>- / -</v>
      </c>
      <c r="M10" s="64" t="str">
        <f t="shared" si="5"/>
        <v>none</v>
      </c>
      <c r="N10" s="48" t="str">
        <f>IFERROR(LEFT(M10,FIND("],",M10)+S50),M10)</f>
        <v>none</v>
      </c>
      <c r="O10" s="64" t="e">
        <f t="shared" si="6"/>
        <v>#VALUE!</v>
      </c>
      <c r="P10" s="64">
        <f t="shared" si="7"/>
        <v>4</v>
      </c>
      <c r="Q10" s="64" t="e">
        <f t="shared" si="8"/>
        <v>#VALUE!</v>
      </c>
      <c r="R10" s="64" t="e">
        <f t="shared" si="9"/>
        <v>#VALUE!</v>
      </c>
      <c r="S10" s="64" t="str">
        <f>IFERROR(VLOOKUP(MID(N10,Q10,R10-Q10),[5]skilldef!$C:$D,2,FALSE),"-") &amp; " / " &amp; IFERROR(VLOOKUP(MID(N10,O10,P10-O10),[5]skilldef!$A:$B,2,FALSE),"-")</f>
        <v>- / -</v>
      </c>
      <c r="T10" s="48" t="str">
        <f t="shared" si="10"/>
        <v>none</v>
      </c>
      <c r="U10" s="64" t="e">
        <f t="shared" si="11"/>
        <v>#VALUE!</v>
      </c>
      <c r="V10" s="64">
        <f t="shared" si="12"/>
        <v>4</v>
      </c>
      <c r="W10" s="64" t="e">
        <f t="shared" si="13"/>
        <v>#VALUE!</v>
      </c>
      <c r="X10" s="64" t="e">
        <f t="shared" si="14"/>
        <v>#VALUE!</v>
      </c>
      <c r="Y10" s="64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47">
        <v>11227200</v>
      </c>
      <c r="B11" s="47" t="s">
        <v>221</v>
      </c>
      <c r="C11" s="50">
        <v>3</v>
      </c>
      <c r="D11" s="50" t="s">
        <v>128</v>
      </c>
      <c r="E11" s="51" t="s">
        <v>248</v>
      </c>
      <c r="F11" s="51" t="s">
        <v>202</v>
      </c>
      <c r="G11" s="64" t="str">
        <f t="shared" si="0"/>
        <v>[effect:enemy_message, val1:1.8, val2:2.5][effect:fix_speed, target:myself, turn:1][effect:fix_speed, target:enemy_red, turn:1]</v>
      </c>
      <c r="H11" s="64">
        <f t="shared" si="1"/>
        <v>9</v>
      </c>
      <c r="I11" s="64">
        <f t="shared" si="2"/>
        <v>22</v>
      </c>
      <c r="J11" s="64">
        <f t="shared" si="3"/>
        <v>69</v>
      </c>
      <c r="K11" s="64">
        <f t="shared" si="4"/>
        <v>32</v>
      </c>
      <c r="L11" s="64" t="str">
        <f>IFERROR(VLOOKUP(MID(G11,J11,K11-J11),[5]skilldef!$C:$D,2,FALSE),"-") &amp; " / " &amp; IFERROR(VLOOKUP(MID(G11,H11,I11-H11),[5]skilldef!$A:$B,2,FALSE),"-")</f>
        <v>- / -</v>
      </c>
      <c r="M11" s="64" t="str">
        <f t="shared" si="5"/>
        <v>none</v>
      </c>
      <c r="N11" s="48" t="str">
        <f>IFERROR(LEFT(M11,FIND("],",M11)+S51),M11)</f>
        <v>none</v>
      </c>
      <c r="O11" s="64" t="e">
        <f t="shared" si="6"/>
        <v>#VALUE!</v>
      </c>
      <c r="P11" s="64">
        <f t="shared" si="7"/>
        <v>4</v>
      </c>
      <c r="Q11" s="64" t="e">
        <f t="shared" si="8"/>
        <v>#VALUE!</v>
      </c>
      <c r="R11" s="64" t="e">
        <f t="shared" si="9"/>
        <v>#VALUE!</v>
      </c>
      <c r="S11" s="64" t="str">
        <f>IFERROR(VLOOKUP(MID(N11,Q11,R11-Q11),[5]skilldef!$C:$D,2,FALSE),"-") &amp; " / " &amp; IFERROR(VLOOKUP(MID(N11,O11,P11-O11),[5]skilldef!$A:$B,2,FALSE),"-")</f>
        <v>- / -</v>
      </c>
      <c r="T11" s="48" t="str">
        <f t="shared" si="10"/>
        <v>none</v>
      </c>
      <c r="U11" s="64" t="e">
        <f t="shared" si="11"/>
        <v>#VALUE!</v>
      </c>
      <c r="V11" s="64">
        <f t="shared" si="12"/>
        <v>4</v>
      </c>
      <c r="W11" s="64" t="e">
        <f t="shared" si="13"/>
        <v>#VALUE!</v>
      </c>
      <c r="X11" s="64" t="e">
        <f t="shared" si="14"/>
        <v>#VALUE!</v>
      </c>
      <c r="Y11" s="64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1" customHeight="1" x14ac:dyDescent="0.15">
      <c r="A12" s="47">
        <v>11227201</v>
      </c>
      <c r="B12" s="47" t="s">
        <v>246</v>
      </c>
      <c r="C12" s="50">
        <v>3</v>
      </c>
      <c r="D12" s="50" t="s">
        <v>128</v>
      </c>
      <c r="E12" s="51" t="s">
        <v>242</v>
      </c>
      <c r="F12" s="51" t="s">
        <v>212</v>
      </c>
      <c r="G12" s="64" t="str">
        <f t="shared" si="0"/>
        <v>[effect:enemy_message, val1:2.2, val2:2]</v>
      </c>
      <c r="H12" s="64">
        <f t="shared" si="1"/>
        <v>9</v>
      </c>
      <c r="I12" s="64">
        <f t="shared" si="2"/>
        <v>22</v>
      </c>
      <c r="J12" s="64" t="e">
        <f t="shared" si="3"/>
        <v>#VALUE!</v>
      </c>
      <c r="K12" s="64">
        <f t="shared" si="4"/>
        <v>32</v>
      </c>
      <c r="L12" s="64" t="str">
        <f>IFERROR(VLOOKUP(MID(G12,J12,K12-J12),[5]skilldef!$C:$D,2,FALSE),"-") &amp; " / " &amp; IFERROR(VLOOKUP(MID(G12,H12,I12-H12),[5]skilldef!$A:$B,2,FALSE),"-")</f>
        <v>- / -</v>
      </c>
      <c r="M12" s="64" t="str">
        <f t="shared" si="5"/>
        <v>none</v>
      </c>
      <c r="N12" s="48" t="str">
        <f>IFERROR(LEFT(M12,FIND("],",M12)+S52),M12)</f>
        <v>none</v>
      </c>
      <c r="O12" s="64" t="e">
        <f t="shared" si="6"/>
        <v>#VALUE!</v>
      </c>
      <c r="P12" s="64">
        <f t="shared" si="7"/>
        <v>4</v>
      </c>
      <c r="Q12" s="64" t="e">
        <f t="shared" si="8"/>
        <v>#VALUE!</v>
      </c>
      <c r="R12" s="64" t="e">
        <f t="shared" si="9"/>
        <v>#VALUE!</v>
      </c>
      <c r="S12" s="64" t="str">
        <f>IFERROR(VLOOKUP(MID(N12,Q12,R12-Q12),[5]skilldef!$C:$D,2,FALSE),"-") &amp; " / " &amp; IFERROR(VLOOKUP(MID(N12,O12,P12-O12),[5]skilldef!$A:$B,2,FALSE),"-")</f>
        <v>- / -</v>
      </c>
      <c r="T12" s="48" t="str">
        <f t="shared" si="10"/>
        <v>none</v>
      </c>
      <c r="U12" s="64" t="e">
        <f t="shared" si="11"/>
        <v>#VALUE!</v>
      </c>
      <c r="V12" s="64">
        <f t="shared" si="12"/>
        <v>4</v>
      </c>
      <c r="W12" s="64" t="e">
        <f t="shared" si="13"/>
        <v>#VALUE!</v>
      </c>
      <c r="X12" s="64" t="e">
        <f t="shared" si="14"/>
        <v>#VALUE!</v>
      </c>
      <c r="Y12" s="64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1" customHeight="1" x14ac:dyDescent="0.15">
      <c r="A13" s="47">
        <v>11227202</v>
      </c>
      <c r="B13" s="47" t="s">
        <v>222</v>
      </c>
      <c r="C13" s="50">
        <v>3</v>
      </c>
      <c r="D13" s="50" t="s">
        <v>128</v>
      </c>
      <c r="E13" s="51" t="s">
        <v>211</v>
      </c>
      <c r="F13" s="51" t="s">
        <v>211</v>
      </c>
      <c r="G13" s="64" t="str">
        <f t="shared" si="0"/>
        <v>[effect:enemy_message, val1:0, val2:0][effect:suicide, val:1, dead_type:escape, target:myself]</v>
      </c>
      <c r="H13" s="64">
        <f t="shared" si="1"/>
        <v>9</v>
      </c>
      <c r="I13" s="64">
        <f t="shared" si="2"/>
        <v>22</v>
      </c>
      <c r="J13" s="64">
        <f t="shared" si="3"/>
        <v>88</v>
      </c>
      <c r="K13" s="64">
        <f t="shared" si="4"/>
        <v>30</v>
      </c>
      <c r="L13" s="64" t="str">
        <f>IFERROR(VLOOKUP(MID(G13,J13,K13-J13),[5]skilldef!$C:$D,2,FALSE),"-") &amp; " / " &amp; IFERROR(VLOOKUP(MID(G13,H13,I13-H13),[5]skilldef!$A:$B,2,FALSE),"-")</f>
        <v>- / -</v>
      </c>
      <c r="M13" s="64" t="str">
        <f t="shared" si="5"/>
        <v>none</v>
      </c>
      <c r="N13" s="48" t="str">
        <f>IFERROR(LEFT(M13,FIND("],",M13)+S52),M13)</f>
        <v>none</v>
      </c>
      <c r="O13" s="64" t="e">
        <f t="shared" si="6"/>
        <v>#VALUE!</v>
      </c>
      <c r="P13" s="64">
        <f t="shared" si="7"/>
        <v>4</v>
      </c>
      <c r="Q13" s="64" t="e">
        <f t="shared" si="8"/>
        <v>#VALUE!</v>
      </c>
      <c r="R13" s="64" t="e">
        <f t="shared" si="9"/>
        <v>#VALUE!</v>
      </c>
      <c r="S13" s="64" t="str">
        <f>IFERROR(VLOOKUP(MID(N13,Q13,R13-Q13),[5]skilldef!$C:$D,2,FALSE),"-") &amp; " / " &amp; IFERROR(VLOOKUP(MID(N13,O13,P13-O13),[5]skilldef!$A:$B,2,FALSE),"-")</f>
        <v>- / -</v>
      </c>
      <c r="T13" s="48" t="str">
        <f t="shared" si="10"/>
        <v>none</v>
      </c>
      <c r="U13" s="64" t="e">
        <f t="shared" si="11"/>
        <v>#VALUE!</v>
      </c>
      <c r="V13" s="64">
        <f t="shared" si="12"/>
        <v>4</v>
      </c>
      <c r="W13" s="64" t="e">
        <f t="shared" si="13"/>
        <v>#VALUE!</v>
      </c>
      <c r="X13" s="64" t="e">
        <f t="shared" si="14"/>
        <v>#VALUE!</v>
      </c>
      <c r="Y13" s="64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47">
        <v>11227203</v>
      </c>
      <c r="B14" s="47" t="s">
        <v>218</v>
      </c>
      <c r="C14" s="50">
        <v>3</v>
      </c>
      <c r="D14" s="50" t="s">
        <v>128</v>
      </c>
      <c r="E14" s="51" t="s">
        <v>243</v>
      </c>
      <c r="F14" s="51" t="s">
        <v>213</v>
      </c>
      <c r="G14" s="64" t="str">
        <f t="shared" si="0"/>
        <v>[effect:fix_speed, target:myself, turn:2]</v>
      </c>
      <c r="H14" s="64">
        <f t="shared" si="1"/>
        <v>9</v>
      </c>
      <c r="I14" s="64">
        <f t="shared" si="2"/>
        <v>18</v>
      </c>
      <c r="J14" s="64">
        <f t="shared" si="3"/>
        <v>27</v>
      </c>
      <c r="K14" s="64">
        <f t="shared" si="4"/>
        <v>33</v>
      </c>
      <c r="L14" s="64" t="str">
        <f>IFERROR(VLOOKUP(MID(G14,J14,K14-J14),[5]skilldef!$C:$D,2,FALSE),"-") &amp; " / " &amp; IFERROR(VLOOKUP(MID(G14,H14,I14-H14),[5]skilldef!$A:$B,2,FALSE),"-")</f>
        <v>自分自身に / 行動値設定</v>
      </c>
      <c r="M14" s="64" t="str">
        <f t="shared" si="5"/>
        <v>none</v>
      </c>
      <c r="N14" s="48" t="str">
        <f>IFERROR(LEFT(M14,FIND("],",M14)+S53),M14)</f>
        <v>none</v>
      </c>
      <c r="O14" s="64" t="e">
        <f t="shared" si="6"/>
        <v>#VALUE!</v>
      </c>
      <c r="P14" s="64">
        <f t="shared" si="7"/>
        <v>4</v>
      </c>
      <c r="Q14" s="64" t="e">
        <f t="shared" si="8"/>
        <v>#VALUE!</v>
      </c>
      <c r="R14" s="64" t="e">
        <f t="shared" si="9"/>
        <v>#VALUE!</v>
      </c>
      <c r="S14" s="64" t="str">
        <f>IFERROR(VLOOKUP(MID(N14,Q14,R14-Q14),[5]skilldef!$C:$D,2,FALSE),"-") &amp; " / " &amp; IFERROR(VLOOKUP(MID(N14,O14,P14-O14),[5]skilldef!$A:$B,2,FALSE),"-")</f>
        <v>- / -</v>
      </c>
      <c r="T14" s="48" t="str">
        <f t="shared" si="10"/>
        <v>none</v>
      </c>
      <c r="U14" s="64" t="e">
        <f t="shared" si="11"/>
        <v>#VALUE!</v>
      </c>
      <c r="V14" s="64">
        <f t="shared" si="12"/>
        <v>4</v>
      </c>
      <c r="W14" s="64" t="e">
        <f t="shared" si="13"/>
        <v>#VALUE!</v>
      </c>
      <c r="X14" s="64" t="e">
        <f t="shared" si="14"/>
        <v>#VALUE!</v>
      </c>
      <c r="Y14" s="64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47">
        <v>11227300</v>
      </c>
      <c r="B15" s="47" t="s">
        <v>219</v>
      </c>
      <c r="C15" s="50">
        <v>3</v>
      </c>
      <c r="D15" s="50" t="s">
        <v>128</v>
      </c>
      <c r="E15" s="51" t="s">
        <v>203</v>
      </c>
      <c r="F15" s="51" t="s">
        <v>214</v>
      </c>
      <c r="G15" s="64" t="str">
        <f t="shared" si="0"/>
        <v>[effect:fix_speed, target:myself, turn:1][effect:force_change_block, new_block:block_heart, target:block_all, ignore01:block_heart, count:3, val:0]</v>
      </c>
      <c r="H15" s="64">
        <f t="shared" si="1"/>
        <v>9</v>
      </c>
      <c r="I15" s="64">
        <f t="shared" si="2"/>
        <v>18</v>
      </c>
      <c r="J15" s="64">
        <f t="shared" si="3"/>
        <v>27</v>
      </c>
      <c r="K15" s="64">
        <f t="shared" si="4"/>
        <v>33</v>
      </c>
      <c r="L15" s="64" t="str">
        <f>IFERROR(VLOOKUP(MID(G15,J15,K15-J15),[5]skilldef!$C:$D,2,FALSE),"-") &amp; " / " &amp; IFERROR(VLOOKUP(MID(G15,H15,I15-H15),[5]skilldef!$A:$B,2,FALSE),"-")</f>
        <v>自分自身に / 行動値設定</v>
      </c>
      <c r="M15" s="64" t="str">
        <f t="shared" si="5"/>
        <v>none</v>
      </c>
      <c r="N15" s="48" t="str">
        <f>IFERROR(LEFT(M15,FIND("],",M15)+S52),M15)</f>
        <v>none</v>
      </c>
      <c r="O15" s="64" t="e">
        <f t="shared" si="6"/>
        <v>#VALUE!</v>
      </c>
      <c r="P15" s="64">
        <f t="shared" si="7"/>
        <v>4</v>
      </c>
      <c r="Q15" s="64" t="e">
        <f t="shared" si="8"/>
        <v>#VALUE!</v>
      </c>
      <c r="R15" s="64" t="e">
        <f t="shared" si="9"/>
        <v>#VALUE!</v>
      </c>
      <c r="S15" s="64" t="str">
        <f>IFERROR(VLOOKUP(MID(N15,Q15,R15-Q15),[5]skilldef!$C:$D,2,FALSE),"-") &amp; " / " &amp; IFERROR(VLOOKUP(MID(N15,O15,P15-O15),[5]skilldef!$A:$B,2,FALSE),"-")</f>
        <v>- / -</v>
      </c>
      <c r="T15" s="48" t="str">
        <f t="shared" si="10"/>
        <v>none</v>
      </c>
      <c r="U15" s="64" t="e">
        <f t="shared" si="11"/>
        <v>#VALUE!</v>
      </c>
      <c r="V15" s="64">
        <f t="shared" si="12"/>
        <v>4</v>
      </c>
      <c r="W15" s="64" t="e">
        <f t="shared" si="13"/>
        <v>#VALUE!</v>
      </c>
      <c r="X15" s="64" t="e">
        <f t="shared" si="14"/>
        <v>#VALUE!</v>
      </c>
      <c r="Y15" s="64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15">
      <c r="A16" s="47">
        <v>11227301</v>
      </c>
      <c r="B16" s="47" t="s">
        <v>220</v>
      </c>
      <c r="C16" s="50">
        <v>3</v>
      </c>
      <c r="D16" s="50" t="s">
        <v>128</v>
      </c>
      <c r="E16" s="51" t="s">
        <v>204</v>
      </c>
      <c r="F16" s="51" t="s">
        <v>205</v>
      </c>
      <c r="G16" s="64" t="str">
        <f t="shared" si="0"/>
        <v>[effect:force_change_block, new_block:block_heart, target:block_all, ignore01:block_heart, count:5, val:0]</v>
      </c>
      <c r="H16" s="64">
        <f t="shared" si="1"/>
        <v>9</v>
      </c>
      <c r="I16" s="64">
        <f t="shared" si="2"/>
        <v>27</v>
      </c>
      <c r="J16" s="64">
        <f t="shared" si="3"/>
        <v>59</v>
      </c>
      <c r="K16" s="64">
        <f t="shared" si="4"/>
        <v>50</v>
      </c>
      <c r="L16" s="64" t="str">
        <f>IFERROR(VLOOKUP(MID(G16,J16,K16-J16),[5]skilldef!$C:$D,2,FALSE),"-") &amp; " / " &amp; IFERROR(VLOOKUP(MID(G16,H16,I16-H16),[5]skilldef!$A:$B,2,FALSE),"-")</f>
        <v>- / -</v>
      </c>
      <c r="M16" s="64" t="str">
        <f t="shared" si="5"/>
        <v>none</v>
      </c>
      <c r="N16" s="48" t="str">
        <f>IFERROR(LEFT(M16,FIND("],",M16)+S53),M16)</f>
        <v>none</v>
      </c>
      <c r="O16" s="64" t="e">
        <f t="shared" si="6"/>
        <v>#VALUE!</v>
      </c>
      <c r="P16" s="64">
        <f t="shared" si="7"/>
        <v>4</v>
      </c>
      <c r="Q16" s="64" t="e">
        <f t="shared" si="8"/>
        <v>#VALUE!</v>
      </c>
      <c r="R16" s="64" t="e">
        <f t="shared" si="9"/>
        <v>#VALUE!</v>
      </c>
      <c r="S16" s="64" t="str">
        <f>IFERROR(VLOOKUP(MID(N16,Q16,R16-Q16),[5]skilldef!$C:$D,2,FALSE),"-") &amp; " / " &amp; IFERROR(VLOOKUP(MID(N16,O16,P16-O16),[5]skilldef!$A:$B,2,FALSE),"-")</f>
        <v>- / -</v>
      </c>
      <c r="T16" s="48" t="str">
        <f t="shared" si="10"/>
        <v>none</v>
      </c>
      <c r="U16" s="64" t="e">
        <f t="shared" si="11"/>
        <v>#VALUE!</v>
      </c>
      <c r="V16" s="64">
        <f t="shared" si="12"/>
        <v>4</v>
      </c>
      <c r="W16" s="64" t="e">
        <f t="shared" si="13"/>
        <v>#VALUE!</v>
      </c>
      <c r="X16" s="64" t="e">
        <f t="shared" si="14"/>
        <v>#VALUE!</v>
      </c>
      <c r="Y16" s="64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15">
      <c r="A17" s="47">
        <v>11227302</v>
      </c>
      <c r="B17" s="47" t="s">
        <v>226</v>
      </c>
      <c r="C17" s="50">
        <v>3</v>
      </c>
      <c r="D17" s="50" t="s">
        <v>128</v>
      </c>
      <c r="E17" s="51" t="s">
        <v>206</v>
      </c>
      <c r="F17" s="51" t="s">
        <v>249</v>
      </c>
      <c r="G17" s="64" t="str">
        <f t="shared" si="0"/>
        <v>[effect:enemy_message, val1:2.5, val2:2.2][effect:force_change_block, new_block:block_heart, target:block_all, ignore01:block_heart, count:10, val:0][effect:suicide, val:1, dead_type:escape, target:enemy_blue]</v>
      </c>
      <c r="H17" s="64">
        <f t="shared" si="1"/>
        <v>9</v>
      </c>
      <c r="I17" s="64">
        <f t="shared" si="2"/>
        <v>22</v>
      </c>
      <c r="J17" s="64">
        <f t="shared" si="3"/>
        <v>101</v>
      </c>
      <c r="K17" s="64">
        <f t="shared" si="4"/>
        <v>32</v>
      </c>
      <c r="L17" s="64" t="str">
        <f>IFERROR(VLOOKUP(MID(G17,J17,K17-J17),[5]skilldef!$C:$D,2,FALSE),"-") &amp; " / " &amp; IFERROR(VLOOKUP(MID(G17,H17,I17-H17),[5]skilldef!$A:$B,2,FALSE),"-")</f>
        <v>- / -</v>
      </c>
      <c r="M17" s="64" t="str">
        <f t="shared" si="5"/>
        <v>none</v>
      </c>
      <c r="N17" s="48" t="str">
        <f>IFERROR(LEFT(M17,FIND("],",M17)+S53),M17)</f>
        <v>none</v>
      </c>
      <c r="O17" s="64" t="e">
        <f t="shared" si="6"/>
        <v>#VALUE!</v>
      </c>
      <c r="P17" s="64">
        <f t="shared" si="7"/>
        <v>4</v>
      </c>
      <c r="Q17" s="64" t="e">
        <f t="shared" si="8"/>
        <v>#VALUE!</v>
      </c>
      <c r="R17" s="64" t="e">
        <f t="shared" si="9"/>
        <v>#VALUE!</v>
      </c>
      <c r="S17" s="64" t="str">
        <f>IFERROR(VLOOKUP(MID(N17,Q17,R17-Q17),[5]skilldef!$C:$D,2,FALSE),"-") &amp; " / " &amp; IFERROR(VLOOKUP(MID(N17,O17,P17-O17),[5]skilldef!$A:$B,2,FALSE),"-")</f>
        <v>- / -</v>
      </c>
      <c r="T17" s="48" t="str">
        <f t="shared" si="10"/>
        <v>none</v>
      </c>
      <c r="U17" s="64" t="e">
        <f t="shared" si="11"/>
        <v>#VALUE!</v>
      </c>
      <c r="V17" s="64">
        <f t="shared" si="12"/>
        <v>4</v>
      </c>
      <c r="W17" s="64" t="e">
        <f t="shared" si="13"/>
        <v>#VALUE!</v>
      </c>
      <c r="X17" s="64" t="e">
        <f t="shared" si="14"/>
        <v>#VALUE!</v>
      </c>
      <c r="Y17" s="64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 x14ac:dyDescent="0.15">
      <c r="A18" s="47">
        <v>11227303</v>
      </c>
      <c r="B18" s="47" t="s">
        <v>217</v>
      </c>
      <c r="C18" s="50">
        <v>3</v>
      </c>
      <c r="D18" s="50" t="s">
        <v>128</v>
      </c>
      <c r="E18" s="51" t="s">
        <v>207</v>
      </c>
      <c r="F18" s="51" t="s">
        <v>208</v>
      </c>
      <c r="G18" s="64" t="str">
        <f t="shared" si="0"/>
        <v>[effect:nothing]</v>
      </c>
      <c r="H18" s="64">
        <f t="shared" si="1"/>
        <v>9</v>
      </c>
      <c r="I18" s="64">
        <f t="shared" si="2"/>
        <v>16</v>
      </c>
      <c r="J18" s="64" t="e">
        <f t="shared" si="3"/>
        <v>#VALUE!</v>
      </c>
      <c r="K18" s="64" t="e">
        <f t="shared" si="4"/>
        <v>#VALUE!</v>
      </c>
      <c r="L18" s="64" t="str">
        <f>IFERROR(VLOOKUP(MID(G18,J18,K18-J18),[5]skilldef!$C:$D,2,FALSE),"-") &amp; " / " &amp; IFERROR(VLOOKUP(MID(G18,H18,I18-H18),[5]skilldef!$A:$B,2,FALSE),"-")</f>
        <v>- / 何もしない</v>
      </c>
      <c r="M18" s="64" t="str">
        <f t="shared" si="5"/>
        <v>none</v>
      </c>
      <c r="N18" s="48" t="str">
        <f>IFERROR(LEFT(M18,FIND("],",M18)+S54),M18)</f>
        <v>none</v>
      </c>
      <c r="O18" s="64" t="e">
        <f t="shared" si="6"/>
        <v>#VALUE!</v>
      </c>
      <c r="P18" s="64">
        <f t="shared" si="7"/>
        <v>4</v>
      </c>
      <c r="Q18" s="64" t="e">
        <f t="shared" si="8"/>
        <v>#VALUE!</v>
      </c>
      <c r="R18" s="64" t="e">
        <f t="shared" si="9"/>
        <v>#VALUE!</v>
      </c>
      <c r="S18" s="64" t="str">
        <f>IFERROR(VLOOKUP(MID(N18,Q18,R18-Q18),[5]skilldef!$C:$D,2,FALSE),"-") &amp; " / " &amp; IFERROR(VLOOKUP(MID(N18,O18,P18-O18),[5]skilldef!$A:$B,2,FALSE),"-")</f>
        <v>- / -</v>
      </c>
      <c r="T18" s="48" t="str">
        <f t="shared" si="10"/>
        <v>none</v>
      </c>
      <c r="U18" s="64" t="e">
        <f t="shared" si="11"/>
        <v>#VALUE!</v>
      </c>
      <c r="V18" s="64">
        <f t="shared" si="12"/>
        <v>4</v>
      </c>
      <c r="W18" s="64" t="e">
        <f t="shared" si="13"/>
        <v>#VALUE!</v>
      </c>
      <c r="X18" s="64" t="e">
        <f t="shared" si="14"/>
        <v>#VALUE!</v>
      </c>
      <c r="Y18" s="64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21" customHeight="1" x14ac:dyDescent="0.15">
      <c r="A19" s="47">
        <v>11227400</v>
      </c>
      <c r="B19" s="47" t="s">
        <v>237</v>
      </c>
      <c r="C19" s="50">
        <v>3</v>
      </c>
      <c r="D19" s="50" t="s">
        <v>128</v>
      </c>
      <c r="E19" s="51" t="s">
        <v>223</v>
      </c>
      <c r="F19" s="51" t="s">
        <v>216</v>
      </c>
      <c r="G19" s="64" t="str">
        <f t="shared" si="0"/>
        <v>[effect:fix_speed, target:myself, turn:1][effect:change_panel_ratio, turn:1, block_type:heal, val:0][effect:force_change_block, new_block:time_bomb, target:block_heart, color:block_heart, count:0, val:0.03, min_time_count:1, max_time_count:1]</v>
      </c>
      <c r="H19" s="64">
        <f t="shared" si="1"/>
        <v>9</v>
      </c>
      <c r="I19" s="64">
        <f t="shared" si="2"/>
        <v>18</v>
      </c>
      <c r="J19" s="64">
        <f t="shared" si="3"/>
        <v>27</v>
      </c>
      <c r="K19" s="64">
        <f t="shared" si="4"/>
        <v>33</v>
      </c>
      <c r="L19" s="64" t="str">
        <f>IFERROR(VLOOKUP(MID(G19,J19,K19-J19),[5]skilldef!$C:$D,2,FALSE),"-") &amp; " / " &amp; IFERROR(VLOOKUP(MID(G19,H19,I19-H19),[5]skilldef!$A:$B,2,FALSE),"-")</f>
        <v>自分自身に / 行動値設定</v>
      </c>
      <c r="M19" s="64" t="str">
        <f t="shared" si="5"/>
        <v>none</v>
      </c>
      <c r="N19" s="48" t="str">
        <f>IFERROR(LEFT(M19,FIND("],",M19)+S54),M19)</f>
        <v>none</v>
      </c>
      <c r="O19" s="64" t="e">
        <f t="shared" si="6"/>
        <v>#VALUE!</v>
      </c>
      <c r="P19" s="64">
        <f t="shared" si="7"/>
        <v>4</v>
      </c>
      <c r="Q19" s="64" t="e">
        <f t="shared" si="8"/>
        <v>#VALUE!</v>
      </c>
      <c r="R19" s="64" t="e">
        <f t="shared" si="9"/>
        <v>#VALUE!</v>
      </c>
      <c r="S19" s="64" t="str">
        <f>IFERROR(VLOOKUP(MID(N19,Q19,R19-Q19),[5]skilldef!$C:$D,2,FALSE),"-") &amp; " / " &amp; IFERROR(VLOOKUP(MID(N19,O19,P19-O19),[5]skilldef!$A:$B,2,FALSE),"-")</f>
        <v>- / -</v>
      </c>
      <c r="T19" s="48" t="str">
        <f t="shared" si="10"/>
        <v>none</v>
      </c>
      <c r="U19" s="64" t="e">
        <f t="shared" si="11"/>
        <v>#VALUE!</v>
      </c>
      <c r="V19" s="64">
        <f t="shared" si="12"/>
        <v>4</v>
      </c>
      <c r="W19" s="64" t="e">
        <f t="shared" si="13"/>
        <v>#VALUE!</v>
      </c>
      <c r="X19" s="64" t="e">
        <f t="shared" si="14"/>
        <v>#VALUE!</v>
      </c>
      <c r="Y19" s="64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47">
        <v>11227401</v>
      </c>
      <c r="B20" s="47" t="s">
        <v>224</v>
      </c>
      <c r="C20" s="50">
        <v>3</v>
      </c>
      <c r="D20" s="50" t="s">
        <v>128</v>
      </c>
      <c r="E20" s="51" t="s">
        <v>209</v>
      </c>
      <c r="F20" s="51" t="s">
        <v>210</v>
      </c>
      <c r="G20" s="64" t="str">
        <f t="shared" si="0"/>
        <v>[effect:enemy_message, val1:2.8, val2:1.8][effect:suicide, val:1, dead_type:suicide, target:enemy_all, animation:enemy_suicide]</v>
      </c>
      <c r="H20" s="64">
        <f t="shared" si="1"/>
        <v>9</v>
      </c>
      <c r="I20" s="64">
        <f t="shared" si="2"/>
        <v>22</v>
      </c>
      <c r="J20" s="64">
        <f t="shared" si="3"/>
        <v>93</v>
      </c>
      <c r="K20" s="64">
        <f t="shared" si="4"/>
        <v>32</v>
      </c>
      <c r="L20" s="64" t="str">
        <f>IFERROR(VLOOKUP(MID(G20,J20,K20-J20),[5]skilldef!$C:$D,2,FALSE),"-") &amp; " / " &amp; IFERROR(VLOOKUP(MID(G20,H20,I20-H20),[5]skilldef!$A:$B,2,FALSE),"-")</f>
        <v>- / -</v>
      </c>
      <c r="M20" s="64" t="str">
        <f t="shared" si="5"/>
        <v>none</v>
      </c>
      <c r="N20" s="48" t="str">
        <f>IFERROR(LEFT(M20,FIND("],",M20)+S55),M20)</f>
        <v>none</v>
      </c>
      <c r="O20" s="64" t="e">
        <f t="shared" si="6"/>
        <v>#VALUE!</v>
      </c>
      <c r="P20" s="64">
        <f t="shared" si="7"/>
        <v>4</v>
      </c>
      <c r="Q20" s="64" t="e">
        <f t="shared" si="8"/>
        <v>#VALUE!</v>
      </c>
      <c r="R20" s="64" t="e">
        <f t="shared" si="9"/>
        <v>#VALUE!</v>
      </c>
      <c r="S20" s="64" t="str">
        <f>IFERROR(VLOOKUP(MID(N20,Q20,R20-Q20),[5]skilldef!$C:$D,2,FALSE),"-") &amp; " / " &amp; IFERROR(VLOOKUP(MID(N20,O20,P20-O20),[5]skilldef!$A:$B,2,FALSE),"-")</f>
        <v>- / -</v>
      </c>
      <c r="T20" s="48" t="str">
        <f t="shared" si="10"/>
        <v>none</v>
      </c>
      <c r="U20" s="64" t="e">
        <f t="shared" si="11"/>
        <v>#VALUE!</v>
      </c>
      <c r="V20" s="64">
        <f t="shared" si="12"/>
        <v>4</v>
      </c>
      <c r="W20" s="64" t="e">
        <f t="shared" si="13"/>
        <v>#VALUE!</v>
      </c>
      <c r="X20" s="64" t="e">
        <f t="shared" si="14"/>
        <v>#VALUE!</v>
      </c>
      <c r="Y20" s="64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47">
        <v>11227700</v>
      </c>
      <c r="B21" s="47" t="s">
        <v>251</v>
      </c>
      <c r="C21" s="50">
        <v>3</v>
      </c>
      <c r="D21" s="50" t="s">
        <v>128</v>
      </c>
      <c r="E21" s="51" t="s">
        <v>252</v>
      </c>
      <c r="F21" s="51" t="s">
        <v>256</v>
      </c>
      <c r="G21" s="64" t="str">
        <f t="shared" ref="G21" si="45">IFERROR(LEFT(B21,FIND("],",B21)),B21)</f>
        <v>[effect:enemy_message, val1:1.8, val2:2.5][effect:fix_speed, target:enemy_all, turn:1]</v>
      </c>
      <c r="H21" s="64">
        <f t="shared" si="1"/>
        <v>9</v>
      </c>
      <c r="I21" s="64">
        <f t="shared" ref="I21" si="46">IFERROR(FIND(",",G21),LEN(G21))</f>
        <v>22</v>
      </c>
      <c r="J21" s="64">
        <f t="shared" ref="J21" si="47">FIND("target:",G21)+7</f>
        <v>69</v>
      </c>
      <c r="K21" s="64">
        <f t="shared" ref="K21" si="48">FIND(",",G21,I21+1)</f>
        <v>32</v>
      </c>
      <c r="L21" s="64" t="str">
        <f>IFERROR(VLOOKUP(MID(G21,J21,K21-J21),[5]skilldef!$C:$D,2,FALSE),"-") &amp; " / " &amp; IFERROR(VLOOKUP(MID(G21,H21,I21-H21),[5]skilldef!$A:$B,2,FALSE),"-")</f>
        <v>- / -</v>
      </c>
      <c r="M21" s="64" t="str">
        <f t="shared" ref="M21" si="49">IFERROR(RIGHT(B21,LEN(B21)-FIND("],",B21)-1),"none")</f>
        <v>none</v>
      </c>
      <c r="N21" s="48" t="str">
        <f>IFERROR(LEFT(M21,FIND("],",M21)+S62),M21)</f>
        <v>none</v>
      </c>
      <c r="O21" s="64" t="e">
        <f t="shared" si="6"/>
        <v>#VALUE!</v>
      </c>
      <c r="P21" s="64">
        <f t="shared" ref="P21" si="50">IFERROR(FIND(",",N21),LEN(N21))</f>
        <v>4</v>
      </c>
      <c r="Q21" s="64" t="e">
        <f t="shared" ref="Q21" si="51">FIND("target:",N21)+7</f>
        <v>#VALUE!</v>
      </c>
      <c r="R21" s="64" t="e">
        <f t="shared" ref="R21" si="52">FIND(",",N21,P21+1)</f>
        <v>#VALUE!</v>
      </c>
      <c r="S21" s="64" t="str">
        <f>IFERROR(VLOOKUP(MID(N21,Q21,R21-Q21),[5]skilldef!$C:$D,2,FALSE),"-") &amp; " / " &amp; IFERROR(VLOOKUP(MID(N21,O21,P21-O21),[5]skilldef!$A:$B,2,FALSE),"-")</f>
        <v>- / -</v>
      </c>
      <c r="T21" s="48" t="str">
        <f t="shared" ref="T21" si="53">IFERROR(RIGHT(M21,LEN(M21)-FIND("],",M21)-1),"none")</f>
        <v>none</v>
      </c>
      <c r="U21" s="64" t="e">
        <f t="shared" si="11"/>
        <v>#VALUE!</v>
      </c>
      <c r="V21" s="64">
        <f t="shared" ref="V21" si="54">IFERROR(FIND(",",T21),LEN(T21))</f>
        <v>4</v>
      </c>
      <c r="W21" s="64" t="e">
        <f t="shared" ref="W21" si="55">FIND("target:",T21)+7</f>
        <v>#VALUE!</v>
      </c>
      <c r="X21" s="64" t="e">
        <f t="shared" ref="X21" si="56">FIND(",",T21,V21+1)</f>
        <v>#VALUE!</v>
      </c>
      <c r="Y21" s="64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 x14ac:dyDescent="0.15">
      <c r="A22" s="47">
        <v>11227701</v>
      </c>
      <c r="B22" s="47" t="s">
        <v>255</v>
      </c>
      <c r="C22" s="50">
        <v>3</v>
      </c>
      <c r="D22" s="50" t="s">
        <v>128</v>
      </c>
      <c r="E22" s="51" t="s">
        <v>253</v>
      </c>
      <c r="F22" s="51" t="s">
        <v>254</v>
      </c>
      <c r="G22" s="64" t="str">
        <f t="shared" ref="G22" si="57">IFERROR(LEFT(B22,FIND("],",B22)),B22)</f>
        <v>[effect:enemy_message, val1:1.8, val2:2.5][effect:suicide, val:1, dead_type:escape, target:myself]</v>
      </c>
      <c r="H22" s="64">
        <f t="shared" si="1"/>
        <v>9</v>
      </c>
      <c r="I22" s="64">
        <f t="shared" ref="I22" si="58">IFERROR(FIND(",",G22),LEN(G22))</f>
        <v>22</v>
      </c>
      <c r="J22" s="64">
        <f t="shared" ref="J22" si="59">FIND("target:",G22)+7</f>
        <v>92</v>
      </c>
      <c r="K22" s="64">
        <f t="shared" ref="K22" si="60">FIND(",",G22,I22+1)</f>
        <v>32</v>
      </c>
      <c r="L22" s="64" t="str">
        <f>IFERROR(VLOOKUP(MID(G22,J22,K22-J22),[5]skilldef!$C:$D,2,FALSE),"-") &amp; " / " &amp; IFERROR(VLOOKUP(MID(G22,H22,I22-H22),[5]skilldef!$A:$B,2,FALSE),"-")</f>
        <v>- / -</v>
      </c>
      <c r="M22" s="64" t="str">
        <f t="shared" ref="M22" si="61">IFERROR(RIGHT(B22,LEN(B22)-FIND("],",B22)-1),"none")</f>
        <v>none</v>
      </c>
      <c r="N22" s="48" t="str">
        <f>IFERROR(LEFT(M22,FIND("],",M22)+S63),M22)</f>
        <v>none</v>
      </c>
      <c r="O22" s="64" t="e">
        <f t="shared" si="6"/>
        <v>#VALUE!</v>
      </c>
      <c r="P22" s="64">
        <f t="shared" ref="P22" si="62">IFERROR(FIND(",",N22),LEN(N22))</f>
        <v>4</v>
      </c>
      <c r="Q22" s="64" t="e">
        <f t="shared" ref="Q22" si="63">FIND("target:",N22)+7</f>
        <v>#VALUE!</v>
      </c>
      <c r="R22" s="64" t="e">
        <f t="shared" ref="R22" si="64">FIND(",",N22,P22+1)</f>
        <v>#VALUE!</v>
      </c>
      <c r="S22" s="64" t="str">
        <f>IFERROR(VLOOKUP(MID(N22,Q22,R22-Q22),[5]skilldef!$C:$D,2,FALSE),"-") &amp; " / " &amp; IFERROR(VLOOKUP(MID(N22,O22,P22-O22),[5]skilldef!$A:$B,2,FALSE),"-")</f>
        <v>- / -</v>
      </c>
      <c r="T22" s="48" t="str">
        <f t="shared" ref="T22" si="65">IFERROR(RIGHT(M22,LEN(M22)-FIND("],",M22)-1),"none")</f>
        <v>none</v>
      </c>
      <c r="U22" s="64" t="e">
        <f t="shared" si="11"/>
        <v>#VALUE!</v>
      </c>
      <c r="V22" s="64">
        <f t="shared" ref="V22" si="66">IFERROR(FIND(",",T22),LEN(T22))</f>
        <v>4</v>
      </c>
      <c r="W22" s="64" t="e">
        <f t="shared" ref="W22" si="67">FIND("target:",T22)+7</f>
        <v>#VALUE!</v>
      </c>
      <c r="X22" s="64" t="e">
        <f t="shared" ref="X22" si="68">FIND(",",T22,V22+1)</f>
        <v>#VALUE!</v>
      </c>
      <c r="Y22" s="64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15">
      <c r="A23" s="47">
        <v>11227800</v>
      </c>
      <c r="B23" s="47" t="s">
        <v>250</v>
      </c>
      <c r="C23" s="50">
        <v>3</v>
      </c>
      <c r="D23" s="50" t="s">
        <v>128</v>
      </c>
      <c r="E23" s="51" t="s">
        <v>261</v>
      </c>
      <c r="F23" s="51" t="s">
        <v>263</v>
      </c>
      <c r="G23" s="64" t="str">
        <f t="shared" ref="G23" si="69">IFERROR(LEFT(B23,FIND("],",B23)),B23)</f>
        <v>[effect:enemy_message, val1:1.8, val2:2.5]</v>
      </c>
      <c r="H23" s="64">
        <f t="shared" si="1"/>
        <v>9</v>
      </c>
      <c r="I23" s="64">
        <f t="shared" ref="I23" si="70">IFERROR(FIND(",",G23),LEN(G23))</f>
        <v>22</v>
      </c>
      <c r="J23" s="64" t="e">
        <f t="shared" ref="J23" si="71">FIND("target:",G23)+7</f>
        <v>#VALUE!</v>
      </c>
      <c r="K23" s="64">
        <f t="shared" ref="K23" si="72">FIND(",",G23,I23+1)</f>
        <v>32</v>
      </c>
      <c r="L23" s="64" t="str">
        <f>IFERROR(VLOOKUP(MID(G23,J23,K23-J23),[5]skilldef!$C:$D,2,FALSE),"-") &amp; " / " &amp; IFERROR(VLOOKUP(MID(G23,H23,I23-H23),[5]skilldef!$A:$B,2,FALSE),"-")</f>
        <v>- / -</v>
      </c>
      <c r="M23" s="64" t="str">
        <f t="shared" ref="M23" si="73">IFERROR(RIGHT(B23,LEN(B23)-FIND("],",B23)-1),"none")</f>
        <v>none</v>
      </c>
      <c r="N23" s="48" t="str">
        <f>IFERROR(LEFT(M23,FIND("],",M23)+S63),M23)</f>
        <v>none</v>
      </c>
      <c r="O23" s="64" t="e">
        <f t="shared" si="6"/>
        <v>#VALUE!</v>
      </c>
      <c r="P23" s="64">
        <f t="shared" ref="P23" si="74">IFERROR(FIND(",",N23),LEN(N23))</f>
        <v>4</v>
      </c>
      <c r="Q23" s="64" t="e">
        <f t="shared" ref="Q23" si="75">FIND("target:",N23)+7</f>
        <v>#VALUE!</v>
      </c>
      <c r="R23" s="64" t="e">
        <f t="shared" ref="R23" si="76">FIND(",",N23,P23+1)</f>
        <v>#VALUE!</v>
      </c>
      <c r="S23" s="64" t="str">
        <f>IFERROR(VLOOKUP(MID(N23,Q23,R23-Q23),[5]skilldef!$C:$D,2,FALSE),"-") &amp; " / " &amp; IFERROR(VLOOKUP(MID(N23,O23,P23-O23),[5]skilldef!$A:$B,2,FALSE),"-")</f>
        <v>- / -</v>
      </c>
      <c r="T23" s="48" t="str">
        <f t="shared" ref="T23" si="77">IFERROR(RIGHT(M23,LEN(M23)-FIND("],",M23)-1),"none")</f>
        <v>none</v>
      </c>
      <c r="U23" s="64" t="e">
        <f t="shared" si="11"/>
        <v>#VALUE!</v>
      </c>
      <c r="V23" s="64">
        <f t="shared" ref="V23" si="78">IFERROR(FIND(",",T23),LEN(T23))</f>
        <v>4</v>
      </c>
      <c r="W23" s="64" t="e">
        <f t="shared" ref="W23" si="79">FIND("target:",T23)+7</f>
        <v>#VALUE!</v>
      </c>
      <c r="X23" s="64" t="e">
        <f t="shared" ref="X23" si="80">FIND(",",T23,V23+1)</f>
        <v>#VALUE!</v>
      </c>
      <c r="Y23" s="64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15">
      <c r="A24" s="47">
        <v>11227801</v>
      </c>
      <c r="B24" s="47" t="s">
        <v>257</v>
      </c>
      <c r="C24" s="50">
        <v>3</v>
      </c>
      <c r="D24" s="50" t="s">
        <v>128</v>
      </c>
      <c r="E24" s="51" t="s">
        <v>262</v>
      </c>
      <c r="F24" s="51"/>
      <c r="G24" s="64" t="str">
        <f t="shared" ref="G24" si="81">IFERROR(LEFT(B24,FIND("],",B24)),B24)</f>
        <v>[effect:enemy_message, val1:1.8, val2:0][effect:suicide, val:1, dead_type:escape, target:myself]</v>
      </c>
      <c r="H24" s="64">
        <f t="shared" si="1"/>
        <v>9</v>
      </c>
      <c r="I24" s="64">
        <f t="shared" ref="I24" si="82">IFERROR(FIND(",",G24),LEN(G24))</f>
        <v>22</v>
      </c>
      <c r="J24" s="64">
        <f t="shared" ref="J24" si="83">FIND("target:",G24)+7</f>
        <v>90</v>
      </c>
      <c r="K24" s="64">
        <f t="shared" ref="K24" si="84">FIND(",",G24,I24+1)</f>
        <v>32</v>
      </c>
      <c r="L24" s="64" t="str">
        <f>IFERROR(VLOOKUP(MID(G24,J24,K24-J24),[5]skilldef!$C:$D,2,FALSE),"-") &amp; " / " &amp; IFERROR(VLOOKUP(MID(G24,H24,I24-H24),[5]skilldef!$A:$B,2,FALSE),"-")</f>
        <v>- / -</v>
      </c>
      <c r="M24" s="64" t="str">
        <f t="shared" ref="M24" si="85">IFERROR(RIGHT(B24,LEN(B24)-FIND("],",B24)-1),"none")</f>
        <v>none</v>
      </c>
      <c r="N24" s="48" t="str">
        <f>IFERROR(LEFT(M24,FIND("],",M24)+S64),M24)</f>
        <v>none</v>
      </c>
      <c r="O24" s="64" t="e">
        <f t="shared" si="6"/>
        <v>#VALUE!</v>
      </c>
      <c r="P24" s="64">
        <f t="shared" ref="P24" si="86">IFERROR(FIND(",",N24),LEN(N24))</f>
        <v>4</v>
      </c>
      <c r="Q24" s="64" t="e">
        <f t="shared" ref="Q24" si="87">FIND("target:",N24)+7</f>
        <v>#VALUE!</v>
      </c>
      <c r="R24" s="64" t="e">
        <f t="shared" ref="R24" si="88">FIND(",",N24,P24+1)</f>
        <v>#VALUE!</v>
      </c>
      <c r="S24" s="64" t="str">
        <f>IFERROR(VLOOKUP(MID(N24,Q24,R24-Q24),[5]skilldef!$C:$D,2,FALSE),"-") &amp; " / " &amp; IFERROR(VLOOKUP(MID(N24,O24,P24-O24),[5]skilldef!$A:$B,2,FALSE),"-")</f>
        <v>- / -</v>
      </c>
      <c r="T24" s="48" t="str">
        <f t="shared" ref="T24" si="89">IFERROR(RIGHT(M24,LEN(M24)-FIND("],",M24)-1),"none")</f>
        <v>none</v>
      </c>
      <c r="U24" s="64" t="e">
        <f t="shared" si="11"/>
        <v>#VALUE!</v>
      </c>
      <c r="V24" s="64">
        <f t="shared" ref="V24" si="90">IFERROR(FIND(",",T24),LEN(T24))</f>
        <v>4</v>
      </c>
      <c r="W24" s="64" t="e">
        <f t="shared" ref="W24" si="91">FIND("target:",T24)+7</f>
        <v>#VALUE!</v>
      </c>
      <c r="X24" s="64" t="e">
        <f t="shared" ref="X24" si="92">FIND(",",T24,V24+1)</f>
        <v>#VALUE!</v>
      </c>
      <c r="Y24" s="64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x14ac:dyDescent="0.15">
      <c r="A25" s="47">
        <v>11227500</v>
      </c>
      <c r="B25" s="47" t="s">
        <v>275</v>
      </c>
      <c r="C25" s="50">
        <v>3</v>
      </c>
      <c r="D25" s="50" t="s">
        <v>128</v>
      </c>
      <c r="E25" s="51" t="s">
        <v>230</v>
      </c>
      <c r="F25" s="51" t="s">
        <v>227</v>
      </c>
      <c r="G25" s="64" t="str">
        <f t="shared" si="0"/>
        <v>[effect:enemy_message, val1:1.8, val2:2.5][effect:fix_speed, target:myself, turn:1][effect:change_panel_ratio, turn:-1, block_type:heal, val:0.2][effect:force_change_block, new_block:block_heart, target:block_all, ignore01:block_heart, count:3, val:0]</v>
      </c>
      <c r="H25" s="64">
        <f t="shared" si="1"/>
        <v>9</v>
      </c>
      <c r="I25" s="64">
        <f t="shared" si="2"/>
        <v>22</v>
      </c>
      <c r="J25" s="64">
        <f t="shared" si="3"/>
        <v>69</v>
      </c>
      <c r="K25" s="64">
        <f t="shared" si="4"/>
        <v>32</v>
      </c>
      <c r="L25" s="64" t="str">
        <f>IFERROR(VLOOKUP(MID(G25,J25,K25-J25),[5]skilldef!$C:$D,2,FALSE),"-") &amp; " / " &amp; IFERROR(VLOOKUP(MID(G25,H25,I25-H25),[5]skilldef!$A:$B,2,FALSE),"-")</f>
        <v>- / -</v>
      </c>
      <c r="M25" s="64" t="str">
        <f t="shared" si="5"/>
        <v>none</v>
      </c>
      <c r="N25" s="48" t="str">
        <f>IFERROR(LEFT(M25,FIND("],",M25)+S63),M25)</f>
        <v>none</v>
      </c>
      <c r="O25" s="64" t="e">
        <f t="shared" si="6"/>
        <v>#VALUE!</v>
      </c>
      <c r="P25" s="64">
        <f t="shared" si="7"/>
        <v>4</v>
      </c>
      <c r="Q25" s="64" t="e">
        <f t="shared" si="8"/>
        <v>#VALUE!</v>
      </c>
      <c r="R25" s="64" t="e">
        <f t="shared" si="9"/>
        <v>#VALUE!</v>
      </c>
      <c r="S25" s="64" t="str">
        <f>IFERROR(VLOOKUP(MID(N25,Q25,R25-Q25),[5]skilldef!$C:$D,2,FALSE),"-") &amp; " / " &amp; IFERROR(VLOOKUP(MID(N25,O25,P25-O25),[5]skilldef!$A:$B,2,FALSE),"-")</f>
        <v>- / -</v>
      </c>
      <c r="T25" s="48" t="str">
        <f t="shared" si="10"/>
        <v>none</v>
      </c>
      <c r="U25" s="64" t="e">
        <f t="shared" si="11"/>
        <v>#VALUE!</v>
      </c>
      <c r="V25" s="64">
        <f t="shared" si="12"/>
        <v>4</v>
      </c>
      <c r="W25" s="64" t="e">
        <f t="shared" si="13"/>
        <v>#VALUE!</v>
      </c>
      <c r="X25" s="64" t="e">
        <f t="shared" si="14"/>
        <v>#VALUE!</v>
      </c>
      <c r="Y25" s="64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1" customHeight="1" x14ac:dyDescent="0.15">
      <c r="A26" s="47">
        <v>11227501</v>
      </c>
      <c r="B26" s="47" t="s">
        <v>273</v>
      </c>
      <c r="C26" s="50">
        <v>3</v>
      </c>
      <c r="D26" s="50" t="s">
        <v>128</v>
      </c>
      <c r="E26" s="51" t="s">
        <v>228</v>
      </c>
      <c r="F26" s="51" t="s">
        <v>286</v>
      </c>
      <c r="G26" s="64" t="str">
        <f t="shared" si="0"/>
        <v>[effect:enemy_message, val1:2.2, val2:2][effect:force_change_block, new_block:block_heart, target:block_all, ignore01:block_heart, count:3, val:0]</v>
      </c>
      <c r="H26" s="64">
        <f t="shared" si="1"/>
        <v>9</v>
      </c>
      <c r="I26" s="64">
        <f t="shared" si="2"/>
        <v>22</v>
      </c>
      <c r="J26" s="64">
        <f t="shared" si="3"/>
        <v>99</v>
      </c>
      <c r="K26" s="64">
        <f t="shared" si="4"/>
        <v>32</v>
      </c>
      <c r="L26" s="64" t="str">
        <f>IFERROR(VLOOKUP(MID(G26,J26,K26-J26),[5]skilldef!$C:$D,2,FALSE),"-") &amp; " / " &amp; IFERROR(VLOOKUP(MID(G26,H26,I26-H26),[5]skilldef!$A:$B,2,FALSE),"-")</f>
        <v>- / -</v>
      </c>
      <c r="M26" s="64" t="str">
        <f t="shared" si="5"/>
        <v>none</v>
      </c>
      <c r="N26" s="48" t="str">
        <f>IFERROR(LEFT(M26,FIND("],",M26)+S64),M26)</f>
        <v>none</v>
      </c>
      <c r="O26" s="64" t="e">
        <f t="shared" si="6"/>
        <v>#VALUE!</v>
      </c>
      <c r="P26" s="64">
        <f t="shared" si="7"/>
        <v>4</v>
      </c>
      <c r="Q26" s="64" t="e">
        <f t="shared" si="8"/>
        <v>#VALUE!</v>
      </c>
      <c r="R26" s="64" t="e">
        <f t="shared" si="9"/>
        <v>#VALUE!</v>
      </c>
      <c r="S26" s="64" t="str">
        <f>IFERROR(VLOOKUP(MID(N26,Q26,R26-Q26),[5]skilldef!$C:$D,2,FALSE),"-") &amp; " / " &amp; IFERROR(VLOOKUP(MID(N26,O26,P26-O26),[5]skilldef!$A:$B,2,FALSE),"-")</f>
        <v>- / -</v>
      </c>
      <c r="T26" s="48" t="str">
        <f t="shared" si="10"/>
        <v>none</v>
      </c>
      <c r="U26" s="64" t="e">
        <f t="shared" si="11"/>
        <v>#VALUE!</v>
      </c>
      <c r="V26" s="64">
        <f t="shared" si="12"/>
        <v>4</v>
      </c>
      <c r="W26" s="64" t="e">
        <f t="shared" si="13"/>
        <v>#VALUE!</v>
      </c>
      <c r="X26" s="64" t="e">
        <f t="shared" si="14"/>
        <v>#VALUE!</v>
      </c>
      <c r="Y26" s="64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1" customHeight="1" x14ac:dyDescent="0.15">
      <c r="A27" s="47">
        <v>11227502</v>
      </c>
      <c r="B27" s="47" t="s">
        <v>274</v>
      </c>
      <c r="C27" s="50">
        <v>3</v>
      </c>
      <c r="D27" s="50" t="s">
        <v>128</v>
      </c>
      <c r="E27" s="51" t="s">
        <v>229</v>
      </c>
      <c r="F27" s="51" t="s">
        <v>231</v>
      </c>
      <c r="G27" s="64" t="str">
        <f t="shared" si="0"/>
        <v>[effect:fix_speed, target:myself, turn:1][effect:force_change_block, new_block:block_heart, target:block_all, ignore01:block_heart, count:3, val:0]</v>
      </c>
      <c r="H27" s="64">
        <f t="shared" si="1"/>
        <v>9</v>
      </c>
      <c r="I27" s="64">
        <f t="shared" si="2"/>
        <v>18</v>
      </c>
      <c r="J27" s="64">
        <f t="shared" si="3"/>
        <v>27</v>
      </c>
      <c r="K27" s="64">
        <f t="shared" si="4"/>
        <v>33</v>
      </c>
      <c r="L27" s="64" t="str">
        <f>IFERROR(VLOOKUP(MID(G27,J27,K27-J27),[5]skilldef!$C:$D,2,FALSE),"-") &amp; " / " &amp; IFERROR(VLOOKUP(MID(G27,H27,I27-H27),[5]skilldef!$A:$B,2,FALSE),"-")</f>
        <v>自分自身に / 行動値設定</v>
      </c>
      <c r="M27" s="64" t="str">
        <f t="shared" si="5"/>
        <v>none</v>
      </c>
      <c r="N27" s="48" t="str">
        <f>IFERROR(LEFT(M27,FIND("],",M27)+S65),M27)</f>
        <v>none</v>
      </c>
      <c r="O27" s="64" t="e">
        <f t="shared" si="6"/>
        <v>#VALUE!</v>
      </c>
      <c r="P27" s="64">
        <f t="shared" si="7"/>
        <v>4</v>
      </c>
      <c r="Q27" s="64" t="e">
        <f t="shared" si="8"/>
        <v>#VALUE!</v>
      </c>
      <c r="R27" s="64" t="e">
        <f t="shared" si="9"/>
        <v>#VALUE!</v>
      </c>
      <c r="S27" s="64" t="str">
        <f>IFERROR(VLOOKUP(MID(N27,Q27,R27-Q27),[5]skilldef!$C:$D,2,FALSE),"-") &amp; " / " &amp; IFERROR(VLOOKUP(MID(N27,O27,P27-O27),[5]skilldef!$A:$B,2,FALSE),"-")</f>
        <v>- / -</v>
      </c>
      <c r="T27" s="48" t="str">
        <f t="shared" si="10"/>
        <v>none</v>
      </c>
      <c r="U27" s="64" t="e">
        <f t="shared" si="11"/>
        <v>#VALUE!</v>
      </c>
      <c r="V27" s="64">
        <f t="shared" si="12"/>
        <v>4</v>
      </c>
      <c r="W27" s="64" t="e">
        <f t="shared" si="13"/>
        <v>#VALUE!</v>
      </c>
      <c r="X27" s="64" t="e">
        <f t="shared" si="14"/>
        <v>#VALUE!</v>
      </c>
      <c r="Y27" s="64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1" customHeight="1" x14ac:dyDescent="0.15">
      <c r="A28" s="47">
        <v>11227503</v>
      </c>
      <c r="B28" s="47" t="s">
        <v>280</v>
      </c>
      <c r="C28" s="50">
        <v>3</v>
      </c>
      <c r="D28" s="50" t="s">
        <v>128</v>
      </c>
      <c r="E28" s="51" t="s">
        <v>239</v>
      </c>
      <c r="F28" s="51" t="s">
        <v>247</v>
      </c>
      <c r="G28" s="64" t="str">
        <f t="shared" si="0"/>
        <v>[effect:enemy_message, val1:3, val2:2][effect:fix_speed, target:myself, turn:1][effect:force_change_block, new_block:crack_bomb, target:block_heart, color:block_red, count:0, val:0][effect:degrade_unit, target:unit_all, turn:1, status:action, val:2, calc:add][effect:suicide, val:0.8, dead_type:escape, target:myself]</v>
      </c>
      <c r="H28" s="64">
        <f t="shared" si="1"/>
        <v>9</v>
      </c>
      <c r="I28" s="64">
        <f t="shared" si="2"/>
        <v>22</v>
      </c>
      <c r="J28" s="64">
        <f t="shared" si="3"/>
        <v>65</v>
      </c>
      <c r="K28" s="64">
        <f t="shared" si="4"/>
        <v>30</v>
      </c>
      <c r="L28" s="64" t="str">
        <f>IFERROR(VLOOKUP(MID(G28,J28,K28-J28),[5]skilldef!$C:$D,2,FALSE),"-") &amp; " / " &amp; IFERROR(VLOOKUP(MID(G28,H28,I28-H28),[5]skilldef!$A:$B,2,FALSE),"-")</f>
        <v>- / -</v>
      </c>
      <c r="M28" s="64" t="str">
        <f t="shared" si="5"/>
        <v>none</v>
      </c>
      <c r="N28" s="48" t="str">
        <f>IFERROR(LEFT(M28,FIND("],",M28)+S66),M28)</f>
        <v>none</v>
      </c>
      <c r="O28" s="64" t="e">
        <f t="shared" si="6"/>
        <v>#VALUE!</v>
      </c>
      <c r="P28" s="64">
        <f t="shared" si="7"/>
        <v>4</v>
      </c>
      <c r="Q28" s="64" t="e">
        <f t="shared" si="8"/>
        <v>#VALUE!</v>
      </c>
      <c r="R28" s="64" t="e">
        <f t="shared" si="9"/>
        <v>#VALUE!</v>
      </c>
      <c r="S28" s="64" t="str">
        <f>IFERROR(VLOOKUP(MID(N28,Q28,R28-Q28),[5]skilldef!$C:$D,2,FALSE),"-") &amp; " / " &amp; IFERROR(VLOOKUP(MID(N28,O28,P28-O28),[5]skilldef!$A:$B,2,FALSE),"-")</f>
        <v>- / -</v>
      </c>
      <c r="T28" s="48" t="str">
        <f t="shared" si="10"/>
        <v>none</v>
      </c>
      <c r="U28" s="64" t="e">
        <f t="shared" si="11"/>
        <v>#VALUE!</v>
      </c>
      <c r="V28" s="64">
        <f t="shared" si="12"/>
        <v>4</v>
      </c>
      <c r="W28" s="64" t="e">
        <f t="shared" si="13"/>
        <v>#VALUE!</v>
      </c>
      <c r="X28" s="64" t="e">
        <f t="shared" si="14"/>
        <v>#VALUE!</v>
      </c>
      <c r="Y28" s="64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21" customHeight="1" x14ac:dyDescent="0.15">
      <c r="A29" s="47">
        <v>11227504</v>
      </c>
      <c r="B29" s="47" t="s">
        <v>235</v>
      </c>
      <c r="C29" s="50">
        <v>3</v>
      </c>
      <c r="D29" s="50" t="s">
        <v>128</v>
      </c>
      <c r="E29" s="51" t="s">
        <v>260</v>
      </c>
      <c r="F29" s="51"/>
      <c r="G29" s="64" t="str">
        <f t="shared" si="0"/>
        <v>[effect:enemy_message, val1:1.8, val2:0][effect:suicide, val:1, dead_type:escape, target:myself]</v>
      </c>
      <c r="H29" s="64">
        <f t="shared" si="1"/>
        <v>9</v>
      </c>
      <c r="I29" s="64">
        <f t="shared" si="2"/>
        <v>22</v>
      </c>
      <c r="J29" s="64">
        <f t="shared" si="3"/>
        <v>90</v>
      </c>
      <c r="K29" s="64">
        <f t="shared" si="4"/>
        <v>32</v>
      </c>
      <c r="L29" s="64" t="str">
        <f>IFERROR(VLOOKUP(MID(G29,J29,K29-J29),[5]skilldef!$C:$D,2,FALSE),"-") &amp; " / " &amp; IFERROR(VLOOKUP(MID(G29,H29,I29-H29),[5]skilldef!$A:$B,2,FALSE),"-")</f>
        <v>- / -</v>
      </c>
      <c r="M29" s="64" t="str">
        <f t="shared" si="5"/>
        <v>none</v>
      </c>
      <c r="N29" s="48" t="str">
        <f>IFERROR(LEFT(M29,FIND("],",M29)+S67),M29)</f>
        <v>none</v>
      </c>
      <c r="O29" s="64" t="e">
        <f t="shared" si="6"/>
        <v>#VALUE!</v>
      </c>
      <c r="P29" s="64">
        <f t="shared" si="7"/>
        <v>4</v>
      </c>
      <c r="Q29" s="64" t="e">
        <f t="shared" si="8"/>
        <v>#VALUE!</v>
      </c>
      <c r="R29" s="64" t="e">
        <f t="shared" si="9"/>
        <v>#VALUE!</v>
      </c>
      <c r="S29" s="64" t="str">
        <f>IFERROR(VLOOKUP(MID(N29,Q29,R29-Q29),[5]skilldef!$C:$D,2,FALSE),"-") &amp; " / " &amp; IFERROR(VLOOKUP(MID(N29,O29,P29-O29),[5]skilldef!$A:$B,2,FALSE),"-")</f>
        <v>- / -</v>
      </c>
      <c r="T29" s="48" t="str">
        <f t="shared" si="10"/>
        <v>none</v>
      </c>
      <c r="U29" s="64" t="e">
        <f t="shared" si="11"/>
        <v>#VALUE!</v>
      </c>
      <c r="V29" s="64">
        <f t="shared" si="12"/>
        <v>4</v>
      </c>
      <c r="W29" s="64" t="e">
        <f t="shared" si="13"/>
        <v>#VALUE!</v>
      </c>
      <c r="X29" s="64" t="e">
        <f t="shared" si="14"/>
        <v>#VALUE!</v>
      </c>
      <c r="Y29" s="64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21" customHeight="1" x14ac:dyDescent="0.15">
      <c r="A30" s="47">
        <v>11227505</v>
      </c>
      <c r="B30" s="47" t="s">
        <v>276</v>
      </c>
      <c r="C30" s="50">
        <v>3</v>
      </c>
      <c r="D30" s="50" t="s">
        <v>128</v>
      </c>
      <c r="E30" s="51" t="s">
        <v>259</v>
      </c>
      <c r="F30" s="51" t="s">
        <v>272</v>
      </c>
      <c r="G30" s="64" t="str">
        <f t="shared" ref="G30" si="93">IFERROR(LEFT(B30,FIND("],",B30)),B30)</f>
        <v>[effect:enemy_message, val1:1.8, val2:2.2][effect:suicide, val:1, dead_type:escape, target:myself]</v>
      </c>
      <c r="H30" s="64">
        <f t="shared" ref="H30" si="94">FIND("effect:",G30)+7</f>
        <v>9</v>
      </c>
      <c r="I30" s="64">
        <f t="shared" ref="I30" si="95">IFERROR(FIND(",",G30),LEN(G30))</f>
        <v>22</v>
      </c>
      <c r="J30" s="64">
        <f t="shared" ref="J30" si="96">FIND("target:",G30)+7</f>
        <v>92</v>
      </c>
      <c r="K30" s="64">
        <f t="shared" ref="K30" si="97">FIND(",",G30,I30+1)</f>
        <v>32</v>
      </c>
      <c r="L30" s="64" t="str">
        <f>IFERROR(VLOOKUP(MID(G30,J30,K30-J30),[5]skilldef!$C:$D,2,FALSE),"-") &amp; " / " &amp; IFERROR(VLOOKUP(MID(G30,H30,I30-H30),[5]skilldef!$A:$B,2,FALSE),"-")</f>
        <v>- / -</v>
      </c>
      <c r="M30" s="64" t="str">
        <f t="shared" ref="M30" si="98">IFERROR(RIGHT(B30,LEN(B30)-FIND("],",B30)-1),"none")</f>
        <v>none</v>
      </c>
      <c r="N30" s="48" t="str">
        <f>IFERROR(LEFT(M30,FIND("],",M30)+S68),M30)</f>
        <v>none</v>
      </c>
      <c r="O30" s="64" t="e">
        <f t="shared" ref="O30" si="99">FIND("effect:",N30)+7</f>
        <v>#VALUE!</v>
      </c>
      <c r="P30" s="64">
        <f t="shared" ref="P30" si="100">IFERROR(FIND(",",N30),LEN(N30))</f>
        <v>4</v>
      </c>
      <c r="Q30" s="64" t="e">
        <f t="shared" ref="Q30" si="101">FIND("target:",N30)+7</f>
        <v>#VALUE!</v>
      </c>
      <c r="R30" s="64" t="e">
        <f t="shared" ref="R30" si="102">FIND(",",N30,P30+1)</f>
        <v>#VALUE!</v>
      </c>
      <c r="S30" s="64" t="str">
        <f>IFERROR(VLOOKUP(MID(N30,Q30,R30-Q30),[5]skilldef!$C:$D,2,FALSE),"-") &amp; " / " &amp; IFERROR(VLOOKUP(MID(N30,O30,P30-O30),[5]skilldef!$A:$B,2,FALSE),"-")</f>
        <v>- / -</v>
      </c>
      <c r="T30" s="48" t="str">
        <f t="shared" ref="T30" si="103">IFERROR(RIGHT(M30,LEN(M30)-FIND("],",M30)-1),"none")</f>
        <v>none</v>
      </c>
      <c r="U30" s="64" t="e">
        <f t="shared" ref="U30" si="104">FIND("effect:",T30)+7</f>
        <v>#VALUE!</v>
      </c>
      <c r="V30" s="64">
        <f t="shared" ref="V30" si="105">IFERROR(FIND(",",T30),LEN(T30))</f>
        <v>4</v>
      </c>
      <c r="W30" s="64" t="e">
        <f t="shared" ref="W30" si="106">FIND("target:",T30)+7</f>
        <v>#VALUE!</v>
      </c>
      <c r="X30" s="64" t="e">
        <f t="shared" ref="X30" si="107">FIND(",",T30,V30+1)</f>
        <v>#VALUE!</v>
      </c>
      <c r="Y30" s="64" t="str">
        <f>IFERROR(VLOOKUP(MID(T30,W30,X30-W30),[5]skilldef!$C:$D,2,FALSE),"-") &amp; " / " &amp; IFERROR(VLOOKUP(MID(T30,U30,V30-U30),[5]skilldef!$A:$B,2,FALSE),"-")</f>
        <v>- / -</v>
      </c>
      <c r="Z30" s="50"/>
      <c r="AA30" s="52"/>
      <c r="AB30" s="50"/>
    </row>
    <row r="31" spans="1:28" ht="21" customHeight="1" x14ac:dyDescent="0.15">
      <c r="A31" s="47">
        <v>11227600</v>
      </c>
      <c r="B31" s="47" t="s">
        <v>264</v>
      </c>
      <c r="C31" s="50">
        <v>3</v>
      </c>
      <c r="D31" s="50" t="s">
        <v>128</v>
      </c>
      <c r="E31" s="51" t="s">
        <v>232</v>
      </c>
      <c r="F31" s="51" t="s">
        <v>236</v>
      </c>
      <c r="G31" s="64" t="str">
        <f t="shared" ref="G31" si="108">IFERROR(LEFT(B31,FIND("],",B31)),B31)</f>
        <v>[effect:ability_lock, target:unit_all, turn:-1][effect:hungup, target:unit_all, turn:-1, rate:1][effect:enemy_message, val1:1.8, val2:2][effect:fix_speed, target:myself, turn:1][effect:force_change_block, new_block:block_heart, target:block_all, ignore01:block_heart, count:3, val:0][effect:change_panel_ratio, turn:-1, block_type:heal, val:1][effect:change_panel_ratio, turn:-1, block_type:red, val:0][effect:change_panel_ratio, turn:-1, block_type:blue, val:0][effect:change_panel_ratio, turn:-1, block_type:yellow, val:0][effect:change_panel_ratio, turn:-1, block_type:green, val:0]</v>
      </c>
      <c r="H31" s="64">
        <f t="shared" si="1"/>
        <v>9</v>
      </c>
      <c r="I31" s="64">
        <f t="shared" ref="I31" si="109">IFERROR(FIND(",",G31),LEN(G31))</f>
        <v>21</v>
      </c>
      <c r="J31" s="64">
        <f t="shared" ref="J31" si="110">FIND("target:",G31)+7</f>
        <v>30</v>
      </c>
      <c r="K31" s="64">
        <f t="shared" ref="K31" si="111">FIND(",",G31,I31+1)</f>
        <v>38</v>
      </c>
      <c r="L31" s="64" t="str">
        <f>IFERROR(VLOOKUP(MID(G31,J31,K31-J31),[5]skilldef!$C:$D,2,FALSE),"-") &amp; " / " &amp; IFERROR(VLOOKUP(MID(G31,H31,I31-H31),[5]skilldef!$A:$B,2,FALSE),"-")</f>
        <v>味方全体に / -</v>
      </c>
      <c r="M31" s="64" t="str">
        <f t="shared" ref="M31" si="112">IFERROR(RIGHT(B31,LEN(B31)-FIND("],",B31)-1),"none")</f>
        <v>none</v>
      </c>
      <c r="N31" s="48" t="str">
        <f>IFERROR(LEFT(M31,FIND("],",M31)+S68),M31)</f>
        <v>none</v>
      </c>
      <c r="O31" s="64" t="e">
        <f t="shared" si="6"/>
        <v>#VALUE!</v>
      </c>
      <c r="P31" s="64">
        <f t="shared" ref="P31" si="113">IFERROR(FIND(",",N31),LEN(N31))</f>
        <v>4</v>
      </c>
      <c r="Q31" s="64" t="e">
        <f t="shared" ref="Q31" si="114">FIND("target:",N31)+7</f>
        <v>#VALUE!</v>
      </c>
      <c r="R31" s="64" t="e">
        <f t="shared" ref="R31" si="115">FIND(",",N31,P31+1)</f>
        <v>#VALUE!</v>
      </c>
      <c r="S31" s="64" t="str">
        <f>IFERROR(VLOOKUP(MID(N31,Q31,R31-Q31),[5]skilldef!$C:$D,2,FALSE),"-") &amp; " / " &amp; IFERROR(VLOOKUP(MID(N31,O31,P31-O31),[5]skilldef!$A:$B,2,FALSE),"-")</f>
        <v>- / -</v>
      </c>
      <c r="T31" s="48" t="str">
        <f t="shared" ref="T31" si="116">IFERROR(RIGHT(M31,LEN(M31)-FIND("],",M31)-1),"none")</f>
        <v>none</v>
      </c>
      <c r="U31" s="64" t="e">
        <f t="shared" si="11"/>
        <v>#VALUE!</v>
      </c>
      <c r="V31" s="64">
        <f t="shared" ref="V31" si="117">IFERROR(FIND(",",T31),LEN(T31))</f>
        <v>4</v>
      </c>
      <c r="W31" s="64" t="e">
        <f t="shared" ref="W31" si="118">FIND("target:",T31)+7</f>
        <v>#VALUE!</v>
      </c>
      <c r="X31" s="64" t="e">
        <f t="shared" ref="X31" si="119">FIND(",",T31,V31+1)</f>
        <v>#VALUE!</v>
      </c>
      <c r="Y31" s="64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  <row r="32" spans="1:28" ht="21" customHeight="1" x14ac:dyDescent="0.15">
      <c r="A32" s="47">
        <v>11227601</v>
      </c>
      <c r="B32" s="47" t="s">
        <v>241</v>
      </c>
      <c r="C32" s="50">
        <v>3</v>
      </c>
      <c r="D32" s="50" t="s">
        <v>128</v>
      </c>
      <c r="E32" s="51" t="s">
        <v>234</v>
      </c>
      <c r="F32" s="51" t="s">
        <v>240</v>
      </c>
      <c r="G32" s="64" t="str">
        <f t="shared" ref="G32" si="120">IFERROR(LEFT(B32,FIND("],",B32)),B32)</f>
        <v>[effect:enemy_message, val1:1.8, val2:1.8][effect:force_change_block, new_block:block_heart, target:block_all, ignore01:block_heart, count:3, val:0]</v>
      </c>
      <c r="H32" s="64">
        <f t="shared" si="1"/>
        <v>9</v>
      </c>
      <c r="I32" s="64">
        <f t="shared" ref="I32" si="121">IFERROR(FIND(",",G32),LEN(G32))</f>
        <v>22</v>
      </c>
      <c r="J32" s="64">
        <f t="shared" ref="J32" si="122">FIND("target:",G32)+7</f>
        <v>101</v>
      </c>
      <c r="K32" s="64">
        <f t="shared" ref="K32" si="123">FIND(",",G32,I32+1)</f>
        <v>32</v>
      </c>
      <c r="L32" s="64" t="str">
        <f>IFERROR(VLOOKUP(MID(G32,J32,K32-J32),[5]skilldef!$C:$D,2,FALSE),"-") &amp; " / " &amp; IFERROR(VLOOKUP(MID(G32,H32,I32-H32),[5]skilldef!$A:$B,2,FALSE),"-")</f>
        <v>- / -</v>
      </c>
      <c r="M32" s="64" t="str">
        <f t="shared" ref="M32" si="124">IFERROR(RIGHT(B32,LEN(B32)-FIND("],",B32)-1),"none")</f>
        <v>none</v>
      </c>
      <c r="N32" s="48" t="str">
        <f>IFERROR(LEFT(M32,FIND("],",M32)+S69),M32)</f>
        <v>none</v>
      </c>
      <c r="O32" s="64" t="e">
        <f t="shared" si="6"/>
        <v>#VALUE!</v>
      </c>
      <c r="P32" s="64">
        <f t="shared" ref="P32" si="125">IFERROR(FIND(",",N32),LEN(N32))</f>
        <v>4</v>
      </c>
      <c r="Q32" s="64" t="e">
        <f t="shared" ref="Q32" si="126">FIND("target:",N32)+7</f>
        <v>#VALUE!</v>
      </c>
      <c r="R32" s="64" t="e">
        <f t="shared" ref="R32" si="127">FIND(",",N32,P32+1)</f>
        <v>#VALUE!</v>
      </c>
      <c r="S32" s="64" t="str">
        <f>IFERROR(VLOOKUP(MID(N32,Q32,R32-Q32),[5]skilldef!$C:$D,2,FALSE),"-") &amp; " / " &amp; IFERROR(VLOOKUP(MID(N32,O32,P32-O32),[5]skilldef!$A:$B,2,FALSE),"-")</f>
        <v>- / -</v>
      </c>
      <c r="T32" s="48" t="str">
        <f t="shared" ref="T32" si="128">IFERROR(RIGHT(M32,LEN(M32)-FIND("],",M32)-1),"none")</f>
        <v>none</v>
      </c>
      <c r="U32" s="64" t="e">
        <f t="shared" si="11"/>
        <v>#VALUE!</v>
      </c>
      <c r="V32" s="64">
        <f t="shared" ref="V32" si="129">IFERROR(FIND(",",T32),LEN(T32))</f>
        <v>4</v>
      </c>
      <c r="W32" s="64" t="e">
        <f t="shared" ref="W32" si="130">FIND("target:",T32)+7</f>
        <v>#VALUE!</v>
      </c>
      <c r="X32" s="64" t="e">
        <f t="shared" ref="X32" si="131">FIND(",",T32,V32+1)</f>
        <v>#VALUE!</v>
      </c>
      <c r="Y32" s="64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</row>
    <row r="33" spans="1:28" ht="21" customHeight="1" x14ac:dyDescent="0.15">
      <c r="A33" s="47">
        <v>11227602</v>
      </c>
      <c r="B33" s="47" t="s">
        <v>222</v>
      </c>
      <c r="C33" s="50">
        <v>3</v>
      </c>
      <c r="D33" s="50" t="s">
        <v>128</v>
      </c>
      <c r="E33" s="51" t="s">
        <v>211</v>
      </c>
      <c r="F33" s="51" t="s">
        <v>211</v>
      </c>
      <c r="G33" s="64"/>
      <c r="H33" s="64"/>
      <c r="I33" s="64"/>
      <c r="J33" s="64"/>
      <c r="K33" s="64"/>
      <c r="L33" s="64"/>
      <c r="M33" s="64"/>
      <c r="N33" s="48"/>
      <c r="O33" s="64"/>
      <c r="P33" s="64"/>
      <c r="Q33" s="64"/>
      <c r="R33" s="64"/>
      <c r="S33" s="64"/>
      <c r="T33" s="48"/>
      <c r="U33" s="64"/>
      <c r="V33" s="64"/>
      <c r="W33" s="64"/>
      <c r="X33" s="64"/>
      <c r="Y33" s="64"/>
      <c r="Z33" s="50"/>
      <c r="AA33" s="52"/>
      <c r="AB33" s="50"/>
    </row>
    <row r="34" spans="1:28" ht="21" customHeight="1" x14ac:dyDescent="0.15">
      <c r="A34" s="47">
        <v>11227603</v>
      </c>
      <c r="B34" s="47" t="s">
        <v>265</v>
      </c>
      <c r="C34" s="50">
        <v>3</v>
      </c>
      <c r="D34" s="50" t="s">
        <v>128</v>
      </c>
      <c r="E34" s="51" t="s">
        <v>239</v>
      </c>
      <c r="F34" s="51" t="s">
        <v>240</v>
      </c>
      <c r="G34" s="64" t="str">
        <f t="shared" ref="G34" si="132">IFERROR(LEFT(B34,FIND("],",B34)),B34)</f>
        <v>[effect:enemy_message, val1:2.8, val2:1.8][effect:force_change_block, new_block:block_heart, target:block_all, ignore01:block_heart, count:3, val:0][effect:fix_speed, target:myself, turn:1]</v>
      </c>
      <c r="H34" s="64">
        <f t="shared" si="1"/>
        <v>9</v>
      </c>
      <c r="I34" s="64">
        <f t="shared" ref="I34" si="133">IFERROR(FIND(",",G34),LEN(G34))</f>
        <v>22</v>
      </c>
      <c r="J34" s="64">
        <f t="shared" ref="J34" si="134">FIND("target:",G34)+7</f>
        <v>101</v>
      </c>
      <c r="K34" s="64">
        <f t="shared" ref="K34" si="135">FIND(",",G34,I34+1)</f>
        <v>32</v>
      </c>
      <c r="L34" s="64" t="str">
        <f>IFERROR(VLOOKUP(MID(G34,J34,K34-J34),[5]skilldef!$C:$D,2,FALSE),"-") &amp; " / " &amp; IFERROR(VLOOKUP(MID(G34,H34,I34-H34),[5]skilldef!$A:$B,2,FALSE),"-")</f>
        <v>- / -</v>
      </c>
      <c r="M34" s="64" t="str">
        <f t="shared" ref="M34" si="136">IFERROR(RIGHT(B34,LEN(B34)-FIND("],",B34)-1),"none")</f>
        <v>none</v>
      </c>
      <c r="N34" s="48" t="str">
        <f>IFERROR(LEFT(M34,FIND("],",M34)+S70),M34)</f>
        <v>none</v>
      </c>
      <c r="O34" s="64" t="e">
        <f t="shared" si="6"/>
        <v>#VALUE!</v>
      </c>
      <c r="P34" s="64">
        <f t="shared" ref="P34" si="137">IFERROR(FIND(",",N34),LEN(N34))</f>
        <v>4</v>
      </c>
      <c r="Q34" s="64" t="e">
        <f t="shared" ref="Q34" si="138">FIND("target:",N34)+7</f>
        <v>#VALUE!</v>
      </c>
      <c r="R34" s="64" t="e">
        <f t="shared" ref="R34" si="139">FIND(",",N34,P34+1)</f>
        <v>#VALUE!</v>
      </c>
      <c r="S34" s="64" t="str">
        <f>IFERROR(VLOOKUP(MID(N34,Q34,R34-Q34),[5]skilldef!$C:$D,2,FALSE),"-") &amp; " / " &amp; IFERROR(VLOOKUP(MID(N34,O34,P34-O34),[5]skilldef!$A:$B,2,FALSE),"-")</f>
        <v>- / -</v>
      </c>
      <c r="T34" s="48" t="str">
        <f t="shared" ref="T34" si="140">IFERROR(RIGHT(M34,LEN(M34)-FIND("],",M34)-1),"none")</f>
        <v>none</v>
      </c>
      <c r="U34" s="64" t="e">
        <f t="shared" si="11"/>
        <v>#VALUE!</v>
      </c>
      <c r="V34" s="64">
        <f t="shared" ref="V34" si="141">IFERROR(FIND(",",T34),LEN(T34))</f>
        <v>4</v>
      </c>
      <c r="W34" s="64" t="e">
        <f t="shared" ref="W34" si="142">FIND("target:",T34)+7</f>
        <v>#VALUE!</v>
      </c>
      <c r="X34" s="64" t="e">
        <f t="shared" ref="X34" si="143">FIND(",",T34,V34+1)</f>
        <v>#VALUE!</v>
      </c>
      <c r="Y34" s="64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  <row r="35" spans="1:28" ht="21" customHeight="1" x14ac:dyDescent="0.15">
      <c r="A35" s="47">
        <v>11227604</v>
      </c>
      <c r="B35" s="47" t="s">
        <v>222</v>
      </c>
      <c r="C35" s="50">
        <v>3</v>
      </c>
      <c r="D35" s="50" t="s">
        <v>128</v>
      </c>
      <c r="E35" s="51" t="s">
        <v>211</v>
      </c>
      <c r="F35" s="51" t="s">
        <v>211</v>
      </c>
      <c r="G35" s="64"/>
      <c r="H35" s="64"/>
      <c r="I35" s="64"/>
      <c r="J35" s="64"/>
      <c r="K35" s="64"/>
      <c r="L35" s="64"/>
      <c r="M35" s="64"/>
      <c r="N35" s="48"/>
      <c r="O35" s="64"/>
      <c r="P35" s="64"/>
      <c r="Q35" s="64"/>
      <c r="R35" s="64"/>
      <c r="S35" s="64"/>
      <c r="T35" s="48"/>
      <c r="U35" s="64"/>
      <c r="V35" s="64"/>
      <c r="W35" s="64"/>
      <c r="X35" s="64"/>
      <c r="Y35" s="64"/>
      <c r="Z35" s="50"/>
      <c r="AA35" s="52"/>
      <c r="AB35" s="50"/>
    </row>
    <row r="36" spans="1:28" ht="21" customHeight="1" x14ac:dyDescent="0.15">
      <c r="A36" s="47">
        <v>11227605</v>
      </c>
      <c r="B36" s="47" t="s">
        <v>268</v>
      </c>
      <c r="C36" s="50">
        <v>3</v>
      </c>
      <c r="D36" s="50" t="s">
        <v>128</v>
      </c>
      <c r="E36" s="51" t="s">
        <v>259</v>
      </c>
      <c r="F36" s="51" t="s">
        <v>267</v>
      </c>
      <c r="G36" s="64" t="str">
        <f t="shared" ref="G36" si="144">IFERROR(LEFT(B36,FIND("],",B36)),B36)</f>
        <v>[effect:enemy_message, val1:2, val2:2.5][effect:fix_speed, target:myself, turn:1][effect:suicide, val:0.75, dead_type:escape, target:myself][effect:enemy_message, val1:2.4, val2:0][effect:force_change_block, new_block:crack_bomb, color:block_heart, target:block_heart, count:0, val:0][effect:force_change_block, new_block:block_heart, target:block_all, ignore01:crack_bomb, count:0, val:0][effect:degrade_unit, target:unit_all, turn:1, status:action, val:2, calc:add][effect:change_panel_ratio, turn:-1, block_type:heal, val:0][effect:change_panel_ratio, turn:-1, block_type:red, val:0.25][effect:change_panel_ratio, turn:-1, block_type:blue, val:0.25][effect:change_panel_ratio, turn:-1, block_type:yellow, val:0.25][effect:change_panel_ratio, turn:-1, block_type:green, val:0.25]</v>
      </c>
      <c r="H36" s="64">
        <f t="shared" si="1"/>
        <v>9</v>
      </c>
      <c r="I36" s="64">
        <f t="shared" ref="I36" si="145">IFERROR(FIND(",",G36),LEN(G36))</f>
        <v>22</v>
      </c>
      <c r="J36" s="64">
        <f t="shared" ref="J36" si="146">FIND("target:",G36)+7</f>
        <v>67</v>
      </c>
      <c r="K36" s="64">
        <f t="shared" ref="K36" si="147">FIND(",",G36,I36+1)</f>
        <v>30</v>
      </c>
      <c r="L36" s="64" t="str">
        <f>IFERROR(VLOOKUP(MID(G36,J36,K36-J36),[5]skilldef!$C:$D,2,FALSE),"-") &amp; " / " &amp; IFERROR(VLOOKUP(MID(G36,H36,I36-H36),[5]skilldef!$A:$B,2,FALSE),"-")</f>
        <v>- / -</v>
      </c>
      <c r="M36" s="64" t="str">
        <f t="shared" ref="M36" si="148">IFERROR(RIGHT(B36,LEN(B36)-FIND("],",B36)-1),"none")</f>
        <v>none</v>
      </c>
      <c r="N36" s="48" t="str">
        <f>IFERROR(LEFT(M36,FIND("],",M36)+S71),M36)</f>
        <v>none</v>
      </c>
      <c r="O36" s="64" t="e">
        <f t="shared" si="6"/>
        <v>#VALUE!</v>
      </c>
      <c r="P36" s="64">
        <f t="shared" ref="P36" si="149">IFERROR(FIND(",",N36),LEN(N36))</f>
        <v>4</v>
      </c>
      <c r="Q36" s="64" t="e">
        <f t="shared" ref="Q36" si="150">FIND("target:",N36)+7</f>
        <v>#VALUE!</v>
      </c>
      <c r="R36" s="64" t="e">
        <f t="shared" ref="R36" si="151">FIND(",",N36,P36+1)</f>
        <v>#VALUE!</v>
      </c>
      <c r="S36" s="64" t="str">
        <f>IFERROR(VLOOKUP(MID(N36,Q36,R36-Q36),[5]skilldef!$C:$D,2,FALSE),"-") &amp; " / " &amp; IFERROR(VLOOKUP(MID(N36,O36,P36-O36),[5]skilldef!$A:$B,2,FALSE),"-")</f>
        <v>- / -</v>
      </c>
      <c r="T36" s="48" t="str">
        <f t="shared" ref="T36" si="152">IFERROR(RIGHT(M36,LEN(M36)-FIND("],",M36)-1),"none")</f>
        <v>none</v>
      </c>
      <c r="U36" s="64" t="e">
        <f t="shared" si="11"/>
        <v>#VALUE!</v>
      </c>
      <c r="V36" s="64">
        <f t="shared" ref="V36" si="153">IFERROR(FIND(",",T36),LEN(T36))</f>
        <v>4</v>
      </c>
      <c r="W36" s="64" t="e">
        <f t="shared" ref="W36" si="154">FIND("target:",T36)+7</f>
        <v>#VALUE!</v>
      </c>
      <c r="X36" s="64" t="e">
        <f t="shared" ref="X36" si="155">FIND(",",T36,V36+1)</f>
        <v>#VALUE!</v>
      </c>
      <c r="Y36" s="64" t="str">
        <f>IFERROR(VLOOKUP(MID(T36,W36,X36-W36),[5]skilldef!$C:$D,2,FALSE),"-") &amp; " / " &amp; IFERROR(VLOOKUP(MID(T36,U36,V36-U36),[5]skilldef!$A:$B,2,FALSE),"-")</f>
        <v>- / -</v>
      </c>
      <c r="Z36" s="50"/>
      <c r="AA36" s="52"/>
      <c r="AB36" s="50"/>
    </row>
    <row r="37" spans="1:28" ht="21" customHeight="1" x14ac:dyDescent="0.15">
      <c r="A37" s="47">
        <v>11227606</v>
      </c>
      <c r="B37" s="47" t="s">
        <v>266</v>
      </c>
      <c r="C37" s="50">
        <v>3</v>
      </c>
      <c r="D37" s="50" t="s">
        <v>128</v>
      </c>
      <c r="E37" s="51" t="s">
        <v>238</v>
      </c>
      <c r="F37" s="51"/>
      <c r="G37" s="64" t="str">
        <f t="shared" ref="G37" si="156">IFERROR(LEFT(B37,FIND("],",B37)),B37)</f>
        <v>[effect:enemy_message, val1:2, val2:0][effect:suicide, val:1, dead_type:escape, target:myself][effect:force_change_block, new_block:block_heart, target:block_all, count:0, val:0]</v>
      </c>
      <c r="H37" s="64">
        <f t="shared" si="1"/>
        <v>9</v>
      </c>
      <c r="I37" s="64">
        <f t="shared" ref="I37" si="157">IFERROR(FIND(",",G37),LEN(G37))</f>
        <v>22</v>
      </c>
      <c r="J37" s="64">
        <f t="shared" ref="J37" si="158">FIND("target:",G37)+7</f>
        <v>88</v>
      </c>
      <c r="K37" s="64">
        <f t="shared" ref="K37" si="159">FIND(",",G37,I37+1)</f>
        <v>30</v>
      </c>
      <c r="L37" s="64" t="str">
        <f>IFERROR(VLOOKUP(MID(G37,J37,K37-J37),[5]skilldef!$C:$D,2,FALSE),"-") &amp; " / " &amp; IFERROR(VLOOKUP(MID(G37,H37,I37-H37),[5]skilldef!$A:$B,2,FALSE),"-")</f>
        <v>- / -</v>
      </c>
      <c r="M37" s="64" t="str">
        <f t="shared" ref="M37" si="160">IFERROR(RIGHT(B37,LEN(B37)-FIND("],",B37)-1),"none")</f>
        <v>none</v>
      </c>
      <c r="N37" s="48" t="str">
        <f t="shared" ref="N37" si="161">IFERROR(LEFT(M37,FIND("],",M37)+S72),M37)</f>
        <v>none</v>
      </c>
      <c r="O37" s="64" t="e">
        <f t="shared" si="6"/>
        <v>#VALUE!</v>
      </c>
      <c r="P37" s="64">
        <f t="shared" ref="P37" si="162">IFERROR(FIND(",",N37),LEN(N37))</f>
        <v>4</v>
      </c>
      <c r="Q37" s="64" t="e">
        <f t="shared" ref="Q37" si="163">FIND("target:",N37)+7</f>
        <v>#VALUE!</v>
      </c>
      <c r="R37" s="64" t="e">
        <f t="shared" ref="R37" si="164">FIND(",",N37,P37+1)</f>
        <v>#VALUE!</v>
      </c>
      <c r="S37" s="64" t="str">
        <f>IFERROR(VLOOKUP(MID(N37,Q37,R37-Q37),[5]skilldef!$C:$D,2,FALSE),"-") &amp; " / " &amp; IFERROR(VLOOKUP(MID(N37,O37,P37-O37),[5]skilldef!$A:$B,2,FALSE),"-")</f>
        <v>- / -</v>
      </c>
      <c r="T37" s="48" t="str">
        <f t="shared" ref="T37" si="165">IFERROR(RIGHT(M37,LEN(M37)-FIND("],",M37)-1),"none")</f>
        <v>none</v>
      </c>
      <c r="U37" s="64" t="e">
        <f t="shared" si="11"/>
        <v>#VALUE!</v>
      </c>
      <c r="V37" s="64">
        <f t="shared" ref="V37" si="166">IFERROR(FIND(",",T37),LEN(T37))</f>
        <v>4</v>
      </c>
      <c r="W37" s="64" t="e">
        <f t="shared" ref="W37" si="167">FIND("target:",T37)+7</f>
        <v>#VALUE!</v>
      </c>
      <c r="X37" s="64" t="e">
        <f t="shared" ref="X37" si="168">FIND(",",T37,V37+1)</f>
        <v>#VALUE!</v>
      </c>
      <c r="Y37" s="64" t="str">
        <f>IFERROR(VLOOKUP(MID(T37,W37,X37-W37),[5]skilldef!$C:$D,2,FALSE),"-") &amp; " / " &amp; IFERROR(VLOOKUP(MID(T37,U37,V37-U37),[5]skilldef!$A:$B,2,FALSE),"-")</f>
        <v>- / -</v>
      </c>
      <c r="Z37" s="50"/>
      <c r="AA37" s="52"/>
      <c r="AB37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1"/>
  <sheetViews>
    <sheetView showGridLines="0" zoomScale="75" zoomScaleNormal="75" zoomScalePageLayoutView="75" workbookViewId="0">
      <pane ySplit="1" topLeftCell="A2" activePane="bottomLeft" state="frozenSplit"/>
      <selection pane="bottomLeft" activeCell="A8" sqref="A8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11227000</v>
      </c>
      <c r="B2" s="47">
        <v>1</v>
      </c>
      <c r="C2" s="47">
        <v>100</v>
      </c>
      <c r="D2" s="47">
        <v>0</v>
      </c>
      <c r="E2" s="47" t="s">
        <v>191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0</v>
      </c>
    </row>
    <row r="3" spans="1:11" ht="21" customHeight="1" x14ac:dyDescent="0.15">
      <c r="A3" s="47">
        <v>11227001</v>
      </c>
      <c r="B3" s="47">
        <v>0</v>
      </c>
      <c r="C3" s="47">
        <v>90</v>
      </c>
      <c r="D3" s="47">
        <v>100</v>
      </c>
      <c r="E3" s="47" t="s">
        <v>191</v>
      </c>
      <c r="F3" s="47" t="s">
        <v>53</v>
      </c>
      <c r="G3" s="47">
        <v>1</v>
      </c>
      <c r="H3" s="47" t="s">
        <v>53</v>
      </c>
      <c r="I3" s="47" t="s">
        <v>53</v>
      </c>
      <c r="J3" s="48">
        <f t="shared" ref="J3" si="1">D3</f>
        <v>100</v>
      </c>
    </row>
    <row r="4" spans="1:11" ht="21" customHeight="1" x14ac:dyDescent="0.15">
      <c r="A4" s="47">
        <v>11227002</v>
      </c>
      <c r="B4" s="47">
        <v>0</v>
      </c>
      <c r="C4" s="47">
        <v>80</v>
      </c>
      <c r="D4" s="47">
        <v>100</v>
      </c>
      <c r="E4" s="47" t="s">
        <v>191</v>
      </c>
      <c r="F4" s="47" t="s">
        <v>53</v>
      </c>
      <c r="G4" s="47">
        <v>1</v>
      </c>
      <c r="H4" s="47" t="s">
        <v>53</v>
      </c>
      <c r="I4" s="47" t="s">
        <v>53</v>
      </c>
      <c r="J4" s="48">
        <f t="shared" ref="J4:J5" si="2">D4</f>
        <v>100</v>
      </c>
    </row>
    <row r="5" spans="1:11" ht="21" customHeight="1" x14ac:dyDescent="0.15">
      <c r="A5" s="47">
        <v>11227003</v>
      </c>
      <c r="B5" s="47">
        <v>0</v>
      </c>
      <c r="C5" s="47">
        <v>70</v>
      </c>
      <c r="D5" s="47">
        <v>100</v>
      </c>
      <c r="E5" s="47" t="s">
        <v>191</v>
      </c>
      <c r="F5" s="47" t="s">
        <v>53</v>
      </c>
      <c r="G5" s="47">
        <v>1</v>
      </c>
      <c r="H5" s="47" t="s">
        <v>53</v>
      </c>
      <c r="I5" s="47" t="s">
        <v>53</v>
      </c>
      <c r="J5" s="48">
        <f t="shared" si="2"/>
        <v>100</v>
      </c>
    </row>
    <row r="6" spans="1:11" ht="21" customHeight="1" x14ac:dyDescent="0.15">
      <c r="A6" s="47">
        <v>11227004</v>
      </c>
      <c r="B6" s="47">
        <v>0</v>
      </c>
      <c r="C6" s="47">
        <v>60</v>
      </c>
      <c r="D6" s="47">
        <v>100</v>
      </c>
      <c r="E6" s="47" t="s">
        <v>191</v>
      </c>
      <c r="F6" s="47" t="s">
        <v>53</v>
      </c>
      <c r="G6" s="47">
        <v>1</v>
      </c>
      <c r="H6" s="47" t="s">
        <v>53</v>
      </c>
      <c r="I6" s="47" t="s">
        <v>53</v>
      </c>
      <c r="J6" s="48">
        <f t="shared" ref="J6:J8" si="3">D6</f>
        <v>100</v>
      </c>
    </row>
    <row r="7" spans="1:11" ht="21" customHeight="1" x14ac:dyDescent="0.15">
      <c r="A7" s="47">
        <v>11227010</v>
      </c>
      <c r="B7" s="47">
        <v>0</v>
      </c>
      <c r="C7" s="47">
        <v>1</v>
      </c>
      <c r="D7" s="47">
        <v>100</v>
      </c>
      <c r="E7" s="47">
        <v>10</v>
      </c>
      <c r="F7" s="47" t="s">
        <v>53</v>
      </c>
      <c r="G7" s="47">
        <v>1</v>
      </c>
      <c r="H7" s="47" t="s">
        <v>53</v>
      </c>
      <c r="I7" s="47" t="s">
        <v>53</v>
      </c>
      <c r="J7" s="48">
        <f t="shared" ref="J7" si="4">D7</f>
        <v>100</v>
      </c>
    </row>
    <row r="8" spans="1:11" ht="21" customHeight="1" x14ac:dyDescent="0.15">
      <c r="A8" s="47">
        <v>11227099</v>
      </c>
      <c r="B8" s="47">
        <v>0</v>
      </c>
      <c r="C8" s="47" t="s">
        <v>53</v>
      </c>
      <c r="D8" s="47">
        <v>100</v>
      </c>
      <c r="E8" s="47" t="s">
        <v>53</v>
      </c>
      <c r="F8" s="47" t="s">
        <v>53</v>
      </c>
      <c r="G8" s="47">
        <v>1</v>
      </c>
      <c r="H8" s="47" t="s">
        <v>53</v>
      </c>
      <c r="I8" s="47" t="s">
        <v>53</v>
      </c>
      <c r="J8" s="48">
        <f t="shared" si="3"/>
        <v>100</v>
      </c>
    </row>
    <row r="9" spans="1:11" ht="21" customHeight="1" x14ac:dyDescent="0.15">
      <c r="A9" s="47">
        <v>11227619</v>
      </c>
      <c r="B9" s="47">
        <v>0</v>
      </c>
      <c r="C9" s="47">
        <v>1</v>
      </c>
      <c r="D9" s="47">
        <v>30</v>
      </c>
      <c r="E9" s="47" t="s">
        <v>191</v>
      </c>
      <c r="F9" s="47" t="s">
        <v>53</v>
      </c>
      <c r="G9" s="47">
        <v>1</v>
      </c>
      <c r="H9" s="47" t="s">
        <v>53</v>
      </c>
      <c r="I9" s="47">
        <v>619</v>
      </c>
      <c r="J9" s="48">
        <f t="shared" ref="J9" si="5">D9</f>
        <v>30</v>
      </c>
    </row>
    <row r="10" spans="1:11" ht="21" customHeight="1" x14ac:dyDescent="0.15">
      <c r="A10" s="47">
        <v>11227620</v>
      </c>
      <c r="B10" s="47">
        <v>0</v>
      </c>
      <c r="C10" s="47" t="s">
        <v>53</v>
      </c>
      <c r="D10" s="47">
        <v>100</v>
      </c>
      <c r="E10" s="47" t="s">
        <v>53</v>
      </c>
      <c r="F10" s="47" t="s">
        <v>53</v>
      </c>
      <c r="G10" s="47">
        <v>1</v>
      </c>
      <c r="H10" s="47" t="s">
        <v>53</v>
      </c>
      <c r="I10" s="47">
        <v>619</v>
      </c>
      <c r="J10" s="48">
        <f t="shared" ref="J10" si="6">D10</f>
        <v>100</v>
      </c>
    </row>
    <row r="11" spans="1:11" ht="21" customHeight="1" x14ac:dyDescent="0.15">
      <c r="A11" s="47">
        <v>11227999</v>
      </c>
      <c r="B11" s="47">
        <v>0</v>
      </c>
      <c r="C11" s="47" t="s">
        <v>89</v>
      </c>
      <c r="D11" s="47">
        <v>100</v>
      </c>
      <c r="E11" s="47" t="s">
        <v>191</v>
      </c>
      <c r="F11" s="47" t="s">
        <v>53</v>
      </c>
      <c r="G11" s="47">
        <v>0</v>
      </c>
      <c r="H11" s="47" t="s">
        <v>53</v>
      </c>
      <c r="I11" s="47">
        <v>0</v>
      </c>
      <c r="J11" s="48">
        <f t="shared" ref="J11" si="7">D11</f>
        <v>100</v>
      </c>
    </row>
  </sheetData>
  <autoFilter ref="A1:G1"/>
  <phoneticPr fontId="5"/>
  <conditionalFormatting sqref="K12:K1048576 K1:K2">
    <cfRule type="duplicateValues" dxfId="9" priority="10"/>
  </conditionalFormatting>
  <conditionalFormatting sqref="K3">
    <cfRule type="duplicateValues" dxfId="8" priority="9"/>
  </conditionalFormatting>
  <conditionalFormatting sqref="K11">
    <cfRule type="duplicateValues" dxfId="7" priority="8"/>
  </conditionalFormatting>
  <conditionalFormatting sqref="K9">
    <cfRule type="duplicateValues" dxfId="6" priority="7"/>
  </conditionalFormatting>
  <conditionalFormatting sqref="K4">
    <cfRule type="duplicateValues" dxfId="5" priority="6"/>
  </conditionalFormatting>
  <conditionalFormatting sqref="K5">
    <cfRule type="duplicateValues" dxfId="4" priority="5"/>
  </conditionalFormatting>
  <conditionalFormatting sqref="K6">
    <cfRule type="duplicateValues" dxfId="3" priority="4"/>
  </conditionalFormatting>
  <conditionalFormatting sqref="K8">
    <cfRule type="duplicateValues" dxfId="2" priority="3"/>
  </conditionalFormatting>
  <conditionalFormatting sqref="K7">
    <cfRule type="duplicateValues" dxfId="1" priority="2"/>
  </conditionalFormatting>
  <conditionalFormatting sqref="K10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5"/>
  <sheetViews>
    <sheetView showGridLines="0" workbookViewId="0">
      <pane ySplit="1" topLeftCell="A2" activePane="bottomLeft" state="frozen"/>
      <selection pane="bottomLeft" activeCell="L5" sqref="L5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25.6640625" customWidth="1"/>
    <col min="13" max="13" width="42.6640625" customWidth="1"/>
  </cols>
  <sheetData>
    <row r="1" spans="1:15" x14ac:dyDescent="0.15">
      <c r="A1" s="73" t="s">
        <v>163</v>
      </c>
      <c r="B1" s="70" t="s">
        <v>151</v>
      </c>
      <c r="C1" s="74" t="s">
        <v>164</v>
      </c>
      <c r="D1" s="74" t="s">
        <v>33</v>
      </c>
      <c r="E1" s="70" t="s">
        <v>165</v>
      </c>
      <c r="F1" s="74" t="s">
        <v>18</v>
      </c>
      <c r="G1" s="74" t="s">
        <v>33</v>
      </c>
      <c r="H1" s="70" t="s">
        <v>166</v>
      </c>
      <c r="I1" s="84" t="s">
        <v>167</v>
      </c>
      <c r="J1" s="86" t="s">
        <v>168</v>
      </c>
      <c r="K1" s="94" t="s">
        <v>127</v>
      </c>
      <c r="L1" s="94" t="s">
        <v>162</v>
      </c>
      <c r="M1" s="95" t="s">
        <v>161</v>
      </c>
      <c r="N1" s="75" t="s">
        <v>169</v>
      </c>
    </row>
    <row r="2" spans="1:15" ht="70" x14ac:dyDescent="0.15">
      <c r="A2" s="76" t="s">
        <v>173</v>
      </c>
      <c r="B2" s="77">
        <f>floors!$C$2</f>
        <v>11227</v>
      </c>
      <c r="C2" s="78" t="str">
        <f ca="1">VLOOKUP($B2,OFFSET([2]quests!$A$1,0,0,COUNTA([2]quests!$A:$A),MATCH(C$1,[2]quests!$1:$1,0)-MATCH($B$1,[2]quests!$1:$1,0)+1),MATCH(C$1,[2]quests!$1:$1,0)-MATCH($B$1,[2]quests!$1:$1,0)+1,FALSE)</f>
        <v>TVCM第2弾放送記念★特別クエスト</v>
      </c>
      <c r="D2" s="78" t="str">
        <f ca="1">VLOOKUP($B2,OFFSET([2]quests!$A$1,0,0,COUNTA([2]quests!$A:$A),MATCH(D$1,[2]quests!$1:$1,0)-MATCH($B$1,[2]quests!$1:$1,0)+1),MATCH(D$1,[2]quests!$1:$1,0)-MATCH($B$1,[2]quests!$1:$1,0)+1,FALSE)</f>
        <v>TVCM第2弾放送記念★特別クエスト</v>
      </c>
      <c r="E2" s="79">
        <v>2</v>
      </c>
      <c r="F2" s="78" t="str">
        <f ca="1">VLOOKUP($B2&amp;"_"&amp;$E2,OFFSET([2]stages!$A$1,0,0,COUNTA([2]stages!$A:$A),MATCH(F$1,[2]stages!$2:$2,0)-MATCH("temp_stage",[2]stages!$2:$2,0)+1),MATCH(F$1,[2]stages!$2:$2,0)-MATCH("temp_stage",[2]stages!$2:$2,0)+1,FALSE)</f>
        <v>…勘違いじゃないよ。</v>
      </c>
      <c r="G2" s="78" t="str">
        <f ca="1">VLOOKUP($B2&amp;"_"&amp;$E2,OFFSET([2]stages!$A$1,0,0,COUNTA([2]stages!$A:$A),MATCH(G$1,[2]stages!$2:$2,0)-MATCH("temp_stage",[2]stages!$2:$2,0)+1),MATCH(G$1,[2]stages!$2:$2,0)-MATCH("temp_stage",[2]stages!$2:$2,0)+1,FALSE)</f>
        <v>TVCM第2弾放送記念★特別クエスト</v>
      </c>
      <c r="H2" s="80">
        <v>0</v>
      </c>
      <c r="I2" s="85">
        <f>ROW()-1</f>
        <v>1</v>
      </c>
      <c r="J2" s="81" t="str">
        <f>B2&amp;TEXT(I2,"00")</f>
        <v>1122701</v>
      </c>
      <c r="K2" s="79" t="s">
        <v>171</v>
      </c>
      <c r="L2" s="82" t="s">
        <v>269</v>
      </c>
      <c r="M2" s="96" t="s">
        <v>284</v>
      </c>
      <c r="N2" s="57" t="s">
        <v>172</v>
      </c>
      <c r="O2">
        <f>LEN(M2)</f>
        <v>61</v>
      </c>
    </row>
    <row r="3" spans="1:15" x14ac:dyDescent="0.15">
      <c r="A3" s="76" t="s">
        <v>173</v>
      </c>
      <c r="B3" s="77">
        <f>floors!$C$2</f>
        <v>11227</v>
      </c>
      <c r="C3" s="78" t="str">
        <f ca="1">VLOOKUP($B3,OFFSET([2]quests!$A$1,0,0,COUNTA([2]quests!$A:$A),MATCH(C$1,[2]quests!$1:$1,0)-MATCH($B$1,[2]quests!$1:$1,0)+1),MATCH(C$1,[2]quests!$1:$1,0)-MATCH($B$1,[2]quests!$1:$1,0)+1,FALSE)</f>
        <v>TVCM第2弾放送記念★特別クエスト</v>
      </c>
      <c r="D3" s="78" t="str">
        <f ca="1">VLOOKUP($B3,OFFSET([2]quests!$A$1,0,0,COUNTA([2]quests!$A:$A),MATCH(D$1,[2]quests!$1:$1,0)-MATCH($B$1,[2]quests!$1:$1,0)+1),MATCH(D$1,[2]quests!$1:$1,0)-MATCH($B$1,[2]quests!$1:$1,0)+1,FALSE)</f>
        <v>TVCM第2弾放送記念★特別クエスト</v>
      </c>
      <c r="E3" s="79">
        <v>1</v>
      </c>
      <c r="F3" s="78" t="str">
        <f ca="1">VLOOKUP($B3&amp;"_"&amp;$E3,OFFSET([2]stages!$A$1,0,0,COUNTA([2]stages!$A:$A),MATCH(F$1,[2]stages!$2:$2,0)-MATCH("temp_stage",[2]stages!$2:$2,0)+1),MATCH(F$1,[2]stages!$2:$2,0)-MATCH("temp_stage",[2]stages!$2:$2,0)+1,FALSE)</f>
        <v>【ALICE日常編】…勘違いじゃないよ。</v>
      </c>
      <c r="G3" s="78" t="str">
        <f ca="1">VLOOKUP($B3&amp;"_"&amp;$E3,OFFSET([2]stages!$A$1,0,0,COUNTA([2]stages!$A:$A),MATCH(G$1,[2]stages!$2:$2,0)-MATCH("temp_stage",[2]stages!$2:$2,0)+1),MATCH(G$1,[2]stages!$2:$2,0)-MATCH("temp_stage",[2]stages!$2:$2,0)+1,FALSE)</f>
        <v>TVCM第2弾放送記念★特別クエスト</v>
      </c>
      <c r="H3" s="80">
        <v>0</v>
      </c>
      <c r="I3" s="85">
        <f>ROW()-1</f>
        <v>2</v>
      </c>
      <c r="J3" s="81" t="str">
        <f>B3&amp;TEXT(I3,"00")</f>
        <v>1122702</v>
      </c>
      <c r="K3" s="79" t="s">
        <v>171</v>
      </c>
      <c r="L3" s="97" t="str">
        <f>L2</f>
        <v>テレビCM第2弾 全国47都道府県で放送中！</v>
      </c>
      <c r="M3" s="97" t="str">
        <f>M2</f>
        <v>クラフィのテレビCM第2弾_x000D_ご覧いただけましたか？_x000D__x000D_「期待感篇」と「世界観篇」_x000D_2種類のバージョンを ぜひお楽しみ下さい</v>
      </c>
      <c r="N3" s="57" t="s">
        <v>172</v>
      </c>
      <c r="O3">
        <f>LEN(M3)</f>
        <v>61</v>
      </c>
    </row>
    <row r="4" spans="1:15" ht="70" x14ac:dyDescent="0.15">
      <c r="A4" s="76" t="s">
        <v>173</v>
      </c>
      <c r="B4" s="77">
        <f>floors!$C$2</f>
        <v>11227</v>
      </c>
      <c r="C4" s="78" t="str">
        <f ca="1">VLOOKUP($B4,OFFSET([2]quests!$A$1,0,0,COUNTA([2]quests!$A:$A),MATCH(C$1,[2]quests!$1:$1,0)-MATCH($B$1,[2]quests!$1:$1,0)+1),MATCH(C$1,[2]quests!$1:$1,0)-MATCH($B$1,[2]quests!$1:$1,0)+1,FALSE)</f>
        <v>TVCM第2弾放送記念★特別クエスト</v>
      </c>
      <c r="D4" s="78" t="str">
        <f ca="1">VLOOKUP($B4,OFFSET([2]quests!$A$1,0,0,COUNTA([2]quests!$A:$A),MATCH(D$1,[2]quests!$1:$1,0)-MATCH($B$1,[2]quests!$1:$1,0)+1),MATCH(D$1,[2]quests!$1:$1,0)-MATCH($B$1,[2]quests!$1:$1,0)+1,FALSE)</f>
        <v>TVCM第2弾放送記念★特別クエスト</v>
      </c>
      <c r="E4" s="79">
        <v>1</v>
      </c>
      <c r="F4" s="78" t="str">
        <f ca="1">VLOOKUP($B4&amp;"_"&amp;$E4,OFFSET([2]stages!$A$1,0,0,COUNTA([2]stages!$A:$A),MATCH(F$1,[2]stages!$2:$2,0)-MATCH("temp_stage",[2]stages!$2:$2,0)+1),MATCH(F$1,[2]stages!$2:$2,0)-MATCH("temp_stage",[2]stages!$2:$2,0)+1,FALSE)</f>
        <v>【ALICE日常編】…勘違いじゃないよ。</v>
      </c>
      <c r="G4" s="78" t="str">
        <f ca="1">VLOOKUP($B4&amp;"_"&amp;$E4,OFFSET([2]stages!$A$1,0,0,COUNTA([2]stages!$A:$A),MATCH(G$1,[2]stages!$2:$2,0)-MATCH("temp_stage",[2]stages!$2:$2,0)+1),MATCH(G$1,[2]stages!$2:$2,0)-MATCH("temp_stage",[2]stages!$2:$2,0)+1,FALSE)</f>
        <v>TVCM第2弾放送記念★特別クエスト</v>
      </c>
      <c r="H4" s="80">
        <v>0</v>
      </c>
      <c r="I4" s="85">
        <f>ROW()-1</f>
        <v>3</v>
      </c>
      <c r="J4" s="81" t="str">
        <f>B4&amp;TEXT(I4,"00")</f>
        <v>1122703</v>
      </c>
      <c r="K4" s="79" t="s">
        <v>171</v>
      </c>
      <c r="L4" s="82" t="s">
        <v>283</v>
      </c>
      <c r="M4" s="96" t="s">
        <v>285</v>
      </c>
      <c r="N4" s="57" t="s">
        <v>172</v>
      </c>
      <c r="O4">
        <f>LEN(M4)</f>
        <v>63</v>
      </c>
    </row>
    <row r="5" spans="1:15" ht="84" x14ac:dyDescent="0.15">
      <c r="A5" s="76" t="s">
        <v>170</v>
      </c>
      <c r="B5" s="77">
        <f>floors!$C$2</f>
        <v>11227</v>
      </c>
      <c r="C5" s="78" t="str">
        <f ca="1">VLOOKUP($B5,OFFSET([2]quests!$A$1,0,0,COUNTA([2]quests!$A:$A),MATCH(C$1,[2]quests!$1:$1,0)-MATCH($B$1,[2]quests!$1:$1,0)+1),MATCH(C$1,[2]quests!$1:$1,0)-MATCH($B$1,[2]quests!$1:$1,0)+1,FALSE)</f>
        <v>TVCM第2弾放送記念★特別クエスト</v>
      </c>
      <c r="D5" s="78" t="str">
        <f ca="1">VLOOKUP($B5,OFFSET([2]quests!$A$1,0,0,COUNTA([2]quests!$A:$A),MATCH(D$1,[2]quests!$1:$1,0)-MATCH($B$1,[2]quests!$1:$1,0)+1),MATCH(D$1,[2]quests!$1:$1,0)-MATCH($B$1,[2]quests!$1:$1,0)+1,FALSE)</f>
        <v>TVCM第2弾放送記念★特別クエスト</v>
      </c>
      <c r="E5" s="79">
        <v>1</v>
      </c>
      <c r="F5" s="78" t="str">
        <f ca="1">VLOOKUP($B5&amp;"_"&amp;$E5,OFFSET([2]stages!$A$1,0,0,COUNTA([2]stages!$A:$A),MATCH(F$1,[2]stages!$2:$2,0)-MATCH("temp_stage",[2]stages!$2:$2,0)+1),MATCH(F$1,[2]stages!$2:$2,0)-MATCH("temp_stage",[2]stages!$2:$2,0)+1,FALSE)</f>
        <v>【ALICE日常編】…勘違いじゃないよ。</v>
      </c>
      <c r="G5" s="78" t="str">
        <f ca="1">VLOOKUP($B5&amp;"_"&amp;$E5,OFFSET([2]stages!$A$1,0,0,COUNTA([2]stages!$A:$A),MATCH(G$1,[2]stages!$2:$2,0)-MATCH("temp_stage",[2]stages!$2:$2,0)+1),MATCH(G$1,[2]stages!$2:$2,0)-MATCH("temp_stage",[2]stages!$2:$2,0)+1,FALSE)</f>
        <v>TVCM第2弾放送記念★特別クエスト</v>
      </c>
      <c r="H5" s="80">
        <v>2</v>
      </c>
      <c r="I5" s="85">
        <f>ROW()-1</f>
        <v>4</v>
      </c>
      <c r="J5" s="81" t="str">
        <f>B5&amp;TEXT(I5,"00")</f>
        <v>1122704</v>
      </c>
      <c r="K5" s="79" t="s">
        <v>171</v>
      </c>
      <c r="L5" s="82" t="s">
        <v>281</v>
      </c>
      <c r="M5" s="98" t="s">
        <v>282</v>
      </c>
      <c r="N5" s="57" t="s">
        <v>172</v>
      </c>
      <c r="O5">
        <f>LEN(M5)</f>
        <v>62</v>
      </c>
    </row>
  </sheetData>
  <phoneticPr fontId="5"/>
  <dataValidations count="1">
    <dataValidation type="list" allowBlank="1" showInputMessage="1" showErrorMessage="1" sqref="A2:A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stage_hints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2016-08-24T13:29:09Z</dcterms:modified>
</cp:coreProperties>
</file>